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FE982D7-3225-4384-8CAF-9A37C3C48F5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P480" i="2"/>
  <c r="BO479" i="2"/>
  <c r="BM479" i="2"/>
  <c r="Z479" i="2"/>
  <c r="Y479" i="2"/>
  <c r="BP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BO470" i="2"/>
  <c r="BM470" i="2"/>
  <c r="Y470" i="2"/>
  <c r="BP470" i="2" s="1"/>
  <c r="P470" i="2"/>
  <c r="X468" i="2"/>
  <c r="X467" i="2"/>
  <c r="BP466" i="2"/>
  <c r="BO466" i="2"/>
  <c r="BN466" i="2"/>
  <c r="BM466" i="2"/>
  <c r="Z466" i="2"/>
  <c r="Y466" i="2"/>
  <c r="P466" i="2"/>
  <c r="BO465" i="2"/>
  <c r="BN465" i="2"/>
  <c r="BM465" i="2"/>
  <c r="Z465" i="2"/>
  <c r="Y465" i="2"/>
  <c r="BP465" i="2" s="1"/>
  <c r="P465" i="2"/>
  <c r="BO464" i="2"/>
  <c r="BM464" i="2"/>
  <c r="Y464" i="2"/>
  <c r="P464" i="2"/>
  <c r="X462" i="2"/>
  <c r="X461" i="2"/>
  <c r="BO460" i="2"/>
  <c r="BM460" i="2"/>
  <c r="Y460" i="2"/>
  <c r="P460" i="2"/>
  <c r="BO459" i="2"/>
  <c r="BM459" i="2"/>
  <c r="Y459" i="2"/>
  <c r="P459" i="2"/>
  <c r="BO458" i="2"/>
  <c r="BM458" i="2"/>
  <c r="Y458" i="2"/>
  <c r="P458" i="2"/>
  <c r="BP457" i="2"/>
  <c r="BO457" i="2"/>
  <c r="BM457" i="2"/>
  <c r="Y457" i="2"/>
  <c r="P457" i="2"/>
  <c r="X453" i="2"/>
  <c r="X452" i="2"/>
  <c r="BO451" i="2"/>
  <c r="BM451" i="2"/>
  <c r="Z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N442" i="2"/>
  <c r="BM442" i="2"/>
  <c r="Z442" i="2"/>
  <c r="Y442" i="2"/>
  <c r="BP442" i="2" s="1"/>
  <c r="P442" i="2"/>
  <c r="BO441" i="2"/>
  <c r="BM441" i="2"/>
  <c r="Y441" i="2"/>
  <c r="P441" i="2"/>
  <c r="BO440" i="2"/>
  <c r="BM440" i="2"/>
  <c r="Y440" i="2"/>
  <c r="Y447" i="2" s="1"/>
  <c r="P440" i="2"/>
  <c r="X438" i="2"/>
  <c r="X437" i="2"/>
  <c r="BO436" i="2"/>
  <c r="BM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Z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Z424" i="2" s="1"/>
  <c r="P424" i="2"/>
  <c r="BO423" i="2"/>
  <c r="BM423" i="2"/>
  <c r="Y423" i="2"/>
  <c r="Z423" i="2" s="1"/>
  <c r="P423" i="2"/>
  <c r="BO422" i="2"/>
  <c r="BM422" i="2"/>
  <c r="Y422" i="2"/>
  <c r="P422" i="2"/>
  <c r="BP421" i="2"/>
  <c r="BO421" i="2"/>
  <c r="BN421" i="2"/>
  <c r="BM421" i="2"/>
  <c r="Z421" i="2"/>
  <c r="Y421" i="2"/>
  <c r="P421" i="2"/>
  <c r="BO420" i="2"/>
  <c r="BM420" i="2"/>
  <c r="Y420" i="2"/>
  <c r="P420" i="2"/>
  <c r="X416" i="2"/>
  <c r="X415" i="2"/>
  <c r="BO414" i="2"/>
  <c r="BM414" i="2"/>
  <c r="Y414" i="2"/>
  <c r="BP414" i="2" s="1"/>
  <c r="P414" i="2"/>
  <c r="X411" i="2"/>
  <c r="X410" i="2"/>
  <c r="BO409" i="2"/>
  <c r="BM409" i="2"/>
  <c r="Y409" i="2"/>
  <c r="P409" i="2"/>
  <c r="BO408" i="2"/>
  <c r="BM408" i="2"/>
  <c r="Y408" i="2"/>
  <c r="P408" i="2"/>
  <c r="BO407" i="2"/>
  <c r="BM407" i="2"/>
  <c r="Y407" i="2"/>
  <c r="P407" i="2"/>
  <c r="BO406" i="2"/>
  <c r="BM406" i="2"/>
  <c r="Y406" i="2"/>
  <c r="Z406" i="2" s="1"/>
  <c r="P406" i="2"/>
  <c r="X404" i="2"/>
  <c r="X403" i="2"/>
  <c r="BO402" i="2"/>
  <c r="BM402" i="2"/>
  <c r="Y402" i="2"/>
  <c r="P402" i="2"/>
  <c r="Y399" i="2"/>
  <c r="X399" i="2"/>
  <c r="X398" i="2"/>
  <c r="BO397" i="2"/>
  <c r="BM397" i="2"/>
  <c r="Y397" i="2"/>
  <c r="Z397" i="2" s="1"/>
  <c r="P397" i="2"/>
  <c r="BO396" i="2"/>
  <c r="BN396" i="2"/>
  <c r="BM396" i="2"/>
  <c r="Z396" i="2"/>
  <c r="Z398" i="2" s="1"/>
  <c r="Y396" i="2"/>
  <c r="Y398" i="2" s="1"/>
  <c r="P396" i="2"/>
  <c r="X394" i="2"/>
  <c r="X393" i="2"/>
  <c r="BO392" i="2"/>
  <c r="BM392" i="2"/>
  <c r="Y392" i="2"/>
  <c r="BP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Z387" i="2" s="1"/>
  <c r="P387" i="2"/>
  <c r="BO386" i="2"/>
  <c r="BN386" i="2"/>
  <c r="BM386" i="2"/>
  <c r="Z386" i="2"/>
  <c r="Y386" i="2"/>
  <c r="BP386" i="2" s="1"/>
  <c r="P386" i="2"/>
  <c r="BO385" i="2"/>
  <c r="BM385" i="2"/>
  <c r="Y385" i="2"/>
  <c r="P385" i="2"/>
  <c r="BO384" i="2"/>
  <c r="BM384" i="2"/>
  <c r="Y384" i="2"/>
  <c r="Y393" i="2" s="1"/>
  <c r="P384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Y375" i="2"/>
  <c r="X375" i="2"/>
  <c r="X374" i="2"/>
  <c r="BO373" i="2"/>
  <c r="BN373" i="2"/>
  <c r="BM373" i="2"/>
  <c r="Z373" i="2"/>
  <c r="Y373" i="2"/>
  <c r="BP373" i="2" s="1"/>
  <c r="P373" i="2"/>
  <c r="BO372" i="2"/>
  <c r="BM372" i="2"/>
  <c r="Y372" i="2"/>
  <c r="P372" i="2"/>
  <c r="X370" i="2"/>
  <c r="X369" i="2"/>
  <c r="BO368" i="2"/>
  <c r="BM368" i="2"/>
  <c r="Z368" i="2"/>
  <c r="Y368" i="2"/>
  <c r="BN368" i="2" s="1"/>
  <c r="P368" i="2"/>
  <c r="BO367" i="2"/>
  <c r="BM367" i="2"/>
  <c r="Y367" i="2"/>
  <c r="P367" i="2"/>
  <c r="X364" i="2"/>
  <c r="X363" i="2"/>
  <c r="BO362" i="2"/>
  <c r="BM362" i="2"/>
  <c r="Y362" i="2"/>
  <c r="P362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Z352" i="2"/>
  <c r="Y352" i="2"/>
  <c r="BN352" i="2" s="1"/>
  <c r="P352" i="2"/>
  <c r="X350" i="2"/>
  <c r="X349" i="2"/>
  <c r="BO348" i="2"/>
  <c r="BM348" i="2"/>
  <c r="Y348" i="2"/>
  <c r="P348" i="2"/>
  <c r="BO347" i="2"/>
  <c r="BM347" i="2"/>
  <c r="Y347" i="2"/>
  <c r="BP347" i="2" s="1"/>
  <c r="P347" i="2"/>
  <c r="BP346" i="2"/>
  <c r="BO346" i="2"/>
  <c r="BN346" i="2"/>
  <c r="BM346" i="2"/>
  <c r="Z346" i="2"/>
  <c r="Y346" i="2"/>
  <c r="P346" i="2"/>
  <c r="BO345" i="2"/>
  <c r="BM345" i="2"/>
  <c r="Z345" i="2"/>
  <c r="Y345" i="2"/>
  <c r="BN345" i="2" s="1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BP342" i="2" s="1"/>
  <c r="P342" i="2"/>
  <c r="X338" i="2"/>
  <c r="X337" i="2"/>
  <c r="BO336" i="2"/>
  <c r="BM336" i="2"/>
  <c r="Y336" i="2"/>
  <c r="P336" i="2"/>
  <c r="BO335" i="2"/>
  <c r="BM335" i="2"/>
  <c r="Y335" i="2"/>
  <c r="P335" i="2"/>
  <c r="BP334" i="2"/>
  <c r="BO334" i="2"/>
  <c r="BN334" i="2"/>
  <c r="BM334" i="2"/>
  <c r="Z334" i="2"/>
  <c r="Y334" i="2"/>
  <c r="P334" i="2"/>
  <c r="X331" i="2"/>
  <c r="X330" i="2"/>
  <c r="BO329" i="2"/>
  <c r="BM329" i="2"/>
  <c r="Y329" i="2"/>
  <c r="P329" i="2"/>
  <c r="BO328" i="2"/>
  <c r="BM328" i="2"/>
  <c r="Y328" i="2"/>
  <c r="P328" i="2"/>
  <c r="BO327" i="2"/>
  <c r="BM327" i="2"/>
  <c r="Y327" i="2"/>
  <c r="Z327" i="2" s="1"/>
  <c r="P327" i="2"/>
  <c r="X325" i="2"/>
  <c r="X324" i="2"/>
  <c r="BO323" i="2"/>
  <c r="BM323" i="2"/>
  <c r="Y323" i="2"/>
  <c r="Z323" i="2" s="1"/>
  <c r="P323" i="2"/>
  <c r="BO322" i="2"/>
  <c r="BM322" i="2"/>
  <c r="Y322" i="2"/>
  <c r="Z322" i="2" s="1"/>
  <c r="P322" i="2"/>
  <c r="BO321" i="2"/>
  <c r="BM321" i="2"/>
  <c r="Y321" i="2"/>
  <c r="BO320" i="2"/>
  <c r="BM320" i="2"/>
  <c r="Y320" i="2"/>
  <c r="P320" i="2"/>
  <c r="X318" i="2"/>
  <c r="X317" i="2"/>
  <c r="BO316" i="2"/>
  <c r="BN316" i="2"/>
  <c r="BM316" i="2"/>
  <c r="Z316" i="2"/>
  <c r="Y316" i="2"/>
  <c r="BP316" i="2" s="1"/>
  <c r="P316" i="2"/>
  <c r="BO315" i="2"/>
  <c r="BM315" i="2"/>
  <c r="Y315" i="2"/>
  <c r="P315" i="2"/>
  <c r="BO314" i="2"/>
  <c r="BM314" i="2"/>
  <c r="Y314" i="2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Z308" i="2" s="1"/>
  <c r="P308" i="2"/>
  <c r="BO307" i="2"/>
  <c r="BM307" i="2"/>
  <c r="Y307" i="2"/>
  <c r="Z307" i="2" s="1"/>
  <c r="P307" i="2"/>
  <c r="BO306" i="2"/>
  <c r="BM306" i="2"/>
  <c r="Y306" i="2"/>
  <c r="P306" i="2"/>
  <c r="X304" i="2"/>
  <c r="X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Z298" i="2" s="1"/>
  <c r="P298" i="2"/>
  <c r="BO297" i="2"/>
  <c r="BM297" i="2"/>
  <c r="Y297" i="2"/>
  <c r="Z297" i="2" s="1"/>
  <c r="P297" i="2"/>
  <c r="BO296" i="2"/>
  <c r="BM296" i="2"/>
  <c r="Y296" i="2"/>
  <c r="P296" i="2"/>
  <c r="X294" i="2"/>
  <c r="X293" i="2"/>
  <c r="BO292" i="2"/>
  <c r="BM292" i="2"/>
  <c r="Y292" i="2"/>
  <c r="BP292" i="2" s="1"/>
  <c r="P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Z288" i="2" s="1"/>
  <c r="P288" i="2"/>
  <c r="X285" i="2"/>
  <c r="X284" i="2"/>
  <c r="BO283" i="2"/>
  <c r="BM283" i="2"/>
  <c r="Y283" i="2"/>
  <c r="P283" i="2"/>
  <c r="X281" i="2"/>
  <c r="X280" i="2"/>
  <c r="BO279" i="2"/>
  <c r="BM279" i="2"/>
  <c r="Y279" i="2"/>
  <c r="P279" i="2"/>
  <c r="BO278" i="2"/>
  <c r="BM278" i="2"/>
  <c r="Y278" i="2"/>
  <c r="P278" i="2"/>
  <c r="Y275" i="2"/>
  <c r="X275" i="2"/>
  <c r="X274" i="2"/>
  <c r="BO273" i="2"/>
  <c r="BM273" i="2"/>
  <c r="Y273" i="2"/>
  <c r="Z273" i="2" s="1"/>
  <c r="P273" i="2"/>
  <c r="BO272" i="2"/>
  <c r="BN272" i="2"/>
  <c r="BM272" i="2"/>
  <c r="Z272" i="2"/>
  <c r="Y272" i="2"/>
  <c r="P272" i="2"/>
  <c r="BO271" i="2"/>
  <c r="BM271" i="2"/>
  <c r="Y271" i="2"/>
  <c r="P271" i="2"/>
  <c r="X268" i="2"/>
  <c r="X267" i="2"/>
  <c r="BO266" i="2"/>
  <c r="BM266" i="2"/>
  <c r="Y266" i="2"/>
  <c r="Z266" i="2" s="1"/>
  <c r="P266" i="2"/>
  <c r="BO265" i="2"/>
  <c r="BM265" i="2"/>
  <c r="Y265" i="2"/>
  <c r="BP265" i="2" s="1"/>
  <c r="P265" i="2"/>
  <c r="BO264" i="2"/>
  <c r="BM264" i="2"/>
  <c r="Y264" i="2"/>
  <c r="P264" i="2"/>
  <c r="BO263" i="2"/>
  <c r="BM263" i="2"/>
  <c r="Y263" i="2"/>
  <c r="Z263" i="2" s="1"/>
  <c r="P263" i="2"/>
  <c r="X260" i="2"/>
  <c r="X259" i="2"/>
  <c r="BO258" i="2"/>
  <c r="BM258" i="2"/>
  <c r="Y258" i="2"/>
  <c r="P258" i="2"/>
  <c r="BO257" i="2"/>
  <c r="BM257" i="2"/>
  <c r="Y257" i="2"/>
  <c r="Z257" i="2" s="1"/>
  <c r="P257" i="2"/>
  <c r="BO256" i="2"/>
  <c r="BM256" i="2"/>
  <c r="Y256" i="2"/>
  <c r="BP256" i="2" s="1"/>
  <c r="P256" i="2"/>
  <c r="BO255" i="2"/>
  <c r="BM255" i="2"/>
  <c r="Y255" i="2"/>
  <c r="BP255" i="2" s="1"/>
  <c r="P255" i="2"/>
  <c r="BO254" i="2"/>
  <c r="BM254" i="2"/>
  <c r="Y254" i="2"/>
  <c r="BP254" i="2" s="1"/>
  <c r="P254" i="2"/>
  <c r="X251" i="2"/>
  <c r="X250" i="2"/>
  <c r="BO249" i="2"/>
  <c r="BN249" i="2"/>
  <c r="BM249" i="2"/>
  <c r="Z249" i="2"/>
  <c r="Y249" i="2"/>
  <c r="BP249" i="2" s="1"/>
  <c r="P249" i="2"/>
  <c r="BO248" i="2"/>
  <c r="BN248" i="2"/>
  <c r="BM248" i="2"/>
  <c r="Z248" i="2"/>
  <c r="Y248" i="2"/>
  <c r="BP248" i="2" s="1"/>
  <c r="P248" i="2"/>
  <c r="BO247" i="2"/>
  <c r="BM247" i="2"/>
  <c r="Y247" i="2"/>
  <c r="Z247" i="2" s="1"/>
  <c r="P247" i="2"/>
  <c r="BO246" i="2"/>
  <c r="BM246" i="2"/>
  <c r="Y246" i="2"/>
  <c r="Z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P241" i="2"/>
  <c r="Y239" i="2"/>
  <c r="X239" i="2"/>
  <c r="Y238" i="2"/>
  <c r="X238" i="2"/>
  <c r="BP237" i="2"/>
  <c r="BO237" i="2"/>
  <c r="BN237" i="2"/>
  <c r="BM237" i="2"/>
  <c r="Z237" i="2"/>
  <c r="Z238" i="2" s="1"/>
  <c r="Y237" i="2"/>
  <c r="P237" i="2"/>
  <c r="X235" i="2"/>
  <c r="X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Z229" i="2" s="1"/>
  <c r="P229" i="2"/>
  <c r="BO228" i="2"/>
  <c r="BM228" i="2"/>
  <c r="Y228" i="2"/>
  <c r="Z228" i="2" s="1"/>
  <c r="P228" i="2"/>
  <c r="BP227" i="2"/>
  <c r="BO227" i="2"/>
  <c r="BN227" i="2"/>
  <c r="BM227" i="2"/>
  <c r="Z227" i="2"/>
  <c r="Y227" i="2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BP224" i="2" s="1"/>
  <c r="P224" i="2"/>
  <c r="X221" i="2"/>
  <c r="X220" i="2"/>
  <c r="BO219" i="2"/>
  <c r="BM219" i="2"/>
  <c r="Y219" i="2"/>
  <c r="P219" i="2"/>
  <c r="BO218" i="2"/>
  <c r="BM218" i="2"/>
  <c r="Y218" i="2"/>
  <c r="Z218" i="2" s="1"/>
  <c r="P218" i="2"/>
  <c r="X216" i="2"/>
  <c r="X215" i="2"/>
  <c r="BO214" i="2"/>
  <c r="BM214" i="2"/>
  <c r="Z214" i="2"/>
  <c r="Y214" i="2"/>
  <c r="P214" i="2"/>
  <c r="BO213" i="2"/>
  <c r="BM213" i="2"/>
  <c r="Y213" i="2"/>
  <c r="Z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BO210" i="2"/>
  <c r="BM210" i="2"/>
  <c r="Y210" i="2"/>
  <c r="BP210" i="2" s="1"/>
  <c r="P210" i="2"/>
  <c r="BO209" i="2"/>
  <c r="BM209" i="2"/>
  <c r="Z209" i="2"/>
  <c r="Y209" i="2"/>
  <c r="P209" i="2"/>
  <c r="BO208" i="2"/>
  <c r="BM208" i="2"/>
  <c r="Y208" i="2"/>
  <c r="Z208" i="2" s="1"/>
  <c r="P208" i="2"/>
  <c r="BO207" i="2"/>
  <c r="BM207" i="2"/>
  <c r="Y207" i="2"/>
  <c r="Z207" i="2" s="1"/>
  <c r="P207" i="2"/>
  <c r="BO206" i="2"/>
  <c r="BM206" i="2"/>
  <c r="Y206" i="2"/>
  <c r="Y215" i="2" s="1"/>
  <c r="P206" i="2"/>
  <c r="X204" i="2"/>
  <c r="X203" i="2"/>
  <c r="BO202" i="2"/>
  <c r="BM202" i="2"/>
  <c r="Y202" i="2"/>
  <c r="BP202" i="2" s="1"/>
  <c r="P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Z199" i="2"/>
  <c r="Y199" i="2"/>
  <c r="P199" i="2"/>
  <c r="BO198" i="2"/>
  <c r="BM198" i="2"/>
  <c r="Y198" i="2"/>
  <c r="Z198" i="2" s="1"/>
  <c r="P198" i="2"/>
  <c r="BO197" i="2"/>
  <c r="BM197" i="2"/>
  <c r="Y197" i="2"/>
  <c r="Z197" i="2" s="1"/>
  <c r="P197" i="2"/>
  <c r="BO196" i="2"/>
  <c r="BM196" i="2"/>
  <c r="Y196" i="2"/>
  <c r="BP196" i="2" s="1"/>
  <c r="P196" i="2"/>
  <c r="BP195" i="2"/>
  <c r="BO195" i="2"/>
  <c r="BN195" i="2"/>
  <c r="BM195" i="2"/>
  <c r="Z195" i="2"/>
  <c r="Y195" i="2"/>
  <c r="P195" i="2"/>
  <c r="X193" i="2"/>
  <c r="X192" i="2"/>
  <c r="BO191" i="2"/>
  <c r="BM191" i="2"/>
  <c r="Y191" i="2"/>
  <c r="BN191" i="2" s="1"/>
  <c r="P191" i="2"/>
  <c r="BO190" i="2"/>
  <c r="BM190" i="2"/>
  <c r="Y190" i="2"/>
  <c r="BP190" i="2" s="1"/>
  <c r="P190" i="2"/>
  <c r="X188" i="2"/>
  <c r="X187" i="2"/>
  <c r="BO186" i="2"/>
  <c r="BM186" i="2"/>
  <c r="Y186" i="2"/>
  <c r="BP186" i="2" s="1"/>
  <c r="P186" i="2"/>
  <c r="BO185" i="2"/>
  <c r="BM185" i="2"/>
  <c r="Y185" i="2"/>
  <c r="BP185" i="2" s="1"/>
  <c r="P185" i="2"/>
  <c r="X182" i="2"/>
  <c r="X181" i="2"/>
  <c r="BO180" i="2"/>
  <c r="BM180" i="2"/>
  <c r="Y180" i="2"/>
  <c r="Y181" i="2" s="1"/>
  <c r="P180" i="2"/>
  <c r="X178" i="2"/>
  <c r="X177" i="2"/>
  <c r="BO176" i="2"/>
  <c r="BM176" i="2"/>
  <c r="Y176" i="2"/>
  <c r="P176" i="2"/>
  <c r="BO175" i="2"/>
  <c r="BM175" i="2"/>
  <c r="Y175" i="2"/>
  <c r="Z175" i="2" s="1"/>
  <c r="P175" i="2"/>
  <c r="BO174" i="2"/>
  <c r="BM174" i="2"/>
  <c r="Y174" i="2"/>
  <c r="Z174" i="2" s="1"/>
  <c r="P174" i="2"/>
  <c r="X172" i="2"/>
  <c r="X171" i="2"/>
  <c r="BO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Z168" i="2" s="1"/>
  <c r="P168" i="2"/>
  <c r="BO167" i="2"/>
  <c r="BM167" i="2"/>
  <c r="Y167" i="2"/>
  <c r="BP167" i="2" s="1"/>
  <c r="P167" i="2"/>
  <c r="BO166" i="2"/>
  <c r="BM166" i="2"/>
  <c r="Y166" i="2"/>
  <c r="P166" i="2"/>
  <c r="BO165" i="2"/>
  <c r="BM165" i="2"/>
  <c r="Y165" i="2"/>
  <c r="Z165" i="2" s="1"/>
  <c r="P165" i="2"/>
  <c r="BO164" i="2"/>
  <c r="BM164" i="2"/>
  <c r="Y164" i="2"/>
  <c r="Z164" i="2" s="1"/>
  <c r="P164" i="2"/>
  <c r="BP163" i="2"/>
  <c r="BO163" i="2"/>
  <c r="BN163" i="2"/>
  <c r="BM163" i="2"/>
  <c r="Z163" i="2"/>
  <c r="Y163" i="2"/>
  <c r="P163" i="2"/>
  <c r="BO162" i="2"/>
  <c r="BM162" i="2"/>
  <c r="Y162" i="2"/>
  <c r="BP162" i="2" s="1"/>
  <c r="P162" i="2"/>
  <c r="X160" i="2"/>
  <c r="X159" i="2"/>
  <c r="BO158" i="2"/>
  <c r="BM158" i="2"/>
  <c r="Y158" i="2"/>
  <c r="BN158" i="2" s="1"/>
  <c r="P158" i="2"/>
  <c r="X154" i="2"/>
  <c r="Y153" i="2"/>
  <c r="X153" i="2"/>
  <c r="BO152" i="2"/>
  <c r="BM152" i="2"/>
  <c r="Z152" i="2"/>
  <c r="Z153" i="2" s="1"/>
  <c r="Y152" i="2"/>
  <c r="Y154" i="2" s="1"/>
  <c r="X150" i="2"/>
  <c r="X149" i="2"/>
  <c r="BO148" i="2"/>
  <c r="BM148" i="2"/>
  <c r="Y148" i="2"/>
  <c r="P148" i="2"/>
  <c r="BO147" i="2"/>
  <c r="BM147" i="2"/>
  <c r="Y147" i="2"/>
  <c r="BP147" i="2" s="1"/>
  <c r="P147" i="2"/>
  <c r="BP146" i="2"/>
  <c r="BO146" i="2"/>
  <c r="BN146" i="2"/>
  <c r="BM146" i="2"/>
  <c r="Z146" i="2"/>
  <c r="Y146" i="2"/>
  <c r="P146" i="2"/>
  <c r="X144" i="2"/>
  <c r="X143" i="2"/>
  <c r="BO142" i="2"/>
  <c r="BM142" i="2"/>
  <c r="Y142" i="2"/>
  <c r="P142" i="2"/>
  <c r="BO141" i="2"/>
  <c r="BM141" i="2"/>
  <c r="Y141" i="2"/>
  <c r="BP141" i="2" s="1"/>
  <c r="P141" i="2"/>
  <c r="BO140" i="2"/>
  <c r="BM140" i="2"/>
  <c r="Y140" i="2"/>
  <c r="Z140" i="2" s="1"/>
  <c r="P140" i="2"/>
  <c r="X137" i="2"/>
  <c r="X136" i="2"/>
  <c r="BO135" i="2"/>
  <c r="BM135" i="2"/>
  <c r="Y135" i="2"/>
  <c r="Z135" i="2" s="1"/>
  <c r="P135" i="2"/>
  <c r="BO134" i="2"/>
  <c r="BM134" i="2"/>
  <c r="Y134" i="2"/>
  <c r="Z134" i="2" s="1"/>
  <c r="P134" i="2"/>
  <c r="X132" i="2"/>
  <c r="X131" i="2"/>
  <c r="BO130" i="2"/>
  <c r="BM130" i="2"/>
  <c r="Y130" i="2"/>
  <c r="Z130" i="2" s="1"/>
  <c r="P130" i="2"/>
  <c r="BO129" i="2"/>
  <c r="BM129" i="2"/>
  <c r="Y129" i="2"/>
  <c r="P129" i="2"/>
  <c r="X127" i="2"/>
  <c r="X126" i="2"/>
  <c r="BO125" i="2"/>
  <c r="BM125" i="2"/>
  <c r="Y125" i="2"/>
  <c r="Y127" i="2" s="1"/>
  <c r="P125" i="2"/>
  <c r="BO124" i="2"/>
  <c r="BM124" i="2"/>
  <c r="Z124" i="2"/>
  <c r="Y124" i="2"/>
  <c r="P124" i="2"/>
  <c r="X121" i="2"/>
  <c r="Y120" i="2"/>
  <c r="X120" i="2"/>
  <c r="BP119" i="2"/>
  <c r="BO119" i="2"/>
  <c r="BN119" i="2"/>
  <c r="BM119" i="2"/>
  <c r="Z119" i="2"/>
  <c r="Z120" i="2" s="1"/>
  <c r="Y119" i="2"/>
  <c r="Y121" i="2" s="1"/>
  <c r="P119" i="2"/>
  <c r="X117" i="2"/>
  <c r="X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Y112" i="2"/>
  <c r="Z112" i="2" s="1"/>
  <c r="P112" i="2"/>
  <c r="X110" i="2"/>
  <c r="X109" i="2"/>
  <c r="BO108" i="2"/>
  <c r="BM108" i="2"/>
  <c r="Y108" i="2"/>
  <c r="P108" i="2"/>
  <c r="BO107" i="2"/>
  <c r="BM107" i="2"/>
  <c r="Y107" i="2"/>
  <c r="Z107" i="2" s="1"/>
  <c r="P107" i="2"/>
  <c r="BO106" i="2"/>
  <c r="BM106" i="2"/>
  <c r="Y106" i="2"/>
  <c r="Y110" i="2" s="1"/>
  <c r="P106" i="2"/>
  <c r="X104" i="2"/>
  <c r="X103" i="2"/>
  <c r="BP102" i="2"/>
  <c r="BO102" i="2"/>
  <c r="BM102" i="2"/>
  <c r="Y102" i="2"/>
  <c r="P102" i="2"/>
  <c r="BO101" i="2"/>
  <c r="BM101" i="2"/>
  <c r="Y101" i="2"/>
  <c r="BP101" i="2" s="1"/>
  <c r="P101" i="2"/>
  <c r="BP100" i="2"/>
  <c r="BO100" i="2"/>
  <c r="BN100" i="2"/>
  <c r="BM100" i="2"/>
  <c r="Z100" i="2"/>
  <c r="Y100" i="2"/>
  <c r="P100" i="2"/>
  <c r="BO99" i="2"/>
  <c r="BN99" i="2"/>
  <c r="BM99" i="2"/>
  <c r="Z99" i="2"/>
  <c r="Y99" i="2"/>
  <c r="P99" i="2"/>
  <c r="X96" i="2"/>
  <c r="X95" i="2"/>
  <c r="BO94" i="2"/>
  <c r="BM94" i="2"/>
  <c r="Y94" i="2"/>
  <c r="BP94" i="2" s="1"/>
  <c r="P94" i="2"/>
  <c r="BO93" i="2"/>
  <c r="BM93" i="2"/>
  <c r="Y93" i="2"/>
  <c r="BN93" i="2" s="1"/>
  <c r="P93" i="2"/>
  <c r="BO92" i="2"/>
  <c r="BM92" i="2"/>
  <c r="Z92" i="2"/>
  <c r="Y92" i="2"/>
  <c r="BN92" i="2" s="1"/>
  <c r="P92" i="2"/>
  <c r="BO91" i="2"/>
  <c r="BM91" i="2"/>
  <c r="Y91" i="2"/>
  <c r="P91" i="2"/>
  <c r="X89" i="2"/>
  <c r="X88" i="2"/>
  <c r="BO87" i="2"/>
  <c r="BM87" i="2"/>
  <c r="Y87" i="2"/>
  <c r="BP87" i="2" s="1"/>
  <c r="P87" i="2"/>
  <c r="BP86" i="2"/>
  <c r="BO86" i="2"/>
  <c r="BN86" i="2"/>
  <c r="BM86" i="2"/>
  <c r="Z86" i="2"/>
  <c r="Y86" i="2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X77" i="2"/>
  <c r="X76" i="2"/>
  <c r="BP75" i="2"/>
  <c r="BO75" i="2"/>
  <c r="BN75" i="2"/>
  <c r="BM75" i="2"/>
  <c r="Z75" i="2"/>
  <c r="Y75" i="2"/>
  <c r="P75" i="2"/>
  <c r="BO74" i="2"/>
  <c r="BM74" i="2"/>
  <c r="Y74" i="2"/>
  <c r="Z74" i="2" s="1"/>
  <c r="P74" i="2"/>
  <c r="BO73" i="2"/>
  <c r="BM73" i="2"/>
  <c r="Y73" i="2"/>
  <c r="Z73" i="2" s="1"/>
  <c r="P73" i="2"/>
  <c r="BO72" i="2"/>
  <c r="BM72" i="2"/>
  <c r="Y72" i="2"/>
  <c r="P72" i="2"/>
  <c r="X70" i="2"/>
  <c r="X69" i="2"/>
  <c r="BO68" i="2"/>
  <c r="BM68" i="2"/>
  <c r="Y68" i="2"/>
  <c r="P68" i="2"/>
  <c r="BO67" i="2"/>
  <c r="BM67" i="2"/>
  <c r="Z67" i="2"/>
  <c r="Y67" i="2"/>
  <c r="BP67" i="2" s="1"/>
  <c r="P67" i="2"/>
  <c r="BO66" i="2"/>
  <c r="BM66" i="2"/>
  <c r="Y66" i="2"/>
  <c r="BP66" i="2" s="1"/>
  <c r="P66" i="2"/>
  <c r="X64" i="2"/>
  <c r="X63" i="2"/>
  <c r="BO62" i="2"/>
  <c r="BM62" i="2"/>
  <c r="Y62" i="2"/>
  <c r="P62" i="2"/>
  <c r="BP61" i="2"/>
  <c r="BO61" i="2"/>
  <c r="BN61" i="2"/>
  <c r="BM61" i="2"/>
  <c r="Z61" i="2"/>
  <c r="Y61" i="2"/>
  <c r="P61" i="2"/>
  <c r="BO60" i="2"/>
  <c r="BM60" i="2"/>
  <c r="Z60" i="2"/>
  <c r="Y60" i="2"/>
  <c r="BP60" i="2" s="1"/>
  <c r="P60" i="2"/>
  <c r="X58" i="2"/>
  <c r="X57" i="2"/>
  <c r="BO56" i="2"/>
  <c r="BM56" i="2"/>
  <c r="Y56" i="2"/>
  <c r="Z56" i="2" s="1"/>
  <c r="P56" i="2"/>
  <c r="BO55" i="2"/>
  <c r="BM55" i="2"/>
  <c r="Y55" i="2"/>
  <c r="Z55" i="2" s="1"/>
  <c r="P55" i="2"/>
  <c r="BO54" i="2"/>
  <c r="BM54" i="2"/>
  <c r="Y54" i="2"/>
  <c r="BP54" i="2" s="1"/>
  <c r="P54" i="2"/>
  <c r="BP53" i="2"/>
  <c r="BO53" i="2"/>
  <c r="BN53" i="2"/>
  <c r="BM53" i="2"/>
  <c r="Z53" i="2"/>
  <c r="Y53" i="2"/>
  <c r="P53" i="2"/>
  <c r="BO52" i="2"/>
  <c r="BM52" i="2"/>
  <c r="Y52" i="2"/>
  <c r="P52" i="2"/>
  <c r="BO51" i="2"/>
  <c r="BM51" i="2"/>
  <c r="Y51" i="2"/>
  <c r="Y58" i="2" s="1"/>
  <c r="P51" i="2"/>
  <c r="X48" i="2"/>
  <c r="X47" i="2"/>
  <c r="BO46" i="2"/>
  <c r="BM46" i="2"/>
  <c r="Y46" i="2"/>
  <c r="BN46" i="2" s="1"/>
  <c r="P46" i="2"/>
  <c r="X44" i="2"/>
  <c r="X43" i="2"/>
  <c r="BP42" i="2"/>
  <c r="BO42" i="2"/>
  <c r="BN42" i="2"/>
  <c r="BM42" i="2"/>
  <c r="Z42" i="2"/>
  <c r="Y42" i="2"/>
  <c r="P42" i="2"/>
  <c r="BO41" i="2"/>
  <c r="BM41" i="2"/>
  <c r="Y41" i="2"/>
  <c r="P41" i="2"/>
  <c r="BO40" i="2"/>
  <c r="BM40" i="2"/>
  <c r="Y40" i="2"/>
  <c r="Z40" i="2" s="1"/>
  <c r="P40" i="2"/>
  <c r="X36" i="2"/>
  <c r="X35" i="2"/>
  <c r="BO34" i="2"/>
  <c r="BM34" i="2"/>
  <c r="Y34" i="2"/>
  <c r="Z34" i="2" s="1"/>
  <c r="Z35" i="2" s="1"/>
  <c r="P34" i="2"/>
  <c r="X32" i="2"/>
  <c r="X31" i="2"/>
  <c r="BO30" i="2"/>
  <c r="BM30" i="2"/>
  <c r="Y30" i="2"/>
  <c r="Z30" i="2" s="1"/>
  <c r="P30" i="2"/>
  <c r="BP29" i="2"/>
  <c r="BO29" i="2"/>
  <c r="BN29" i="2"/>
  <c r="BM29" i="2"/>
  <c r="Z29" i="2"/>
  <c r="Y29" i="2"/>
  <c r="P29" i="2"/>
  <c r="BO28" i="2"/>
  <c r="BM28" i="2"/>
  <c r="Y28" i="2"/>
  <c r="BP28" i="2" s="1"/>
  <c r="P28" i="2"/>
  <c r="BO27" i="2"/>
  <c r="BM27" i="2"/>
  <c r="Y27" i="2"/>
  <c r="P27" i="2"/>
  <c r="BP26" i="2"/>
  <c r="BO26" i="2"/>
  <c r="BN26" i="2"/>
  <c r="BM26" i="2"/>
  <c r="Z26" i="2"/>
  <c r="Y26" i="2"/>
  <c r="Y32" i="2" s="1"/>
  <c r="P26" i="2"/>
  <c r="X24" i="2"/>
  <c r="X23" i="2"/>
  <c r="BO22" i="2"/>
  <c r="BM22" i="2"/>
  <c r="Y22" i="2"/>
  <c r="P22" i="2"/>
  <c r="H10" i="2"/>
  <c r="A9" i="2"/>
  <c r="H9" i="2" s="1"/>
  <c r="D7" i="2"/>
  <c r="Q6" i="2"/>
  <c r="P2" i="2"/>
  <c r="A10" i="2" l="1"/>
  <c r="BN30" i="2"/>
  <c r="BP30" i="2"/>
  <c r="BN80" i="2"/>
  <c r="BP93" i="2"/>
  <c r="Y103" i="2"/>
  <c r="Y104" i="2"/>
  <c r="BN114" i="2"/>
  <c r="Y126" i="2"/>
  <c r="BN134" i="2"/>
  <c r="BP134" i="2"/>
  <c r="Z136" i="2"/>
  <c r="BN135" i="2"/>
  <c r="BP135" i="2"/>
  <c r="Y136" i="2"/>
  <c r="Y137" i="2"/>
  <c r="BP140" i="2"/>
  <c r="Y150" i="2"/>
  <c r="BN164" i="2"/>
  <c r="BP164" i="2"/>
  <c r="BN165" i="2"/>
  <c r="BP165" i="2"/>
  <c r="BN167" i="2"/>
  <c r="BN174" i="2"/>
  <c r="BP174" i="2"/>
  <c r="BN175" i="2"/>
  <c r="BP175" i="2"/>
  <c r="Y182" i="2"/>
  <c r="BN190" i="2"/>
  <c r="BN200" i="2"/>
  <c r="BN210" i="2"/>
  <c r="BN218" i="2"/>
  <c r="BP218" i="2"/>
  <c r="BN224" i="2"/>
  <c r="BN228" i="2"/>
  <c r="BP228" i="2"/>
  <c r="BN229" i="2"/>
  <c r="BP229" i="2"/>
  <c r="BN231" i="2"/>
  <c r="BN279" i="2"/>
  <c r="Z279" i="2"/>
  <c r="BP321" i="2"/>
  <c r="BN321" i="2"/>
  <c r="Z321" i="2"/>
  <c r="BN322" i="2"/>
  <c r="BP322" i="2"/>
  <c r="BN323" i="2"/>
  <c r="BP323" i="2"/>
  <c r="BN335" i="2"/>
  <c r="Z335" i="2"/>
  <c r="BP348" i="2"/>
  <c r="BN348" i="2"/>
  <c r="Z348" i="2"/>
  <c r="BP422" i="2"/>
  <c r="BN422" i="2"/>
  <c r="Z422" i="2"/>
  <c r="BN423" i="2"/>
  <c r="BP423" i="2"/>
  <c r="BN424" i="2"/>
  <c r="BP424" i="2"/>
  <c r="BN425" i="2"/>
  <c r="BN460" i="2"/>
  <c r="BP460" i="2"/>
  <c r="BN475" i="2"/>
  <c r="Y477" i="2"/>
  <c r="Y476" i="2"/>
  <c r="Z475" i="2"/>
  <c r="Z476" i="2" s="1"/>
  <c r="X489" i="2"/>
  <c r="Z28" i="2"/>
  <c r="BN28" i="2"/>
  <c r="Z46" i="2"/>
  <c r="Z47" i="2" s="1"/>
  <c r="Z51" i="2"/>
  <c r="BN51" i="2"/>
  <c r="BP51" i="2"/>
  <c r="Z54" i="2"/>
  <c r="BN54" i="2"/>
  <c r="BN55" i="2"/>
  <c r="BP55" i="2"/>
  <c r="BN56" i="2"/>
  <c r="BP56" i="2"/>
  <c r="Y57" i="2"/>
  <c r="Z66" i="2"/>
  <c r="BN66" i="2"/>
  <c r="Y81" i="2"/>
  <c r="Y82" i="2"/>
  <c r="Z87" i="2"/>
  <c r="BN87" i="2"/>
  <c r="Z93" i="2"/>
  <c r="Z94" i="2"/>
  <c r="BN94" i="2"/>
  <c r="Z101" i="2"/>
  <c r="BN112" i="2"/>
  <c r="BP112" i="2"/>
  <c r="Z141" i="2"/>
  <c r="BN141" i="2"/>
  <c r="Z147" i="2"/>
  <c r="Z162" i="2"/>
  <c r="BN162" i="2"/>
  <c r="BN168" i="2"/>
  <c r="Z180" i="2"/>
  <c r="Z181" i="2" s="1"/>
  <c r="BN180" i="2"/>
  <c r="BP180" i="2"/>
  <c r="Z185" i="2"/>
  <c r="BN185" i="2"/>
  <c r="Z186" i="2"/>
  <c r="Z187" i="2" s="1"/>
  <c r="BN186" i="2"/>
  <c r="Y187" i="2"/>
  <c r="Z196" i="2"/>
  <c r="BN196" i="2"/>
  <c r="BN197" i="2"/>
  <c r="BP197" i="2"/>
  <c r="BN198" i="2"/>
  <c r="BP198" i="2"/>
  <c r="BN201" i="2"/>
  <c r="Z206" i="2"/>
  <c r="BN206" i="2"/>
  <c r="BP206" i="2"/>
  <c r="BN207" i="2"/>
  <c r="BP207" i="2"/>
  <c r="BN208" i="2"/>
  <c r="BP208" i="2"/>
  <c r="Z226" i="2"/>
  <c r="BN226" i="2"/>
  <c r="BN255" i="2"/>
  <c r="BP271" i="2"/>
  <c r="BN271" i="2"/>
  <c r="Z271" i="2"/>
  <c r="BP279" i="2"/>
  <c r="BN288" i="2"/>
  <c r="BP288" i="2"/>
  <c r="BP289" i="2"/>
  <c r="Z289" i="2"/>
  <c r="BP296" i="2"/>
  <c r="BN296" i="2"/>
  <c r="Z296" i="2"/>
  <c r="BN297" i="2"/>
  <c r="BP297" i="2"/>
  <c r="BN298" i="2"/>
  <c r="BP298" i="2"/>
  <c r="Y303" i="2"/>
  <c r="Z299" i="2"/>
  <c r="BN301" i="2"/>
  <c r="BP301" i="2"/>
  <c r="BP306" i="2"/>
  <c r="BN306" i="2"/>
  <c r="Z306" i="2"/>
  <c r="BN307" i="2"/>
  <c r="BP307" i="2"/>
  <c r="BN308" i="2"/>
  <c r="BP308" i="2"/>
  <c r="BP309" i="2"/>
  <c r="Z309" i="2"/>
  <c r="Y311" i="2"/>
  <c r="Y312" i="2"/>
  <c r="BP315" i="2"/>
  <c r="BN315" i="2"/>
  <c r="Z315" i="2"/>
  <c r="BP327" i="2"/>
  <c r="BP328" i="2"/>
  <c r="BN328" i="2"/>
  <c r="Z328" i="2"/>
  <c r="BP335" i="2"/>
  <c r="Y363" i="2"/>
  <c r="Y364" i="2"/>
  <c r="BN362" i="2"/>
  <c r="BP362" i="2"/>
  <c r="Y379" i="2"/>
  <c r="Y380" i="2"/>
  <c r="BP385" i="2"/>
  <c r="BN385" i="2"/>
  <c r="Z385" i="2"/>
  <c r="BN391" i="2"/>
  <c r="BP408" i="2"/>
  <c r="BN408" i="2"/>
  <c r="Z408" i="2"/>
  <c r="BP409" i="2"/>
  <c r="BN409" i="2"/>
  <c r="Z409" i="2"/>
  <c r="Y432" i="2"/>
  <c r="Y437" i="2"/>
  <c r="Y438" i="2"/>
  <c r="BP441" i="2"/>
  <c r="BN441" i="2"/>
  <c r="Z441" i="2"/>
  <c r="BP449" i="2"/>
  <c r="BN449" i="2"/>
  <c r="Z449" i="2"/>
  <c r="Y453" i="2"/>
  <c r="Y461" i="2"/>
  <c r="Z457" i="2"/>
  <c r="BN470" i="2"/>
  <c r="BN254" i="2"/>
  <c r="Y260" i="2"/>
  <c r="BN263" i="2"/>
  <c r="BP263" i="2"/>
  <c r="BN265" i="2"/>
  <c r="Y274" i="2"/>
  <c r="BN273" i="2"/>
  <c r="BP273" i="2"/>
  <c r="BN290" i="2"/>
  <c r="BN300" i="2"/>
  <c r="BN310" i="2"/>
  <c r="BP345" i="2"/>
  <c r="BP352" i="2"/>
  <c r="Y359" i="2"/>
  <c r="BP368" i="2"/>
  <c r="BN387" i="2"/>
  <c r="BP387" i="2"/>
  <c r="BN388" i="2"/>
  <c r="BP388" i="2"/>
  <c r="BN389" i="2"/>
  <c r="BN397" i="2"/>
  <c r="BP397" i="2"/>
  <c r="Y415" i="2"/>
  <c r="Y416" i="2"/>
  <c r="BN427" i="2"/>
  <c r="BN434" i="2"/>
  <c r="BP434" i="2"/>
  <c r="BN435" i="2"/>
  <c r="BN443" i="2"/>
  <c r="BP443" i="2"/>
  <c r="BN444" i="2"/>
  <c r="BP444" i="2"/>
  <c r="BN445" i="2"/>
  <c r="BP451" i="2"/>
  <c r="Y472" i="2"/>
  <c r="BN471" i="2"/>
  <c r="W498" i="2"/>
  <c r="BP41" i="2"/>
  <c r="BN41" i="2"/>
  <c r="BP72" i="2"/>
  <c r="BN72" i="2"/>
  <c r="Z72" i="2"/>
  <c r="Z76" i="2" s="1"/>
  <c r="Y76" i="2"/>
  <c r="Y234" i="2"/>
  <c r="BP225" i="2"/>
  <c r="BN225" i="2"/>
  <c r="Z225" i="2"/>
  <c r="K498" i="2"/>
  <c r="BN266" i="2"/>
  <c r="Y369" i="2"/>
  <c r="T498" i="2"/>
  <c r="BP367" i="2"/>
  <c r="BN367" i="2"/>
  <c r="Y370" i="2"/>
  <c r="BN480" i="2"/>
  <c r="Z480" i="2"/>
  <c r="Z481" i="2" s="1"/>
  <c r="Y482" i="2"/>
  <c r="BP480" i="2"/>
  <c r="Y192" i="2"/>
  <c r="Z191" i="2"/>
  <c r="BN209" i="2"/>
  <c r="BP209" i="2"/>
  <c r="Z367" i="2"/>
  <c r="Z369" i="2" s="1"/>
  <c r="X490" i="2"/>
  <c r="X491" i="2" s="1"/>
  <c r="BP266" i="2"/>
  <c r="BP129" i="2"/>
  <c r="BN129" i="2"/>
  <c r="Z129" i="2"/>
  <c r="Z131" i="2" s="1"/>
  <c r="Y132" i="2"/>
  <c r="Y221" i="2"/>
  <c r="Y220" i="2"/>
  <c r="BP219" i="2"/>
  <c r="BN219" i="2"/>
  <c r="BN91" i="2"/>
  <c r="Z91" i="2"/>
  <c r="Z95" i="2" s="1"/>
  <c r="Y96" i="2"/>
  <c r="BP168" i="2"/>
  <c r="Z219" i="2"/>
  <c r="Z220" i="2" s="1"/>
  <c r="BN232" i="2"/>
  <c r="Y481" i="2"/>
  <c r="Y318" i="2"/>
  <c r="BP314" i="2"/>
  <c r="Y317" i="2"/>
  <c r="BN314" i="2"/>
  <c r="Z314" i="2"/>
  <c r="BP407" i="2"/>
  <c r="BN407" i="2"/>
  <c r="Z407" i="2"/>
  <c r="Z410" i="2" s="1"/>
  <c r="Y24" i="2"/>
  <c r="B498" i="2"/>
  <c r="Y23" i="2"/>
  <c r="BP22" i="2"/>
  <c r="X488" i="2"/>
  <c r="Z79" i="2"/>
  <c r="Z81" i="2" s="1"/>
  <c r="BP232" i="2"/>
  <c r="Y268" i="2"/>
  <c r="BP264" i="2"/>
  <c r="BN264" i="2"/>
  <c r="Y267" i="2"/>
  <c r="M498" i="2"/>
  <c r="Y284" i="2"/>
  <c r="BP283" i="2"/>
  <c r="BN283" i="2"/>
  <c r="Z283" i="2"/>
  <c r="Z284" i="2" s="1"/>
  <c r="BN320" i="2"/>
  <c r="Z320" i="2"/>
  <c r="Z324" i="2" s="1"/>
  <c r="Y325" i="2"/>
  <c r="Y324" i="2"/>
  <c r="E498" i="2"/>
  <c r="Y89" i="2"/>
  <c r="BP85" i="2"/>
  <c r="Y88" i="2"/>
  <c r="BN85" i="2"/>
  <c r="Z85" i="2"/>
  <c r="Z88" i="2" s="1"/>
  <c r="BN34" i="2"/>
  <c r="BN68" i="2"/>
  <c r="Z68" i="2"/>
  <c r="Z69" i="2" s="1"/>
  <c r="BP74" i="2"/>
  <c r="BN74" i="2"/>
  <c r="BP91" i="2"/>
  <c r="BP115" i="2"/>
  <c r="BP214" i="2"/>
  <c r="BN214" i="2"/>
  <c r="BN241" i="2"/>
  <c r="Z241" i="2"/>
  <c r="Z242" i="2" s="1"/>
  <c r="BP247" i="2"/>
  <c r="BN247" i="2"/>
  <c r="Z264" i="2"/>
  <c r="Z274" i="2"/>
  <c r="Z22" i="2"/>
  <c r="Z23" i="2" s="1"/>
  <c r="BN22" i="2"/>
  <c r="BP166" i="2"/>
  <c r="BN166" i="2"/>
  <c r="Y172" i="2"/>
  <c r="Y331" i="2"/>
  <c r="BP329" i="2"/>
  <c r="BN329" i="2"/>
  <c r="Z329" i="2"/>
  <c r="BP344" i="2"/>
  <c r="BN344" i="2"/>
  <c r="Z344" i="2"/>
  <c r="BN353" i="2"/>
  <c r="Z353" i="2"/>
  <c r="Z354" i="2" s="1"/>
  <c r="Y355" i="2"/>
  <c r="BP353" i="2"/>
  <c r="Y468" i="2"/>
  <c r="BP464" i="2"/>
  <c r="Y467" i="2"/>
  <c r="BN464" i="2"/>
  <c r="Z464" i="2"/>
  <c r="Z467" i="2" s="1"/>
  <c r="BP34" i="2"/>
  <c r="Y116" i="2"/>
  <c r="Y144" i="2"/>
  <c r="BP142" i="2"/>
  <c r="BN142" i="2"/>
  <c r="Z142" i="2"/>
  <c r="Z143" i="2" s="1"/>
  <c r="Y160" i="2"/>
  <c r="Z158" i="2"/>
  <c r="Z159" i="2" s="1"/>
  <c r="I498" i="2"/>
  <c r="Z166" i="2"/>
  <c r="BP320" i="2"/>
  <c r="BN79" i="2"/>
  <c r="BN148" i="2"/>
  <c r="Z148" i="2"/>
  <c r="Z149" i="2" s="1"/>
  <c r="BP201" i="2"/>
  <c r="Y235" i="2"/>
  <c r="BN230" i="2"/>
  <c r="BP230" i="2"/>
  <c r="BP241" i="2"/>
  <c r="BP258" i="2"/>
  <c r="BN258" i="2"/>
  <c r="Y280" i="2"/>
  <c r="BP278" i="2"/>
  <c r="P498" i="2"/>
  <c r="Y281" i="2"/>
  <c r="BN336" i="2"/>
  <c r="Z336" i="2"/>
  <c r="Z337" i="2" s="1"/>
  <c r="R498" i="2"/>
  <c r="Y338" i="2"/>
  <c r="BP336" i="2"/>
  <c r="BN458" i="2"/>
  <c r="Z458" i="2"/>
  <c r="Y462" i="2"/>
  <c r="BP458" i="2"/>
  <c r="Y95" i="2"/>
  <c r="Y131" i="2"/>
  <c r="Z230" i="2"/>
  <c r="Z258" i="2"/>
  <c r="Z278" i="2"/>
  <c r="Z280" i="2" s="1"/>
  <c r="Y285" i="2"/>
  <c r="Q498" i="2"/>
  <c r="Z291" i="2"/>
  <c r="BP430" i="2"/>
  <c r="BN430" i="2"/>
  <c r="Z430" i="2"/>
  <c r="BP191" i="2"/>
  <c r="BN115" i="2"/>
  <c r="Y64" i="2"/>
  <c r="BP62" i="2"/>
  <c r="BN62" i="2"/>
  <c r="Z62" i="2"/>
  <c r="Z63" i="2" s="1"/>
  <c r="G498" i="2"/>
  <c r="BN125" i="2"/>
  <c r="Z125" i="2"/>
  <c r="Z126" i="2" s="1"/>
  <c r="Y69" i="2"/>
  <c r="Y178" i="2"/>
  <c r="Y177" i="2"/>
  <c r="BP176" i="2"/>
  <c r="BN176" i="2"/>
  <c r="Y242" i="2"/>
  <c r="Y354" i="2"/>
  <c r="V498" i="2"/>
  <c r="Y404" i="2"/>
  <c r="BP402" i="2"/>
  <c r="Y403" i="2"/>
  <c r="BN402" i="2"/>
  <c r="Y77" i="2"/>
  <c r="Y44" i="2"/>
  <c r="BP148" i="2"/>
  <c r="BP158" i="2"/>
  <c r="Z176" i="2"/>
  <c r="Z177" i="2" s="1"/>
  <c r="Y204" i="2"/>
  <c r="BN211" i="2"/>
  <c r="Y216" i="2"/>
  <c r="BN278" i="2"/>
  <c r="BN291" i="2"/>
  <c r="Y330" i="2"/>
  <c r="BP372" i="2"/>
  <c r="BN372" i="2"/>
  <c r="Z372" i="2"/>
  <c r="Z374" i="2" s="1"/>
  <c r="Y374" i="2"/>
  <c r="Z402" i="2"/>
  <c r="Z403" i="2" s="1"/>
  <c r="Y36" i="2"/>
  <c r="Y35" i="2"/>
  <c r="BP106" i="2"/>
  <c r="Y109" i="2"/>
  <c r="BN106" i="2"/>
  <c r="Z106" i="2"/>
  <c r="Y63" i="2"/>
  <c r="D498" i="2"/>
  <c r="BP52" i="2"/>
  <c r="BN52" i="2"/>
  <c r="Z52" i="2"/>
  <c r="Z57" i="2" s="1"/>
  <c r="BP92" i="2"/>
  <c r="F498" i="2"/>
  <c r="BN102" i="2"/>
  <c r="Z102" i="2"/>
  <c r="Z103" i="2" s="1"/>
  <c r="BP108" i="2"/>
  <c r="BN108" i="2"/>
  <c r="BP125" i="2"/>
  <c r="Y143" i="2"/>
  <c r="Y171" i="2"/>
  <c r="Y203" i="2"/>
  <c r="BN199" i="2"/>
  <c r="BP199" i="2"/>
  <c r="L498" i="2"/>
  <c r="Z255" i="2"/>
  <c r="Y337" i="2"/>
  <c r="X498" i="2"/>
  <c r="BP459" i="2"/>
  <c r="BN459" i="2"/>
  <c r="Z41" i="2"/>
  <c r="Z43" i="2" s="1"/>
  <c r="X492" i="2"/>
  <c r="BP68" i="2"/>
  <c r="BP27" i="2"/>
  <c r="BN27" i="2"/>
  <c r="Z27" i="2"/>
  <c r="Z31" i="2" s="1"/>
  <c r="Y31" i="2"/>
  <c r="BN113" i="2"/>
  <c r="Y48" i="2"/>
  <c r="Y47" i="2"/>
  <c r="BP46" i="2"/>
  <c r="Y70" i="2"/>
  <c r="Z108" i="2"/>
  <c r="Y149" i="2"/>
  <c r="Y159" i="2"/>
  <c r="BP211" i="2"/>
  <c r="Y243" i="2"/>
  <c r="BP291" i="2"/>
  <c r="Z459" i="2"/>
  <c r="Y293" i="2"/>
  <c r="J9" i="2"/>
  <c r="BN40" i="2"/>
  <c r="Y43" i="2"/>
  <c r="BN73" i="2"/>
  <c r="BN107" i="2"/>
  <c r="BN130" i="2"/>
  <c r="BN170" i="2"/>
  <c r="BN213" i="2"/>
  <c r="Z224" i="2"/>
  <c r="BN246" i="2"/>
  <c r="BN257" i="2"/>
  <c r="Y294" i="2"/>
  <c r="Y304" i="2"/>
  <c r="BN343" i="2"/>
  <c r="BN358" i="2"/>
  <c r="Y394" i="2"/>
  <c r="BN406" i="2"/>
  <c r="BN429" i="2"/>
  <c r="BP475" i="2"/>
  <c r="Y487" i="2"/>
  <c r="H498" i="2"/>
  <c r="F10" i="2"/>
  <c r="BP40" i="2"/>
  <c r="BP73" i="2"/>
  <c r="BP107" i="2"/>
  <c r="BP130" i="2"/>
  <c r="BP170" i="2"/>
  <c r="BP213" i="2"/>
  <c r="BP246" i="2"/>
  <c r="BP257" i="2"/>
  <c r="BP343" i="2"/>
  <c r="Y349" i="2"/>
  <c r="BP358" i="2"/>
  <c r="Z391" i="2"/>
  <c r="BP406" i="2"/>
  <c r="Z427" i="2"/>
  <c r="BP429" i="2"/>
  <c r="Y452" i="2"/>
  <c r="Z471" i="2"/>
  <c r="J498" i="2"/>
  <c r="Y350" i="2"/>
  <c r="Z377" i="2"/>
  <c r="Z389" i="2"/>
  <c r="Z425" i="2"/>
  <c r="Z435" i="2"/>
  <c r="Z445" i="2"/>
  <c r="BP471" i="2"/>
  <c r="O498" i="2"/>
  <c r="Y250" i="2"/>
  <c r="BP272" i="2"/>
  <c r="Z347" i="2"/>
  <c r="Y360" i="2"/>
  <c r="Z384" i="2"/>
  <c r="BP396" i="2"/>
  <c r="Y410" i="2"/>
  <c r="Z420" i="2"/>
  <c r="Z440" i="2"/>
  <c r="Z450" i="2"/>
  <c r="Z452" i="2" s="1"/>
  <c r="BN299" i="2"/>
  <c r="BN377" i="2"/>
  <c r="Z169" i="2"/>
  <c r="Z245" i="2"/>
  <c r="Z250" i="2" s="1"/>
  <c r="Z256" i="2"/>
  <c r="Z302" i="2"/>
  <c r="Z342" i="2"/>
  <c r="BN384" i="2"/>
  <c r="Z392" i="2"/>
  <c r="BN420" i="2"/>
  <c r="Z428" i="2"/>
  <c r="BN440" i="2"/>
  <c r="BN450" i="2"/>
  <c r="Z485" i="2"/>
  <c r="Z486" i="2" s="1"/>
  <c r="BN289" i="2"/>
  <c r="BN309" i="2"/>
  <c r="Z202" i="2"/>
  <c r="Z212" i="2"/>
  <c r="Z233" i="2"/>
  <c r="Z292" i="2"/>
  <c r="BN347" i="2"/>
  <c r="Z357" i="2"/>
  <c r="Z359" i="2" s="1"/>
  <c r="BN67" i="2"/>
  <c r="BN101" i="2"/>
  <c r="BN124" i="2"/>
  <c r="BN147" i="2"/>
  <c r="BN152" i="2"/>
  <c r="Y188" i="2"/>
  <c r="Y251" i="2"/>
  <c r="BP299" i="2"/>
  <c r="Z362" i="2"/>
  <c r="Z363" i="2" s="1"/>
  <c r="Y411" i="2"/>
  <c r="BN457" i="2"/>
  <c r="BN479" i="2"/>
  <c r="S498" i="2"/>
  <c r="Y117" i="2"/>
  <c r="BN169" i="2"/>
  <c r="Y193" i="2"/>
  <c r="BN202" i="2"/>
  <c r="BN212" i="2"/>
  <c r="BN233" i="2"/>
  <c r="BN245" i="2"/>
  <c r="BN256" i="2"/>
  <c r="Y259" i="2"/>
  <c r="BN292" i="2"/>
  <c r="BN302" i="2"/>
  <c r="BN342" i="2"/>
  <c r="BN357" i="2"/>
  <c r="BP384" i="2"/>
  <c r="BN392" i="2"/>
  <c r="BP420" i="2"/>
  <c r="BN428" i="2"/>
  <c r="Y431" i="2"/>
  <c r="BP440" i="2"/>
  <c r="Z460" i="2"/>
  <c r="Y473" i="2"/>
  <c r="BN485" i="2"/>
  <c r="BP124" i="2"/>
  <c r="Y446" i="2"/>
  <c r="U498" i="2"/>
  <c r="BP152" i="2"/>
  <c r="BN60" i="2"/>
  <c r="Z80" i="2"/>
  <c r="Z114" i="2"/>
  <c r="Z116" i="2" s="1"/>
  <c r="BN140" i="2"/>
  <c r="Z167" i="2"/>
  <c r="Z190" i="2"/>
  <c r="Z200" i="2"/>
  <c r="Z203" i="2" s="1"/>
  <c r="Z210" i="2"/>
  <c r="Z231" i="2"/>
  <c r="Z254" i="2"/>
  <c r="Z265" i="2"/>
  <c r="Z290" i="2"/>
  <c r="Z300" i="2"/>
  <c r="Z303" i="2" s="1"/>
  <c r="Z310" i="2"/>
  <c r="Z311" i="2" s="1"/>
  <c r="BN327" i="2"/>
  <c r="Z378" i="2"/>
  <c r="Z390" i="2"/>
  <c r="Z414" i="2"/>
  <c r="Z415" i="2" s="1"/>
  <c r="Z426" i="2"/>
  <c r="Z436" i="2"/>
  <c r="Z470" i="2"/>
  <c r="BP485" i="2"/>
  <c r="C498" i="2"/>
  <c r="BN378" i="2"/>
  <c r="BN390" i="2"/>
  <c r="BN414" i="2"/>
  <c r="BN426" i="2"/>
  <c r="BN436" i="2"/>
  <c r="Y486" i="2"/>
  <c r="BP99" i="2"/>
  <c r="Y498" i="2"/>
  <c r="F9" i="2"/>
  <c r="Z293" i="2" l="1"/>
  <c r="Z215" i="2"/>
  <c r="Z192" i="2"/>
  <c r="Z349" i="2"/>
  <c r="Z437" i="2"/>
  <c r="Z234" i="2"/>
  <c r="Z461" i="2"/>
  <c r="Z171" i="2"/>
  <c r="Z330" i="2"/>
  <c r="Z267" i="2"/>
  <c r="Z317" i="2"/>
  <c r="Y489" i="2"/>
  <c r="Y490" i="2"/>
  <c r="Y492" i="2"/>
  <c r="Z431" i="2"/>
  <c r="Z446" i="2"/>
  <c r="Y488" i="2"/>
  <c r="Z259" i="2"/>
  <c r="Z393" i="2"/>
  <c r="Z472" i="2"/>
  <c r="Z109" i="2"/>
  <c r="Z493" i="2" s="1"/>
  <c r="Z379" i="2"/>
  <c r="Y491" i="2" l="1"/>
</calcChain>
</file>

<file path=xl/sharedStrings.xml><?xml version="1.0" encoding="utf-8"?>
<sst xmlns="http://schemas.openxmlformats.org/spreadsheetml/2006/main" count="3571" uniqueCount="764">
  <si>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</si>
  <si>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</si>
  <si>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</si>
  <si>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</si>
  <si>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</si>
  <si>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</si>
  <si>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</si>
  <si>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</si>
  <si>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</si>
  <si>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</si>
  <si>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</si>
  <si>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</si>
  <si>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</si>
  <si>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</si>
  <si>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</si>
  <si>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</si>
  <si>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</si>
  <si>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</si>
  <si>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</si>
  <si>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</si>
  <si>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</si>
  <si>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</si>
  <si>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</si>
  <si>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</si>
  <si>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</si>
  <si>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</si>
  <si>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</si>
  <si>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</si>
  <si>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</si>
  <si>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</si>
  <si>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</si>
  <si>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</si>
  <si>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</si>
  <si>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</si>
  <si>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</si>
  <si>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</si>
  <si>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</si>
  <si>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</si>
  <si>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</si>
  <si>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</si>
  <si>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</si>
  <si>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</si>
  <si>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</si>
  <si>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</si>
  <si>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</si>
  <si>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</si>
  <si>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</si>
  <si>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</si>
  <si>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</si>
  <si>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</si>
  <si>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</si>
  <si>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</si>
  <si>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</si>
  <si>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</si>
  <si>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</si>
  <si>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</si>
  <si>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</si>
  <si>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</si>
  <si>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</si>
  <si>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</si>
  <si>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</si>
  <si>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</si>
  <si>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</si>
  <si>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</si>
  <si>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</si>
  <si>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</si>
  <si>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</si>
  <si>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10.11.2025</t>
  </si>
  <si>
    <t>05.11.2025</t>
  </si>
  <si>
    <t>ОБЩЕСТВО С ОГРАНИЧЕННОЙ ОТВЕТСТВЕННОСТЬЮ "КСК ТРЕЙД"</t>
  </si>
  <si>
    <t>590943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</si>
  <si>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</si>
  <si>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</si>
  <si>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</si>
  <si>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</si>
  <si>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</si>
  <si>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</si>
  <si>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</si>
  <si>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</si>
  <si>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</si>
  <si>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</si>
  <si>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</si>
  <si>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</si>
  <si>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</si>
  <si>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</si>
  <si>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</si>
  <si>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</si>
  <si>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</si>
  <si>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</si>
  <si>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</si>
  <si>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</si>
  <si>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</si>
  <si>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</si>
  <si>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</si>
  <si>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</si>
  <si>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</si>
  <si>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</si>
  <si>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</si>
  <si>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</si>
  <si>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</si>
  <si>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</si>
  <si>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</si>
  <si>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</si>
  <si>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</si>
  <si>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</si>
  <si>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</si>
  <si>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</si>
  <si>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</si>
  <si>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</si>
  <si>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</si>
  <si>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</si>
  <si>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</si>
  <si>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</si>
  <si>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</si>
  <si>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</si>
  <si>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</si>
  <si>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</si>
  <si>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</si>
  <si>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</si>
  <si>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</si>
  <si>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</si>
  <si>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830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</si>
  <si>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</si>
  <si>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</si>
  <si>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</si>
  <si>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</si>
  <si>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</si>
  <si>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</si>
  <si>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</si>
  <si>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</si>
  <si>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</si>
  <si>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</si>
  <si>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</si>
  <si>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</si>
  <si>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</si>
  <si>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</si>
  <si>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</si>
  <si>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</si>
  <si>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</si>
  <si>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</si>
  <si>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</si>
  <si>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</si>
  <si>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</si>
  <si>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</si>
  <si>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</si>
  <si>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</si>
  <si>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</si>
  <si>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</si>
  <si>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</si>
  <si>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</si>
  <si>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</si>
  <si>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</si>
  <si>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</si>
  <si>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</si>
  <si>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</si>
  <si>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</si>
  <si>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</si>
  <si>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</si>
  <si>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</si>
  <si>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</si>
  <si>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</si>
  <si>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</si>
  <si>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</si>
  <si>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</si>
  <si>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</si>
  <si>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</si>
  <si>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</si>
  <si>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</si>
  <si>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</si>
  <si>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</si>
  <si>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</si>
  <si>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</si>
  <si>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</si>
  <si>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</si>
  <si>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</si>
  <si>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</si>
  <si>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</si>
  <si>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</si>
  <si>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</si>
  <si>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</si>
  <si>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</si>
  <si>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</si>
  <si>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</si>
  <si>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</si>
  <si>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</si>
  <si>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</si>
  <si>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</si>
  <si>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</si>
  <si>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</si>
  <si>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</si>
  <si>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</si>
  <si>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</si>
  <si>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</si>
  <si>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</si>
  <si>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</si>
  <si>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</si>
  <si>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</si>
  <si>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</si>
  <si>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</si>
  <si>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</si>
  <si>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</si>
  <si>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</si>
  <si>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</si>
  <si>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</si>
  <si>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</si>
  <si>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</si>
  <si>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</si>
  <si>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</si>
  <si>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</si>
  <si>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</si>
  <si>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</si>
  <si>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</si>
  <si>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</si>
  <si>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</si>
  <si>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</si>
  <si>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</si>
  <si>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</si>
  <si>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</si>
  <si>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</si>
  <si>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</si>
  <si>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</si>
  <si>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</si>
  <si>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</si>
  <si>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</si>
  <si>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</si>
  <si>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</si>
  <si>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</si>
  <si>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</si>
  <si>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</si>
  <si>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</si>
  <si>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</si>
  <si>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</si>
  <si>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</si>
  <si>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</si>
  <si>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</si>
  <si>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</si>
  <si>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</si>
  <si>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</si>
  <si>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</si>
  <si>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</si>
  <si>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</si>
  <si>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</si>
  <si>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</si>
  <si>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</si>
  <si>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</si>
  <si>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</si>
  <si>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</si>
  <si>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</si>
  <si>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</si>
  <si>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</si>
  <si>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</si>
  <si>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</si>
  <si>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</si>
  <si>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</si>
  <si>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</si>
  <si>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</si>
  <si>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</si>
  <si>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</si>
  <si>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</si>
  <si>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</si>
  <si>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</si>
  <si>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</si>
  <si>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</si>
  <si>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</si>
  <si>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</si>
  <si>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</si>
  <si>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Новинка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</si>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</sst>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48" t="s">
        <v>26</v>
      </c>
      <c r="E1" s="548"/>
      <c r="F1" s="548"/>
      <c r="G1" s="14" t="s">
        <v>66</v>
      </c>
      <c r="H1" s="548" t="s">
        <v>46</v>
      </c>
      <c r="I1" s="548"/>
      <c r="J1" s="548"/>
      <c r="K1" s="548"/>
      <c r="L1" s="548"/>
      <c r="M1" s="548"/>
      <c r="N1" s="548"/>
      <c r="O1" s="548"/>
      <c r="P1" s="548"/>
      <c r="Q1" s="548"/>
      <c r="R1" s="549" t="s">
        <v>67</v>
      </c>
      <c r="S1" s="550"/>
      <c r="T1" s="5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1"/>
      <c r="Q3" s="551"/>
      <c r="R3" s="551"/>
      <c r="S3" s="551"/>
      <c r="T3" s="551"/>
      <c r="U3" s="551"/>
      <c r="V3" s="551"/>
      <c r="W3" s="5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2" t="s">
        <v>8</v>
      </c>
      <c r="B5" s="552"/>
      <c r="C5" s="552"/>
      <c r="D5" s="553"/>
      <c r="E5" s="553"/>
      <c r="F5" s="554" t="s">
        <v>14</v>
      </c>
      <c r="G5" s="554"/>
      <c r="H5" s="553"/>
      <c r="I5" s="553"/>
      <c r="J5" s="553"/>
      <c r="K5" s="553"/>
      <c r="L5" s="553"/>
      <c r="M5" s="553"/>
      <c r="N5" s="72"/>
      <c r="P5" s="27" t="s">
        <v>4</v>
      </c>
      <c r="Q5" s="555">
        <v>45971</v>
      </c>
      <c r="R5" s="555"/>
      <c r="T5" s="556" t="s">
        <v>3</v>
      </c>
      <c r="U5" s="557"/>
      <c r="V5" s="558" t="s">
        <v>750</v>
      </c>
      <c r="W5" s="559"/>
      <c r="AB5" s="59"/>
      <c r="AC5" s="59"/>
      <c r="AD5" s="59"/>
      <c r="AE5" s="59"/>
    </row>
    <row r="6" spans="1:32" s="17" customFormat="1" ht="24" customHeight="1" x14ac:dyDescent="0.2">
      <c r="A6" s="552" t="s">
        <v>1</v>
      </c>
      <c r="B6" s="552"/>
      <c r="C6" s="552"/>
      <c r="D6" s="560" t="s">
        <v>75</v>
      </c>
      <c r="E6" s="560"/>
      <c r="F6" s="560"/>
      <c r="G6" s="560"/>
      <c r="H6" s="560"/>
      <c r="I6" s="560"/>
      <c r="J6" s="560"/>
      <c r="K6" s="560"/>
      <c r="L6" s="560"/>
      <c r="M6" s="560"/>
      <c r="N6" s="73"/>
      <c r="P6" s="27" t="s">
        <v>27</v>
      </c>
      <c r="Q6" s="561" t="str">
        <f>IF(Q5=0," ",CHOOSE(WEEKDAY(Q5,2),"Понедельник","Вторник","Среда","Четверг","Пятница","Суббота","Воскресенье"))</f>
        <v>Понедельник</v>
      </c>
      <c r="R6" s="561"/>
      <c r="T6" s="562" t="s">
        <v>5</v>
      </c>
      <c r="U6" s="563"/>
      <c r="V6" s="564" t="s">
        <v>69</v>
      </c>
      <c r="W6" s="5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0" t="str">
        <f>IFERROR(VLOOKUP(DeliveryAddress,Table,3,0),1)</f>
        <v>1</v>
      </c>
      <c r="E7" s="571"/>
      <c r="F7" s="571"/>
      <c r="G7" s="571"/>
      <c r="H7" s="571"/>
      <c r="I7" s="571"/>
      <c r="J7" s="571"/>
      <c r="K7" s="571"/>
      <c r="L7" s="571"/>
      <c r="M7" s="572"/>
      <c r="N7" s="74"/>
      <c r="P7" s="29"/>
      <c r="Q7" s="48"/>
      <c r="R7" s="48"/>
      <c r="T7" s="562"/>
      <c r="U7" s="563"/>
      <c r="V7" s="566"/>
      <c r="W7" s="567"/>
      <c r="AB7" s="59"/>
      <c r="AC7" s="59"/>
      <c r="AD7" s="59"/>
      <c r="AE7" s="59"/>
    </row>
    <row r="8" spans="1:32" s="17" customFormat="1" ht="25.5" customHeight="1" x14ac:dyDescent="0.2">
      <c r="A8" s="573" t="s">
        <v>57</v>
      </c>
      <c r="B8" s="573"/>
      <c r="C8" s="573"/>
      <c r="D8" s="574" t="s">
        <v>76</v>
      </c>
      <c r="E8" s="574"/>
      <c r="F8" s="574"/>
      <c r="G8" s="574"/>
      <c r="H8" s="574"/>
      <c r="I8" s="574"/>
      <c r="J8" s="574"/>
      <c r="K8" s="574"/>
      <c r="L8" s="574"/>
      <c r="M8" s="574"/>
      <c r="N8" s="75"/>
      <c r="P8" s="27" t="s">
        <v>11</v>
      </c>
      <c r="Q8" s="575">
        <v>0.375</v>
      </c>
      <c r="R8" s="575"/>
      <c r="T8" s="562"/>
      <c r="U8" s="563"/>
      <c r="V8" s="566"/>
      <c r="W8" s="567"/>
      <c r="AB8" s="59"/>
      <c r="AC8" s="59"/>
      <c r="AD8" s="59"/>
      <c r="AE8" s="59"/>
    </row>
    <row r="9" spans="1:32" s="17" customFormat="1" ht="39.950000000000003" customHeight="1" x14ac:dyDescent="0.2">
      <c r="A9" s="5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6"/>
      <c r="C9" s="576"/>
      <c r="D9" s="577" t="s">
        <v>45</v>
      </c>
      <c r="E9" s="578"/>
      <c r="F9" s="5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6"/>
      <c r="H9" s="579" t="str">
        <f>IF(AND($A$9="Тип доверенности/получателя при получении в адресе перегруза:",$D$9="Разовая доверенность"),"Введите ФИО","")</f>
        <v/>
      </c>
      <c r="I9" s="579"/>
      <c r="J9" s="5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9"/>
      <c r="L9" s="579"/>
      <c r="M9" s="579"/>
      <c r="N9" s="70"/>
      <c r="P9" s="31" t="s">
        <v>15</v>
      </c>
      <c r="Q9" s="580"/>
      <c r="R9" s="580"/>
      <c r="T9" s="562"/>
      <c r="U9" s="563"/>
      <c r="V9" s="568"/>
      <c r="W9" s="5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6"/>
      <c r="C10" s="576"/>
      <c r="D10" s="577"/>
      <c r="E10" s="578"/>
      <c r="F10" s="5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6"/>
      <c r="H10" s="581" t="str">
        <f>IFERROR(VLOOKUP($D$10,Proxy,2,FALSE),"")</f>
        <v/>
      </c>
      <c r="I10" s="581"/>
      <c r="J10" s="581"/>
      <c r="K10" s="581"/>
      <c r="L10" s="581"/>
      <c r="M10" s="581"/>
      <c r="N10" s="71"/>
      <c r="P10" s="31" t="s">
        <v>32</v>
      </c>
      <c r="Q10" s="582"/>
      <c r="R10" s="582"/>
      <c r="U10" s="29" t="s">
        <v>12</v>
      </c>
      <c r="V10" s="583" t="s">
        <v>70</v>
      </c>
      <c r="W10" s="5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5"/>
      <c r="R11" s="585"/>
      <c r="U11" s="29" t="s">
        <v>28</v>
      </c>
      <c r="V11" s="586" t="s">
        <v>54</v>
      </c>
      <c r="W11" s="5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7" t="s">
        <v>71</v>
      </c>
      <c r="B12" s="587"/>
      <c r="C12" s="587"/>
      <c r="D12" s="587"/>
      <c r="E12" s="587"/>
      <c r="F12" s="587"/>
      <c r="G12" s="587"/>
      <c r="H12" s="587"/>
      <c r="I12" s="587"/>
      <c r="J12" s="587"/>
      <c r="K12" s="587"/>
      <c r="L12" s="587"/>
      <c r="M12" s="587"/>
      <c r="N12" s="76"/>
      <c r="P12" s="27" t="s">
        <v>30</v>
      </c>
      <c r="Q12" s="575"/>
      <c r="R12" s="575"/>
      <c r="S12" s="28"/>
      <c r="T12"/>
      <c r="U12" s="29" t="s">
        <v>45</v>
      </c>
      <c r="V12" s="588"/>
      <c r="W12" s="588"/>
      <c r="X12"/>
      <c r="AB12" s="59"/>
      <c r="AC12" s="59"/>
      <c r="AD12" s="59"/>
      <c r="AE12" s="59"/>
    </row>
    <row r="13" spans="1:32" s="17" customFormat="1" ht="23.25" customHeight="1" x14ac:dyDescent="0.2">
      <c r="A13" s="587" t="s">
        <v>72</v>
      </c>
      <c r="B13" s="587"/>
      <c r="C13" s="587"/>
      <c r="D13" s="587"/>
      <c r="E13" s="587"/>
      <c r="F13" s="587"/>
      <c r="G13" s="587"/>
      <c r="H13" s="587"/>
      <c r="I13" s="587"/>
      <c r="J13" s="587"/>
      <c r="K13" s="587"/>
      <c r="L13" s="587"/>
      <c r="M13" s="587"/>
      <c r="N13" s="76"/>
      <c r="O13" s="31"/>
      <c r="P13" s="31" t="s">
        <v>31</v>
      </c>
      <c r="Q13" s="586"/>
      <c r="R13" s="5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7" t="s">
        <v>73</v>
      </c>
      <c r="B14" s="587"/>
      <c r="C14" s="587"/>
      <c r="D14" s="587"/>
      <c r="E14" s="587"/>
      <c r="F14" s="587"/>
      <c r="G14" s="587"/>
      <c r="H14" s="587"/>
      <c r="I14" s="587"/>
      <c r="J14" s="587"/>
      <c r="K14" s="587"/>
      <c r="L14" s="587"/>
      <c r="M14" s="5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89" t="s">
        <v>74</v>
      </c>
      <c r="B15" s="589"/>
      <c r="C15" s="589"/>
      <c r="D15" s="589"/>
      <c r="E15" s="589"/>
      <c r="F15" s="589"/>
      <c r="G15" s="589"/>
      <c r="H15" s="589"/>
      <c r="I15" s="589"/>
      <c r="J15" s="589"/>
      <c r="K15" s="589"/>
      <c r="L15" s="589"/>
      <c r="M15" s="589"/>
      <c r="N15" s="77"/>
      <c r="O15"/>
      <c r="P15" s="590" t="s">
        <v>60</v>
      </c>
      <c r="Q15" s="590"/>
      <c r="R15" s="590"/>
      <c r="S15" s="590"/>
      <c r="T15" s="5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1"/>
      <c r="Q16" s="591"/>
      <c r="R16" s="591"/>
      <c r="S16" s="591"/>
      <c r="T16" s="5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4" t="s">
        <v>58</v>
      </c>
      <c r="B17" s="594" t="s">
        <v>48</v>
      </c>
      <c r="C17" s="596" t="s">
        <v>47</v>
      </c>
      <c r="D17" s="598" t="s">
        <v>49</v>
      </c>
      <c r="E17" s="599"/>
      <c r="F17" s="594" t="s">
        <v>21</v>
      </c>
      <c r="G17" s="594" t="s">
        <v>24</v>
      </c>
      <c r="H17" s="594" t="s">
        <v>22</v>
      </c>
      <c r="I17" s="594" t="s">
        <v>23</v>
      </c>
      <c r="J17" s="594" t="s">
        <v>16</v>
      </c>
      <c r="K17" s="594" t="s">
        <v>65</v>
      </c>
      <c r="L17" s="594" t="s">
        <v>63</v>
      </c>
      <c r="M17" s="594" t="s">
        <v>2</v>
      </c>
      <c r="N17" s="594" t="s">
        <v>62</v>
      </c>
      <c r="O17" s="594" t="s">
        <v>25</v>
      </c>
      <c r="P17" s="598" t="s">
        <v>17</v>
      </c>
      <c r="Q17" s="602"/>
      <c r="R17" s="602"/>
      <c r="S17" s="602"/>
      <c r="T17" s="599"/>
      <c r="U17" s="592" t="s">
        <v>55</v>
      </c>
      <c r="V17" s="593"/>
      <c r="W17" s="594" t="s">
        <v>6</v>
      </c>
      <c r="X17" s="594" t="s">
        <v>41</v>
      </c>
      <c r="Y17" s="604" t="s">
        <v>53</v>
      </c>
      <c r="Z17" s="606" t="s">
        <v>18</v>
      </c>
      <c r="AA17" s="608" t="s">
        <v>59</v>
      </c>
      <c r="AB17" s="608" t="s">
        <v>19</v>
      </c>
      <c r="AC17" s="608" t="s">
        <v>64</v>
      </c>
      <c r="AD17" s="610" t="s">
        <v>56</v>
      </c>
      <c r="AE17" s="611"/>
      <c r="AF17" s="612"/>
      <c r="AG17" s="82"/>
      <c r="BD17" s="81" t="s">
        <v>61</v>
      </c>
    </row>
    <row r="18" spans="1:68" ht="14.25" customHeight="1" x14ac:dyDescent="0.2">
      <c r="A18" s="595"/>
      <c r="B18" s="595"/>
      <c r="C18" s="597"/>
      <c r="D18" s="600"/>
      <c r="E18" s="601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600"/>
      <c r="Q18" s="603"/>
      <c r="R18" s="603"/>
      <c r="S18" s="603"/>
      <c r="T18" s="601"/>
      <c r="U18" s="83" t="s">
        <v>44</v>
      </c>
      <c r="V18" s="83" t="s">
        <v>43</v>
      </c>
      <c r="W18" s="595"/>
      <c r="X18" s="595"/>
      <c r="Y18" s="605"/>
      <c r="Z18" s="607"/>
      <c r="AA18" s="609"/>
      <c r="AB18" s="609"/>
      <c r="AC18" s="609"/>
      <c r="AD18" s="613"/>
      <c r="AE18" s="614"/>
      <c r="AF18" s="615"/>
      <c r="AG18" s="82"/>
      <c r="BD18" s="81"/>
    </row>
    <row r="19" spans="1:68" ht="27.75" customHeight="1" x14ac:dyDescent="0.2">
      <c r="A19" s="616" t="s">
        <v>77</v>
      </c>
      <c r="B19" s="616"/>
      <c r="C19" s="616"/>
      <c r="D19" s="616"/>
      <c r="E19" s="616"/>
      <c r="F19" s="616"/>
      <c r="G19" s="616"/>
      <c r="H19" s="616"/>
      <c r="I19" s="616"/>
      <c r="J19" s="616"/>
      <c r="K19" s="616"/>
      <c r="L19" s="616"/>
      <c r="M19" s="616"/>
      <c r="N19" s="616"/>
      <c r="O19" s="616"/>
      <c r="P19" s="616"/>
      <c r="Q19" s="616"/>
      <c r="R19" s="616"/>
      <c r="S19" s="616"/>
      <c r="T19" s="616"/>
      <c r="U19" s="616"/>
      <c r="V19" s="616"/>
      <c r="W19" s="616"/>
      <c r="X19" s="616"/>
      <c r="Y19" s="616"/>
      <c r="Z19" s="616"/>
      <c r="AA19" s="54"/>
      <c r="AB19" s="54"/>
      <c r="AC19" s="54"/>
    </row>
    <row r="20" spans="1:68" ht="16.5" customHeight="1" x14ac:dyDescent="0.25">
      <c r="A20" s="617" t="s">
        <v>77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5"/>
      <c r="AB20" s="65"/>
      <c r="AC20" s="79"/>
    </row>
    <row r="21" spans="1:68" ht="14.25" customHeight="1" x14ac:dyDescent="0.25">
      <c r="A21" s="618" t="s">
        <v>78</v>
      </c>
      <c r="B21" s="618"/>
      <c r="C21" s="618"/>
      <c r="D21" s="618"/>
      <c r="E21" s="618"/>
      <c r="F21" s="618"/>
      <c r="G21" s="618"/>
      <c r="H21" s="618"/>
      <c r="I21" s="618"/>
      <c r="J21" s="618"/>
      <c r="K21" s="618"/>
      <c r="L21" s="618"/>
      <c r="M21" s="618"/>
      <c r="N21" s="618"/>
      <c r="O21" s="618"/>
      <c r="P21" s="618"/>
      <c r="Q21" s="618"/>
      <c r="R21" s="618"/>
      <c r="S21" s="618"/>
      <c r="T21" s="618"/>
      <c r="U21" s="618"/>
      <c r="V21" s="618"/>
      <c r="W21" s="618"/>
      <c r="X21" s="618"/>
      <c r="Y21" s="618"/>
      <c r="Z21" s="618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619">
        <v>4680115886643</v>
      </c>
      <c r="E22" s="6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1"/>
      <c r="R22" s="621"/>
      <c r="S22" s="621"/>
      <c r="T22" s="622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6"/>
      <c r="B23" s="626"/>
      <c r="C23" s="626"/>
      <c r="D23" s="626"/>
      <c r="E23" s="626"/>
      <c r="F23" s="626"/>
      <c r="G23" s="626"/>
      <c r="H23" s="626"/>
      <c r="I23" s="626"/>
      <c r="J23" s="626"/>
      <c r="K23" s="626"/>
      <c r="L23" s="626"/>
      <c r="M23" s="626"/>
      <c r="N23" s="626"/>
      <c r="O23" s="627"/>
      <c r="P23" s="623" t="s">
        <v>40</v>
      </c>
      <c r="Q23" s="624"/>
      <c r="R23" s="624"/>
      <c r="S23" s="624"/>
      <c r="T23" s="624"/>
      <c r="U23" s="624"/>
      <c r="V23" s="625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6"/>
      <c r="B24" s="626"/>
      <c r="C24" s="626"/>
      <c r="D24" s="626"/>
      <c r="E24" s="626"/>
      <c r="F24" s="626"/>
      <c r="G24" s="626"/>
      <c r="H24" s="626"/>
      <c r="I24" s="626"/>
      <c r="J24" s="626"/>
      <c r="K24" s="626"/>
      <c r="L24" s="626"/>
      <c r="M24" s="626"/>
      <c r="N24" s="626"/>
      <c r="O24" s="627"/>
      <c r="P24" s="623" t="s">
        <v>40</v>
      </c>
      <c r="Q24" s="624"/>
      <c r="R24" s="624"/>
      <c r="S24" s="624"/>
      <c r="T24" s="624"/>
      <c r="U24" s="624"/>
      <c r="V24" s="625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18" t="s">
        <v>84</v>
      </c>
      <c r="B25" s="618"/>
      <c r="C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  <c r="P25" s="618"/>
      <c r="Q25" s="618"/>
      <c r="R25" s="618"/>
      <c r="S25" s="618"/>
      <c r="T25" s="618"/>
      <c r="U25" s="618"/>
      <c r="V25" s="618"/>
      <c r="W25" s="618"/>
      <c r="X25" s="618"/>
      <c r="Y25" s="618"/>
      <c r="Z25" s="618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619">
        <v>4680115885912</v>
      </c>
      <c r="E26" s="619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45</v>
      </c>
      <c r="M26" s="38" t="s">
        <v>88</v>
      </c>
      <c r="N26" s="38"/>
      <c r="O26" s="37">
        <v>40</v>
      </c>
      <c r="P26" s="6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1"/>
      <c r="R26" s="621"/>
      <c r="S26" s="621"/>
      <c r="T26" s="622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90</v>
      </c>
      <c r="B27" s="63" t="s">
        <v>91</v>
      </c>
      <c r="C27" s="36">
        <v>4301051776</v>
      </c>
      <c r="D27" s="619">
        <v>4607091388237</v>
      </c>
      <c r="E27" s="619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6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1"/>
      <c r="R27" s="621"/>
      <c r="S27" s="621"/>
      <c r="T27" s="622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4301052063</v>
      </c>
      <c r="D28" s="619">
        <v>4680115887350</v>
      </c>
      <c r="E28" s="619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96</v>
      </c>
      <c r="N28" s="38"/>
      <c r="O28" s="37">
        <v>40</v>
      </c>
      <c r="P28" s="6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1"/>
      <c r="R28" s="621"/>
      <c r="S28" s="621"/>
      <c r="T28" s="622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4301051863</v>
      </c>
      <c r="D29" s="619">
        <v>4680115885905</v>
      </c>
      <c r="E29" s="6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45</v>
      </c>
      <c r="M29" s="38" t="s">
        <v>96</v>
      </c>
      <c r="N29" s="38"/>
      <c r="O29" s="37">
        <v>40</v>
      </c>
      <c r="P29" s="6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1"/>
      <c r="R29" s="621"/>
      <c r="S29" s="621"/>
      <c r="T29" s="622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100</v>
      </c>
      <c r="B30" s="63" t="s">
        <v>101</v>
      </c>
      <c r="C30" s="36">
        <v>4301051851</v>
      </c>
      <c r="D30" s="619">
        <v>4607091388244</v>
      </c>
      <c r="E30" s="619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45</v>
      </c>
      <c r="M30" s="38" t="s">
        <v>96</v>
      </c>
      <c r="N30" s="38"/>
      <c r="O30" s="37">
        <v>40</v>
      </c>
      <c r="P30" s="63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1"/>
      <c r="R30" s="621"/>
      <c r="S30" s="621"/>
      <c r="T30" s="622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6"/>
      <c r="B31" s="626"/>
      <c r="C31" s="626"/>
      <c r="D31" s="626"/>
      <c r="E31" s="626"/>
      <c r="F31" s="626"/>
      <c r="G31" s="626"/>
      <c r="H31" s="626"/>
      <c r="I31" s="626"/>
      <c r="J31" s="626"/>
      <c r="K31" s="626"/>
      <c r="L31" s="626"/>
      <c r="M31" s="626"/>
      <c r="N31" s="626"/>
      <c r="O31" s="627"/>
      <c r="P31" s="623" t="s">
        <v>40</v>
      </c>
      <c r="Q31" s="624"/>
      <c r="R31" s="624"/>
      <c r="S31" s="624"/>
      <c r="T31" s="624"/>
      <c r="U31" s="624"/>
      <c r="V31" s="625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6"/>
      <c r="B32" s="626"/>
      <c r="C32" s="626"/>
      <c r="D32" s="626"/>
      <c r="E32" s="626"/>
      <c r="F32" s="626"/>
      <c r="G32" s="626"/>
      <c r="H32" s="626"/>
      <c r="I32" s="626"/>
      <c r="J32" s="626"/>
      <c r="K32" s="626"/>
      <c r="L32" s="626"/>
      <c r="M32" s="626"/>
      <c r="N32" s="626"/>
      <c r="O32" s="627"/>
      <c r="P32" s="623" t="s">
        <v>40</v>
      </c>
      <c r="Q32" s="624"/>
      <c r="R32" s="624"/>
      <c r="S32" s="624"/>
      <c r="T32" s="624"/>
      <c r="U32" s="624"/>
      <c r="V32" s="625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18" t="s">
        <v>102</v>
      </c>
      <c r="B33" s="618"/>
      <c r="C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  <c r="P33" s="618"/>
      <c r="Q33" s="618"/>
      <c r="R33" s="618"/>
      <c r="S33" s="618"/>
      <c r="T33" s="618"/>
      <c r="U33" s="618"/>
      <c r="V33" s="618"/>
      <c r="W33" s="618"/>
      <c r="X33" s="618"/>
      <c r="Y33" s="618"/>
      <c r="Z33" s="618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19">
        <v>4607091388503</v>
      </c>
      <c r="E34" s="619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107</v>
      </c>
      <c r="N34" s="38"/>
      <c r="O34" s="37">
        <v>120</v>
      </c>
      <c r="P34" s="63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1"/>
      <c r="R34" s="621"/>
      <c r="S34" s="621"/>
      <c r="T34" s="622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6"/>
      <c r="B35" s="626"/>
      <c r="C35" s="626"/>
      <c r="D35" s="626"/>
      <c r="E35" s="626"/>
      <c r="F35" s="626"/>
      <c r="G35" s="626"/>
      <c r="H35" s="626"/>
      <c r="I35" s="626"/>
      <c r="J35" s="626"/>
      <c r="K35" s="626"/>
      <c r="L35" s="626"/>
      <c r="M35" s="626"/>
      <c r="N35" s="626"/>
      <c r="O35" s="627"/>
      <c r="P35" s="623" t="s">
        <v>40</v>
      </c>
      <c r="Q35" s="624"/>
      <c r="R35" s="624"/>
      <c r="S35" s="624"/>
      <c r="T35" s="624"/>
      <c r="U35" s="624"/>
      <c r="V35" s="625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6"/>
      <c r="B36" s="626"/>
      <c r="C36" s="626"/>
      <c r="D36" s="626"/>
      <c r="E36" s="626"/>
      <c r="F36" s="626"/>
      <c r="G36" s="626"/>
      <c r="H36" s="626"/>
      <c r="I36" s="626"/>
      <c r="J36" s="626"/>
      <c r="K36" s="626"/>
      <c r="L36" s="626"/>
      <c r="M36" s="626"/>
      <c r="N36" s="626"/>
      <c r="O36" s="627"/>
      <c r="P36" s="623" t="s">
        <v>40</v>
      </c>
      <c r="Q36" s="624"/>
      <c r="R36" s="624"/>
      <c r="S36" s="624"/>
      <c r="T36" s="624"/>
      <c r="U36" s="624"/>
      <c r="V36" s="625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6" t="s">
        <v>108</v>
      </c>
      <c r="B37" s="616"/>
      <c r="C37" s="616"/>
      <c r="D37" s="616"/>
      <c r="E37" s="616"/>
      <c r="F37" s="616"/>
      <c r="G37" s="616"/>
      <c r="H37" s="616"/>
      <c r="I37" s="616"/>
      <c r="J37" s="616"/>
      <c r="K37" s="616"/>
      <c r="L37" s="616"/>
      <c r="M37" s="616"/>
      <c r="N37" s="616"/>
      <c r="O37" s="616"/>
      <c r="P37" s="616"/>
      <c r="Q37" s="616"/>
      <c r="R37" s="616"/>
      <c r="S37" s="616"/>
      <c r="T37" s="616"/>
      <c r="U37" s="616"/>
      <c r="V37" s="616"/>
      <c r="W37" s="616"/>
      <c r="X37" s="616"/>
      <c r="Y37" s="616"/>
      <c r="Z37" s="616"/>
      <c r="AA37" s="54"/>
      <c r="AB37" s="54"/>
      <c r="AC37" s="54"/>
    </row>
    <row r="38" spans="1:68" ht="16.5" customHeight="1" x14ac:dyDescent="0.25">
      <c r="A38" s="617" t="s">
        <v>109</v>
      </c>
      <c r="B38" s="617"/>
      <c r="C38" s="617"/>
      <c r="D38" s="617"/>
      <c r="E38" s="617"/>
      <c r="F38" s="617"/>
      <c r="G38" s="617"/>
      <c r="H38" s="617"/>
      <c r="I38" s="617"/>
      <c r="J38" s="617"/>
      <c r="K38" s="617"/>
      <c r="L38" s="617"/>
      <c r="M38" s="617"/>
      <c r="N38" s="617"/>
      <c r="O38" s="617"/>
      <c r="P38" s="617"/>
      <c r="Q38" s="617"/>
      <c r="R38" s="617"/>
      <c r="S38" s="617"/>
      <c r="T38" s="617"/>
      <c r="U38" s="617"/>
      <c r="V38" s="617"/>
      <c r="W38" s="617"/>
      <c r="X38" s="617"/>
      <c r="Y38" s="617"/>
      <c r="Z38" s="617"/>
      <c r="AA38" s="65"/>
      <c r="AB38" s="65"/>
      <c r="AC38" s="79"/>
    </row>
    <row r="39" spans="1:68" ht="14.25" customHeight="1" x14ac:dyDescent="0.25">
      <c r="A39" s="618" t="s">
        <v>110</v>
      </c>
      <c r="B39" s="618"/>
      <c r="C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  <c r="P39" s="618"/>
      <c r="Q39" s="618"/>
      <c r="R39" s="618"/>
      <c r="S39" s="618"/>
      <c r="T39" s="618"/>
      <c r="U39" s="618"/>
      <c r="V39" s="618"/>
      <c r="W39" s="618"/>
      <c r="X39" s="618"/>
      <c r="Y39" s="618"/>
      <c r="Z39" s="618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19">
        <v>4607091385670</v>
      </c>
      <c r="E40" s="619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1"/>
      <c r="R40" s="621"/>
      <c r="S40" s="621"/>
      <c r="T40" s="622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619">
        <v>4607091385687</v>
      </c>
      <c r="E41" s="619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121</v>
      </c>
      <c r="M41" s="38" t="s">
        <v>88</v>
      </c>
      <c r="N41" s="38"/>
      <c r="O41" s="37">
        <v>50</v>
      </c>
      <c r="P41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1"/>
      <c r="R41" s="621"/>
      <c r="S41" s="621"/>
      <c r="T41" s="622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117</v>
      </c>
      <c r="AK41" s="84">
        <v>3320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122</v>
      </c>
      <c r="B42" s="63" t="s">
        <v>123</v>
      </c>
      <c r="C42" s="36">
        <v>4301011565</v>
      </c>
      <c r="D42" s="619">
        <v>4680115882539</v>
      </c>
      <c r="E42" s="619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45</v>
      </c>
      <c r="M42" s="38" t="s">
        <v>88</v>
      </c>
      <c r="N42" s="38"/>
      <c r="O42" s="37">
        <v>50</v>
      </c>
      <c r="P42" s="63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1"/>
      <c r="R42" s="621"/>
      <c r="S42" s="621"/>
      <c r="T42" s="622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6"/>
      <c r="B43" s="626"/>
      <c r="C43" s="626"/>
      <c r="D43" s="626"/>
      <c r="E43" s="626"/>
      <c r="F43" s="626"/>
      <c r="G43" s="626"/>
      <c r="H43" s="626"/>
      <c r="I43" s="626"/>
      <c r="J43" s="626"/>
      <c r="K43" s="626"/>
      <c r="L43" s="626"/>
      <c r="M43" s="626"/>
      <c r="N43" s="626"/>
      <c r="O43" s="627"/>
      <c r="P43" s="623" t="s">
        <v>40</v>
      </c>
      <c r="Q43" s="624"/>
      <c r="R43" s="624"/>
      <c r="S43" s="624"/>
      <c r="T43" s="624"/>
      <c r="U43" s="624"/>
      <c r="V43" s="625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6"/>
      <c r="B44" s="626"/>
      <c r="C44" s="626"/>
      <c r="D44" s="626"/>
      <c r="E44" s="626"/>
      <c r="F44" s="626"/>
      <c r="G44" s="626"/>
      <c r="H44" s="626"/>
      <c r="I44" s="626"/>
      <c r="J44" s="626"/>
      <c r="K44" s="626"/>
      <c r="L44" s="626"/>
      <c r="M44" s="626"/>
      <c r="N44" s="626"/>
      <c r="O44" s="627"/>
      <c r="P44" s="623" t="s">
        <v>40</v>
      </c>
      <c r="Q44" s="624"/>
      <c r="R44" s="624"/>
      <c r="S44" s="624"/>
      <c r="T44" s="624"/>
      <c r="U44" s="624"/>
      <c r="V44" s="625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18" t="s">
        <v>84</v>
      </c>
      <c r="B45" s="618"/>
      <c r="C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  <c r="P45" s="618"/>
      <c r="Q45" s="618"/>
      <c r="R45" s="618"/>
      <c r="S45" s="618"/>
      <c r="T45" s="618"/>
      <c r="U45" s="618"/>
      <c r="V45" s="618"/>
      <c r="W45" s="618"/>
      <c r="X45" s="618"/>
      <c r="Y45" s="618"/>
      <c r="Z45" s="618"/>
      <c r="AA45" s="66"/>
      <c r="AB45" s="66"/>
      <c r="AC45" s="80"/>
    </row>
    <row r="46" spans="1:68" ht="16.5" customHeight="1" x14ac:dyDescent="0.25">
      <c r="A46" s="63" t="s">
        <v>124</v>
      </c>
      <c r="B46" s="63" t="s">
        <v>125</v>
      </c>
      <c r="C46" s="36">
        <v>4301051820</v>
      </c>
      <c r="D46" s="619">
        <v>4680115884915</v>
      </c>
      <c r="E46" s="619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45</v>
      </c>
      <c r="M46" s="38" t="s">
        <v>88</v>
      </c>
      <c r="N46" s="38"/>
      <c r="O46" s="37">
        <v>40</v>
      </c>
      <c r="P46" s="63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1"/>
      <c r="R46" s="621"/>
      <c r="S46" s="621"/>
      <c r="T46" s="622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6"/>
      <c r="B47" s="626"/>
      <c r="C47" s="626"/>
      <c r="D47" s="626"/>
      <c r="E47" s="626"/>
      <c r="F47" s="626"/>
      <c r="G47" s="626"/>
      <c r="H47" s="626"/>
      <c r="I47" s="626"/>
      <c r="J47" s="626"/>
      <c r="K47" s="626"/>
      <c r="L47" s="626"/>
      <c r="M47" s="626"/>
      <c r="N47" s="626"/>
      <c r="O47" s="627"/>
      <c r="P47" s="623" t="s">
        <v>40</v>
      </c>
      <c r="Q47" s="624"/>
      <c r="R47" s="624"/>
      <c r="S47" s="624"/>
      <c r="T47" s="624"/>
      <c r="U47" s="624"/>
      <c r="V47" s="625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6"/>
      <c r="B48" s="626"/>
      <c r="C48" s="626"/>
      <c r="D48" s="626"/>
      <c r="E48" s="626"/>
      <c r="F48" s="626"/>
      <c r="G48" s="626"/>
      <c r="H48" s="626"/>
      <c r="I48" s="626"/>
      <c r="J48" s="626"/>
      <c r="K48" s="626"/>
      <c r="L48" s="626"/>
      <c r="M48" s="626"/>
      <c r="N48" s="626"/>
      <c r="O48" s="627"/>
      <c r="P48" s="623" t="s">
        <v>40</v>
      </c>
      <c r="Q48" s="624"/>
      <c r="R48" s="624"/>
      <c r="S48" s="624"/>
      <c r="T48" s="624"/>
      <c r="U48" s="624"/>
      <c r="V48" s="625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7" t="s">
        <v>127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5"/>
      <c r="AB49" s="65"/>
      <c r="AC49" s="79"/>
    </row>
    <row r="50" spans="1:68" ht="14.25" customHeight="1" x14ac:dyDescent="0.25">
      <c r="A50" s="618" t="s">
        <v>110</v>
      </c>
      <c r="B50" s="618"/>
      <c r="C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  <c r="P50" s="618"/>
      <c r="Q50" s="618"/>
      <c r="R50" s="618"/>
      <c r="S50" s="618"/>
      <c r="T50" s="618"/>
      <c r="U50" s="618"/>
      <c r="V50" s="618"/>
      <c r="W50" s="618"/>
      <c r="X50" s="618"/>
      <c r="Y50" s="618"/>
      <c r="Z50" s="618"/>
      <c r="AA50" s="66"/>
      <c r="AB50" s="66"/>
      <c r="AC50" s="80"/>
    </row>
    <row r="51" spans="1:68" ht="27" customHeight="1" x14ac:dyDescent="0.25">
      <c r="A51" s="63" t="s">
        <v>128</v>
      </c>
      <c r="B51" s="63" t="s">
        <v>129</v>
      </c>
      <c r="C51" s="36">
        <v>4301012030</v>
      </c>
      <c r="D51" s="619">
        <v>4680115885882</v>
      </c>
      <c r="E51" s="619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88</v>
      </c>
      <c r="N51" s="38"/>
      <c r="O51" s="37">
        <v>50</v>
      </c>
      <c r="P51" s="6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1"/>
      <c r="R51" s="621"/>
      <c r="S51" s="621"/>
      <c r="T51" s="622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131</v>
      </c>
      <c r="B52" s="63" t="s">
        <v>132</v>
      </c>
      <c r="C52" s="36">
        <v>4301011816</v>
      </c>
      <c r="D52" s="619">
        <v>4680115881426</v>
      </c>
      <c r="E52" s="619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45</v>
      </c>
      <c r="M52" s="38" t="s">
        <v>114</v>
      </c>
      <c r="N52" s="38"/>
      <c r="O52" s="37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1"/>
      <c r="R52" s="621"/>
      <c r="S52" s="621"/>
      <c r="T52" s="622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117</v>
      </c>
      <c r="AK52" s="84">
        <v>10.8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4301011386</v>
      </c>
      <c r="D53" s="619">
        <v>4680115880283</v>
      </c>
      <c r="E53" s="619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4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1"/>
      <c r="R53" s="621"/>
      <c r="S53" s="621"/>
      <c r="T53" s="622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137</v>
      </c>
      <c r="B54" s="63" t="s">
        <v>138</v>
      </c>
      <c r="C54" s="36">
        <v>4301011806</v>
      </c>
      <c r="D54" s="619">
        <v>4680115881525</v>
      </c>
      <c r="E54" s="619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45</v>
      </c>
      <c r="M54" s="38" t="s">
        <v>114</v>
      </c>
      <c r="N54" s="38"/>
      <c r="O54" s="37">
        <v>50</v>
      </c>
      <c r="P54" s="6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1"/>
      <c r="R54" s="621"/>
      <c r="S54" s="621"/>
      <c r="T54" s="622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140</v>
      </c>
      <c r="B55" s="63" t="s">
        <v>141</v>
      </c>
      <c r="C55" s="36">
        <v>4301011589</v>
      </c>
      <c r="D55" s="619">
        <v>4680115885899</v>
      </c>
      <c r="E55" s="619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45</v>
      </c>
      <c r="M55" s="38" t="s">
        <v>96</v>
      </c>
      <c r="N55" s="38"/>
      <c r="O55" s="37">
        <v>50</v>
      </c>
      <c r="P55" s="64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1"/>
      <c r="R55" s="621"/>
      <c r="S55" s="621"/>
      <c r="T55" s="622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143</v>
      </c>
      <c r="B56" s="63" t="s">
        <v>144</v>
      </c>
      <c r="C56" s="36">
        <v>4301011801</v>
      </c>
      <c r="D56" s="619">
        <v>4680115881419</v>
      </c>
      <c r="E56" s="619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45</v>
      </c>
      <c r="M56" s="38" t="s">
        <v>114</v>
      </c>
      <c r="N56" s="38"/>
      <c r="O56" s="37">
        <v>50</v>
      </c>
      <c r="P56" s="6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1"/>
      <c r="R56" s="621"/>
      <c r="S56" s="621"/>
      <c r="T56" s="622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117</v>
      </c>
      <c r="AK56" s="84">
        <v>4.5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6"/>
      <c r="B57" s="626"/>
      <c r="C57" s="626"/>
      <c r="D57" s="626"/>
      <c r="E57" s="626"/>
      <c r="F57" s="626"/>
      <c r="G57" s="626"/>
      <c r="H57" s="626"/>
      <c r="I57" s="626"/>
      <c r="J57" s="626"/>
      <c r="K57" s="626"/>
      <c r="L57" s="626"/>
      <c r="M57" s="626"/>
      <c r="N57" s="626"/>
      <c r="O57" s="627"/>
      <c r="P57" s="623" t="s">
        <v>40</v>
      </c>
      <c r="Q57" s="624"/>
      <c r="R57" s="624"/>
      <c r="S57" s="624"/>
      <c r="T57" s="624"/>
      <c r="U57" s="624"/>
      <c r="V57" s="625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6"/>
      <c r="B58" s="626"/>
      <c r="C58" s="626"/>
      <c r="D58" s="626"/>
      <c r="E58" s="626"/>
      <c r="F58" s="626"/>
      <c r="G58" s="626"/>
      <c r="H58" s="626"/>
      <c r="I58" s="626"/>
      <c r="J58" s="626"/>
      <c r="K58" s="626"/>
      <c r="L58" s="626"/>
      <c r="M58" s="626"/>
      <c r="N58" s="626"/>
      <c r="O58" s="627"/>
      <c r="P58" s="623" t="s">
        <v>40</v>
      </c>
      <c r="Q58" s="624"/>
      <c r="R58" s="624"/>
      <c r="S58" s="624"/>
      <c r="T58" s="624"/>
      <c r="U58" s="624"/>
      <c r="V58" s="625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18" t="s">
        <v>146</v>
      </c>
      <c r="B59" s="618"/>
      <c r="C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  <c r="P59" s="618"/>
      <c r="Q59" s="618"/>
      <c r="R59" s="618"/>
      <c r="S59" s="618"/>
      <c r="T59" s="618"/>
      <c r="U59" s="618"/>
      <c r="V59" s="618"/>
      <c r="W59" s="618"/>
      <c r="X59" s="618"/>
      <c r="Y59" s="618"/>
      <c r="Z59" s="618"/>
      <c r="AA59" s="66"/>
      <c r="AB59" s="66"/>
      <c r="AC59" s="80"/>
    </row>
    <row r="60" spans="1:68" ht="16.5" customHeight="1" x14ac:dyDescent="0.25">
      <c r="A60" s="63" t="s">
        <v>147</v>
      </c>
      <c r="B60" s="63" t="s">
        <v>148</v>
      </c>
      <c r="C60" s="36">
        <v>4301020298</v>
      </c>
      <c r="D60" s="619">
        <v>4680115881440</v>
      </c>
      <c r="E60" s="619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64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1"/>
      <c r="R60" s="621"/>
      <c r="S60" s="621"/>
      <c r="T60" s="622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150</v>
      </c>
      <c r="B61" s="63" t="s">
        <v>151</v>
      </c>
      <c r="C61" s="36">
        <v>4301020358</v>
      </c>
      <c r="D61" s="619">
        <v>4680115885950</v>
      </c>
      <c r="E61" s="619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64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1"/>
      <c r="R61" s="621"/>
      <c r="S61" s="621"/>
      <c r="T61" s="622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4301020296</v>
      </c>
      <c r="D62" s="619">
        <v>4680115881433</v>
      </c>
      <c r="E62" s="619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45</v>
      </c>
      <c r="M62" s="38" t="s">
        <v>114</v>
      </c>
      <c r="N62" s="38"/>
      <c r="O62" s="37">
        <v>50</v>
      </c>
      <c r="P62" s="6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1"/>
      <c r="R62" s="621"/>
      <c r="S62" s="621"/>
      <c r="T62" s="622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117</v>
      </c>
      <c r="AK62" s="84">
        <v>2.7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6"/>
      <c r="B63" s="626"/>
      <c r="C63" s="626"/>
      <c r="D63" s="626"/>
      <c r="E63" s="626"/>
      <c r="F63" s="626"/>
      <c r="G63" s="626"/>
      <c r="H63" s="626"/>
      <c r="I63" s="626"/>
      <c r="J63" s="626"/>
      <c r="K63" s="626"/>
      <c r="L63" s="626"/>
      <c r="M63" s="626"/>
      <c r="N63" s="626"/>
      <c r="O63" s="627"/>
      <c r="P63" s="623" t="s">
        <v>40</v>
      </c>
      <c r="Q63" s="624"/>
      <c r="R63" s="624"/>
      <c r="S63" s="624"/>
      <c r="T63" s="624"/>
      <c r="U63" s="624"/>
      <c r="V63" s="625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6"/>
      <c r="B64" s="626"/>
      <c r="C64" s="626"/>
      <c r="D64" s="626"/>
      <c r="E64" s="626"/>
      <c r="F64" s="626"/>
      <c r="G64" s="626"/>
      <c r="H64" s="626"/>
      <c r="I64" s="626"/>
      <c r="J64" s="626"/>
      <c r="K64" s="626"/>
      <c r="L64" s="626"/>
      <c r="M64" s="626"/>
      <c r="N64" s="626"/>
      <c r="O64" s="627"/>
      <c r="P64" s="623" t="s">
        <v>40</v>
      </c>
      <c r="Q64" s="624"/>
      <c r="R64" s="624"/>
      <c r="S64" s="624"/>
      <c r="T64" s="624"/>
      <c r="U64" s="624"/>
      <c r="V64" s="625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18" t="s">
        <v>78</v>
      </c>
      <c r="B65" s="618"/>
      <c r="C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  <c r="P65" s="618"/>
      <c r="Q65" s="618"/>
      <c r="R65" s="618"/>
      <c r="S65" s="618"/>
      <c r="T65" s="618"/>
      <c r="U65" s="618"/>
      <c r="V65" s="618"/>
      <c r="W65" s="618"/>
      <c r="X65" s="618"/>
      <c r="Y65" s="618"/>
      <c r="Z65" s="618"/>
      <c r="AA65" s="66"/>
      <c r="AB65" s="66"/>
      <c r="AC65" s="80"/>
    </row>
    <row r="66" spans="1:68" ht="27" customHeight="1" x14ac:dyDescent="0.25">
      <c r="A66" s="63" t="s">
        <v>154</v>
      </c>
      <c r="B66" s="63" t="s">
        <v>155</v>
      </c>
      <c r="C66" s="36">
        <v>4301031243</v>
      </c>
      <c r="D66" s="619">
        <v>4680115885073</v>
      </c>
      <c r="E66" s="619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64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1"/>
      <c r="R66" s="621"/>
      <c r="S66" s="621"/>
      <c r="T66" s="622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157</v>
      </c>
      <c r="B67" s="63" t="s">
        <v>158</v>
      </c>
      <c r="C67" s="36">
        <v>4301031241</v>
      </c>
      <c r="D67" s="619">
        <v>4680115885059</v>
      </c>
      <c r="E67" s="619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64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1"/>
      <c r="R67" s="621"/>
      <c r="S67" s="621"/>
      <c r="T67" s="622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160</v>
      </c>
      <c r="B68" s="63" t="s">
        <v>161</v>
      </c>
      <c r="C68" s="36">
        <v>4301031316</v>
      </c>
      <c r="D68" s="619">
        <v>4680115885097</v>
      </c>
      <c r="E68" s="619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64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1"/>
      <c r="R68" s="621"/>
      <c r="S68" s="621"/>
      <c r="T68" s="622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162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6"/>
      <c r="B69" s="626"/>
      <c r="C69" s="626"/>
      <c r="D69" s="626"/>
      <c r="E69" s="626"/>
      <c r="F69" s="626"/>
      <c r="G69" s="626"/>
      <c r="H69" s="626"/>
      <c r="I69" s="626"/>
      <c r="J69" s="626"/>
      <c r="K69" s="626"/>
      <c r="L69" s="626"/>
      <c r="M69" s="626"/>
      <c r="N69" s="626"/>
      <c r="O69" s="627"/>
      <c r="P69" s="623" t="s">
        <v>40</v>
      </c>
      <c r="Q69" s="624"/>
      <c r="R69" s="624"/>
      <c r="S69" s="624"/>
      <c r="T69" s="624"/>
      <c r="U69" s="624"/>
      <c r="V69" s="625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6"/>
      <c r="B70" s="626"/>
      <c r="C70" s="626"/>
      <c r="D70" s="626"/>
      <c r="E70" s="626"/>
      <c r="F70" s="626"/>
      <c r="G70" s="626"/>
      <c r="H70" s="626"/>
      <c r="I70" s="626"/>
      <c r="J70" s="626"/>
      <c r="K70" s="626"/>
      <c r="L70" s="626"/>
      <c r="M70" s="626"/>
      <c r="N70" s="626"/>
      <c r="O70" s="627"/>
      <c r="P70" s="623" t="s">
        <v>40</v>
      </c>
      <c r="Q70" s="624"/>
      <c r="R70" s="624"/>
      <c r="S70" s="624"/>
      <c r="T70" s="624"/>
      <c r="U70" s="624"/>
      <c r="V70" s="625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18" t="s">
        <v>84</v>
      </c>
      <c r="B71" s="618"/>
      <c r="C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  <c r="P71" s="618"/>
      <c r="Q71" s="618"/>
      <c r="R71" s="618"/>
      <c r="S71" s="618"/>
      <c r="T71" s="618"/>
      <c r="U71" s="618"/>
      <c r="V71" s="618"/>
      <c r="W71" s="618"/>
      <c r="X71" s="618"/>
      <c r="Y71" s="618"/>
      <c r="Z71" s="618"/>
      <c r="AA71" s="66"/>
      <c r="AB71" s="66"/>
      <c r="AC71" s="80"/>
    </row>
    <row r="72" spans="1:68" ht="27" customHeight="1" x14ac:dyDescent="0.25">
      <c r="A72" s="63" t="s">
        <v>163</v>
      </c>
      <c r="B72" s="63" t="s">
        <v>164</v>
      </c>
      <c r="C72" s="36">
        <v>4301051846</v>
      </c>
      <c r="D72" s="619">
        <v>4680115885769</v>
      </c>
      <c r="E72" s="619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115</v>
      </c>
      <c r="L72" s="37" t="s">
        <v>45</v>
      </c>
      <c r="M72" s="38" t="s">
        <v>88</v>
      </c>
      <c r="N72" s="38"/>
      <c r="O72" s="37">
        <v>45</v>
      </c>
      <c r="P72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1"/>
      <c r="R72" s="621"/>
      <c r="S72" s="621"/>
      <c r="T72" s="622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166</v>
      </c>
      <c r="B73" s="63" t="s">
        <v>167</v>
      </c>
      <c r="C73" s="36">
        <v>4301051837</v>
      </c>
      <c r="D73" s="619">
        <v>4680115884311</v>
      </c>
      <c r="E73" s="61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89</v>
      </c>
      <c r="L73" s="37" t="s">
        <v>45</v>
      </c>
      <c r="M73" s="38" t="s">
        <v>88</v>
      </c>
      <c r="N73" s="38"/>
      <c r="O73" s="37">
        <v>40</v>
      </c>
      <c r="P73" s="6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1"/>
      <c r="R73" s="621"/>
      <c r="S73" s="621"/>
      <c r="T73" s="622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168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169</v>
      </c>
      <c r="B74" s="63" t="s">
        <v>170</v>
      </c>
      <c r="C74" s="36">
        <v>4301051844</v>
      </c>
      <c r="D74" s="619">
        <v>4680115885929</v>
      </c>
      <c r="E74" s="619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89</v>
      </c>
      <c r="L74" s="37" t="s">
        <v>45</v>
      </c>
      <c r="M74" s="38" t="s">
        <v>88</v>
      </c>
      <c r="N74" s="38"/>
      <c r="O74" s="37">
        <v>45</v>
      </c>
      <c r="P74" s="65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1"/>
      <c r="R74" s="621"/>
      <c r="S74" s="621"/>
      <c r="T74" s="622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165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171</v>
      </c>
      <c r="B75" s="63" t="s">
        <v>172</v>
      </c>
      <c r="C75" s="36">
        <v>4301051929</v>
      </c>
      <c r="D75" s="619">
        <v>4680115884403</v>
      </c>
      <c r="E75" s="619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89</v>
      </c>
      <c r="L75" s="37" t="s">
        <v>45</v>
      </c>
      <c r="M75" s="38" t="s">
        <v>88</v>
      </c>
      <c r="N75" s="38"/>
      <c r="O75" s="37">
        <v>40</v>
      </c>
      <c r="P75" s="65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1"/>
      <c r="R75" s="621"/>
      <c r="S75" s="621"/>
      <c r="T75" s="622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173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6"/>
      <c r="B76" s="626"/>
      <c r="C76" s="626"/>
      <c r="D76" s="626"/>
      <c r="E76" s="626"/>
      <c r="F76" s="626"/>
      <c r="G76" s="626"/>
      <c r="H76" s="626"/>
      <c r="I76" s="626"/>
      <c r="J76" s="626"/>
      <c r="K76" s="626"/>
      <c r="L76" s="626"/>
      <c r="M76" s="626"/>
      <c r="N76" s="626"/>
      <c r="O76" s="627"/>
      <c r="P76" s="623" t="s">
        <v>40</v>
      </c>
      <c r="Q76" s="624"/>
      <c r="R76" s="624"/>
      <c r="S76" s="624"/>
      <c r="T76" s="624"/>
      <c r="U76" s="624"/>
      <c r="V76" s="625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6"/>
      <c r="B77" s="626"/>
      <c r="C77" s="626"/>
      <c r="D77" s="626"/>
      <c r="E77" s="626"/>
      <c r="F77" s="626"/>
      <c r="G77" s="626"/>
      <c r="H77" s="626"/>
      <c r="I77" s="626"/>
      <c r="J77" s="626"/>
      <c r="K77" s="626"/>
      <c r="L77" s="626"/>
      <c r="M77" s="626"/>
      <c r="N77" s="626"/>
      <c r="O77" s="627"/>
      <c r="P77" s="623" t="s">
        <v>40</v>
      </c>
      <c r="Q77" s="624"/>
      <c r="R77" s="624"/>
      <c r="S77" s="624"/>
      <c r="T77" s="624"/>
      <c r="U77" s="624"/>
      <c r="V77" s="625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18" t="s">
        <v>174</v>
      </c>
      <c r="B78" s="618"/>
      <c r="C78" s="618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  <c r="P78" s="618"/>
      <c r="Q78" s="618"/>
      <c r="R78" s="618"/>
      <c r="S78" s="618"/>
      <c r="T78" s="618"/>
      <c r="U78" s="618"/>
      <c r="V78" s="618"/>
      <c r="W78" s="618"/>
      <c r="X78" s="618"/>
      <c r="Y78" s="618"/>
      <c r="Z78" s="618"/>
      <c r="AA78" s="66"/>
      <c r="AB78" s="66"/>
      <c r="AC78" s="80"/>
    </row>
    <row r="79" spans="1:68" ht="27" customHeight="1" x14ac:dyDescent="0.25">
      <c r="A79" s="63" t="s">
        <v>175</v>
      </c>
      <c r="B79" s="63" t="s">
        <v>176</v>
      </c>
      <c r="C79" s="36">
        <v>4301060455</v>
      </c>
      <c r="D79" s="619">
        <v>4680115881532</v>
      </c>
      <c r="E79" s="61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115</v>
      </c>
      <c r="L79" s="37" t="s">
        <v>116</v>
      </c>
      <c r="M79" s="38" t="s">
        <v>96</v>
      </c>
      <c r="N79" s="38"/>
      <c r="O79" s="37">
        <v>30</v>
      </c>
      <c r="P79" s="6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1"/>
      <c r="R79" s="621"/>
      <c r="S79" s="621"/>
      <c r="T79" s="622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117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179</v>
      </c>
      <c r="C80" s="36">
        <v>4301060351</v>
      </c>
      <c r="D80" s="619">
        <v>4680115881464</v>
      </c>
      <c r="E80" s="61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120</v>
      </c>
      <c r="L80" s="37" t="s">
        <v>45</v>
      </c>
      <c r="M80" s="38" t="s">
        <v>88</v>
      </c>
      <c r="N80" s="38"/>
      <c r="O80" s="37">
        <v>30</v>
      </c>
      <c r="P80" s="6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1"/>
      <c r="R80" s="621"/>
      <c r="S80" s="621"/>
      <c r="T80" s="622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180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6"/>
      <c r="B81" s="626"/>
      <c r="C81" s="626"/>
      <c r="D81" s="626"/>
      <c r="E81" s="626"/>
      <c r="F81" s="626"/>
      <c r="G81" s="626"/>
      <c r="H81" s="626"/>
      <c r="I81" s="626"/>
      <c r="J81" s="626"/>
      <c r="K81" s="626"/>
      <c r="L81" s="626"/>
      <c r="M81" s="626"/>
      <c r="N81" s="626"/>
      <c r="O81" s="627"/>
      <c r="P81" s="623" t="s">
        <v>40</v>
      </c>
      <c r="Q81" s="624"/>
      <c r="R81" s="624"/>
      <c r="S81" s="624"/>
      <c r="T81" s="624"/>
      <c r="U81" s="624"/>
      <c r="V81" s="625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6"/>
      <c r="B82" s="626"/>
      <c r="C82" s="626"/>
      <c r="D82" s="626"/>
      <c r="E82" s="626"/>
      <c r="F82" s="626"/>
      <c r="G82" s="626"/>
      <c r="H82" s="626"/>
      <c r="I82" s="626"/>
      <c r="J82" s="626"/>
      <c r="K82" s="626"/>
      <c r="L82" s="626"/>
      <c r="M82" s="626"/>
      <c r="N82" s="626"/>
      <c r="O82" s="627"/>
      <c r="P82" s="623" t="s">
        <v>40</v>
      </c>
      <c r="Q82" s="624"/>
      <c r="R82" s="624"/>
      <c r="S82" s="624"/>
      <c r="T82" s="624"/>
      <c r="U82" s="624"/>
      <c r="V82" s="625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17" t="s">
        <v>181</v>
      </c>
      <c r="B83" s="617"/>
      <c r="C83" s="617"/>
      <c r="D83" s="617"/>
      <c r="E83" s="617"/>
      <c r="F83" s="617"/>
      <c r="G83" s="617"/>
      <c r="H83" s="617"/>
      <c r="I83" s="617"/>
      <c r="J83" s="617"/>
      <c r="K83" s="617"/>
      <c r="L83" s="617"/>
      <c r="M83" s="617"/>
      <c r="N83" s="617"/>
      <c r="O83" s="617"/>
      <c r="P83" s="617"/>
      <c r="Q83" s="617"/>
      <c r="R83" s="617"/>
      <c r="S83" s="617"/>
      <c r="T83" s="617"/>
      <c r="U83" s="617"/>
      <c r="V83" s="617"/>
      <c r="W83" s="617"/>
      <c r="X83" s="617"/>
      <c r="Y83" s="617"/>
      <c r="Z83" s="617"/>
      <c r="AA83" s="65"/>
      <c r="AB83" s="65"/>
      <c r="AC83" s="79"/>
    </row>
    <row r="84" spans="1:68" ht="14.25" customHeight="1" x14ac:dyDescent="0.25">
      <c r="A84" s="618" t="s">
        <v>110</v>
      </c>
      <c r="B84" s="618"/>
      <c r="C84" s="618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  <c r="S84" s="618"/>
      <c r="T84" s="618"/>
      <c r="U84" s="618"/>
      <c r="V84" s="618"/>
      <c r="W84" s="618"/>
      <c r="X84" s="618"/>
      <c r="Y84" s="618"/>
      <c r="Z84" s="618"/>
      <c r="AA84" s="66"/>
      <c r="AB84" s="66"/>
      <c r="AC84" s="80"/>
    </row>
    <row r="85" spans="1:68" ht="27" customHeight="1" x14ac:dyDescent="0.25">
      <c r="A85" s="63" t="s">
        <v>182</v>
      </c>
      <c r="B85" s="63" t="s">
        <v>183</v>
      </c>
      <c r="C85" s="36">
        <v>4301011468</v>
      </c>
      <c r="D85" s="619">
        <v>4680115881327</v>
      </c>
      <c r="E85" s="61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115</v>
      </c>
      <c r="L85" s="37" t="s">
        <v>116</v>
      </c>
      <c r="M85" s="38" t="s">
        <v>96</v>
      </c>
      <c r="N85" s="38"/>
      <c r="O85" s="37">
        <v>50</v>
      </c>
      <c r="P85" s="6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1"/>
      <c r="R85" s="621"/>
      <c r="S85" s="621"/>
      <c r="T85" s="622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117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185</v>
      </c>
      <c r="B86" s="63" t="s">
        <v>186</v>
      </c>
      <c r="C86" s="36">
        <v>4301011476</v>
      </c>
      <c r="D86" s="619">
        <v>4680115881518</v>
      </c>
      <c r="E86" s="619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45</v>
      </c>
      <c r="M86" s="38" t="s">
        <v>88</v>
      </c>
      <c r="N86" s="38"/>
      <c r="O86" s="37">
        <v>50</v>
      </c>
      <c r="P86" s="6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1"/>
      <c r="R86" s="621"/>
      <c r="S86" s="621"/>
      <c r="T86" s="622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184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187</v>
      </c>
      <c r="B87" s="63" t="s">
        <v>188</v>
      </c>
      <c r="C87" s="36">
        <v>4301011443</v>
      </c>
      <c r="D87" s="619">
        <v>4680115881303</v>
      </c>
      <c r="E87" s="619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45</v>
      </c>
      <c r="M87" s="38" t="s">
        <v>96</v>
      </c>
      <c r="N87" s="38"/>
      <c r="O87" s="37">
        <v>50</v>
      </c>
      <c r="P87" s="6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1"/>
      <c r="R87" s="621"/>
      <c r="S87" s="621"/>
      <c r="T87" s="622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184</v>
      </c>
      <c r="AG87" s="78"/>
      <c r="AJ87" s="84" t="s">
        <v>117</v>
      </c>
      <c r="AK87" s="84">
        <v>4.5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6"/>
      <c r="B88" s="626"/>
      <c r="C88" s="626"/>
      <c r="D88" s="626"/>
      <c r="E88" s="626"/>
      <c r="F88" s="626"/>
      <c r="G88" s="626"/>
      <c r="H88" s="626"/>
      <c r="I88" s="626"/>
      <c r="J88" s="626"/>
      <c r="K88" s="626"/>
      <c r="L88" s="626"/>
      <c r="M88" s="626"/>
      <c r="N88" s="626"/>
      <c r="O88" s="627"/>
      <c r="P88" s="623" t="s">
        <v>40</v>
      </c>
      <c r="Q88" s="624"/>
      <c r="R88" s="624"/>
      <c r="S88" s="624"/>
      <c r="T88" s="624"/>
      <c r="U88" s="624"/>
      <c r="V88" s="625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6"/>
      <c r="B89" s="626"/>
      <c r="C89" s="626"/>
      <c r="D89" s="626"/>
      <c r="E89" s="626"/>
      <c r="F89" s="626"/>
      <c r="G89" s="626"/>
      <c r="H89" s="626"/>
      <c r="I89" s="626"/>
      <c r="J89" s="626"/>
      <c r="K89" s="626"/>
      <c r="L89" s="626"/>
      <c r="M89" s="626"/>
      <c r="N89" s="626"/>
      <c r="O89" s="627"/>
      <c r="P89" s="623" t="s">
        <v>40</v>
      </c>
      <c r="Q89" s="624"/>
      <c r="R89" s="624"/>
      <c r="S89" s="624"/>
      <c r="T89" s="624"/>
      <c r="U89" s="624"/>
      <c r="V89" s="625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18" t="s">
        <v>84</v>
      </c>
      <c r="B90" s="618"/>
      <c r="C90" s="618"/>
      <c r="D90" s="618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8"/>
      <c r="S90" s="618"/>
      <c r="T90" s="618"/>
      <c r="U90" s="618"/>
      <c r="V90" s="618"/>
      <c r="W90" s="618"/>
      <c r="X90" s="618"/>
      <c r="Y90" s="618"/>
      <c r="Z90" s="618"/>
      <c r="AA90" s="66"/>
      <c r="AB90" s="66"/>
      <c r="AC90" s="80"/>
    </row>
    <row r="91" spans="1:68" ht="16.5" customHeight="1" x14ac:dyDescent="0.25">
      <c r="A91" s="63" t="s">
        <v>189</v>
      </c>
      <c r="B91" s="63" t="s">
        <v>190</v>
      </c>
      <c r="C91" s="36">
        <v>4301051712</v>
      </c>
      <c r="D91" s="619">
        <v>4607091386967</v>
      </c>
      <c r="E91" s="619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96</v>
      </c>
      <c r="N91" s="38"/>
      <c r="O91" s="37">
        <v>45</v>
      </c>
      <c r="P91" s="6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1"/>
      <c r="R91" s="621"/>
      <c r="S91" s="621"/>
      <c r="T91" s="622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191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192</v>
      </c>
      <c r="B92" s="63" t="s">
        <v>193</v>
      </c>
      <c r="C92" s="36">
        <v>4301051788</v>
      </c>
      <c r="D92" s="619">
        <v>4680115884953</v>
      </c>
      <c r="E92" s="619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89</v>
      </c>
      <c r="L92" s="37" t="s">
        <v>45</v>
      </c>
      <c r="M92" s="38" t="s">
        <v>88</v>
      </c>
      <c r="N92" s="38"/>
      <c r="O92" s="37">
        <v>45</v>
      </c>
      <c r="P92" s="6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1"/>
      <c r="R92" s="621"/>
      <c r="S92" s="621"/>
      <c r="T92" s="622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194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4301051718</v>
      </c>
      <c r="D93" s="619">
        <v>4607091385731</v>
      </c>
      <c r="E93" s="619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89</v>
      </c>
      <c r="L93" s="37" t="s">
        <v>45</v>
      </c>
      <c r="M93" s="38" t="s">
        <v>96</v>
      </c>
      <c r="N93" s="38"/>
      <c r="O93" s="37">
        <v>45</v>
      </c>
      <c r="P93" s="6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1"/>
      <c r="R93" s="621"/>
      <c r="S93" s="621"/>
      <c r="T93" s="622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191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197</v>
      </c>
      <c r="B94" s="63" t="s">
        <v>198</v>
      </c>
      <c r="C94" s="36">
        <v>4301051438</v>
      </c>
      <c r="D94" s="619">
        <v>4680115880894</v>
      </c>
      <c r="E94" s="619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89</v>
      </c>
      <c r="L94" s="37" t="s">
        <v>45</v>
      </c>
      <c r="M94" s="38" t="s">
        <v>88</v>
      </c>
      <c r="N94" s="38"/>
      <c r="O94" s="37">
        <v>45</v>
      </c>
      <c r="P94" s="66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1"/>
      <c r="R94" s="621"/>
      <c r="S94" s="621"/>
      <c r="T94" s="622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199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6"/>
      <c r="B95" s="626"/>
      <c r="C95" s="626"/>
      <c r="D95" s="626"/>
      <c r="E95" s="626"/>
      <c r="F95" s="626"/>
      <c r="G95" s="626"/>
      <c r="H95" s="626"/>
      <c r="I95" s="626"/>
      <c r="J95" s="626"/>
      <c r="K95" s="626"/>
      <c r="L95" s="626"/>
      <c r="M95" s="626"/>
      <c r="N95" s="626"/>
      <c r="O95" s="627"/>
      <c r="P95" s="623" t="s">
        <v>40</v>
      </c>
      <c r="Q95" s="624"/>
      <c r="R95" s="624"/>
      <c r="S95" s="624"/>
      <c r="T95" s="624"/>
      <c r="U95" s="624"/>
      <c r="V95" s="625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6"/>
      <c r="B96" s="626"/>
      <c r="C96" s="626"/>
      <c r="D96" s="626"/>
      <c r="E96" s="626"/>
      <c r="F96" s="626"/>
      <c r="G96" s="626"/>
      <c r="H96" s="626"/>
      <c r="I96" s="626"/>
      <c r="J96" s="626"/>
      <c r="K96" s="626"/>
      <c r="L96" s="626"/>
      <c r="M96" s="626"/>
      <c r="N96" s="626"/>
      <c r="O96" s="627"/>
      <c r="P96" s="623" t="s">
        <v>40</v>
      </c>
      <c r="Q96" s="624"/>
      <c r="R96" s="624"/>
      <c r="S96" s="624"/>
      <c r="T96" s="624"/>
      <c r="U96" s="624"/>
      <c r="V96" s="625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17" t="s">
        <v>200</v>
      </c>
      <c r="B97" s="617"/>
      <c r="C97" s="617"/>
      <c r="D97" s="617"/>
      <c r="E97" s="617"/>
      <c r="F97" s="617"/>
      <c r="G97" s="617"/>
      <c r="H97" s="617"/>
      <c r="I97" s="617"/>
      <c r="J97" s="617"/>
      <c r="K97" s="617"/>
      <c r="L97" s="617"/>
      <c r="M97" s="617"/>
      <c r="N97" s="617"/>
      <c r="O97" s="617"/>
      <c r="P97" s="617"/>
      <c r="Q97" s="617"/>
      <c r="R97" s="617"/>
      <c r="S97" s="617"/>
      <c r="T97" s="617"/>
      <c r="U97" s="617"/>
      <c r="V97" s="617"/>
      <c r="W97" s="617"/>
      <c r="X97" s="617"/>
      <c r="Y97" s="617"/>
      <c r="Z97" s="617"/>
      <c r="AA97" s="65"/>
      <c r="AB97" s="65"/>
      <c r="AC97" s="79"/>
    </row>
    <row r="98" spans="1:68" ht="14.25" customHeight="1" x14ac:dyDescent="0.25">
      <c r="A98" s="618" t="s">
        <v>110</v>
      </c>
      <c r="B98" s="618"/>
      <c r="C98" s="618"/>
      <c r="D98" s="618"/>
      <c r="E98" s="618"/>
      <c r="F98" s="618"/>
      <c r="G98" s="618"/>
      <c r="H98" s="618"/>
      <c r="I98" s="618"/>
      <c r="J98" s="618"/>
      <c r="K98" s="618"/>
      <c r="L98" s="618"/>
      <c r="M98" s="618"/>
      <c r="N98" s="618"/>
      <c r="O98" s="618"/>
      <c r="P98" s="618"/>
      <c r="Q98" s="618"/>
      <c r="R98" s="618"/>
      <c r="S98" s="618"/>
      <c r="T98" s="618"/>
      <c r="U98" s="618"/>
      <c r="V98" s="618"/>
      <c r="W98" s="618"/>
      <c r="X98" s="618"/>
      <c r="Y98" s="618"/>
      <c r="Z98" s="618"/>
      <c r="AA98" s="66"/>
      <c r="AB98" s="66"/>
      <c r="AC98" s="80"/>
    </row>
    <row r="99" spans="1:68" ht="37.5" customHeight="1" x14ac:dyDescent="0.25">
      <c r="A99" s="63" t="s">
        <v>201</v>
      </c>
      <c r="B99" s="63" t="s">
        <v>202</v>
      </c>
      <c r="C99" s="36">
        <v>4301011514</v>
      </c>
      <c r="D99" s="619">
        <v>4680115882133</v>
      </c>
      <c r="E99" s="619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6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1"/>
      <c r="R99" s="621"/>
      <c r="S99" s="621"/>
      <c r="T99" s="622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203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204</v>
      </c>
      <c r="B100" s="63" t="s">
        <v>205</v>
      </c>
      <c r="C100" s="36">
        <v>4301011417</v>
      </c>
      <c r="D100" s="619">
        <v>4680115880269</v>
      </c>
      <c r="E100" s="619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120</v>
      </c>
      <c r="L100" s="37" t="s">
        <v>45</v>
      </c>
      <c r="M100" s="38" t="s">
        <v>88</v>
      </c>
      <c r="N100" s="38"/>
      <c r="O100" s="37">
        <v>50</v>
      </c>
      <c r="P100" s="66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1"/>
      <c r="R100" s="621"/>
      <c r="S100" s="621"/>
      <c r="T100" s="622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203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206</v>
      </c>
      <c r="B101" s="63" t="s">
        <v>207</v>
      </c>
      <c r="C101" s="36">
        <v>4301011415</v>
      </c>
      <c r="D101" s="619">
        <v>4680115880429</v>
      </c>
      <c r="E101" s="619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120</v>
      </c>
      <c r="L101" s="37" t="s">
        <v>208</v>
      </c>
      <c r="M101" s="38" t="s">
        <v>88</v>
      </c>
      <c r="N101" s="38"/>
      <c r="O101" s="37">
        <v>50</v>
      </c>
      <c r="P101" s="66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1"/>
      <c r="R101" s="621"/>
      <c r="S101" s="621"/>
      <c r="T101" s="622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203</v>
      </c>
      <c r="AG101" s="78"/>
      <c r="AJ101" s="84" t="s">
        <v>117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4301011462</v>
      </c>
      <c r="D102" s="619">
        <v>4680115881457</v>
      </c>
      <c r="E102" s="619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45</v>
      </c>
      <c r="M102" s="38" t="s">
        <v>88</v>
      </c>
      <c r="N102" s="38"/>
      <c r="O102" s="37">
        <v>50</v>
      </c>
      <c r="P102" s="66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1"/>
      <c r="R102" s="621"/>
      <c r="S102" s="621"/>
      <c r="T102" s="622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203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6"/>
      <c r="B103" s="626"/>
      <c r="C103" s="626"/>
      <c r="D103" s="626"/>
      <c r="E103" s="626"/>
      <c r="F103" s="626"/>
      <c r="G103" s="626"/>
      <c r="H103" s="626"/>
      <c r="I103" s="626"/>
      <c r="J103" s="626"/>
      <c r="K103" s="626"/>
      <c r="L103" s="626"/>
      <c r="M103" s="626"/>
      <c r="N103" s="626"/>
      <c r="O103" s="627"/>
      <c r="P103" s="623" t="s">
        <v>40</v>
      </c>
      <c r="Q103" s="624"/>
      <c r="R103" s="624"/>
      <c r="S103" s="624"/>
      <c r="T103" s="624"/>
      <c r="U103" s="624"/>
      <c r="V103" s="625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6"/>
      <c r="B104" s="626"/>
      <c r="C104" s="626"/>
      <c r="D104" s="626"/>
      <c r="E104" s="626"/>
      <c r="F104" s="626"/>
      <c r="G104" s="626"/>
      <c r="H104" s="626"/>
      <c r="I104" s="626"/>
      <c r="J104" s="626"/>
      <c r="K104" s="626"/>
      <c r="L104" s="626"/>
      <c r="M104" s="626"/>
      <c r="N104" s="626"/>
      <c r="O104" s="627"/>
      <c r="P104" s="623" t="s">
        <v>40</v>
      </c>
      <c r="Q104" s="624"/>
      <c r="R104" s="624"/>
      <c r="S104" s="624"/>
      <c r="T104" s="624"/>
      <c r="U104" s="624"/>
      <c r="V104" s="625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18" t="s">
        <v>146</v>
      </c>
      <c r="B105" s="618"/>
      <c r="C105" s="618"/>
      <c r="D105" s="618"/>
      <c r="E105" s="618"/>
      <c r="F105" s="618"/>
      <c r="G105" s="618"/>
      <c r="H105" s="618"/>
      <c r="I105" s="618"/>
      <c r="J105" s="618"/>
      <c r="K105" s="618"/>
      <c r="L105" s="618"/>
      <c r="M105" s="618"/>
      <c r="N105" s="618"/>
      <c r="O105" s="618"/>
      <c r="P105" s="618"/>
      <c r="Q105" s="618"/>
      <c r="R105" s="618"/>
      <c r="S105" s="618"/>
      <c r="T105" s="618"/>
      <c r="U105" s="618"/>
      <c r="V105" s="618"/>
      <c r="W105" s="618"/>
      <c r="X105" s="618"/>
      <c r="Y105" s="618"/>
      <c r="Z105" s="618"/>
      <c r="AA105" s="66"/>
      <c r="AB105" s="66"/>
      <c r="AC105" s="80"/>
    </row>
    <row r="106" spans="1:68" ht="16.5" customHeight="1" x14ac:dyDescent="0.25">
      <c r="A106" s="63" t="s">
        <v>211</v>
      </c>
      <c r="B106" s="63" t="s">
        <v>212</v>
      </c>
      <c r="C106" s="36">
        <v>4301020345</v>
      </c>
      <c r="D106" s="619">
        <v>4680115881488</v>
      </c>
      <c r="E106" s="619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115</v>
      </c>
      <c r="L106" s="37" t="s">
        <v>116</v>
      </c>
      <c r="M106" s="38" t="s">
        <v>114</v>
      </c>
      <c r="N106" s="38"/>
      <c r="O106" s="37">
        <v>55</v>
      </c>
      <c r="P106" s="66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1"/>
      <c r="R106" s="621"/>
      <c r="S106" s="621"/>
      <c r="T106" s="622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213</v>
      </c>
      <c r="AG106" s="78"/>
      <c r="AJ106" s="84" t="s">
        <v>117</v>
      </c>
      <c r="AK106" s="84">
        <v>86.4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214</v>
      </c>
      <c r="B107" s="63" t="s">
        <v>215</v>
      </c>
      <c r="C107" s="36">
        <v>4301020346</v>
      </c>
      <c r="D107" s="619">
        <v>4680115882775</v>
      </c>
      <c r="E107" s="619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83</v>
      </c>
      <c r="L107" s="37" t="s">
        <v>45</v>
      </c>
      <c r="M107" s="38" t="s">
        <v>114</v>
      </c>
      <c r="N107" s="38"/>
      <c r="O107" s="37">
        <v>55</v>
      </c>
      <c r="P107" s="66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1"/>
      <c r="R107" s="621"/>
      <c r="S107" s="621"/>
      <c r="T107" s="622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213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216</v>
      </c>
      <c r="B108" s="63" t="s">
        <v>217</v>
      </c>
      <c r="C108" s="36">
        <v>4301020344</v>
      </c>
      <c r="D108" s="619">
        <v>4680115880658</v>
      </c>
      <c r="E108" s="61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89</v>
      </c>
      <c r="L108" s="37" t="s">
        <v>45</v>
      </c>
      <c r="M108" s="38" t="s">
        <v>114</v>
      </c>
      <c r="N108" s="38"/>
      <c r="O108" s="37">
        <v>55</v>
      </c>
      <c r="P108" s="6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1"/>
      <c r="R108" s="621"/>
      <c r="S108" s="621"/>
      <c r="T108" s="622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213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6"/>
      <c r="B109" s="626"/>
      <c r="C109" s="626"/>
      <c r="D109" s="626"/>
      <c r="E109" s="626"/>
      <c r="F109" s="626"/>
      <c r="G109" s="626"/>
      <c r="H109" s="626"/>
      <c r="I109" s="626"/>
      <c r="J109" s="626"/>
      <c r="K109" s="626"/>
      <c r="L109" s="626"/>
      <c r="M109" s="626"/>
      <c r="N109" s="626"/>
      <c r="O109" s="627"/>
      <c r="P109" s="623" t="s">
        <v>40</v>
      </c>
      <c r="Q109" s="624"/>
      <c r="R109" s="624"/>
      <c r="S109" s="624"/>
      <c r="T109" s="624"/>
      <c r="U109" s="624"/>
      <c r="V109" s="625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6"/>
      <c r="B110" s="626"/>
      <c r="C110" s="626"/>
      <c r="D110" s="626"/>
      <c r="E110" s="626"/>
      <c r="F110" s="626"/>
      <c r="G110" s="626"/>
      <c r="H110" s="626"/>
      <c r="I110" s="626"/>
      <c r="J110" s="626"/>
      <c r="K110" s="626"/>
      <c r="L110" s="626"/>
      <c r="M110" s="626"/>
      <c r="N110" s="626"/>
      <c r="O110" s="627"/>
      <c r="P110" s="623" t="s">
        <v>40</v>
      </c>
      <c r="Q110" s="624"/>
      <c r="R110" s="624"/>
      <c r="S110" s="624"/>
      <c r="T110" s="624"/>
      <c r="U110" s="624"/>
      <c r="V110" s="625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18" t="s">
        <v>84</v>
      </c>
      <c r="B111" s="618"/>
      <c r="C111" s="618"/>
      <c r="D111" s="618"/>
      <c r="E111" s="618"/>
      <c r="F111" s="618"/>
      <c r="G111" s="618"/>
      <c r="H111" s="618"/>
      <c r="I111" s="618"/>
      <c r="J111" s="618"/>
      <c r="K111" s="618"/>
      <c r="L111" s="618"/>
      <c r="M111" s="618"/>
      <c r="N111" s="618"/>
      <c r="O111" s="618"/>
      <c r="P111" s="618"/>
      <c r="Q111" s="618"/>
      <c r="R111" s="618"/>
      <c r="S111" s="618"/>
      <c r="T111" s="618"/>
      <c r="U111" s="618"/>
      <c r="V111" s="618"/>
      <c r="W111" s="618"/>
      <c r="X111" s="618"/>
      <c r="Y111" s="618"/>
      <c r="Z111" s="618"/>
      <c r="AA111" s="66"/>
      <c r="AB111" s="66"/>
      <c r="AC111" s="80"/>
    </row>
    <row r="112" spans="1:68" ht="27" customHeight="1" x14ac:dyDescent="0.25">
      <c r="A112" s="63" t="s">
        <v>218</v>
      </c>
      <c r="B112" s="63" t="s">
        <v>219</v>
      </c>
      <c r="C112" s="36">
        <v>4301051724</v>
      </c>
      <c r="D112" s="619">
        <v>4607091385168</v>
      </c>
      <c r="E112" s="619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115</v>
      </c>
      <c r="L112" s="37" t="s">
        <v>116</v>
      </c>
      <c r="M112" s="38" t="s">
        <v>96</v>
      </c>
      <c r="N112" s="38"/>
      <c r="O112" s="37">
        <v>45</v>
      </c>
      <c r="P112" s="6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1"/>
      <c r="R112" s="621"/>
      <c r="S112" s="621"/>
      <c r="T112" s="622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220</v>
      </c>
      <c r="AG112" s="78"/>
      <c r="AJ112" s="84" t="s">
        <v>117</v>
      </c>
      <c r="AK112" s="84">
        <v>64.8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221</v>
      </c>
      <c r="B113" s="63" t="s">
        <v>222</v>
      </c>
      <c r="C113" s="36">
        <v>4301051730</v>
      </c>
      <c r="D113" s="619">
        <v>4607091383256</v>
      </c>
      <c r="E113" s="619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89</v>
      </c>
      <c r="L113" s="37" t="s">
        <v>45</v>
      </c>
      <c r="M113" s="38" t="s">
        <v>96</v>
      </c>
      <c r="N113" s="38"/>
      <c r="O113" s="37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1"/>
      <c r="R113" s="621"/>
      <c r="S113" s="621"/>
      <c r="T113" s="622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220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223</v>
      </c>
      <c r="B114" s="63" t="s">
        <v>224</v>
      </c>
      <c r="C114" s="36">
        <v>4301051721</v>
      </c>
      <c r="D114" s="619">
        <v>4607091385748</v>
      </c>
      <c r="E114" s="619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89</v>
      </c>
      <c r="L114" s="37" t="s">
        <v>225</v>
      </c>
      <c r="M114" s="38" t="s">
        <v>96</v>
      </c>
      <c r="N114" s="38"/>
      <c r="O114" s="37">
        <v>45</v>
      </c>
      <c r="P114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1"/>
      <c r="R114" s="621"/>
      <c r="S114" s="621"/>
      <c r="T114" s="622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220</v>
      </c>
      <c r="AG114" s="78"/>
      <c r="AJ114" s="84" t="s">
        <v>117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226</v>
      </c>
      <c r="B115" s="63" t="s">
        <v>227</v>
      </c>
      <c r="C115" s="36">
        <v>4301051740</v>
      </c>
      <c r="D115" s="619">
        <v>4680115884533</v>
      </c>
      <c r="E115" s="619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89</v>
      </c>
      <c r="L115" s="37" t="s">
        <v>225</v>
      </c>
      <c r="M115" s="38" t="s">
        <v>88</v>
      </c>
      <c r="N115" s="38"/>
      <c r="O115" s="37">
        <v>45</v>
      </c>
      <c r="P115" s="6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1"/>
      <c r="R115" s="621"/>
      <c r="S115" s="621"/>
      <c r="T115" s="622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228</v>
      </c>
      <c r="AG115" s="78"/>
      <c r="AJ115" s="84" t="s">
        <v>117</v>
      </c>
      <c r="AK115" s="84">
        <v>25.2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6"/>
      <c r="B116" s="626"/>
      <c r="C116" s="626"/>
      <c r="D116" s="626"/>
      <c r="E116" s="626"/>
      <c r="F116" s="626"/>
      <c r="G116" s="626"/>
      <c r="H116" s="626"/>
      <c r="I116" s="626"/>
      <c r="J116" s="626"/>
      <c r="K116" s="626"/>
      <c r="L116" s="626"/>
      <c r="M116" s="626"/>
      <c r="N116" s="626"/>
      <c r="O116" s="627"/>
      <c r="P116" s="623" t="s">
        <v>40</v>
      </c>
      <c r="Q116" s="624"/>
      <c r="R116" s="624"/>
      <c r="S116" s="624"/>
      <c r="T116" s="624"/>
      <c r="U116" s="624"/>
      <c r="V116" s="625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6"/>
      <c r="B117" s="626"/>
      <c r="C117" s="626"/>
      <c r="D117" s="626"/>
      <c r="E117" s="626"/>
      <c r="F117" s="626"/>
      <c r="G117" s="626"/>
      <c r="H117" s="626"/>
      <c r="I117" s="626"/>
      <c r="J117" s="626"/>
      <c r="K117" s="626"/>
      <c r="L117" s="626"/>
      <c r="M117" s="626"/>
      <c r="N117" s="626"/>
      <c r="O117" s="627"/>
      <c r="P117" s="623" t="s">
        <v>40</v>
      </c>
      <c r="Q117" s="624"/>
      <c r="R117" s="624"/>
      <c r="S117" s="624"/>
      <c r="T117" s="624"/>
      <c r="U117" s="624"/>
      <c r="V117" s="625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18" t="s">
        <v>174</v>
      </c>
      <c r="B118" s="618"/>
      <c r="C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  <c r="Q118" s="618"/>
      <c r="R118" s="618"/>
      <c r="S118" s="618"/>
      <c r="T118" s="618"/>
      <c r="U118" s="618"/>
      <c r="V118" s="618"/>
      <c r="W118" s="618"/>
      <c r="X118" s="618"/>
      <c r="Y118" s="618"/>
      <c r="Z118" s="618"/>
      <c r="AA118" s="66"/>
      <c r="AB118" s="66"/>
      <c r="AC118" s="80"/>
    </row>
    <row r="119" spans="1:68" ht="16.5" customHeight="1" x14ac:dyDescent="0.25">
      <c r="A119" s="63" t="s">
        <v>229</v>
      </c>
      <c r="B119" s="63" t="s">
        <v>230</v>
      </c>
      <c r="C119" s="36">
        <v>4301060317</v>
      </c>
      <c r="D119" s="619">
        <v>4680115880238</v>
      </c>
      <c r="E119" s="619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89</v>
      </c>
      <c r="L119" s="37" t="s">
        <v>225</v>
      </c>
      <c r="M119" s="38" t="s">
        <v>88</v>
      </c>
      <c r="N119" s="38"/>
      <c r="O119" s="37">
        <v>40</v>
      </c>
      <c r="P119" s="6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1"/>
      <c r="R119" s="621"/>
      <c r="S119" s="621"/>
      <c r="T119" s="622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231</v>
      </c>
      <c r="AG119" s="78"/>
      <c r="AJ119" s="84" t="s">
        <v>117</v>
      </c>
      <c r="AK119" s="84">
        <v>27.72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6"/>
      <c r="B120" s="626"/>
      <c r="C120" s="626"/>
      <c r="D120" s="626"/>
      <c r="E120" s="626"/>
      <c r="F120" s="626"/>
      <c r="G120" s="626"/>
      <c r="H120" s="626"/>
      <c r="I120" s="626"/>
      <c r="J120" s="626"/>
      <c r="K120" s="626"/>
      <c r="L120" s="626"/>
      <c r="M120" s="626"/>
      <c r="N120" s="626"/>
      <c r="O120" s="627"/>
      <c r="P120" s="623" t="s">
        <v>40</v>
      </c>
      <c r="Q120" s="624"/>
      <c r="R120" s="624"/>
      <c r="S120" s="624"/>
      <c r="T120" s="624"/>
      <c r="U120" s="624"/>
      <c r="V120" s="625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6"/>
      <c r="B121" s="626"/>
      <c r="C121" s="626"/>
      <c r="D121" s="626"/>
      <c r="E121" s="626"/>
      <c r="F121" s="626"/>
      <c r="G121" s="626"/>
      <c r="H121" s="626"/>
      <c r="I121" s="626"/>
      <c r="J121" s="626"/>
      <c r="K121" s="626"/>
      <c r="L121" s="626"/>
      <c r="M121" s="626"/>
      <c r="N121" s="626"/>
      <c r="O121" s="627"/>
      <c r="P121" s="623" t="s">
        <v>40</v>
      </c>
      <c r="Q121" s="624"/>
      <c r="R121" s="624"/>
      <c r="S121" s="624"/>
      <c r="T121" s="624"/>
      <c r="U121" s="624"/>
      <c r="V121" s="625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17" t="s">
        <v>232</v>
      </c>
      <c r="B122" s="617"/>
      <c r="C122" s="617"/>
      <c r="D122" s="617"/>
      <c r="E122" s="617"/>
      <c r="F122" s="617"/>
      <c r="G122" s="617"/>
      <c r="H122" s="617"/>
      <c r="I122" s="617"/>
      <c r="J122" s="617"/>
      <c r="K122" s="617"/>
      <c r="L122" s="617"/>
      <c r="M122" s="617"/>
      <c r="N122" s="617"/>
      <c r="O122" s="617"/>
      <c r="P122" s="617"/>
      <c r="Q122" s="617"/>
      <c r="R122" s="617"/>
      <c r="S122" s="617"/>
      <c r="T122" s="617"/>
      <c r="U122" s="617"/>
      <c r="V122" s="617"/>
      <c r="W122" s="617"/>
      <c r="X122" s="617"/>
      <c r="Y122" s="617"/>
      <c r="Z122" s="617"/>
      <c r="AA122" s="65"/>
      <c r="AB122" s="65"/>
      <c r="AC122" s="79"/>
    </row>
    <row r="123" spans="1:68" ht="14.25" customHeight="1" x14ac:dyDescent="0.25">
      <c r="A123" s="618" t="s">
        <v>110</v>
      </c>
      <c r="B123" s="618"/>
      <c r="C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  <c r="Q123" s="618"/>
      <c r="R123" s="618"/>
      <c r="S123" s="618"/>
      <c r="T123" s="618"/>
      <c r="U123" s="618"/>
      <c r="V123" s="618"/>
      <c r="W123" s="618"/>
      <c r="X123" s="618"/>
      <c r="Y123" s="618"/>
      <c r="Z123" s="618"/>
      <c r="AA123" s="66"/>
      <c r="AB123" s="66"/>
      <c r="AC123" s="80"/>
    </row>
    <row r="124" spans="1:68" ht="27" customHeight="1" x14ac:dyDescent="0.25">
      <c r="A124" s="63" t="s">
        <v>233</v>
      </c>
      <c r="B124" s="63" t="s">
        <v>234</v>
      </c>
      <c r="C124" s="36">
        <v>4301011562</v>
      </c>
      <c r="D124" s="619">
        <v>4680115882577</v>
      </c>
      <c r="E124" s="619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89</v>
      </c>
      <c r="L124" s="37" t="s">
        <v>225</v>
      </c>
      <c r="M124" s="38" t="s">
        <v>107</v>
      </c>
      <c r="N124" s="38"/>
      <c r="O124" s="37">
        <v>90</v>
      </c>
      <c r="P124" s="6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1"/>
      <c r="R124" s="621"/>
      <c r="S124" s="621"/>
      <c r="T124" s="622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235</v>
      </c>
      <c r="AG124" s="78"/>
      <c r="AJ124" s="84" t="s">
        <v>117</v>
      </c>
      <c r="AK124" s="84">
        <v>44.8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233</v>
      </c>
      <c r="B125" s="63" t="s">
        <v>236</v>
      </c>
      <c r="C125" s="36">
        <v>4301011564</v>
      </c>
      <c r="D125" s="619">
        <v>4680115882577</v>
      </c>
      <c r="E125" s="619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45</v>
      </c>
      <c r="M125" s="38" t="s">
        <v>107</v>
      </c>
      <c r="N125" s="38"/>
      <c r="O125" s="37">
        <v>90</v>
      </c>
      <c r="P125" s="6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1"/>
      <c r="R125" s="621"/>
      <c r="S125" s="621"/>
      <c r="T125" s="622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235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6"/>
      <c r="B126" s="626"/>
      <c r="C126" s="626"/>
      <c r="D126" s="626"/>
      <c r="E126" s="626"/>
      <c r="F126" s="626"/>
      <c r="G126" s="626"/>
      <c r="H126" s="626"/>
      <c r="I126" s="626"/>
      <c r="J126" s="626"/>
      <c r="K126" s="626"/>
      <c r="L126" s="626"/>
      <c r="M126" s="626"/>
      <c r="N126" s="626"/>
      <c r="O126" s="627"/>
      <c r="P126" s="623" t="s">
        <v>40</v>
      </c>
      <c r="Q126" s="624"/>
      <c r="R126" s="624"/>
      <c r="S126" s="624"/>
      <c r="T126" s="624"/>
      <c r="U126" s="624"/>
      <c r="V126" s="625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6"/>
      <c r="B127" s="626"/>
      <c r="C127" s="626"/>
      <c r="D127" s="626"/>
      <c r="E127" s="626"/>
      <c r="F127" s="626"/>
      <c r="G127" s="626"/>
      <c r="H127" s="626"/>
      <c r="I127" s="626"/>
      <c r="J127" s="626"/>
      <c r="K127" s="626"/>
      <c r="L127" s="626"/>
      <c r="M127" s="626"/>
      <c r="N127" s="626"/>
      <c r="O127" s="627"/>
      <c r="P127" s="623" t="s">
        <v>40</v>
      </c>
      <c r="Q127" s="624"/>
      <c r="R127" s="624"/>
      <c r="S127" s="624"/>
      <c r="T127" s="624"/>
      <c r="U127" s="624"/>
      <c r="V127" s="625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18" t="s">
        <v>78</v>
      </c>
      <c r="B128" s="618"/>
      <c r="C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  <c r="Q128" s="618"/>
      <c r="R128" s="618"/>
      <c r="S128" s="618"/>
      <c r="T128" s="618"/>
      <c r="U128" s="618"/>
      <c r="V128" s="618"/>
      <c r="W128" s="618"/>
      <c r="X128" s="618"/>
      <c r="Y128" s="618"/>
      <c r="Z128" s="618"/>
      <c r="AA128" s="66"/>
      <c r="AB128" s="66"/>
      <c r="AC128" s="80"/>
    </row>
    <row r="129" spans="1:68" ht="27" customHeight="1" x14ac:dyDescent="0.25">
      <c r="A129" s="63" t="s">
        <v>237</v>
      </c>
      <c r="B129" s="63" t="s">
        <v>238</v>
      </c>
      <c r="C129" s="36">
        <v>4301031235</v>
      </c>
      <c r="D129" s="619">
        <v>4680115883444</v>
      </c>
      <c r="E129" s="619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89</v>
      </c>
      <c r="L129" s="37" t="s">
        <v>45</v>
      </c>
      <c r="M129" s="38" t="s">
        <v>107</v>
      </c>
      <c r="N129" s="38"/>
      <c r="O129" s="37">
        <v>90</v>
      </c>
      <c r="P129" s="67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1"/>
      <c r="R129" s="621"/>
      <c r="S129" s="621"/>
      <c r="T129" s="622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239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237</v>
      </c>
      <c r="B130" s="63" t="s">
        <v>240</v>
      </c>
      <c r="C130" s="36">
        <v>4301031234</v>
      </c>
      <c r="D130" s="619">
        <v>4680115883444</v>
      </c>
      <c r="E130" s="619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225</v>
      </c>
      <c r="M130" s="38" t="s">
        <v>107</v>
      </c>
      <c r="N130" s="38"/>
      <c r="O130" s="37">
        <v>90</v>
      </c>
      <c r="P130" s="6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1"/>
      <c r="R130" s="621"/>
      <c r="S130" s="621"/>
      <c r="T130" s="622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239</v>
      </c>
      <c r="AG130" s="78"/>
      <c r="AJ130" s="84" t="s">
        <v>117</v>
      </c>
      <c r="AK130" s="84">
        <v>39.200000000000003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6"/>
      <c r="B131" s="626"/>
      <c r="C131" s="626"/>
      <c r="D131" s="626"/>
      <c r="E131" s="626"/>
      <c r="F131" s="626"/>
      <c r="G131" s="626"/>
      <c r="H131" s="626"/>
      <c r="I131" s="626"/>
      <c r="J131" s="626"/>
      <c r="K131" s="626"/>
      <c r="L131" s="626"/>
      <c r="M131" s="626"/>
      <c r="N131" s="626"/>
      <c r="O131" s="627"/>
      <c r="P131" s="623" t="s">
        <v>40</v>
      </c>
      <c r="Q131" s="624"/>
      <c r="R131" s="624"/>
      <c r="S131" s="624"/>
      <c r="T131" s="624"/>
      <c r="U131" s="624"/>
      <c r="V131" s="625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6"/>
      <c r="B132" s="626"/>
      <c r="C132" s="626"/>
      <c r="D132" s="626"/>
      <c r="E132" s="626"/>
      <c r="F132" s="626"/>
      <c r="G132" s="626"/>
      <c r="H132" s="626"/>
      <c r="I132" s="626"/>
      <c r="J132" s="626"/>
      <c r="K132" s="626"/>
      <c r="L132" s="626"/>
      <c r="M132" s="626"/>
      <c r="N132" s="626"/>
      <c r="O132" s="627"/>
      <c r="P132" s="623" t="s">
        <v>40</v>
      </c>
      <c r="Q132" s="624"/>
      <c r="R132" s="624"/>
      <c r="S132" s="624"/>
      <c r="T132" s="624"/>
      <c r="U132" s="624"/>
      <c r="V132" s="625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18" t="s">
        <v>84</v>
      </c>
      <c r="B133" s="618"/>
      <c r="C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  <c r="Q133" s="618"/>
      <c r="R133" s="618"/>
      <c r="S133" s="618"/>
      <c r="T133" s="618"/>
      <c r="U133" s="618"/>
      <c r="V133" s="618"/>
      <c r="W133" s="618"/>
      <c r="X133" s="618"/>
      <c r="Y133" s="618"/>
      <c r="Z133" s="618"/>
      <c r="AA133" s="66"/>
      <c r="AB133" s="66"/>
      <c r="AC133" s="80"/>
    </row>
    <row r="134" spans="1:68" ht="16.5" customHeight="1" x14ac:dyDescent="0.25">
      <c r="A134" s="63" t="s">
        <v>241</v>
      </c>
      <c r="B134" s="63" t="s">
        <v>242</v>
      </c>
      <c r="C134" s="36">
        <v>4301051477</v>
      </c>
      <c r="D134" s="619">
        <v>4680115882584</v>
      </c>
      <c r="E134" s="619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89</v>
      </c>
      <c r="L134" s="37" t="s">
        <v>45</v>
      </c>
      <c r="M134" s="38" t="s">
        <v>107</v>
      </c>
      <c r="N134" s="38"/>
      <c r="O134" s="37">
        <v>60</v>
      </c>
      <c r="P134" s="67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1"/>
      <c r="R134" s="621"/>
      <c r="S134" s="621"/>
      <c r="T134" s="622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235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241</v>
      </c>
      <c r="B135" s="63" t="s">
        <v>243</v>
      </c>
      <c r="C135" s="36">
        <v>4301051476</v>
      </c>
      <c r="D135" s="619">
        <v>4680115882584</v>
      </c>
      <c r="E135" s="619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225</v>
      </c>
      <c r="M135" s="38" t="s">
        <v>107</v>
      </c>
      <c r="N135" s="38"/>
      <c r="O135" s="37">
        <v>60</v>
      </c>
      <c r="P135" s="68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1"/>
      <c r="R135" s="621"/>
      <c r="S135" s="621"/>
      <c r="T135" s="622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235</v>
      </c>
      <c r="AG135" s="78"/>
      <c r="AJ135" s="84" t="s">
        <v>117</v>
      </c>
      <c r="AK135" s="84">
        <v>36.96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6"/>
      <c r="B136" s="626"/>
      <c r="C136" s="626"/>
      <c r="D136" s="626"/>
      <c r="E136" s="626"/>
      <c r="F136" s="626"/>
      <c r="G136" s="626"/>
      <c r="H136" s="626"/>
      <c r="I136" s="626"/>
      <c r="J136" s="626"/>
      <c r="K136" s="626"/>
      <c r="L136" s="626"/>
      <c r="M136" s="626"/>
      <c r="N136" s="626"/>
      <c r="O136" s="627"/>
      <c r="P136" s="623" t="s">
        <v>40</v>
      </c>
      <c r="Q136" s="624"/>
      <c r="R136" s="624"/>
      <c r="S136" s="624"/>
      <c r="T136" s="624"/>
      <c r="U136" s="624"/>
      <c r="V136" s="625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6"/>
      <c r="B137" s="626"/>
      <c r="C137" s="626"/>
      <c r="D137" s="626"/>
      <c r="E137" s="626"/>
      <c r="F137" s="626"/>
      <c r="G137" s="626"/>
      <c r="H137" s="626"/>
      <c r="I137" s="626"/>
      <c r="J137" s="626"/>
      <c r="K137" s="626"/>
      <c r="L137" s="626"/>
      <c r="M137" s="626"/>
      <c r="N137" s="626"/>
      <c r="O137" s="627"/>
      <c r="P137" s="623" t="s">
        <v>40</v>
      </c>
      <c r="Q137" s="624"/>
      <c r="R137" s="624"/>
      <c r="S137" s="624"/>
      <c r="T137" s="624"/>
      <c r="U137" s="624"/>
      <c r="V137" s="625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17" t="s">
        <v>108</v>
      </c>
      <c r="B138" s="617"/>
      <c r="C138" s="617"/>
      <c r="D138" s="617"/>
      <c r="E138" s="617"/>
      <c r="F138" s="617"/>
      <c r="G138" s="617"/>
      <c r="H138" s="617"/>
      <c r="I138" s="617"/>
      <c r="J138" s="617"/>
      <c r="K138" s="617"/>
      <c r="L138" s="617"/>
      <c r="M138" s="617"/>
      <c r="N138" s="617"/>
      <c r="O138" s="617"/>
      <c r="P138" s="617"/>
      <c r="Q138" s="617"/>
      <c r="R138" s="617"/>
      <c r="S138" s="617"/>
      <c r="T138" s="617"/>
      <c r="U138" s="617"/>
      <c r="V138" s="617"/>
      <c r="W138" s="617"/>
      <c r="X138" s="617"/>
      <c r="Y138" s="617"/>
      <c r="Z138" s="617"/>
      <c r="AA138" s="65"/>
      <c r="AB138" s="65"/>
      <c r="AC138" s="79"/>
    </row>
    <row r="139" spans="1:68" ht="14.25" customHeight="1" x14ac:dyDescent="0.25">
      <c r="A139" s="618" t="s">
        <v>110</v>
      </c>
      <c r="B139" s="618"/>
      <c r="C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  <c r="Q139" s="618"/>
      <c r="R139" s="618"/>
      <c r="S139" s="618"/>
      <c r="T139" s="618"/>
      <c r="U139" s="618"/>
      <c r="V139" s="618"/>
      <c r="W139" s="618"/>
      <c r="X139" s="618"/>
      <c r="Y139" s="618"/>
      <c r="Z139" s="618"/>
      <c r="AA139" s="66"/>
      <c r="AB139" s="66"/>
      <c r="AC139" s="80"/>
    </row>
    <row r="140" spans="1:68" ht="27" customHeight="1" x14ac:dyDescent="0.25">
      <c r="A140" s="63" t="s">
        <v>244</v>
      </c>
      <c r="B140" s="63" t="s">
        <v>245</v>
      </c>
      <c r="C140" s="36">
        <v>4301012244</v>
      </c>
      <c r="D140" s="619">
        <v>4680115887374</v>
      </c>
      <c r="E140" s="619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115</v>
      </c>
      <c r="L140" s="37" t="s">
        <v>45</v>
      </c>
      <c r="M140" s="38" t="s">
        <v>114</v>
      </c>
      <c r="N140" s="38"/>
      <c r="O140" s="37">
        <v>55</v>
      </c>
      <c r="P140" s="68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1"/>
      <c r="R140" s="621"/>
      <c r="S140" s="621"/>
      <c r="T140" s="622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246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247</v>
      </c>
      <c r="B141" s="63" t="s">
        <v>248</v>
      </c>
      <c r="C141" s="36">
        <v>4301011705</v>
      </c>
      <c r="D141" s="619">
        <v>4607091384604</v>
      </c>
      <c r="E141" s="619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120</v>
      </c>
      <c r="L141" s="37" t="s">
        <v>45</v>
      </c>
      <c r="M141" s="38" t="s">
        <v>114</v>
      </c>
      <c r="N141" s="38"/>
      <c r="O141" s="37">
        <v>50</v>
      </c>
      <c r="P141" s="68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1"/>
      <c r="R141" s="621"/>
      <c r="S141" s="621"/>
      <c r="T141" s="622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249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250</v>
      </c>
      <c r="B142" s="63" t="s">
        <v>251</v>
      </c>
      <c r="C142" s="36">
        <v>4301012179</v>
      </c>
      <c r="D142" s="619">
        <v>4680115886810</v>
      </c>
      <c r="E142" s="619"/>
      <c r="F142" s="62">
        <v>0.3</v>
      </c>
      <c r="G142" s="37">
        <v>10</v>
      </c>
      <c r="H142" s="62">
        <v>3</v>
      </c>
      <c r="I142" s="62">
        <v>3.18</v>
      </c>
      <c r="J142" s="37">
        <v>182</v>
      </c>
      <c r="K142" s="37" t="s">
        <v>89</v>
      </c>
      <c r="L142" s="37" t="s">
        <v>45</v>
      </c>
      <c r="M142" s="38" t="s">
        <v>114</v>
      </c>
      <c r="N142" s="38"/>
      <c r="O142" s="37">
        <v>55</v>
      </c>
      <c r="P142" s="68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621"/>
      <c r="R142" s="621"/>
      <c r="S142" s="621"/>
      <c r="T142" s="622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26"/>
      <c r="B143" s="626"/>
      <c r="C143" s="626"/>
      <c r="D143" s="626"/>
      <c r="E143" s="626"/>
      <c r="F143" s="626"/>
      <c r="G143" s="626"/>
      <c r="H143" s="626"/>
      <c r="I143" s="626"/>
      <c r="J143" s="626"/>
      <c r="K143" s="626"/>
      <c r="L143" s="626"/>
      <c r="M143" s="626"/>
      <c r="N143" s="626"/>
      <c r="O143" s="627"/>
      <c r="P143" s="623" t="s">
        <v>40</v>
      </c>
      <c r="Q143" s="624"/>
      <c r="R143" s="624"/>
      <c r="S143" s="624"/>
      <c r="T143" s="624"/>
      <c r="U143" s="624"/>
      <c r="V143" s="625"/>
      <c r="W143" s="42" t="s">
        <v>39</v>
      </c>
      <c r="X143" s="43">
        <f>IFERROR(X140/H140,"0")+IFERROR(X141/H141,"0")+IFERROR(X142/H142,"0")</f>
        <v>0</v>
      </c>
      <c r="Y143" s="43">
        <f>IFERROR(Y140/H140,"0")+IFERROR(Y141/H141,"0")+IFERROR(Y142/H142,"0")</f>
        <v>0</v>
      </c>
      <c r="Z143" s="43">
        <f>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26"/>
      <c r="B144" s="626"/>
      <c r="C144" s="626"/>
      <c r="D144" s="626"/>
      <c r="E144" s="626"/>
      <c r="F144" s="626"/>
      <c r="G144" s="626"/>
      <c r="H144" s="626"/>
      <c r="I144" s="626"/>
      <c r="J144" s="626"/>
      <c r="K144" s="626"/>
      <c r="L144" s="626"/>
      <c r="M144" s="626"/>
      <c r="N144" s="626"/>
      <c r="O144" s="627"/>
      <c r="P144" s="623" t="s">
        <v>40</v>
      </c>
      <c r="Q144" s="624"/>
      <c r="R144" s="624"/>
      <c r="S144" s="624"/>
      <c r="T144" s="624"/>
      <c r="U144" s="624"/>
      <c r="V144" s="625"/>
      <c r="W144" s="42" t="s">
        <v>0</v>
      </c>
      <c r="X144" s="43">
        <f>IFERROR(SUM(X140:X142),"0")</f>
        <v>0</v>
      </c>
      <c r="Y144" s="43">
        <f>IFERROR(SUM(Y140:Y142),"0")</f>
        <v>0</v>
      </c>
      <c r="Z144" s="42"/>
      <c r="AA144" s="67"/>
      <c r="AB144" s="67"/>
      <c r="AC144" s="67"/>
    </row>
    <row r="145" spans="1:68" ht="14.25" customHeight="1" x14ac:dyDescent="0.25">
      <c r="A145" s="618" t="s">
        <v>78</v>
      </c>
      <c r="B145" s="618"/>
      <c r="C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  <c r="Q145" s="618"/>
      <c r="R145" s="618"/>
      <c r="S145" s="618"/>
      <c r="T145" s="618"/>
      <c r="U145" s="618"/>
      <c r="V145" s="618"/>
      <c r="W145" s="618"/>
      <c r="X145" s="618"/>
      <c r="Y145" s="618"/>
      <c r="Z145" s="618"/>
      <c r="AA145" s="66"/>
      <c r="AB145" s="66"/>
      <c r="AC145" s="80"/>
    </row>
    <row r="146" spans="1:68" ht="16.5" customHeight="1" x14ac:dyDescent="0.25">
      <c r="A146" s="63" t="s">
        <v>253</v>
      </c>
      <c r="B146" s="63" t="s">
        <v>254</v>
      </c>
      <c r="C146" s="36">
        <v>4301030895</v>
      </c>
      <c r="D146" s="619">
        <v>4607091387667</v>
      </c>
      <c r="E146" s="619"/>
      <c r="F146" s="62">
        <v>0.9</v>
      </c>
      <c r="G146" s="37">
        <v>10</v>
      </c>
      <c r="H146" s="62">
        <v>9</v>
      </c>
      <c r="I146" s="62">
        <v>9.56</v>
      </c>
      <c r="J146" s="37">
        <v>64</v>
      </c>
      <c r="K146" s="37" t="s">
        <v>115</v>
      </c>
      <c r="L146" s="37" t="s">
        <v>45</v>
      </c>
      <c r="M146" s="38" t="s">
        <v>114</v>
      </c>
      <c r="N146" s="38"/>
      <c r="O146" s="37">
        <v>40</v>
      </c>
      <c r="P146" s="68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621"/>
      <c r="R146" s="621"/>
      <c r="S146" s="621"/>
      <c r="T146" s="622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45</v>
      </c>
      <c r="AB146" s="69" t="s">
        <v>45</v>
      </c>
      <c r="AC146" s="200" t="s">
        <v>255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256</v>
      </c>
      <c r="B147" s="63" t="s">
        <v>257</v>
      </c>
      <c r="C147" s="36">
        <v>4301030961</v>
      </c>
      <c r="D147" s="619">
        <v>4607091387636</v>
      </c>
      <c r="E147" s="619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89</v>
      </c>
      <c r="L147" s="37" t="s">
        <v>45</v>
      </c>
      <c r="M147" s="38" t="s">
        <v>82</v>
      </c>
      <c r="N147" s="38"/>
      <c r="O147" s="37">
        <v>40</v>
      </c>
      <c r="P147" s="68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1"/>
      <c r="R147" s="621"/>
      <c r="S147" s="621"/>
      <c r="T147" s="622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259</v>
      </c>
      <c r="B148" s="63" t="s">
        <v>260</v>
      </c>
      <c r="C148" s="36">
        <v>4301030963</v>
      </c>
      <c r="D148" s="619">
        <v>4607091382426</v>
      </c>
      <c r="E148" s="619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115</v>
      </c>
      <c r="L148" s="37" t="s">
        <v>45</v>
      </c>
      <c r="M148" s="38" t="s">
        <v>82</v>
      </c>
      <c r="N148" s="38"/>
      <c r="O148" s="37">
        <v>40</v>
      </c>
      <c r="P148" s="68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621"/>
      <c r="R148" s="621"/>
      <c r="S148" s="621"/>
      <c r="T148" s="622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x14ac:dyDescent="0.2">
      <c r="A149" s="626"/>
      <c r="B149" s="626"/>
      <c r="C149" s="626"/>
      <c r="D149" s="626"/>
      <c r="E149" s="626"/>
      <c r="F149" s="626"/>
      <c r="G149" s="626"/>
      <c r="H149" s="626"/>
      <c r="I149" s="626"/>
      <c r="J149" s="626"/>
      <c r="K149" s="626"/>
      <c r="L149" s="626"/>
      <c r="M149" s="626"/>
      <c r="N149" s="626"/>
      <c r="O149" s="627"/>
      <c r="P149" s="623" t="s">
        <v>40</v>
      </c>
      <c r="Q149" s="624"/>
      <c r="R149" s="624"/>
      <c r="S149" s="624"/>
      <c r="T149" s="624"/>
      <c r="U149" s="624"/>
      <c r="V149" s="625"/>
      <c r="W149" s="42" t="s">
        <v>39</v>
      </c>
      <c r="X149" s="43">
        <f>IFERROR(X146/H146,"0")+IFERROR(X147/H147,"0")+IFERROR(X148/H148,"0")</f>
        <v>0</v>
      </c>
      <c r="Y149" s="43">
        <f>IFERROR(Y146/H146,"0")+IFERROR(Y147/H147,"0")+IFERROR(Y148/H148,"0")</f>
        <v>0</v>
      </c>
      <c r="Z149" s="43">
        <f>IFERROR(IF(Z146="",0,Z146),"0")+IFERROR(IF(Z147="",0,Z147),"0")+IFERROR(IF(Z148="",0,Z148),"0")</f>
        <v>0</v>
      </c>
      <c r="AA149" s="67"/>
      <c r="AB149" s="67"/>
      <c r="AC149" s="67"/>
    </row>
    <row r="150" spans="1:68" x14ac:dyDescent="0.2">
      <c r="A150" s="626"/>
      <c r="B150" s="626"/>
      <c r="C150" s="626"/>
      <c r="D150" s="626"/>
      <c r="E150" s="626"/>
      <c r="F150" s="626"/>
      <c r="G150" s="626"/>
      <c r="H150" s="626"/>
      <c r="I150" s="626"/>
      <c r="J150" s="626"/>
      <c r="K150" s="626"/>
      <c r="L150" s="626"/>
      <c r="M150" s="626"/>
      <c r="N150" s="626"/>
      <c r="O150" s="627"/>
      <c r="P150" s="623" t="s">
        <v>40</v>
      </c>
      <c r="Q150" s="624"/>
      <c r="R150" s="624"/>
      <c r="S150" s="624"/>
      <c r="T150" s="624"/>
      <c r="U150" s="624"/>
      <c r="V150" s="625"/>
      <c r="W150" s="42" t="s">
        <v>0</v>
      </c>
      <c r="X150" s="43">
        <f>IFERROR(SUM(X146:X148),"0")</f>
        <v>0</v>
      </c>
      <c r="Y150" s="43">
        <f>IFERROR(SUM(Y146:Y148),"0")</f>
        <v>0</v>
      </c>
      <c r="Z150" s="42"/>
      <c r="AA150" s="67"/>
      <c r="AB150" s="67"/>
      <c r="AC150" s="67"/>
    </row>
    <row r="151" spans="1:68" ht="14.25" customHeight="1" x14ac:dyDescent="0.25">
      <c r="A151" s="618" t="s">
        <v>84</v>
      </c>
      <c r="B151" s="618"/>
      <c r="C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  <c r="Q151" s="618"/>
      <c r="R151" s="618"/>
      <c r="S151" s="618"/>
      <c r="T151" s="618"/>
      <c r="U151" s="618"/>
      <c r="V151" s="618"/>
      <c r="W151" s="618"/>
      <c r="X151" s="618"/>
      <c r="Y151" s="618"/>
      <c r="Z151" s="618"/>
      <c r="AA151" s="66"/>
      <c r="AB151" s="66"/>
      <c r="AC151" s="80"/>
    </row>
    <row r="152" spans="1:68" ht="27" customHeight="1" x14ac:dyDescent="0.25">
      <c r="A152" s="63" t="s">
        <v>262</v>
      </c>
      <c r="B152" s="63" t="s">
        <v>263</v>
      </c>
      <c r="C152" s="36">
        <v>4301052064</v>
      </c>
      <c r="D152" s="619">
        <v>4680115887459</v>
      </c>
      <c r="E152" s="619"/>
      <c r="F152" s="62">
        <v>0.3</v>
      </c>
      <c r="G152" s="37">
        <v>6</v>
      </c>
      <c r="H152" s="62">
        <v>1.8</v>
      </c>
      <c r="I152" s="62">
        <v>2.0579999999999998</v>
      </c>
      <c r="J152" s="37">
        <v>182</v>
      </c>
      <c r="K152" s="37" t="s">
        <v>89</v>
      </c>
      <c r="L152" s="37" t="s">
        <v>45</v>
      </c>
      <c r="M152" s="38" t="s">
        <v>88</v>
      </c>
      <c r="N152" s="38"/>
      <c r="O152" s="37">
        <v>45</v>
      </c>
      <c r="P152" s="687" t="s">
        <v>264</v>
      </c>
      <c r="Q152" s="621"/>
      <c r="R152" s="621"/>
      <c r="S152" s="621"/>
      <c r="T152" s="622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45</v>
      </c>
      <c r="AB152" s="69" t="s">
        <v>266</v>
      </c>
      <c r="AC152" s="206" t="s">
        <v>265</v>
      </c>
      <c r="AG152" s="78"/>
      <c r="AJ152" s="84" t="s">
        <v>45</v>
      </c>
      <c r="AK152" s="84">
        <v>0</v>
      </c>
      <c r="BB152" s="207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26"/>
      <c r="B153" s="626"/>
      <c r="C153" s="626"/>
      <c r="D153" s="626"/>
      <c r="E153" s="626"/>
      <c r="F153" s="626"/>
      <c r="G153" s="626"/>
      <c r="H153" s="626"/>
      <c r="I153" s="626"/>
      <c r="J153" s="626"/>
      <c r="K153" s="626"/>
      <c r="L153" s="626"/>
      <c r="M153" s="626"/>
      <c r="N153" s="626"/>
      <c r="O153" s="627"/>
      <c r="P153" s="623" t="s">
        <v>40</v>
      </c>
      <c r="Q153" s="624"/>
      <c r="R153" s="624"/>
      <c r="S153" s="624"/>
      <c r="T153" s="624"/>
      <c r="U153" s="624"/>
      <c r="V153" s="625"/>
      <c r="W153" s="42" t="s">
        <v>39</v>
      </c>
      <c r="X153" s="43">
        <f>IFERROR(X152/H152,"0")</f>
        <v>0</v>
      </c>
      <c r="Y153" s="43">
        <f>IFERROR(Y152/H152,"0")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626"/>
      <c r="B154" s="626"/>
      <c r="C154" s="626"/>
      <c r="D154" s="626"/>
      <c r="E154" s="626"/>
      <c r="F154" s="626"/>
      <c r="G154" s="626"/>
      <c r="H154" s="626"/>
      <c r="I154" s="626"/>
      <c r="J154" s="626"/>
      <c r="K154" s="626"/>
      <c r="L154" s="626"/>
      <c r="M154" s="626"/>
      <c r="N154" s="626"/>
      <c r="O154" s="627"/>
      <c r="P154" s="623" t="s">
        <v>40</v>
      </c>
      <c r="Q154" s="624"/>
      <c r="R154" s="624"/>
      <c r="S154" s="624"/>
      <c r="T154" s="624"/>
      <c r="U154" s="624"/>
      <c r="V154" s="625"/>
      <c r="W154" s="42" t="s">
        <v>0</v>
      </c>
      <c r="X154" s="43">
        <f>IFERROR(SUM(X152:X152),"0")</f>
        <v>0</v>
      </c>
      <c r="Y154" s="43">
        <f>IFERROR(SUM(Y152:Y152),"0")</f>
        <v>0</v>
      </c>
      <c r="Z154" s="42"/>
      <c r="AA154" s="67"/>
      <c r="AB154" s="67"/>
      <c r="AC154" s="67"/>
    </row>
    <row r="155" spans="1:68" ht="27.75" customHeight="1" x14ac:dyDescent="0.2">
      <c r="A155" s="616" t="s">
        <v>267</v>
      </c>
      <c r="B155" s="616"/>
      <c r="C155" s="616"/>
      <c r="D155" s="616"/>
      <c r="E155" s="616"/>
      <c r="F155" s="616"/>
      <c r="G155" s="616"/>
      <c r="H155" s="616"/>
      <c r="I155" s="616"/>
      <c r="J155" s="616"/>
      <c r="K155" s="616"/>
      <c r="L155" s="616"/>
      <c r="M155" s="616"/>
      <c r="N155" s="616"/>
      <c r="O155" s="616"/>
      <c r="P155" s="616"/>
      <c r="Q155" s="616"/>
      <c r="R155" s="616"/>
      <c r="S155" s="616"/>
      <c r="T155" s="616"/>
      <c r="U155" s="616"/>
      <c r="V155" s="616"/>
      <c r="W155" s="616"/>
      <c r="X155" s="616"/>
      <c r="Y155" s="616"/>
      <c r="Z155" s="616"/>
      <c r="AA155" s="54"/>
      <c r="AB155" s="54"/>
      <c r="AC155" s="54"/>
    </row>
    <row r="156" spans="1:68" ht="16.5" customHeight="1" x14ac:dyDescent="0.25">
      <c r="A156" s="617" t="s">
        <v>268</v>
      </c>
      <c r="B156" s="617"/>
      <c r="C156" s="617"/>
      <c r="D156" s="617"/>
      <c r="E156" s="617"/>
      <c r="F156" s="617"/>
      <c r="G156" s="617"/>
      <c r="H156" s="617"/>
      <c r="I156" s="617"/>
      <c r="J156" s="617"/>
      <c r="K156" s="617"/>
      <c r="L156" s="617"/>
      <c r="M156" s="617"/>
      <c r="N156" s="617"/>
      <c r="O156" s="617"/>
      <c r="P156" s="617"/>
      <c r="Q156" s="617"/>
      <c r="R156" s="617"/>
      <c r="S156" s="617"/>
      <c r="T156" s="617"/>
      <c r="U156" s="617"/>
      <c r="V156" s="617"/>
      <c r="W156" s="617"/>
      <c r="X156" s="617"/>
      <c r="Y156" s="617"/>
      <c r="Z156" s="617"/>
      <c r="AA156" s="65"/>
      <c r="AB156" s="65"/>
      <c r="AC156" s="79"/>
    </row>
    <row r="157" spans="1:68" ht="14.25" customHeight="1" x14ac:dyDescent="0.25">
      <c r="A157" s="618" t="s">
        <v>146</v>
      </c>
      <c r="B157" s="618"/>
      <c r="C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  <c r="Q157" s="618"/>
      <c r="R157" s="618"/>
      <c r="S157" s="618"/>
      <c r="T157" s="618"/>
      <c r="U157" s="618"/>
      <c r="V157" s="618"/>
      <c r="W157" s="618"/>
      <c r="X157" s="618"/>
      <c r="Y157" s="618"/>
      <c r="Z157" s="618"/>
      <c r="AA157" s="66"/>
      <c r="AB157" s="66"/>
      <c r="AC157" s="80"/>
    </row>
    <row r="158" spans="1:68" ht="27" customHeight="1" x14ac:dyDescent="0.25">
      <c r="A158" s="63" t="s">
        <v>269</v>
      </c>
      <c r="B158" s="63" t="s">
        <v>270</v>
      </c>
      <c r="C158" s="36">
        <v>4301020323</v>
      </c>
      <c r="D158" s="619">
        <v>4680115886223</v>
      </c>
      <c r="E158" s="619"/>
      <c r="F158" s="62">
        <v>0.33</v>
      </c>
      <c r="G158" s="37">
        <v>6</v>
      </c>
      <c r="H158" s="62">
        <v>1.98</v>
      </c>
      <c r="I158" s="62">
        <v>2.08</v>
      </c>
      <c r="J158" s="37">
        <v>234</v>
      </c>
      <c r="K158" s="37" t="s">
        <v>83</v>
      </c>
      <c r="L158" s="37" t="s">
        <v>45</v>
      </c>
      <c r="M158" s="38" t="s">
        <v>82</v>
      </c>
      <c r="N158" s="38"/>
      <c r="O158" s="37">
        <v>40</v>
      </c>
      <c r="P158" s="6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621"/>
      <c r="R158" s="621"/>
      <c r="S158" s="621"/>
      <c r="T158" s="622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08" t="s">
        <v>271</v>
      </c>
      <c r="AG158" s="78"/>
      <c r="AJ158" s="84" t="s">
        <v>45</v>
      </c>
      <c r="AK158" s="84">
        <v>0</v>
      </c>
      <c r="BB158" s="209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26"/>
      <c r="B159" s="626"/>
      <c r="C159" s="626"/>
      <c r="D159" s="626"/>
      <c r="E159" s="626"/>
      <c r="F159" s="626"/>
      <c r="G159" s="626"/>
      <c r="H159" s="626"/>
      <c r="I159" s="626"/>
      <c r="J159" s="626"/>
      <c r="K159" s="626"/>
      <c r="L159" s="626"/>
      <c r="M159" s="626"/>
      <c r="N159" s="626"/>
      <c r="O159" s="627"/>
      <c r="P159" s="623" t="s">
        <v>40</v>
      </c>
      <c r="Q159" s="624"/>
      <c r="R159" s="624"/>
      <c r="S159" s="624"/>
      <c r="T159" s="624"/>
      <c r="U159" s="624"/>
      <c r="V159" s="625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26"/>
      <c r="B160" s="626"/>
      <c r="C160" s="626"/>
      <c r="D160" s="626"/>
      <c r="E160" s="626"/>
      <c r="F160" s="626"/>
      <c r="G160" s="626"/>
      <c r="H160" s="626"/>
      <c r="I160" s="626"/>
      <c r="J160" s="626"/>
      <c r="K160" s="626"/>
      <c r="L160" s="626"/>
      <c r="M160" s="626"/>
      <c r="N160" s="626"/>
      <c r="O160" s="627"/>
      <c r="P160" s="623" t="s">
        <v>40</v>
      </c>
      <c r="Q160" s="624"/>
      <c r="R160" s="624"/>
      <c r="S160" s="624"/>
      <c r="T160" s="624"/>
      <c r="U160" s="624"/>
      <c r="V160" s="625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4.25" customHeight="1" x14ac:dyDescent="0.25">
      <c r="A161" s="618" t="s">
        <v>78</v>
      </c>
      <c r="B161" s="618"/>
      <c r="C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  <c r="Q161" s="618"/>
      <c r="R161" s="618"/>
      <c r="S161" s="618"/>
      <c r="T161" s="618"/>
      <c r="U161" s="618"/>
      <c r="V161" s="618"/>
      <c r="W161" s="618"/>
      <c r="X161" s="618"/>
      <c r="Y161" s="618"/>
      <c r="Z161" s="618"/>
      <c r="AA161" s="66"/>
      <c r="AB161" s="66"/>
      <c r="AC161" s="80"/>
    </row>
    <row r="162" spans="1:68" ht="27" customHeight="1" x14ac:dyDescent="0.25">
      <c r="A162" s="63" t="s">
        <v>272</v>
      </c>
      <c r="B162" s="63" t="s">
        <v>273</v>
      </c>
      <c r="C162" s="36">
        <v>4301031191</v>
      </c>
      <c r="D162" s="619">
        <v>4680115880993</v>
      </c>
      <c r="E162" s="619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120</v>
      </c>
      <c r="L162" s="37" t="s">
        <v>208</v>
      </c>
      <c r="M162" s="38" t="s">
        <v>82</v>
      </c>
      <c r="N162" s="38"/>
      <c r="O162" s="37">
        <v>40</v>
      </c>
      <c r="P162" s="68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621"/>
      <c r="R162" s="621"/>
      <c r="S162" s="621"/>
      <c r="T162" s="622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ref="Y162:Y170" si="5">IFERROR(IF(X162="",0,CEILING((X162/$H162),1)*$H162),"")</f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274</v>
      </c>
      <c r="AG162" s="78"/>
      <c r="AJ162" s="84" t="s">
        <v>117</v>
      </c>
      <c r="AK162" s="84">
        <v>50.4</v>
      </c>
      <c r="BB162" s="211" t="s">
        <v>66</v>
      </c>
      <c r="BM162" s="78">
        <f t="shared" ref="BM162:BM170" si="6">IFERROR(X162*I162/H162,"0")</f>
        <v>0</v>
      </c>
      <c r="BN162" s="78">
        <f t="shared" ref="BN162:BN170" si="7">IFERROR(Y162*I162/H162,"0")</f>
        <v>0</v>
      </c>
      <c r="BO162" s="78">
        <f t="shared" ref="BO162:BO170" si="8">IFERROR(1/J162*(X162/H162),"0")</f>
        <v>0</v>
      </c>
      <c r="BP162" s="78">
        <f t="shared" ref="BP162:BP170" si="9">IFERROR(1/J162*(Y162/H162),"0")</f>
        <v>0</v>
      </c>
    </row>
    <row r="163" spans="1:68" ht="27" customHeight="1" x14ac:dyDescent="0.25">
      <c r="A163" s="63" t="s">
        <v>275</v>
      </c>
      <c r="B163" s="63" t="s">
        <v>276</v>
      </c>
      <c r="C163" s="36">
        <v>4301031204</v>
      </c>
      <c r="D163" s="619">
        <v>4680115881761</v>
      </c>
      <c r="E163" s="619"/>
      <c r="F163" s="62">
        <v>0.7</v>
      </c>
      <c r="G163" s="37">
        <v>6</v>
      </c>
      <c r="H163" s="62">
        <v>4.2</v>
      </c>
      <c r="I163" s="62">
        <v>4.45</v>
      </c>
      <c r="J163" s="37">
        <v>132</v>
      </c>
      <c r="K163" s="37" t="s">
        <v>120</v>
      </c>
      <c r="L163" s="37" t="s">
        <v>208</v>
      </c>
      <c r="M163" s="38" t="s">
        <v>82</v>
      </c>
      <c r="N163" s="38"/>
      <c r="O163" s="37">
        <v>40</v>
      </c>
      <c r="P163" s="69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621"/>
      <c r="R163" s="621"/>
      <c r="S163" s="621"/>
      <c r="T163" s="622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277</v>
      </c>
      <c r="AG163" s="78"/>
      <c r="AJ163" s="84" t="s">
        <v>117</v>
      </c>
      <c r="AK163" s="84">
        <v>50.4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278</v>
      </c>
      <c r="B164" s="63" t="s">
        <v>279</v>
      </c>
      <c r="C164" s="36">
        <v>4301031201</v>
      </c>
      <c r="D164" s="619">
        <v>4680115881563</v>
      </c>
      <c r="E164" s="619"/>
      <c r="F164" s="62">
        <v>0.7</v>
      </c>
      <c r="G164" s="37">
        <v>6</v>
      </c>
      <c r="H164" s="62">
        <v>4.2</v>
      </c>
      <c r="I164" s="62">
        <v>4.3899999999999997</v>
      </c>
      <c r="J164" s="37">
        <v>132</v>
      </c>
      <c r="K164" s="37" t="s">
        <v>120</v>
      </c>
      <c r="L164" s="37" t="s">
        <v>208</v>
      </c>
      <c r="M164" s="38" t="s">
        <v>82</v>
      </c>
      <c r="N164" s="38"/>
      <c r="O164" s="37">
        <v>40</v>
      </c>
      <c r="P164" s="6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621"/>
      <c r="R164" s="621"/>
      <c r="S164" s="621"/>
      <c r="T164" s="622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280</v>
      </c>
      <c r="AG164" s="78"/>
      <c r="AJ164" s="84" t="s">
        <v>117</v>
      </c>
      <c r="AK164" s="84">
        <v>50.4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281</v>
      </c>
      <c r="B165" s="63" t="s">
        <v>282</v>
      </c>
      <c r="C165" s="36">
        <v>4301031199</v>
      </c>
      <c r="D165" s="619">
        <v>4680115880986</v>
      </c>
      <c r="E165" s="619"/>
      <c r="F165" s="62">
        <v>0.35</v>
      </c>
      <c r="G165" s="37">
        <v>6</v>
      </c>
      <c r="H165" s="62">
        <v>2.1</v>
      </c>
      <c r="I165" s="62">
        <v>2.23</v>
      </c>
      <c r="J165" s="37">
        <v>234</v>
      </c>
      <c r="K165" s="37" t="s">
        <v>83</v>
      </c>
      <c r="L165" s="37" t="s">
        <v>283</v>
      </c>
      <c r="M165" s="38" t="s">
        <v>82</v>
      </c>
      <c r="N165" s="38"/>
      <c r="O165" s="37">
        <v>40</v>
      </c>
      <c r="P165" s="69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621"/>
      <c r="R165" s="621"/>
      <c r="S165" s="621"/>
      <c r="T165" s="622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274</v>
      </c>
      <c r="AG165" s="78"/>
      <c r="AJ165" s="84" t="s">
        <v>117</v>
      </c>
      <c r="AK165" s="84">
        <v>37.799999999999997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284</v>
      </c>
      <c r="B166" s="63" t="s">
        <v>285</v>
      </c>
      <c r="C166" s="36">
        <v>4301031205</v>
      </c>
      <c r="D166" s="619">
        <v>4680115881785</v>
      </c>
      <c r="E166" s="619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283</v>
      </c>
      <c r="M166" s="38" t="s">
        <v>82</v>
      </c>
      <c r="N166" s="38"/>
      <c r="O166" s="37">
        <v>40</v>
      </c>
      <c r="P166" s="69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621"/>
      <c r="R166" s="621"/>
      <c r="S166" s="621"/>
      <c r="T166" s="622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277</v>
      </c>
      <c r="AG166" s="78"/>
      <c r="AJ166" s="84" t="s">
        <v>117</v>
      </c>
      <c r="AK166" s="84">
        <v>37.799999999999997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286</v>
      </c>
      <c r="B167" s="63" t="s">
        <v>287</v>
      </c>
      <c r="C167" s="36">
        <v>4301031399</v>
      </c>
      <c r="D167" s="619">
        <v>4680115886537</v>
      </c>
      <c r="E167" s="619"/>
      <c r="F167" s="62">
        <v>0.3</v>
      </c>
      <c r="G167" s="37">
        <v>6</v>
      </c>
      <c r="H167" s="62">
        <v>1.8</v>
      </c>
      <c r="I167" s="62">
        <v>1.93</v>
      </c>
      <c r="J167" s="37">
        <v>234</v>
      </c>
      <c r="K167" s="37" t="s">
        <v>83</v>
      </c>
      <c r="L167" s="37" t="s">
        <v>45</v>
      </c>
      <c r="M167" s="38" t="s">
        <v>82</v>
      </c>
      <c r="N167" s="38"/>
      <c r="O167" s="37">
        <v>40</v>
      </c>
      <c r="P167" s="69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621"/>
      <c r="R167" s="621"/>
      <c r="S167" s="621"/>
      <c r="T167" s="622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288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289</v>
      </c>
      <c r="B168" s="63" t="s">
        <v>290</v>
      </c>
      <c r="C168" s="36">
        <v>4301031202</v>
      </c>
      <c r="D168" s="619">
        <v>4680115881679</v>
      </c>
      <c r="E168" s="619"/>
      <c r="F168" s="62">
        <v>0.35</v>
      </c>
      <c r="G168" s="37">
        <v>6</v>
      </c>
      <c r="H168" s="62">
        <v>2.1</v>
      </c>
      <c r="I168" s="62">
        <v>2.2000000000000002</v>
      </c>
      <c r="J168" s="37">
        <v>234</v>
      </c>
      <c r="K168" s="37" t="s">
        <v>83</v>
      </c>
      <c r="L168" s="37" t="s">
        <v>283</v>
      </c>
      <c r="M168" s="38" t="s">
        <v>82</v>
      </c>
      <c r="N168" s="38"/>
      <c r="O168" s="37">
        <v>40</v>
      </c>
      <c r="P168" s="6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621"/>
      <c r="R168" s="621"/>
      <c r="S168" s="621"/>
      <c r="T168" s="622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280</v>
      </c>
      <c r="AG168" s="78"/>
      <c r="AJ168" s="84" t="s">
        <v>117</v>
      </c>
      <c r="AK168" s="84">
        <v>37.799999999999997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291</v>
      </c>
      <c r="B169" s="63" t="s">
        <v>292</v>
      </c>
      <c r="C169" s="36">
        <v>4301031158</v>
      </c>
      <c r="D169" s="619">
        <v>4680115880191</v>
      </c>
      <c r="E169" s="619"/>
      <c r="F169" s="62">
        <v>0.4</v>
      </c>
      <c r="G169" s="37">
        <v>6</v>
      </c>
      <c r="H169" s="62">
        <v>2.4</v>
      </c>
      <c r="I169" s="62">
        <v>2.58</v>
      </c>
      <c r="J169" s="37">
        <v>182</v>
      </c>
      <c r="K169" s="37" t="s">
        <v>89</v>
      </c>
      <c r="L169" s="37" t="s">
        <v>45</v>
      </c>
      <c r="M169" s="38" t="s">
        <v>82</v>
      </c>
      <c r="N169" s="38"/>
      <c r="O169" s="37">
        <v>40</v>
      </c>
      <c r="P169" s="69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621"/>
      <c r="R169" s="621"/>
      <c r="S169" s="621"/>
      <c r="T169" s="622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IFERROR(IF(Y169=0,"",ROUNDUP(Y169/H169,0)*0.00651),"")</f>
        <v/>
      </c>
      <c r="AA169" s="68" t="s">
        <v>45</v>
      </c>
      <c r="AB169" s="69" t="s">
        <v>45</v>
      </c>
      <c r="AC169" s="224" t="s">
        <v>280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293</v>
      </c>
      <c r="B170" s="63" t="s">
        <v>294</v>
      </c>
      <c r="C170" s="36">
        <v>4301031245</v>
      </c>
      <c r="D170" s="619">
        <v>4680115883963</v>
      </c>
      <c r="E170" s="619"/>
      <c r="F170" s="62">
        <v>0.28000000000000003</v>
      </c>
      <c r="G170" s="37">
        <v>6</v>
      </c>
      <c r="H170" s="62">
        <v>1.68</v>
      </c>
      <c r="I170" s="62">
        <v>1.78</v>
      </c>
      <c r="J170" s="37">
        <v>234</v>
      </c>
      <c r="K170" s="37" t="s">
        <v>83</v>
      </c>
      <c r="L170" s="37" t="s">
        <v>45</v>
      </c>
      <c r="M170" s="38" t="s">
        <v>82</v>
      </c>
      <c r="N170" s="38"/>
      <c r="O170" s="37">
        <v>40</v>
      </c>
      <c r="P170" s="6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621"/>
      <c r="R170" s="621"/>
      <c r="S170" s="621"/>
      <c r="T170" s="622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295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x14ac:dyDescent="0.2">
      <c r="A171" s="626"/>
      <c r="B171" s="626"/>
      <c r="C171" s="626"/>
      <c r="D171" s="626"/>
      <c r="E171" s="626"/>
      <c r="F171" s="626"/>
      <c r="G171" s="626"/>
      <c r="H171" s="626"/>
      <c r="I171" s="626"/>
      <c r="J171" s="626"/>
      <c r="K171" s="626"/>
      <c r="L171" s="626"/>
      <c r="M171" s="626"/>
      <c r="N171" s="626"/>
      <c r="O171" s="627"/>
      <c r="P171" s="623" t="s">
        <v>40</v>
      </c>
      <c r="Q171" s="624"/>
      <c r="R171" s="624"/>
      <c r="S171" s="624"/>
      <c r="T171" s="624"/>
      <c r="U171" s="624"/>
      <c r="V171" s="625"/>
      <c r="W171" s="42" t="s">
        <v>39</v>
      </c>
      <c r="X171" s="43">
        <f>IFERROR(X162/H162,"0")+IFERROR(X163/H163,"0")+IFERROR(X164/H164,"0")+IFERROR(X165/H165,"0")+IFERROR(X166/H166,"0")+IFERROR(X167/H167,"0")+IFERROR(X168/H168,"0")+IFERROR(X169/H169,"0")+IFERROR(X170/H170,"0")</f>
        <v>0</v>
      </c>
      <c r="Y171" s="43">
        <f>IFERROR(Y162/H162,"0")+IFERROR(Y163/H163,"0")+IFERROR(Y164/H164,"0")+IFERROR(Y165/H165,"0")+IFERROR(Y166/H166,"0")+IFERROR(Y167/H167,"0")+IFERROR(Y168/H168,"0")+IFERROR(Y169/H169,"0")+IFERROR(Y170/H170,"0")</f>
        <v>0</v>
      </c>
      <c r="Z171" s="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626"/>
      <c r="B172" s="626"/>
      <c r="C172" s="626"/>
      <c r="D172" s="626"/>
      <c r="E172" s="626"/>
      <c r="F172" s="626"/>
      <c r="G172" s="626"/>
      <c r="H172" s="626"/>
      <c r="I172" s="626"/>
      <c r="J172" s="626"/>
      <c r="K172" s="626"/>
      <c r="L172" s="626"/>
      <c r="M172" s="626"/>
      <c r="N172" s="626"/>
      <c r="O172" s="627"/>
      <c r="P172" s="623" t="s">
        <v>40</v>
      </c>
      <c r="Q172" s="624"/>
      <c r="R172" s="624"/>
      <c r="S172" s="624"/>
      <c r="T172" s="624"/>
      <c r="U172" s="624"/>
      <c r="V172" s="625"/>
      <c r="W172" s="42" t="s">
        <v>0</v>
      </c>
      <c r="X172" s="43">
        <f>IFERROR(SUM(X162:X170),"0")</f>
        <v>0</v>
      </c>
      <c r="Y172" s="43">
        <f>IFERROR(SUM(Y162:Y170),"0")</f>
        <v>0</v>
      </c>
      <c r="Z172" s="42"/>
      <c r="AA172" s="67"/>
      <c r="AB172" s="67"/>
      <c r="AC172" s="67"/>
    </row>
    <row r="173" spans="1:68" ht="14.25" customHeight="1" x14ac:dyDescent="0.25">
      <c r="A173" s="618" t="s">
        <v>102</v>
      </c>
      <c r="B173" s="618"/>
      <c r="C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  <c r="Q173" s="618"/>
      <c r="R173" s="618"/>
      <c r="S173" s="618"/>
      <c r="T173" s="618"/>
      <c r="U173" s="618"/>
      <c r="V173" s="618"/>
      <c r="W173" s="618"/>
      <c r="X173" s="618"/>
      <c r="Y173" s="618"/>
      <c r="Z173" s="618"/>
      <c r="AA173" s="66"/>
      <c r="AB173" s="66"/>
      <c r="AC173" s="80"/>
    </row>
    <row r="174" spans="1:68" ht="27" customHeight="1" x14ac:dyDescent="0.25">
      <c r="A174" s="63" t="s">
        <v>296</v>
      </c>
      <c r="B174" s="63" t="s">
        <v>297</v>
      </c>
      <c r="C174" s="36">
        <v>4301032053</v>
      </c>
      <c r="D174" s="619">
        <v>4680115886780</v>
      </c>
      <c r="E174" s="619"/>
      <c r="F174" s="62">
        <v>7.0000000000000007E-2</v>
      </c>
      <c r="G174" s="37">
        <v>18</v>
      </c>
      <c r="H174" s="62">
        <v>1.26</v>
      </c>
      <c r="I174" s="62">
        <v>1.45</v>
      </c>
      <c r="J174" s="37">
        <v>216</v>
      </c>
      <c r="K174" s="37" t="s">
        <v>300</v>
      </c>
      <c r="L174" s="37" t="s">
        <v>45</v>
      </c>
      <c r="M174" s="38" t="s">
        <v>299</v>
      </c>
      <c r="N174" s="38"/>
      <c r="O174" s="37">
        <v>60</v>
      </c>
      <c r="P174" s="6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621"/>
      <c r="R174" s="621"/>
      <c r="S174" s="621"/>
      <c r="T174" s="622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IFERROR(IF(Y174=0,"",ROUNDUP(Y174/H174,0)*0.0059),"")</f>
        <v/>
      </c>
      <c r="AA174" s="68" t="s">
        <v>45</v>
      </c>
      <c r="AB174" s="69" t="s">
        <v>45</v>
      </c>
      <c r="AC174" s="228" t="s">
        <v>298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27" customHeight="1" x14ac:dyDescent="0.25">
      <c r="A175" s="63" t="s">
        <v>301</v>
      </c>
      <c r="B175" s="63" t="s">
        <v>302</v>
      </c>
      <c r="C175" s="36">
        <v>4301032051</v>
      </c>
      <c r="D175" s="619">
        <v>4680115886742</v>
      </c>
      <c r="E175" s="619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300</v>
      </c>
      <c r="L175" s="37" t="s">
        <v>45</v>
      </c>
      <c r="M175" s="38" t="s">
        <v>299</v>
      </c>
      <c r="N175" s="38"/>
      <c r="O175" s="37">
        <v>90</v>
      </c>
      <c r="P175" s="6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621"/>
      <c r="R175" s="621"/>
      <c r="S175" s="621"/>
      <c r="T175" s="622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303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304</v>
      </c>
      <c r="B176" s="63" t="s">
        <v>305</v>
      </c>
      <c r="C176" s="36">
        <v>4301032052</v>
      </c>
      <c r="D176" s="619">
        <v>4680115886766</v>
      </c>
      <c r="E176" s="619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300</v>
      </c>
      <c r="L176" s="37" t="s">
        <v>45</v>
      </c>
      <c r="M176" s="38" t="s">
        <v>299</v>
      </c>
      <c r="N176" s="38"/>
      <c r="O176" s="37">
        <v>90</v>
      </c>
      <c r="P176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621"/>
      <c r="R176" s="621"/>
      <c r="S176" s="621"/>
      <c r="T176" s="622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303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26"/>
      <c r="B177" s="626"/>
      <c r="C177" s="626"/>
      <c r="D177" s="626"/>
      <c r="E177" s="626"/>
      <c r="F177" s="626"/>
      <c r="G177" s="626"/>
      <c r="H177" s="626"/>
      <c r="I177" s="626"/>
      <c r="J177" s="626"/>
      <c r="K177" s="626"/>
      <c r="L177" s="626"/>
      <c r="M177" s="626"/>
      <c r="N177" s="626"/>
      <c r="O177" s="627"/>
      <c r="P177" s="623" t="s">
        <v>40</v>
      </c>
      <c r="Q177" s="624"/>
      <c r="R177" s="624"/>
      <c r="S177" s="624"/>
      <c r="T177" s="624"/>
      <c r="U177" s="624"/>
      <c r="V177" s="625"/>
      <c r="W177" s="42" t="s">
        <v>39</v>
      </c>
      <c r="X177" s="43">
        <f>IFERROR(X174/H174,"0")+IFERROR(X175/H175,"0")+IFERROR(X176/H176,"0")</f>
        <v>0</v>
      </c>
      <c r="Y177" s="43">
        <f>IFERROR(Y174/H174,"0")+IFERROR(Y175/H175,"0")+IFERROR(Y176/H176,"0")</f>
        <v>0</v>
      </c>
      <c r="Z177" s="43">
        <f>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26"/>
      <c r="B178" s="626"/>
      <c r="C178" s="626"/>
      <c r="D178" s="626"/>
      <c r="E178" s="626"/>
      <c r="F178" s="626"/>
      <c r="G178" s="626"/>
      <c r="H178" s="626"/>
      <c r="I178" s="626"/>
      <c r="J178" s="626"/>
      <c r="K178" s="626"/>
      <c r="L178" s="626"/>
      <c r="M178" s="626"/>
      <c r="N178" s="626"/>
      <c r="O178" s="627"/>
      <c r="P178" s="623" t="s">
        <v>40</v>
      </c>
      <c r="Q178" s="624"/>
      <c r="R178" s="624"/>
      <c r="S178" s="624"/>
      <c r="T178" s="624"/>
      <c r="U178" s="624"/>
      <c r="V178" s="625"/>
      <c r="W178" s="42" t="s">
        <v>0</v>
      </c>
      <c r="X178" s="43">
        <f>IFERROR(SUM(X174:X176),"0")</f>
        <v>0</v>
      </c>
      <c r="Y178" s="43">
        <f>IFERROR(SUM(Y174:Y176),"0")</f>
        <v>0</v>
      </c>
      <c r="Z178" s="42"/>
      <c r="AA178" s="67"/>
      <c r="AB178" s="67"/>
      <c r="AC178" s="67"/>
    </row>
    <row r="179" spans="1:68" ht="14.25" customHeight="1" x14ac:dyDescent="0.25">
      <c r="A179" s="618" t="s">
        <v>306</v>
      </c>
      <c r="B179" s="618"/>
      <c r="C179" s="618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  <c r="Q179" s="618"/>
      <c r="R179" s="618"/>
      <c r="S179" s="618"/>
      <c r="T179" s="618"/>
      <c r="U179" s="618"/>
      <c r="V179" s="618"/>
      <c r="W179" s="618"/>
      <c r="X179" s="618"/>
      <c r="Y179" s="618"/>
      <c r="Z179" s="618"/>
      <c r="AA179" s="66"/>
      <c r="AB179" s="66"/>
      <c r="AC179" s="80"/>
    </row>
    <row r="180" spans="1:68" ht="27" customHeight="1" x14ac:dyDescent="0.25">
      <c r="A180" s="63" t="s">
        <v>307</v>
      </c>
      <c r="B180" s="63" t="s">
        <v>308</v>
      </c>
      <c r="C180" s="36">
        <v>4301170013</v>
      </c>
      <c r="D180" s="619">
        <v>4680115886797</v>
      </c>
      <c r="E180" s="619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300</v>
      </c>
      <c r="L180" s="37" t="s">
        <v>45</v>
      </c>
      <c r="M180" s="38" t="s">
        <v>299</v>
      </c>
      <c r="N180" s="38"/>
      <c r="O180" s="37">
        <v>90</v>
      </c>
      <c r="P180" s="7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621"/>
      <c r="R180" s="621"/>
      <c r="S180" s="621"/>
      <c r="T180" s="622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34" t="s">
        <v>303</v>
      </c>
      <c r="AG180" s="78"/>
      <c r="AJ180" s="84" t="s">
        <v>45</v>
      </c>
      <c r="AK180" s="84">
        <v>0</v>
      </c>
      <c r="BB180" s="235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626"/>
      <c r="B181" s="626"/>
      <c r="C181" s="626"/>
      <c r="D181" s="626"/>
      <c r="E181" s="626"/>
      <c r="F181" s="626"/>
      <c r="G181" s="626"/>
      <c r="H181" s="626"/>
      <c r="I181" s="626"/>
      <c r="J181" s="626"/>
      <c r="K181" s="626"/>
      <c r="L181" s="626"/>
      <c r="M181" s="626"/>
      <c r="N181" s="626"/>
      <c r="O181" s="627"/>
      <c r="P181" s="623" t="s">
        <v>40</v>
      </c>
      <c r="Q181" s="624"/>
      <c r="R181" s="624"/>
      <c r="S181" s="624"/>
      <c r="T181" s="624"/>
      <c r="U181" s="624"/>
      <c r="V181" s="625"/>
      <c r="W181" s="42" t="s">
        <v>39</v>
      </c>
      <c r="X181" s="43">
        <f>IFERROR(X180/H180,"0")</f>
        <v>0</v>
      </c>
      <c r="Y181" s="43">
        <f>IFERROR(Y180/H180,"0")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626"/>
      <c r="B182" s="626"/>
      <c r="C182" s="626"/>
      <c r="D182" s="626"/>
      <c r="E182" s="626"/>
      <c r="F182" s="626"/>
      <c r="G182" s="626"/>
      <c r="H182" s="626"/>
      <c r="I182" s="626"/>
      <c r="J182" s="626"/>
      <c r="K182" s="626"/>
      <c r="L182" s="626"/>
      <c r="M182" s="626"/>
      <c r="N182" s="626"/>
      <c r="O182" s="627"/>
      <c r="P182" s="623" t="s">
        <v>40</v>
      </c>
      <c r="Q182" s="624"/>
      <c r="R182" s="624"/>
      <c r="S182" s="624"/>
      <c r="T182" s="624"/>
      <c r="U182" s="624"/>
      <c r="V182" s="625"/>
      <c r="W182" s="42" t="s">
        <v>0</v>
      </c>
      <c r="X182" s="43">
        <f>IFERROR(SUM(X180:X180),"0")</f>
        <v>0</v>
      </c>
      <c r="Y182" s="43">
        <f>IFERROR(SUM(Y180:Y180),"0")</f>
        <v>0</v>
      </c>
      <c r="Z182" s="42"/>
      <c r="AA182" s="67"/>
      <c r="AB182" s="67"/>
      <c r="AC182" s="67"/>
    </row>
    <row r="183" spans="1:68" ht="16.5" customHeight="1" x14ac:dyDescent="0.25">
      <c r="A183" s="617" t="s">
        <v>309</v>
      </c>
      <c r="B183" s="617"/>
      <c r="C183" s="617"/>
      <c r="D183" s="617"/>
      <c r="E183" s="617"/>
      <c r="F183" s="617"/>
      <c r="G183" s="617"/>
      <c r="H183" s="617"/>
      <c r="I183" s="617"/>
      <c r="J183" s="617"/>
      <c r="K183" s="617"/>
      <c r="L183" s="617"/>
      <c r="M183" s="617"/>
      <c r="N183" s="617"/>
      <c r="O183" s="617"/>
      <c r="P183" s="617"/>
      <c r="Q183" s="617"/>
      <c r="R183" s="617"/>
      <c r="S183" s="617"/>
      <c r="T183" s="617"/>
      <c r="U183" s="617"/>
      <c r="V183" s="617"/>
      <c r="W183" s="617"/>
      <c r="X183" s="617"/>
      <c r="Y183" s="617"/>
      <c r="Z183" s="617"/>
      <c r="AA183" s="65"/>
      <c r="AB183" s="65"/>
      <c r="AC183" s="79"/>
    </row>
    <row r="184" spans="1:68" ht="14.25" customHeight="1" x14ac:dyDescent="0.25">
      <c r="A184" s="618" t="s">
        <v>110</v>
      </c>
      <c r="B184" s="618"/>
      <c r="C184" s="618"/>
      <c r="D184" s="618"/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  <c r="R184" s="618"/>
      <c r="S184" s="618"/>
      <c r="T184" s="618"/>
      <c r="U184" s="618"/>
      <c r="V184" s="618"/>
      <c r="W184" s="618"/>
      <c r="X184" s="618"/>
      <c r="Y184" s="618"/>
      <c r="Z184" s="618"/>
      <c r="AA184" s="66"/>
      <c r="AB184" s="66"/>
      <c r="AC184" s="80"/>
    </row>
    <row r="185" spans="1:68" ht="16.5" customHeight="1" x14ac:dyDescent="0.25">
      <c r="A185" s="63" t="s">
        <v>310</v>
      </c>
      <c r="B185" s="63" t="s">
        <v>311</v>
      </c>
      <c r="C185" s="36">
        <v>4301011450</v>
      </c>
      <c r="D185" s="619">
        <v>4680115881402</v>
      </c>
      <c r="E185" s="619"/>
      <c r="F185" s="62">
        <v>1.35</v>
      </c>
      <c r="G185" s="37">
        <v>8</v>
      </c>
      <c r="H185" s="62">
        <v>10.8</v>
      </c>
      <c r="I185" s="62">
        <v>11.21</v>
      </c>
      <c r="J185" s="37">
        <v>64</v>
      </c>
      <c r="K185" s="37" t="s">
        <v>115</v>
      </c>
      <c r="L185" s="37" t="s">
        <v>45</v>
      </c>
      <c r="M185" s="38" t="s">
        <v>114</v>
      </c>
      <c r="N185" s="38"/>
      <c r="O185" s="37">
        <v>55</v>
      </c>
      <c r="P185" s="70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621"/>
      <c r="R185" s="621"/>
      <c r="S185" s="621"/>
      <c r="T185" s="622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IFERROR(IF(Y185=0,"",ROUNDUP(Y185/H185,0)*0.01898),"")</f>
        <v/>
      </c>
      <c r="AA185" s="68" t="s">
        <v>45</v>
      </c>
      <c r="AB185" s="69" t="s">
        <v>45</v>
      </c>
      <c r="AC185" s="236" t="s">
        <v>312</v>
      </c>
      <c r="AG185" s="78"/>
      <c r="AJ185" s="84" t="s">
        <v>45</v>
      </c>
      <c r="AK185" s="84">
        <v>0</v>
      </c>
      <c r="BB185" s="237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313</v>
      </c>
      <c r="B186" s="63" t="s">
        <v>314</v>
      </c>
      <c r="C186" s="36">
        <v>4301011768</v>
      </c>
      <c r="D186" s="619">
        <v>4680115881396</v>
      </c>
      <c r="E186" s="619"/>
      <c r="F186" s="62">
        <v>0.45</v>
      </c>
      <c r="G186" s="37">
        <v>6</v>
      </c>
      <c r="H186" s="62">
        <v>2.7</v>
      </c>
      <c r="I186" s="62">
        <v>2.88</v>
      </c>
      <c r="J186" s="37">
        <v>182</v>
      </c>
      <c r="K186" s="37" t="s">
        <v>89</v>
      </c>
      <c r="L186" s="37" t="s">
        <v>45</v>
      </c>
      <c r="M186" s="38" t="s">
        <v>114</v>
      </c>
      <c r="N186" s="38"/>
      <c r="O186" s="37">
        <v>55</v>
      </c>
      <c r="P186" s="70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621"/>
      <c r="R186" s="621"/>
      <c r="S186" s="621"/>
      <c r="T186" s="622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38" t="s">
        <v>312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26"/>
      <c r="B187" s="626"/>
      <c r="C187" s="626"/>
      <c r="D187" s="626"/>
      <c r="E187" s="626"/>
      <c r="F187" s="626"/>
      <c r="G187" s="626"/>
      <c r="H187" s="626"/>
      <c r="I187" s="626"/>
      <c r="J187" s="626"/>
      <c r="K187" s="626"/>
      <c r="L187" s="626"/>
      <c r="M187" s="626"/>
      <c r="N187" s="626"/>
      <c r="O187" s="627"/>
      <c r="P187" s="623" t="s">
        <v>40</v>
      </c>
      <c r="Q187" s="624"/>
      <c r="R187" s="624"/>
      <c r="S187" s="624"/>
      <c r="T187" s="624"/>
      <c r="U187" s="624"/>
      <c r="V187" s="625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26"/>
      <c r="B188" s="626"/>
      <c r="C188" s="626"/>
      <c r="D188" s="626"/>
      <c r="E188" s="626"/>
      <c r="F188" s="626"/>
      <c r="G188" s="626"/>
      <c r="H188" s="626"/>
      <c r="I188" s="626"/>
      <c r="J188" s="626"/>
      <c r="K188" s="626"/>
      <c r="L188" s="626"/>
      <c r="M188" s="626"/>
      <c r="N188" s="626"/>
      <c r="O188" s="627"/>
      <c r="P188" s="623" t="s">
        <v>40</v>
      </c>
      <c r="Q188" s="624"/>
      <c r="R188" s="624"/>
      <c r="S188" s="624"/>
      <c r="T188" s="624"/>
      <c r="U188" s="624"/>
      <c r="V188" s="625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18" t="s">
        <v>146</v>
      </c>
      <c r="B189" s="618"/>
      <c r="C189" s="618"/>
      <c r="D189" s="618"/>
      <c r="E189" s="618"/>
      <c r="F189" s="618"/>
      <c r="G189" s="618"/>
      <c r="H189" s="618"/>
      <c r="I189" s="618"/>
      <c r="J189" s="618"/>
      <c r="K189" s="618"/>
      <c r="L189" s="618"/>
      <c r="M189" s="618"/>
      <c r="N189" s="618"/>
      <c r="O189" s="618"/>
      <c r="P189" s="618"/>
      <c r="Q189" s="618"/>
      <c r="R189" s="618"/>
      <c r="S189" s="618"/>
      <c r="T189" s="618"/>
      <c r="U189" s="618"/>
      <c r="V189" s="618"/>
      <c r="W189" s="618"/>
      <c r="X189" s="618"/>
      <c r="Y189" s="618"/>
      <c r="Z189" s="618"/>
      <c r="AA189" s="66"/>
      <c r="AB189" s="66"/>
      <c r="AC189" s="80"/>
    </row>
    <row r="190" spans="1:68" ht="16.5" customHeight="1" x14ac:dyDescent="0.25">
      <c r="A190" s="63" t="s">
        <v>315</v>
      </c>
      <c r="B190" s="63" t="s">
        <v>316</v>
      </c>
      <c r="C190" s="36">
        <v>4301020261</v>
      </c>
      <c r="D190" s="619">
        <v>4680115882935</v>
      </c>
      <c r="E190" s="619"/>
      <c r="F190" s="62">
        <v>1.35</v>
      </c>
      <c r="G190" s="37">
        <v>8</v>
      </c>
      <c r="H190" s="62">
        <v>10.8</v>
      </c>
      <c r="I190" s="62">
        <v>11.21</v>
      </c>
      <c r="J190" s="37">
        <v>64</v>
      </c>
      <c r="K190" s="37" t="s">
        <v>115</v>
      </c>
      <c r="L190" s="37" t="s">
        <v>45</v>
      </c>
      <c r="M190" s="38" t="s">
        <v>114</v>
      </c>
      <c r="N190" s="38"/>
      <c r="O190" s="37">
        <v>50</v>
      </c>
      <c r="P190" s="70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621"/>
      <c r="R190" s="621"/>
      <c r="S190" s="621"/>
      <c r="T190" s="622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0" t="s">
        <v>317</v>
      </c>
      <c r="AG190" s="78"/>
      <c r="AJ190" s="84" t="s">
        <v>45</v>
      </c>
      <c r="AK190" s="84">
        <v>0</v>
      </c>
      <c r="BB190" s="24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318</v>
      </c>
      <c r="B191" s="63" t="s">
        <v>319</v>
      </c>
      <c r="C191" s="36">
        <v>4301020220</v>
      </c>
      <c r="D191" s="619">
        <v>4680115880764</v>
      </c>
      <c r="E191" s="619"/>
      <c r="F191" s="62">
        <v>0.35</v>
      </c>
      <c r="G191" s="37">
        <v>6</v>
      </c>
      <c r="H191" s="62">
        <v>2.1</v>
      </c>
      <c r="I191" s="62">
        <v>2.2799999999999998</v>
      </c>
      <c r="J191" s="37">
        <v>182</v>
      </c>
      <c r="K191" s="37" t="s">
        <v>89</v>
      </c>
      <c r="L191" s="37" t="s">
        <v>45</v>
      </c>
      <c r="M191" s="38" t="s">
        <v>114</v>
      </c>
      <c r="N191" s="38"/>
      <c r="O191" s="37">
        <v>50</v>
      </c>
      <c r="P191" s="7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621"/>
      <c r="R191" s="621"/>
      <c r="S191" s="621"/>
      <c r="T191" s="622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45</v>
      </c>
      <c r="AB191" s="69" t="s">
        <v>45</v>
      </c>
      <c r="AC191" s="242" t="s">
        <v>317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26"/>
      <c r="B192" s="626"/>
      <c r="C192" s="626"/>
      <c r="D192" s="626"/>
      <c r="E192" s="626"/>
      <c r="F192" s="626"/>
      <c r="G192" s="626"/>
      <c r="H192" s="626"/>
      <c r="I192" s="626"/>
      <c r="J192" s="626"/>
      <c r="K192" s="626"/>
      <c r="L192" s="626"/>
      <c r="M192" s="626"/>
      <c r="N192" s="626"/>
      <c r="O192" s="627"/>
      <c r="P192" s="623" t="s">
        <v>40</v>
      </c>
      <c r="Q192" s="624"/>
      <c r="R192" s="624"/>
      <c r="S192" s="624"/>
      <c r="T192" s="624"/>
      <c r="U192" s="624"/>
      <c r="V192" s="625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626"/>
      <c r="B193" s="626"/>
      <c r="C193" s="626"/>
      <c r="D193" s="626"/>
      <c r="E193" s="626"/>
      <c r="F193" s="626"/>
      <c r="G193" s="626"/>
      <c r="H193" s="626"/>
      <c r="I193" s="626"/>
      <c r="J193" s="626"/>
      <c r="K193" s="626"/>
      <c r="L193" s="626"/>
      <c r="M193" s="626"/>
      <c r="N193" s="626"/>
      <c r="O193" s="627"/>
      <c r="P193" s="623" t="s">
        <v>40</v>
      </c>
      <c r="Q193" s="624"/>
      <c r="R193" s="624"/>
      <c r="S193" s="624"/>
      <c r="T193" s="624"/>
      <c r="U193" s="624"/>
      <c r="V193" s="625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618" t="s">
        <v>78</v>
      </c>
      <c r="B194" s="618"/>
      <c r="C194" s="618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  <c r="S194" s="618"/>
      <c r="T194" s="618"/>
      <c r="U194" s="618"/>
      <c r="V194" s="618"/>
      <c r="W194" s="618"/>
      <c r="X194" s="618"/>
      <c r="Y194" s="618"/>
      <c r="Z194" s="618"/>
      <c r="AA194" s="66"/>
      <c r="AB194" s="66"/>
      <c r="AC194" s="80"/>
    </row>
    <row r="195" spans="1:68" ht="27" customHeight="1" x14ac:dyDescent="0.25">
      <c r="A195" s="63" t="s">
        <v>320</v>
      </c>
      <c r="B195" s="63" t="s">
        <v>321</v>
      </c>
      <c r="C195" s="36">
        <v>4301031224</v>
      </c>
      <c r="D195" s="619">
        <v>4680115882683</v>
      </c>
      <c r="E195" s="619"/>
      <c r="F195" s="62">
        <v>0.9</v>
      </c>
      <c r="G195" s="37">
        <v>6</v>
      </c>
      <c r="H195" s="62">
        <v>5.4</v>
      </c>
      <c r="I195" s="62">
        <v>5.59</v>
      </c>
      <c r="J195" s="37">
        <v>132</v>
      </c>
      <c r="K195" s="37" t="s">
        <v>120</v>
      </c>
      <c r="L195" s="37" t="s">
        <v>208</v>
      </c>
      <c r="M195" s="38" t="s">
        <v>82</v>
      </c>
      <c r="N195" s="38"/>
      <c r="O195" s="37">
        <v>40</v>
      </c>
      <c r="P195" s="7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621"/>
      <c r="R195" s="621"/>
      <c r="S195" s="621"/>
      <c r="T195" s="622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ref="Y195:Y202" si="10">IFERROR(IF(X195="",0,CEILING((X195/$H195),1)*$H195),"")</f>
        <v>0</v>
      </c>
      <c r="Z195" s="41" t="str">
        <f>IFERROR(IF(Y195=0,"",ROUNDUP(Y195/H195,0)*0.00902),"")</f>
        <v/>
      </c>
      <c r="AA195" s="68" t="s">
        <v>45</v>
      </c>
      <c r="AB195" s="69" t="s">
        <v>45</v>
      </c>
      <c r="AC195" s="244" t="s">
        <v>322</v>
      </c>
      <c r="AG195" s="78"/>
      <c r="AJ195" s="84" t="s">
        <v>117</v>
      </c>
      <c r="AK195" s="84">
        <v>64.8</v>
      </c>
      <c r="BB195" s="245" t="s">
        <v>66</v>
      </c>
      <c r="BM195" s="78">
        <f t="shared" ref="BM195:BM202" si="11">IFERROR(X195*I195/H195,"0")</f>
        <v>0</v>
      </c>
      <c r="BN195" s="78">
        <f t="shared" ref="BN195:BN202" si="12">IFERROR(Y195*I195/H195,"0")</f>
        <v>0</v>
      </c>
      <c r="BO195" s="78">
        <f t="shared" ref="BO195:BO202" si="13">IFERROR(1/J195*(X195/H195),"0")</f>
        <v>0</v>
      </c>
      <c r="BP195" s="78">
        <f t="shared" ref="BP195:BP202" si="14">IFERROR(1/J195*(Y195/H195),"0")</f>
        <v>0</v>
      </c>
    </row>
    <row r="196" spans="1:68" ht="27" customHeight="1" x14ac:dyDescent="0.25">
      <c r="A196" s="63" t="s">
        <v>323</v>
      </c>
      <c r="B196" s="63" t="s">
        <v>324</v>
      </c>
      <c r="C196" s="36">
        <v>4301031230</v>
      </c>
      <c r="D196" s="619">
        <v>4680115882690</v>
      </c>
      <c r="E196" s="619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120</v>
      </c>
      <c r="L196" s="37" t="s">
        <v>208</v>
      </c>
      <c r="M196" s="38" t="s">
        <v>82</v>
      </c>
      <c r="N196" s="38"/>
      <c r="O196" s="37">
        <v>40</v>
      </c>
      <c r="P196" s="7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621"/>
      <c r="R196" s="621"/>
      <c r="S196" s="621"/>
      <c r="T196" s="622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0"/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325</v>
      </c>
      <c r="AG196" s="78"/>
      <c r="AJ196" s="84" t="s">
        <v>117</v>
      </c>
      <c r="AK196" s="84">
        <v>64.8</v>
      </c>
      <c r="BB196" s="247" t="s">
        <v>66</v>
      </c>
      <c r="BM196" s="78">
        <f t="shared" si="11"/>
        <v>0</v>
      </c>
      <c r="BN196" s="78">
        <f t="shared" si="12"/>
        <v>0</v>
      </c>
      <c r="BO196" s="78">
        <f t="shared" si="13"/>
        <v>0</v>
      </c>
      <c r="BP196" s="78">
        <f t="shared" si="14"/>
        <v>0</v>
      </c>
    </row>
    <row r="197" spans="1:68" ht="27" customHeight="1" x14ac:dyDescent="0.25">
      <c r="A197" s="63" t="s">
        <v>326</v>
      </c>
      <c r="B197" s="63" t="s">
        <v>327</v>
      </c>
      <c r="C197" s="36">
        <v>4301031220</v>
      </c>
      <c r="D197" s="619">
        <v>4680115882669</v>
      </c>
      <c r="E197" s="619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120</v>
      </c>
      <c r="L197" s="37" t="s">
        <v>208</v>
      </c>
      <c r="M197" s="38" t="s">
        <v>82</v>
      </c>
      <c r="N197" s="38"/>
      <c r="O197" s="37">
        <v>40</v>
      </c>
      <c r="P197" s="70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621"/>
      <c r="R197" s="621"/>
      <c r="S197" s="621"/>
      <c r="T197" s="622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328</v>
      </c>
      <c r="AG197" s="78"/>
      <c r="AJ197" s="84" t="s">
        <v>117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329</v>
      </c>
      <c r="B198" s="63" t="s">
        <v>330</v>
      </c>
      <c r="C198" s="36">
        <v>4301031221</v>
      </c>
      <c r="D198" s="619">
        <v>4680115882676</v>
      </c>
      <c r="E198" s="619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120</v>
      </c>
      <c r="L198" s="37" t="s">
        <v>208</v>
      </c>
      <c r="M198" s="38" t="s">
        <v>82</v>
      </c>
      <c r="N198" s="38"/>
      <c r="O198" s="37">
        <v>40</v>
      </c>
      <c r="P198" s="7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621"/>
      <c r="R198" s="621"/>
      <c r="S198" s="621"/>
      <c r="T198" s="622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331</v>
      </c>
      <c r="AG198" s="78"/>
      <c r="AJ198" s="84" t="s">
        <v>117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332</v>
      </c>
      <c r="B199" s="63" t="s">
        <v>333</v>
      </c>
      <c r="C199" s="36">
        <v>4301031223</v>
      </c>
      <c r="D199" s="619">
        <v>4680115884014</v>
      </c>
      <c r="E199" s="619"/>
      <c r="F199" s="62">
        <v>0.3</v>
      </c>
      <c r="G199" s="37">
        <v>6</v>
      </c>
      <c r="H199" s="62">
        <v>1.8</v>
      </c>
      <c r="I199" s="62">
        <v>1.93</v>
      </c>
      <c r="J199" s="37">
        <v>234</v>
      </c>
      <c r="K199" s="37" t="s">
        <v>83</v>
      </c>
      <c r="L199" s="37" t="s">
        <v>283</v>
      </c>
      <c r="M199" s="38" t="s">
        <v>82</v>
      </c>
      <c r="N199" s="38"/>
      <c r="O199" s="37">
        <v>40</v>
      </c>
      <c r="P199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621"/>
      <c r="R199" s="621"/>
      <c r="S199" s="621"/>
      <c r="T199" s="622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IFERROR(IF(Y199=0,"",ROUNDUP(Y199/H199,0)*0.00502),"")</f>
        <v/>
      </c>
      <c r="AA199" s="68" t="s">
        <v>45</v>
      </c>
      <c r="AB199" s="69" t="s">
        <v>45</v>
      </c>
      <c r="AC199" s="252" t="s">
        <v>322</v>
      </c>
      <c r="AG199" s="78"/>
      <c r="AJ199" s="84" t="s">
        <v>117</v>
      </c>
      <c r="AK199" s="84">
        <v>32.4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334</v>
      </c>
      <c r="B200" s="63" t="s">
        <v>335</v>
      </c>
      <c r="C200" s="36">
        <v>4301031222</v>
      </c>
      <c r="D200" s="619">
        <v>4680115884007</v>
      </c>
      <c r="E200" s="619"/>
      <c r="F200" s="62">
        <v>0.3</v>
      </c>
      <c r="G200" s="37">
        <v>6</v>
      </c>
      <c r="H200" s="62">
        <v>1.8</v>
      </c>
      <c r="I200" s="62">
        <v>1.9</v>
      </c>
      <c r="J200" s="37">
        <v>234</v>
      </c>
      <c r="K200" s="37" t="s">
        <v>83</v>
      </c>
      <c r="L200" s="37" t="s">
        <v>283</v>
      </c>
      <c r="M200" s="38" t="s">
        <v>82</v>
      </c>
      <c r="N200" s="38"/>
      <c r="O200" s="37">
        <v>40</v>
      </c>
      <c r="P200" s="7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621"/>
      <c r="R200" s="621"/>
      <c r="S200" s="621"/>
      <c r="T200" s="622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325</v>
      </c>
      <c r="AG200" s="78"/>
      <c r="AJ200" s="84" t="s">
        <v>117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336</v>
      </c>
      <c r="B201" s="63" t="s">
        <v>337</v>
      </c>
      <c r="C201" s="36">
        <v>4301031229</v>
      </c>
      <c r="D201" s="619">
        <v>4680115884038</v>
      </c>
      <c r="E201" s="619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283</v>
      </c>
      <c r="M201" s="38" t="s">
        <v>82</v>
      </c>
      <c r="N201" s="38"/>
      <c r="O201" s="37">
        <v>40</v>
      </c>
      <c r="P201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621"/>
      <c r="R201" s="621"/>
      <c r="S201" s="621"/>
      <c r="T201" s="622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328</v>
      </c>
      <c r="AG201" s="78"/>
      <c r="AJ201" s="84" t="s">
        <v>117</v>
      </c>
      <c r="AK201" s="84">
        <v>32.4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338</v>
      </c>
      <c r="B202" s="63" t="s">
        <v>339</v>
      </c>
      <c r="C202" s="36">
        <v>4301031225</v>
      </c>
      <c r="D202" s="619">
        <v>4680115884021</v>
      </c>
      <c r="E202" s="619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283</v>
      </c>
      <c r="M202" s="38" t="s">
        <v>82</v>
      </c>
      <c r="N202" s="38"/>
      <c r="O202" s="37">
        <v>40</v>
      </c>
      <c r="P202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621"/>
      <c r="R202" s="621"/>
      <c r="S202" s="621"/>
      <c r="T202" s="622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331</v>
      </c>
      <c r="AG202" s="78"/>
      <c r="AJ202" s="84" t="s">
        <v>117</v>
      </c>
      <c r="AK202" s="84">
        <v>32.4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x14ac:dyDescent="0.2">
      <c r="A203" s="626"/>
      <c r="B203" s="626"/>
      <c r="C203" s="626"/>
      <c r="D203" s="626"/>
      <c r="E203" s="626"/>
      <c r="F203" s="626"/>
      <c r="G203" s="626"/>
      <c r="H203" s="626"/>
      <c r="I203" s="626"/>
      <c r="J203" s="626"/>
      <c r="K203" s="626"/>
      <c r="L203" s="626"/>
      <c r="M203" s="626"/>
      <c r="N203" s="626"/>
      <c r="O203" s="627"/>
      <c r="P203" s="623" t="s">
        <v>40</v>
      </c>
      <c r="Q203" s="624"/>
      <c r="R203" s="624"/>
      <c r="S203" s="624"/>
      <c r="T203" s="624"/>
      <c r="U203" s="624"/>
      <c r="V203" s="625"/>
      <c r="W203" s="42" t="s">
        <v>39</v>
      </c>
      <c r="X203" s="43">
        <f>IFERROR(X195/H195,"0")+IFERROR(X196/H196,"0")+IFERROR(X197/H197,"0")+IFERROR(X198/H198,"0")+IFERROR(X199/H199,"0")+IFERROR(X200/H200,"0")+IFERROR(X201/H201,"0")+IFERROR(X202/H202,"0")</f>
        <v>0</v>
      </c>
      <c r="Y203" s="43">
        <f>IFERROR(Y195/H195,"0")+IFERROR(Y196/H196,"0")+IFERROR(Y197/H197,"0")+IFERROR(Y198/H198,"0")+IFERROR(Y199/H199,"0")+IFERROR(Y200/H200,"0")+IFERROR(Y201/H201,"0")+IFERROR(Y202/H202,"0")</f>
        <v>0</v>
      </c>
      <c r="Z203" s="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26"/>
      <c r="B204" s="626"/>
      <c r="C204" s="626"/>
      <c r="D204" s="626"/>
      <c r="E204" s="626"/>
      <c r="F204" s="626"/>
      <c r="G204" s="626"/>
      <c r="H204" s="626"/>
      <c r="I204" s="626"/>
      <c r="J204" s="626"/>
      <c r="K204" s="626"/>
      <c r="L204" s="626"/>
      <c r="M204" s="626"/>
      <c r="N204" s="626"/>
      <c r="O204" s="627"/>
      <c r="P204" s="623" t="s">
        <v>40</v>
      </c>
      <c r="Q204" s="624"/>
      <c r="R204" s="624"/>
      <c r="S204" s="624"/>
      <c r="T204" s="624"/>
      <c r="U204" s="624"/>
      <c r="V204" s="625"/>
      <c r="W204" s="42" t="s">
        <v>0</v>
      </c>
      <c r="X204" s="43">
        <f>IFERROR(SUM(X195:X202),"0")</f>
        <v>0</v>
      </c>
      <c r="Y204" s="43">
        <f>IFERROR(SUM(Y195:Y202),"0")</f>
        <v>0</v>
      </c>
      <c r="Z204" s="42"/>
      <c r="AA204" s="67"/>
      <c r="AB204" s="67"/>
      <c r="AC204" s="67"/>
    </row>
    <row r="205" spans="1:68" ht="14.25" customHeight="1" x14ac:dyDescent="0.25">
      <c r="A205" s="618" t="s">
        <v>84</v>
      </c>
      <c r="B205" s="618"/>
      <c r="C205" s="618"/>
      <c r="D205" s="618"/>
      <c r="E205" s="618"/>
      <c r="F205" s="618"/>
      <c r="G205" s="618"/>
      <c r="H205" s="618"/>
      <c r="I205" s="618"/>
      <c r="J205" s="618"/>
      <c r="K205" s="618"/>
      <c r="L205" s="618"/>
      <c r="M205" s="618"/>
      <c r="N205" s="618"/>
      <c r="O205" s="618"/>
      <c r="P205" s="618"/>
      <c r="Q205" s="618"/>
      <c r="R205" s="618"/>
      <c r="S205" s="618"/>
      <c r="T205" s="618"/>
      <c r="U205" s="618"/>
      <c r="V205" s="618"/>
      <c r="W205" s="618"/>
      <c r="X205" s="618"/>
      <c r="Y205" s="618"/>
      <c r="Z205" s="618"/>
      <c r="AA205" s="66"/>
      <c r="AB205" s="66"/>
      <c r="AC205" s="80"/>
    </row>
    <row r="206" spans="1:68" ht="27" customHeight="1" x14ac:dyDescent="0.25">
      <c r="A206" s="63" t="s">
        <v>340</v>
      </c>
      <c r="B206" s="63" t="s">
        <v>341</v>
      </c>
      <c r="C206" s="36">
        <v>4301051408</v>
      </c>
      <c r="D206" s="619">
        <v>4680115881594</v>
      </c>
      <c r="E206" s="619"/>
      <c r="F206" s="62">
        <v>1.35</v>
      </c>
      <c r="G206" s="37">
        <v>6</v>
      </c>
      <c r="H206" s="62">
        <v>8.1</v>
      </c>
      <c r="I206" s="62">
        <v>8.5939999999999994</v>
      </c>
      <c r="J206" s="37">
        <v>64</v>
      </c>
      <c r="K206" s="37" t="s">
        <v>115</v>
      </c>
      <c r="L206" s="37" t="s">
        <v>45</v>
      </c>
      <c r="M206" s="38" t="s">
        <v>88</v>
      </c>
      <c r="N206" s="38"/>
      <c r="O206" s="37">
        <v>40</v>
      </c>
      <c r="P206" s="7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621"/>
      <c r="R206" s="621"/>
      <c r="S206" s="621"/>
      <c r="T206" s="622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4" si="15">IFERROR(IF(X206="",0,CEILING((X206/$H206),1)*$H206),"")</f>
        <v>0</v>
      </c>
      <c r="Z206" s="41" t="str">
        <f>IFERROR(IF(Y206=0,"",ROUNDUP(Y206/H206,0)*0.01898),"")</f>
        <v/>
      </c>
      <c r="AA206" s="68" t="s">
        <v>45</v>
      </c>
      <c r="AB206" s="69" t="s">
        <v>45</v>
      </c>
      <c r="AC206" s="260" t="s">
        <v>342</v>
      </c>
      <c r="AG206" s="78"/>
      <c r="AJ206" s="84" t="s">
        <v>45</v>
      </c>
      <c r="AK206" s="84">
        <v>0</v>
      </c>
      <c r="BB206" s="261" t="s">
        <v>66</v>
      </c>
      <c r="BM206" s="78">
        <f t="shared" ref="BM206:BM214" si="16">IFERROR(X206*I206/H206,"0")</f>
        <v>0</v>
      </c>
      <c r="BN206" s="78">
        <f t="shared" ref="BN206:BN214" si="17">IFERROR(Y206*I206/H206,"0")</f>
        <v>0</v>
      </c>
      <c r="BO206" s="78">
        <f t="shared" ref="BO206:BO214" si="18">IFERROR(1/J206*(X206/H206),"0")</f>
        <v>0</v>
      </c>
      <c r="BP206" s="78">
        <f t="shared" ref="BP206:BP214" si="19">IFERROR(1/J206*(Y206/H206),"0")</f>
        <v>0</v>
      </c>
    </row>
    <row r="207" spans="1:68" ht="27" customHeight="1" x14ac:dyDescent="0.25">
      <c r="A207" s="63" t="s">
        <v>343</v>
      </c>
      <c r="B207" s="63" t="s">
        <v>344</v>
      </c>
      <c r="C207" s="36">
        <v>4301051411</v>
      </c>
      <c r="D207" s="619">
        <v>4680115881617</v>
      </c>
      <c r="E207" s="619"/>
      <c r="F207" s="62">
        <v>1.35</v>
      </c>
      <c r="G207" s="37">
        <v>6</v>
      </c>
      <c r="H207" s="62">
        <v>8.1</v>
      </c>
      <c r="I207" s="62">
        <v>8.5760000000000005</v>
      </c>
      <c r="J207" s="37">
        <v>64</v>
      </c>
      <c r="K207" s="37" t="s">
        <v>115</v>
      </c>
      <c r="L207" s="37" t="s">
        <v>45</v>
      </c>
      <c r="M207" s="38" t="s">
        <v>88</v>
      </c>
      <c r="N207" s="38"/>
      <c r="O207" s="37">
        <v>40</v>
      </c>
      <c r="P207" s="71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621"/>
      <c r="R207" s="621"/>
      <c r="S207" s="621"/>
      <c r="T207" s="622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345</v>
      </c>
      <c r="AG207" s="78"/>
      <c r="AJ207" s="84" t="s">
        <v>45</v>
      </c>
      <c r="AK207" s="84">
        <v>0</v>
      </c>
      <c r="BB207" s="263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346</v>
      </c>
      <c r="B208" s="63" t="s">
        <v>347</v>
      </c>
      <c r="C208" s="36">
        <v>4301051656</v>
      </c>
      <c r="D208" s="619">
        <v>4680115880573</v>
      </c>
      <c r="E208" s="619"/>
      <c r="F208" s="62">
        <v>1.45</v>
      </c>
      <c r="G208" s="37">
        <v>6</v>
      </c>
      <c r="H208" s="62">
        <v>8.6999999999999993</v>
      </c>
      <c r="I208" s="62">
        <v>9.1940000000000008</v>
      </c>
      <c r="J208" s="37">
        <v>64</v>
      </c>
      <c r="K208" s="37" t="s">
        <v>115</v>
      </c>
      <c r="L208" s="37" t="s">
        <v>116</v>
      </c>
      <c r="M208" s="38" t="s">
        <v>88</v>
      </c>
      <c r="N208" s="38"/>
      <c r="O208" s="37">
        <v>45</v>
      </c>
      <c r="P208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621"/>
      <c r="R208" s="621"/>
      <c r="S208" s="621"/>
      <c r="T208" s="622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348</v>
      </c>
      <c r="AG208" s="78"/>
      <c r="AJ208" s="84" t="s">
        <v>117</v>
      </c>
      <c r="AK208" s="84">
        <v>69.599999999999994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349</v>
      </c>
      <c r="B209" s="63" t="s">
        <v>350</v>
      </c>
      <c r="C209" s="36">
        <v>4301051407</v>
      </c>
      <c r="D209" s="619">
        <v>4680115882195</v>
      </c>
      <c r="E209" s="619"/>
      <c r="F209" s="62">
        <v>0.4</v>
      </c>
      <c r="G209" s="37">
        <v>6</v>
      </c>
      <c r="H209" s="62">
        <v>2.4</v>
      </c>
      <c r="I209" s="62">
        <v>2.67</v>
      </c>
      <c r="J209" s="37">
        <v>182</v>
      </c>
      <c r="K209" s="37" t="s">
        <v>89</v>
      </c>
      <c r="L209" s="37" t="s">
        <v>225</v>
      </c>
      <c r="M209" s="38" t="s">
        <v>88</v>
      </c>
      <c r="N209" s="38"/>
      <c r="O209" s="37">
        <v>40</v>
      </c>
      <c r="P20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621"/>
      <c r="R209" s="621"/>
      <c r="S209" s="621"/>
      <c r="T209" s="622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 t="shared" ref="Z209:Z214" si="20">IFERROR(IF(Y209=0,"",ROUNDUP(Y209/H209,0)*0.00651),"")</f>
        <v/>
      </c>
      <c r="AA209" s="68" t="s">
        <v>45</v>
      </c>
      <c r="AB209" s="69" t="s">
        <v>45</v>
      </c>
      <c r="AC209" s="266" t="s">
        <v>342</v>
      </c>
      <c r="AG209" s="78"/>
      <c r="AJ209" s="84" t="s">
        <v>117</v>
      </c>
      <c r="AK209" s="84">
        <v>33.6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351</v>
      </c>
      <c r="B210" s="63" t="s">
        <v>352</v>
      </c>
      <c r="C210" s="36">
        <v>4301051752</v>
      </c>
      <c r="D210" s="619">
        <v>4680115882607</v>
      </c>
      <c r="E210" s="619"/>
      <c r="F210" s="62">
        <v>0.3</v>
      </c>
      <c r="G210" s="37">
        <v>6</v>
      </c>
      <c r="H210" s="62">
        <v>1.8</v>
      </c>
      <c r="I210" s="62">
        <v>2.052</v>
      </c>
      <c r="J210" s="37">
        <v>182</v>
      </c>
      <c r="K210" s="37" t="s">
        <v>89</v>
      </c>
      <c r="L210" s="37" t="s">
        <v>45</v>
      </c>
      <c r="M210" s="38" t="s">
        <v>96</v>
      </c>
      <c r="N210" s="38"/>
      <c r="O210" s="37">
        <v>45</v>
      </c>
      <c r="P210" s="71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621"/>
      <c r="R210" s="621"/>
      <c r="S210" s="621"/>
      <c r="T210" s="622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si="20"/>
        <v/>
      </c>
      <c r="AA210" s="68" t="s">
        <v>45</v>
      </c>
      <c r="AB210" s="69" t="s">
        <v>45</v>
      </c>
      <c r="AC210" s="268" t="s">
        <v>353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354</v>
      </c>
      <c r="B211" s="63" t="s">
        <v>355</v>
      </c>
      <c r="C211" s="36">
        <v>4301051666</v>
      </c>
      <c r="D211" s="619">
        <v>4680115880092</v>
      </c>
      <c r="E211" s="619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89</v>
      </c>
      <c r="L211" s="37" t="s">
        <v>225</v>
      </c>
      <c r="M211" s="38" t="s">
        <v>88</v>
      </c>
      <c r="N211" s="38"/>
      <c r="O211" s="37">
        <v>45</v>
      </c>
      <c r="P211" s="71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621"/>
      <c r="R211" s="621"/>
      <c r="S211" s="621"/>
      <c r="T211" s="622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348</v>
      </c>
      <c r="AG211" s="78"/>
      <c r="AJ211" s="84" t="s">
        <v>117</v>
      </c>
      <c r="AK211" s="84">
        <v>33.6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356</v>
      </c>
      <c r="B212" s="63" t="s">
        <v>357</v>
      </c>
      <c r="C212" s="36">
        <v>4301051668</v>
      </c>
      <c r="D212" s="619">
        <v>4680115880221</v>
      </c>
      <c r="E212" s="619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45</v>
      </c>
      <c r="M212" s="38" t="s">
        <v>88</v>
      </c>
      <c r="N212" s="38"/>
      <c r="O212" s="37">
        <v>45</v>
      </c>
      <c r="P212" s="72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621"/>
      <c r="R212" s="621"/>
      <c r="S212" s="621"/>
      <c r="T212" s="622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348</v>
      </c>
      <c r="AG212" s="78"/>
      <c r="AJ212" s="84" t="s">
        <v>45</v>
      </c>
      <c r="AK212" s="84">
        <v>0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358</v>
      </c>
      <c r="B213" s="63" t="s">
        <v>359</v>
      </c>
      <c r="C213" s="36">
        <v>4301051945</v>
      </c>
      <c r="D213" s="619">
        <v>4680115880504</v>
      </c>
      <c r="E213" s="619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225</v>
      </c>
      <c r="M213" s="38" t="s">
        <v>96</v>
      </c>
      <c r="N213" s="38"/>
      <c r="O213" s="37">
        <v>40</v>
      </c>
      <c r="P213" s="72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621"/>
      <c r="R213" s="621"/>
      <c r="S213" s="621"/>
      <c r="T213" s="622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360</v>
      </c>
      <c r="AG213" s="78"/>
      <c r="AJ213" s="84" t="s">
        <v>117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361</v>
      </c>
      <c r="B214" s="63" t="s">
        <v>362</v>
      </c>
      <c r="C214" s="36">
        <v>4301051410</v>
      </c>
      <c r="D214" s="619">
        <v>4680115882164</v>
      </c>
      <c r="E214" s="619"/>
      <c r="F214" s="62">
        <v>0.4</v>
      </c>
      <c r="G214" s="37">
        <v>6</v>
      </c>
      <c r="H214" s="62">
        <v>2.4</v>
      </c>
      <c r="I214" s="62">
        <v>2.6579999999999999</v>
      </c>
      <c r="J214" s="37">
        <v>182</v>
      </c>
      <c r="K214" s="37" t="s">
        <v>89</v>
      </c>
      <c r="L214" s="37" t="s">
        <v>225</v>
      </c>
      <c r="M214" s="38" t="s">
        <v>88</v>
      </c>
      <c r="N214" s="38"/>
      <c r="O214" s="37">
        <v>40</v>
      </c>
      <c r="P214" s="72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621"/>
      <c r="R214" s="621"/>
      <c r="S214" s="621"/>
      <c r="T214" s="622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345</v>
      </c>
      <c r="AG214" s="78"/>
      <c r="AJ214" s="84" t="s">
        <v>117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x14ac:dyDescent="0.2">
      <c r="A215" s="626"/>
      <c r="B215" s="626"/>
      <c r="C215" s="626"/>
      <c r="D215" s="626"/>
      <c r="E215" s="626"/>
      <c r="F215" s="626"/>
      <c r="G215" s="626"/>
      <c r="H215" s="626"/>
      <c r="I215" s="626"/>
      <c r="J215" s="626"/>
      <c r="K215" s="626"/>
      <c r="L215" s="626"/>
      <c r="M215" s="626"/>
      <c r="N215" s="626"/>
      <c r="O215" s="627"/>
      <c r="P215" s="623" t="s">
        <v>40</v>
      </c>
      <c r="Q215" s="624"/>
      <c r="R215" s="624"/>
      <c r="S215" s="624"/>
      <c r="T215" s="624"/>
      <c r="U215" s="624"/>
      <c r="V215" s="625"/>
      <c r="W215" s="42" t="s">
        <v>39</v>
      </c>
      <c r="X215" s="43">
        <f>IFERROR(X206/H206,"0")+IFERROR(X207/H207,"0")+IFERROR(X208/H208,"0")+IFERROR(X209/H209,"0")+IFERROR(X210/H210,"0")+IFERROR(X211/H211,"0")+IFERROR(X212/H212,"0")+IFERROR(X213/H213,"0")+IFERROR(X214/H214,"0")</f>
        <v>0</v>
      </c>
      <c r="Y215" s="43">
        <f>IFERROR(Y206/H206,"0")+IFERROR(Y207/H207,"0")+IFERROR(Y208/H208,"0")+IFERROR(Y209/H209,"0")+IFERROR(Y210/H210,"0")+IFERROR(Y211/H211,"0")+IFERROR(Y212/H212,"0")+IFERROR(Y213/H213,"0")+IFERROR(Y214/H214,"0")</f>
        <v>0</v>
      </c>
      <c r="Z215" s="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26"/>
      <c r="B216" s="626"/>
      <c r="C216" s="626"/>
      <c r="D216" s="626"/>
      <c r="E216" s="626"/>
      <c r="F216" s="626"/>
      <c r="G216" s="626"/>
      <c r="H216" s="626"/>
      <c r="I216" s="626"/>
      <c r="J216" s="626"/>
      <c r="K216" s="626"/>
      <c r="L216" s="626"/>
      <c r="M216" s="626"/>
      <c r="N216" s="626"/>
      <c r="O216" s="627"/>
      <c r="P216" s="623" t="s">
        <v>40</v>
      </c>
      <c r="Q216" s="624"/>
      <c r="R216" s="624"/>
      <c r="S216" s="624"/>
      <c r="T216" s="624"/>
      <c r="U216" s="624"/>
      <c r="V216" s="625"/>
      <c r="W216" s="42" t="s">
        <v>0</v>
      </c>
      <c r="X216" s="43">
        <f>IFERROR(SUM(X206:X214),"0")</f>
        <v>0</v>
      </c>
      <c r="Y216" s="43">
        <f>IFERROR(SUM(Y206:Y214),"0")</f>
        <v>0</v>
      </c>
      <c r="Z216" s="42"/>
      <c r="AA216" s="67"/>
      <c r="AB216" s="67"/>
      <c r="AC216" s="67"/>
    </row>
    <row r="217" spans="1:68" ht="14.25" customHeight="1" x14ac:dyDescent="0.25">
      <c r="A217" s="618" t="s">
        <v>174</v>
      </c>
      <c r="B217" s="618"/>
      <c r="C217" s="618"/>
      <c r="D217" s="618"/>
      <c r="E217" s="618"/>
      <c r="F217" s="618"/>
      <c r="G217" s="618"/>
      <c r="H217" s="618"/>
      <c r="I217" s="618"/>
      <c r="J217" s="618"/>
      <c r="K217" s="618"/>
      <c r="L217" s="618"/>
      <c r="M217" s="618"/>
      <c r="N217" s="618"/>
      <c r="O217" s="618"/>
      <c r="P217" s="618"/>
      <c r="Q217" s="618"/>
      <c r="R217" s="618"/>
      <c r="S217" s="618"/>
      <c r="T217" s="618"/>
      <c r="U217" s="618"/>
      <c r="V217" s="618"/>
      <c r="W217" s="618"/>
      <c r="X217" s="618"/>
      <c r="Y217" s="618"/>
      <c r="Z217" s="618"/>
      <c r="AA217" s="66"/>
      <c r="AB217" s="66"/>
      <c r="AC217" s="80"/>
    </row>
    <row r="218" spans="1:68" ht="27" customHeight="1" x14ac:dyDescent="0.25">
      <c r="A218" s="63" t="s">
        <v>363</v>
      </c>
      <c r="B218" s="63" t="s">
        <v>364</v>
      </c>
      <c r="C218" s="36">
        <v>4301060463</v>
      </c>
      <c r="D218" s="619">
        <v>4680115880818</v>
      </c>
      <c r="E218" s="619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89</v>
      </c>
      <c r="L218" s="37" t="s">
        <v>225</v>
      </c>
      <c r="M218" s="38" t="s">
        <v>96</v>
      </c>
      <c r="N218" s="38"/>
      <c r="O218" s="37">
        <v>40</v>
      </c>
      <c r="P218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621"/>
      <c r="R218" s="621"/>
      <c r="S218" s="621"/>
      <c r="T218" s="622"/>
      <c r="U218" s="39" t="s">
        <v>45</v>
      </c>
      <c r="V218" s="39" t="s">
        <v>45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IFERROR(IF(Y218=0,"",ROUNDUP(Y218/H218,0)*0.00651),"")</f>
        <v/>
      </c>
      <c r="AA218" s="68" t="s">
        <v>45</v>
      </c>
      <c r="AB218" s="69" t="s">
        <v>45</v>
      </c>
      <c r="AC218" s="278" t="s">
        <v>365</v>
      </c>
      <c r="AG218" s="78"/>
      <c r="AJ218" s="84" t="s">
        <v>117</v>
      </c>
      <c r="AK218" s="84">
        <v>33.6</v>
      </c>
      <c r="BB218" s="279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t="37.5" customHeight="1" x14ac:dyDescent="0.25">
      <c r="A219" s="63" t="s">
        <v>366</v>
      </c>
      <c r="B219" s="63" t="s">
        <v>367</v>
      </c>
      <c r="C219" s="36">
        <v>4301060389</v>
      </c>
      <c r="D219" s="619">
        <v>4680115880801</v>
      </c>
      <c r="E219" s="619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225</v>
      </c>
      <c r="M219" s="38" t="s">
        <v>88</v>
      </c>
      <c r="N219" s="38"/>
      <c r="O219" s="37">
        <v>40</v>
      </c>
      <c r="P219" s="72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621"/>
      <c r="R219" s="621"/>
      <c r="S219" s="621"/>
      <c r="T219" s="622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368</v>
      </c>
      <c r="AG219" s="78"/>
      <c r="AJ219" s="84" t="s">
        <v>117</v>
      </c>
      <c r="AK219" s="84">
        <v>33.6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26"/>
      <c r="B220" s="626"/>
      <c r="C220" s="626"/>
      <c r="D220" s="626"/>
      <c r="E220" s="626"/>
      <c r="F220" s="626"/>
      <c r="G220" s="626"/>
      <c r="H220" s="626"/>
      <c r="I220" s="626"/>
      <c r="J220" s="626"/>
      <c r="K220" s="626"/>
      <c r="L220" s="626"/>
      <c r="M220" s="626"/>
      <c r="N220" s="626"/>
      <c r="O220" s="627"/>
      <c r="P220" s="623" t="s">
        <v>40</v>
      </c>
      <c r="Q220" s="624"/>
      <c r="R220" s="624"/>
      <c r="S220" s="624"/>
      <c r="T220" s="624"/>
      <c r="U220" s="624"/>
      <c r="V220" s="625"/>
      <c r="W220" s="42" t="s">
        <v>39</v>
      </c>
      <c r="X220" s="43">
        <f>IFERROR(X218/H218,"0")+IFERROR(X219/H219,"0")</f>
        <v>0</v>
      </c>
      <c r="Y220" s="43">
        <f>IFERROR(Y218/H218,"0")+IFERROR(Y219/H219,"0")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626"/>
      <c r="B221" s="626"/>
      <c r="C221" s="626"/>
      <c r="D221" s="626"/>
      <c r="E221" s="626"/>
      <c r="F221" s="626"/>
      <c r="G221" s="626"/>
      <c r="H221" s="626"/>
      <c r="I221" s="626"/>
      <c r="J221" s="626"/>
      <c r="K221" s="626"/>
      <c r="L221" s="626"/>
      <c r="M221" s="626"/>
      <c r="N221" s="626"/>
      <c r="O221" s="627"/>
      <c r="P221" s="623" t="s">
        <v>40</v>
      </c>
      <c r="Q221" s="624"/>
      <c r="R221" s="624"/>
      <c r="S221" s="624"/>
      <c r="T221" s="624"/>
      <c r="U221" s="624"/>
      <c r="V221" s="625"/>
      <c r="W221" s="42" t="s">
        <v>0</v>
      </c>
      <c r="X221" s="43">
        <f>IFERROR(SUM(X218:X219),"0")</f>
        <v>0</v>
      </c>
      <c r="Y221" s="43">
        <f>IFERROR(SUM(Y218:Y219),"0")</f>
        <v>0</v>
      </c>
      <c r="Z221" s="42"/>
      <c r="AA221" s="67"/>
      <c r="AB221" s="67"/>
      <c r="AC221" s="67"/>
    </row>
    <row r="222" spans="1:68" ht="16.5" customHeight="1" x14ac:dyDescent="0.25">
      <c r="A222" s="617" t="s">
        <v>369</v>
      </c>
      <c r="B222" s="617"/>
      <c r="C222" s="617"/>
      <c r="D222" s="617"/>
      <c r="E222" s="617"/>
      <c r="F222" s="617"/>
      <c r="G222" s="617"/>
      <c r="H222" s="617"/>
      <c r="I222" s="617"/>
      <c r="J222" s="617"/>
      <c r="K222" s="617"/>
      <c r="L222" s="617"/>
      <c r="M222" s="617"/>
      <c r="N222" s="617"/>
      <c r="O222" s="617"/>
      <c r="P222" s="617"/>
      <c r="Q222" s="617"/>
      <c r="R222" s="617"/>
      <c r="S222" s="617"/>
      <c r="T222" s="617"/>
      <c r="U222" s="617"/>
      <c r="V222" s="617"/>
      <c r="W222" s="617"/>
      <c r="X222" s="617"/>
      <c r="Y222" s="617"/>
      <c r="Z222" s="617"/>
      <c r="AA222" s="65"/>
      <c r="AB222" s="65"/>
      <c r="AC222" s="79"/>
    </row>
    <row r="223" spans="1:68" ht="14.25" customHeight="1" x14ac:dyDescent="0.25">
      <c r="A223" s="618" t="s">
        <v>110</v>
      </c>
      <c r="B223" s="618"/>
      <c r="C223" s="618"/>
      <c r="D223" s="618"/>
      <c r="E223" s="618"/>
      <c r="F223" s="618"/>
      <c r="G223" s="618"/>
      <c r="H223" s="618"/>
      <c r="I223" s="618"/>
      <c r="J223" s="618"/>
      <c r="K223" s="618"/>
      <c r="L223" s="618"/>
      <c r="M223" s="618"/>
      <c r="N223" s="618"/>
      <c r="O223" s="618"/>
      <c r="P223" s="618"/>
      <c r="Q223" s="618"/>
      <c r="R223" s="618"/>
      <c r="S223" s="618"/>
      <c r="T223" s="618"/>
      <c r="U223" s="618"/>
      <c r="V223" s="618"/>
      <c r="W223" s="618"/>
      <c r="X223" s="618"/>
      <c r="Y223" s="618"/>
      <c r="Z223" s="618"/>
      <c r="AA223" s="66"/>
      <c r="AB223" s="66"/>
      <c r="AC223" s="80"/>
    </row>
    <row r="224" spans="1:68" ht="27" customHeight="1" x14ac:dyDescent="0.25">
      <c r="A224" s="63" t="s">
        <v>370</v>
      </c>
      <c r="B224" s="63" t="s">
        <v>371</v>
      </c>
      <c r="C224" s="36">
        <v>4301011826</v>
      </c>
      <c r="D224" s="619">
        <v>4680115884137</v>
      </c>
      <c r="E224" s="619"/>
      <c r="F224" s="62">
        <v>1.45</v>
      </c>
      <c r="G224" s="37">
        <v>8</v>
      </c>
      <c r="H224" s="62">
        <v>11.6</v>
      </c>
      <c r="I224" s="62">
        <v>12.01</v>
      </c>
      <c r="J224" s="37">
        <v>64</v>
      </c>
      <c r="K224" s="37" t="s">
        <v>115</v>
      </c>
      <c r="L224" s="37" t="s">
        <v>116</v>
      </c>
      <c r="M224" s="38" t="s">
        <v>114</v>
      </c>
      <c r="N224" s="38"/>
      <c r="O224" s="37">
        <v>55</v>
      </c>
      <c r="P224" s="7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621"/>
      <c r="R224" s="621"/>
      <c r="S224" s="621"/>
      <c r="T224" s="622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ref="Y224:Y233" si="21">IFERROR(IF(X224="",0,CEILING((X224/$H224),1)*$H224),"")</f>
        <v>0</v>
      </c>
      <c r="Z224" s="41" t="str">
        <f>IFERROR(IF(Y224=0,"",ROUNDUP(Y224/H224,0)*0.01898),"")</f>
        <v/>
      </c>
      <c r="AA224" s="68" t="s">
        <v>45</v>
      </c>
      <c r="AB224" s="69" t="s">
        <v>45</v>
      </c>
      <c r="AC224" s="282" t="s">
        <v>372</v>
      </c>
      <c r="AG224" s="78"/>
      <c r="AJ224" s="84" t="s">
        <v>117</v>
      </c>
      <c r="AK224" s="84">
        <v>92.8</v>
      </c>
      <c r="BB224" s="283" t="s">
        <v>66</v>
      </c>
      <c r="BM224" s="78">
        <f t="shared" ref="BM224:BM233" si="22">IFERROR(X224*I224/H224,"0")</f>
        <v>0</v>
      </c>
      <c r="BN224" s="78">
        <f t="shared" ref="BN224:BN233" si="23">IFERROR(Y224*I224/H224,"0")</f>
        <v>0</v>
      </c>
      <c r="BO224" s="78">
        <f t="shared" ref="BO224:BO233" si="24">IFERROR(1/J224*(X224/H224),"0")</f>
        <v>0</v>
      </c>
      <c r="BP224" s="78">
        <f t="shared" ref="BP224:BP233" si="25">IFERROR(1/J224*(Y224/H224),"0")</f>
        <v>0</v>
      </c>
    </row>
    <row r="225" spans="1:68" ht="27" customHeight="1" x14ac:dyDescent="0.25">
      <c r="A225" s="63" t="s">
        <v>373</v>
      </c>
      <c r="B225" s="63" t="s">
        <v>374</v>
      </c>
      <c r="C225" s="36">
        <v>4301011724</v>
      </c>
      <c r="D225" s="619">
        <v>4680115884236</v>
      </c>
      <c r="E225" s="619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115</v>
      </c>
      <c r="L225" s="37" t="s">
        <v>45</v>
      </c>
      <c r="M225" s="38" t="s">
        <v>114</v>
      </c>
      <c r="N225" s="38"/>
      <c r="O225" s="37">
        <v>55</v>
      </c>
      <c r="P225" s="72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621"/>
      <c r="R225" s="621"/>
      <c r="S225" s="621"/>
      <c r="T225" s="622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375</v>
      </c>
      <c r="AG225" s="78"/>
      <c r="AJ225" s="84" t="s">
        <v>45</v>
      </c>
      <c r="AK225" s="84">
        <v>0</v>
      </c>
      <c r="BB225" s="28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376</v>
      </c>
      <c r="B226" s="63" t="s">
        <v>377</v>
      </c>
      <c r="C226" s="36">
        <v>4301011721</v>
      </c>
      <c r="D226" s="619">
        <v>4680115884175</v>
      </c>
      <c r="E226" s="619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115</v>
      </c>
      <c r="L226" s="37" t="s">
        <v>116</v>
      </c>
      <c r="M226" s="38" t="s">
        <v>114</v>
      </c>
      <c r="N226" s="38"/>
      <c r="O226" s="37">
        <v>55</v>
      </c>
      <c r="P226" s="72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621"/>
      <c r="R226" s="621"/>
      <c r="S226" s="621"/>
      <c r="T226" s="622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378</v>
      </c>
      <c r="AG226" s="78"/>
      <c r="AJ226" s="84" t="s">
        <v>117</v>
      </c>
      <c r="AK226" s="84">
        <v>92.8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379</v>
      </c>
      <c r="B227" s="63" t="s">
        <v>380</v>
      </c>
      <c r="C227" s="36">
        <v>4301011824</v>
      </c>
      <c r="D227" s="619">
        <v>4680115884144</v>
      </c>
      <c r="E227" s="619"/>
      <c r="F227" s="62">
        <v>0.4</v>
      </c>
      <c r="G227" s="37">
        <v>10</v>
      </c>
      <c r="H227" s="62">
        <v>4</v>
      </c>
      <c r="I227" s="62">
        <v>4.1900000000000004</v>
      </c>
      <c r="J227" s="37">
        <v>132</v>
      </c>
      <c r="K227" s="37" t="s">
        <v>120</v>
      </c>
      <c r="L227" s="37" t="s">
        <v>208</v>
      </c>
      <c r="M227" s="38" t="s">
        <v>114</v>
      </c>
      <c r="N227" s="38"/>
      <c r="O227" s="37">
        <v>55</v>
      </c>
      <c r="P227" s="72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621"/>
      <c r="R227" s="621"/>
      <c r="S227" s="621"/>
      <c r="T227" s="622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8" t="s">
        <v>372</v>
      </c>
      <c r="AG227" s="78"/>
      <c r="AJ227" s="84" t="s">
        <v>117</v>
      </c>
      <c r="AK227" s="84">
        <v>48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379</v>
      </c>
      <c r="B228" s="63" t="s">
        <v>381</v>
      </c>
      <c r="C228" s="36">
        <v>4301012196</v>
      </c>
      <c r="D228" s="619">
        <v>4680115884144</v>
      </c>
      <c r="E228" s="619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120</v>
      </c>
      <c r="L228" s="37" t="s">
        <v>45</v>
      </c>
      <c r="M228" s="38" t="s">
        <v>114</v>
      </c>
      <c r="N228" s="38"/>
      <c r="O228" s="37">
        <v>55</v>
      </c>
      <c r="P228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621"/>
      <c r="R228" s="621"/>
      <c r="S228" s="621"/>
      <c r="T228" s="622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372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382</v>
      </c>
      <c r="B229" s="63" t="s">
        <v>383</v>
      </c>
      <c r="C229" s="36">
        <v>4301012149</v>
      </c>
      <c r="D229" s="619">
        <v>4680115886551</v>
      </c>
      <c r="E229" s="619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120</v>
      </c>
      <c r="L229" s="37" t="s">
        <v>45</v>
      </c>
      <c r="M229" s="38" t="s">
        <v>114</v>
      </c>
      <c r="N229" s="38"/>
      <c r="O229" s="37">
        <v>55</v>
      </c>
      <c r="P229" s="7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621"/>
      <c r="R229" s="621"/>
      <c r="S229" s="621"/>
      <c r="T229" s="622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384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385</v>
      </c>
      <c r="B230" s="63" t="s">
        <v>386</v>
      </c>
      <c r="C230" s="36">
        <v>4301011726</v>
      </c>
      <c r="D230" s="619">
        <v>4680115884182</v>
      </c>
      <c r="E230" s="619"/>
      <c r="F230" s="62">
        <v>0.37</v>
      </c>
      <c r="G230" s="37">
        <v>10</v>
      </c>
      <c r="H230" s="62">
        <v>3.7</v>
      </c>
      <c r="I230" s="62">
        <v>3.89</v>
      </c>
      <c r="J230" s="37">
        <v>132</v>
      </c>
      <c r="K230" s="37" t="s">
        <v>120</v>
      </c>
      <c r="L230" s="37" t="s">
        <v>45</v>
      </c>
      <c r="M230" s="38" t="s">
        <v>114</v>
      </c>
      <c r="N230" s="38"/>
      <c r="O230" s="37">
        <v>55</v>
      </c>
      <c r="P230" s="73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621"/>
      <c r="R230" s="621"/>
      <c r="S230" s="621"/>
      <c r="T230" s="622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375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387</v>
      </c>
      <c r="B231" s="63" t="s">
        <v>388</v>
      </c>
      <c r="C231" s="36">
        <v>4301012228</v>
      </c>
      <c r="D231" s="619">
        <v>4680115887282</v>
      </c>
      <c r="E231" s="619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89</v>
      </c>
      <c r="L231" s="37" t="s">
        <v>45</v>
      </c>
      <c r="M231" s="38" t="s">
        <v>114</v>
      </c>
      <c r="N231" s="38"/>
      <c r="O231" s="37">
        <v>55</v>
      </c>
      <c r="P231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621"/>
      <c r="R231" s="621"/>
      <c r="S231" s="621"/>
      <c r="T231" s="622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IFERROR(IF(Y231=0,"",ROUNDUP(Y231/H231,0)*0.00651),"")</f>
        <v/>
      </c>
      <c r="AA231" s="68" t="s">
        <v>45</v>
      </c>
      <c r="AB231" s="69" t="s">
        <v>45</v>
      </c>
      <c r="AC231" s="296" t="s">
        <v>375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389</v>
      </c>
      <c r="B232" s="63" t="s">
        <v>390</v>
      </c>
      <c r="C232" s="36">
        <v>4301011722</v>
      </c>
      <c r="D232" s="619">
        <v>4680115884205</v>
      </c>
      <c r="E232" s="619"/>
      <c r="F232" s="62">
        <v>0.4</v>
      </c>
      <c r="G232" s="37">
        <v>10</v>
      </c>
      <c r="H232" s="62">
        <v>4</v>
      </c>
      <c r="I232" s="62">
        <v>4.1900000000000004</v>
      </c>
      <c r="J232" s="37">
        <v>132</v>
      </c>
      <c r="K232" s="37" t="s">
        <v>120</v>
      </c>
      <c r="L232" s="37" t="s">
        <v>208</v>
      </c>
      <c r="M232" s="38" t="s">
        <v>114</v>
      </c>
      <c r="N232" s="38"/>
      <c r="O232" s="37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621"/>
      <c r="R232" s="621"/>
      <c r="S232" s="621"/>
      <c r="T232" s="622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IFERROR(IF(Y232=0,"",ROUNDUP(Y232/H232,0)*0.00902),"")</f>
        <v/>
      </c>
      <c r="AA232" s="68" t="s">
        <v>45</v>
      </c>
      <c r="AB232" s="69" t="s">
        <v>45</v>
      </c>
      <c r="AC232" s="298" t="s">
        <v>378</v>
      </c>
      <c r="AG232" s="78"/>
      <c r="AJ232" s="84" t="s">
        <v>117</v>
      </c>
      <c r="AK232" s="84">
        <v>48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389</v>
      </c>
      <c r="B233" s="63" t="s">
        <v>391</v>
      </c>
      <c r="C233" s="36">
        <v>4301012195</v>
      </c>
      <c r="D233" s="619">
        <v>4680115884205</v>
      </c>
      <c r="E233" s="619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120</v>
      </c>
      <c r="L233" s="37" t="s">
        <v>45</v>
      </c>
      <c r="M233" s="38" t="s">
        <v>114</v>
      </c>
      <c r="N233" s="38"/>
      <c r="O233" s="37">
        <v>55</v>
      </c>
      <c r="P233" s="73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621"/>
      <c r="R233" s="621"/>
      <c r="S233" s="621"/>
      <c r="T233" s="622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378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x14ac:dyDescent="0.2">
      <c r="A234" s="626"/>
      <c r="B234" s="626"/>
      <c r="C234" s="626"/>
      <c r="D234" s="626"/>
      <c r="E234" s="626"/>
      <c r="F234" s="626"/>
      <c r="G234" s="626"/>
      <c r="H234" s="626"/>
      <c r="I234" s="626"/>
      <c r="J234" s="626"/>
      <c r="K234" s="626"/>
      <c r="L234" s="626"/>
      <c r="M234" s="626"/>
      <c r="N234" s="626"/>
      <c r="O234" s="627"/>
      <c r="P234" s="623" t="s">
        <v>40</v>
      </c>
      <c r="Q234" s="624"/>
      <c r="R234" s="624"/>
      <c r="S234" s="624"/>
      <c r="T234" s="624"/>
      <c r="U234" s="624"/>
      <c r="V234" s="625"/>
      <c r="W234" s="42" t="s">
        <v>39</v>
      </c>
      <c r="X234" s="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26"/>
      <c r="B235" s="626"/>
      <c r="C235" s="626"/>
      <c r="D235" s="626"/>
      <c r="E235" s="626"/>
      <c r="F235" s="626"/>
      <c r="G235" s="626"/>
      <c r="H235" s="626"/>
      <c r="I235" s="626"/>
      <c r="J235" s="626"/>
      <c r="K235" s="626"/>
      <c r="L235" s="626"/>
      <c r="M235" s="626"/>
      <c r="N235" s="626"/>
      <c r="O235" s="627"/>
      <c r="P235" s="623" t="s">
        <v>40</v>
      </c>
      <c r="Q235" s="624"/>
      <c r="R235" s="624"/>
      <c r="S235" s="624"/>
      <c r="T235" s="624"/>
      <c r="U235" s="624"/>
      <c r="V235" s="625"/>
      <c r="W235" s="42" t="s">
        <v>0</v>
      </c>
      <c r="X235" s="43">
        <f>IFERROR(SUM(X224:X233),"0")</f>
        <v>0</v>
      </c>
      <c r="Y235" s="43">
        <f>IFERROR(SUM(Y224:Y233),"0")</f>
        <v>0</v>
      </c>
      <c r="Z235" s="42"/>
      <c r="AA235" s="67"/>
      <c r="AB235" s="67"/>
      <c r="AC235" s="67"/>
    </row>
    <row r="236" spans="1:68" ht="14.25" customHeight="1" x14ac:dyDescent="0.25">
      <c r="A236" s="618" t="s">
        <v>146</v>
      </c>
      <c r="B236" s="618"/>
      <c r="C236" s="618"/>
      <c r="D236" s="618"/>
      <c r="E236" s="618"/>
      <c r="F236" s="618"/>
      <c r="G236" s="618"/>
      <c r="H236" s="618"/>
      <c r="I236" s="618"/>
      <c r="J236" s="618"/>
      <c r="K236" s="618"/>
      <c r="L236" s="618"/>
      <c r="M236" s="618"/>
      <c r="N236" s="618"/>
      <c r="O236" s="618"/>
      <c r="P236" s="618"/>
      <c r="Q236" s="618"/>
      <c r="R236" s="618"/>
      <c r="S236" s="618"/>
      <c r="T236" s="618"/>
      <c r="U236" s="618"/>
      <c r="V236" s="618"/>
      <c r="W236" s="618"/>
      <c r="X236" s="618"/>
      <c r="Y236" s="618"/>
      <c r="Z236" s="618"/>
      <c r="AA236" s="66"/>
      <c r="AB236" s="66"/>
      <c r="AC236" s="80"/>
    </row>
    <row r="237" spans="1:68" ht="27" customHeight="1" x14ac:dyDescent="0.25">
      <c r="A237" s="63" t="s">
        <v>392</v>
      </c>
      <c r="B237" s="63" t="s">
        <v>393</v>
      </c>
      <c r="C237" s="36">
        <v>4301020377</v>
      </c>
      <c r="D237" s="619">
        <v>4680115885981</v>
      </c>
      <c r="E237" s="619"/>
      <c r="F237" s="62">
        <v>0.33</v>
      </c>
      <c r="G237" s="37">
        <v>6</v>
      </c>
      <c r="H237" s="62">
        <v>1.98</v>
      </c>
      <c r="I237" s="62">
        <v>2.08</v>
      </c>
      <c r="J237" s="37">
        <v>234</v>
      </c>
      <c r="K237" s="37" t="s">
        <v>83</v>
      </c>
      <c r="L237" s="37" t="s">
        <v>45</v>
      </c>
      <c r="M237" s="38" t="s">
        <v>88</v>
      </c>
      <c r="N237" s="38"/>
      <c r="O237" s="37">
        <v>50</v>
      </c>
      <c r="P237" s="73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621"/>
      <c r="R237" s="621"/>
      <c r="S237" s="621"/>
      <c r="T237" s="622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IFERROR(IF(Y237=0,"",ROUNDUP(Y237/H237,0)*0.00502),"")</f>
        <v/>
      </c>
      <c r="AA237" s="68" t="s">
        <v>45</v>
      </c>
      <c r="AB237" s="69" t="s">
        <v>45</v>
      </c>
      <c r="AC237" s="302" t="s">
        <v>394</v>
      </c>
      <c r="AG237" s="78"/>
      <c r="AJ237" s="84" t="s">
        <v>45</v>
      </c>
      <c r="AK237" s="84">
        <v>0</v>
      </c>
      <c r="BB237" s="30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x14ac:dyDescent="0.2">
      <c r="A238" s="626"/>
      <c r="B238" s="626"/>
      <c r="C238" s="626"/>
      <c r="D238" s="626"/>
      <c r="E238" s="626"/>
      <c r="F238" s="626"/>
      <c r="G238" s="626"/>
      <c r="H238" s="626"/>
      <c r="I238" s="626"/>
      <c r="J238" s="626"/>
      <c r="K238" s="626"/>
      <c r="L238" s="626"/>
      <c r="M238" s="626"/>
      <c r="N238" s="626"/>
      <c r="O238" s="627"/>
      <c r="P238" s="623" t="s">
        <v>40</v>
      </c>
      <c r="Q238" s="624"/>
      <c r="R238" s="624"/>
      <c r="S238" s="624"/>
      <c r="T238" s="624"/>
      <c r="U238" s="624"/>
      <c r="V238" s="625"/>
      <c r="W238" s="42" t="s">
        <v>39</v>
      </c>
      <c r="X238" s="43">
        <f>IFERROR(X237/H237,"0")</f>
        <v>0</v>
      </c>
      <c r="Y238" s="43">
        <f>IFERROR(Y237/H237,"0")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626"/>
      <c r="B239" s="626"/>
      <c r="C239" s="626"/>
      <c r="D239" s="626"/>
      <c r="E239" s="626"/>
      <c r="F239" s="626"/>
      <c r="G239" s="626"/>
      <c r="H239" s="626"/>
      <c r="I239" s="626"/>
      <c r="J239" s="626"/>
      <c r="K239" s="626"/>
      <c r="L239" s="626"/>
      <c r="M239" s="626"/>
      <c r="N239" s="626"/>
      <c r="O239" s="627"/>
      <c r="P239" s="623" t="s">
        <v>40</v>
      </c>
      <c r="Q239" s="624"/>
      <c r="R239" s="624"/>
      <c r="S239" s="624"/>
      <c r="T239" s="624"/>
      <c r="U239" s="624"/>
      <c r="V239" s="625"/>
      <c r="W239" s="42" t="s">
        <v>0</v>
      </c>
      <c r="X239" s="43">
        <f>IFERROR(SUM(X237:X237),"0")</f>
        <v>0</v>
      </c>
      <c r="Y239" s="43">
        <f>IFERROR(SUM(Y237:Y237),"0")</f>
        <v>0</v>
      </c>
      <c r="Z239" s="42"/>
      <c r="AA239" s="67"/>
      <c r="AB239" s="67"/>
      <c r="AC239" s="67"/>
    </row>
    <row r="240" spans="1:68" ht="14.25" customHeight="1" x14ac:dyDescent="0.25">
      <c r="A240" s="618" t="s">
        <v>395</v>
      </c>
      <c r="B240" s="618"/>
      <c r="C240" s="618"/>
      <c r="D240" s="618"/>
      <c r="E240" s="618"/>
      <c r="F240" s="618"/>
      <c r="G240" s="618"/>
      <c r="H240" s="618"/>
      <c r="I240" s="618"/>
      <c r="J240" s="618"/>
      <c r="K240" s="618"/>
      <c r="L240" s="618"/>
      <c r="M240" s="618"/>
      <c r="N240" s="618"/>
      <c r="O240" s="618"/>
      <c r="P240" s="618"/>
      <c r="Q240" s="618"/>
      <c r="R240" s="618"/>
      <c r="S240" s="618"/>
      <c r="T240" s="618"/>
      <c r="U240" s="618"/>
      <c r="V240" s="618"/>
      <c r="W240" s="618"/>
      <c r="X240" s="618"/>
      <c r="Y240" s="618"/>
      <c r="Z240" s="618"/>
      <c r="AA240" s="66"/>
      <c r="AB240" s="66"/>
      <c r="AC240" s="80"/>
    </row>
    <row r="241" spans="1:68" ht="27" customHeight="1" x14ac:dyDescent="0.25">
      <c r="A241" s="63" t="s">
        <v>396</v>
      </c>
      <c r="B241" s="63" t="s">
        <v>397</v>
      </c>
      <c r="C241" s="36">
        <v>4301040362</v>
      </c>
      <c r="D241" s="619">
        <v>4680115886803</v>
      </c>
      <c r="E241" s="619"/>
      <c r="F241" s="62">
        <v>0.12</v>
      </c>
      <c r="G241" s="37">
        <v>15</v>
      </c>
      <c r="H241" s="62">
        <v>1.8</v>
      </c>
      <c r="I241" s="62">
        <v>1.9750000000000001</v>
      </c>
      <c r="J241" s="37">
        <v>216</v>
      </c>
      <c r="K241" s="37" t="s">
        <v>300</v>
      </c>
      <c r="L241" s="37" t="s">
        <v>45</v>
      </c>
      <c r="M241" s="38" t="s">
        <v>299</v>
      </c>
      <c r="N241" s="38"/>
      <c r="O241" s="37">
        <v>45</v>
      </c>
      <c r="P241" s="73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621"/>
      <c r="R241" s="621"/>
      <c r="S241" s="621"/>
      <c r="T241" s="622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04" t="s">
        <v>398</v>
      </c>
      <c r="AG241" s="78"/>
      <c r="AJ241" s="84" t="s">
        <v>45</v>
      </c>
      <c r="AK241" s="84">
        <v>0</v>
      </c>
      <c r="BB241" s="30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26"/>
      <c r="B242" s="626"/>
      <c r="C242" s="626"/>
      <c r="D242" s="626"/>
      <c r="E242" s="626"/>
      <c r="F242" s="626"/>
      <c r="G242" s="626"/>
      <c r="H242" s="626"/>
      <c r="I242" s="626"/>
      <c r="J242" s="626"/>
      <c r="K242" s="626"/>
      <c r="L242" s="626"/>
      <c r="M242" s="626"/>
      <c r="N242" s="626"/>
      <c r="O242" s="627"/>
      <c r="P242" s="623" t="s">
        <v>40</v>
      </c>
      <c r="Q242" s="624"/>
      <c r="R242" s="624"/>
      <c r="S242" s="624"/>
      <c r="T242" s="624"/>
      <c r="U242" s="624"/>
      <c r="V242" s="625"/>
      <c r="W242" s="42" t="s">
        <v>39</v>
      </c>
      <c r="X242" s="43">
        <f>IFERROR(X241/H241,"0")</f>
        <v>0</v>
      </c>
      <c r="Y242" s="43">
        <f>IFERROR(Y241/H241,"0")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626"/>
      <c r="B243" s="626"/>
      <c r="C243" s="626"/>
      <c r="D243" s="626"/>
      <c r="E243" s="626"/>
      <c r="F243" s="626"/>
      <c r="G243" s="626"/>
      <c r="H243" s="626"/>
      <c r="I243" s="626"/>
      <c r="J243" s="626"/>
      <c r="K243" s="626"/>
      <c r="L243" s="626"/>
      <c r="M243" s="626"/>
      <c r="N243" s="626"/>
      <c r="O243" s="627"/>
      <c r="P243" s="623" t="s">
        <v>40</v>
      </c>
      <c r="Q243" s="624"/>
      <c r="R243" s="624"/>
      <c r="S243" s="624"/>
      <c r="T243" s="624"/>
      <c r="U243" s="624"/>
      <c r="V243" s="625"/>
      <c r="W243" s="42" t="s">
        <v>0</v>
      </c>
      <c r="X243" s="43">
        <f>IFERROR(SUM(X241:X241),"0")</f>
        <v>0</v>
      </c>
      <c r="Y243" s="43">
        <f>IFERROR(SUM(Y241:Y241),"0")</f>
        <v>0</v>
      </c>
      <c r="Z243" s="42"/>
      <c r="AA243" s="67"/>
      <c r="AB243" s="67"/>
      <c r="AC243" s="67"/>
    </row>
    <row r="244" spans="1:68" ht="14.25" customHeight="1" x14ac:dyDescent="0.25">
      <c r="A244" s="618" t="s">
        <v>399</v>
      </c>
      <c r="B244" s="618"/>
      <c r="C244" s="618"/>
      <c r="D244" s="618"/>
      <c r="E244" s="618"/>
      <c r="F244" s="618"/>
      <c r="G244" s="618"/>
      <c r="H244" s="618"/>
      <c r="I244" s="618"/>
      <c r="J244" s="618"/>
      <c r="K244" s="618"/>
      <c r="L244" s="618"/>
      <c r="M244" s="618"/>
      <c r="N244" s="618"/>
      <c r="O244" s="618"/>
      <c r="P244" s="618"/>
      <c r="Q244" s="618"/>
      <c r="R244" s="618"/>
      <c r="S244" s="618"/>
      <c r="T244" s="618"/>
      <c r="U244" s="618"/>
      <c r="V244" s="618"/>
      <c r="W244" s="618"/>
      <c r="X244" s="618"/>
      <c r="Y244" s="618"/>
      <c r="Z244" s="618"/>
      <c r="AA244" s="66"/>
      <c r="AB244" s="66"/>
      <c r="AC244" s="80"/>
    </row>
    <row r="245" spans="1:68" ht="27" customHeight="1" x14ac:dyDescent="0.25">
      <c r="A245" s="63" t="s">
        <v>400</v>
      </c>
      <c r="B245" s="63" t="s">
        <v>401</v>
      </c>
      <c r="C245" s="36">
        <v>4301041004</v>
      </c>
      <c r="D245" s="619">
        <v>4680115886704</v>
      </c>
      <c r="E245" s="619"/>
      <c r="F245" s="62">
        <v>5.5E-2</v>
      </c>
      <c r="G245" s="37">
        <v>18</v>
      </c>
      <c r="H245" s="62">
        <v>0.99</v>
      </c>
      <c r="I245" s="62">
        <v>1.18</v>
      </c>
      <c r="J245" s="37">
        <v>216</v>
      </c>
      <c r="K245" s="37" t="s">
        <v>300</v>
      </c>
      <c r="L245" s="37" t="s">
        <v>45</v>
      </c>
      <c r="M245" s="38" t="s">
        <v>299</v>
      </c>
      <c r="N245" s="38"/>
      <c r="O245" s="37">
        <v>90</v>
      </c>
      <c r="P245" s="73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621"/>
      <c r="R245" s="621"/>
      <c r="S245" s="621"/>
      <c r="T245" s="622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45</v>
      </c>
      <c r="AB245" s="69" t="s">
        <v>45</v>
      </c>
      <c r="AC245" s="306" t="s">
        <v>402</v>
      </c>
      <c r="AG245" s="78"/>
      <c r="AJ245" s="84" t="s">
        <v>45</v>
      </c>
      <c r="AK245" s="84">
        <v>0</v>
      </c>
      <c r="BB245" s="30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403</v>
      </c>
      <c r="B246" s="63" t="s">
        <v>404</v>
      </c>
      <c r="C246" s="36">
        <v>4301041008</v>
      </c>
      <c r="D246" s="619">
        <v>4680115886681</v>
      </c>
      <c r="E246" s="619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300</v>
      </c>
      <c r="L246" s="37" t="s">
        <v>45</v>
      </c>
      <c r="M246" s="38" t="s">
        <v>299</v>
      </c>
      <c r="N246" s="38"/>
      <c r="O246" s="37">
        <v>90</v>
      </c>
      <c r="P246" s="73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621"/>
      <c r="R246" s="621"/>
      <c r="S246" s="621"/>
      <c r="T246" s="622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402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405</v>
      </c>
      <c r="B247" s="63" t="s">
        <v>406</v>
      </c>
      <c r="C247" s="36">
        <v>4301041007</v>
      </c>
      <c r="D247" s="619">
        <v>4680115886735</v>
      </c>
      <c r="E247" s="619"/>
      <c r="F247" s="62">
        <v>0.05</v>
      </c>
      <c r="G247" s="37">
        <v>18</v>
      </c>
      <c r="H247" s="62">
        <v>0.9</v>
      </c>
      <c r="I247" s="62">
        <v>1.0900000000000001</v>
      </c>
      <c r="J247" s="37">
        <v>216</v>
      </c>
      <c r="K247" s="37" t="s">
        <v>300</v>
      </c>
      <c r="L247" s="37" t="s">
        <v>45</v>
      </c>
      <c r="M247" s="38" t="s">
        <v>299</v>
      </c>
      <c r="N247" s="38"/>
      <c r="O247" s="37">
        <v>90</v>
      </c>
      <c r="P247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621"/>
      <c r="R247" s="621"/>
      <c r="S247" s="621"/>
      <c r="T247" s="622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402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407</v>
      </c>
      <c r="B248" s="63" t="s">
        <v>408</v>
      </c>
      <c r="C248" s="36">
        <v>4301041006</v>
      </c>
      <c r="D248" s="619">
        <v>4680115886728</v>
      </c>
      <c r="E248" s="619"/>
      <c r="F248" s="62">
        <v>5.5E-2</v>
      </c>
      <c r="G248" s="37">
        <v>18</v>
      </c>
      <c r="H248" s="62">
        <v>0.99</v>
      </c>
      <c r="I248" s="62">
        <v>1.18</v>
      </c>
      <c r="J248" s="37">
        <v>216</v>
      </c>
      <c r="K248" s="37" t="s">
        <v>300</v>
      </c>
      <c r="L248" s="37" t="s">
        <v>45</v>
      </c>
      <c r="M248" s="38" t="s">
        <v>299</v>
      </c>
      <c r="N248" s="38"/>
      <c r="O248" s="37">
        <v>90</v>
      </c>
      <c r="P248" s="74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621"/>
      <c r="R248" s="621"/>
      <c r="S248" s="621"/>
      <c r="T248" s="622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402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409</v>
      </c>
      <c r="B249" s="63" t="s">
        <v>410</v>
      </c>
      <c r="C249" s="36">
        <v>4301041005</v>
      </c>
      <c r="D249" s="619">
        <v>4680115886711</v>
      </c>
      <c r="E249" s="619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300</v>
      </c>
      <c r="L249" s="37" t="s">
        <v>45</v>
      </c>
      <c r="M249" s="38" t="s">
        <v>299</v>
      </c>
      <c r="N249" s="38"/>
      <c r="O249" s="37">
        <v>90</v>
      </c>
      <c r="P249" s="74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621"/>
      <c r="R249" s="621"/>
      <c r="S249" s="621"/>
      <c r="T249" s="622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402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26"/>
      <c r="B250" s="626"/>
      <c r="C250" s="626"/>
      <c r="D250" s="626"/>
      <c r="E250" s="626"/>
      <c r="F250" s="626"/>
      <c r="G250" s="626"/>
      <c r="H250" s="626"/>
      <c r="I250" s="626"/>
      <c r="J250" s="626"/>
      <c r="K250" s="626"/>
      <c r="L250" s="626"/>
      <c r="M250" s="626"/>
      <c r="N250" s="626"/>
      <c r="O250" s="627"/>
      <c r="P250" s="623" t="s">
        <v>40</v>
      </c>
      <c r="Q250" s="624"/>
      <c r="R250" s="624"/>
      <c r="S250" s="624"/>
      <c r="T250" s="624"/>
      <c r="U250" s="624"/>
      <c r="V250" s="625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626"/>
      <c r="B251" s="626"/>
      <c r="C251" s="626"/>
      <c r="D251" s="626"/>
      <c r="E251" s="626"/>
      <c r="F251" s="626"/>
      <c r="G251" s="626"/>
      <c r="H251" s="626"/>
      <c r="I251" s="626"/>
      <c r="J251" s="626"/>
      <c r="K251" s="626"/>
      <c r="L251" s="626"/>
      <c r="M251" s="626"/>
      <c r="N251" s="626"/>
      <c r="O251" s="627"/>
      <c r="P251" s="623" t="s">
        <v>40</v>
      </c>
      <c r="Q251" s="624"/>
      <c r="R251" s="624"/>
      <c r="S251" s="624"/>
      <c r="T251" s="624"/>
      <c r="U251" s="624"/>
      <c r="V251" s="625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617" t="s">
        <v>411</v>
      </c>
      <c r="B252" s="617"/>
      <c r="C252" s="617"/>
      <c r="D252" s="617"/>
      <c r="E252" s="617"/>
      <c r="F252" s="617"/>
      <c r="G252" s="617"/>
      <c r="H252" s="617"/>
      <c r="I252" s="617"/>
      <c r="J252" s="617"/>
      <c r="K252" s="617"/>
      <c r="L252" s="617"/>
      <c r="M252" s="617"/>
      <c r="N252" s="617"/>
      <c r="O252" s="617"/>
      <c r="P252" s="617"/>
      <c r="Q252" s="617"/>
      <c r="R252" s="617"/>
      <c r="S252" s="617"/>
      <c r="T252" s="617"/>
      <c r="U252" s="617"/>
      <c r="V252" s="617"/>
      <c r="W252" s="617"/>
      <c r="X252" s="617"/>
      <c r="Y252" s="617"/>
      <c r="Z252" s="617"/>
      <c r="AA252" s="65"/>
      <c r="AB252" s="65"/>
      <c r="AC252" s="79"/>
    </row>
    <row r="253" spans="1:68" ht="14.25" customHeight="1" x14ac:dyDescent="0.25">
      <c r="A253" s="618" t="s">
        <v>110</v>
      </c>
      <c r="B253" s="618"/>
      <c r="C253" s="618"/>
      <c r="D253" s="618"/>
      <c r="E253" s="618"/>
      <c r="F253" s="618"/>
      <c r="G253" s="618"/>
      <c r="H253" s="618"/>
      <c r="I253" s="618"/>
      <c r="J253" s="618"/>
      <c r="K253" s="618"/>
      <c r="L253" s="618"/>
      <c r="M253" s="618"/>
      <c r="N253" s="618"/>
      <c r="O253" s="618"/>
      <c r="P253" s="618"/>
      <c r="Q253" s="618"/>
      <c r="R253" s="618"/>
      <c r="S253" s="618"/>
      <c r="T253" s="618"/>
      <c r="U253" s="618"/>
      <c r="V253" s="618"/>
      <c r="W253" s="618"/>
      <c r="X253" s="618"/>
      <c r="Y253" s="618"/>
      <c r="Z253" s="618"/>
      <c r="AA253" s="66"/>
      <c r="AB253" s="66"/>
      <c r="AC253" s="80"/>
    </row>
    <row r="254" spans="1:68" ht="27" customHeight="1" x14ac:dyDescent="0.25">
      <c r="A254" s="63" t="s">
        <v>412</v>
      </c>
      <c r="B254" s="63" t="s">
        <v>413</v>
      </c>
      <c r="C254" s="36">
        <v>4301011855</v>
      </c>
      <c r="D254" s="619">
        <v>4680115885837</v>
      </c>
      <c r="E254" s="619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115</v>
      </c>
      <c r="L254" s="37" t="s">
        <v>45</v>
      </c>
      <c r="M254" s="38" t="s">
        <v>114</v>
      </c>
      <c r="N254" s="38"/>
      <c r="O254" s="37">
        <v>55</v>
      </c>
      <c r="P254" s="7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621"/>
      <c r="R254" s="621"/>
      <c r="S254" s="621"/>
      <c r="T254" s="622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16" t="s">
        <v>414</v>
      </c>
      <c r="AG254" s="78"/>
      <c r="AJ254" s="84" t="s">
        <v>45</v>
      </c>
      <c r="AK254" s="84">
        <v>0</v>
      </c>
      <c r="BB254" s="317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415</v>
      </c>
      <c r="B255" s="63" t="s">
        <v>416</v>
      </c>
      <c r="C255" s="36">
        <v>4301011853</v>
      </c>
      <c r="D255" s="619">
        <v>4680115885851</v>
      </c>
      <c r="E255" s="61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115</v>
      </c>
      <c r="L255" s="37" t="s">
        <v>45</v>
      </c>
      <c r="M255" s="38" t="s">
        <v>114</v>
      </c>
      <c r="N255" s="38"/>
      <c r="O255" s="37">
        <v>55</v>
      </c>
      <c r="P255" s="74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621"/>
      <c r="R255" s="621"/>
      <c r="S255" s="621"/>
      <c r="T255" s="622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417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418</v>
      </c>
      <c r="B256" s="63" t="s">
        <v>419</v>
      </c>
      <c r="C256" s="36">
        <v>4301011850</v>
      </c>
      <c r="D256" s="619">
        <v>4680115885806</v>
      </c>
      <c r="E256" s="6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115</v>
      </c>
      <c r="L256" s="37" t="s">
        <v>45</v>
      </c>
      <c r="M256" s="38" t="s">
        <v>114</v>
      </c>
      <c r="N256" s="38"/>
      <c r="O256" s="37">
        <v>55</v>
      </c>
      <c r="P256" s="7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21"/>
      <c r="R256" s="621"/>
      <c r="S256" s="621"/>
      <c r="T256" s="622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420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421</v>
      </c>
      <c r="B257" s="63" t="s">
        <v>422</v>
      </c>
      <c r="C257" s="36">
        <v>4301011852</v>
      </c>
      <c r="D257" s="619">
        <v>4680115885844</v>
      </c>
      <c r="E257" s="619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120</v>
      </c>
      <c r="L257" s="37" t="s">
        <v>45</v>
      </c>
      <c r="M257" s="38" t="s">
        <v>114</v>
      </c>
      <c r="N257" s="38"/>
      <c r="O257" s="37">
        <v>55</v>
      </c>
      <c r="P257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621"/>
      <c r="R257" s="621"/>
      <c r="S257" s="621"/>
      <c r="T257" s="622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22" t="s">
        <v>423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424</v>
      </c>
      <c r="B258" s="63" t="s">
        <v>425</v>
      </c>
      <c r="C258" s="36">
        <v>4301011851</v>
      </c>
      <c r="D258" s="619">
        <v>4680115885820</v>
      </c>
      <c r="E258" s="619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120</v>
      </c>
      <c r="L258" s="37" t="s">
        <v>45</v>
      </c>
      <c r="M258" s="38" t="s">
        <v>114</v>
      </c>
      <c r="N258" s="38"/>
      <c r="O258" s="37">
        <v>55</v>
      </c>
      <c r="P258" s="74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621"/>
      <c r="R258" s="621"/>
      <c r="S258" s="621"/>
      <c r="T258" s="622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426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26"/>
      <c r="B259" s="626"/>
      <c r="C259" s="626"/>
      <c r="D259" s="626"/>
      <c r="E259" s="626"/>
      <c r="F259" s="626"/>
      <c r="G259" s="626"/>
      <c r="H259" s="626"/>
      <c r="I259" s="626"/>
      <c r="J259" s="626"/>
      <c r="K259" s="626"/>
      <c r="L259" s="626"/>
      <c r="M259" s="626"/>
      <c r="N259" s="626"/>
      <c r="O259" s="627"/>
      <c r="P259" s="623" t="s">
        <v>40</v>
      </c>
      <c r="Q259" s="624"/>
      <c r="R259" s="624"/>
      <c r="S259" s="624"/>
      <c r="T259" s="624"/>
      <c r="U259" s="624"/>
      <c r="V259" s="625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26"/>
      <c r="B260" s="626"/>
      <c r="C260" s="626"/>
      <c r="D260" s="626"/>
      <c r="E260" s="626"/>
      <c r="F260" s="626"/>
      <c r="G260" s="626"/>
      <c r="H260" s="626"/>
      <c r="I260" s="626"/>
      <c r="J260" s="626"/>
      <c r="K260" s="626"/>
      <c r="L260" s="626"/>
      <c r="M260" s="626"/>
      <c r="N260" s="626"/>
      <c r="O260" s="627"/>
      <c r="P260" s="623" t="s">
        <v>40</v>
      </c>
      <c r="Q260" s="624"/>
      <c r="R260" s="624"/>
      <c r="S260" s="624"/>
      <c r="T260" s="624"/>
      <c r="U260" s="624"/>
      <c r="V260" s="625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17" t="s">
        <v>427</v>
      </c>
      <c r="B261" s="617"/>
      <c r="C261" s="617"/>
      <c r="D261" s="617"/>
      <c r="E261" s="617"/>
      <c r="F261" s="617"/>
      <c r="G261" s="617"/>
      <c r="H261" s="617"/>
      <c r="I261" s="617"/>
      <c r="J261" s="617"/>
      <c r="K261" s="617"/>
      <c r="L261" s="617"/>
      <c r="M261" s="617"/>
      <c r="N261" s="617"/>
      <c r="O261" s="617"/>
      <c r="P261" s="617"/>
      <c r="Q261" s="617"/>
      <c r="R261" s="617"/>
      <c r="S261" s="617"/>
      <c r="T261" s="617"/>
      <c r="U261" s="617"/>
      <c r="V261" s="617"/>
      <c r="W261" s="617"/>
      <c r="X261" s="617"/>
      <c r="Y261" s="617"/>
      <c r="Z261" s="617"/>
      <c r="AA261" s="65"/>
      <c r="AB261" s="65"/>
      <c r="AC261" s="79"/>
    </row>
    <row r="262" spans="1:68" ht="14.25" customHeight="1" x14ac:dyDescent="0.25">
      <c r="A262" s="618" t="s">
        <v>110</v>
      </c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  <c r="P262" s="618"/>
      <c r="Q262" s="618"/>
      <c r="R262" s="618"/>
      <c r="S262" s="618"/>
      <c r="T262" s="618"/>
      <c r="U262" s="618"/>
      <c r="V262" s="618"/>
      <c r="W262" s="618"/>
      <c r="X262" s="618"/>
      <c r="Y262" s="618"/>
      <c r="Z262" s="618"/>
      <c r="AA262" s="66"/>
      <c r="AB262" s="66"/>
      <c r="AC262" s="80"/>
    </row>
    <row r="263" spans="1:68" ht="27" customHeight="1" x14ac:dyDescent="0.25">
      <c r="A263" s="63" t="s">
        <v>428</v>
      </c>
      <c r="B263" s="63" t="s">
        <v>429</v>
      </c>
      <c r="C263" s="36">
        <v>4301011223</v>
      </c>
      <c r="D263" s="619">
        <v>4607091383423</v>
      </c>
      <c r="E263" s="619"/>
      <c r="F263" s="62">
        <v>1.35</v>
      </c>
      <c r="G263" s="37">
        <v>8</v>
      </c>
      <c r="H263" s="62">
        <v>10.8</v>
      </c>
      <c r="I263" s="62">
        <v>11.305999999999999</v>
      </c>
      <c r="J263" s="37">
        <v>64</v>
      </c>
      <c r="K263" s="37" t="s">
        <v>115</v>
      </c>
      <c r="L263" s="37" t="s">
        <v>45</v>
      </c>
      <c r="M263" s="38" t="s">
        <v>88</v>
      </c>
      <c r="N263" s="38"/>
      <c r="O263" s="37">
        <v>35</v>
      </c>
      <c r="P263" s="74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621"/>
      <c r="R263" s="621"/>
      <c r="S263" s="621"/>
      <c r="T263" s="622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6" t="s">
        <v>113</v>
      </c>
      <c r="AG263" s="78"/>
      <c r="AJ263" s="84" t="s">
        <v>45</v>
      </c>
      <c r="AK263" s="84">
        <v>0</v>
      </c>
      <c r="BB263" s="327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430</v>
      </c>
      <c r="B264" s="63" t="s">
        <v>431</v>
      </c>
      <c r="C264" s="36">
        <v>4301012199</v>
      </c>
      <c r="D264" s="619">
        <v>4680115886957</v>
      </c>
      <c r="E264" s="61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115</v>
      </c>
      <c r="L264" s="37" t="s">
        <v>45</v>
      </c>
      <c r="M264" s="38" t="s">
        <v>88</v>
      </c>
      <c r="N264" s="38"/>
      <c r="O264" s="37">
        <v>30</v>
      </c>
      <c r="P264" s="74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621"/>
      <c r="R264" s="621"/>
      <c r="S264" s="621"/>
      <c r="T264" s="622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432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433</v>
      </c>
      <c r="B265" s="63" t="s">
        <v>434</v>
      </c>
      <c r="C265" s="36">
        <v>4301012098</v>
      </c>
      <c r="D265" s="619">
        <v>4680115885660</v>
      </c>
      <c r="E265" s="619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115</v>
      </c>
      <c r="L265" s="37" t="s">
        <v>45</v>
      </c>
      <c r="M265" s="38" t="s">
        <v>88</v>
      </c>
      <c r="N265" s="38"/>
      <c r="O265" s="37">
        <v>35</v>
      </c>
      <c r="P265" s="74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621"/>
      <c r="R265" s="621"/>
      <c r="S265" s="621"/>
      <c r="T265" s="622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378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435</v>
      </c>
      <c r="B266" s="63" t="s">
        <v>436</v>
      </c>
      <c r="C266" s="36">
        <v>4301012176</v>
      </c>
      <c r="D266" s="619">
        <v>4680115886773</v>
      </c>
      <c r="E266" s="619"/>
      <c r="F266" s="62">
        <v>0.9</v>
      </c>
      <c r="G266" s="37">
        <v>10</v>
      </c>
      <c r="H266" s="62">
        <v>9</v>
      </c>
      <c r="I266" s="62">
        <v>9.41</v>
      </c>
      <c r="J266" s="37">
        <v>64</v>
      </c>
      <c r="K266" s="37" t="s">
        <v>115</v>
      </c>
      <c r="L266" s="37" t="s">
        <v>45</v>
      </c>
      <c r="M266" s="38" t="s">
        <v>114</v>
      </c>
      <c r="N266" s="38"/>
      <c r="O266" s="37">
        <v>31</v>
      </c>
      <c r="P266" s="75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621"/>
      <c r="R266" s="621"/>
      <c r="S266" s="621"/>
      <c r="T266" s="622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437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26"/>
      <c r="B267" s="626"/>
      <c r="C267" s="626"/>
      <c r="D267" s="626"/>
      <c r="E267" s="626"/>
      <c r="F267" s="626"/>
      <c r="G267" s="626"/>
      <c r="H267" s="626"/>
      <c r="I267" s="626"/>
      <c r="J267" s="626"/>
      <c r="K267" s="626"/>
      <c r="L267" s="626"/>
      <c r="M267" s="626"/>
      <c r="N267" s="626"/>
      <c r="O267" s="627"/>
      <c r="P267" s="623" t="s">
        <v>40</v>
      </c>
      <c r="Q267" s="624"/>
      <c r="R267" s="624"/>
      <c r="S267" s="624"/>
      <c r="T267" s="624"/>
      <c r="U267" s="624"/>
      <c r="V267" s="625"/>
      <c r="W267" s="42" t="s">
        <v>39</v>
      </c>
      <c r="X267" s="43">
        <f>IFERROR(X263/H263,"0")+IFERROR(X264/H264,"0")+IFERROR(X265/H265,"0")+IFERROR(X266/H266,"0")</f>
        <v>0</v>
      </c>
      <c r="Y267" s="43">
        <f>IFERROR(Y263/H263,"0")+IFERROR(Y264/H264,"0")+IFERROR(Y265/H265,"0")+IFERROR(Y266/H266,"0")</f>
        <v>0</v>
      </c>
      <c r="Z267" s="43">
        <f>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6"/>
      <c r="B268" s="626"/>
      <c r="C268" s="626"/>
      <c r="D268" s="626"/>
      <c r="E268" s="626"/>
      <c r="F268" s="626"/>
      <c r="G268" s="626"/>
      <c r="H268" s="626"/>
      <c r="I268" s="626"/>
      <c r="J268" s="626"/>
      <c r="K268" s="626"/>
      <c r="L268" s="626"/>
      <c r="M268" s="626"/>
      <c r="N268" s="626"/>
      <c r="O268" s="627"/>
      <c r="P268" s="623" t="s">
        <v>40</v>
      </c>
      <c r="Q268" s="624"/>
      <c r="R268" s="624"/>
      <c r="S268" s="624"/>
      <c r="T268" s="624"/>
      <c r="U268" s="624"/>
      <c r="V268" s="625"/>
      <c r="W268" s="42" t="s">
        <v>0</v>
      </c>
      <c r="X268" s="43">
        <f>IFERROR(SUM(X263:X266),"0")</f>
        <v>0</v>
      </c>
      <c r="Y268" s="43">
        <f>IFERROR(SUM(Y263:Y266),"0")</f>
        <v>0</v>
      </c>
      <c r="Z268" s="42"/>
      <c r="AA268" s="67"/>
      <c r="AB268" s="67"/>
      <c r="AC268" s="67"/>
    </row>
    <row r="269" spans="1:68" ht="16.5" customHeight="1" x14ac:dyDescent="0.25">
      <c r="A269" s="617" t="s">
        <v>438</v>
      </c>
      <c r="B269" s="617"/>
      <c r="C269" s="617"/>
      <c r="D269" s="617"/>
      <c r="E269" s="617"/>
      <c r="F269" s="617"/>
      <c r="G269" s="617"/>
      <c r="H269" s="617"/>
      <c r="I269" s="617"/>
      <c r="J269" s="617"/>
      <c r="K269" s="617"/>
      <c r="L269" s="617"/>
      <c r="M269" s="617"/>
      <c r="N269" s="617"/>
      <c r="O269" s="617"/>
      <c r="P269" s="617"/>
      <c r="Q269" s="617"/>
      <c r="R269" s="617"/>
      <c r="S269" s="617"/>
      <c r="T269" s="617"/>
      <c r="U269" s="617"/>
      <c r="V269" s="617"/>
      <c r="W269" s="617"/>
      <c r="X269" s="617"/>
      <c r="Y269" s="617"/>
      <c r="Z269" s="617"/>
      <c r="AA269" s="65"/>
      <c r="AB269" s="65"/>
      <c r="AC269" s="79"/>
    </row>
    <row r="270" spans="1:68" ht="14.25" customHeight="1" x14ac:dyDescent="0.25">
      <c r="A270" s="618" t="s">
        <v>84</v>
      </c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  <c r="P270" s="618"/>
      <c r="Q270" s="618"/>
      <c r="R270" s="618"/>
      <c r="S270" s="618"/>
      <c r="T270" s="618"/>
      <c r="U270" s="618"/>
      <c r="V270" s="618"/>
      <c r="W270" s="618"/>
      <c r="X270" s="618"/>
      <c r="Y270" s="618"/>
      <c r="Z270" s="618"/>
      <c r="AA270" s="66"/>
      <c r="AB270" s="66"/>
      <c r="AC270" s="80"/>
    </row>
    <row r="271" spans="1:68" ht="27" customHeight="1" x14ac:dyDescent="0.25">
      <c r="A271" s="63" t="s">
        <v>439</v>
      </c>
      <c r="B271" s="63" t="s">
        <v>440</v>
      </c>
      <c r="C271" s="36">
        <v>4301051893</v>
      </c>
      <c r="D271" s="619">
        <v>4680115886186</v>
      </c>
      <c r="E271" s="619"/>
      <c r="F271" s="62">
        <v>0.3</v>
      </c>
      <c r="G271" s="37">
        <v>6</v>
      </c>
      <c r="H271" s="62">
        <v>1.8</v>
      </c>
      <c r="I271" s="62">
        <v>1.98</v>
      </c>
      <c r="J271" s="37">
        <v>182</v>
      </c>
      <c r="K271" s="37" t="s">
        <v>89</v>
      </c>
      <c r="L271" s="37" t="s">
        <v>45</v>
      </c>
      <c r="M271" s="38" t="s">
        <v>88</v>
      </c>
      <c r="N271" s="38"/>
      <c r="O271" s="37">
        <v>45</v>
      </c>
      <c r="P271" s="75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621"/>
      <c r="R271" s="621"/>
      <c r="S271" s="621"/>
      <c r="T271" s="622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34" t="s">
        <v>441</v>
      </c>
      <c r="AG271" s="78"/>
      <c r="AJ271" s="84" t="s">
        <v>45</v>
      </c>
      <c r="AK271" s="84">
        <v>0</v>
      </c>
      <c r="BB271" s="33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442</v>
      </c>
      <c r="B272" s="63" t="s">
        <v>443</v>
      </c>
      <c r="C272" s="36">
        <v>4301051795</v>
      </c>
      <c r="D272" s="619">
        <v>4680115881228</v>
      </c>
      <c r="E272" s="619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89</v>
      </c>
      <c r="L272" s="37" t="s">
        <v>225</v>
      </c>
      <c r="M272" s="38" t="s">
        <v>96</v>
      </c>
      <c r="N272" s="38"/>
      <c r="O272" s="37">
        <v>40</v>
      </c>
      <c r="P272" s="75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621"/>
      <c r="R272" s="621"/>
      <c r="S272" s="621"/>
      <c r="T272" s="622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444</v>
      </c>
      <c r="AG272" s="78"/>
      <c r="AJ272" s="84" t="s">
        <v>117</v>
      </c>
      <c r="AK272" s="84">
        <v>33.6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445</v>
      </c>
      <c r="B273" s="63" t="s">
        <v>446</v>
      </c>
      <c r="C273" s="36">
        <v>4301051388</v>
      </c>
      <c r="D273" s="619">
        <v>4680115881211</v>
      </c>
      <c r="E273" s="619"/>
      <c r="F273" s="62">
        <v>0.4</v>
      </c>
      <c r="G273" s="37">
        <v>6</v>
      </c>
      <c r="H273" s="62">
        <v>2.4</v>
      </c>
      <c r="I273" s="62">
        <v>2.58</v>
      </c>
      <c r="J273" s="37">
        <v>182</v>
      </c>
      <c r="K273" s="37" t="s">
        <v>89</v>
      </c>
      <c r="L273" s="37" t="s">
        <v>45</v>
      </c>
      <c r="M273" s="38" t="s">
        <v>88</v>
      </c>
      <c r="N273" s="38"/>
      <c r="O273" s="37">
        <v>45</v>
      </c>
      <c r="P273" s="75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621"/>
      <c r="R273" s="621"/>
      <c r="S273" s="621"/>
      <c r="T273" s="622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441</v>
      </c>
      <c r="AG273" s="78"/>
      <c r="AJ273" s="84" t="s">
        <v>117</v>
      </c>
      <c r="AK273" s="84">
        <v>2.4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26"/>
      <c r="B274" s="626"/>
      <c r="C274" s="626"/>
      <c r="D274" s="626"/>
      <c r="E274" s="626"/>
      <c r="F274" s="626"/>
      <c r="G274" s="626"/>
      <c r="H274" s="626"/>
      <c r="I274" s="626"/>
      <c r="J274" s="626"/>
      <c r="K274" s="626"/>
      <c r="L274" s="626"/>
      <c r="M274" s="626"/>
      <c r="N274" s="626"/>
      <c r="O274" s="627"/>
      <c r="P274" s="623" t="s">
        <v>40</v>
      </c>
      <c r="Q274" s="624"/>
      <c r="R274" s="624"/>
      <c r="S274" s="624"/>
      <c r="T274" s="624"/>
      <c r="U274" s="624"/>
      <c r="V274" s="625"/>
      <c r="W274" s="42" t="s">
        <v>39</v>
      </c>
      <c r="X274" s="43">
        <f>IFERROR(X271/H271,"0")+IFERROR(X272/H272,"0")+IFERROR(X273/H273,"0")</f>
        <v>0</v>
      </c>
      <c r="Y274" s="43">
        <f>IFERROR(Y271/H271,"0")+IFERROR(Y272/H272,"0")+IFERROR(Y273/H273,"0")</f>
        <v>0</v>
      </c>
      <c r="Z274" s="43">
        <f>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26"/>
      <c r="B275" s="626"/>
      <c r="C275" s="626"/>
      <c r="D275" s="626"/>
      <c r="E275" s="626"/>
      <c r="F275" s="626"/>
      <c r="G275" s="626"/>
      <c r="H275" s="626"/>
      <c r="I275" s="626"/>
      <c r="J275" s="626"/>
      <c r="K275" s="626"/>
      <c r="L275" s="626"/>
      <c r="M275" s="626"/>
      <c r="N275" s="626"/>
      <c r="O275" s="627"/>
      <c r="P275" s="623" t="s">
        <v>40</v>
      </c>
      <c r="Q275" s="624"/>
      <c r="R275" s="624"/>
      <c r="S275" s="624"/>
      <c r="T275" s="624"/>
      <c r="U275" s="624"/>
      <c r="V275" s="625"/>
      <c r="W275" s="42" t="s">
        <v>0</v>
      </c>
      <c r="X275" s="43">
        <f>IFERROR(SUM(X271:X273),"0")</f>
        <v>0</v>
      </c>
      <c r="Y275" s="43">
        <f>IFERROR(SUM(Y271:Y273),"0")</f>
        <v>0</v>
      </c>
      <c r="Z275" s="42"/>
      <c r="AA275" s="67"/>
      <c r="AB275" s="67"/>
      <c r="AC275" s="67"/>
    </row>
    <row r="276" spans="1:68" ht="16.5" customHeight="1" x14ac:dyDescent="0.25">
      <c r="A276" s="617" t="s">
        <v>447</v>
      </c>
      <c r="B276" s="617"/>
      <c r="C276" s="617"/>
      <c r="D276" s="617"/>
      <c r="E276" s="617"/>
      <c r="F276" s="617"/>
      <c r="G276" s="617"/>
      <c r="H276" s="617"/>
      <c r="I276" s="617"/>
      <c r="J276" s="617"/>
      <c r="K276" s="617"/>
      <c r="L276" s="617"/>
      <c r="M276" s="617"/>
      <c r="N276" s="617"/>
      <c r="O276" s="617"/>
      <c r="P276" s="617"/>
      <c r="Q276" s="617"/>
      <c r="R276" s="617"/>
      <c r="S276" s="617"/>
      <c r="T276" s="617"/>
      <c r="U276" s="617"/>
      <c r="V276" s="617"/>
      <c r="W276" s="617"/>
      <c r="X276" s="617"/>
      <c r="Y276" s="617"/>
      <c r="Z276" s="617"/>
      <c r="AA276" s="65"/>
      <c r="AB276" s="65"/>
      <c r="AC276" s="79"/>
    </row>
    <row r="277" spans="1:68" ht="14.25" customHeight="1" x14ac:dyDescent="0.25">
      <c r="A277" s="618" t="s">
        <v>78</v>
      </c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  <c r="P277" s="618"/>
      <c r="Q277" s="618"/>
      <c r="R277" s="618"/>
      <c r="S277" s="618"/>
      <c r="T277" s="618"/>
      <c r="U277" s="618"/>
      <c r="V277" s="618"/>
      <c r="W277" s="618"/>
      <c r="X277" s="618"/>
      <c r="Y277" s="618"/>
      <c r="Z277" s="618"/>
      <c r="AA277" s="66"/>
      <c r="AB277" s="66"/>
      <c r="AC277" s="80"/>
    </row>
    <row r="278" spans="1:68" ht="27" customHeight="1" x14ac:dyDescent="0.25">
      <c r="A278" s="63" t="s">
        <v>448</v>
      </c>
      <c r="B278" s="63" t="s">
        <v>449</v>
      </c>
      <c r="C278" s="36">
        <v>4301031307</v>
      </c>
      <c r="D278" s="619">
        <v>4680115880344</v>
      </c>
      <c r="E278" s="619"/>
      <c r="F278" s="62">
        <v>0.28000000000000003</v>
      </c>
      <c r="G278" s="37">
        <v>6</v>
      </c>
      <c r="H278" s="62">
        <v>1.68</v>
      </c>
      <c r="I278" s="62">
        <v>1.78</v>
      </c>
      <c r="J278" s="37">
        <v>234</v>
      </c>
      <c r="K278" s="37" t="s">
        <v>83</v>
      </c>
      <c r="L278" s="37" t="s">
        <v>45</v>
      </c>
      <c r="M278" s="38" t="s">
        <v>82</v>
      </c>
      <c r="N278" s="38"/>
      <c r="O278" s="37">
        <v>40</v>
      </c>
      <c r="P278" s="75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621"/>
      <c r="R278" s="621"/>
      <c r="S278" s="621"/>
      <c r="T278" s="622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IFERROR(IF(Y278=0,"",ROUNDUP(Y278/H278,0)*0.00502),"")</f>
        <v/>
      </c>
      <c r="AA278" s="68" t="s">
        <v>45</v>
      </c>
      <c r="AB278" s="69" t="s">
        <v>45</v>
      </c>
      <c r="AC278" s="340" t="s">
        <v>450</v>
      </c>
      <c r="AG278" s="78"/>
      <c r="AJ278" s="84" t="s">
        <v>45</v>
      </c>
      <c r="AK278" s="84">
        <v>0</v>
      </c>
      <c r="BB278" s="341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451</v>
      </c>
      <c r="B279" s="63" t="s">
        <v>452</v>
      </c>
      <c r="C279" s="36">
        <v>4301031429</v>
      </c>
      <c r="D279" s="619">
        <v>4680115886919</v>
      </c>
      <c r="E279" s="619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89</v>
      </c>
      <c r="L279" s="37" t="s">
        <v>45</v>
      </c>
      <c r="M279" s="38" t="s">
        <v>82</v>
      </c>
      <c r="N279" s="38"/>
      <c r="O279" s="37">
        <v>40</v>
      </c>
      <c r="P279" s="75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621"/>
      <c r="R279" s="621"/>
      <c r="S279" s="621"/>
      <c r="T279" s="622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42" t="s">
        <v>453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6"/>
      <c r="B280" s="626"/>
      <c r="C280" s="626"/>
      <c r="D280" s="626"/>
      <c r="E280" s="626"/>
      <c r="F280" s="626"/>
      <c r="G280" s="626"/>
      <c r="H280" s="626"/>
      <c r="I280" s="626"/>
      <c r="J280" s="626"/>
      <c r="K280" s="626"/>
      <c r="L280" s="626"/>
      <c r="M280" s="626"/>
      <c r="N280" s="626"/>
      <c r="O280" s="627"/>
      <c r="P280" s="623" t="s">
        <v>40</v>
      </c>
      <c r="Q280" s="624"/>
      <c r="R280" s="624"/>
      <c r="S280" s="624"/>
      <c r="T280" s="624"/>
      <c r="U280" s="624"/>
      <c r="V280" s="625"/>
      <c r="W280" s="42" t="s">
        <v>39</v>
      </c>
      <c r="X280" s="43">
        <f>IFERROR(X278/H278,"0")+IFERROR(X279/H279,"0")</f>
        <v>0</v>
      </c>
      <c r="Y280" s="43">
        <f>IFERROR(Y278/H278,"0")+IFERROR(Y279/H279,"0")</f>
        <v>0</v>
      </c>
      <c r="Z280" s="43">
        <f>IFERROR(IF(Z278="",0,Z278),"0")+IFERROR(IF(Z279="",0,Z279),"0")</f>
        <v>0</v>
      </c>
      <c r="AA280" s="67"/>
      <c r="AB280" s="67"/>
      <c r="AC280" s="67"/>
    </row>
    <row r="281" spans="1:68" x14ac:dyDescent="0.2">
      <c r="A281" s="626"/>
      <c r="B281" s="626"/>
      <c r="C281" s="626"/>
      <c r="D281" s="626"/>
      <c r="E281" s="626"/>
      <c r="F281" s="626"/>
      <c r="G281" s="626"/>
      <c r="H281" s="626"/>
      <c r="I281" s="626"/>
      <c r="J281" s="626"/>
      <c r="K281" s="626"/>
      <c r="L281" s="626"/>
      <c r="M281" s="626"/>
      <c r="N281" s="626"/>
      <c r="O281" s="627"/>
      <c r="P281" s="623" t="s">
        <v>40</v>
      </c>
      <c r="Q281" s="624"/>
      <c r="R281" s="624"/>
      <c r="S281" s="624"/>
      <c r="T281" s="624"/>
      <c r="U281" s="624"/>
      <c r="V281" s="625"/>
      <c r="W281" s="42" t="s">
        <v>0</v>
      </c>
      <c r="X281" s="43">
        <f>IFERROR(SUM(X278:X279),"0")</f>
        <v>0</v>
      </c>
      <c r="Y281" s="43">
        <f>IFERROR(SUM(Y278:Y279),"0")</f>
        <v>0</v>
      </c>
      <c r="Z281" s="42"/>
      <c r="AA281" s="67"/>
      <c r="AB281" s="67"/>
      <c r="AC281" s="67"/>
    </row>
    <row r="282" spans="1:68" ht="14.25" customHeight="1" x14ac:dyDescent="0.25">
      <c r="A282" s="618" t="s">
        <v>84</v>
      </c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  <c r="P282" s="618"/>
      <c r="Q282" s="618"/>
      <c r="R282" s="618"/>
      <c r="S282" s="618"/>
      <c r="T282" s="618"/>
      <c r="U282" s="618"/>
      <c r="V282" s="618"/>
      <c r="W282" s="618"/>
      <c r="X282" s="618"/>
      <c r="Y282" s="618"/>
      <c r="Z282" s="618"/>
      <c r="AA282" s="66"/>
      <c r="AB282" s="66"/>
      <c r="AC282" s="80"/>
    </row>
    <row r="283" spans="1:68" ht="37.5" customHeight="1" x14ac:dyDescent="0.25">
      <c r="A283" s="63" t="s">
        <v>454</v>
      </c>
      <c r="B283" s="63" t="s">
        <v>455</v>
      </c>
      <c r="C283" s="36">
        <v>4301051782</v>
      </c>
      <c r="D283" s="619">
        <v>4680115884618</v>
      </c>
      <c r="E283" s="619"/>
      <c r="F283" s="62">
        <v>0.6</v>
      </c>
      <c r="G283" s="37">
        <v>6</v>
      </c>
      <c r="H283" s="62">
        <v>3.6</v>
      </c>
      <c r="I283" s="62">
        <v>3.79</v>
      </c>
      <c r="J283" s="37">
        <v>132</v>
      </c>
      <c r="K283" s="37" t="s">
        <v>120</v>
      </c>
      <c r="L283" s="37" t="s">
        <v>45</v>
      </c>
      <c r="M283" s="38" t="s">
        <v>88</v>
      </c>
      <c r="N283" s="38"/>
      <c r="O283" s="37">
        <v>45</v>
      </c>
      <c r="P283" s="75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621"/>
      <c r="R283" s="621"/>
      <c r="S283" s="621"/>
      <c r="T283" s="622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44" t="s">
        <v>456</v>
      </c>
      <c r="AG283" s="78"/>
      <c r="AJ283" s="84" t="s">
        <v>45</v>
      </c>
      <c r="AK283" s="84">
        <v>0</v>
      </c>
      <c r="BB283" s="345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x14ac:dyDescent="0.2">
      <c r="A284" s="626"/>
      <c r="B284" s="626"/>
      <c r="C284" s="626"/>
      <c r="D284" s="626"/>
      <c r="E284" s="626"/>
      <c r="F284" s="626"/>
      <c r="G284" s="626"/>
      <c r="H284" s="626"/>
      <c r="I284" s="626"/>
      <c r="J284" s="626"/>
      <c r="K284" s="626"/>
      <c r="L284" s="626"/>
      <c r="M284" s="626"/>
      <c r="N284" s="626"/>
      <c r="O284" s="627"/>
      <c r="P284" s="623" t="s">
        <v>40</v>
      </c>
      <c r="Q284" s="624"/>
      <c r="R284" s="624"/>
      <c r="S284" s="624"/>
      <c r="T284" s="624"/>
      <c r="U284" s="624"/>
      <c r="V284" s="625"/>
      <c r="W284" s="42" t="s">
        <v>39</v>
      </c>
      <c r="X284" s="43">
        <f>IFERROR(X283/H283,"0")</f>
        <v>0</v>
      </c>
      <c r="Y284" s="43">
        <f>IFERROR(Y283/H283,"0")</f>
        <v>0</v>
      </c>
      <c r="Z284" s="43">
        <f>IFERROR(IF(Z283="",0,Z283),"0")</f>
        <v>0</v>
      </c>
      <c r="AA284" s="67"/>
      <c r="AB284" s="67"/>
      <c r="AC284" s="67"/>
    </row>
    <row r="285" spans="1:68" x14ac:dyDescent="0.2">
      <c r="A285" s="626"/>
      <c r="B285" s="626"/>
      <c r="C285" s="626"/>
      <c r="D285" s="626"/>
      <c r="E285" s="626"/>
      <c r="F285" s="626"/>
      <c r="G285" s="626"/>
      <c r="H285" s="626"/>
      <c r="I285" s="626"/>
      <c r="J285" s="626"/>
      <c r="K285" s="626"/>
      <c r="L285" s="626"/>
      <c r="M285" s="626"/>
      <c r="N285" s="626"/>
      <c r="O285" s="627"/>
      <c r="P285" s="623" t="s">
        <v>40</v>
      </c>
      <c r="Q285" s="624"/>
      <c r="R285" s="624"/>
      <c r="S285" s="624"/>
      <c r="T285" s="624"/>
      <c r="U285" s="624"/>
      <c r="V285" s="625"/>
      <c r="W285" s="42" t="s">
        <v>0</v>
      </c>
      <c r="X285" s="43">
        <f>IFERROR(SUM(X283:X283),"0")</f>
        <v>0</v>
      </c>
      <c r="Y285" s="43">
        <f>IFERROR(SUM(Y283:Y283),"0")</f>
        <v>0</v>
      </c>
      <c r="Z285" s="42"/>
      <c r="AA285" s="67"/>
      <c r="AB285" s="67"/>
      <c r="AC285" s="67"/>
    </row>
    <row r="286" spans="1:68" ht="16.5" customHeight="1" x14ac:dyDescent="0.25">
      <c r="A286" s="617" t="s">
        <v>457</v>
      </c>
      <c r="B286" s="617"/>
      <c r="C286" s="617"/>
      <c r="D286" s="617"/>
      <c r="E286" s="617"/>
      <c r="F286" s="617"/>
      <c r="G286" s="617"/>
      <c r="H286" s="617"/>
      <c r="I286" s="617"/>
      <c r="J286" s="617"/>
      <c r="K286" s="617"/>
      <c r="L286" s="617"/>
      <c r="M286" s="617"/>
      <c r="N286" s="617"/>
      <c r="O286" s="617"/>
      <c r="P286" s="617"/>
      <c r="Q286" s="617"/>
      <c r="R286" s="617"/>
      <c r="S286" s="617"/>
      <c r="T286" s="617"/>
      <c r="U286" s="617"/>
      <c r="V286" s="617"/>
      <c r="W286" s="617"/>
      <c r="X286" s="617"/>
      <c r="Y286" s="617"/>
      <c r="Z286" s="617"/>
      <c r="AA286" s="65"/>
      <c r="AB286" s="65"/>
      <c r="AC286" s="79"/>
    </row>
    <row r="287" spans="1:68" ht="14.25" customHeight="1" x14ac:dyDescent="0.25">
      <c r="A287" s="618" t="s">
        <v>110</v>
      </c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  <c r="P287" s="618"/>
      <c r="Q287" s="618"/>
      <c r="R287" s="618"/>
      <c r="S287" s="618"/>
      <c r="T287" s="618"/>
      <c r="U287" s="618"/>
      <c r="V287" s="618"/>
      <c r="W287" s="618"/>
      <c r="X287" s="618"/>
      <c r="Y287" s="618"/>
      <c r="Z287" s="618"/>
      <c r="AA287" s="66"/>
      <c r="AB287" s="66"/>
      <c r="AC287" s="80"/>
    </row>
    <row r="288" spans="1:68" ht="27" customHeight="1" x14ac:dyDescent="0.25">
      <c r="A288" s="63" t="s">
        <v>458</v>
      </c>
      <c r="B288" s="63" t="s">
        <v>459</v>
      </c>
      <c r="C288" s="36">
        <v>4301012024</v>
      </c>
      <c r="D288" s="619">
        <v>4680115885615</v>
      </c>
      <c r="E288" s="619"/>
      <c r="F288" s="62">
        <v>1.35</v>
      </c>
      <c r="G288" s="37">
        <v>8</v>
      </c>
      <c r="H288" s="62">
        <v>10.8</v>
      </c>
      <c r="I288" s="62">
        <v>11.21</v>
      </c>
      <c r="J288" s="37">
        <v>64</v>
      </c>
      <c r="K288" s="37" t="s">
        <v>115</v>
      </c>
      <c r="L288" s="37" t="s">
        <v>45</v>
      </c>
      <c r="M288" s="38" t="s">
        <v>88</v>
      </c>
      <c r="N288" s="38"/>
      <c r="O288" s="37">
        <v>55</v>
      </c>
      <c r="P288" s="75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621"/>
      <c r="R288" s="621"/>
      <c r="S288" s="621"/>
      <c r="T288" s="622"/>
      <c r="U288" s="39" t="s">
        <v>45</v>
      </c>
      <c r="V288" s="39" t="s">
        <v>45</v>
      </c>
      <c r="W288" s="40" t="s">
        <v>0</v>
      </c>
      <c r="X288" s="58">
        <v>0</v>
      </c>
      <c r="Y288" s="55">
        <f>IFERROR(IF(X288="",0,CEILING((X288/$H288),1)*$H288),"")</f>
        <v>0</v>
      </c>
      <c r="Z288" s="41" t="str">
        <f>IFERROR(IF(Y288=0,"",ROUNDUP(Y288/H288,0)*0.01898),"")</f>
        <v/>
      </c>
      <c r="AA288" s="68" t="s">
        <v>45</v>
      </c>
      <c r="AB288" s="69" t="s">
        <v>45</v>
      </c>
      <c r="AC288" s="346" t="s">
        <v>460</v>
      </c>
      <c r="AG288" s="78"/>
      <c r="AJ288" s="84" t="s">
        <v>45</v>
      </c>
      <c r="AK288" s="84">
        <v>0</v>
      </c>
      <c r="BB288" s="347" t="s">
        <v>66</v>
      </c>
      <c r="BM288" s="78">
        <f>IFERROR(X288*I288/H288,"0")</f>
        <v>0</v>
      </c>
      <c r="BN288" s="78">
        <f>IFERROR(Y288*I288/H288,"0")</f>
        <v>0</v>
      </c>
      <c r="BO288" s="78">
        <f>IFERROR(1/J288*(X288/H288),"0")</f>
        <v>0</v>
      </c>
      <c r="BP288" s="78">
        <f>IFERROR(1/J288*(Y288/H288),"0")</f>
        <v>0</v>
      </c>
    </row>
    <row r="289" spans="1:68" ht="37.5" customHeight="1" x14ac:dyDescent="0.25">
      <c r="A289" s="63" t="s">
        <v>461</v>
      </c>
      <c r="B289" s="63" t="s">
        <v>462</v>
      </c>
      <c r="C289" s="36">
        <v>4301011858</v>
      </c>
      <c r="D289" s="619">
        <v>4680115885646</v>
      </c>
      <c r="E289" s="619"/>
      <c r="F289" s="62">
        <v>1.35</v>
      </c>
      <c r="G289" s="37">
        <v>8</v>
      </c>
      <c r="H289" s="62">
        <v>10.8</v>
      </c>
      <c r="I289" s="62">
        <v>11.21</v>
      </c>
      <c r="J289" s="37">
        <v>64</v>
      </c>
      <c r="K289" s="37" t="s">
        <v>115</v>
      </c>
      <c r="L289" s="37" t="s">
        <v>45</v>
      </c>
      <c r="M289" s="38" t="s">
        <v>114</v>
      </c>
      <c r="N289" s="38"/>
      <c r="O289" s="37">
        <v>55</v>
      </c>
      <c r="P289" s="75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621"/>
      <c r="R289" s="621"/>
      <c r="S289" s="621"/>
      <c r="T289" s="622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463</v>
      </c>
      <c r="AG289" s="78"/>
      <c r="AJ289" s="84" t="s">
        <v>45</v>
      </c>
      <c r="AK289" s="84">
        <v>0</v>
      </c>
      <c r="BB289" s="349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customHeight="1" x14ac:dyDescent="0.25">
      <c r="A290" s="63" t="s">
        <v>464</v>
      </c>
      <c r="B290" s="63" t="s">
        <v>465</v>
      </c>
      <c r="C290" s="36">
        <v>4301012016</v>
      </c>
      <c r="D290" s="619">
        <v>4680115885554</v>
      </c>
      <c r="E290" s="619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115</v>
      </c>
      <c r="L290" s="37" t="s">
        <v>45</v>
      </c>
      <c r="M290" s="38" t="s">
        <v>88</v>
      </c>
      <c r="N290" s="38"/>
      <c r="O290" s="37">
        <v>55</v>
      </c>
      <c r="P290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621"/>
      <c r="R290" s="621"/>
      <c r="S290" s="621"/>
      <c r="T290" s="622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466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467</v>
      </c>
      <c r="B291" s="63" t="s">
        <v>468</v>
      </c>
      <c r="C291" s="36">
        <v>4301011857</v>
      </c>
      <c r="D291" s="619">
        <v>4680115885622</v>
      </c>
      <c r="E291" s="619"/>
      <c r="F291" s="62">
        <v>0.4</v>
      </c>
      <c r="G291" s="37">
        <v>10</v>
      </c>
      <c r="H291" s="62">
        <v>4</v>
      </c>
      <c r="I291" s="62">
        <v>4.1900000000000004</v>
      </c>
      <c r="J291" s="37">
        <v>132</v>
      </c>
      <c r="K291" s="37" t="s">
        <v>120</v>
      </c>
      <c r="L291" s="37" t="s">
        <v>45</v>
      </c>
      <c r="M291" s="38" t="s">
        <v>114</v>
      </c>
      <c r="N291" s="38"/>
      <c r="O291" s="37">
        <v>55</v>
      </c>
      <c r="P291" s="76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621"/>
      <c r="R291" s="621"/>
      <c r="S291" s="621"/>
      <c r="T291" s="622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52" t="s">
        <v>460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469</v>
      </c>
      <c r="B292" s="63" t="s">
        <v>470</v>
      </c>
      <c r="C292" s="36">
        <v>4301011859</v>
      </c>
      <c r="D292" s="619">
        <v>4680115885608</v>
      </c>
      <c r="E292" s="619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120</v>
      </c>
      <c r="L292" s="37" t="s">
        <v>45</v>
      </c>
      <c r="M292" s="38" t="s">
        <v>114</v>
      </c>
      <c r="N292" s="38"/>
      <c r="O292" s="37">
        <v>55</v>
      </c>
      <c r="P292" s="76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621"/>
      <c r="R292" s="621"/>
      <c r="S292" s="621"/>
      <c r="T292" s="622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54" t="s">
        <v>471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626"/>
      <c r="B293" s="626"/>
      <c r="C293" s="626"/>
      <c r="D293" s="626"/>
      <c r="E293" s="626"/>
      <c r="F293" s="626"/>
      <c r="G293" s="626"/>
      <c r="H293" s="626"/>
      <c r="I293" s="626"/>
      <c r="J293" s="626"/>
      <c r="K293" s="626"/>
      <c r="L293" s="626"/>
      <c r="M293" s="626"/>
      <c r="N293" s="626"/>
      <c r="O293" s="627"/>
      <c r="P293" s="623" t="s">
        <v>40</v>
      </c>
      <c r="Q293" s="624"/>
      <c r="R293" s="624"/>
      <c r="S293" s="624"/>
      <c r="T293" s="624"/>
      <c r="U293" s="624"/>
      <c r="V293" s="625"/>
      <c r="W293" s="42" t="s">
        <v>39</v>
      </c>
      <c r="X293" s="43">
        <f>IFERROR(X288/H288,"0")+IFERROR(X289/H289,"0")+IFERROR(X290/H290,"0")+IFERROR(X291/H291,"0")+IFERROR(X292/H292,"0")</f>
        <v>0</v>
      </c>
      <c r="Y293" s="43">
        <f>IFERROR(Y288/H288,"0")+IFERROR(Y289/H289,"0")+IFERROR(Y290/H290,"0")+IFERROR(Y291/H291,"0")+IFERROR(Y292/H292,"0")</f>
        <v>0</v>
      </c>
      <c r="Z293" s="43">
        <f>IFERROR(IF(Z288="",0,Z288),"0")+IFERROR(IF(Z289="",0,Z289),"0")+IFERROR(IF(Z290="",0,Z290),"0")+IFERROR(IF(Z291="",0,Z291),"0")+IFERROR(IF(Z292="",0,Z292),"0")</f>
        <v>0</v>
      </c>
      <c r="AA293" s="67"/>
      <c r="AB293" s="67"/>
      <c r="AC293" s="67"/>
    </row>
    <row r="294" spans="1:68" x14ac:dyDescent="0.2">
      <c r="A294" s="626"/>
      <c r="B294" s="626"/>
      <c r="C294" s="626"/>
      <c r="D294" s="626"/>
      <c r="E294" s="626"/>
      <c r="F294" s="626"/>
      <c r="G294" s="626"/>
      <c r="H294" s="626"/>
      <c r="I294" s="626"/>
      <c r="J294" s="626"/>
      <c r="K294" s="626"/>
      <c r="L294" s="626"/>
      <c r="M294" s="626"/>
      <c r="N294" s="626"/>
      <c r="O294" s="627"/>
      <c r="P294" s="623" t="s">
        <v>40</v>
      </c>
      <c r="Q294" s="624"/>
      <c r="R294" s="624"/>
      <c r="S294" s="624"/>
      <c r="T294" s="624"/>
      <c r="U294" s="624"/>
      <c r="V294" s="625"/>
      <c r="W294" s="42" t="s">
        <v>0</v>
      </c>
      <c r="X294" s="43">
        <f>IFERROR(SUM(X288:X292),"0")</f>
        <v>0</v>
      </c>
      <c r="Y294" s="43">
        <f>IFERROR(SUM(Y288:Y292),"0")</f>
        <v>0</v>
      </c>
      <c r="Z294" s="42"/>
      <c r="AA294" s="67"/>
      <c r="AB294" s="67"/>
      <c r="AC294" s="67"/>
    </row>
    <row r="295" spans="1:68" ht="14.25" customHeight="1" x14ac:dyDescent="0.25">
      <c r="A295" s="618" t="s">
        <v>78</v>
      </c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  <c r="P295" s="618"/>
      <c r="Q295" s="618"/>
      <c r="R295" s="618"/>
      <c r="S295" s="618"/>
      <c r="T295" s="618"/>
      <c r="U295" s="618"/>
      <c r="V295" s="618"/>
      <c r="W295" s="618"/>
      <c r="X295" s="618"/>
      <c r="Y295" s="618"/>
      <c r="Z295" s="618"/>
      <c r="AA295" s="66"/>
      <c r="AB295" s="66"/>
      <c r="AC295" s="80"/>
    </row>
    <row r="296" spans="1:68" ht="27" customHeight="1" x14ac:dyDescent="0.25">
      <c r="A296" s="63" t="s">
        <v>472</v>
      </c>
      <c r="B296" s="63" t="s">
        <v>473</v>
      </c>
      <c r="C296" s="36">
        <v>4301030878</v>
      </c>
      <c r="D296" s="619">
        <v>4607091387193</v>
      </c>
      <c r="E296" s="619"/>
      <c r="F296" s="62">
        <v>0.7</v>
      </c>
      <c r="G296" s="37">
        <v>6</v>
      </c>
      <c r="H296" s="62">
        <v>4.2</v>
      </c>
      <c r="I296" s="62">
        <v>4.45</v>
      </c>
      <c r="J296" s="37">
        <v>132</v>
      </c>
      <c r="K296" s="37" t="s">
        <v>120</v>
      </c>
      <c r="L296" s="37" t="s">
        <v>45</v>
      </c>
      <c r="M296" s="38" t="s">
        <v>82</v>
      </c>
      <c r="N296" s="38"/>
      <c r="O296" s="37">
        <v>35</v>
      </c>
      <c r="P296" s="76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621"/>
      <c r="R296" s="621"/>
      <c r="S296" s="621"/>
      <c r="T296" s="622"/>
      <c r="U296" s="39" t="s">
        <v>45</v>
      </c>
      <c r="V296" s="39" t="s">
        <v>45</v>
      </c>
      <c r="W296" s="40" t="s">
        <v>0</v>
      </c>
      <c r="X296" s="58">
        <v>0</v>
      </c>
      <c r="Y296" s="55">
        <f t="shared" ref="Y296:Y302" si="26">IFERROR(IF(X296="",0,CEILING((X296/$H296),1)*$H296),"")</f>
        <v>0</v>
      </c>
      <c r="Z296" s="41" t="str">
        <f>IFERROR(IF(Y296=0,"",ROUNDUP(Y296/H296,0)*0.00902),"")</f>
        <v/>
      </c>
      <c r="AA296" s="68" t="s">
        <v>45</v>
      </c>
      <c r="AB296" s="69" t="s">
        <v>45</v>
      </c>
      <c r="AC296" s="356" t="s">
        <v>474</v>
      </c>
      <c r="AG296" s="78"/>
      <c r="AJ296" s="84" t="s">
        <v>45</v>
      </c>
      <c r="AK296" s="84">
        <v>0</v>
      </c>
      <c r="BB296" s="357" t="s">
        <v>66</v>
      </c>
      <c r="BM296" s="78">
        <f t="shared" ref="BM296:BM302" si="27">IFERROR(X296*I296/H296,"0")</f>
        <v>0</v>
      </c>
      <c r="BN296" s="78">
        <f t="shared" ref="BN296:BN302" si="28">IFERROR(Y296*I296/H296,"0")</f>
        <v>0</v>
      </c>
      <c r="BO296" s="78">
        <f t="shared" ref="BO296:BO302" si="29">IFERROR(1/J296*(X296/H296),"0")</f>
        <v>0</v>
      </c>
      <c r="BP296" s="78">
        <f t="shared" ref="BP296:BP302" si="30">IFERROR(1/J296*(Y296/H296),"0")</f>
        <v>0</v>
      </c>
    </row>
    <row r="297" spans="1:68" ht="27" customHeight="1" x14ac:dyDescent="0.25">
      <c r="A297" s="63" t="s">
        <v>475</v>
      </c>
      <c r="B297" s="63" t="s">
        <v>476</v>
      </c>
      <c r="C297" s="36">
        <v>4301031153</v>
      </c>
      <c r="D297" s="619">
        <v>4607091387230</v>
      </c>
      <c r="E297" s="619"/>
      <c r="F297" s="62">
        <v>0.7</v>
      </c>
      <c r="G297" s="37">
        <v>6</v>
      </c>
      <c r="H297" s="62">
        <v>4.2</v>
      </c>
      <c r="I297" s="62">
        <v>4.45</v>
      </c>
      <c r="J297" s="37">
        <v>132</v>
      </c>
      <c r="K297" s="37" t="s">
        <v>120</v>
      </c>
      <c r="L297" s="37" t="s">
        <v>45</v>
      </c>
      <c r="M297" s="38" t="s">
        <v>82</v>
      </c>
      <c r="N297" s="38"/>
      <c r="O297" s="37">
        <v>40</v>
      </c>
      <c r="P297" s="76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621"/>
      <c r="R297" s="621"/>
      <c r="S297" s="621"/>
      <c r="T297" s="622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si="26"/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58" t="s">
        <v>477</v>
      </c>
      <c r="AG297" s="78"/>
      <c r="AJ297" s="84" t="s">
        <v>45</v>
      </c>
      <c r="AK297" s="84">
        <v>0</v>
      </c>
      <c r="BB297" s="359" t="s">
        <v>66</v>
      </c>
      <c r="BM297" s="78">
        <f t="shared" si="27"/>
        <v>0</v>
      </c>
      <c r="BN297" s="78">
        <f t="shared" si="28"/>
        <v>0</v>
      </c>
      <c r="BO297" s="78">
        <f t="shared" si="29"/>
        <v>0</v>
      </c>
      <c r="BP297" s="78">
        <f t="shared" si="30"/>
        <v>0</v>
      </c>
    </row>
    <row r="298" spans="1:68" ht="27" customHeight="1" x14ac:dyDescent="0.25">
      <c r="A298" s="63" t="s">
        <v>478</v>
      </c>
      <c r="B298" s="63" t="s">
        <v>479</v>
      </c>
      <c r="C298" s="36">
        <v>4301031154</v>
      </c>
      <c r="D298" s="619">
        <v>4607091387292</v>
      </c>
      <c r="E298" s="619"/>
      <c r="F298" s="62">
        <v>0.73</v>
      </c>
      <c r="G298" s="37">
        <v>6</v>
      </c>
      <c r="H298" s="62">
        <v>4.38</v>
      </c>
      <c r="I298" s="62">
        <v>4.63</v>
      </c>
      <c r="J298" s="37">
        <v>132</v>
      </c>
      <c r="K298" s="37" t="s">
        <v>120</v>
      </c>
      <c r="L298" s="37" t="s">
        <v>45</v>
      </c>
      <c r="M298" s="38" t="s">
        <v>82</v>
      </c>
      <c r="N298" s="38"/>
      <c r="O298" s="37">
        <v>45</v>
      </c>
      <c r="P298" s="76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621"/>
      <c r="R298" s="621"/>
      <c r="S298" s="621"/>
      <c r="T298" s="622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480</v>
      </c>
      <c r="AG298" s="78"/>
      <c r="AJ298" s="84" t="s">
        <v>45</v>
      </c>
      <c r="AK298" s="84">
        <v>0</v>
      </c>
      <c r="BB298" s="361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481</v>
      </c>
      <c r="B299" s="63" t="s">
        <v>482</v>
      </c>
      <c r="C299" s="36">
        <v>4301031152</v>
      </c>
      <c r="D299" s="619">
        <v>4607091387285</v>
      </c>
      <c r="E299" s="619"/>
      <c r="F299" s="62">
        <v>0.35</v>
      </c>
      <c r="G299" s="37">
        <v>6</v>
      </c>
      <c r="H299" s="62">
        <v>2.1</v>
      </c>
      <c r="I299" s="62">
        <v>2.23</v>
      </c>
      <c r="J299" s="37">
        <v>234</v>
      </c>
      <c r="K299" s="37" t="s">
        <v>83</v>
      </c>
      <c r="L299" s="37" t="s">
        <v>283</v>
      </c>
      <c r="M299" s="38" t="s">
        <v>82</v>
      </c>
      <c r="N299" s="38"/>
      <c r="O299" s="37">
        <v>40</v>
      </c>
      <c r="P299" s="7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621"/>
      <c r="R299" s="621"/>
      <c r="S299" s="621"/>
      <c r="T299" s="622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IFERROR(IF(Y299=0,"",ROUNDUP(Y299/H299,0)*0.00502),"")</f>
        <v/>
      </c>
      <c r="AA299" s="68" t="s">
        <v>45</v>
      </c>
      <c r="AB299" s="69" t="s">
        <v>45</v>
      </c>
      <c r="AC299" s="362" t="s">
        <v>477</v>
      </c>
      <c r="AG299" s="78"/>
      <c r="AJ299" s="84" t="s">
        <v>117</v>
      </c>
      <c r="AK299" s="84">
        <v>37.799999999999997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483</v>
      </c>
      <c r="B300" s="63" t="s">
        <v>484</v>
      </c>
      <c r="C300" s="36">
        <v>4301031305</v>
      </c>
      <c r="D300" s="619">
        <v>4607091389845</v>
      </c>
      <c r="E300" s="619"/>
      <c r="F300" s="62">
        <v>0.35</v>
      </c>
      <c r="G300" s="37">
        <v>6</v>
      </c>
      <c r="H300" s="62">
        <v>2.1</v>
      </c>
      <c r="I300" s="62">
        <v>2.2000000000000002</v>
      </c>
      <c r="J300" s="37">
        <v>234</v>
      </c>
      <c r="K300" s="37" t="s">
        <v>83</v>
      </c>
      <c r="L300" s="37" t="s">
        <v>283</v>
      </c>
      <c r="M300" s="38" t="s">
        <v>82</v>
      </c>
      <c r="N300" s="38"/>
      <c r="O300" s="37">
        <v>40</v>
      </c>
      <c r="P300" s="7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621"/>
      <c r="R300" s="621"/>
      <c r="S300" s="621"/>
      <c r="T300" s="622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IFERROR(IF(Y300=0,"",ROUNDUP(Y300/H300,0)*0.00502),"")</f>
        <v/>
      </c>
      <c r="AA300" s="68" t="s">
        <v>45</v>
      </c>
      <c r="AB300" s="69" t="s">
        <v>45</v>
      </c>
      <c r="AC300" s="364" t="s">
        <v>485</v>
      </c>
      <c r="AG300" s="78"/>
      <c r="AJ300" s="84" t="s">
        <v>117</v>
      </c>
      <c r="AK300" s="84">
        <v>37.799999999999997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486</v>
      </c>
      <c r="B301" s="63" t="s">
        <v>487</v>
      </c>
      <c r="C301" s="36">
        <v>4301031306</v>
      </c>
      <c r="D301" s="619">
        <v>4680115882881</v>
      </c>
      <c r="E301" s="619"/>
      <c r="F301" s="62">
        <v>0.28000000000000003</v>
      </c>
      <c r="G301" s="37">
        <v>6</v>
      </c>
      <c r="H301" s="62">
        <v>1.68</v>
      </c>
      <c r="I301" s="62">
        <v>1.81</v>
      </c>
      <c r="J301" s="37">
        <v>234</v>
      </c>
      <c r="K301" s="37" t="s">
        <v>83</v>
      </c>
      <c r="L301" s="37" t="s">
        <v>45</v>
      </c>
      <c r="M301" s="38" t="s">
        <v>82</v>
      </c>
      <c r="N301" s="38"/>
      <c r="O301" s="37">
        <v>40</v>
      </c>
      <c r="P301" s="76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621"/>
      <c r="R301" s="621"/>
      <c r="S301" s="621"/>
      <c r="T301" s="622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485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488</v>
      </c>
      <c r="B302" s="63" t="s">
        <v>489</v>
      </c>
      <c r="C302" s="36">
        <v>4301031066</v>
      </c>
      <c r="D302" s="619">
        <v>4607091383836</v>
      </c>
      <c r="E302" s="619"/>
      <c r="F302" s="62">
        <v>0.3</v>
      </c>
      <c r="G302" s="37">
        <v>6</v>
      </c>
      <c r="H302" s="62">
        <v>1.8</v>
      </c>
      <c r="I302" s="62">
        <v>2.028</v>
      </c>
      <c r="J302" s="37">
        <v>182</v>
      </c>
      <c r="K302" s="37" t="s">
        <v>89</v>
      </c>
      <c r="L302" s="37" t="s">
        <v>225</v>
      </c>
      <c r="M302" s="38" t="s">
        <v>82</v>
      </c>
      <c r="N302" s="38"/>
      <c r="O302" s="37">
        <v>40</v>
      </c>
      <c r="P302" s="76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621"/>
      <c r="R302" s="621"/>
      <c r="S302" s="621"/>
      <c r="T302" s="622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IFERROR(IF(Y302=0,"",ROUNDUP(Y302/H302,0)*0.00651),"")</f>
        <v/>
      </c>
      <c r="AA302" s="68" t="s">
        <v>45</v>
      </c>
      <c r="AB302" s="69" t="s">
        <v>45</v>
      </c>
      <c r="AC302" s="368" t="s">
        <v>490</v>
      </c>
      <c r="AG302" s="78"/>
      <c r="AJ302" s="84" t="s">
        <v>117</v>
      </c>
      <c r="AK302" s="84">
        <v>25.2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x14ac:dyDescent="0.2">
      <c r="A303" s="626"/>
      <c r="B303" s="626"/>
      <c r="C303" s="626"/>
      <c r="D303" s="626"/>
      <c r="E303" s="626"/>
      <c r="F303" s="626"/>
      <c r="G303" s="626"/>
      <c r="H303" s="626"/>
      <c r="I303" s="626"/>
      <c r="J303" s="626"/>
      <c r="K303" s="626"/>
      <c r="L303" s="626"/>
      <c r="M303" s="626"/>
      <c r="N303" s="626"/>
      <c r="O303" s="627"/>
      <c r="P303" s="623" t="s">
        <v>40</v>
      </c>
      <c r="Q303" s="624"/>
      <c r="R303" s="624"/>
      <c r="S303" s="624"/>
      <c r="T303" s="624"/>
      <c r="U303" s="624"/>
      <c r="V303" s="625"/>
      <c r="W303" s="42" t="s">
        <v>39</v>
      </c>
      <c r="X303" s="43">
        <f>IFERROR(X296/H296,"0")+IFERROR(X297/H297,"0")+IFERROR(X298/H298,"0")+IFERROR(X299/H299,"0")+IFERROR(X300/H300,"0")+IFERROR(X301/H301,"0")+IFERROR(X302/H302,"0")</f>
        <v>0</v>
      </c>
      <c r="Y303" s="43">
        <f>IFERROR(Y296/H296,"0")+IFERROR(Y297/H297,"0")+IFERROR(Y298/H298,"0")+IFERROR(Y299/H299,"0")+IFERROR(Y300/H300,"0")+IFERROR(Y301/H301,"0")+IFERROR(Y302/H302,"0")</f>
        <v>0</v>
      </c>
      <c r="Z303" s="43">
        <f>IFERROR(IF(Z296="",0,Z296),"0")+IFERROR(IF(Z297="",0,Z297),"0")+IFERROR(IF(Z298="",0,Z298),"0")+IFERROR(IF(Z299="",0,Z299),"0")+IFERROR(IF(Z300="",0,Z300),"0")+IFERROR(IF(Z301="",0,Z301),"0")+IFERROR(IF(Z302="",0,Z302),"0")</f>
        <v>0</v>
      </c>
      <c r="AA303" s="67"/>
      <c r="AB303" s="67"/>
      <c r="AC303" s="67"/>
    </row>
    <row r="304" spans="1:68" x14ac:dyDescent="0.2">
      <c r="A304" s="626"/>
      <c r="B304" s="626"/>
      <c r="C304" s="626"/>
      <c r="D304" s="626"/>
      <c r="E304" s="626"/>
      <c r="F304" s="626"/>
      <c r="G304" s="626"/>
      <c r="H304" s="626"/>
      <c r="I304" s="626"/>
      <c r="J304" s="626"/>
      <c r="K304" s="626"/>
      <c r="L304" s="626"/>
      <c r="M304" s="626"/>
      <c r="N304" s="626"/>
      <c r="O304" s="627"/>
      <c r="P304" s="623" t="s">
        <v>40</v>
      </c>
      <c r="Q304" s="624"/>
      <c r="R304" s="624"/>
      <c r="S304" s="624"/>
      <c r="T304" s="624"/>
      <c r="U304" s="624"/>
      <c r="V304" s="625"/>
      <c r="W304" s="42" t="s">
        <v>0</v>
      </c>
      <c r="X304" s="43">
        <f>IFERROR(SUM(X296:X302),"0")</f>
        <v>0</v>
      </c>
      <c r="Y304" s="43">
        <f>IFERROR(SUM(Y296:Y302),"0")</f>
        <v>0</v>
      </c>
      <c r="Z304" s="42"/>
      <c r="AA304" s="67"/>
      <c r="AB304" s="67"/>
      <c r="AC304" s="67"/>
    </row>
    <row r="305" spans="1:68" ht="14.25" customHeight="1" x14ac:dyDescent="0.25">
      <c r="A305" s="618" t="s">
        <v>84</v>
      </c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  <c r="P305" s="618"/>
      <c r="Q305" s="618"/>
      <c r="R305" s="618"/>
      <c r="S305" s="618"/>
      <c r="T305" s="618"/>
      <c r="U305" s="618"/>
      <c r="V305" s="618"/>
      <c r="W305" s="618"/>
      <c r="X305" s="618"/>
      <c r="Y305" s="618"/>
      <c r="Z305" s="618"/>
      <c r="AA305" s="66"/>
      <c r="AB305" s="66"/>
      <c r="AC305" s="80"/>
    </row>
    <row r="306" spans="1:68" ht="27" customHeight="1" x14ac:dyDescent="0.25">
      <c r="A306" s="63" t="s">
        <v>491</v>
      </c>
      <c r="B306" s="63" t="s">
        <v>492</v>
      </c>
      <c r="C306" s="36">
        <v>4301051100</v>
      </c>
      <c r="D306" s="619">
        <v>4607091387766</v>
      </c>
      <c r="E306" s="619"/>
      <c r="F306" s="62">
        <v>1.3</v>
      </c>
      <c r="G306" s="37">
        <v>6</v>
      </c>
      <c r="H306" s="62">
        <v>7.8</v>
      </c>
      <c r="I306" s="62">
        <v>8.2880000000000003</v>
      </c>
      <c r="J306" s="37">
        <v>64</v>
      </c>
      <c r="K306" s="37" t="s">
        <v>115</v>
      </c>
      <c r="L306" s="37" t="s">
        <v>45</v>
      </c>
      <c r="M306" s="38" t="s">
        <v>88</v>
      </c>
      <c r="N306" s="38"/>
      <c r="O306" s="37">
        <v>40</v>
      </c>
      <c r="P306" s="76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621"/>
      <c r="R306" s="621"/>
      <c r="S306" s="621"/>
      <c r="T306" s="622"/>
      <c r="U306" s="39" t="s">
        <v>45</v>
      </c>
      <c r="V306" s="39" t="s">
        <v>45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IFERROR(IF(Y306=0,"",ROUNDUP(Y306/H306,0)*0.01898),"")</f>
        <v/>
      </c>
      <c r="AA306" s="68" t="s">
        <v>45</v>
      </c>
      <c r="AB306" s="69" t="s">
        <v>45</v>
      </c>
      <c r="AC306" s="370" t="s">
        <v>493</v>
      </c>
      <c r="AG306" s="78"/>
      <c r="AJ306" s="84" t="s">
        <v>45</v>
      </c>
      <c r="AK306" s="84">
        <v>0</v>
      </c>
      <c r="BB306" s="371" t="s">
        <v>66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customHeight="1" x14ac:dyDescent="0.25">
      <c r="A307" s="63" t="s">
        <v>494</v>
      </c>
      <c r="B307" s="63" t="s">
        <v>495</v>
      </c>
      <c r="C307" s="36">
        <v>4301051818</v>
      </c>
      <c r="D307" s="619">
        <v>4607091387957</v>
      </c>
      <c r="E307" s="619"/>
      <c r="F307" s="62">
        <v>1.3</v>
      </c>
      <c r="G307" s="37">
        <v>6</v>
      </c>
      <c r="H307" s="62">
        <v>7.8</v>
      </c>
      <c r="I307" s="62">
        <v>8.2940000000000005</v>
      </c>
      <c r="J307" s="37">
        <v>64</v>
      </c>
      <c r="K307" s="37" t="s">
        <v>115</v>
      </c>
      <c r="L307" s="37" t="s">
        <v>45</v>
      </c>
      <c r="M307" s="38" t="s">
        <v>88</v>
      </c>
      <c r="N307" s="38"/>
      <c r="O307" s="37">
        <v>40</v>
      </c>
      <c r="P307" s="77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621"/>
      <c r="R307" s="621"/>
      <c r="S307" s="621"/>
      <c r="T307" s="622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496</v>
      </c>
      <c r="AG307" s="78"/>
      <c r="AJ307" s="84" t="s">
        <v>45</v>
      </c>
      <c r="AK307" s="84">
        <v>0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497</v>
      </c>
      <c r="B308" s="63" t="s">
        <v>498</v>
      </c>
      <c r="C308" s="36">
        <v>4301051819</v>
      </c>
      <c r="D308" s="619">
        <v>4607091387964</v>
      </c>
      <c r="E308" s="619"/>
      <c r="F308" s="62">
        <v>1.35</v>
      </c>
      <c r="G308" s="37">
        <v>6</v>
      </c>
      <c r="H308" s="62">
        <v>8.1</v>
      </c>
      <c r="I308" s="62">
        <v>8.5760000000000005</v>
      </c>
      <c r="J308" s="37">
        <v>64</v>
      </c>
      <c r="K308" s="37" t="s">
        <v>115</v>
      </c>
      <c r="L308" s="37" t="s">
        <v>45</v>
      </c>
      <c r="M308" s="38" t="s">
        <v>88</v>
      </c>
      <c r="N308" s="38"/>
      <c r="O308" s="37">
        <v>40</v>
      </c>
      <c r="P308" s="77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621"/>
      <c r="R308" s="621"/>
      <c r="S308" s="621"/>
      <c r="T308" s="622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499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500</v>
      </c>
      <c r="B309" s="63" t="s">
        <v>501</v>
      </c>
      <c r="C309" s="36">
        <v>4301051734</v>
      </c>
      <c r="D309" s="619">
        <v>4680115884588</v>
      </c>
      <c r="E309" s="619"/>
      <c r="F309" s="62">
        <v>0.5</v>
      </c>
      <c r="G309" s="37">
        <v>6</v>
      </c>
      <c r="H309" s="62">
        <v>3</v>
      </c>
      <c r="I309" s="62">
        <v>3.246</v>
      </c>
      <c r="J309" s="37">
        <v>182</v>
      </c>
      <c r="K309" s="37" t="s">
        <v>89</v>
      </c>
      <c r="L309" s="37" t="s">
        <v>45</v>
      </c>
      <c r="M309" s="38" t="s">
        <v>88</v>
      </c>
      <c r="N309" s="38"/>
      <c r="O309" s="37">
        <v>40</v>
      </c>
      <c r="P309" s="77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621"/>
      <c r="R309" s="621"/>
      <c r="S309" s="621"/>
      <c r="T309" s="622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IFERROR(IF(Y309=0,"",ROUNDUP(Y309/H309,0)*0.00651),"")</f>
        <v/>
      </c>
      <c r="AA309" s="68" t="s">
        <v>45</v>
      </c>
      <c r="AB309" s="69" t="s">
        <v>45</v>
      </c>
      <c r="AC309" s="376" t="s">
        <v>502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503</v>
      </c>
      <c r="B310" s="63" t="s">
        <v>504</v>
      </c>
      <c r="C310" s="36">
        <v>4301051578</v>
      </c>
      <c r="D310" s="619">
        <v>4607091387513</v>
      </c>
      <c r="E310" s="619"/>
      <c r="F310" s="62">
        <v>0.45</v>
      </c>
      <c r="G310" s="37">
        <v>6</v>
      </c>
      <c r="H310" s="62">
        <v>2.7</v>
      </c>
      <c r="I310" s="62">
        <v>2.9580000000000002</v>
      </c>
      <c r="J310" s="37">
        <v>182</v>
      </c>
      <c r="K310" s="37" t="s">
        <v>89</v>
      </c>
      <c r="L310" s="37" t="s">
        <v>45</v>
      </c>
      <c r="M310" s="38" t="s">
        <v>96</v>
      </c>
      <c r="N310" s="38"/>
      <c r="O310" s="37">
        <v>40</v>
      </c>
      <c r="P310" s="773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621"/>
      <c r="R310" s="621"/>
      <c r="S310" s="621"/>
      <c r="T310" s="622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505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626"/>
      <c r="B311" s="626"/>
      <c r="C311" s="626"/>
      <c r="D311" s="626"/>
      <c r="E311" s="626"/>
      <c r="F311" s="626"/>
      <c r="G311" s="626"/>
      <c r="H311" s="626"/>
      <c r="I311" s="626"/>
      <c r="J311" s="626"/>
      <c r="K311" s="626"/>
      <c r="L311" s="626"/>
      <c r="M311" s="626"/>
      <c r="N311" s="626"/>
      <c r="O311" s="627"/>
      <c r="P311" s="623" t="s">
        <v>40</v>
      </c>
      <c r="Q311" s="624"/>
      <c r="R311" s="624"/>
      <c r="S311" s="624"/>
      <c r="T311" s="624"/>
      <c r="U311" s="624"/>
      <c r="V311" s="625"/>
      <c r="W311" s="42" t="s">
        <v>39</v>
      </c>
      <c r="X311" s="43">
        <f>IFERROR(X306/H306,"0")+IFERROR(X307/H307,"0")+IFERROR(X308/H308,"0")+IFERROR(X309/H309,"0")+IFERROR(X310/H310,"0")</f>
        <v>0</v>
      </c>
      <c r="Y311" s="43">
        <f>IFERROR(Y306/H306,"0")+IFERROR(Y307/H307,"0")+IFERROR(Y308/H308,"0")+IFERROR(Y309/H309,"0")+IFERROR(Y310/H310,"0")</f>
        <v>0</v>
      </c>
      <c r="Z311" s="43">
        <f>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26"/>
      <c r="B312" s="626"/>
      <c r="C312" s="626"/>
      <c r="D312" s="626"/>
      <c r="E312" s="626"/>
      <c r="F312" s="626"/>
      <c r="G312" s="626"/>
      <c r="H312" s="626"/>
      <c r="I312" s="626"/>
      <c r="J312" s="626"/>
      <c r="K312" s="626"/>
      <c r="L312" s="626"/>
      <c r="M312" s="626"/>
      <c r="N312" s="626"/>
      <c r="O312" s="627"/>
      <c r="P312" s="623" t="s">
        <v>40</v>
      </c>
      <c r="Q312" s="624"/>
      <c r="R312" s="624"/>
      <c r="S312" s="624"/>
      <c r="T312" s="624"/>
      <c r="U312" s="624"/>
      <c r="V312" s="625"/>
      <c r="W312" s="42" t="s">
        <v>0</v>
      </c>
      <c r="X312" s="43">
        <f>IFERROR(SUM(X306:X310),"0")</f>
        <v>0</v>
      </c>
      <c r="Y312" s="43">
        <f>IFERROR(SUM(Y306:Y310),"0")</f>
        <v>0</v>
      </c>
      <c r="Z312" s="42"/>
      <c r="AA312" s="67"/>
      <c r="AB312" s="67"/>
      <c r="AC312" s="67"/>
    </row>
    <row r="313" spans="1:68" ht="14.25" customHeight="1" x14ac:dyDescent="0.25">
      <c r="A313" s="618" t="s">
        <v>174</v>
      </c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  <c r="P313" s="618"/>
      <c r="Q313" s="618"/>
      <c r="R313" s="618"/>
      <c r="S313" s="618"/>
      <c r="T313" s="618"/>
      <c r="U313" s="618"/>
      <c r="V313" s="618"/>
      <c r="W313" s="618"/>
      <c r="X313" s="618"/>
      <c r="Y313" s="618"/>
      <c r="Z313" s="618"/>
      <c r="AA313" s="66"/>
      <c r="AB313" s="66"/>
      <c r="AC313" s="80"/>
    </row>
    <row r="314" spans="1:68" ht="27" customHeight="1" x14ac:dyDescent="0.25">
      <c r="A314" s="63" t="s">
        <v>506</v>
      </c>
      <c r="B314" s="63" t="s">
        <v>507</v>
      </c>
      <c r="C314" s="36">
        <v>4301060387</v>
      </c>
      <c r="D314" s="619">
        <v>4607091380880</v>
      </c>
      <c r="E314" s="619"/>
      <c r="F314" s="62">
        <v>1.4</v>
      </c>
      <c r="G314" s="37">
        <v>6</v>
      </c>
      <c r="H314" s="62">
        <v>8.4</v>
      </c>
      <c r="I314" s="62">
        <v>8.8940000000000001</v>
      </c>
      <c r="J314" s="37">
        <v>64</v>
      </c>
      <c r="K314" s="37" t="s">
        <v>115</v>
      </c>
      <c r="L314" s="37" t="s">
        <v>116</v>
      </c>
      <c r="M314" s="38" t="s">
        <v>88</v>
      </c>
      <c r="N314" s="38"/>
      <c r="O314" s="37">
        <v>30</v>
      </c>
      <c r="P314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621"/>
      <c r="R314" s="621"/>
      <c r="S314" s="621"/>
      <c r="T314" s="622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0" t="s">
        <v>508</v>
      </c>
      <c r="AG314" s="78"/>
      <c r="AJ314" s="84" t="s">
        <v>117</v>
      </c>
      <c r="AK314" s="84">
        <v>67.2</v>
      </c>
      <c r="BB314" s="381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509</v>
      </c>
      <c r="B315" s="63" t="s">
        <v>510</v>
      </c>
      <c r="C315" s="36">
        <v>4301060406</v>
      </c>
      <c r="D315" s="619">
        <v>4607091384482</v>
      </c>
      <c r="E315" s="619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115</v>
      </c>
      <c r="L315" s="37" t="s">
        <v>116</v>
      </c>
      <c r="M315" s="38" t="s">
        <v>88</v>
      </c>
      <c r="N315" s="38"/>
      <c r="O315" s="37">
        <v>30</v>
      </c>
      <c r="P315" s="77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621"/>
      <c r="R315" s="621"/>
      <c r="S315" s="621"/>
      <c r="T315" s="622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511</v>
      </c>
      <c r="AG315" s="78"/>
      <c r="AJ315" s="84" t="s">
        <v>117</v>
      </c>
      <c r="AK315" s="84">
        <v>62.4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16.5" customHeight="1" x14ac:dyDescent="0.25">
      <c r="A316" s="63" t="s">
        <v>512</v>
      </c>
      <c r="B316" s="63" t="s">
        <v>513</v>
      </c>
      <c r="C316" s="36">
        <v>4301060484</v>
      </c>
      <c r="D316" s="619">
        <v>4607091380897</v>
      </c>
      <c r="E316" s="619"/>
      <c r="F316" s="62">
        <v>1.4</v>
      </c>
      <c r="G316" s="37">
        <v>6</v>
      </c>
      <c r="H316" s="62">
        <v>8.4</v>
      </c>
      <c r="I316" s="62">
        <v>8.8940000000000001</v>
      </c>
      <c r="J316" s="37">
        <v>64</v>
      </c>
      <c r="K316" s="37" t="s">
        <v>115</v>
      </c>
      <c r="L316" s="37" t="s">
        <v>116</v>
      </c>
      <c r="M316" s="38" t="s">
        <v>96</v>
      </c>
      <c r="N316" s="38"/>
      <c r="O316" s="37">
        <v>30</v>
      </c>
      <c r="P316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621"/>
      <c r="R316" s="621"/>
      <c r="S316" s="621"/>
      <c r="T316" s="622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514</v>
      </c>
      <c r="AG316" s="78"/>
      <c r="AJ316" s="84" t="s">
        <v>117</v>
      </c>
      <c r="AK316" s="84">
        <v>67.2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26"/>
      <c r="B317" s="626"/>
      <c r="C317" s="626"/>
      <c r="D317" s="626"/>
      <c r="E317" s="626"/>
      <c r="F317" s="626"/>
      <c r="G317" s="626"/>
      <c r="H317" s="626"/>
      <c r="I317" s="626"/>
      <c r="J317" s="626"/>
      <c r="K317" s="626"/>
      <c r="L317" s="626"/>
      <c r="M317" s="626"/>
      <c r="N317" s="626"/>
      <c r="O317" s="627"/>
      <c r="P317" s="623" t="s">
        <v>40</v>
      </c>
      <c r="Q317" s="624"/>
      <c r="R317" s="624"/>
      <c r="S317" s="624"/>
      <c r="T317" s="624"/>
      <c r="U317" s="624"/>
      <c r="V317" s="625"/>
      <c r="W317" s="42" t="s">
        <v>39</v>
      </c>
      <c r="X317" s="43">
        <f>IFERROR(X314/H314,"0")+IFERROR(X315/H315,"0")+IFERROR(X316/H316,"0")</f>
        <v>0</v>
      </c>
      <c r="Y317" s="43">
        <f>IFERROR(Y314/H314,"0")+IFERROR(Y315/H315,"0")+IFERROR(Y316/H316,"0")</f>
        <v>0</v>
      </c>
      <c r="Z317" s="43">
        <f>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26"/>
      <c r="B318" s="626"/>
      <c r="C318" s="626"/>
      <c r="D318" s="626"/>
      <c r="E318" s="626"/>
      <c r="F318" s="626"/>
      <c r="G318" s="626"/>
      <c r="H318" s="626"/>
      <c r="I318" s="626"/>
      <c r="J318" s="626"/>
      <c r="K318" s="626"/>
      <c r="L318" s="626"/>
      <c r="M318" s="626"/>
      <c r="N318" s="626"/>
      <c r="O318" s="627"/>
      <c r="P318" s="623" t="s">
        <v>40</v>
      </c>
      <c r="Q318" s="624"/>
      <c r="R318" s="624"/>
      <c r="S318" s="624"/>
      <c r="T318" s="624"/>
      <c r="U318" s="624"/>
      <c r="V318" s="625"/>
      <c r="W318" s="42" t="s">
        <v>0</v>
      </c>
      <c r="X318" s="43">
        <f>IFERROR(SUM(X314:X316),"0")</f>
        <v>0</v>
      </c>
      <c r="Y318" s="43">
        <f>IFERROR(SUM(Y314:Y316),"0")</f>
        <v>0</v>
      </c>
      <c r="Z318" s="42"/>
      <c r="AA318" s="67"/>
      <c r="AB318" s="67"/>
      <c r="AC318" s="67"/>
    </row>
    <row r="319" spans="1:68" ht="14.25" customHeight="1" x14ac:dyDescent="0.25">
      <c r="A319" s="618" t="s">
        <v>102</v>
      </c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  <c r="P319" s="618"/>
      <c r="Q319" s="618"/>
      <c r="R319" s="618"/>
      <c r="S319" s="618"/>
      <c r="T319" s="618"/>
      <c r="U319" s="618"/>
      <c r="V319" s="618"/>
      <c r="W319" s="618"/>
      <c r="X319" s="618"/>
      <c r="Y319" s="618"/>
      <c r="Z319" s="618"/>
      <c r="AA319" s="66"/>
      <c r="AB319" s="66"/>
      <c r="AC319" s="80"/>
    </row>
    <row r="320" spans="1:68" ht="27" customHeight="1" x14ac:dyDescent="0.25">
      <c r="A320" s="63" t="s">
        <v>515</v>
      </c>
      <c r="B320" s="63" t="s">
        <v>516</v>
      </c>
      <c r="C320" s="36">
        <v>4301030235</v>
      </c>
      <c r="D320" s="619">
        <v>4607091388381</v>
      </c>
      <c r="E320" s="619"/>
      <c r="F320" s="62">
        <v>0.38</v>
      </c>
      <c r="G320" s="37">
        <v>8</v>
      </c>
      <c r="H320" s="62">
        <v>3.04</v>
      </c>
      <c r="I320" s="62">
        <v>3.31</v>
      </c>
      <c r="J320" s="37">
        <v>132</v>
      </c>
      <c r="K320" s="37" t="s">
        <v>120</v>
      </c>
      <c r="L320" s="37" t="s">
        <v>45</v>
      </c>
      <c r="M320" s="38" t="s">
        <v>107</v>
      </c>
      <c r="N320" s="38"/>
      <c r="O320" s="37">
        <v>180</v>
      </c>
      <c r="P320" s="77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621"/>
      <c r="R320" s="621"/>
      <c r="S320" s="621"/>
      <c r="T320" s="622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45</v>
      </c>
      <c r="AB320" s="69" t="s">
        <v>45</v>
      </c>
      <c r="AC320" s="386" t="s">
        <v>517</v>
      </c>
      <c r="AG320" s="78"/>
      <c r="AJ320" s="84" t="s">
        <v>45</v>
      </c>
      <c r="AK320" s="84">
        <v>0</v>
      </c>
      <c r="BB320" s="387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518</v>
      </c>
      <c r="B321" s="63" t="s">
        <v>519</v>
      </c>
      <c r="C321" s="36">
        <v>4301030232</v>
      </c>
      <c r="D321" s="619">
        <v>4607091388374</v>
      </c>
      <c r="E321" s="619"/>
      <c r="F321" s="62">
        <v>0.38</v>
      </c>
      <c r="G321" s="37">
        <v>8</v>
      </c>
      <c r="H321" s="62">
        <v>3.04</v>
      </c>
      <c r="I321" s="62">
        <v>3.27</v>
      </c>
      <c r="J321" s="37">
        <v>132</v>
      </c>
      <c r="K321" s="37" t="s">
        <v>120</v>
      </c>
      <c r="L321" s="37" t="s">
        <v>45</v>
      </c>
      <c r="M321" s="38" t="s">
        <v>107</v>
      </c>
      <c r="N321" s="38"/>
      <c r="O321" s="37">
        <v>180</v>
      </c>
      <c r="P321" s="778" t="s">
        <v>520</v>
      </c>
      <c r="Q321" s="621"/>
      <c r="R321" s="621"/>
      <c r="S321" s="621"/>
      <c r="T321" s="622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517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521</v>
      </c>
      <c r="B322" s="63" t="s">
        <v>522</v>
      </c>
      <c r="C322" s="36">
        <v>4301032015</v>
      </c>
      <c r="D322" s="619">
        <v>4607091383102</v>
      </c>
      <c r="E322" s="619"/>
      <c r="F322" s="62">
        <v>0.17</v>
      </c>
      <c r="G322" s="37">
        <v>15</v>
      </c>
      <c r="H322" s="62">
        <v>2.5499999999999998</v>
      </c>
      <c r="I322" s="62">
        <v>2.9550000000000001</v>
      </c>
      <c r="J322" s="37">
        <v>182</v>
      </c>
      <c r="K322" s="37" t="s">
        <v>89</v>
      </c>
      <c r="L322" s="37" t="s">
        <v>225</v>
      </c>
      <c r="M322" s="38" t="s">
        <v>107</v>
      </c>
      <c r="N322" s="38"/>
      <c r="O322" s="37">
        <v>180</v>
      </c>
      <c r="P322" s="7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621"/>
      <c r="R322" s="621"/>
      <c r="S322" s="621"/>
      <c r="T322" s="622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45</v>
      </c>
      <c r="AB322" s="69" t="s">
        <v>45</v>
      </c>
      <c r="AC322" s="390" t="s">
        <v>523</v>
      </c>
      <c r="AG322" s="78"/>
      <c r="AJ322" s="84" t="s">
        <v>117</v>
      </c>
      <c r="AK322" s="84">
        <v>35.700000000000003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524</v>
      </c>
      <c r="B323" s="63" t="s">
        <v>525</v>
      </c>
      <c r="C323" s="36">
        <v>4301030233</v>
      </c>
      <c r="D323" s="619">
        <v>4607091388404</v>
      </c>
      <c r="E323" s="619"/>
      <c r="F323" s="62">
        <v>0.17</v>
      </c>
      <c r="G323" s="37">
        <v>15</v>
      </c>
      <c r="H323" s="62">
        <v>2.5499999999999998</v>
      </c>
      <c r="I323" s="62">
        <v>2.88</v>
      </c>
      <c r="J323" s="37">
        <v>182</v>
      </c>
      <c r="K323" s="37" t="s">
        <v>89</v>
      </c>
      <c r="L323" s="37" t="s">
        <v>225</v>
      </c>
      <c r="M323" s="38" t="s">
        <v>107</v>
      </c>
      <c r="N323" s="38"/>
      <c r="O323" s="37">
        <v>180</v>
      </c>
      <c r="P323" s="78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621"/>
      <c r="R323" s="621"/>
      <c r="S323" s="621"/>
      <c r="T323" s="622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517</v>
      </c>
      <c r="AG323" s="78"/>
      <c r="AJ323" s="84" t="s">
        <v>117</v>
      </c>
      <c r="AK323" s="84">
        <v>35.700000000000003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26"/>
      <c r="B324" s="626"/>
      <c r="C324" s="626"/>
      <c r="D324" s="626"/>
      <c r="E324" s="626"/>
      <c r="F324" s="626"/>
      <c r="G324" s="626"/>
      <c r="H324" s="626"/>
      <c r="I324" s="626"/>
      <c r="J324" s="626"/>
      <c r="K324" s="626"/>
      <c r="L324" s="626"/>
      <c r="M324" s="626"/>
      <c r="N324" s="626"/>
      <c r="O324" s="627"/>
      <c r="P324" s="623" t="s">
        <v>40</v>
      </c>
      <c r="Q324" s="624"/>
      <c r="R324" s="624"/>
      <c r="S324" s="624"/>
      <c r="T324" s="624"/>
      <c r="U324" s="624"/>
      <c r="V324" s="625"/>
      <c r="W324" s="42" t="s">
        <v>39</v>
      </c>
      <c r="X324" s="43">
        <f>IFERROR(X320/H320,"0")+IFERROR(X321/H321,"0")+IFERROR(X322/H322,"0")+IFERROR(X323/H323,"0")</f>
        <v>0</v>
      </c>
      <c r="Y324" s="43">
        <f>IFERROR(Y320/H320,"0")+IFERROR(Y321/H321,"0")+IFERROR(Y322/H322,"0")+IFERROR(Y323/H323,"0")</f>
        <v>0</v>
      </c>
      <c r="Z324" s="43">
        <f>IFERROR(IF(Z320="",0,Z320),"0")+IFERROR(IF(Z321="",0,Z321),"0")+IFERROR(IF(Z322="",0,Z322),"0")+IFERROR(IF(Z323="",0,Z323),"0")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26"/>
      <c r="B325" s="626"/>
      <c r="C325" s="626"/>
      <c r="D325" s="626"/>
      <c r="E325" s="626"/>
      <c r="F325" s="626"/>
      <c r="G325" s="626"/>
      <c r="H325" s="626"/>
      <c r="I325" s="626"/>
      <c r="J325" s="626"/>
      <c r="K325" s="626"/>
      <c r="L325" s="626"/>
      <c r="M325" s="626"/>
      <c r="N325" s="626"/>
      <c r="O325" s="627"/>
      <c r="P325" s="623" t="s">
        <v>40</v>
      </c>
      <c r="Q325" s="624"/>
      <c r="R325" s="624"/>
      <c r="S325" s="624"/>
      <c r="T325" s="624"/>
      <c r="U325" s="624"/>
      <c r="V325" s="625"/>
      <c r="W325" s="42" t="s">
        <v>0</v>
      </c>
      <c r="X325" s="43">
        <f>IFERROR(SUM(X320:X323),"0")</f>
        <v>0</v>
      </c>
      <c r="Y325" s="43">
        <f>IFERROR(SUM(Y320:Y323),"0")</f>
        <v>0</v>
      </c>
      <c r="Z325" s="42"/>
      <c r="AA325" s="67"/>
      <c r="AB325" s="67"/>
      <c r="AC325" s="67"/>
    </row>
    <row r="326" spans="1:68" ht="14.25" customHeight="1" x14ac:dyDescent="0.25">
      <c r="A326" s="618" t="s">
        <v>526</v>
      </c>
      <c r="B326" s="618"/>
      <c r="C326" s="618"/>
      <c r="D326" s="618"/>
      <c r="E326" s="618"/>
      <c r="F326" s="618"/>
      <c r="G326" s="618"/>
      <c r="H326" s="618"/>
      <c r="I326" s="618"/>
      <c r="J326" s="618"/>
      <c r="K326" s="618"/>
      <c r="L326" s="618"/>
      <c r="M326" s="618"/>
      <c r="N326" s="618"/>
      <c r="O326" s="618"/>
      <c r="P326" s="618"/>
      <c r="Q326" s="618"/>
      <c r="R326" s="618"/>
      <c r="S326" s="618"/>
      <c r="T326" s="618"/>
      <c r="U326" s="618"/>
      <c r="V326" s="618"/>
      <c r="W326" s="618"/>
      <c r="X326" s="618"/>
      <c r="Y326" s="618"/>
      <c r="Z326" s="618"/>
      <c r="AA326" s="66"/>
      <c r="AB326" s="66"/>
      <c r="AC326" s="80"/>
    </row>
    <row r="327" spans="1:68" ht="16.5" customHeight="1" x14ac:dyDescent="0.25">
      <c r="A327" s="63" t="s">
        <v>527</v>
      </c>
      <c r="B327" s="63" t="s">
        <v>528</v>
      </c>
      <c r="C327" s="36">
        <v>4301180007</v>
      </c>
      <c r="D327" s="619">
        <v>4680115881808</v>
      </c>
      <c r="E327" s="619"/>
      <c r="F327" s="62">
        <v>0.1</v>
      </c>
      <c r="G327" s="37">
        <v>20</v>
      </c>
      <c r="H327" s="62">
        <v>2</v>
      </c>
      <c r="I327" s="62">
        <v>2.2400000000000002</v>
      </c>
      <c r="J327" s="37">
        <v>238</v>
      </c>
      <c r="K327" s="37" t="s">
        <v>89</v>
      </c>
      <c r="L327" s="37" t="s">
        <v>225</v>
      </c>
      <c r="M327" s="38" t="s">
        <v>530</v>
      </c>
      <c r="N327" s="38"/>
      <c r="O327" s="37">
        <v>730</v>
      </c>
      <c r="P327" s="7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621"/>
      <c r="R327" s="621"/>
      <c r="S327" s="621"/>
      <c r="T327" s="622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IFERROR(IF(Y327=0,"",ROUNDUP(Y327/H327,0)*0.00474),"")</f>
        <v/>
      </c>
      <c r="AA327" s="68" t="s">
        <v>45</v>
      </c>
      <c r="AB327" s="69" t="s">
        <v>45</v>
      </c>
      <c r="AC327" s="394" t="s">
        <v>529</v>
      </c>
      <c r="AG327" s="78"/>
      <c r="AJ327" s="84" t="s">
        <v>117</v>
      </c>
      <c r="AK327" s="84">
        <v>28</v>
      </c>
      <c r="BB327" s="39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531</v>
      </c>
      <c r="B328" s="63" t="s">
        <v>532</v>
      </c>
      <c r="C328" s="36">
        <v>4301180006</v>
      </c>
      <c r="D328" s="619">
        <v>4680115881822</v>
      </c>
      <c r="E328" s="619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89</v>
      </c>
      <c r="L328" s="37" t="s">
        <v>45</v>
      </c>
      <c r="M328" s="38" t="s">
        <v>530</v>
      </c>
      <c r="N328" s="38"/>
      <c r="O328" s="37">
        <v>730</v>
      </c>
      <c r="P328" s="7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621"/>
      <c r="R328" s="621"/>
      <c r="S328" s="621"/>
      <c r="T328" s="622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529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533</v>
      </c>
      <c r="B329" s="63" t="s">
        <v>534</v>
      </c>
      <c r="C329" s="36">
        <v>4301180001</v>
      </c>
      <c r="D329" s="619">
        <v>4680115880016</v>
      </c>
      <c r="E329" s="619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225</v>
      </c>
      <c r="M329" s="38" t="s">
        <v>530</v>
      </c>
      <c r="N329" s="38"/>
      <c r="O329" s="37">
        <v>730</v>
      </c>
      <c r="P329" s="78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621"/>
      <c r="R329" s="621"/>
      <c r="S329" s="621"/>
      <c r="T329" s="622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529</v>
      </c>
      <c r="AG329" s="78"/>
      <c r="AJ329" s="84" t="s">
        <v>117</v>
      </c>
      <c r="AK329" s="84">
        <v>28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26"/>
      <c r="B330" s="626"/>
      <c r="C330" s="626"/>
      <c r="D330" s="626"/>
      <c r="E330" s="626"/>
      <c r="F330" s="626"/>
      <c r="G330" s="626"/>
      <c r="H330" s="626"/>
      <c r="I330" s="626"/>
      <c r="J330" s="626"/>
      <c r="K330" s="626"/>
      <c r="L330" s="626"/>
      <c r="M330" s="626"/>
      <c r="N330" s="626"/>
      <c r="O330" s="627"/>
      <c r="P330" s="623" t="s">
        <v>40</v>
      </c>
      <c r="Q330" s="624"/>
      <c r="R330" s="624"/>
      <c r="S330" s="624"/>
      <c r="T330" s="624"/>
      <c r="U330" s="624"/>
      <c r="V330" s="625"/>
      <c r="W330" s="42" t="s">
        <v>39</v>
      </c>
      <c r="X330" s="43">
        <f>IFERROR(X327/H327,"0")+IFERROR(X328/H328,"0")+IFERROR(X329/H329,"0")</f>
        <v>0</v>
      </c>
      <c r="Y330" s="43">
        <f>IFERROR(Y327/H327,"0")+IFERROR(Y328/H328,"0")+IFERROR(Y329/H329,"0")</f>
        <v>0</v>
      </c>
      <c r="Z330" s="43">
        <f>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26"/>
      <c r="B331" s="626"/>
      <c r="C331" s="626"/>
      <c r="D331" s="626"/>
      <c r="E331" s="626"/>
      <c r="F331" s="626"/>
      <c r="G331" s="626"/>
      <c r="H331" s="626"/>
      <c r="I331" s="626"/>
      <c r="J331" s="626"/>
      <c r="K331" s="626"/>
      <c r="L331" s="626"/>
      <c r="M331" s="626"/>
      <c r="N331" s="626"/>
      <c r="O331" s="627"/>
      <c r="P331" s="623" t="s">
        <v>40</v>
      </c>
      <c r="Q331" s="624"/>
      <c r="R331" s="624"/>
      <c r="S331" s="624"/>
      <c r="T331" s="624"/>
      <c r="U331" s="624"/>
      <c r="V331" s="625"/>
      <c r="W331" s="42" t="s">
        <v>0</v>
      </c>
      <c r="X331" s="43">
        <f>IFERROR(SUM(X327:X329),"0")</f>
        <v>0</v>
      </c>
      <c r="Y331" s="43">
        <f>IFERROR(SUM(Y327:Y329),"0")</f>
        <v>0</v>
      </c>
      <c r="Z331" s="42"/>
      <c r="AA331" s="67"/>
      <c r="AB331" s="67"/>
      <c r="AC331" s="67"/>
    </row>
    <row r="332" spans="1:68" ht="16.5" customHeight="1" x14ac:dyDescent="0.25">
      <c r="A332" s="617" t="s">
        <v>535</v>
      </c>
      <c r="B332" s="617"/>
      <c r="C332" s="617"/>
      <c r="D332" s="617"/>
      <c r="E332" s="617"/>
      <c r="F332" s="617"/>
      <c r="G332" s="617"/>
      <c r="H332" s="617"/>
      <c r="I332" s="617"/>
      <c r="J332" s="617"/>
      <c r="K332" s="617"/>
      <c r="L332" s="617"/>
      <c r="M332" s="617"/>
      <c r="N332" s="617"/>
      <c r="O332" s="617"/>
      <c r="P332" s="617"/>
      <c r="Q332" s="617"/>
      <c r="R332" s="617"/>
      <c r="S332" s="617"/>
      <c r="T332" s="617"/>
      <c r="U332" s="617"/>
      <c r="V332" s="617"/>
      <c r="W332" s="617"/>
      <c r="X332" s="617"/>
      <c r="Y332" s="617"/>
      <c r="Z332" s="617"/>
      <c r="AA332" s="65"/>
      <c r="AB332" s="65"/>
      <c r="AC332" s="79"/>
    </row>
    <row r="333" spans="1:68" ht="14.25" customHeight="1" x14ac:dyDescent="0.25">
      <c r="A333" s="618" t="s">
        <v>84</v>
      </c>
      <c r="B333" s="618"/>
      <c r="C333" s="618"/>
      <c r="D333" s="618"/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  <c r="S333" s="618"/>
      <c r="T333" s="618"/>
      <c r="U333" s="618"/>
      <c r="V333" s="618"/>
      <c r="W333" s="618"/>
      <c r="X333" s="618"/>
      <c r="Y333" s="618"/>
      <c r="Z333" s="618"/>
      <c r="AA333" s="66"/>
      <c r="AB333" s="66"/>
      <c r="AC333" s="80"/>
    </row>
    <row r="334" spans="1:68" ht="27" customHeight="1" x14ac:dyDescent="0.25">
      <c r="A334" s="63" t="s">
        <v>536</v>
      </c>
      <c r="B334" s="63" t="s">
        <v>537</v>
      </c>
      <c r="C334" s="36">
        <v>4301051489</v>
      </c>
      <c r="D334" s="619">
        <v>4607091387919</v>
      </c>
      <c r="E334" s="619"/>
      <c r="F334" s="62">
        <v>1.35</v>
      </c>
      <c r="G334" s="37">
        <v>6</v>
      </c>
      <c r="H334" s="62">
        <v>8.1</v>
      </c>
      <c r="I334" s="62">
        <v>8.5939999999999994</v>
      </c>
      <c r="J334" s="37">
        <v>64</v>
      </c>
      <c r="K334" s="37" t="s">
        <v>115</v>
      </c>
      <c r="L334" s="37" t="s">
        <v>45</v>
      </c>
      <c r="M334" s="38" t="s">
        <v>96</v>
      </c>
      <c r="N334" s="38"/>
      <c r="O334" s="37">
        <v>45</v>
      </c>
      <c r="P334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621"/>
      <c r="R334" s="621"/>
      <c r="S334" s="621"/>
      <c r="T334" s="622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45</v>
      </c>
      <c r="AB334" s="69" t="s">
        <v>45</v>
      </c>
      <c r="AC334" s="400" t="s">
        <v>538</v>
      </c>
      <c r="AG334" s="78"/>
      <c r="AJ334" s="84" t="s">
        <v>45</v>
      </c>
      <c r="AK334" s="84">
        <v>0</v>
      </c>
      <c r="BB334" s="40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539</v>
      </c>
      <c r="B335" s="63" t="s">
        <v>540</v>
      </c>
      <c r="C335" s="36">
        <v>4301051461</v>
      </c>
      <c r="D335" s="619">
        <v>4680115883604</v>
      </c>
      <c r="E335" s="619"/>
      <c r="F335" s="62">
        <v>0.35</v>
      </c>
      <c r="G335" s="37">
        <v>6</v>
      </c>
      <c r="H335" s="62">
        <v>2.1</v>
      </c>
      <c r="I335" s="62">
        <v>2.3519999999999999</v>
      </c>
      <c r="J335" s="37">
        <v>182</v>
      </c>
      <c r="K335" s="37" t="s">
        <v>89</v>
      </c>
      <c r="L335" s="37" t="s">
        <v>225</v>
      </c>
      <c r="M335" s="38" t="s">
        <v>88</v>
      </c>
      <c r="N335" s="38"/>
      <c r="O335" s="37">
        <v>45</v>
      </c>
      <c r="P335" s="78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621"/>
      <c r="R335" s="621"/>
      <c r="S335" s="621"/>
      <c r="T335" s="622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45</v>
      </c>
      <c r="AB335" s="69" t="s">
        <v>45</v>
      </c>
      <c r="AC335" s="402" t="s">
        <v>541</v>
      </c>
      <c r="AG335" s="78"/>
      <c r="AJ335" s="84" t="s">
        <v>117</v>
      </c>
      <c r="AK335" s="84">
        <v>29.4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542</v>
      </c>
      <c r="B336" s="63" t="s">
        <v>543</v>
      </c>
      <c r="C336" s="36">
        <v>4301051864</v>
      </c>
      <c r="D336" s="619">
        <v>4680115883567</v>
      </c>
      <c r="E336" s="619"/>
      <c r="F336" s="62">
        <v>0.35</v>
      </c>
      <c r="G336" s="37">
        <v>6</v>
      </c>
      <c r="H336" s="62">
        <v>2.1</v>
      </c>
      <c r="I336" s="62">
        <v>2.34</v>
      </c>
      <c r="J336" s="37">
        <v>182</v>
      </c>
      <c r="K336" s="37" t="s">
        <v>89</v>
      </c>
      <c r="L336" s="37" t="s">
        <v>225</v>
      </c>
      <c r="M336" s="38" t="s">
        <v>96</v>
      </c>
      <c r="N336" s="38"/>
      <c r="O336" s="37">
        <v>40</v>
      </c>
      <c r="P336" s="7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621"/>
      <c r="R336" s="621"/>
      <c r="S336" s="621"/>
      <c r="T336" s="622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544</v>
      </c>
      <c r="AG336" s="78"/>
      <c r="AJ336" s="84" t="s">
        <v>117</v>
      </c>
      <c r="AK336" s="84">
        <v>29.4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26"/>
      <c r="B337" s="626"/>
      <c r="C337" s="626"/>
      <c r="D337" s="626"/>
      <c r="E337" s="626"/>
      <c r="F337" s="626"/>
      <c r="G337" s="626"/>
      <c r="H337" s="626"/>
      <c r="I337" s="626"/>
      <c r="J337" s="626"/>
      <c r="K337" s="626"/>
      <c r="L337" s="626"/>
      <c r="M337" s="626"/>
      <c r="N337" s="626"/>
      <c r="O337" s="627"/>
      <c r="P337" s="623" t="s">
        <v>40</v>
      </c>
      <c r="Q337" s="624"/>
      <c r="R337" s="624"/>
      <c r="S337" s="624"/>
      <c r="T337" s="624"/>
      <c r="U337" s="624"/>
      <c r="V337" s="625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26"/>
      <c r="B338" s="626"/>
      <c r="C338" s="626"/>
      <c r="D338" s="626"/>
      <c r="E338" s="626"/>
      <c r="F338" s="626"/>
      <c r="G338" s="626"/>
      <c r="H338" s="626"/>
      <c r="I338" s="626"/>
      <c r="J338" s="626"/>
      <c r="K338" s="626"/>
      <c r="L338" s="626"/>
      <c r="M338" s="626"/>
      <c r="N338" s="626"/>
      <c r="O338" s="627"/>
      <c r="P338" s="623" t="s">
        <v>40</v>
      </c>
      <c r="Q338" s="624"/>
      <c r="R338" s="624"/>
      <c r="S338" s="624"/>
      <c r="T338" s="624"/>
      <c r="U338" s="624"/>
      <c r="V338" s="625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27.75" customHeight="1" x14ac:dyDescent="0.2">
      <c r="A339" s="616" t="s">
        <v>545</v>
      </c>
      <c r="B339" s="616"/>
      <c r="C339" s="616"/>
      <c r="D339" s="616"/>
      <c r="E339" s="616"/>
      <c r="F339" s="616"/>
      <c r="G339" s="616"/>
      <c r="H339" s="616"/>
      <c r="I339" s="616"/>
      <c r="J339" s="616"/>
      <c r="K339" s="616"/>
      <c r="L339" s="616"/>
      <c r="M339" s="616"/>
      <c r="N339" s="616"/>
      <c r="O339" s="616"/>
      <c r="P339" s="616"/>
      <c r="Q339" s="616"/>
      <c r="R339" s="616"/>
      <c r="S339" s="616"/>
      <c r="T339" s="616"/>
      <c r="U339" s="616"/>
      <c r="V339" s="616"/>
      <c r="W339" s="616"/>
      <c r="X339" s="616"/>
      <c r="Y339" s="616"/>
      <c r="Z339" s="616"/>
      <c r="AA339" s="54"/>
      <c r="AB339" s="54"/>
      <c r="AC339" s="54"/>
    </row>
    <row r="340" spans="1:68" ht="16.5" customHeight="1" x14ac:dyDescent="0.25">
      <c r="A340" s="617" t="s">
        <v>546</v>
      </c>
      <c r="B340" s="617"/>
      <c r="C340" s="617"/>
      <c r="D340" s="617"/>
      <c r="E340" s="617"/>
      <c r="F340" s="617"/>
      <c r="G340" s="617"/>
      <c r="H340" s="617"/>
      <c r="I340" s="617"/>
      <c r="J340" s="617"/>
      <c r="K340" s="617"/>
      <c r="L340" s="617"/>
      <c r="M340" s="617"/>
      <c r="N340" s="617"/>
      <c r="O340" s="617"/>
      <c r="P340" s="617"/>
      <c r="Q340" s="617"/>
      <c r="R340" s="617"/>
      <c r="S340" s="617"/>
      <c r="T340" s="617"/>
      <c r="U340" s="617"/>
      <c r="V340" s="617"/>
      <c r="W340" s="617"/>
      <c r="X340" s="617"/>
      <c r="Y340" s="617"/>
      <c r="Z340" s="617"/>
      <c r="AA340" s="65"/>
      <c r="AB340" s="65"/>
      <c r="AC340" s="79"/>
    </row>
    <row r="341" spans="1:68" ht="14.25" customHeight="1" x14ac:dyDescent="0.25">
      <c r="A341" s="618" t="s">
        <v>110</v>
      </c>
      <c r="B341" s="618"/>
      <c r="C341" s="618"/>
      <c r="D341" s="618"/>
      <c r="E341" s="618"/>
      <c r="F341" s="618"/>
      <c r="G341" s="618"/>
      <c r="H341" s="618"/>
      <c r="I341" s="618"/>
      <c r="J341" s="618"/>
      <c r="K341" s="618"/>
      <c r="L341" s="618"/>
      <c r="M341" s="618"/>
      <c r="N341" s="618"/>
      <c r="O341" s="618"/>
      <c r="P341" s="618"/>
      <c r="Q341" s="618"/>
      <c r="R341" s="618"/>
      <c r="S341" s="618"/>
      <c r="T341" s="618"/>
      <c r="U341" s="618"/>
      <c r="V341" s="618"/>
      <c r="W341" s="618"/>
      <c r="X341" s="618"/>
      <c r="Y341" s="618"/>
      <c r="Z341" s="618"/>
      <c r="AA341" s="66"/>
      <c r="AB341" s="66"/>
      <c r="AC341" s="80"/>
    </row>
    <row r="342" spans="1:68" ht="37.5" customHeight="1" x14ac:dyDescent="0.25">
      <c r="A342" s="63" t="s">
        <v>547</v>
      </c>
      <c r="B342" s="63" t="s">
        <v>548</v>
      </c>
      <c r="C342" s="36">
        <v>4301011869</v>
      </c>
      <c r="D342" s="619">
        <v>4680115884847</v>
      </c>
      <c r="E342" s="619"/>
      <c r="F342" s="62">
        <v>2.5</v>
      </c>
      <c r="G342" s="37">
        <v>6</v>
      </c>
      <c r="H342" s="62">
        <v>15</v>
      </c>
      <c r="I342" s="62">
        <v>15.47</v>
      </c>
      <c r="J342" s="37">
        <v>48</v>
      </c>
      <c r="K342" s="37" t="s">
        <v>115</v>
      </c>
      <c r="L342" s="37" t="s">
        <v>45</v>
      </c>
      <c r="M342" s="38" t="s">
        <v>82</v>
      </c>
      <c r="N342" s="38"/>
      <c r="O342" s="37">
        <v>60</v>
      </c>
      <c r="P342" s="7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621"/>
      <c r="R342" s="621"/>
      <c r="S342" s="621"/>
      <c r="T342" s="622"/>
      <c r="U342" s="39" t="s">
        <v>45</v>
      </c>
      <c r="V342" s="39" t="s">
        <v>45</v>
      </c>
      <c r="W342" s="40" t="s">
        <v>0</v>
      </c>
      <c r="X342" s="58">
        <v>0</v>
      </c>
      <c r="Y342" s="55">
        <f t="shared" ref="Y342:Y348" si="31">IFERROR(IF(X342="",0,CEILING((X342/$H342),1)*$H342),"")</f>
        <v>0</v>
      </c>
      <c r="Z342" s="41" t="str">
        <f>IFERROR(IF(Y342=0,"",ROUNDUP(Y342/H342,0)*0.02175),"")</f>
        <v/>
      </c>
      <c r="AA342" s="68" t="s">
        <v>45</v>
      </c>
      <c r="AB342" s="69" t="s">
        <v>45</v>
      </c>
      <c r="AC342" s="406" t="s">
        <v>549</v>
      </c>
      <c r="AG342" s="78"/>
      <c r="AJ342" s="84" t="s">
        <v>117</v>
      </c>
      <c r="AK342" s="84">
        <v>15</v>
      </c>
      <c r="BB342" s="407" t="s">
        <v>66</v>
      </c>
      <c r="BM342" s="78">
        <f t="shared" ref="BM342:BM348" si="32">IFERROR(X342*I342/H342,"0")</f>
        <v>0</v>
      </c>
      <c r="BN342" s="78">
        <f t="shared" ref="BN342:BN348" si="33">IFERROR(Y342*I342/H342,"0")</f>
        <v>0</v>
      </c>
      <c r="BO342" s="78">
        <f t="shared" ref="BO342:BO348" si="34">IFERROR(1/J342*(X342/H342),"0")</f>
        <v>0</v>
      </c>
      <c r="BP342" s="78">
        <f t="shared" ref="BP342:BP348" si="35">IFERROR(1/J342*(Y342/H342),"0")</f>
        <v>0</v>
      </c>
    </row>
    <row r="343" spans="1:68" ht="27" customHeight="1" x14ac:dyDescent="0.25">
      <c r="A343" s="63" t="s">
        <v>550</v>
      </c>
      <c r="B343" s="63" t="s">
        <v>551</v>
      </c>
      <c r="C343" s="36">
        <v>4301011870</v>
      </c>
      <c r="D343" s="619">
        <v>4680115884854</v>
      </c>
      <c r="E343" s="619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115</v>
      </c>
      <c r="L343" s="37" t="s">
        <v>45</v>
      </c>
      <c r="M343" s="38" t="s">
        <v>82</v>
      </c>
      <c r="N343" s="38"/>
      <c r="O343" s="37">
        <v>60</v>
      </c>
      <c r="P343" s="7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621"/>
      <c r="R343" s="621"/>
      <c r="S343" s="621"/>
      <c r="T343" s="622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si="31"/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552</v>
      </c>
      <c r="AG343" s="78"/>
      <c r="AJ343" s="84" t="s">
        <v>117</v>
      </c>
      <c r="AK343" s="84">
        <v>15</v>
      </c>
      <c r="BB343" s="409" t="s">
        <v>66</v>
      </c>
      <c r="BM343" s="78">
        <f t="shared" si="32"/>
        <v>0</v>
      </c>
      <c r="BN343" s="78">
        <f t="shared" si="33"/>
        <v>0</v>
      </c>
      <c r="BO343" s="78">
        <f t="shared" si="34"/>
        <v>0</v>
      </c>
      <c r="BP343" s="78">
        <f t="shared" si="35"/>
        <v>0</v>
      </c>
    </row>
    <row r="344" spans="1:68" ht="37.5" customHeight="1" x14ac:dyDescent="0.25">
      <c r="A344" s="63" t="s">
        <v>553</v>
      </c>
      <c r="B344" s="63" t="s">
        <v>554</v>
      </c>
      <c r="C344" s="36">
        <v>4301011867</v>
      </c>
      <c r="D344" s="619">
        <v>4680115884830</v>
      </c>
      <c r="E344" s="619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115</v>
      </c>
      <c r="L344" s="37" t="s">
        <v>45</v>
      </c>
      <c r="M344" s="38" t="s">
        <v>82</v>
      </c>
      <c r="N344" s="38"/>
      <c r="O344" s="37">
        <v>60</v>
      </c>
      <c r="P344" s="7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621"/>
      <c r="R344" s="621"/>
      <c r="S344" s="621"/>
      <c r="T344" s="622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555</v>
      </c>
      <c r="AG344" s="78"/>
      <c r="AJ344" s="84" t="s">
        <v>117</v>
      </c>
      <c r="AK344" s="84">
        <v>15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27" customHeight="1" x14ac:dyDescent="0.25">
      <c r="A345" s="63" t="s">
        <v>556</v>
      </c>
      <c r="B345" s="63" t="s">
        <v>557</v>
      </c>
      <c r="C345" s="36">
        <v>4301012215</v>
      </c>
      <c r="D345" s="619">
        <v>4680115887046</v>
      </c>
      <c r="E345" s="619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115</v>
      </c>
      <c r="L345" s="37" t="s">
        <v>45</v>
      </c>
      <c r="M345" s="38" t="s">
        <v>96</v>
      </c>
      <c r="N345" s="38"/>
      <c r="O345" s="37">
        <v>60</v>
      </c>
      <c r="P345" s="790" t="s">
        <v>558</v>
      </c>
      <c r="Q345" s="621"/>
      <c r="R345" s="621"/>
      <c r="S345" s="621"/>
      <c r="T345" s="622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559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560</v>
      </c>
      <c r="B346" s="63" t="s">
        <v>561</v>
      </c>
      <c r="C346" s="36">
        <v>4301011433</v>
      </c>
      <c r="D346" s="619">
        <v>4680115882638</v>
      </c>
      <c r="E346" s="619"/>
      <c r="F346" s="62">
        <v>0.4</v>
      </c>
      <c r="G346" s="37">
        <v>10</v>
      </c>
      <c r="H346" s="62">
        <v>4</v>
      </c>
      <c r="I346" s="62">
        <v>4.1900000000000004</v>
      </c>
      <c r="J346" s="37">
        <v>132</v>
      </c>
      <c r="K346" s="37" t="s">
        <v>120</v>
      </c>
      <c r="L346" s="37" t="s">
        <v>45</v>
      </c>
      <c r="M346" s="38" t="s">
        <v>114</v>
      </c>
      <c r="N346" s="38"/>
      <c r="O346" s="37">
        <v>90</v>
      </c>
      <c r="P346" s="7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621"/>
      <c r="R346" s="621"/>
      <c r="S346" s="621"/>
      <c r="T346" s="622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IFERROR(IF(Y346=0,"",ROUNDUP(Y346/H346,0)*0.00902),"")</f>
        <v/>
      </c>
      <c r="AA346" s="68" t="s">
        <v>45</v>
      </c>
      <c r="AB346" s="69" t="s">
        <v>45</v>
      </c>
      <c r="AC346" s="414" t="s">
        <v>562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563</v>
      </c>
      <c r="B347" s="63" t="s">
        <v>564</v>
      </c>
      <c r="C347" s="36">
        <v>4301011952</v>
      </c>
      <c r="D347" s="619">
        <v>4680115884922</v>
      </c>
      <c r="E347" s="619"/>
      <c r="F347" s="62">
        <v>0.5</v>
      </c>
      <c r="G347" s="37">
        <v>10</v>
      </c>
      <c r="H347" s="62">
        <v>5</v>
      </c>
      <c r="I347" s="62">
        <v>5.19</v>
      </c>
      <c r="J347" s="37">
        <v>132</v>
      </c>
      <c r="K347" s="37" t="s">
        <v>120</v>
      </c>
      <c r="L347" s="37" t="s">
        <v>45</v>
      </c>
      <c r="M347" s="38" t="s">
        <v>82</v>
      </c>
      <c r="N347" s="38"/>
      <c r="O347" s="37">
        <v>60</v>
      </c>
      <c r="P347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621"/>
      <c r="R347" s="621"/>
      <c r="S347" s="621"/>
      <c r="T347" s="622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552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37.5" customHeight="1" x14ac:dyDescent="0.25">
      <c r="A348" s="63" t="s">
        <v>565</v>
      </c>
      <c r="B348" s="63" t="s">
        <v>566</v>
      </c>
      <c r="C348" s="36">
        <v>4301011868</v>
      </c>
      <c r="D348" s="619">
        <v>4680115884861</v>
      </c>
      <c r="E348" s="619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120</v>
      </c>
      <c r="L348" s="37" t="s">
        <v>45</v>
      </c>
      <c r="M348" s="38" t="s">
        <v>82</v>
      </c>
      <c r="N348" s="38"/>
      <c r="O348" s="37">
        <v>60</v>
      </c>
      <c r="P348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621"/>
      <c r="R348" s="621"/>
      <c r="S348" s="621"/>
      <c r="T348" s="622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555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x14ac:dyDescent="0.2">
      <c r="A349" s="626"/>
      <c r="B349" s="626"/>
      <c r="C349" s="626"/>
      <c r="D349" s="626"/>
      <c r="E349" s="626"/>
      <c r="F349" s="626"/>
      <c r="G349" s="626"/>
      <c r="H349" s="626"/>
      <c r="I349" s="626"/>
      <c r="J349" s="626"/>
      <c r="K349" s="626"/>
      <c r="L349" s="626"/>
      <c r="M349" s="626"/>
      <c r="N349" s="626"/>
      <c r="O349" s="627"/>
      <c r="P349" s="623" t="s">
        <v>40</v>
      </c>
      <c r="Q349" s="624"/>
      <c r="R349" s="624"/>
      <c r="S349" s="624"/>
      <c r="T349" s="624"/>
      <c r="U349" s="624"/>
      <c r="V349" s="625"/>
      <c r="W349" s="42" t="s">
        <v>39</v>
      </c>
      <c r="X349" s="43">
        <f>IFERROR(X342/H342,"0")+IFERROR(X343/H343,"0")+IFERROR(X344/H344,"0")+IFERROR(X345/H345,"0")+IFERROR(X346/H346,"0")+IFERROR(X347/H347,"0")+IFERROR(X348/H348,"0")</f>
        <v>0</v>
      </c>
      <c r="Y349" s="43">
        <f>IFERROR(Y342/H342,"0")+IFERROR(Y343/H343,"0")+IFERROR(Y344/H344,"0")+IFERROR(Y345/H345,"0")+IFERROR(Y346/H346,"0")+IFERROR(Y347/H347,"0")+IFERROR(Y348/H348,"0")</f>
        <v>0</v>
      </c>
      <c r="Z349" s="43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26"/>
      <c r="B350" s="626"/>
      <c r="C350" s="626"/>
      <c r="D350" s="626"/>
      <c r="E350" s="626"/>
      <c r="F350" s="626"/>
      <c r="G350" s="626"/>
      <c r="H350" s="626"/>
      <c r="I350" s="626"/>
      <c r="J350" s="626"/>
      <c r="K350" s="626"/>
      <c r="L350" s="626"/>
      <c r="M350" s="626"/>
      <c r="N350" s="626"/>
      <c r="O350" s="627"/>
      <c r="P350" s="623" t="s">
        <v>40</v>
      </c>
      <c r="Q350" s="624"/>
      <c r="R350" s="624"/>
      <c r="S350" s="624"/>
      <c r="T350" s="624"/>
      <c r="U350" s="624"/>
      <c r="V350" s="625"/>
      <c r="W350" s="42" t="s">
        <v>0</v>
      </c>
      <c r="X350" s="43">
        <f>IFERROR(SUM(X342:X348),"0")</f>
        <v>0</v>
      </c>
      <c r="Y350" s="43">
        <f>IFERROR(SUM(Y342:Y348),"0")</f>
        <v>0</v>
      </c>
      <c r="Z350" s="42"/>
      <c r="AA350" s="67"/>
      <c r="AB350" s="67"/>
      <c r="AC350" s="67"/>
    </row>
    <row r="351" spans="1:68" ht="14.25" customHeight="1" x14ac:dyDescent="0.25">
      <c r="A351" s="618" t="s">
        <v>146</v>
      </c>
      <c r="B351" s="618"/>
      <c r="C351" s="618"/>
      <c r="D351" s="618"/>
      <c r="E351" s="618"/>
      <c r="F351" s="618"/>
      <c r="G351" s="618"/>
      <c r="H351" s="618"/>
      <c r="I351" s="618"/>
      <c r="J351" s="618"/>
      <c r="K351" s="618"/>
      <c r="L351" s="618"/>
      <c r="M351" s="618"/>
      <c r="N351" s="618"/>
      <c r="O351" s="618"/>
      <c r="P351" s="618"/>
      <c r="Q351" s="618"/>
      <c r="R351" s="618"/>
      <c r="S351" s="618"/>
      <c r="T351" s="618"/>
      <c r="U351" s="618"/>
      <c r="V351" s="618"/>
      <c r="W351" s="618"/>
      <c r="X351" s="618"/>
      <c r="Y351" s="618"/>
      <c r="Z351" s="618"/>
      <c r="AA351" s="66"/>
      <c r="AB351" s="66"/>
      <c r="AC351" s="80"/>
    </row>
    <row r="352" spans="1:68" ht="27" customHeight="1" x14ac:dyDescent="0.25">
      <c r="A352" s="63" t="s">
        <v>567</v>
      </c>
      <c r="B352" s="63" t="s">
        <v>568</v>
      </c>
      <c r="C352" s="36">
        <v>4301020178</v>
      </c>
      <c r="D352" s="619">
        <v>4607091383980</v>
      </c>
      <c r="E352" s="619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45</v>
      </c>
      <c r="M352" s="38" t="s">
        <v>114</v>
      </c>
      <c r="N352" s="38"/>
      <c r="O352" s="37">
        <v>50</v>
      </c>
      <c r="P352" s="7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621"/>
      <c r="R352" s="621"/>
      <c r="S352" s="621"/>
      <c r="T352" s="622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0" t="s">
        <v>569</v>
      </c>
      <c r="AG352" s="78"/>
      <c r="AJ352" s="84" t="s">
        <v>117</v>
      </c>
      <c r="AK352" s="84">
        <v>15</v>
      </c>
      <c r="BB352" s="42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16.5" customHeight="1" x14ac:dyDescent="0.25">
      <c r="A353" s="63" t="s">
        <v>570</v>
      </c>
      <c r="B353" s="63" t="s">
        <v>571</v>
      </c>
      <c r="C353" s="36">
        <v>4301020179</v>
      </c>
      <c r="D353" s="619">
        <v>4607091384178</v>
      </c>
      <c r="E353" s="619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120</v>
      </c>
      <c r="L353" s="37" t="s">
        <v>45</v>
      </c>
      <c r="M353" s="38" t="s">
        <v>114</v>
      </c>
      <c r="N353" s="38"/>
      <c r="O353" s="37">
        <v>50</v>
      </c>
      <c r="P353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621"/>
      <c r="R353" s="621"/>
      <c r="S353" s="621"/>
      <c r="T353" s="622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2" t="s">
        <v>569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26"/>
      <c r="B354" s="626"/>
      <c r="C354" s="626"/>
      <c r="D354" s="626"/>
      <c r="E354" s="626"/>
      <c r="F354" s="626"/>
      <c r="G354" s="626"/>
      <c r="H354" s="626"/>
      <c r="I354" s="626"/>
      <c r="J354" s="626"/>
      <c r="K354" s="626"/>
      <c r="L354" s="626"/>
      <c r="M354" s="626"/>
      <c r="N354" s="626"/>
      <c r="O354" s="627"/>
      <c r="P354" s="623" t="s">
        <v>40</v>
      </c>
      <c r="Q354" s="624"/>
      <c r="R354" s="624"/>
      <c r="S354" s="624"/>
      <c r="T354" s="624"/>
      <c r="U354" s="624"/>
      <c r="V354" s="625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626"/>
      <c r="B355" s="626"/>
      <c r="C355" s="626"/>
      <c r="D355" s="626"/>
      <c r="E355" s="626"/>
      <c r="F355" s="626"/>
      <c r="G355" s="626"/>
      <c r="H355" s="626"/>
      <c r="I355" s="626"/>
      <c r="J355" s="626"/>
      <c r="K355" s="626"/>
      <c r="L355" s="626"/>
      <c r="M355" s="626"/>
      <c r="N355" s="626"/>
      <c r="O355" s="627"/>
      <c r="P355" s="623" t="s">
        <v>40</v>
      </c>
      <c r="Q355" s="624"/>
      <c r="R355" s="624"/>
      <c r="S355" s="624"/>
      <c r="T355" s="624"/>
      <c r="U355" s="624"/>
      <c r="V355" s="625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4.25" customHeight="1" x14ac:dyDescent="0.25">
      <c r="A356" s="618" t="s">
        <v>84</v>
      </c>
      <c r="B356" s="618"/>
      <c r="C356" s="618"/>
      <c r="D356" s="618"/>
      <c r="E356" s="618"/>
      <c r="F356" s="618"/>
      <c r="G356" s="618"/>
      <c r="H356" s="618"/>
      <c r="I356" s="618"/>
      <c r="J356" s="618"/>
      <c r="K356" s="618"/>
      <c r="L356" s="618"/>
      <c r="M356" s="618"/>
      <c r="N356" s="618"/>
      <c r="O356" s="618"/>
      <c r="P356" s="618"/>
      <c r="Q356" s="618"/>
      <c r="R356" s="618"/>
      <c r="S356" s="618"/>
      <c r="T356" s="618"/>
      <c r="U356" s="618"/>
      <c r="V356" s="618"/>
      <c r="W356" s="618"/>
      <c r="X356" s="618"/>
      <c r="Y356" s="618"/>
      <c r="Z356" s="618"/>
      <c r="AA356" s="66"/>
      <c r="AB356" s="66"/>
      <c r="AC356" s="80"/>
    </row>
    <row r="357" spans="1:68" ht="27" customHeight="1" x14ac:dyDescent="0.25">
      <c r="A357" s="63" t="s">
        <v>572</v>
      </c>
      <c r="B357" s="63" t="s">
        <v>573</v>
      </c>
      <c r="C357" s="36">
        <v>4301051903</v>
      </c>
      <c r="D357" s="619">
        <v>4607091383928</v>
      </c>
      <c r="E357" s="619"/>
      <c r="F357" s="62">
        <v>1.5</v>
      </c>
      <c r="G357" s="37">
        <v>6</v>
      </c>
      <c r="H357" s="62">
        <v>9</v>
      </c>
      <c r="I357" s="62">
        <v>9.5</v>
      </c>
      <c r="J357" s="37">
        <v>64</v>
      </c>
      <c r="K357" s="37" t="s">
        <v>115</v>
      </c>
      <c r="L357" s="37" t="s">
        <v>45</v>
      </c>
      <c r="M357" s="38" t="s">
        <v>88</v>
      </c>
      <c r="N357" s="38"/>
      <c r="O357" s="37">
        <v>40</v>
      </c>
      <c r="P357" s="7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621"/>
      <c r="R357" s="621"/>
      <c r="S357" s="621"/>
      <c r="T357" s="622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45</v>
      </c>
      <c r="AB357" s="69" t="s">
        <v>45</v>
      </c>
      <c r="AC357" s="424" t="s">
        <v>574</v>
      </c>
      <c r="AG357" s="78"/>
      <c r="AJ357" s="84" t="s">
        <v>45</v>
      </c>
      <c r="AK357" s="84">
        <v>0</v>
      </c>
      <c r="BB357" s="425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575</v>
      </c>
      <c r="B358" s="63" t="s">
        <v>576</v>
      </c>
      <c r="C358" s="36">
        <v>4301051897</v>
      </c>
      <c r="D358" s="619">
        <v>4607091384260</v>
      </c>
      <c r="E358" s="619"/>
      <c r="F358" s="62">
        <v>1.5</v>
      </c>
      <c r="G358" s="37">
        <v>6</v>
      </c>
      <c r="H358" s="62">
        <v>9</v>
      </c>
      <c r="I358" s="62">
        <v>9.4939999999999998</v>
      </c>
      <c r="J358" s="37">
        <v>64</v>
      </c>
      <c r="K358" s="37" t="s">
        <v>115</v>
      </c>
      <c r="L358" s="37" t="s">
        <v>116</v>
      </c>
      <c r="M358" s="38" t="s">
        <v>88</v>
      </c>
      <c r="N358" s="38"/>
      <c r="O358" s="37">
        <v>40</v>
      </c>
      <c r="P358" s="7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621"/>
      <c r="R358" s="621"/>
      <c r="S358" s="621"/>
      <c r="T358" s="622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577</v>
      </c>
      <c r="AG358" s="78"/>
      <c r="AJ358" s="84" t="s">
        <v>117</v>
      </c>
      <c r="AK358" s="84">
        <v>72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26"/>
      <c r="B359" s="626"/>
      <c r="C359" s="626"/>
      <c r="D359" s="626"/>
      <c r="E359" s="626"/>
      <c r="F359" s="626"/>
      <c r="G359" s="626"/>
      <c r="H359" s="626"/>
      <c r="I359" s="626"/>
      <c r="J359" s="626"/>
      <c r="K359" s="626"/>
      <c r="L359" s="626"/>
      <c r="M359" s="626"/>
      <c r="N359" s="626"/>
      <c r="O359" s="627"/>
      <c r="P359" s="623" t="s">
        <v>40</v>
      </c>
      <c r="Q359" s="624"/>
      <c r="R359" s="624"/>
      <c r="S359" s="624"/>
      <c r="T359" s="624"/>
      <c r="U359" s="624"/>
      <c r="V359" s="625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26"/>
      <c r="B360" s="626"/>
      <c r="C360" s="626"/>
      <c r="D360" s="626"/>
      <c r="E360" s="626"/>
      <c r="F360" s="626"/>
      <c r="G360" s="626"/>
      <c r="H360" s="626"/>
      <c r="I360" s="626"/>
      <c r="J360" s="626"/>
      <c r="K360" s="626"/>
      <c r="L360" s="626"/>
      <c r="M360" s="626"/>
      <c r="N360" s="626"/>
      <c r="O360" s="627"/>
      <c r="P360" s="623" t="s">
        <v>40</v>
      </c>
      <c r="Q360" s="624"/>
      <c r="R360" s="624"/>
      <c r="S360" s="624"/>
      <c r="T360" s="624"/>
      <c r="U360" s="624"/>
      <c r="V360" s="625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18" t="s">
        <v>174</v>
      </c>
      <c r="B361" s="618"/>
      <c r="C361" s="618"/>
      <c r="D361" s="618"/>
      <c r="E361" s="618"/>
      <c r="F361" s="618"/>
      <c r="G361" s="618"/>
      <c r="H361" s="618"/>
      <c r="I361" s="618"/>
      <c r="J361" s="618"/>
      <c r="K361" s="618"/>
      <c r="L361" s="618"/>
      <c r="M361" s="618"/>
      <c r="N361" s="618"/>
      <c r="O361" s="618"/>
      <c r="P361" s="618"/>
      <c r="Q361" s="618"/>
      <c r="R361" s="618"/>
      <c r="S361" s="618"/>
      <c r="T361" s="618"/>
      <c r="U361" s="618"/>
      <c r="V361" s="618"/>
      <c r="W361" s="618"/>
      <c r="X361" s="618"/>
      <c r="Y361" s="618"/>
      <c r="Z361" s="618"/>
      <c r="AA361" s="66"/>
      <c r="AB361" s="66"/>
      <c r="AC361" s="80"/>
    </row>
    <row r="362" spans="1:68" ht="16.5" customHeight="1" x14ac:dyDescent="0.25">
      <c r="A362" s="63" t="s">
        <v>578</v>
      </c>
      <c r="B362" s="63" t="s">
        <v>579</v>
      </c>
      <c r="C362" s="36">
        <v>4301060524</v>
      </c>
      <c r="D362" s="619">
        <v>4607091384673</v>
      </c>
      <c r="E362" s="619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115</v>
      </c>
      <c r="L362" s="37" t="s">
        <v>45</v>
      </c>
      <c r="M362" s="38" t="s">
        <v>88</v>
      </c>
      <c r="N362" s="38"/>
      <c r="O362" s="37">
        <v>40</v>
      </c>
      <c r="P362" s="79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621"/>
      <c r="R362" s="621"/>
      <c r="S362" s="621"/>
      <c r="T362" s="622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28" t="s">
        <v>580</v>
      </c>
      <c r="AG362" s="78"/>
      <c r="AJ362" s="84" t="s">
        <v>45</v>
      </c>
      <c r="AK362" s="84">
        <v>0</v>
      </c>
      <c r="BB362" s="429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26"/>
      <c r="B363" s="626"/>
      <c r="C363" s="626"/>
      <c r="D363" s="626"/>
      <c r="E363" s="626"/>
      <c r="F363" s="626"/>
      <c r="G363" s="626"/>
      <c r="H363" s="626"/>
      <c r="I363" s="626"/>
      <c r="J363" s="626"/>
      <c r="K363" s="626"/>
      <c r="L363" s="626"/>
      <c r="M363" s="626"/>
      <c r="N363" s="626"/>
      <c r="O363" s="627"/>
      <c r="P363" s="623" t="s">
        <v>40</v>
      </c>
      <c r="Q363" s="624"/>
      <c r="R363" s="624"/>
      <c r="S363" s="624"/>
      <c r="T363" s="624"/>
      <c r="U363" s="624"/>
      <c r="V363" s="625"/>
      <c r="W363" s="42" t="s">
        <v>39</v>
      </c>
      <c r="X363" s="43">
        <f>IFERROR(X362/H362,"0")</f>
        <v>0</v>
      </c>
      <c r="Y363" s="43">
        <f>IFERROR(Y362/H362,"0")</f>
        <v>0</v>
      </c>
      <c r="Z363" s="43">
        <f>IFERROR(IF(Z362="",0,Z362),"0")</f>
        <v>0</v>
      </c>
      <c r="AA363" s="67"/>
      <c r="AB363" s="67"/>
      <c r="AC363" s="67"/>
    </row>
    <row r="364" spans="1:68" x14ac:dyDescent="0.2">
      <c r="A364" s="626"/>
      <c r="B364" s="626"/>
      <c r="C364" s="626"/>
      <c r="D364" s="626"/>
      <c r="E364" s="626"/>
      <c r="F364" s="626"/>
      <c r="G364" s="626"/>
      <c r="H364" s="626"/>
      <c r="I364" s="626"/>
      <c r="J364" s="626"/>
      <c r="K364" s="626"/>
      <c r="L364" s="626"/>
      <c r="M364" s="626"/>
      <c r="N364" s="626"/>
      <c r="O364" s="627"/>
      <c r="P364" s="623" t="s">
        <v>40</v>
      </c>
      <c r="Q364" s="624"/>
      <c r="R364" s="624"/>
      <c r="S364" s="624"/>
      <c r="T364" s="624"/>
      <c r="U364" s="624"/>
      <c r="V364" s="625"/>
      <c r="W364" s="42" t="s">
        <v>0</v>
      </c>
      <c r="X364" s="43">
        <f>IFERROR(SUM(X362:X362),"0")</f>
        <v>0</v>
      </c>
      <c r="Y364" s="43">
        <f>IFERROR(SUM(Y362:Y362),"0")</f>
        <v>0</v>
      </c>
      <c r="Z364" s="42"/>
      <c r="AA364" s="67"/>
      <c r="AB364" s="67"/>
      <c r="AC364" s="67"/>
    </row>
    <row r="365" spans="1:68" ht="16.5" customHeight="1" x14ac:dyDescent="0.25">
      <c r="A365" s="617" t="s">
        <v>581</v>
      </c>
      <c r="B365" s="617"/>
      <c r="C365" s="617"/>
      <c r="D365" s="617"/>
      <c r="E365" s="617"/>
      <c r="F365" s="617"/>
      <c r="G365" s="617"/>
      <c r="H365" s="617"/>
      <c r="I365" s="617"/>
      <c r="J365" s="617"/>
      <c r="K365" s="617"/>
      <c r="L365" s="617"/>
      <c r="M365" s="617"/>
      <c r="N365" s="617"/>
      <c r="O365" s="617"/>
      <c r="P365" s="617"/>
      <c r="Q365" s="617"/>
      <c r="R365" s="617"/>
      <c r="S365" s="617"/>
      <c r="T365" s="617"/>
      <c r="U365" s="617"/>
      <c r="V365" s="617"/>
      <c r="W365" s="617"/>
      <c r="X365" s="617"/>
      <c r="Y365" s="617"/>
      <c r="Z365" s="617"/>
      <c r="AA365" s="65"/>
      <c r="AB365" s="65"/>
      <c r="AC365" s="79"/>
    </row>
    <row r="366" spans="1:68" ht="14.25" customHeight="1" x14ac:dyDescent="0.25">
      <c r="A366" s="618" t="s">
        <v>110</v>
      </c>
      <c r="B366" s="618"/>
      <c r="C366" s="618"/>
      <c r="D366" s="618"/>
      <c r="E366" s="618"/>
      <c r="F366" s="618"/>
      <c r="G366" s="618"/>
      <c r="H366" s="618"/>
      <c r="I366" s="618"/>
      <c r="J366" s="618"/>
      <c r="K366" s="618"/>
      <c r="L366" s="618"/>
      <c r="M366" s="618"/>
      <c r="N366" s="618"/>
      <c r="O366" s="618"/>
      <c r="P366" s="618"/>
      <c r="Q366" s="618"/>
      <c r="R366" s="618"/>
      <c r="S366" s="618"/>
      <c r="T366" s="618"/>
      <c r="U366" s="618"/>
      <c r="V366" s="618"/>
      <c r="W366" s="618"/>
      <c r="X366" s="618"/>
      <c r="Y366" s="618"/>
      <c r="Z366" s="618"/>
      <c r="AA366" s="66"/>
      <c r="AB366" s="66"/>
      <c r="AC366" s="80"/>
    </row>
    <row r="367" spans="1:68" ht="37.5" customHeight="1" x14ac:dyDescent="0.25">
      <c r="A367" s="63" t="s">
        <v>582</v>
      </c>
      <c r="B367" s="63" t="s">
        <v>583</v>
      </c>
      <c r="C367" s="36">
        <v>4301011875</v>
      </c>
      <c r="D367" s="619">
        <v>4680115884885</v>
      </c>
      <c r="E367" s="619"/>
      <c r="F367" s="62">
        <v>0.8</v>
      </c>
      <c r="G367" s="37">
        <v>15</v>
      </c>
      <c r="H367" s="62">
        <v>12</v>
      </c>
      <c r="I367" s="62">
        <v>12.41</v>
      </c>
      <c r="J367" s="37">
        <v>64</v>
      </c>
      <c r="K367" s="37" t="s">
        <v>115</v>
      </c>
      <c r="L367" s="37" t="s">
        <v>116</v>
      </c>
      <c r="M367" s="38" t="s">
        <v>82</v>
      </c>
      <c r="N367" s="38"/>
      <c r="O367" s="37">
        <v>60</v>
      </c>
      <c r="P367" s="7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621"/>
      <c r="R367" s="621"/>
      <c r="S367" s="621"/>
      <c r="T367" s="622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0" t="s">
        <v>584</v>
      </c>
      <c r="AG367" s="78"/>
      <c r="AJ367" s="84" t="s">
        <v>117</v>
      </c>
      <c r="AK367" s="84">
        <v>96</v>
      </c>
      <c r="BB367" s="43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37.5" customHeight="1" x14ac:dyDescent="0.25">
      <c r="A368" s="63" t="s">
        <v>585</v>
      </c>
      <c r="B368" s="63" t="s">
        <v>586</v>
      </c>
      <c r="C368" s="36">
        <v>4301011871</v>
      </c>
      <c r="D368" s="619">
        <v>4680115884908</v>
      </c>
      <c r="E368" s="61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120</v>
      </c>
      <c r="L368" s="37" t="s">
        <v>45</v>
      </c>
      <c r="M368" s="38" t="s">
        <v>82</v>
      </c>
      <c r="N368" s="38"/>
      <c r="O368" s="37">
        <v>60</v>
      </c>
      <c r="P368" s="8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621"/>
      <c r="R368" s="621"/>
      <c r="S368" s="621"/>
      <c r="T368" s="622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IFERROR(IF(Y368=0,"",ROUNDUP(Y368/H368,0)*0.00902),"")</f>
        <v/>
      </c>
      <c r="AA368" s="68" t="s">
        <v>45</v>
      </c>
      <c r="AB368" s="69" t="s">
        <v>45</v>
      </c>
      <c r="AC368" s="432" t="s">
        <v>584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26"/>
      <c r="B369" s="626"/>
      <c r="C369" s="626"/>
      <c r="D369" s="626"/>
      <c r="E369" s="626"/>
      <c r="F369" s="626"/>
      <c r="G369" s="626"/>
      <c r="H369" s="626"/>
      <c r="I369" s="626"/>
      <c r="J369" s="626"/>
      <c r="K369" s="626"/>
      <c r="L369" s="626"/>
      <c r="M369" s="626"/>
      <c r="N369" s="626"/>
      <c r="O369" s="627"/>
      <c r="P369" s="623" t="s">
        <v>40</v>
      </c>
      <c r="Q369" s="624"/>
      <c r="R369" s="624"/>
      <c r="S369" s="624"/>
      <c r="T369" s="624"/>
      <c r="U369" s="624"/>
      <c r="V369" s="625"/>
      <c r="W369" s="42" t="s">
        <v>39</v>
      </c>
      <c r="X369" s="43">
        <f>IFERROR(X367/H367,"0")+IFERROR(X368/H368,"0")</f>
        <v>0</v>
      </c>
      <c r="Y369" s="43">
        <f>IFERROR(Y367/H367,"0")+IFERROR(Y368/H368,"0")</f>
        <v>0</v>
      </c>
      <c r="Z369" s="43">
        <f>IFERROR(IF(Z367="",0,Z367),"0")+IFERROR(IF(Z368="",0,Z368),"0")</f>
        <v>0</v>
      </c>
      <c r="AA369" s="67"/>
      <c r="AB369" s="67"/>
      <c r="AC369" s="67"/>
    </row>
    <row r="370" spans="1:68" x14ac:dyDescent="0.2">
      <c r="A370" s="626"/>
      <c r="B370" s="626"/>
      <c r="C370" s="626"/>
      <c r="D370" s="626"/>
      <c r="E370" s="626"/>
      <c r="F370" s="626"/>
      <c r="G370" s="626"/>
      <c r="H370" s="626"/>
      <c r="I370" s="626"/>
      <c r="J370" s="626"/>
      <c r="K370" s="626"/>
      <c r="L370" s="626"/>
      <c r="M370" s="626"/>
      <c r="N370" s="626"/>
      <c r="O370" s="627"/>
      <c r="P370" s="623" t="s">
        <v>40</v>
      </c>
      <c r="Q370" s="624"/>
      <c r="R370" s="624"/>
      <c r="S370" s="624"/>
      <c r="T370" s="624"/>
      <c r="U370" s="624"/>
      <c r="V370" s="625"/>
      <c r="W370" s="42" t="s">
        <v>0</v>
      </c>
      <c r="X370" s="43">
        <f>IFERROR(SUM(X367:X368),"0")</f>
        <v>0</v>
      </c>
      <c r="Y370" s="43">
        <f>IFERROR(SUM(Y367:Y368),"0")</f>
        <v>0</v>
      </c>
      <c r="Z370" s="42"/>
      <c r="AA370" s="67"/>
      <c r="AB370" s="67"/>
      <c r="AC370" s="67"/>
    </row>
    <row r="371" spans="1:68" ht="14.25" customHeight="1" x14ac:dyDescent="0.25">
      <c r="A371" s="618" t="s">
        <v>78</v>
      </c>
      <c r="B371" s="618"/>
      <c r="C371" s="618"/>
      <c r="D371" s="618"/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P371" s="618"/>
      <c r="Q371" s="618"/>
      <c r="R371" s="618"/>
      <c r="S371" s="618"/>
      <c r="T371" s="618"/>
      <c r="U371" s="618"/>
      <c r="V371" s="618"/>
      <c r="W371" s="618"/>
      <c r="X371" s="618"/>
      <c r="Y371" s="618"/>
      <c r="Z371" s="618"/>
      <c r="AA371" s="66"/>
      <c r="AB371" s="66"/>
      <c r="AC371" s="80"/>
    </row>
    <row r="372" spans="1:68" ht="27" customHeight="1" x14ac:dyDescent="0.25">
      <c r="A372" s="63" t="s">
        <v>587</v>
      </c>
      <c r="B372" s="63" t="s">
        <v>588</v>
      </c>
      <c r="C372" s="36">
        <v>4301031303</v>
      </c>
      <c r="D372" s="619">
        <v>4607091384802</v>
      </c>
      <c r="E372" s="619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120</v>
      </c>
      <c r="L372" s="37" t="s">
        <v>45</v>
      </c>
      <c r="M372" s="38" t="s">
        <v>82</v>
      </c>
      <c r="N372" s="38"/>
      <c r="O372" s="37">
        <v>35</v>
      </c>
      <c r="P372" s="80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621"/>
      <c r="R372" s="621"/>
      <c r="S372" s="621"/>
      <c r="T372" s="622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34" t="s">
        <v>589</v>
      </c>
      <c r="AG372" s="78"/>
      <c r="AJ372" s="84" t="s">
        <v>45</v>
      </c>
      <c r="AK372" s="84">
        <v>0</v>
      </c>
      <c r="BB372" s="43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587</v>
      </c>
      <c r="B373" s="63" t="s">
        <v>590</v>
      </c>
      <c r="C373" s="36">
        <v>4301031457</v>
      </c>
      <c r="D373" s="619">
        <v>4607091384802</v>
      </c>
      <c r="E373" s="61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120</v>
      </c>
      <c r="L373" s="37" t="s">
        <v>45</v>
      </c>
      <c r="M373" s="38" t="s">
        <v>82</v>
      </c>
      <c r="N373" s="38"/>
      <c r="O373" s="37">
        <v>50</v>
      </c>
      <c r="P373" s="8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621"/>
      <c r="R373" s="621"/>
      <c r="S373" s="621"/>
      <c r="T373" s="622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591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26"/>
      <c r="B374" s="626"/>
      <c r="C374" s="626"/>
      <c r="D374" s="626"/>
      <c r="E374" s="626"/>
      <c r="F374" s="626"/>
      <c r="G374" s="626"/>
      <c r="H374" s="626"/>
      <c r="I374" s="626"/>
      <c r="J374" s="626"/>
      <c r="K374" s="626"/>
      <c r="L374" s="626"/>
      <c r="M374" s="626"/>
      <c r="N374" s="626"/>
      <c r="O374" s="627"/>
      <c r="P374" s="623" t="s">
        <v>40</v>
      </c>
      <c r="Q374" s="624"/>
      <c r="R374" s="624"/>
      <c r="S374" s="624"/>
      <c r="T374" s="624"/>
      <c r="U374" s="624"/>
      <c r="V374" s="625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26"/>
      <c r="B375" s="626"/>
      <c r="C375" s="626"/>
      <c r="D375" s="626"/>
      <c r="E375" s="626"/>
      <c r="F375" s="626"/>
      <c r="G375" s="626"/>
      <c r="H375" s="626"/>
      <c r="I375" s="626"/>
      <c r="J375" s="626"/>
      <c r="K375" s="626"/>
      <c r="L375" s="626"/>
      <c r="M375" s="626"/>
      <c r="N375" s="626"/>
      <c r="O375" s="627"/>
      <c r="P375" s="623" t="s">
        <v>40</v>
      </c>
      <c r="Q375" s="624"/>
      <c r="R375" s="624"/>
      <c r="S375" s="624"/>
      <c r="T375" s="624"/>
      <c r="U375" s="624"/>
      <c r="V375" s="625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18" t="s">
        <v>84</v>
      </c>
      <c r="B376" s="618"/>
      <c r="C376" s="618"/>
      <c r="D376" s="618"/>
      <c r="E376" s="618"/>
      <c r="F376" s="618"/>
      <c r="G376" s="618"/>
      <c r="H376" s="618"/>
      <c r="I376" s="618"/>
      <c r="J376" s="618"/>
      <c r="K376" s="618"/>
      <c r="L376" s="618"/>
      <c r="M376" s="618"/>
      <c r="N376" s="618"/>
      <c r="O376" s="618"/>
      <c r="P376" s="618"/>
      <c r="Q376" s="618"/>
      <c r="R376" s="618"/>
      <c r="S376" s="618"/>
      <c r="T376" s="618"/>
      <c r="U376" s="618"/>
      <c r="V376" s="618"/>
      <c r="W376" s="618"/>
      <c r="X376" s="618"/>
      <c r="Y376" s="618"/>
      <c r="Z376" s="618"/>
      <c r="AA376" s="66"/>
      <c r="AB376" s="66"/>
      <c r="AC376" s="80"/>
    </row>
    <row r="377" spans="1:68" ht="27" customHeight="1" x14ac:dyDescent="0.25">
      <c r="A377" s="63" t="s">
        <v>592</v>
      </c>
      <c r="B377" s="63" t="s">
        <v>593</v>
      </c>
      <c r="C377" s="36">
        <v>4301051899</v>
      </c>
      <c r="D377" s="619">
        <v>4607091384246</v>
      </c>
      <c r="E377" s="619"/>
      <c r="F377" s="62">
        <v>1.5</v>
      </c>
      <c r="G377" s="37">
        <v>6</v>
      </c>
      <c r="H377" s="62">
        <v>9</v>
      </c>
      <c r="I377" s="62">
        <v>9.4939999999999998</v>
      </c>
      <c r="J377" s="37">
        <v>64</v>
      </c>
      <c r="K377" s="37" t="s">
        <v>115</v>
      </c>
      <c r="L377" s="37" t="s">
        <v>116</v>
      </c>
      <c r="M377" s="38" t="s">
        <v>88</v>
      </c>
      <c r="N377" s="38"/>
      <c r="O377" s="37">
        <v>40</v>
      </c>
      <c r="P377" s="8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621"/>
      <c r="R377" s="621"/>
      <c r="S377" s="621"/>
      <c r="T377" s="622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45</v>
      </c>
      <c r="AB377" s="69" t="s">
        <v>45</v>
      </c>
      <c r="AC377" s="438" t="s">
        <v>594</v>
      </c>
      <c r="AG377" s="78"/>
      <c r="AJ377" s="84" t="s">
        <v>117</v>
      </c>
      <c r="AK377" s="84">
        <v>72</v>
      </c>
      <c r="BB377" s="439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595</v>
      </c>
      <c r="B378" s="63" t="s">
        <v>596</v>
      </c>
      <c r="C378" s="36">
        <v>4301051660</v>
      </c>
      <c r="D378" s="619">
        <v>4607091384253</v>
      </c>
      <c r="E378" s="619"/>
      <c r="F378" s="62">
        <v>0.4</v>
      </c>
      <c r="G378" s="37">
        <v>6</v>
      </c>
      <c r="H378" s="62">
        <v>2.4</v>
      </c>
      <c r="I378" s="62">
        <v>2.6640000000000001</v>
      </c>
      <c r="J378" s="37">
        <v>182</v>
      </c>
      <c r="K378" s="37" t="s">
        <v>89</v>
      </c>
      <c r="L378" s="37" t="s">
        <v>45</v>
      </c>
      <c r="M378" s="38" t="s">
        <v>88</v>
      </c>
      <c r="N378" s="38"/>
      <c r="O378" s="37">
        <v>40</v>
      </c>
      <c r="P378" s="8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621"/>
      <c r="R378" s="621"/>
      <c r="S378" s="621"/>
      <c r="T378" s="622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IFERROR(IF(Y378=0,"",ROUNDUP(Y378/H378,0)*0.00651),"")</f>
        <v/>
      </c>
      <c r="AA378" s="68" t="s">
        <v>45</v>
      </c>
      <c r="AB378" s="69" t="s">
        <v>45</v>
      </c>
      <c r="AC378" s="440" t="s">
        <v>594</v>
      </c>
      <c r="AG378" s="78"/>
      <c r="AJ378" s="84" t="s">
        <v>45</v>
      </c>
      <c r="AK378" s="84">
        <v>0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x14ac:dyDescent="0.2">
      <c r="A379" s="626"/>
      <c r="B379" s="626"/>
      <c r="C379" s="626"/>
      <c r="D379" s="626"/>
      <c r="E379" s="626"/>
      <c r="F379" s="626"/>
      <c r="G379" s="626"/>
      <c r="H379" s="626"/>
      <c r="I379" s="626"/>
      <c r="J379" s="626"/>
      <c r="K379" s="626"/>
      <c r="L379" s="626"/>
      <c r="M379" s="626"/>
      <c r="N379" s="626"/>
      <c r="O379" s="627"/>
      <c r="P379" s="623" t="s">
        <v>40</v>
      </c>
      <c r="Q379" s="624"/>
      <c r="R379" s="624"/>
      <c r="S379" s="624"/>
      <c r="T379" s="624"/>
      <c r="U379" s="624"/>
      <c r="V379" s="625"/>
      <c r="W379" s="42" t="s">
        <v>39</v>
      </c>
      <c r="X379" s="43">
        <f>IFERROR(X377/H377,"0")+IFERROR(X378/H378,"0")</f>
        <v>0</v>
      </c>
      <c r="Y379" s="43">
        <f>IFERROR(Y377/H377,"0")+IFERROR(Y378/H378,"0")</f>
        <v>0</v>
      </c>
      <c r="Z379" s="43">
        <f>IFERROR(IF(Z377="",0,Z377),"0")+IFERROR(IF(Z378="",0,Z378),"0")</f>
        <v>0</v>
      </c>
      <c r="AA379" s="67"/>
      <c r="AB379" s="67"/>
      <c r="AC379" s="67"/>
    </row>
    <row r="380" spans="1:68" x14ac:dyDescent="0.2">
      <c r="A380" s="626"/>
      <c r="B380" s="626"/>
      <c r="C380" s="626"/>
      <c r="D380" s="626"/>
      <c r="E380" s="626"/>
      <c r="F380" s="626"/>
      <c r="G380" s="626"/>
      <c r="H380" s="626"/>
      <c r="I380" s="626"/>
      <c r="J380" s="626"/>
      <c r="K380" s="626"/>
      <c r="L380" s="626"/>
      <c r="M380" s="626"/>
      <c r="N380" s="626"/>
      <c r="O380" s="627"/>
      <c r="P380" s="623" t="s">
        <v>40</v>
      </c>
      <c r="Q380" s="624"/>
      <c r="R380" s="624"/>
      <c r="S380" s="624"/>
      <c r="T380" s="624"/>
      <c r="U380" s="624"/>
      <c r="V380" s="625"/>
      <c r="W380" s="42" t="s">
        <v>0</v>
      </c>
      <c r="X380" s="43">
        <f>IFERROR(SUM(X377:X378),"0")</f>
        <v>0</v>
      </c>
      <c r="Y380" s="43">
        <f>IFERROR(SUM(Y377:Y378),"0")</f>
        <v>0</v>
      </c>
      <c r="Z380" s="42"/>
      <c r="AA380" s="67"/>
      <c r="AB380" s="67"/>
      <c r="AC380" s="67"/>
    </row>
    <row r="381" spans="1:68" ht="27.75" customHeight="1" x14ac:dyDescent="0.2">
      <c r="A381" s="616" t="s">
        <v>597</v>
      </c>
      <c r="B381" s="616"/>
      <c r="C381" s="616"/>
      <c r="D381" s="616"/>
      <c r="E381" s="616"/>
      <c r="F381" s="616"/>
      <c r="G381" s="616"/>
      <c r="H381" s="616"/>
      <c r="I381" s="616"/>
      <c r="J381" s="616"/>
      <c r="K381" s="616"/>
      <c r="L381" s="616"/>
      <c r="M381" s="616"/>
      <c r="N381" s="616"/>
      <c r="O381" s="616"/>
      <c r="P381" s="616"/>
      <c r="Q381" s="616"/>
      <c r="R381" s="616"/>
      <c r="S381" s="616"/>
      <c r="T381" s="616"/>
      <c r="U381" s="616"/>
      <c r="V381" s="616"/>
      <c r="W381" s="616"/>
      <c r="X381" s="616"/>
      <c r="Y381" s="616"/>
      <c r="Z381" s="616"/>
      <c r="AA381" s="54"/>
      <c r="AB381" s="54"/>
      <c r="AC381" s="54"/>
    </row>
    <row r="382" spans="1:68" ht="16.5" customHeight="1" x14ac:dyDescent="0.25">
      <c r="A382" s="617" t="s">
        <v>598</v>
      </c>
      <c r="B382" s="617"/>
      <c r="C382" s="617"/>
      <c r="D382" s="617"/>
      <c r="E382" s="617"/>
      <c r="F382" s="617"/>
      <c r="G382" s="617"/>
      <c r="H382" s="617"/>
      <c r="I382" s="617"/>
      <c r="J382" s="617"/>
      <c r="K382" s="617"/>
      <c r="L382" s="617"/>
      <c r="M382" s="617"/>
      <c r="N382" s="617"/>
      <c r="O382" s="617"/>
      <c r="P382" s="617"/>
      <c r="Q382" s="617"/>
      <c r="R382" s="617"/>
      <c r="S382" s="617"/>
      <c r="T382" s="617"/>
      <c r="U382" s="617"/>
      <c r="V382" s="617"/>
      <c r="W382" s="617"/>
      <c r="X382" s="617"/>
      <c r="Y382" s="617"/>
      <c r="Z382" s="617"/>
      <c r="AA382" s="65"/>
      <c r="AB382" s="65"/>
      <c r="AC382" s="79"/>
    </row>
    <row r="383" spans="1:68" ht="14.25" customHeight="1" x14ac:dyDescent="0.25">
      <c r="A383" s="618" t="s">
        <v>78</v>
      </c>
      <c r="B383" s="618"/>
      <c r="C383" s="618"/>
      <c r="D383" s="618"/>
      <c r="E383" s="618"/>
      <c r="F383" s="618"/>
      <c r="G383" s="618"/>
      <c r="H383" s="618"/>
      <c r="I383" s="618"/>
      <c r="J383" s="618"/>
      <c r="K383" s="618"/>
      <c r="L383" s="618"/>
      <c r="M383" s="618"/>
      <c r="N383" s="618"/>
      <c r="O383" s="618"/>
      <c r="P383" s="618"/>
      <c r="Q383" s="618"/>
      <c r="R383" s="618"/>
      <c r="S383" s="618"/>
      <c r="T383" s="618"/>
      <c r="U383" s="618"/>
      <c r="V383" s="618"/>
      <c r="W383" s="618"/>
      <c r="X383" s="618"/>
      <c r="Y383" s="618"/>
      <c r="Z383" s="618"/>
      <c r="AA383" s="66"/>
      <c r="AB383" s="66"/>
      <c r="AC383" s="80"/>
    </row>
    <row r="384" spans="1:68" ht="27" customHeight="1" x14ac:dyDescent="0.25">
      <c r="A384" s="63" t="s">
        <v>599</v>
      </c>
      <c r="B384" s="63" t="s">
        <v>600</v>
      </c>
      <c r="C384" s="36">
        <v>4301031405</v>
      </c>
      <c r="D384" s="619">
        <v>4680115886100</v>
      </c>
      <c r="E384" s="619"/>
      <c r="F384" s="62">
        <v>0.9</v>
      </c>
      <c r="G384" s="37">
        <v>6</v>
      </c>
      <c r="H384" s="62">
        <v>5.4</v>
      </c>
      <c r="I384" s="62">
        <v>5.59</v>
      </c>
      <c r="J384" s="37">
        <v>132</v>
      </c>
      <c r="K384" s="37" t="s">
        <v>120</v>
      </c>
      <c r="L384" s="37" t="s">
        <v>45</v>
      </c>
      <c r="M384" s="38" t="s">
        <v>82</v>
      </c>
      <c r="N384" s="38"/>
      <c r="O384" s="37">
        <v>50</v>
      </c>
      <c r="P384" s="8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621"/>
      <c r="R384" s="621"/>
      <c r="S384" s="621"/>
      <c r="T384" s="622"/>
      <c r="U384" s="39" t="s">
        <v>45</v>
      </c>
      <c r="V384" s="39" t="s">
        <v>45</v>
      </c>
      <c r="W384" s="40" t="s">
        <v>0</v>
      </c>
      <c r="X384" s="58">
        <v>0</v>
      </c>
      <c r="Y384" s="55">
        <f t="shared" ref="Y384:Y392" si="36">IFERROR(IF(X384="",0,CEILING((X384/$H384),1)*$H384),"")</f>
        <v>0</v>
      </c>
      <c r="Z384" s="41" t="str">
        <f>IFERROR(IF(Y384=0,"",ROUNDUP(Y384/H384,0)*0.00902),"")</f>
        <v/>
      </c>
      <c r="AA384" s="68" t="s">
        <v>45</v>
      </c>
      <c r="AB384" s="69" t="s">
        <v>45</v>
      </c>
      <c r="AC384" s="442" t="s">
        <v>601</v>
      </c>
      <c r="AG384" s="78"/>
      <c r="AJ384" s="84" t="s">
        <v>45</v>
      </c>
      <c r="AK384" s="84">
        <v>0</v>
      </c>
      <c r="BB384" s="443" t="s">
        <v>66</v>
      </c>
      <c r="BM384" s="78">
        <f t="shared" ref="BM384:BM392" si="37">IFERROR(X384*I384/H384,"0")</f>
        <v>0</v>
      </c>
      <c r="BN384" s="78">
        <f t="shared" ref="BN384:BN392" si="38">IFERROR(Y384*I384/H384,"0")</f>
        <v>0</v>
      </c>
      <c r="BO384" s="78">
        <f t="shared" ref="BO384:BO392" si="39">IFERROR(1/J384*(X384/H384),"0")</f>
        <v>0</v>
      </c>
      <c r="BP384" s="78">
        <f t="shared" ref="BP384:BP392" si="40">IFERROR(1/J384*(Y384/H384),"0")</f>
        <v>0</v>
      </c>
    </row>
    <row r="385" spans="1:68" ht="27" customHeight="1" x14ac:dyDescent="0.25">
      <c r="A385" s="63" t="s">
        <v>602</v>
      </c>
      <c r="B385" s="63" t="s">
        <v>603</v>
      </c>
      <c r="C385" s="36">
        <v>4301031406</v>
      </c>
      <c r="D385" s="619">
        <v>4680115886117</v>
      </c>
      <c r="E385" s="619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120</v>
      </c>
      <c r="L385" s="37" t="s">
        <v>45</v>
      </c>
      <c r="M385" s="38" t="s">
        <v>82</v>
      </c>
      <c r="N385" s="38"/>
      <c r="O385" s="37">
        <v>50</v>
      </c>
      <c r="P385" s="80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621"/>
      <c r="R385" s="621"/>
      <c r="S385" s="621"/>
      <c r="T385" s="622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si="36"/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604</v>
      </c>
      <c r="AG385" s="78"/>
      <c r="AJ385" s="84" t="s">
        <v>45</v>
      </c>
      <c r="AK385" s="84">
        <v>0</v>
      </c>
      <c r="BB385" s="445" t="s">
        <v>66</v>
      </c>
      <c r="BM385" s="78">
        <f t="shared" si="37"/>
        <v>0</v>
      </c>
      <c r="BN385" s="78">
        <f t="shared" si="38"/>
        <v>0</v>
      </c>
      <c r="BO385" s="78">
        <f t="shared" si="39"/>
        <v>0</v>
      </c>
      <c r="BP385" s="78">
        <f t="shared" si="40"/>
        <v>0</v>
      </c>
    </row>
    <row r="386" spans="1:68" ht="27" customHeight="1" x14ac:dyDescent="0.25">
      <c r="A386" s="63" t="s">
        <v>605</v>
      </c>
      <c r="B386" s="63" t="s">
        <v>606</v>
      </c>
      <c r="C386" s="36">
        <v>4301031402</v>
      </c>
      <c r="D386" s="619">
        <v>4680115886124</v>
      </c>
      <c r="E386" s="619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120</v>
      </c>
      <c r="L386" s="37" t="s">
        <v>45</v>
      </c>
      <c r="M386" s="38" t="s">
        <v>82</v>
      </c>
      <c r="N386" s="38"/>
      <c r="O386" s="37">
        <v>50</v>
      </c>
      <c r="P386" s="8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621"/>
      <c r="R386" s="621"/>
      <c r="S386" s="621"/>
      <c r="T386" s="622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607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608</v>
      </c>
      <c r="B387" s="63" t="s">
        <v>609</v>
      </c>
      <c r="C387" s="36">
        <v>4301031366</v>
      </c>
      <c r="D387" s="619">
        <v>4680115883147</v>
      </c>
      <c r="E387" s="619"/>
      <c r="F387" s="62">
        <v>0.28000000000000003</v>
      </c>
      <c r="G387" s="37">
        <v>6</v>
      </c>
      <c r="H387" s="62">
        <v>1.68</v>
      </c>
      <c r="I387" s="62">
        <v>1.81</v>
      </c>
      <c r="J387" s="37">
        <v>234</v>
      </c>
      <c r="K387" s="37" t="s">
        <v>83</v>
      </c>
      <c r="L387" s="37" t="s">
        <v>45</v>
      </c>
      <c r="M387" s="38" t="s">
        <v>82</v>
      </c>
      <c r="N387" s="38"/>
      <c r="O387" s="37">
        <v>50</v>
      </c>
      <c r="P387" s="8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621"/>
      <c r="R387" s="621"/>
      <c r="S387" s="621"/>
      <c r="T387" s="622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 t="shared" ref="Z387:Z392" si="41">IFERROR(IF(Y387=0,"",ROUNDUP(Y387/H387,0)*0.00502),"")</f>
        <v/>
      </c>
      <c r="AA387" s="68" t="s">
        <v>45</v>
      </c>
      <c r="AB387" s="69" t="s">
        <v>45</v>
      </c>
      <c r="AC387" s="448" t="s">
        <v>601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610</v>
      </c>
      <c r="B388" s="63" t="s">
        <v>611</v>
      </c>
      <c r="C388" s="36">
        <v>4301031362</v>
      </c>
      <c r="D388" s="619">
        <v>4607091384338</v>
      </c>
      <c r="E388" s="619"/>
      <c r="F388" s="62">
        <v>0.35</v>
      </c>
      <c r="G388" s="37">
        <v>6</v>
      </c>
      <c r="H388" s="62">
        <v>2.1</v>
      </c>
      <c r="I388" s="62">
        <v>2.23</v>
      </c>
      <c r="J388" s="37">
        <v>234</v>
      </c>
      <c r="K388" s="37" t="s">
        <v>83</v>
      </c>
      <c r="L388" s="37" t="s">
        <v>283</v>
      </c>
      <c r="M388" s="38" t="s">
        <v>82</v>
      </c>
      <c r="N388" s="38"/>
      <c r="O388" s="37">
        <v>50</v>
      </c>
      <c r="P38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621"/>
      <c r="R388" s="621"/>
      <c r="S388" s="621"/>
      <c r="T388" s="622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si="41"/>
        <v/>
      </c>
      <c r="AA388" s="68" t="s">
        <v>45</v>
      </c>
      <c r="AB388" s="69" t="s">
        <v>45</v>
      </c>
      <c r="AC388" s="450" t="s">
        <v>601</v>
      </c>
      <c r="AG388" s="78"/>
      <c r="AJ388" s="84" t="s">
        <v>117</v>
      </c>
      <c r="AK388" s="84">
        <v>37.799999999999997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37.5" customHeight="1" x14ac:dyDescent="0.25">
      <c r="A389" s="63" t="s">
        <v>612</v>
      </c>
      <c r="B389" s="63" t="s">
        <v>613</v>
      </c>
      <c r="C389" s="36">
        <v>4301031361</v>
      </c>
      <c r="D389" s="619">
        <v>4607091389524</v>
      </c>
      <c r="E389" s="619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83</v>
      </c>
      <c r="L389" s="37" t="s">
        <v>283</v>
      </c>
      <c r="M389" s="38" t="s">
        <v>82</v>
      </c>
      <c r="N389" s="38"/>
      <c r="O389" s="37">
        <v>50</v>
      </c>
      <c r="P389" s="8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621"/>
      <c r="R389" s="621"/>
      <c r="S389" s="621"/>
      <c r="T389" s="622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614</v>
      </c>
      <c r="AG389" s="78"/>
      <c r="AJ389" s="84" t="s">
        <v>117</v>
      </c>
      <c r="AK389" s="84">
        <v>37.799999999999997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27" customHeight="1" x14ac:dyDescent="0.25">
      <c r="A390" s="63" t="s">
        <v>615</v>
      </c>
      <c r="B390" s="63" t="s">
        <v>616</v>
      </c>
      <c r="C390" s="36">
        <v>4301031364</v>
      </c>
      <c r="D390" s="619">
        <v>4680115883161</v>
      </c>
      <c r="E390" s="619"/>
      <c r="F390" s="62">
        <v>0.28000000000000003</v>
      </c>
      <c r="G390" s="37">
        <v>6</v>
      </c>
      <c r="H390" s="62">
        <v>1.68</v>
      </c>
      <c r="I390" s="62">
        <v>1.81</v>
      </c>
      <c r="J390" s="37">
        <v>234</v>
      </c>
      <c r="K390" s="37" t="s">
        <v>83</v>
      </c>
      <c r="L390" s="37" t="s">
        <v>45</v>
      </c>
      <c r="M390" s="38" t="s">
        <v>82</v>
      </c>
      <c r="N390" s="38"/>
      <c r="O390" s="37">
        <v>50</v>
      </c>
      <c r="P390" s="8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621"/>
      <c r="R390" s="621"/>
      <c r="S390" s="621"/>
      <c r="T390" s="622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617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618</v>
      </c>
      <c r="B391" s="63" t="s">
        <v>619</v>
      </c>
      <c r="C391" s="36">
        <v>4301031358</v>
      </c>
      <c r="D391" s="619">
        <v>4607091389531</v>
      </c>
      <c r="E391" s="619"/>
      <c r="F391" s="62">
        <v>0.35</v>
      </c>
      <c r="G391" s="37">
        <v>6</v>
      </c>
      <c r="H391" s="62">
        <v>2.1</v>
      </c>
      <c r="I391" s="62">
        <v>2.23</v>
      </c>
      <c r="J391" s="37">
        <v>234</v>
      </c>
      <c r="K391" s="37" t="s">
        <v>83</v>
      </c>
      <c r="L391" s="37" t="s">
        <v>283</v>
      </c>
      <c r="M391" s="38" t="s">
        <v>82</v>
      </c>
      <c r="N391" s="38"/>
      <c r="O391" s="37">
        <v>50</v>
      </c>
      <c r="P391" s="8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621"/>
      <c r="R391" s="621"/>
      <c r="S391" s="621"/>
      <c r="T391" s="622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620</v>
      </c>
      <c r="AG391" s="78"/>
      <c r="AJ391" s="84" t="s">
        <v>117</v>
      </c>
      <c r="AK391" s="84">
        <v>37.799999999999997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37.5" customHeight="1" x14ac:dyDescent="0.25">
      <c r="A392" s="63" t="s">
        <v>621</v>
      </c>
      <c r="B392" s="63" t="s">
        <v>622</v>
      </c>
      <c r="C392" s="36">
        <v>4301031360</v>
      </c>
      <c r="D392" s="619">
        <v>4607091384345</v>
      </c>
      <c r="E392" s="619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83</v>
      </c>
      <c r="L392" s="37" t="s">
        <v>45</v>
      </c>
      <c r="M392" s="38" t="s">
        <v>82</v>
      </c>
      <c r="N392" s="38"/>
      <c r="O392" s="37">
        <v>50</v>
      </c>
      <c r="P392" s="81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621"/>
      <c r="R392" s="621"/>
      <c r="S392" s="621"/>
      <c r="T392" s="622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617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x14ac:dyDescent="0.2">
      <c r="A393" s="626"/>
      <c r="B393" s="626"/>
      <c r="C393" s="626"/>
      <c r="D393" s="626"/>
      <c r="E393" s="626"/>
      <c r="F393" s="626"/>
      <c r="G393" s="626"/>
      <c r="H393" s="626"/>
      <c r="I393" s="626"/>
      <c r="J393" s="626"/>
      <c r="K393" s="626"/>
      <c r="L393" s="626"/>
      <c r="M393" s="626"/>
      <c r="N393" s="626"/>
      <c r="O393" s="627"/>
      <c r="P393" s="623" t="s">
        <v>40</v>
      </c>
      <c r="Q393" s="624"/>
      <c r="R393" s="624"/>
      <c r="S393" s="624"/>
      <c r="T393" s="624"/>
      <c r="U393" s="624"/>
      <c r="V393" s="625"/>
      <c r="W393" s="42" t="s">
        <v>39</v>
      </c>
      <c r="X393" s="43">
        <f>IFERROR(X384/H384,"0")+IFERROR(X385/H385,"0")+IFERROR(X386/H386,"0")+IFERROR(X387/H387,"0")+IFERROR(X388/H388,"0")+IFERROR(X389/H389,"0")+IFERROR(X390/H390,"0")+IFERROR(X391/H391,"0")+IFERROR(X392/H392,"0")</f>
        <v>0</v>
      </c>
      <c r="Y393" s="43">
        <f>IFERROR(Y384/H384,"0")+IFERROR(Y385/H385,"0")+IFERROR(Y386/H386,"0")+IFERROR(Y387/H387,"0")+IFERROR(Y388/H388,"0")+IFERROR(Y389/H389,"0")+IFERROR(Y390/H390,"0")+IFERROR(Y391/H391,"0")+IFERROR(Y392/H392,"0")</f>
        <v>0</v>
      </c>
      <c r="Z393" s="43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x14ac:dyDescent="0.2">
      <c r="A394" s="626"/>
      <c r="B394" s="626"/>
      <c r="C394" s="626"/>
      <c r="D394" s="626"/>
      <c r="E394" s="626"/>
      <c r="F394" s="626"/>
      <c r="G394" s="626"/>
      <c r="H394" s="626"/>
      <c r="I394" s="626"/>
      <c r="J394" s="626"/>
      <c r="K394" s="626"/>
      <c r="L394" s="626"/>
      <c r="M394" s="626"/>
      <c r="N394" s="626"/>
      <c r="O394" s="627"/>
      <c r="P394" s="623" t="s">
        <v>40</v>
      </c>
      <c r="Q394" s="624"/>
      <c r="R394" s="624"/>
      <c r="S394" s="624"/>
      <c r="T394" s="624"/>
      <c r="U394" s="624"/>
      <c r="V394" s="625"/>
      <c r="W394" s="42" t="s">
        <v>0</v>
      </c>
      <c r="X394" s="43">
        <f>IFERROR(SUM(X384:X392),"0")</f>
        <v>0</v>
      </c>
      <c r="Y394" s="43">
        <f>IFERROR(SUM(Y384:Y392),"0")</f>
        <v>0</v>
      </c>
      <c r="Z394" s="42"/>
      <c r="AA394" s="67"/>
      <c r="AB394" s="67"/>
      <c r="AC394" s="67"/>
    </row>
    <row r="395" spans="1:68" ht="14.25" customHeight="1" x14ac:dyDescent="0.25">
      <c r="A395" s="618" t="s">
        <v>84</v>
      </c>
      <c r="B395" s="618"/>
      <c r="C395" s="618"/>
      <c r="D395" s="618"/>
      <c r="E395" s="618"/>
      <c r="F395" s="618"/>
      <c r="G395" s="618"/>
      <c r="H395" s="618"/>
      <c r="I395" s="618"/>
      <c r="J395" s="618"/>
      <c r="K395" s="618"/>
      <c r="L395" s="618"/>
      <c r="M395" s="618"/>
      <c r="N395" s="618"/>
      <c r="O395" s="618"/>
      <c r="P395" s="618"/>
      <c r="Q395" s="618"/>
      <c r="R395" s="618"/>
      <c r="S395" s="618"/>
      <c r="T395" s="618"/>
      <c r="U395" s="618"/>
      <c r="V395" s="618"/>
      <c r="W395" s="618"/>
      <c r="X395" s="618"/>
      <c r="Y395" s="618"/>
      <c r="Z395" s="618"/>
      <c r="AA395" s="66"/>
      <c r="AB395" s="66"/>
      <c r="AC395" s="80"/>
    </row>
    <row r="396" spans="1:68" ht="27" customHeight="1" x14ac:dyDescent="0.25">
      <c r="A396" s="63" t="s">
        <v>623</v>
      </c>
      <c r="B396" s="63" t="s">
        <v>624</v>
      </c>
      <c r="C396" s="36">
        <v>4301051284</v>
      </c>
      <c r="D396" s="619">
        <v>4607091384352</v>
      </c>
      <c r="E396" s="619"/>
      <c r="F396" s="62">
        <v>0.6</v>
      </c>
      <c r="G396" s="37">
        <v>4</v>
      </c>
      <c r="H396" s="62">
        <v>2.4</v>
      </c>
      <c r="I396" s="62">
        <v>2.6259999999999999</v>
      </c>
      <c r="J396" s="37">
        <v>132</v>
      </c>
      <c r="K396" s="37" t="s">
        <v>120</v>
      </c>
      <c r="L396" s="37" t="s">
        <v>45</v>
      </c>
      <c r="M396" s="38" t="s">
        <v>88</v>
      </c>
      <c r="N396" s="38"/>
      <c r="O396" s="37">
        <v>45</v>
      </c>
      <c r="P396" s="81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621"/>
      <c r="R396" s="621"/>
      <c r="S396" s="621"/>
      <c r="T396" s="622"/>
      <c r="U396" s="39" t="s">
        <v>45</v>
      </c>
      <c r="V396" s="39" t="s">
        <v>45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45</v>
      </c>
      <c r="AB396" s="69" t="s">
        <v>45</v>
      </c>
      <c r="AC396" s="460" t="s">
        <v>625</v>
      </c>
      <c r="AG396" s="78"/>
      <c r="AJ396" s="84" t="s">
        <v>45</v>
      </c>
      <c r="AK396" s="84">
        <v>0</v>
      </c>
      <c r="BB396" s="461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626</v>
      </c>
      <c r="B397" s="63" t="s">
        <v>627</v>
      </c>
      <c r="C397" s="36">
        <v>4301051431</v>
      </c>
      <c r="D397" s="619">
        <v>4607091389654</v>
      </c>
      <c r="E397" s="619"/>
      <c r="F397" s="62">
        <v>0.33</v>
      </c>
      <c r="G397" s="37">
        <v>6</v>
      </c>
      <c r="H397" s="62">
        <v>1.98</v>
      </c>
      <c r="I397" s="62">
        <v>2.238</v>
      </c>
      <c r="J397" s="37">
        <v>182</v>
      </c>
      <c r="K397" s="37" t="s">
        <v>89</v>
      </c>
      <c r="L397" s="37" t="s">
        <v>45</v>
      </c>
      <c r="M397" s="38" t="s">
        <v>88</v>
      </c>
      <c r="N397" s="38"/>
      <c r="O397" s="37">
        <v>45</v>
      </c>
      <c r="P397" s="81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621"/>
      <c r="R397" s="621"/>
      <c r="S397" s="621"/>
      <c r="T397" s="622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45</v>
      </c>
      <c r="AB397" s="69" t="s">
        <v>45</v>
      </c>
      <c r="AC397" s="462" t="s">
        <v>628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">
      <c r="A398" s="626"/>
      <c r="B398" s="626"/>
      <c r="C398" s="626"/>
      <c r="D398" s="626"/>
      <c r="E398" s="626"/>
      <c r="F398" s="626"/>
      <c r="G398" s="626"/>
      <c r="H398" s="626"/>
      <c r="I398" s="626"/>
      <c r="J398" s="626"/>
      <c r="K398" s="626"/>
      <c r="L398" s="626"/>
      <c r="M398" s="626"/>
      <c r="N398" s="626"/>
      <c r="O398" s="627"/>
      <c r="P398" s="623" t="s">
        <v>40</v>
      </c>
      <c r="Q398" s="624"/>
      <c r="R398" s="624"/>
      <c r="S398" s="624"/>
      <c r="T398" s="624"/>
      <c r="U398" s="624"/>
      <c r="V398" s="625"/>
      <c r="W398" s="42" t="s">
        <v>39</v>
      </c>
      <c r="X398" s="43">
        <f>IFERROR(X396/H396,"0")+IFERROR(X397/H397,"0")</f>
        <v>0</v>
      </c>
      <c r="Y398" s="43">
        <f>IFERROR(Y396/H396,"0")+IFERROR(Y397/H397,"0")</f>
        <v>0</v>
      </c>
      <c r="Z398" s="43">
        <f>IFERROR(IF(Z396="",0,Z396),"0")+IFERROR(IF(Z397="",0,Z397),"0")</f>
        <v>0</v>
      </c>
      <c r="AA398" s="67"/>
      <c r="AB398" s="67"/>
      <c r="AC398" s="67"/>
    </row>
    <row r="399" spans="1:68" x14ac:dyDescent="0.2">
      <c r="A399" s="626"/>
      <c r="B399" s="626"/>
      <c r="C399" s="626"/>
      <c r="D399" s="626"/>
      <c r="E399" s="626"/>
      <c r="F399" s="626"/>
      <c r="G399" s="626"/>
      <c r="H399" s="626"/>
      <c r="I399" s="626"/>
      <c r="J399" s="626"/>
      <c r="K399" s="626"/>
      <c r="L399" s="626"/>
      <c r="M399" s="626"/>
      <c r="N399" s="626"/>
      <c r="O399" s="627"/>
      <c r="P399" s="623" t="s">
        <v>40</v>
      </c>
      <c r="Q399" s="624"/>
      <c r="R399" s="624"/>
      <c r="S399" s="624"/>
      <c r="T399" s="624"/>
      <c r="U399" s="624"/>
      <c r="V399" s="625"/>
      <c r="W399" s="42" t="s">
        <v>0</v>
      </c>
      <c r="X399" s="43">
        <f>IFERROR(SUM(X396:X397),"0")</f>
        <v>0</v>
      </c>
      <c r="Y399" s="43">
        <f>IFERROR(SUM(Y396:Y397),"0")</f>
        <v>0</v>
      </c>
      <c r="Z399" s="42"/>
      <c r="AA399" s="67"/>
      <c r="AB399" s="67"/>
      <c r="AC399" s="67"/>
    </row>
    <row r="400" spans="1:68" ht="16.5" customHeight="1" x14ac:dyDescent="0.25">
      <c r="A400" s="617" t="s">
        <v>629</v>
      </c>
      <c r="B400" s="617"/>
      <c r="C400" s="617"/>
      <c r="D400" s="617"/>
      <c r="E400" s="617"/>
      <c r="F400" s="617"/>
      <c r="G400" s="617"/>
      <c r="H400" s="617"/>
      <c r="I400" s="617"/>
      <c r="J400" s="617"/>
      <c r="K400" s="617"/>
      <c r="L400" s="617"/>
      <c r="M400" s="617"/>
      <c r="N400" s="617"/>
      <c r="O400" s="617"/>
      <c r="P400" s="617"/>
      <c r="Q400" s="617"/>
      <c r="R400" s="617"/>
      <c r="S400" s="617"/>
      <c r="T400" s="617"/>
      <c r="U400" s="617"/>
      <c r="V400" s="617"/>
      <c r="W400" s="617"/>
      <c r="X400" s="617"/>
      <c r="Y400" s="617"/>
      <c r="Z400" s="617"/>
      <c r="AA400" s="65"/>
      <c r="AB400" s="65"/>
      <c r="AC400" s="79"/>
    </row>
    <row r="401" spans="1:68" ht="14.25" customHeight="1" x14ac:dyDescent="0.25">
      <c r="A401" s="618" t="s">
        <v>146</v>
      </c>
      <c r="B401" s="618"/>
      <c r="C401" s="618"/>
      <c r="D401" s="618"/>
      <c r="E401" s="618"/>
      <c r="F401" s="618"/>
      <c r="G401" s="618"/>
      <c r="H401" s="618"/>
      <c r="I401" s="618"/>
      <c r="J401" s="618"/>
      <c r="K401" s="618"/>
      <c r="L401" s="618"/>
      <c r="M401" s="618"/>
      <c r="N401" s="618"/>
      <c r="O401" s="618"/>
      <c r="P401" s="618"/>
      <c r="Q401" s="618"/>
      <c r="R401" s="618"/>
      <c r="S401" s="618"/>
      <c r="T401" s="618"/>
      <c r="U401" s="618"/>
      <c r="V401" s="618"/>
      <c r="W401" s="618"/>
      <c r="X401" s="618"/>
      <c r="Y401" s="618"/>
      <c r="Z401" s="618"/>
      <c r="AA401" s="66"/>
      <c r="AB401" s="66"/>
      <c r="AC401" s="80"/>
    </row>
    <row r="402" spans="1:68" ht="27" customHeight="1" x14ac:dyDescent="0.25">
      <c r="A402" s="63" t="s">
        <v>630</v>
      </c>
      <c r="B402" s="63" t="s">
        <v>631</v>
      </c>
      <c r="C402" s="36">
        <v>4301020319</v>
      </c>
      <c r="D402" s="619">
        <v>4680115885240</v>
      </c>
      <c r="E402" s="619"/>
      <c r="F402" s="62">
        <v>0.35</v>
      </c>
      <c r="G402" s="37">
        <v>6</v>
      </c>
      <c r="H402" s="62">
        <v>2.1</v>
      </c>
      <c r="I402" s="62">
        <v>2.31</v>
      </c>
      <c r="J402" s="37">
        <v>182</v>
      </c>
      <c r="K402" s="37" t="s">
        <v>89</v>
      </c>
      <c r="L402" s="37" t="s">
        <v>45</v>
      </c>
      <c r="M402" s="38" t="s">
        <v>82</v>
      </c>
      <c r="N402" s="38"/>
      <c r="O402" s="37">
        <v>40</v>
      </c>
      <c r="P402" s="81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621"/>
      <c r="R402" s="621"/>
      <c r="S402" s="621"/>
      <c r="T402" s="622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45</v>
      </c>
      <c r="AB402" s="69" t="s">
        <v>45</v>
      </c>
      <c r="AC402" s="464" t="s">
        <v>632</v>
      </c>
      <c r="AG402" s="78"/>
      <c r="AJ402" s="84" t="s">
        <v>45</v>
      </c>
      <c r="AK402" s="84">
        <v>0</v>
      </c>
      <c r="BB402" s="465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26"/>
      <c r="B403" s="626"/>
      <c r="C403" s="626"/>
      <c r="D403" s="626"/>
      <c r="E403" s="626"/>
      <c r="F403" s="626"/>
      <c r="G403" s="626"/>
      <c r="H403" s="626"/>
      <c r="I403" s="626"/>
      <c r="J403" s="626"/>
      <c r="K403" s="626"/>
      <c r="L403" s="626"/>
      <c r="M403" s="626"/>
      <c r="N403" s="626"/>
      <c r="O403" s="627"/>
      <c r="P403" s="623" t="s">
        <v>40</v>
      </c>
      <c r="Q403" s="624"/>
      <c r="R403" s="624"/>
      <c r="S403" s="624"/>
      <c r="T403" s="624"/>
      <c r="U403" s="624"/>
      <c r="V403" s="625"/>
      <c r="W403" s="42" t="s">
        <v>39</v>
      </c>
      <c r="X403" s="43">
        <f>IFERROR(X402/H402,"0")</f>
        <v>0</v>
      </c>
      <c r="Y403" s="43">
        <f>IFERROR(Y402/H402,"0")</f>
        <v>0</v>
      </c>
      <c r="Z403" s="43">
        <f>IFERROR(IF(Z402="",0,Z402),"0")</f>
        <v>0</v>
      </c>
      <c r="AA403" s="67"/>
      <c r="AB403" s="67"/>
      <c r="AC403" s="67"/>
    </row>
    <row r="404" spans="1:68" x14ac:dyDescent="0.2">
      <c r="A404" s="626"/>
      <c r="B404" s="626"/>
      <c r="C404" s="626"/>
      <c r="D404" s="626"/>
      <c r="E404" s="626"/>
      <c r="F404" s="626"/>
      <c r="G404" s="626"/>
      <c r="H404" s="626"/>
      <c r="I404" s="626"/>
      <c r="J404" s="626"/>
      <c r="K404" s="626"/>
      <c r="L404" s="626"/>
      <c r="M404" s="626"/>
      <c r="N404" s="626"/>
      <c r="O404" s="627"/>
      <c r="P404" s="623" t="s">
        <v>40</v>
      </c>
      <c r="Q404" s="624"/>
      <c r="R404" s="624"/>
      <c r="S404" s="624"/>
      <c r="T404" s="624"/>
      <c r="U404" s="624"/>
      <c r="V404" s="625"/>
      <c r="W404" s="42" t="s">
        <v>0</v>
      </c>
      <c r="X404" s="43">
        <f>IFERROR(SUM(X402:X402),"0")</f>
        <v>0</v>
      </c>
      <c r="Y404" s="43">
        <f>IFERROR(SUM(Y402:Y402),"0")</f>
        <v>0</v>
      </c>
      <c r="Z404" s="42"/>
      <c r="AA404" s="67"/>
      <c r="AB404" s="67"/>
      <c r="AC404" s="67"/>
    </row>
    <row r="405" spans="1:68" ht="14.25" customHeight="1" x14ac:dyDescent="0.25">
      <c r="A405" s="618" t="s">
        <v>78</v>
      </c>
      <c r="B405" s="618"/>
      <c r="C405" s="618"/>
      <c r="D405" s="618"/>
      <c r="E405" s="618"/>
      <c r="F405" s="618"/>
      <c r="G405" s="618"/>
      <c r="H405" s="618"/>
      <c r="I405" s="618"/>
      <c r="J405" s="618"/>
      <c r="K405" s="618"/>
      <c r="L405" s="618"/>
      <c r="M405" s="618"/>
      <c r="N405" s="618"/>
      <c r="O405" s="618"/>
      <c r="P405" s="618"/>
      <c r="Q405" s="618"/>
      <c r="R405" s="618"/>
      <c r="S405" s="618"/>
      <c r="T405" s="618"/>
      <c r="U405" s="618"/>
      <c r="V405" s="618"/>
      <c r="W405" s="618"/>
      <c r="X405" s="618"/>
      <c r="Y405" s="618"/>
      <c r="Z405" s="618"/>
      <c r="AA405" s="66"/>
      <c r="AB405" s="66"/>
      <c r="AC405" s="80"/>
    </row>
    <row r="406" spans="1:68" ht="27" customHeight="1" x14ac:dyDescent="0.25">
      <c r="A406" s="63" t="s">
        <v>633</v>
      </c>
      <c r="B406" s="63" t="s">
        <v>634</v>
      </c>
      <c r="C406" s="36">
        <v>4301031403</v>
      </c>
      <c r="D406" s="619">
        <v>4680115886094</v>
      </c>
      <c r="E406" s="619"/>
      <c r="F406" s="62">
        <v>0.9</v>
      </c>
      <c r="G406" s="37">
        <v>6</v>
      </c>
      <c r="H406" s="62">
        <v>5.4</v>
      </c>
      <c r="I406" s="62">
        <v>5.59</v>
      </c>
      <c r="J406" s="37">
        <v>132</v>
      </c>
      <c r="K406" s="37" t="s">
        <v>120</v>
      </c>
      <c r="L406" s="37" t="s">
        <v>45</v>
      </c>
      <c r="M406" s="38" t="s">
        <v>114</v>
      </c>
      <c r="N406" s="38"/>
      <c r="O406" s="37">
        <v>50</v>
      </c>
      <c r="P406" s="81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621"/>
      <c r="R406" s="621"/>
      <c r="S406" s="621"/>
      <c r="T406" s="622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IFERROR(IF(Y406=0,"",ROUNDUP(Y406/H406,0)*0.00902),"")</f>
        <v/>
      </c>
      <c r="AA406" s="68" t="s">
        <v>45</v>
      </c>
      <c r="AB406" s="69" t="s">
        <v>45</v>
      </c>
      <c r="AC406" s="466" t="s">
        <v>635</v>
      </c>
      <c r="AG406" s="78"/>
      <c r="AJ406" s="84" t="s">
        <v>45</v>
      </c>
      <c r="AK406" s="84">
        <v>0</v>
      </c>
      <c r="BB406" s="467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636</v>
      </c>
      <c r="B407" s="63" t="s">
        <v>637</v>
      </c>
      <c r="C407" s="36">
        <v>4301031363</v>
      </c>
      <c r="D407" s="619">
        <v>4607091389425</v>
      </c>
      <c r="E407" s="619"/>
      <c r="F407" s="62">
        <v>0.35</v>
      </c>
      <c r="G407" s="37">
        <v>6</v>
      </c>
      <c r="H407" s="62">
        <v>2.1</v>
      </c>
      <c r="I407" s="62">
        <v>2.23</v>
      </c>
      <c r="J407" s="37">
        <v>234</v>
      </c>
      <c r="K407" s="37" t="s">
        <v>83</v>
      </c>
      <c r="L407" s="37" t="s">
        <v>45</v>
      </c>
      <c r="M407" s="38" t="s">
        <v>82</v>
      </c>
      <c r="N407" s="38"/>
      <c r="O407" s="37">
        <v>50</v>
      </c>
      <c r="P407" s="81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621"/>
      <c r="R407" s="621"/>
      <c r="S407" s="621"/>
      <c r="T407" s="622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IFERROR(IF(Y407=0,"",ROUNDUP(Y407/H407,0)*0.00502),"")</f>
        <v/>
      </c>
      <c r="AA407" s="68" t="s">
        <v>45</v>
      </c>
      <c r="AB407" s="69" t="s">
        <v>45</v>
      </c>
      <c r="AC407" s="468" t="s">
        <v>638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639</v>
      </c>
      <c r="B408" s="63" t="s">
        <v>640</v>
      </c>
      <c r="C408" s="36">
        <v>4301031373</v>
      </c>
      <c r="D408" s="619">
        <v>4680115880771</v>
      </c>
      <c r="E408" s="619"/>
      <c r="F408" s="62">
        <v>0.28000000000000003</v>
      </c>
      <c r="G408" s="37">
        <v>6</v>
      </c>
      <c r="H408" s="62">
        <v>1.68</v>
      </c>
      <c r="I408" s="62">
        <v>1.81</v>
      </c>
      <c r="J408" s="37">
        <v>234</v>
      </c>
      <c r="K408" s="37" t="s">
        <v>83</v>
      </c>
      <c r="L408" s="37" t="s">
        <v>45</v>
      </c>
      <c r="M408" s="38" t="s">
        <v>82</v>
      </c>
      <c r="N408" s="38"/>
      <c r="O408" s="37">
        <v>50</v>
      </c>
      <c r="P408" s="81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621"/>
      <c r="R408" s="621"/>
      <c r="S408" s="621"/>
      <c r="T408" s="622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641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642</v>
      </c>
      <c r="B409" s="63" t="s">
        <v>643</v>
      </c>
      <c r="C409" s="36">
        <v>4301031359</v>
      </c>
      <c r="D409" s="619">
        <v>4607091389500</v>
      </c>
      <c r="E409" s="619"/>
      <c r="F409" s="62">
        <v>0.35</v>
      </c>
      <c r="G409" s="37">
        <v>6</v>
      </c>
      <c r="H409" s="62">
        <v>2.1</v>
      </c>
      <c r="I409" s="62">
        <v>2.23</v>
      </c>
      <c r="J409" s="37">
        <v>234</v>
      </c>
      <c r="K409" s="37" t="s">
        <v>83</v>
      </c>
      <c r="L409" s="37" t="s">
        <v>45</v>
      </c>
      <c r="M409" s="38" t="s">
        <v>82</v>
      </c>
      <c r="N409" s="38"/>
      <c r="O409" s="37">
        <v>50</v>
      </c>
      <c r="P409" s="82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621"/>
      <c r="R409" s="621"/>
      <c r="S409" s="621"/>
      <c r="T409" s="622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641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26"/>
      <c r="B410" s="626"/>
      <c r="C410" s="626"/>
      <c r="D410" s="626"/>
      <c r="E410" s="626"/>
      <c r="F410" s="626"/>
      <c r="G410" s="626"/>
      <c r="H410" s="626"/>
      <c r="I410" s="626"/>
      <c r="J410" s="626"/>
      <c r="K410" s="626"/>
      <c r="L410" s="626"/>
      <c r="M410" s="626"/>
      <c r="N410" s="626"/>
      <c r="O410" s="627"/>
      <c r="P410" s="623" t="s">
        <v>40</v>
      </c>
      <c r="Q410" s="624"/>
      <c r="R410" s="624"/>
      <c r="S410" s="624"/>
      <c r="T410" s="624"/>
      <c r="U410" s="624"/>
      <c r="V410" s="625"/>
      <c r="W410" s="42" t="s">
        <v>39</v>
      </c>
      <c r="X410" s="43">
        <f>IFERROR(X406/H406,"0")+IFERROR(X407/H407,"0")+IFERROR(X408/H408,"0")+IFERROR(X409/H409,"0")</f>
        <v>0</v>
      </c>
      <c r="Y410" s="43">
        <f>IFERROR(Y406/H406,"0")+IFERROR(Y407/H407,"0")+IFERROR(Y408/H408,"0")+IFERROR(Y409/H409,"0")</f>
        <v>0</v>
      </c>
      <c r="Z410" s="43">
        <f>IFERROR(IF(Z406="",0,Z406),"0")+IFERROR(IF(Z407="",0,Z407),"0")+IFERROR(IF(Z408="",0,Z408),"0")+IFERROR(IF(Z409="",0,Z409),"0")</f>
        <v>0</v>
      </c>
      <c r="AA410" s="67"/>
      <c r="AB410" s="67"/>
      <c r="AC410" s="67"/>
    </row>
    <row r="411" spans="1:68" x14ac:dyDescent="0.2">
      <c r="A411" s="626"/>
      <c r="B411" s="626"/>
      <c r="C411" s="626"/>
      <c r="D411" s="626"/>
      <c r="E411" s="626"/>
      <c r="F411" s="626"/>
      <c r="G411" s="626"/>
      <c r="H411" s="626"/>
      <c r="I411" s="626"/>
      <c r="J411" s="626"/>
      <c r="K411" s="626"/>
      <c r="L411" s="626"/>
      <c r="M411" s="626"/>
      <c r="N411" s="626"/>
      <c r="O411" s="627"/>
      <c r="P411" s="623" t="s">
        <v>40</v>
      </c>
      <c r="Q411" s="624"/>
      <c r="R411" s="624"/>
      <c r="S411" s="624"/>
      <c r="T411" s="624"/>
      <c r="U411" s="624"/>
      <c r="V411" s="625"/>
      <c r="W411" s="42" t="s">
        <v>0</v>
      </c>
      <c r="X411" s="43">
        <f>IFERROR(SUM(X406:X409),"0")</f>
        <v>0</v>
      </c>
      <c r="Y411" s="43">
        <f>IFERROR(SUM(Y406:Y409),"0")</f>
        <v>0</v>
      </c>
      <c r="Z411" s="42"/>
      <c r="AA411" s="67"/>
      <c r="AB411" s="67"/>
      <c r="AC411" s="67"/>
    </row>
    <row r="412" spans="1:68" ht="16.5" customHeight="1" x14ac:dyDescent="0.25">
      <c r="A412" s="617" t="s">
        <v>644</v>
      </c>
      <c r="B412" s="617"/>
      <c r="C412" s="617"/>
      <c r="D412" s="617"/>
      <c r="E412" s="617"/>
      <c r="F412" s="617"/>
      <c r="G412" s="617"/>
      <c r="H412" s="617"/>
      <c r="I412" s="617"/>
      <c r="J412" s="617"/>
      <c r="K412" s="617"/>
      <c r="L412" s="617"/>
      <c r="M412" s="617"/>
      <c r="N412" s="617"/>
      <c r="O412" s="617"/>
      <c r="P412" s="617"/>
      <c r="Q412" s="617"/>
      <c r="R412" s="617"/>
      <c r="S412" s="617"/>
      <c r="T412" s="617"/>
      <c r="U412" s="617"/>
      <c r="V412" s="617"/>
      <c r="W412" s="617"/>
      <c r="X412" s="617"/>
      <c r="Y412" s="617"/>
      <c r="Z412" s="617"/>
      <c r="AA412" s="65"/>
      <c r="AB412" s="65"/>
      <c r="AC412" s="79"/>
    </row>
    <row r="413" spans="1:68" ht="14.25" customHeight="1" x14ac:dyDescent="0.25">
      <c r="A413" s="618" t="s">
        <v>78</v>
      </c>
      <c r="B413" s="618"/>
      <c r="C413" s="618"/>
      <c r="D413" s="618"/>
      <c r="E413" s="618"/>
      <c r="F413" s="618"/>
      <c r="G413" s="618"/>
      <c r="H413" s="618"/>
      <c r="I413" s="618"/>
      <c r="J413" s="618"/>
      <c r="K413" s="618"/>
      <c r="L413" s="618"/>
      <c r="M413" s="618"/>
      <c r="N413" s="618"/>
      <c r="O413" s="618"/>
      <c r="P413" s="618"/>
      <c r="Q413" s="618"/>
      <c r="R413" s="618"/>
      <c r="S413" s="618"/>
      <c r="T413" s="618"/>
      <c r="U413" s="618"/>
      <c r="V413" s="618"/>
      <c r="W413" s="618"/>
      <c r="X413" s="618"/>
      <c r="Y413" s="618"/>
      <c r="Z413" s="618"/>
      <c r="AA413" s="66"/>
      <c r="AB413" s="66"/>
      <c r="AC413" s="80"/>
    </row>
    <row r="414" spans="1:68" ht="27" customHeight="1" x14ac:dyDescent="0.25">
      <c r="A414" s="63" t="s">
        <v>645</v>
      </c>
      <c r="B414" s="63" t="s">
        <v>646</v>
      </c>
      <c r="C414" s="36">
        <v>4301031347</v>
      </c>
      <c r="D414" s="619">
        <v>4680115885110</v>
      </c>
      <c r="E414" s="619"/>
      <c r="F414" s="62">
        <v>0.2</v>
      </c>
      <c r="G414" s="37">
        <v>6</v>
      </c>
      <c r="H414" s="62">
        <v>1.2</v>
      </c>
      <c r="I414" s="62">
        <v>2.1</v>
      </c>
      <c r="J414" s="37">
        <v>182</v>
      </c>
      <c r="K414" s="37" t="s">
        <v>89</v>
      </c>
      <c r="L414" s="37" t="s">
        <v>225</v>
      </c>
      <c r="M414" s="38" t="s">
        <v>82</v>
      </c>
      <c r="N414" s="38"/>
      <c r="O414" s="37">
        <v>50</v>
      </c>
      <c r="P414" s="82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621"/>
      <c r="R414" s="621"/>
      <c r="S414" s="621"/>
      <c r="T414" s="622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45</v>
      </c>
      <c r="AB414" s="69" t="s">
        <v>45</v>
      </c>
      <c r="AC414" s="474" t="s">
        <v>647</v>
      </c>
      <c r="AG414" s="78"/>
      <c r="AJ414" s="84" t="s">
        <v>117</v>
      </c>
      <c r="AK414" s="84">
        <v>16.8</v>
      </c>
      <c r="BB414" s="475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26"/>
      <c r="B415" s="626"/>
      <c r="C415" s="626"/>
      <c r="D415" s="626"/>
      <c r="E415" s="626"/>
      <c r="F415" s="626"/>
      <c r="G415" s="626"/>
      <c r="H415" s="626"/>
      <c r="I415" s="626"/>
      <c r="J415" s="626"/>
      <c r="K415" s="626"/>
      <c r="L415" s="626"/>
      <c r="M415" s="626"/>
      <c r="N415" s="626"/>
      <c r="O415" s="627"/>
      <c r="P415" s="623" t="s">
        <v>40</v>
      </c>
      <c r="Q415" s="624"/>
      <c r="R415" s="624"/>
      <c r="S415" s="624"/>
      <c r="T415" s="624"/>
      <c r="U415" s="624"/>
      <c r="V415" s="625"/>
      <c r="W415" s="42" t="s">
        <v>39</v>
      </c>
      <c r="X415" s="43">
        <f>IFERROR(X414/H414,"0")</f>
        <v>0</v>
      </c>
      <c r="Y415" s="43">
        <f>IFERROR(Y414/H414,"0")</f>
        <v>0</v>
      </c>
      <c r="Z415" s="43">
        <f>IFERROR(IF(Z414="",0,Z414),"0")</f>
        <v>0</v>
      </c>
      <c r="AA415" s="67"/>
      <c r="AB415" s="67"/>
      <c r="AC415" s="67"/>
    </row>
    <row r="416" spans="1:68" x14ac:dyDescent="0.2">
      <c r="A416" s="626"/>
      <c r="B416" s="626"/>
      <c r="C416" s="626"/>
      <c r="D416" s="626"/>
      <c r="E416" s="626"/>
      <c r="F416" s="626"/>
      <c r="G416" s="626"/>
      <c r="H416" s="626"/>
      <c r="I416" s="626"/>
      <c r="J416" s="626"/>
      <c r="K416" s="626"/>
      <c r="L416" s="626"/>
      <c r="M416" s="626"/>
      <c r="N416" s="626"/>
      <c r="O416" s="627"/>
      <c r="P416" s="623" t="s">
        <v>40</v>
      </c>
      <c r="Q416" s="624"/>
      <c r="R416" s="624"/>
      <c r="S416" s="624"/>
      <c r="T416" s="624"/>
      <c r="U416" s="624"/>
      <c r="V416" s="625"/>
      <c r="W416" s="42" t="s">
        <v>0</v>
      </c>
      <c r="X416" s="43">
        <f>IFERROR(SUM(X414:X414),"0")</f>
        <v>0</v>
      </c>
      <c r="Y416" s="43">
        <f>IFERROR(SUM(Y414:Y414),"0")</f>
        <v>0</v>
      </c>
      <c r="Z416" s="42"/>
      <c r="AA416" s="67"/>
      <c r="AB416" s="67"/>
      <c r="AC416" s="67"/>
    </row>
    <row r="417" spans="1:68" ht="27.75" customHeight="1" x14ac:dyDescent="0.2">
      <c r="A417" s="616" t="s">
        <v>648</v>
      </c>
      <c r="B417" s="616"/>
      <c r="C417" s="616"/>
      <c r="D417" s="616"/>
      <c r="E417" s="616"/>
      <c r="F417" s="616"/>
      <c r="G417" s="616"/>
      <c r="H417" s="616"/>
      <c r="I417" s="616"/>
      <c r="J417" s="616"/>
      <c r="K417" s="616"/>
      <c r="L417" s="616"/>
      <c r="M417" s="616"/>
      <c r="N417" s="616"/>
      <c r="O417" s="616"/>
      <c r="P417" s="616"/>
      <c r="Q417" s="616"/>
      <c r="R417" s="616"/>
      <c r="S417" s="616"/>
      <c r="T417" s="616"/>
      <c r="U417" s="616"/>
      <c r="V417" s="616"/>
      <c r="W417" s="616"/>
      <c r="X417" s="616"/>
      <c r="Y417" s="616"/>
      <c r="Z417" s="616"/>
      <c r="AA417" s="54"/>
      <c r="AB417" s="54"/>
      <c r="AC417" s="54"/>
    </row>
    <row r="418" spans="1:68" ht="16.5" customHeight="1" x14ac:dyDescent="0.25">
      <c r="A418" s="617" t="s">
        <v>648</v>
      </c>
      <c r="B418" s="617"/>
      <c r="C418" s="617"/>
      <c r="D418" s="617"/>
      <c r="E418" s="617"/>
      <c r="F418" s="617"/>
      <c r="G418" s="617"/>
      <c r="H418" s="617"/>
      <c r="I418" s="617"/>
      <c r="J418" s="617"/>
      <c r="K418" s="617"/>
      <c r="L418" s="617"/>
      <c r="M418" s="617"/>
      <c r="N418" s="617"/>
      <c r="O418" s="617"/>
      <c r="P418" s="617"/>
      <c r="Q418" s="617"/>
      <c r="R418" s="617"/>
      <c r="S418" s="617"/>
      <c r="T418" s="617"/>
      <c r="U418" s="617"/>
      <c r="V418" s="617"/>
      <c r="W418" s="617"/>
      <c r="X418" s="617"/>
      <c r="Y418" s="617"/>
      <c r="Z418" s="617"/>
      <c r="AA418" s="65"/>
      <c r="AB418" s="65"/>
      <c r="AC418" s="79"/>
    </row>
    <row r="419" spans="1:68" ht="14.25" customHeight="1" x14ac:dyDescent="0.25">
      <c r="A419" s="618" t="s">
        <v>110</v>
      </c>
      <c r="B419" s="618"/>
      <c r="C419" s="618"/>
      <c r="D419" s="618"/>
      <c r="E419" s="618"/>
      <c r="F419" s="618"/>
      <c r="G419" s="618"/>
      <c r="H419" s="618"/>
      <c r="I419" s="618"/>
      <c r="J419" s="618"/>
      <c r="K419" s="618"/>
      <c r="L419" s="618"/>
      <c r="M419" s="618"/>
      <c r="N419" s="618"/>
      <c r="O419" s="618"/>
      <c r="P419" s="618"/>
      <c r="Q419" s="618"/>
      <c r="R419" s="618"/>
      <c r="S419" s="618"/>
      <c r="T419" s="618"/>
      <c r="U419" s="618"/>
      <c r="V419" s="618"/>
      <c r="W419" s="618"/>
      <c r="X419" s="618"/>
      <c r="Y419" s="618"/>
      <c r="Z419" s="618"/>
      <c r="AA419" s="66"/>
      <c r="AB419" s="66"/>
      <c r="AC419" s="80"/>
    </row>
    <row r="420" spans="1:68" ht="27" customHeight="1" x14ac:dyDescent="0.25">
      <c r="A420" s="63" t="s">
        <v>649</v>
      </c>
      <c r="B420" s="63" t="s">
        <v>650</v>
      </c>
      <c r="C420" s="36">
        <v>4301011795</v>
      </c>
      <c r="D420" s="619">
        <v>4607091389067</v>
      </c>
      <c r="E420" s="619"/>
      <c r="F420" s="62">
        <v>0.88</v>
      </c>
      <c r="G420" s="37">
        <v>6</v>
      </c>
      <c r="H420" s="62">
        <v>5.28</v>
      </c>
      <c r="I420" s="62">
        <v>5.63</v>
      </c>
      <c r="J420" s="37">
        <v>104</v>
      </c>
      <c r="K420" s="37" t="s">
        <v>115</v>
      </c>
      <c r="L420" s="37" t="s">
        <v>116</v>
      </c>
      <c r="M420" s="38" t="s">
        <v>114</v>
      </c>
      <c r="N420" s="38"/>
      <c r="O420" s="37">
        <v>60</v>
      </c>
      <c r="P420" s="82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621"/>
      <c r="R420" s="621"/>
      <c r="S420" s="621"/>
      <c r="T420" s="622"/>
      <c r="U420" s="39" t="s">
        <v>45</v>
      </c>
      <c r="V420" s="39" t="s">
        <v>45</v>
      </c>
      <c r="W420" s="40" t="s">
        <v>0</v>
      </c>
      <c r="X420" s="58">
        <v>0</v>
      </c>
      <c r="Y420" s="55">
        <f t="shared" ref="Y420:Y430" si="42">IFERROR(IF(X420="",0,CEILING((X420/$H420),1)*$H420),"")</f>
        <v>0</v>
      </c>
      <c r="Z420" s="41" t="str">
        <f t="shared" ref="Z420:Z425" si="43">IFERROR(IF(Y420=0,"",ROUNDUP(Y420/H420,0)*0.01196),"")</f>
        <v/>
      </c>
      <c r="AA420" s="68" t="s">
        <v>45</v>
      </c>
      <c r="AB420" s="69" t="s">
        <v>45</v>
      </c>
      <c r="AC420" s="476" t="s">
        <v>113</v>
      </c>
      <c r="AG420" s="78"/>
      <c r="AJ420" s="84" t="s">
        <v>117</v>
      </c>
      <c r="AK420" s="84">
        <v>42.24</v>
      </c>
      <c r="BB420" s="477" t="s">
        <v>66</v>
      </c>
      <c r="BM420" s="78">
        <f t="shared" ref="BM420:BM430" si="44">IFERROR(X420*I420/H420,"0")</f>
        <v>0</v>
      </c>
      <c r="BN420" s="78">
        <f t="shared" ref="BN420:BN430" si="45">IFERROR(Y420*I420/H420,"0")</f>
        <v>0</v>
      </c>
      <c r="BO420" s="78">
        <f t="shared" ref="BO420:BO430" si="46">IFERROR(1/J420*(X420/H420),"0")</f>
        <v>0</v>
      </c>
      <c r="BP420" s="78">
        <f t="shared" ref="BP420:BP430" si="47">IFERROR(1/J420*(Y420/H420),"0")</f>
        <v>0</v>
      </c>
    </row>
    <row r="421" spans="1:68" ht="27" customHeight="1" x14ac:dyDescent="0.25">
      <c r="A421" s="63" t="s">
        <v>651</v>
      </c>
      <c r="B421" s="63" t="s">
        <v>652</v>
      </c>
      <c r="C421" s="36">
        <v>4301011961</v>
      </c>
      <c r="D421" s="619">
        <v>4680115885271</v>
      </c>
      <c r="E421" s="619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115</v>
      </c>
      <c r="L421" s="37" t="s">
        <v>45</v>
      </c>
      <c r="M421" s="38" t="s">
        <v>114</v>
      </c>
      <c r="N421" s="38"/>
      <c r="O421" s="37">
        <v>60</v>
      </c>
      <c r="P421" s="8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621"/>
      <c r="R421" s="621"/>
      <c r="S421" s="621"/>
      <c r="T421" s="622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si="42"/>
        <v>0</v>
      </c>
      <c r="Z421" s="41" t="str">
        <f t="shared" si="43"/>
        <v/>
      </c>
      <c r="AA421" s="68" t="s">
        <v>45</v>
      </c>
      <c r="AB421" s="69" t="s">
        <v>45</v>
      </c>
      <c r="AC421" s="478" t="s">
        <v>653</v>
      </c>
      <c r="AG421" s="78"/>
      <c r="AJ421" s="84" t="s">
        <v>45</v>
      </c>
      <c r="AK421" s="84">
        <v>0</v>
      </c>
      <c r="BB421" s="479" t="s">
        <v>66</v>
      </c>
      <c r="BM421" s="78">
        <f t="shared" si="44"/>
        <v>0</v>
      </c>
      <c r="BN421" s="78">
        <f t="shared" si="45"/>
        <v>0</v>
      </c>
      <c r="BO421" s="78">
        <f t="shared" si="46"/>
        <v>0</v>
      </c>
      <c r="BP421" s="78">
        <f t="shared" si="47"/>
        <v>0</v>
      </c>
    </row>
    <row r="422" spans="1:68" ht="27" customHeight="1" x14ac:dyDescent="0.25">
      <c r="A422" s="63" t="s">
        <v>654</v>
      </c>
      <c r="B422" s="63" t="s">
        <v>655</v>
      </c>
      <c r="C422" s="36">
        <v>4301011376</v>
      </c>
      <c r="D422" s="619">
        <v>4680115885226</v>
      </c>
      <c r="E422" s="619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115</v>
      </c>
      <c r="L422" s="37" t="s">
        <v>116</v>
      </c>
      <c r="M422" s="38" t="s">
        <v>88</v>
      </c>
      <c r="N422" s="38"/>
      <c r="O422" s="37">
        <v>60</v>
      </c>
      <c r="P422" s="82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621"/>
      <c r="R422" s="621"/>
      <c r="S422" s="621"/>
      <c r="T422" s="622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656</v>
      </c>
      <c r="AG422" s="78"/>
      <c r="AJ422" s="84" t="s">
        <v>117</v>
      </c>
      <c r="AK422" s="84">
        <v>42.24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657</v>
      </c>
      <c r="B423" s="63" t="s">
        <v>658</v>
      </c>
      <c r="C423" s="36">
        <v>4301012145</v>
      </c>
      <c r="D423" s="619">
        <v>4607091383522</v>
      </c>
      <c r="E423" s="619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115</v>
      </c>
      <c r="L423" s="37" t="s">
        <v>45</v>
      </c>
      <c r="M423" s="38" t="s">
        <v>114</v>
      </c>
      <c r="N423" s="38"/>
      <c r="O423" s="37">
        <v>60</v>
      </c>
      <c r="P423" s="82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621"/>
      <c r="R423" s="621"/>
      <c r="S423" s="621"/>
      <c r="T423" s="622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659</v>
      </c>
      <c r="AG423" s="78"/>
      <c r="AJ423" s="84" t="s">
        <v>45</v>
      </c>
      <c r="AK423" s="84">
        <v>0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16.5" customHeight="1" x14ac:dyDescent="0.25">
      <c r="A424" s="63" t="s">
        <v>660</v>
      </c>
      <c r="B424" s="63" t="s">
        <v>661</v>
      </c>
      <c r="C424" s="36">
        <v>4301011774</v>
      </c>
      <c r="D424" s="619">
        <v>4680115884502</v>
      </c>
      <c r="E424" s="619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115</v>
      </c>
      <c r="L424" s="37" t="s">
        <v>45</v>
      </c>
      <c r="M424" s="38" t="s">
        <v>114</v>
      </c>
      <c r="N424" s="38"/>
      <c r="O424" s="37">
        <v>60</v>
      </c>
      <c r="P424" s="82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621"/>
      <c r="R424" s="621"/>
      <c r="S424" s="621"/>
      <c r="T424" s="622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662</v>
      </c>
      <c r="AG424" s="78"/>
      <c r="AJ424" s="84" t="s">
        <v>45</v>
      </c>
      <c r="AK424" s="84">
        <v>0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27" customHeight="1" x14ac:dyDescent="0.25">
      <c r="A425" s="63" t="s">
        <v>663</v>
      </c>
      <c r="B425" s="63" t="s">
        <v>664</v>
      </c>
      <c r="C425" s="36">
        <v>4301011771</v>
      </c>
      <c r="D425" s="619">
        <v>4607091389104</v>
      </c>
      <c r="E425" s="619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115</v>
      </c>
      <c r="L425" s="37" t="s">
        <v>116</v>
      </c>
      <c r="M425" s="38" t="s">
        <v>114</v>
      </c>
      <c r="N425" s="38"/>
      <c r="O425" s="37">
        <v>60</v>
      </c>
      <c r="P425" s="8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621"/>
      <c r="R425" s="621"/>
      <c r="S425" s="621"/>
      <c r="T425" s="622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665</v>
      </c>
      <c r="AG425" s="78"/>
      <c r="AJ425" s="84" t="s">
        <v>117</v>
      </c>
      <c r="AK425" s="84">
        <v>42.24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666</v>
      </c>
      <c r="B426" s="63" t="s">
        <v>667</v>
      </c>
      <c r="C426" s="36">
        <v>4301012125</v>
      </c>
      <c r="D426" s="619">
        <v>4680115886391</v>
      </c>
      <c r="E426" s="619"/>
      <c r="F426" s="62">
        <v>0.4</v>
      </c>
      <c r="G426" s="37">
        <v>6</v>
      </c>
      <c r="H426" s="62">
        <v>2.4</v>
      </c>
      <c r="I426" s="62">
        <v>2.58</v>
      </c>
      <c r="J426" s="37">
        <v>182</v>
      </c>
      <c r="K426" s="37" t="s">
        <v>89</v>
      </c>
      <c r="L426" s="37" t="s">
        <v>45</v>
      </c>
      <c r="M426" s="38" t="s">
        <v>88</v>
      </c>
      <c r="N426" s="38"/>
      <c r="O426" s="37">
        <v>60</v>
      </c>
      <c r="P426" s="82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621"/>
      <c r="R426" s="621"/>
      <c r="S426" s="621"/>
      <c r="T426" s="622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>IFERROR(IF(Y426=0,"",ROUNDUP(Y426/H426,0)*0.00651),"")</f>
        <v/>
      </c>
      <c r="AA426" s="68" t="s">
        <v>45</v>
      </c>
      <c r="AB426" s="69" t="s">
        <v>45</v>
      </c>
      <c r="AC426" s="488" t="s">
        <v>113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668</v>
      </c>
      <c r="B427" s="63" t="s">
        <v>669</v>
      </c>
      <c r="C427" s="36">
        <v>4301012035</v>
      </c>
      <c r="D427" s="619">
        <v>4680115880603</v>
      </c>
      <c r="E427" s="619"/>
      <c r="F427" s="62">
        <v>0.6</v>
      </c>
      <c r="G427" s="37">
        <v>8</v>
      </c>
      <c r="H427" s="62">
        <v>4.8</v>
      </c>
      <c r="I427" s="62">
        <v>6.91</v>
      </c>
      <c r="J427" s="37">
        <v>132</v>
      </c>
      <c r="K427" s="37" t="s">
        <v>120</v>
      </c>
      <c r="L427" s="37" t="s">
        <v>45</v>
      </c>
      <c r="M427" s="38" t="s">
        <v>114</v>
      </c>
      <c r="N427" s="38"/>
      <c r="O427" s="37">
        <v>60</v>
      </c>
      <c r="P427" s="82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621"/>
      <c r="R427" s="621"/>
      <c r="S427" s="621"/>
      <c r="T427" s="622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IFERROR(IF(Y427=0,"",ROUNDUP(Y427/H427,0)*0.00902),"")</f>
        <v/>
      </c>
      <c r="AA427" s="68" t="s">
        <v>45</v>
      </c>
      <c r="AB427" s="69" t="s">
        <v>45</v>
      </c>
      <c r="AC427" s="490" t="s">
        <v>113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670</v>
      </c>
      <c r="B428" s="63" t="s">
        <v>671</v>
      </c>
      <c r="C428" s="36">
        <v>4301012036</v>
      </c>
      <c r="D428" s="619">
        <v>4680115882782</v>
      </c>
      <c r="E428" s="619"/>
      <c r="F428" s="62">
        <v>0.6</v>
      </c>
      <c r="G428" s="37">
        <v>8</v>
      </c>
      <c r="H428" s="62">
        <v>4.8</v>
      </c>
      <c r="I428" s="62">
        <v>6.96</v>
      </c>
      <c r="J428" s="37">
        <v>120</v>
      </c>
      <c r="K428" s="37" t="s">
        <v>120</v>
      </c>
      <c r="L428" s="37" t="s">
        <v>45</v>
      </c>
      <c r="M428" s="38" t="s">
        <v>114</v>
      </c>
      <c r="N428" s="38"/>
      <c r="O428" s="37">
        <v>60</v>
      </c>
      <c r="P428" s="8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621"/>
      <c r="R428" s="621"/>
      <c r="S428" s="621"/>
      <c r="T428" s="622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IFERROR(IF(Y428=0,"",ROUNDUP(Y428/H428,0)*0.00937),"")</f>
        <v/>
      </c>
      <c r="AA428" s="68" t="s">
        <v>45</v>
      </c>
      <c r="AB428" s="69" t="s">
        <v>45</v>
      </c>
      <c r="AC428" s="492" t="s">
        <v>653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672</v>
      </c>
      <c r="B429" s="63" t="s">
        <v>673</v>
      </c>
      <c r="C429" s="36">
        <v>4301012050</v>
      </c>
      <c r="D429" s="619">
        <v>4680115885479</v>
      </c>
      <c r="E429" s="619"/>
      <c r="F429" s="62">
        <v>0.4</v>
      </c>
      <c r="G429" s="37">
        <v>6</v>
      </c>
      <c r="H429" s="62">
        <v>2.4</v>
      </c>
      <c r="I429" s="62">
        <v>2.58</v>
      </c>
      <c r="J429" s="37">
        <v>182</v>
      </c>
      <c r="K429" s="37" t="s">
        <v>89</v>
      </c>
      <c r="L429" s="37" t="s">
        <v>45</v>
      </c>
      <c r="M429" s="38" t="s">
        <v>114</v>
      </c>
      <c r="N429" s="38"/>
      <c r="O429" s="37">
        <v>60</v>
      </c>
      <c r="P429" s="83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621"/>
      <c r="R429" s="621"/>
      <c r="S429" s="621"/>
      <c r="T429" s="622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IFERROR(IF(Y429=0,"",ROUNDUP(Y429/H429,0)*0.00651),"")</f>
        <v/>
      </c>
      <c r="AA429" s="68" t="s">
        <v>45</v>
      </c>
      <c r="AB429" s="69" t="s">
        <v>45</v>
      </c>
      <c r="AC429" s="494" t="s">
        <v>674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675</v>
      </c>
      <c r="B430" s="63" t="s">
        <v>676</v>
      </c>
      <c r="C430" s="36">
        <v>4301012034</v>
      </c>
      <c r="D430" s="619">
        <v>4607091389982</v>
      </c>
      <c r="E430" s="619"/>
      <c r="F430" s="62">
        <v>0.6</v>
      </c>
      <c r="G430" s="37">
        <v>8</v>
      </c>
      <c r="H430" s="62">
        <v>4.8</v>
      </c>
      <c r="I430" s="62">
        <v>6.91</v>
      </c>
      <c r="J430" s="37">
        <v>132</v>
      </c>
      <c r="K430" s="37" t="s">
        <v>120</v>
      </c>
      <c r="L430" s="37" t="s">
        <v>45</v>
      </c>
      <c r="M430" s="38" t="s">
        <v>114</v>
      </c>
      <c r="N430" s="38"/>
      <c r="O430" s="37">
        <v>60</v>
      </c>
      <c r="P430" s="8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621"/>
      <c r="R430" s="621"/>
      <c r="S430" s="621"/>
      <c r="T430" s="622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IFERROR(IF(Y430=0,"",ROUNDUP(Y430/H430,0)*0.00902),"")</f>
        <v/>
      </c>
      <c r="AA430" s="68" t="s">
        <v>45</v>
      </c>
      <c r="AB430" s="69" t="s">
        <v>45</v>
      </c>
      <c r="AC430" s="496" t="s">
        <v>665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x14ac:dyDescent="0.2">
      <c r="A431" s="626"/>
      <c r="B431" s="626"/>
      <c r="C431" s="626"/>
      <c r="D431" s="626"/>
      <c r="E431" s="626"/>
      <c r="F431" s="626"/>
      <c r="G431" s="626"/>
      <c r="H431" s="626"/>
      <c r="I431" s="626"/>
      <c r="J431" s="626"/>
      <c r="K431" s="626"/>
      <c r="L431" s="626"/>
      <c r="M431" s="626"/>
      <c r="N431" s="626"/>
      <c r="O431" s="627"/>
      <c r="P431" s="623" t="s">
        <v>40</v>
      </c>
      <c r="Q431" s="624"/>
      <c r="R431" s="624"/>
      <c r="S431" s="624"/>
      <c r="T431" s="624"/>
      <c r="U431" s="624"/>
      <c r="V431" s="625"/>
      <c r="W431" s="42" t="s">
        <v>39</v>
      </c>
      <c r="X431" s="43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0</v>
      </c>
      <c r="Y431" s="43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0</v>
      </c>
      <c r="Z431" s="43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626"/>
      <c r="B432" s="626"/>
      <c r="C432" s="626"/>
      <c r="D432" s="626"/>
      <c r="E432" s="626"/>
      <c r="F432" s="626"/>
      <c r="G432" s="626"/>
      <c r="H432" s="626"/>
      <c r="I432" s="626"/>
      <c r="J432" s="626"/>
      <c r="K432" s="626"/>
      <c r="L432" s="626"/>
      <c r="M432" s="626"/>
      <c r="N432" s="626"/>
      <c r="O432" s="627"/>
      <c r="P432" s="623" t="s">
        <v>40</v>
      </c>
      <c r="Q432" s="624"/>
      <c r="R432" s="624"/>
      <c r="S432" s="624"/>
      <c r="T432" s="624"/>
      <c r="U432" s="624"/>
      <c r="V432" s="625"/>
      <c r="W432" s="42" t="s">
        <v>0</v>
      </c>
      <c r="X432" s="43">
        <f>IFERROR(SUM(X420:X430),"0")</f>
        <v>0</v>
      </c>
      <c r="Y432" s="43">
        <f>IFERROR(SUM(Y420:Y430),"0")</f>
        <v>0</v>
      </c>
      <c r="Z432" s="42"/>
      <c r="AA432" s="67"/>
      <c r="AB432" s="67"/>
      <c r="AC432" s="67"/>
    </row>
    <row r="433" spans="1:68" ht="14.25" customHeight="1" x14ac:dyDescent="0.25">
      <c r="A433" s="618" t="s">
        <v>146</v>
      </c>
      <c r="B433" s="618"/>
      <c r="C433" s="618"/>
      <c r="D433" s="618"/>
      <c r="E433" s="618"/>
      <c r="F433" s="618"/>
      <c r="G433" s="618"/>
      <c r="H433" s="618"/>
      <c r="I433" s="618"/>
      <c r="J433" s="618"/>
      <c r="K433" s="618"/>
      <c r="L433" s="618"/>
      <c r="M433" s="618"/>
      <c r="N433" s="618"/>
      <c r="O433" s="618"/>
      <c r="P433" s="618"/>
      <c r="Q433" s="618"/>
      <c r="R433" s="618"/>
      <c r="S433" s="618"/>
      <c r="T433" s="618"/>
      <c r="U433" s="618"/>
      <c r="V433" s="618"/>
      <c r="W433" s="618"/>
      <c r="X433" s="618"/>
      <c r="Y433" s="618"/>
      <c r="Z433" s="618"/>
      <c r="AA433" s="66"/>
      <c r="AB433" s="66"/>
      <c r="AC433" s="80"/>
    </row>
    <row r="434" spans="1:68" ht="16.5" customHeight="1" x14ac:dyDescent="0.25">
      <c r="A434" s="63" t="s">
        <v>677</v>
      </c>
      <c r="B434" s="63" t="s">
        <v>678</v>
      </c>
      <c r="C434" s="36">
        <v>4301020334</v>
      </c>
      <c r="D434" s="619">
        <v>4607091388930</v>
      </c>
      <c r="E434" s="619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115</v>
      </c>
      <c r="L434" s="37" t="s">
        <v>116</v>
      </c>
      <c r="M434" s="38" t="s">
        <v>88</v>
      </c>
      <c r="N434" s="38"/>
      <c r="O434" s="37">
        <v>70</v>
      </c>
      <c r="P434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621"/>
      <c r="R434" s="621"/>
      <c r="S434" s="621"/>
      <c r="T434" s="622"/>
      <c r="U434" s="39" t="s">
        <v>45</v>
      </c>
      <c r="V434" s="39" t="s">
        <v>45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IFERROR(IF(Y434=0,"",ROUNDUP(Y434/H434,0)*0.01196),"")</f>
        <v/>
      </c>
      <c r="AA434" s="68" t="s">
        <v>45</v>
      </c>
      <c r="AB434" s="69" t="s">
        <v>45</v>
      </c>
      <c r="AC434" s="498" t="s">
        <v>679</v>
      </c>
      <c r="AG434" s="78"/>
      <c r="AJ434" s="84" t="s">
        <v>117</v>
      </c>
      <c r="AK434" s="84">
        <v>42.24</v>
      </c>
      <c r="BB434" s="499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16.5" customHeight="1" x14ac:dyDescent="0.25">
      <c r="A435" s="63" t="s">
        <v>680</v>
      </c>
      <c r="B435" s="63" t="s">
        <v>681</v>
      </c>
      <c r="C435" s="36">
        <v>4301020384</v>
      </c>
      <c r="D435" s="619">
        <v>4680115886407</v>
      </c>
      <c r="E435" s="619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89</v>
      </c>
      <c r="L435" s="37" t="s">
        <v>45</v>
      </c>
      <c r="M435" s="38" t="s">
        <v>88</v>
      </c>
      <c r="N435" s="38"/>
      <c r="O435" s="37">
        <v>70</v>
      </c>
      <c r="P435" s="8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621"/>
      <c r="R435" s="621"/>
      <c r="S435" s="621"/>
      <c r="T435" s="622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0" t="s">
        <v>679</v>
      </c>
      <c r="AG435" s="78"/>
      <c r="AJ435" s="84" t="s">
        <v>45</v>
      </c>
      <c r="AK435" s="84">
        <v>0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682</v>
      </c>
      <c r="B436" s="63" t="s">
        <v>683</v>
      </c>
      <c r="C436" s="36">
        <v>4301020385</v>
      </c>
      <c r="D436" s="619">
        <v>4680115880054</v>
      </c>
      <c r="E436" s="619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120</v>
      </c>
      <c r="L436" s="37" t="s">
        <v>45</v>
      </c>
      <c r="M436" s="38" t="s">
        <v>114</v>
      </c>
      <c r="N436" s="38"/>
      <c r="O436" s="37">
        <v>70</v>
      </c>
      <c r="P436" s="83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621"/>
      <c r="R436" s="621"/>
      <c r="S436" s="621"/>
      <c r="T436" s="622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2" t="s">
        <v>679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26"/>
      <c r="B437" s="626"/>
      <c r="C437" s="626"/>
      <c r="D437" s="626"/>
      <c r="E437" s="626"/>
      <c r="F437" s="626"/>
      <c r="G437" s="626"/>
      <c r="H437" s="626"/>
      <c r="I437" s="626"/>
      <c r="J437" s="626"/>
      <c r="K437" s="626"/>
      <c r="L437" s="626"/>
      <c r="M437" s="626"/>
      <c r="N437" s="626"/>
      <c r="O437" s="627"/>
      <c r="P437" s="623" t="s">
        <v>40</v>
      </c>
      <c r="Q437" s="624"/>
      <c r="R437" s="624"/>
      <c r="S437" s="624"/>
      <c r="T437" s="624"/>
      <c r="U437" s="624"/>
      <c r="V437" s="625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26"/>
      <c r="B438" s="626"/>
      <c r="C438" s="626"/>
      <c r="D438" s="626"/>
      <c r="E438" s="626"/>
      <c r="F438" s="626"/>
      <c r="G438" s="626"/>
      <c r="H438" s="626"/>
      <c r="I438" s="626"/>
      <c r="J438" s="626"/>
      <c r="K438" s="626"/>
      <c r="L438" s="626"/>
      <c r="M438" s="626"/>
      <c r="N438" s="626"/>
      <c r="O438" s="627"/>
      <c r="P438" s="623" t="s">
        <v>40</v>
      </c>
      <c r="Q438" s="624"/>
      <c r="R438" s="624"/>
      <c r="S438" s="624"/>
      <c r="T438" s="624"/>
      <c r="U438" s="624"/>
      <c r="V438" s="625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customHeight="1" x14ac:dyDescent="0.25">
      <c r="A439" s="618" t="s">
        <v>78</v>
      </c>
      <c r="B439" s="618"/>
      <c r="C439" s="618"/>
      <c r="D439" s="618"/>
      <c r="E439" s="618"/>
      <c r="F439" s="618"/>
      <c r="G439" s="618"/>
      <c r="H439" s="618"/>
      <c r="I439" s="618"/>
      <c r="J439" s="618"/>
      <c r="K439" s="618"/>
      <c r="L439" s="618"/>
      <c r="M439" s="618"/>
      <c r="N439" s="618"/>
      <c r="O439" s="618"/>
      <c r="P439" s="618"/>
      <c r="Q439" s="618"/>
      <c r="R439" s="618"/>
      <c r="S439" s="618"/>
      <c r="T439" s="618"/>
      <c r="U439" s="618"/>
      <c r="V439" s="618"/>
      <c r="W439" s="618"/>
      <c r="X439" s="618"/>
      <c r="Y439" s="618"/>
      <c r="Z439" s="618"/>
      <c r="AA439" s="66"/>
      <c r="AB439" s="66"/>
      <c r="AC439" s="80"/>
    </row>
    <row r="440" spans="1:68" ht="27" customHeight="1" x14ac:dyDescent="0.25">
      <c r="A440" s="63" t="s">
        <v>684</v>
      </c>
      <c r="B440" s="63" t="s">
        <v>685</v>
      </c>
      <c r="C440" s="36">
        <v>4301031349</v>
      </c>
      <c r="D440" s="619">
        <v>4680115883116</v>
      </c>
      <c r="E440" s="619"/>
      <c r="F440" s="62">
        <v>0.88</v>
      </c>
      <c r="G440" s="37">
        <v>6</v>
      </c>
      <c r="H440" s="62">
        <v>5.28</v>
      </c>
      <c r="I440" s="62">
        <v>5.63</v>
      </c>
      <c r="J440" s="37">
        <v>104</v>
      </c>
      <c r="K440" s="37" t="s">
        <v>115</v>
      </c>
      <c r="L440" s="37" t="s">
        <v>116</v>
      </c>
      <c r="M440" s="38" t="s">
        <v>114</v>
      </c>
      <c r="N440" s="38"/>
      <c r="O440" s="37">
        <v>70</v>
      </c>
      <c r="P440" s="83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621"/>
      <c r="R440" s="621"/>
      <c r="S440" s="621"/>
      <c r="T440" s="622"/>
      <c r="U440" s="39" t="s">
        <v>45</v>
      </c>
      <c r="V440" s="39" t="s">
        <v>45</v>
      </c>
      <c r="W440" s="40" t="s">
        <v>0</v>
      </c>
      <c r="X440" s="58">
        <v>0</v>
      </c>
      <c r="Y440" s="55">
        <f t="shared" ref="Y440:Y445" si="48">IFERROR(IF(X440="",0,CEILING((X440/$H440),1)*$H440),"")</f>
        <v>0</v>
      </c>
      <c r="Z440" s="41" t="str">
        <f>IFERROR(IF(Y440=0,"",ROUNDUP(Y440/H440,0)*0.01196),"")</f>
        <v/>
      </c>
      <c r="AA440" s="68" t="s">
        <v>45</v>
      </c>
      <c r="AB440" s="69" t="s">
        <v>45</v>
      </c>
      <c r="AC440" s="504" t="s">
        <v>686</v>
      </c>
      <c r="AG440" s="78"/>
      <c r="AJ440" s="84" t="s">
        <v>117</v>
      </c>
      <c r="AK440" s="84">
        <v>42.24</v>
      </c>
      <c r="BB440" s="505" t="s">
        <v>66</v>
      </c>
      <c r="BM440" s="78">
        <f t="shared" ref="BM440:BM445" si="49">IFERROR(X440*I440/H440,"0")</f>
        <v>0</v>
      </c>
      <c r="BN440" s="78">
        <f t="shared" ref="BN440:BN445" si="50">IFERROR(Y440*I440/H440,"0")</f>
        <v>0</v>
      </c>
      <c r="BO440" s="78">
        <f t="shared" ref="BO440:BO445" si="51">IFERROR(1/J440*(X440/H440),"0")</f>
        <v>0</v>
      </c>
      <c r="BP440" s="78">
        <f t="shared" ref="BP440:BP445" si="52">IFERROR(1/J440*(Y440/H440),"0")</f>
        <v>0</v>
      </c>
    </row>
    <row r="441" spans="1:68" ht="27" customHeight="1" x14ac:dyDescent="0.25">
      <c r="A441" s="63" t="s">
        <v>687</v>
      </c>
      <c r="B441" s="63" t="s">
        <v>688</v>
      </c>
      <c r="C441" s="36">
        <v>4301031350</v>
      </c>
      <c r="D441" s="619">
        <v>4680115883093</v>
      </c>
      <c r="E441" s="619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115</v>
      </c>
      <c r="L441" s="37" t="s">
        <v>116</v>
      </c>
      <c r="M441" s="38" t="s">
        <v>82</v>
      </c>
      <c r="N441" s="38"/>
      <c r="O441" s="37">
        <v>70</v>
      </c>
      <c r="P441" s="83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621"/>
      <c r="R441" s="621"/>
      <c r="S441" s="621"/>
      <c r="T441" s="622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si="48"/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689</v>
      </c>
      <c r="AG441" s="78"/>
      <c r="AJ441" s="84" t="s">
        <v>117</v>
      </c>
      <c r="AK441" s="84">
        <v>42.24</v>
      </c>
      <c r="BB441" s="507" t="s">
        <v>66</v>
      </c>
      <c r="BM441" s="78">
        <f t="shared" si="49"/>
        <v>0</v>
      </c>
      <c r="BN441" s="78">
        <f t="shared" si="50"/>
        <v>0</v>
      </c>
      <c r="BO441" s="78">
        <f t="shared" si="51"/>
        <v>0</v>
      </c>
      <c r="BP441" s="78">
        <f t="shared" si="52"/>
        <v>0</v>
      </c>
    </row>
    <row r="442" spans="1:68" ht="27" customHeight="1" x14ac:dyDescent="0.25">
      <c r="A442" s="63" t="s">
        <v>690</v>
      </c>
      <c r="B442" s="63" t="s">
        <v>691</v>
      </c>
      <c r="C442" s="36">
        <v>4301031353</v>
      </c>
      <c r="D442" s="619">
        <v>4680115883109</v>
      </c>
      <c r="E442" s="619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115</v>
      </c>
      <c r="L442" s="37" t="s">
        <v>116</v>
      </c>
      <c r="M442" s="38" t="s">
        <v>82</v>
      </c>
      <c r="N442" s="38"/>
      <c r="O442" s="37">
        <v>70</v>
      </c>
      <c r="P442" s="83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621"/>
      <c r="R442" s="621"/>
      <c r="S442" s="621"/>
      <c r="T442" s="622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48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692</v>
      </c>
      <c r="AG442" s="78"/>
      <c r="AJ442" s="84" t="s">
        <v>117</v>
      </c>
      <c r="AK442" s="84">
        <v>42.24</v>
      </c>
      <c r="BB442" s="509" t="s">
        <v>66</v>
      </c>
      <c r="BM442" s="78">
        <f t="shared" si="49"/>
        <v>0</v>
      </c>
      <c r="BN442" s="78">
        <f t="shared" si="50"/>
        <v>0</v>
      </c>
      <c r="BO442" s="78">
        <f t="shared" si="51"/>
        <v>0</v>
      </c>
      <c r="BP442" s="78">
        <f t="shared" si="52"/>
        <v>0</v>
      </c>
    </row>
    <row r="443" spans="1:68" ht="27" customHeight="1" x14ac:dyDescent="0.25">
      <c r="A443" s="63" t="s">
        <v>693</v>
      </c>
      <c r="B443" s="63" t="s">
        <v>694</v>
      </c>
      <c r="C443" s="36">
        <v>4301031419</v>
      </c>
      <c r="D443" s="619">
        <v>4680115882072</v>
      </c>
      <c r="E443" s="619"/>
      <c r="F443" s="62">
        <v>0.6</v>
      </c>
      <c r="G443" s="37">
        <v>8</v>
      </c>
      <c r="H443" s="62">
        <v>4.8</v>
      </c>
      <c r="I443" s="62">
        <v>6.91</v>
      </c>
      <c r="J443" s="37">
        <v>132</v>
      </c>
      <c r="K443" s="37" t="s">
        <v>120</v>
      </c>
      <c r="L443" s="37" t="s">
        <v>208</v>
      </c>
      <c r="M443" s="38" t="s">
        <v>114</v>
      </c>
      <c r="N443" s="38"/>
      <c r="O443" s="37">
        <v>70</v>
      </c>
      <c r="P443" s="83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621"/>
      <c r="R443" s="621"/>
      <c r="S443" s="621"/>
      <c r="T443" s="622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IFERROR(IF(Y443=0,"",ROUNDUP(Y443/H443,0)*0.00902),"")</f>
        <v/>
      </c>
      <c r="AA443" s="68" t="s">
        <v>45</v>
      </c>
      <c r="AB443" s="69" t="s">
        <v>45</v>
      </c>
      <c r="AC443" s="510" t="s">
        <v>686</v>
      </c>
      <c r="AG443" s="78"/>
      <c r="AJ443" s="84" t="s">
        <v>117</v>
      </c>
      <c r="AK443" s="84">
        <v>57.6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695</v>
      </c>
      <c r="B444" s="63" t="s">
        <v>696</v>
      </c>
      <c r="C444" s="36">
        <v>4301031418</v>
      </c>
      <c r="D444" s="619">
        <v>4680115882102</v>
      </c>
      <c r="E444" s="619"/>
      <c r="F444" s="62">
        <v>0.6</v>
      </c>
      <c r="G444" s="37">
        <v>8</v>
      </c>
      <c r="H444" s="62">
        <v>4.8</v>
      </c>
      <c r="I444" s="62">
        <v>6.67</v>
      </c>
      <c r="J444" s="37">
        <v>132</v>
      </c>
      <c r="K444" s="37" t="s">
        <v>120</v>
      </c>
      <c r="L444" s="37" t="s">
        <v>208</v>
      </c>
      <c r="M444" s="38" t="s">
        <v>82</v>
      </c>
      <c r="N444" s="38"/>
      <c r="O444" s="37">
        <v>70</v>
      </c>
      <c r="P444" s="84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621"/>
      <c r="R444" s="621"/>
      <c r="S444" s="621"/>
      <c r="T444" s="622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689</v>
      </c>
      <c r="AG444" s="78"/>
      <c r="AJ444" s="84" t="s">
        <v>117</v>
      </c>
      <c r="AK444" s="84">
        <v>57.6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697</v>
      </c>
      <c r="B445" s="63" t="s">
        <v>698</v>
      </c>
      <c r="C445" s="36">
        <v>4301031417</v>
      </c>
      <c r="D445" s="619">
        <v>4680115882096</v>
      </c>
      <c r="E445" s="619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120</v>
      </c>
      <c r="L445" s="37" t="s">
        <v>208</v>
      </c>
      <c r="M445" s="38" t="s">
        <v>82</v>
      </c>
      <c r="N445" s="38"/>
      <c r="O445" s="37">
        <v>70</v>
      </c>
      <c r="P445" s="8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621"/>
      <c r="R445" s="621"/>
      <c r="S445" s="621"/>
      <c r="T445" s="622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692</v>
      </c>
      <c r="AG445" s="78"/>
      <c r="AJ445" s="84" t="s">
        <v>117</v>
      </c>
      <c r="AK445" s="84">
        <v>57.6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x14ac:dyDescent="0.2">
      <c r="A446" s="626"/>
      <c r="B446" s="626"/>
      <c r="C446" s="626"/>
      <c r="D446" s="626"/>
      <c r="E446" s="626"/>
      <c r="F446" s="626"/>
      <c r="G446" s="626"/>
      <c r="H446" s="626"/>
      <c r="I446" s="626"/>
      <c r="J446" s="626"/>
      <c r="K446" s="626"/>
      <c r="L446" s="626"/>
      <c r="M446" s="626"/>
      <c r="N446" s="626"/>
      <c r="O446" s="627"/>
      <c r="P446" s="623" t="s">
        <v>40</v>
      </c>
      <c r="Q446" s="624"/>
      <c r="R446" s="624"/>
      <c r="S446" s="624"/>
      <c r="T446" s="624"/>
      <c r="U446" s="624"/>
      <c r="V446" s="625"/>
      <c r="W446" s="42" t="s">
        <v>39</v>
      </c>
      <c r="X446" s="43">
        <f>IFERROR(X440/H440,"0")+IFERROR(X441/H441,"0")+IFERROR(X442/H442,"0")+IFERROR(X443/H443,"0")+IFERROR(X444/H444,"0")+IFERROR(X445/H445,"0")</f>
        <v>0</v>
      </c>
      <c r="Y446" s="43">
        <f>IFERROR(Y440/H440,"0")+IFERROR(Y441/H441,"0")+IFERROR(Y442/H442,"0")+IFERROR(Y443/H443,"0")+IFERROR(Y444/H444,"0")+IFERROR(Y445/H445,"0")</f>
        <v>0</v>
      </c>
      <c r="Z446" s="43">
        <f>IFERROR(IF(Z440="",0,Z440),"0")+IFERROR(IF(Z441="",0,Z441),"0")+IFERROR(IF(Z442="",0,Z442),"0")+IFERROR(IF(Z443="",0,Z443),"0")+IFERROR(IF(Z444="",0,Z444),"0")+IFERROR(IF(Z445="",0,Z445),"0")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26"/>
      <c r="B447" s="626"/>
      <c r="C447" s="626"/>
      <c r="D447" s="626"/>
      <c r="E447" s="626"/>
      <c r="F447" s="626"/>
      <c r="G447" s="626"/>
      <c r="H447" s="626"/>
      <c r="I447" s="626"/>
      <c r="J447" s="626"/>
      <c r="K447" s="626"/>
      <c r="L447" s="626"/>
      <c r="M447" s="626"/>
      <c r="N447" s="626"/>
      <c r="O447" s="627"/>
      <c r="P447" s="623" t="s">
        <v>40</v>
      </c>
      <c r="Q447" s="624"/>
      <c r="R447" s="624"/>
      <c r="S447" s="624"/>
      <c r="T447" s="624"/>
      <c r="U447" s="624"/>
      <c r="V447" s="625"/>
      <c r="W447" s="42" t="s">
        <v>0</v>
      </c>
      <c r="X447" s="43">
        <f>IFERROR(SUM(X440:X445),"0")</f>
        <v>0</v>
      </c>
      <c r="Y447" s="43">
        <f>IFERROR(SUM(Y440:Y445),"0")</f>
        <v>0</v>
      </c>
      <c r="Z447" s="42"/>
      <c r="AA447" s="67"/>
      <c r="AB447" s="67"/>
      <c r="AC447" s="67"/>
    </row>
    <row r="448" spans="1:68" ht="14.25" customHeight="1" x14ac:dyDescent="0.25">
      <c r="A448" s="618" t="s">
        <v>84</v>
      </c>
      <c r="B448" s="618"/>
      <c r="C448" s="618"/>
      <c r="D448" s="618"/>
      <c r="E448" s="618"/>
      <c r="F448" s="618"/>
      <c r="G448" s="618"/>
      <c r="H448" s="618"/>
      <c r="I448" s="618"/>
      <c r="J448" s="618"/>
      <c r="K448" s="618"/>
      <c r="L448" s="618"/>
      <c r="M448" s="618"/>
      <c r="N448" s="618"/>
      <c r="O448" s="618"/>
      <c r="P448" s="618"/>
      <c r="Q448" s="618"/>
      <c r="R448" s="618"/>
      <c r="S448" s="618"/>
      <c r="T448" s="618"/>
      <c r="U448" s="618"/>
      <c r="V448" s="618"/>
      <c r="W448" s="618"/>
      <c r="X448" s="618"/>
      <c r="Y448" s="618"/>
      <c r="Z448" s="618"/>
      <c r="AA448" s="66"/>
      <c r="AB448" s="66"/>
      <c r="AC448" s="80"/>
    </row>
    <row r="449" spans="1:68" ht="16.5" customHeight="1" x14ac:dyDescent="0.25">
      <c r="A449" s="63" t="s">
        <v>699</v>
      </c>
      <c r="B449" s="63" t="s">
        <v>700</v>
      </c>
      <c r="C449" s="36">
        <v>4301051232</v>
      </c>
      <c r="D449" s="619">
        <v>4607091383409</v>
      </c>
      <c r="E449" s="619"/>
      <c r="F449" s="62">
        <v>1.3</v>
      </c>
      <c r="G449" s="37">
        <v>6</v>
      </c>
      <c r="H449" s="62">
        <v>7.8</v>
      </c>
      <c r="I449" s="62">
        <v>8.2759999999999998</v>
      </c>
      <c r="J449" s="37">
        <v>64</v>
      </c>
      <c r="K449" s="37" t="s">
        <v>115</v>
      </c>
      <c r="L449" s="37" t="s">
        <v>45</v>
      </c>
      <c r="M449" s="38" t="s">
        <v>88</v>
      </c>
      <c r="N449" s="38"/>
      <c r="O449" s="37">
        <v>45</v>
      </c>
      <c r="P449" s="84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621"/>
      <c r="R449" s="621"/>
      <c r="S449" s="621"/>
      <c r="T449" s="622"/>
      <c r="U449" s="39" t="s">
        <v>45</v>
      </c>
      <c r="V449" s="39" t="s">
        <v>45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45</v>
      </c>
      <c r="AB449" s="69" t="s">
        <v>45</v>
      </c>
      <c r="AC449" s="516" t="s">
        <v>701</v>
      </c>
      <c r="AG449" s="78"/>
      <c r="AJ449" s="84" t="s">
        <v>45</v>
      </c>
      <c r="AK449" s="84">
        <v>0</v>
      </c>
      <c r="BB449" s="51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702</v>
      </c>
      <c r="B450" s="63" t="s">
        <v>703</v>
      </c>
      <c r="C450" s="36">
        <v>4301051233</v>
      </c>
      <c r="D450" s="619">
        <v>4607091383416</v>
      </c>
      <c r="E450" s="619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115</v>
      </c>
      <c r="L450" s="37" t="s">
        <v>45</v>
      </c>
      <c r="M450" s="38" t="s">
        <v>88</v>
      </c>
      <c r="N450" s="38"/>
      <c r="O450" s="37">
        <v>45</v>
      </c>
      <c r="P450" s="84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621"/>
      <c r="R450" s="621"/>
      <c r="S450" s="621"/>
      <c r="T450" s="622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704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705</v>
      </c>
      <c r="B451" s="63" t="s">
        <v>706</v>
      </c>
      <c r="C451" s="36">
        <v>4301051064</v>
      </c>
      <c r="D451" s="619">
        <v>4680115883536</v>
      </c>
      <c r="E451" s="619"/>
      <c r="F451" s="62">
        <v>0.3</v>
      </c>
      <c r="G451" s="37">
        <v>6</v>
      </c>
      <c r="H451" s="62">
        <v>1.8</v>
      </c>
      <c r="I451" s="62">
        <v>2.0459999999999998</v>
      </c>
      <c r="J451" s="37">
        <v>182</v>
      </c>
      <c r="K451" s="37" t="s">
        <v>89</v>
      </c>
      <c r="L451" s="37" t="s">
        <v>45</v>
      </c>
      <c r="M451" s="38" t="s">
        <v>88</v>
      </c>
      <c r="N451" s="38"/>
      <c r="O451" s="37">
        <v>45</v>
      </c>
      <c r="P451" s="84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621"/>
      <c r="R451" s="621"/>
      <c r="S451" s="621"/>
      <c r="T451" s="622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IFERROR(IF(Y451=0,"",ROUNDUP(Y451/H451,0)*0.00651),"")</f>
        <v/>
      </c>
      <c r="AA451" s="68" t="s">
        <v>45</v>
      </c>
      <c r="AB451" s="69" t="s">
        <v>45</v>
      </c>
      <c r="AC451" s="520" t="s">
        <v>707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26"/>
      <c r="B452" s="626"/>
      <c r="C452" s="626"/>
      <c r="D452" s="626"/>
      <c r="E452" s="626"/>
      <c r="F452" s="626"/>
      <c r="G452" s="626"/>
      <c r="H452" s="626"/>
      <c r="I452" s="626"/>
      <c r="J452" s="626"/>
      <c r="K452" s="626"/>
      <c r="L452" s="626"/>
      <c r="M452" s="626"/>
      <c r="N452" s="626"/>
      <c r="O452" s="627"/>
      <c r="P452" s="623" t="s">
        <v>40</v>
      </c>
      <c r="Q452" s="624"/>
      <c r="R452" s="624"/>
      <c r="S452" s="624"/>
      <c r="T452" s="624"/>
      <c r="U452" s="624"/>
      <c r="V452" s="625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26"/>
      <c r="B453" s="626"/>
      <c r="C453" s="626"/>
      <c r="D453" s="626"/>
      <c r="E453" s="626"/>
      <c r="F453" s="626"/>
      <c r="G453" s="626"/>
      <c r="H453" s="626"/>
      <c r="I453" s="626"/>
      <c r="J453" s="626"/>
      <c r="K453" s="626"/>
      <c r="L453" s="626"/>
      <c r="M453" s="626"/>
      <c r="N453" s="626"/>
      <c r="O453" s="627"/>
      <c r="P453" s="623" t="s">
        <v>40</v>
      </c>
      <c r="Q453" s="624"/>
      <c r="R453" s="624"/>
      <c r="S453" s="624"/>
      <c r="T453" s="624"/>
      <c r="U453" s="624"/>
      <c r="V453" s="625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27.75" customHeight="1" x14ac:dyDescent="0.2">
      <c r="A454" s="616" t="s">
        <v>708</v>
      </c>
      <c r="B454" s="616"/>
      <c r="C454" s="616"/>
      <c r="D454" s="616"/>
      <c r="E454" s="616"/>
      <c r="F454" s="616"/>
      <c r="G454" s="616"/>
      <c r="H454" s="616"/>
      <c r="I454" s="616"/>
      <c r="J454" s="616"/>
      <c r="K454" s="616"/>
      <c r="L454" s="616"/>
      <c r="M454" s="616"/>
      <c r="N454" s="616"/>
      <c r="O454" s="616"/>
      <c r="P454" s="616"/>
      <c r="Q454" s="616"/>
      <c r="R454" s="616"/>
      <c r="S454" s="616"/>
      <c r="T454" s="616"/>
      <c r="U454" s="616"/>
      <c r="V454" s="616"/>
      <c r="W454" s="616"/>
      <c r="X454" s="616"/>
      <c r="Y454" s="616"/>
      <c r="Z454" s="616"/>
      <c r="AA454" s="54"/>
      <c r="AB454" s="54"/>
      <c r="AC454" s="54"/>
    </row>
    <row r="455" spans="1:68" ht="16.5" customHeight="1" x14ac:dyDescent="0.25">
      <c r="A455" s="617" t="s">
        <v>708</v>
      </c>
      <c r="B455" s="617"/>
      <c r="C455" s="617"/>
      <c r="D455" s="617"/>
      <c r="E455" s="617"/>
      <c r="F455" s="617"/>
      <c r="G455" s="617"/>
      <c r="H455" s="617"/>
      <c r="I455" s="617"/>
      <c r="J455" s="617"/>
      <c r="K455" s="617"/>
      <c r="L455" s="617"/>
      <c r="M455" s="617"/>
      <c r="N455" s="617"/>
      <c r="O455" s="617"/>
      <c r="P455" s="617"/>
      <c r="Q455" s="617"/>
      <c r="R455" s="617"/>
      <c r="S455" s="617"/>
      <c r="T455" s="617"/>
      <c r="U455" s="617"/>
      <c r="V455" s="617"/>
      <c r="W455" s="617"/>
      <c r="X455" s="617"/>
      <c r="Y455" s="617"/>
      <c r="Z455" s="617"/>
      <c r="AA455" s="65"/>
      <c r="AB455" s="65"/>
      <c r="AC455" s="79"/>
    </row>
    <row r="456" spans="1:68" ht="14.25" customHeight="1" x14ac:dyDescent="0.25">
      <c r="A456" s="618" t="s">
        <v>110</v>
      </c>
      <c r="B456" s="618"/>
      <c r="C456" s="618"/>
      <c r="D456" s="618"/>
      <c r="E456" s="618"/>
      <c r="F456" s="618"/>
      <c r="G456" s="618"/>
      <c r="H456" s="618"/>
      <c r="I456" s="618"/>
      <c r="J456" s="618"/>
      <c r="K456" s="618"/>
      <c r="L456" s="618"/>
      <c r="M456" s="618"/>
      <c r="N456" s="618"/>
      <c r="O456" s="618"/>
      <c r="P456" s="618"/>
      <c r="Q456" s="618"/>
      <c r="R456" s="618"/>
      <c r="S456" s="618"/>
      <c r="T456" s="618"/>
      <c r="U456" s="618"/>
      <c r="V456" s="618"/>
      <c r="W456" s="618"/>
      <c r="X456" s="618"/>
      <c r="Y456" s="618"/>
      <c r="Z456" s="618"/>
      <c r="AA456" s="66"/>
      <c r="AB456" s="66"/>
      <c r="AC456" s="80"/>
    </row>
    <row r="457" spans="1:68" ht="27" customHeight="1" x14ac:dyDescent="0.25">
      <c r="A457" s="63" t="s">
        <v>709</v>
      </c>
      <c r="B457" s="63" t="s">
        <v>710</v>
      </c>
      <c r="C457" s="36">
        <v>4301011763</v>
      </c>
      <c r="D457" s="619">
        <v>4640242181011</v>
      </c>
      <c r="E457" s="619"/>
      <c r="F457" s="62">
        <v>1.35</v>
      </c>
      <c r="G457" s="37">
        <v>8</v>
      </c>
      <c r="H457" s="62">
        <v>10.8</v>
      </c>
      <c r="I457" s="62">
        <v>11.21</v>
      </c>
      <c r="J457" s="37">
        <v>64</v>
      </c>
      <c r="K457" s="37" t="s">
        <v>115</v>
      </c>
      <c r="L457" s="37" t="s">
        <v>45</v>
      </c>
      <c r="M457" s="38" t="s">
        <v>88</v>
      </c>
      <c r="N457" s="38"/>
      <c r="O457" s="37">
        <v>55</v>
      </c>
      <c r="P457" s="8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621"/>
      <c r="R457" s="621"/>
      <c r="S457" s="621"/>
      <c r="T457" s="622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45</v>
      </c>
      <c r="AB457" s="69" t="s">
        <v>45</v>
      </c>
      <c r="AC457" s="522" t="s">
        <v>711</v>
      </c>
      <c r="AG457" s="78"/>
      <c r="AJ457" s="84" t="s">
        <v>45</v>
      </c>
      <c r="AK457" s="84">
        <v>0</v>
      </c>
      <c r="BB457" s="523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712</v>
      </c>
      <c r="B458" s="63" t="s">
        <v>713</v>
      </c>
      <c r="C458" s="36">
        <v>4301011585</v>
      </c>
      <c r="D458" s="619">
        <v>4640242180441</v>
      </c>
      <c r="E458" s="619"/>
      <c r="F458" s="62">
        <v>1.5</v>
      </c>
      <c r="G458" s="37">
        <v>8</v>
      </c>
      <c r="H458" s="62">
        <v>12</v>
      </c>
      <c r="I458" s="62">
        <v>12.41</v>
      </c>
      <c r="J458" s="37">
        <v>64</v>
      </c>
      <c r="K458" s="37" t="s">
        <v>115</v>
      </c>
      <c r="L458" s="37" t="s">
        <v>45</v>
      </c>
      <c r="M458" s="38" t="s">
        <v>114</v>
      </c>
      <c r="N458" s="38"/>
      <c r="O458" s="37">
        <v>50</v>
      </c>
      <c r="P458" s="8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621"/>
      <c r="R458" s="621"/>
      <c r="S458" s="621"/>
      <c r="T458" s="622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714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715</v>
      </c>
      <c r="B459" s="63" t="s">
        <v>716</v>
      </c>
      <c r="C459" s="36">
        <v>4301011584</v>
      </c>
      <c r="D459" s="619">
        <v>4640242180564</v>
      </c>
      <c r="E459" s="619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115</v>
      </c>
      <c r="L459" s="37" t="s">
        <v>45</v>
      </c>
      <c r="M459" s="38" t="s">
        <v>114</v>
      </c>
      <c r="N459" s="38"/>
      <c r="O459" s="37">
        <v>50</v>
      </c>
      <c r="P459" s="84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621"/>
      <c r="R459" s="621"/>
      <c r="S459" s="621"/>
      <c r="T459" s="622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717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718</v>
      </c>
      <c r="B460" s="63" t="s">
        <v>719</v>
      </c>
      <c r="C460" s="36">
        <v>4301011764</v>
      </c>
      <c r="D460" s="619">
        <v>4640242181189</v>
      </c>
      <c r="E460" s="619"/>
      <c r="F460" s="62">
        <v>0.4</v>
      </c>
      <c r="G460" s="37">
        <v>10</v>
      </c>
      <c r="H460" s="62">
        <v>4</v>
      </c>
      <c r="I460" s="62">
        <v>4.1900000000000004</v>
      </c>
      <c r="J460" s="37">
        <v>132</v>
      </c>
      <c r="K460" s="37" t="s">
        <v>120</v>
      </c>
      <c r="L460" s="37" t="s">
        <v>45</v>
      </c>
      <c r="M460" s="38" t="s">
        <v>88</v>
      </c>
      <c r="N460" s="38"/>
      <c r="O460" s="37">
        <v>55</v>
      </c>
      <c r="P460" s="84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621"/>
      <c r="R460" s="621"/>
      <c r="S460" s="621"/>
      <c r="T460" s="622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45</v>
      </c>
      <c r="AB460" s="69" t="s">
        <v>45</v>
      </c>
      <c r="AC460" s="528" t="s">
        <v>711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26"/>
      <c r="B461" s="626"/>
      <c r="C461" s="626"/>
      <c r="D461" s="626"/>
      <c r="E461" s="626"/>
      <c r="F461" s="626"/>
      <c r="G461" s="626"/>
      <c r="H461" s="626"/>
      <c r="I461" s="626"/>
      <c r="J461" s="626"/>
      <c r="K461" s="626"/>
      <c r="L461" s="626"/>
      <c r="M461" s="626"/>
      <c r="N461" s="626"/>
      <c r="O461" s="627"/>
      <c r="P461" s="623" t="s">
        <v>40</v>
      </c>
      <c r="Q461" s="624"/>
      <c r="R461" s="624"/>
      <c r="S461" s="624"/>
      <c r="T461" s="624"/>
      <c r="U461" s="624"/>
      <c r="V461" s="625"/>
      <c r="W461" s="42" t="s">
        <v>39</v>
      </c>
      <c r="X461" s="43">
        <f>IFERROR(X457/H457,"0")+IFERROR(X458/H458,"0")+IFERROR(X459/H459,"0")+IFERROR(X460/H460,"0")</f>
        <v>0</v>
      </c>
      <c r="Y461" s="43">
        <f>IFERROR(Y457/H457,"0")+IFERROR(Y458/H458,"0")+IFERROR(Y459/H459,"0")+IFERROR(Y460/H460,"0")</f>
        <v>0</v>
      </c>
      <c r="Z461" s="43">
        <f>IFERROR(IF(Z457="",0,Z457),"0")+IFERROR(IF(Z458="",0,Z458),"0")+IFERROR(IF(Z459="",0,Z459),"0")+IFERROR(IF(Z460="",0,Z460),"0")</f>
        <v>0</v>
      </c>
      <c r="AA461" s="67"/>
      <c r="AB461" s="67"/>
      <c r="AC461" s="67"/>
    </row>
    <row r="462" spans="1:68" x14ac:dyDescent="0.2">
      <c r="A462" s="626"/>
      <c r="B462" s="626"/>
      <c r="C462" s="626"/>
      <c r="D462" s="626"/>
      <c r="E462" s="626"/>
      <c r="F462" s="626"/>
      <c r="G462" s="626"/>
      <c r="H462" s="626"/>
      <c r="I462" s="626"/>
      <c r="J462" s="626"/>
      <c r="K462" s="626"/>
      <c r="L462" s="626"/>
      <c r="M462" s="626"/>
      <c r="N462" s="626"/>
      <c r="O462" s="627"/>
      <c r="P462" s="623" t="s">
        <v>40</v>
      </c>
      <c r="Q462" s="624"/>
      <c r="R462" s="624"/>
      <c r="S462" s="624"/>
      <c r="T462" s="624"/>
      <c r="U462" s="624"/>
      <c r="V462" s="625"/>
      <c r="W462" s="42" t="s">
        <v>0</v>
      </c>
      <c r="X462" s="43">
        <f>IFERROR(SUM(X457:X460),"0")</f>
        <v>0</v>
      </c>
      <c r="Y462" s="43">
        <f>IFERROR(SUM(Y457:Y460),"0")</f>
        <v>0</v>
      </c>
      <c r="Z462" s="42"/>
      <c r="AA462" s="67"/>
      <c r="AB462" s="67"/>
      <c r="AC462" s="67"/>
    </row>
    <row r="463" spans="1:68" ht="14.25" customHeight="1" x14ac:dyDescent="0.25">
      <c r="A463" s="618" t="s">
        <v>146</v>
      </c>
      <c r="B463" s="618"/>
      <c r="C463" s="618"/>
      <c r="D463" s="618"/>
      <c r="E463" s="618"/>
      <c r="F463" s="618"/>
      <c r="G463" s="618"/>
      <c r="H463" s="618"/>
      <c r="I463" s="618"/>
      <c r="J463" s="618"/>
      <c r="K463" s="618"/>
      <c r="L463" s="618"/>
      <c r="M463" s="618"/>
      <c r="N463" s="618"/>
      <c r="O463" s="618"/>
      <c r="P463" s="618"/>
      <c r="Q463" s="618"/>
      <c r="R463" s="618"/>
      <c r="S463" s="618"/>
      <c r="T463" s="618"/>
      <c r="U463" s="618"/>
      <c r="V463" s="618"/>
      <c r="W463" s="618"/>
      <c r="X463" s="618"/>
      <c r="Y463" s="618"/>
      <c r="Z463" s="618"/>
      <c r="AA463" s="66"/>
      <c r="AB463" s="66"/>
      <c r="AC463" s="80"/>
    </row>
    <row r="464" spans="1:68" ht="27" customHeight="1" x14ac:dyDescent="0.25">
      <c r="A464" s="63" t="s">
        <v>720</v>
      </c>
      <c r="B464" s="63" t="s">
        <v>721</v>
      </c>
      <c r="C464" s="36">
        <v>4301020400</v>
      </c>
      <c r="D464" s="619">
        <v>4640242180519</v>
      </c>
      <c r="E464" s="619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115</v>
      </c>
      <c r="L464" s="37" t="s">
        <v>45</v>
      </c>
      <c r="M464" s="38" t="s">
        <v>114</v>
      </c>
      <c r="N464" s="38"/>
      <c r="O464" s="37">
        <v>50</v>
      </c>
      <c r="P464" s="84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621"/>
      <c r="R464" s="621"/>
      <c r="S464" s="621"/>
      <c r="T464" s="622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0" t="s">
        <v>722</v>
      </c>
      <c r="AG464" s="78"/>
      <c r="AJ464" s="84" t="s">
        <v>45</v>
      </c>
      <c r="AK464" s="84">
        <v>0</v>
      </c>
      <c r="BB464" s="531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723</v>
      </c>
      <c r="B465" s="63" t="s">
        <v>724</v>
      </c>
      <c r="C465" s="36">
        <v>4301020260</v>
      </c>
      <c r="D465" s="619">
        <v>4640242180526</v>
      </c>
      <c r="E465" s="619"/>
      <c r="F465" s="62">
        <v>1.8</v>
      </c>
      <c r="G465" s="37">
        <v>6</v>
      </c>
      <c r="H465" s="62">
        <v>10.8</v>
      </c>
      <c r="I465" s="62">
        <v>11.21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5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621"/>
      <c r="R465" s="621"/>
      <c r="S465" s="621"/>
      <c r="T465" s="622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725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726</v>
      </c>
      <c r="B466" s="63" t="s">
        <v>727</v>
      </c>
      <c r="C466" s="36">
        <v>4301020295</v>
      </c>
      <c r="D466" s="619">
        <v>4640242181363</v>
      </c>
      <c r="E466" s="61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120</v>
      </c>
      <c r="L466" s="37" t="s">
        <v>45</v>
      </c>
      <c r="M466" s="38" t="s">
        <v>114</v>
      </c>
      <c r="N466" s="38"/>
      <c r="O466" s="37">
        <v>50</v>
      </c>
      <c r="P466" s="85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621"/>
      <c r="R466" s="621"/>
      <c r="S466" s="621"/>
      <c r="T466" s="622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45</v>
      </c>
      <c r="AB466" s="69" t="s">
        <v>45</v>
      </c>
      <c r="AC466" s="534" t="s">
        <v>728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26"/>
      <c r="B467" s="626"/>
      <c r="C467" s="626"/>
      <c r="D467" s="626"/>
      <c r="E467" s="626"/>
      <c r="F467" s="626"/>
      <c r="G467" s="626"/>
      <c r="H467" s="626"/>
      <c r="I467" s="626"/>
      <c r="J467" s="626"/>
      <c r="K467" s="626"/>
      <c r="L467" s="626"/>
      <c r="M467" s="626"/>
      <c r="N467" s="626"/>
      <c r="O467" s="627"/>
      <c r="P467" s="623" t="s">
        <v>40</v>
      </c>
      <c r="Q467" s="624"/>
      <c r="R467" s="624"/>
      <c r="S467" s="624"/>
      <c r="T467" s="624"/>
      <c r="U467" s="624"/>
      <c r="V467" s="625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626"/>
      <c r="B468" s="626"/>
      <c r="C468" s="626"/>
      <c r="D468" s="626"/>
      <c r="E468" s="626"/>
      <c r="F468" s="626"/>
      <c r="G468" s="626"/>
      <c r="H468" s="626"/>
      <c r="I468" s="626"/>
      <c r="J468" s="626"/>
      <c r="K468" s="626"/>
      <c r="L468" s="626"/>
      <c r="M468" s="626"/>
      <c r="N468" s="626"/>
      <c r="O468" s="627"/>
      <c r="P468" s="623" t="s">
        <v>40</v>
      </c>
      <c r="Q468" s="624"/>
      <c r="R468" s="624"/>
      <c r="S468" s="624"/>
      <c r="T468" s="624"/>
      <c r="U468" s="624"/>
      <c r="V468" s="625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14.25" customHeight="1" x14ac:dyDescent="0.25">
      <c r="A469" s="618" t="s">
        <v>78</v>
      </c>
      <c r="B469" s="618"/>
      <c r="C469" s="618"/>
      <c r="D469" s="618"/>
      <c r="E469" s="618"/>
      <c r="F469" s="618"/>
      <c r="G469" s="618"/>
      <c r="H469" s="618"/>
      <c r="I469" s="618"/>
      <c r="J469" s="618"/>
      <c r="K469" s="618"/>
      <c r="L469" s="618"/>
      <c r="M469" s="618"/>
      <c r="N469" s="618"/>
      <c r="O469" s="618"/>
      <c r="P469" s="618"/>
      <c r="Q469" s="618"/>
      <c r="R469" s="618"/>
      <c r="S469" s="618"/>
      <c r="T469" s="618"/>
      <c r="U469" s="618"/>
      <c r="V469" s="618"/>
      <c r="W469" s="618"/>
      <c r="X469" s="618"/>
      <c r="Y469" s="618"/>
      <c r="Z469" s="618"/>
      <c r="AA469" s="66"/>
      <c r="AB469" s="66"/>
      <c r="AC469" s="80"/>
    </row>
    <row r="470" spans="1:68" ht="27" customHeight="1" x14ac:dyDescent="0.25">
      <c r="A470" s="63" t="s">
        <v>729</v>
      </c>
      <c r="B470" s="63" t="s">
        <v>730</v>
      </c>
      <c r="C470" s="36">
        <v>4301031280</v>
      </c>
      <c r="D470" s="619">
        <v>4640242180816</v>
      </c>
      <c r="E470" s="619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120</v>
      </c>
      <c r="L470" s="37" t="s">
        <v>45</v>
      </c>
      <c r="M470" s="38" t="s">
        <v>82</v>
      </c>
      <c r="N470" s="38"/>
      <c r="O470" s="37">
        <v>40</v>
      </c>
      <c r="P470" s="85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621"/>
      <c r="R470" s="621"/>
      <c r="S470" s="621"/>
      <c r="T470" s="622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45</v>
      </c>
      <c r="AB470" s="69" t="s">
        <v>45</v>
      </c>
      <c r="AC470" s="536" t="s">
        <v>731</v>
      </c>
      <c r="AG470" s="78"/>
      <c r="AJ470" s="84" t="s">
        <v>45</v>
      </c>
      <c r="AK470" s="84">
        <v>0</v>
      </c>
      <c r="BB470" s="537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732</v>
      </c>
      <c r="B471" s="63" t="s">
        <v>733</v>
      </c>
      <c r="C471" s="36">
        <v>4301031244</v>
      </c>
      <c r="D471" s="619">
        <v>4640242180595</v>
      </c>
      <c r="E471" s="619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120</v>
      </c>
      <c r="L471" s="37" t="s">
        <v>45</v>
      </c>
      <c r="M471" s="38" t="s">
        <v>82</v>
      </c>
      <c r="N471" s="38"/>
      <c r="O471" s="37">
        <v>40</v>
      </c>
      <c r="P471" s="85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621"/>
      <c r="R471" s="621"/>
      <c r="S471" s="621"/>
      <c r="T471" s="622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734</v>
      </c>
      <c r="AG471" s="78"/>
      <c r="AJ471" s="84" t="s">
        <v>45</v>
      </c>
      <c r="AK471" s="84">
        <v>0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26"/>
      <c r="B472" s="626"/>
      <c r="C472" s="626"/>
      <c r="D472" s="626"/>
      <c r="E472" s="626"/>
      <c r="F472" s="626"/>
      <c r="G472" s="626"/>
      <c r="H472" s="626"/>
      <c r="I472" s="626"/>
      <c r="J472" s="626"/>
      <c r="K472" s="626"/>
      <c r="L472" s="626"/>
      <c r="M472" s="626"/>
      <c r="N472" s="626"/>
      <c r="O472" s="627"/>
      <c r="P472" s="623" t="s">
        <v>40</v>
      </c>
      <c r="Q472" s="624"/>
      <c r="R472" s="624"/>
      <c r="S472" s="624"/>
      <c r="T472" s="624"/>
      <c r="U472" s="624"/>
      <c r="V472" s="625"/>
      <c r="W472" s="42" t="s">
        <v>39</v>
      </c>
      <c r="X472" s="43">
        <f>IFERROR(X470/H470,"0")+IFERROR(X471/H471,"0")</f>
        <v>0</v>
      </c>
      <c r="Y472" s="43">
        <f>IFERROR(Y470/H470,"0")+IFERROR(Y471/H471,"0")</f>
        <v>0</v>
      </c>
      <c r="Z472" s="43">
        <f>IFERROR(IF(Z470="",0,Z470),"0")+IFERROR(IF(Z471="",0,Z471),"0")</f>
        <v>0</v>
      </c>
      <c r="AA472" s="67"/>
      <c r="AB472" s="67"/>
      <c r="AC472" s="67"/>
    </row>
    <row r="473" spans="1:68" x14ac:dyDescent="0.2">
      <c r="A473" s="626"/>
      <c r="B473" s="626"/>
      <c r="C473" s="626"/>
      <c r="D473" s="626"/>
      <c r="E473" s="626"/>
      <c r="F473" s="626"/>
      <c r="G473" s="626"/>
      <c r="H473" s="626"/>
      <c r="I473" s="626"/>
      <c r="J473" s="626"/>
      <c r="K473" s="626"/>
      <c r="L473" s="626"/>
      <c r="M473" s="626"/>
      <c r="N473" s="626"/>
      <c r="O473" s="627"/>
      <c r="P473" s="623" t="s">
        <v>40</v>
      </c>
      <c r="Q473" s="624"/>
      <c r="R473" s="624"/>
      <c r="S473" s="624"/>
      <c r="T473" s="624"/>
      <c r="U473" s="624"/>
      <c r="V473" s="625"/>
      <c r="W473" s="42" t="s">
        <v>0</v>
      </c>
      <c r="X473" s="43">
        <f>IFERROR(SUM(X470:X471),"0")</f>
        <v>0</v>
      </c>
      <c r="Y473" s="43">
        <f>IFERROR(SUM(Y470:Y471),"0")</f>
        <v>0</v>
      </c>
      <c r="Z473" s="42"/>
      <c r="AA473" s="67"/>
      <c r="AB473" s="67"/>
      <c r="AC473" s="67"/>
    </row>
    <row r="474" spans="1:68" ht="14.25" customHeight="1" x14ac:dyDescent="0.25">
      <c r="A474" s="618" t="s">
        <v>84</v>
      </c>
      <c r="B474" s="618"/>
      <c r="C474" s="618"/>
      <c r="D474" s="618"/>
      <c r="E474" s="618"/>
      <c r="F474" s="618"/>
      <c r="G474" s="618"/>
      <c r="H474" s="618"/>
      <c r="I474" s="618"/>
      <c r="J474" s="618"/>
      <c r="K474" s="618"/>
      <c r="L474" s="618"/>
      <c r="M474" s="618"/>
      <c r="N474" s="618"/>
      <c r="O474" s="618"/>
      <c r="P474" s="618"/>
      <c r="Q474" s="618"/>
      <c r="R474" s="618"/>
      <c r="S474" s="618"/>
      <c r="T474" s="618"/>
      <c r="U474" s="618"/>
      <c r="V474" s="618"/>
      <c r="W474" s="618"/>
      <c r="X474" s="618"/>
      <c r="Y474" s="618"/>
      <c r="Z474" s="618"/>
      <c r="AA474" s="66"/>
      <c r="AB474" s="66"/>
      <c r="AC474" s="80"/>
    </row>
    <row r="475" spans="1:68" ht="27" customHeight="1" x14ac:dyDescent="0.25">
      <c r="A475" s="63" t="s">
        <v>735</v>
      </c>
      <c r="B475" s="63" t="s">
        <v>736</v>
      </c>
      <c r="C475" s="36">
        <v>4301052046</v>
      </c>
      <c r="D475" s="619">
        <v>4640242180533</v>
      </c>
      <c r="E475" s="619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115</v>
      </c>
      <c r="L475" s="37" t="s">
        <v>116</v>
      </c>
      <c r="M475" s="38" t="s">
        <v>96</v>
      </c>
      <c r="N475" s="38"/>
      <c r="O475" s="37">
        <v>45</v>
      </c>
      <c r="P475" s="85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1"/>
      <c r="R475" s="621"/>
      <c r="S475" s="621"/>
      <c r="T475" s="622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0" t="s">
        <v>737</v>
      </c>
      <c r="AG475" s="78"/>
      <c r="AJ475" s="84" t="s">
        <v>117</v>
      </c>
      <c r="AK475" s="84">
        <v>72</v>
      </c>
      <c r="BB475" s="541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26"/>
      <c r="B476" s="626"/>
      <c r="C476" s="626"/>
      <c r="D476" s="626"/>
      <c r="E476" s="626"/>
      <c r="F476" s="626"/>
      <c r="G476" s="626"/>
      <c r="H476" s="626"/>
      <c r="I476" s="626"/>
      <c r="J476" s="626"/>
      <c r="K476" s="626"/>
      <c r="L476" s="626"/>
      <c r="M476" s="626"/>
      <c r="N476" s="626"/>
      <c r="O476" s="627"/>
      <c r="P476" s="623" t="s">
        <v>40</v>
      </c>
      <c r="Q476" s="624"/>
      <c r="R476" s="624"/>
      <c r="S476" s="624"/>
      <c r="T476" s="624"/>
      <c r="U476" s="624"/>
      <c r="V476" s="625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26"/>
      <c r="B477" s="626"/>
      <c r="C477" s="626"/>
      <c r="D477" s="626"/>
      <c r="E477" s="626"/>
      <c r="F477" s="626"/>
      <c r="G477" s="626"/>
      <c r="H477" s="626"/>
      <c r="I477" s="626"/>
      <c r="J477" s="626"/>
      <c r="K477" s="626"/>
      <c r="L477" s="626"/>
      <c r="M477" s="626"/>
      <c r="N477" s="626"/>
      <c r="O477" s="627"/>
      <c r="P477" s="623" t="s">
        <v>40</v>
      </c>
      <c r="Q477" s="624"/>
      <c r="R477" s="624"/>
      <c r="S477" s="624"/>
      <c r="T477" s="624"/>
      <c r="U477" s="624"/>
      <c r="V477" s="625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18" t="s">
        <v>174</v>
      </c>
      <c r="B478" s="618"/>
      <c r="C478" s="618"/>
      <c r="D478" s="618"/>
      <c r="E478" s="618"/>
      <c r="F478" s="618"/>
      <c r="G478" s="618"/>
      <c r="H478" s="618"/>
      <c r="I478" s="618"/>
      <c r="J478" s="618"/>
      <c r="K478" s="618"/>
      <c r="L478" s="618"/>
      <c r="M478" s="618"/>
      <c r="N478" s="618"/>
      <c r="O478" s="618"/>
      <c r="P478" s="618"/>
      <c r="Q478" s="618"/>
      <c r="R478" s="618"/>
      <c r="S478" s="618"/>
      <c r="T478" s="618"/>
      <c r="U478" s="618"/>
      <c r="V478" s="618"/>
      <c r="W478" s="618"/>
      <c r="X478" s="618"/>
      <c r="Y478" s="618"/>
      <c r="Z478" s="618"/>
      <c r="AA478" s="66"/>
      <c r="AB478" s="66"/>
      <c r="AC478" s="80"/>
    </row>
    <row r="479" spans="1:68" ht="27" customHeight="1" x14ac:dyDescent="0.25">
      <c r="A479" s="63" t="s">
        <v>738</v>
      </c>
      <c r="B479" s="63" t="s">
        <v>739</v>
      </c>
      <c r="C479" s="36">
        <v>4301060491</v>
      </c>
      <c r="D479" s="619">
        <v>4640242180120</v>
      </c>
      <c r="E479" s="619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115</v>
      </c>
      <c r="L479" s="37" t="s">
        <v>45</v>
      </c>
      <c r="M479" s="38" t="s">
        <v>88</v>
      </c>
      <c r="N479" s="38"/>
      <c r="O479" s="37">
        <v>40</v>
      </c>
      <c r="P479" s="85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1"/>
      <c r="R479" s="621"/>
      <c r="S479" s="621"/>
      <c r="T479" s="622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2" t="s">
        <v>740</v>
      </c>
      <c r="AG479" s="78"/>
      <c r="AJ479" s="84" t="s">
        <v>45</v>
      </c>
      <c r="AK479" s="84">
        <v>0</v>
      </c>
      <c r="BB479" s="543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741</v>
      </c>
      <c r="B480" s="63" t="s">
        <v>742</v>
      </c>
      <c r="C480" s="36">
        <v>4301060493</v>
      </c>
      <c r="D480" s="619">
        <v>4640242180137</v>
      </c>
      <c r="E480" s="619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115</v>
      </c>
      <c r="L480" s="37" t="s">
        <v>45</v>
      </c>
      <c r="M480" s="38" t="s">
        <v>88</v>
      </c>
      <c r="N480" s="38"/>
      <c r="O480" s="37">
        <v>40</v>
      </c>
      <c r="P480" s="85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1"/>
      <c r="R480" s="621"/>
      <c r="S480" s="621"/>
      <c r="T480" s="622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743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26"/>
      <c r="B481" s="626"/>
      <c r="C481" s="626"/>
      <c r="D481" s="626"/>
      <c r="E481" s="626"/>
      <c r="F481" s="626"/>
      <c r="G481" s="626"/>
      <c r="H481" s="626"/>
      <c r="I481" s="626"/>
      <c r="J481" s="626"/>
      <c r="K481" s="626"/>
      <c r="L481" s="626"/>
      <c r="M481" s="626"/>
      <c r="N481" s="626"/>
      <c r="O481" s="627"/>
      <c r="P481" s="623" t="s">
        <v>40</v>
      </c>
      <c r="Q481" s="624"/>
      <c r="R481" s="624"/>
      <c r="S481" s="624"/>
      <c r="T481" s="624"/>
      <c r="U481" s="624"/>
      <c r="V481" s="625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626"/>
      <c r="B482" s="626"/>
      <c r="C482" s="626"/>
      <c r="D482" s="626"/>
      <c r="E482" s="626"/>
      <c r="F482" s="626"/>
      <c r="G482" s="626"/>
      <c r="H482" s="626"/>
      <c r="I482" s="626"/>
      <c r="J482" s="626"/>
      <c r="K482" s="626"/>
      <c r="L482" s="626"/>
      <c r="M482" s="626"/>
      <c r="N482" s="626"/>
      <c r="O482" s="627"/>
      <c r="P482" s="623" t="s">
        <v>40</v>
      </c>
      <c r="Q482" s="624"/>
      <c r="R482" s="624"/>
      <c r="S482" s="624"/>
      <c r="T482" s="624"/>
      <c r="U482" s="624"/>
      <c r="V482" s="625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617" t="s">
        <v>744</v>
      </c>
      <c r="B483" s="617"/>
      <c r="C483" s="617"/>
      <c r="D483" s="617"/>
      <c r="E483" s="617"/>
      <c r="F483" s="617"/>
      <c r="G483" s="617"/>
      <c r="H483" s="617"/>
      <c r="I483" s="617"/>
      <c r="J483" s="617"/>
      <c r="K483" s="617"/>
      <c r="L483" s="617"/>
      <c r="M483" s="617"/>
      <c r="N483" s="617"/>
      <c r="O483" s="617"/>
      <c r="P483" s="617"/>
      <c r="Q483" s="617"/>
      <c r="R483" s="617"/>
      <c r="S483" s="617"/>
      <c r="T483" s="617"/>
      <c r="U483" s="617"/>
      <c r="V483" s="617"/>
      <c r="W483" s="617"/>
      <c r="X483" s="617"/>
      <c r="Y483" s="617"/>
      <c r="Z483" s="617"/>
      <c r="AA483" s="65"/>
      <c r="AB483" s="65"/>
      <c r="AC483" s="79"/>
    </row>
    <row r="484" spans="1:68" ht="14.25" customHeight="1" x14ac:dyDescent="0.25">
      <c r="A484" s="618" t="s">
        <v>146</v>
      </c>
      <c r="B484" s="618"/>
      <c r="C484" s="618"/>
      <c r="D484" s="618"/>
      <c r="E484" s="618"/>
      <c r="F484" s="618"/>
      <c r="G484" s="618"/>
      <c r="H484" s="618"/>
      <c r="I484" s="618"/>
      <c r="J484" s="618"/>
      <c r="K484" s="618"/>
      <c r="L484" s="618"/>
      <c r="M484" s="618"/>
      <c r="N484" s="618"/>
      <c r="O484" s="618"/>
      <c r="P484" s="618"/>
      <c r="Q484" s="618"/>
      <c r="R484" s="618"/>
      <c r="S484" s="618"/>
      <c r="T484" s="618"/>
      <c r="U484" s="618"/>
      <c r="V484" s="618"/>
      <c r="W484" s="618"/>
      <c r="X484" s="618"/>
      <c r="Y484" s="618"/>
      <c r="Z484" s="618"/>
      <c r="AA484" s="66"/>
      <c r="AB484" s="66"/>
      <c r="AC484" s="80"/>
    </row>
    <row r="485" spans="1:68" ht="27" customHeight="1" x14ac:dyDescent="0.25">
      <c r="A485" s="63" t="s">
        <v>745</v>
      </c>
      <c r="B485" s="63" t="s">
        <v>746</v>
      </c>
      <c r="C485" s="36">
        <v>4301020314</v>
      </c>
      <c r="D485" s="619">
        <v>4640242180090</v>
      </c>
      <c r="E485" s="619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115</v>
      </c>
      <c r="L485" s="37" t="s">
        <v>45</v>
      </c>
      <c r="M485" s="38" t="s">
        <v>114</v>
      </c>
      <c r="N485" s="38"/>
      <c r="O485" s="37">
        <v>50</v>
      </c>
      <c r="P485" s="85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1"/>
      <c r="R485" s="621"/>
      <c r="S485" s="621"/>
      <c r="T485" s="622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46" t="s">
        <v>747</v>
      </c>
      <c r="AG485" s="78"/>
      <c r="AJ485" s="84" t="s">
        <v>45</v>
      </c>
      <c r="AK485" s="84">
        <v>0</v>
      </c>
      <c r="BB485" s="547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26"/>
      <c r="B486" s="626"/>
      <c r="C486" s="626"/>
      <c r="D486" s="626"/>
      <c r="E486" s="626"/>
      <c r="F486" s="626"/>
      <c r="G486" s="626"/>
      <c r="H486" s="626"/>
      <c r="I486" s="626"/>
      <c r="J486" s="626"/>
      <c r="K486" s="626"/>
      <c r="L486" s="626"/>
      <c r="M486" s="626"/>
      <c r="N486" s="626"/>
      <c r="O486" s="627"/>
      <c r="P486" s="623" t="s">
        <v>40</v>
      </c>
      <c r="Q486" s="624"/>
      <c r="R486" s="624"/>
      <c r="S486" s="624"/>
      <c r="T486" s="624"/>
      <c r="U486" s="624"/>
      <c r="V486" s="625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626"/>
      <c r="B487" s="626"/>
      <c r="C487" s="626"/>
      <c r="D487" s="626"/>
      <c r="E487" s="626"/>
      <c r="F487" s="626"/>
      <c r="G487" s="626"/>
      <c r="H487" s="626"/>
      <c r="I487" s="626"/>
      <c r="J487" s="626"/>
      <c r="K487" s="626"/>
      <c r="L487" s="626"/>
      <c r="M487" s="626"/>
      <c r="N487" s="626"/>
      <c r="O487" s="627"/>
      <c r="P487" s="623" t="s">
        <v>40</v>
      </c>
      <c r="Q487" s="624"/>
      <c r="R487" s="624"/>
      <c r="S487" s="624"/>
      <c r="T487" s="624"/>
      <c r="U487" s="624"/>
      <c r="V487" s="625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26"/>
      <c r="B488" s="626"/>
      <c r="C488" s="626"/>
      <c r="D488" s="626"/>
      <c r="E488" s="626"/>
      <c r="F488" s="626"/>
      <c r="G488" s="626"/>
      <c r="H488" s="626"/>
      <c r="I488" s="626"/>
      <c r="J488" s="626"/>
      <c r="K488" s="626"/>
      <c r="L488" s="626"/>
      <c r="M488" s="626"/>
      <c r="N488" s="626"/>
      <c r="O488" s="861"/>
      <c r="P488" s="858" t="s">
        <v>33</v>
      </c>
      <c r="Q488" s="859"/>
      <c r="R488" s="859"/>
      <c r="S488" s="859"/>
      <c r="T488" s="859"/>
      <c r="U488" s="859"/>
      <c r="V488" s="860"/>
      <c r="W488" s="42" t="s">
        <v>0</v>
      </c>
      <c r="X488" s="43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0</v>
      </c>
      <c r="Y488" s="43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0</v>
      </c>
      <c r="Z488" s="42"/>
      <c r="AA488" s="67"/>
      <c r="AB488" s="67"/>
      <c r="AC488" s="67"/>
    </row>
    <row r="489" spans="1:68" x14ac:dyDescent="0.2">
      <c r="A489" s="626"/>
      <c r="B489" s="626"/>
      <c r="C489" s="626"/>
      <c r="D489" s="626"/>
      <c r="E489" s="626"/>
      <c r="F489" s="626"/>
      <c r="G489" s="626"/>
      <c r="H489" s="626"/>
      <c r="I489" s="626"/>
      <c r="J489" s="626"/>
      <c r="K489" s="626"/>
      <c r="L489" s="626"/>
      <c r="M489" s="626"/>
      <c r="N489" s="626"/>
      <c r="O489" s="861"/>
      <c r="P489" s="858" t="s">
        <v>34</v>
      </c>
      <c r="Q489" s="859"/>
      <c r="R489" s="859"/>
      <c r="S489" s="859"/>
      <c r="T489" s="859"/>
      <c r="U489" s="859"/>
      <c r="V489" s="860"/>
      <c r="W489" s="42" t="s">
        <v>0</v>
      </c>
      <c r="X489" s="43">
        <f>IFERROR(SUM(BM22:BM485),"0")</f>
        <v>0</v>
      </c>
      <c r="Y489" s="43">
        <f>IFERROR(SUM(BN22:BN485),"0")</f>
        <v>0</v>
      </c>
      <c r="Z489" s="42"/>
      <c r="AA489" s="67"/>
      <c r="AB489" s="67"/>
      <c r="AC489" s="67"/>
    </row>
    <row r="490" spans="1:68" x14ac:dyDescent="0.2">
      <c r="A490" s="626"/>
      <c r="B490" s="626"/>
      <c r="C490" s="626"/>
      <c r="D490" s="626"/>
      <c r="E490" s="626"/>
      <c r="F490" s="626"/>
      <c r="G490" s="626"/>
      <c r="H490" s="626"/>
      <c r="I490" s="626"/>
      <c r="J490" s="626"/>
      <c r="K490" s="626"/>
      <c r="L490" s="626"/>
      <c r="M490" s="626"/>
      <c r="N490" s="626"/>
      <c r="O490" s="861"/>
      <c r="P490" s="858" t="s">
        <v>35</v>
      </c>
      <c r="Q490" s="859"/>
      <c r="R490" s="859"/>
      <c r="S490" s="859"/>
      <c r="T490" s="859"/>
      <c r="U490" s="859"/>
      <c r="V490" s="860"/>
      <c r="W490" s="42" t="s">
        <v>20</v>
      </c>
      <c r="X490" s="44">
        <f>ROUNDUP(SUM(BO22:BO485),0)</f>
        <v>0</v>
      </c>
      <c r="Y490" s="44">
        <f>ROUNDUP(SUM(BP22:BP485),0)</f>
        <v>0</v>
      </c>
      <c r="Z490" s="42"/>
      <c r="AA490" s="67"/>
      <c r="AB490" s="67"/>
      <c r="AC490" s="67"/>
    </row>
    <row r="491" spans="1:68" x14ac:dyDescent="0.2">
      <c r="A491" s="626"/>
      <c r="B491" s="626"/>
      <c r="C491" s="626"/>
      <c r="D491" s="626"/>
      <c r="E491" s="626"/>
      <c r="F491" s="626"/>
      <c r="G491" s="626"/>
      <c r="H491" s="626"/>
      <c r="I491" s="626"/>
      <c r="J491" s="626"/>
      <c r="K491" s="626"/>
      <c r="L491" s="626"/>
      <c r="M491" s="626"/>
      <c r="N491" s="626"/>
      <c r="O491" s="861"/>
      <c r="P491" s="858" t="s">
        <v>36</v>
      </c>
      <c r="Q491" s="859"/>
      <c r="R491" s="859"/>
      <c r="S491" s="859"/>
      <c r="T491" s="859"/>
      <c r="U491" s="859"/>
      <c r="V491" s="860"/>
      <c r="W491" s="42" t="s">
        <v>0</v>
      </c>
      <c r="X491" s="43">
        <f>GrossWeightTotal+PalletQtyTotal*25</f>
        <v>0</v>
      </c>
      <c r="Y491" s="43">
        <f>GrossWeightTotalR+PalletQtyTotalR*25</f>
        <v>0</v>
      </c>
      <c r="Z491" s="42"/>
      <c r="AA491" s="67"/>
      <c r="AB491" s="67"/>
      <c r="AC491" s="67"/>
    </row>
    <row r="492" spans="1:68" x14ac:dyDescent="0.2">
      <c r="A492" s="626"/>
      <c r="B492" s="626"/>
      <c r="C492" s="626"/>
      <c r="D492" s="626"/>
      <c r="E492" s="626"/>
      <c r="F492" s="626"/>
      <c r="G492" s="626"/>
      <c r="H492" s="626"/>
      <c r="I492" s="626"/>
      <c r="J492" s="626"/>
      <c r="K492" s="626"/>
      <c r="L492" s="626"/>
      <c r="M492" s="626"/>
      <c r="N492" s="626"/>
      <c r="O492" s="861"/>
      <c r="P492" s="858" t="s">
        <v>37</v>
      </c>
      <c r="Q492" s="859"/>
      <c r="R492" s="859"/>
      <c r="S492" s="859"/>
      <c r="T492" s="859"/>
      <c r="U492" s="859"/>
      <c r="V492" s="860"/>
      <c r="W492" s="42" t="s">
        <v>20</v>
      </c>
      <c r="X492" s="43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0</v>
      </c>
      <c r="Y492" s="43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0</v>
      </c>
      <c r="Z492" s="42"/>
      <c r="AA492" s="67"/>
      <c r="AB492" s="67"/>
      <c r="AC492" s="67"/>
    </row>
    <row r="493" spans="1:68" ht="14.25" x14ac:dyDescent="0.2">
      <c r="A493" s="626"/>
      <c r="B493" s="626"/>
      <c r="C493" s="626"/>
      <c r="D493" s="626"/>
      <c r="E493" s="626"/>
      <c r="F493" s="626"/>
      <c r="G493" s="626"/>
      <c r="H493" s="626"/>
      <c r="I493" s="626"/>
      <c r="J493" s="626"/>
      <c r="K493" s="626"/>
      <c r="L493" s="626"/>
      <c r="M493" s="626"/>
      <c r="N493" s="626"/>
      <c r="O493" s="861"/>
      <c r="P493" s="858" t="s">
        <v>38</v>
      </c>
      <c r="Q493" s="859"/>
      <c r="R493" s="859"/>
      <c r="S493" s="859"/>
      <c r="T493" s="859"/>
      <c r="U493" s="859"/>
      <c r="V493" s="860"/>
      <c r="W493" s="45" t="s">
        <v>51</v>
      </c>
      <c r="X493" s="42"/>
      <c r="Y493" s="42"/>
      <c r="Z493" s="42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0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77</v>
      </c>
      <c r="C495" s="864" t="s">
        <v>108</v>
      </c>
      <c r="D495" s="864" t="s">
        <v>108</v>
      </c>
      <c r="E495" s="864" t="s">
        <v>108</v>
      </c>
      <c r="F495" s="864" t="s">
        <v>108</v>
      </c>
      <c r="G495" s="864" t="s">
        <v>108</v>
      </c>
      <c r="H495" s="864" t="s">
        <v>108</v>
      </c>
      <c r="I495" s="864" t="s">
        <v>267</v>
      </c>
      <c r="J495" s="864" t="s">
        <v>267</v>
      </c>
      <c r="K495" s="864" t="s">
        <v>267</v>
      </c>
      <c r="L495" s="864" t="s">
        <v>267</v>
      </c>
      <c r="M495" s="864" t="s">
        <v>267</v>
      </c>
      <c r="N495" s="865"/>
      <c r="O495" s="864" t="s">
        <v>267</v>
      </c>
      <c r="P495" s="864" t="s">
        <v>267</v>
      </c>
      <c r="Q495" s="864" t="s">
        <v>267</v>
      </c>
      <c r="R495" s="864" t="s">
        <v>267</v>
      </c>
      <c r="S495" s="864" t="s">
        <v>545</v>
      </c>
      <c r="T495" s="864" t="s">
        <v>545</v>
      </c>
      <c r="U495" s="864" t="s">
        <v>597</v>
      </c>
      <c r="V495" s="864" t="s">
        <v>597</v>
      </c>
      <c r="W495" s="864" t="s">
        <v>597</v>
      </c>
      <c r="X495" s="85" t="s">
        <v>648</v>
      </c>
      <c r="Y495" s="864" t="s">
        <v>708</v>
      </c>
      <c r="Z495" s="864" t="s">
        <v>708</v>
      </c>
      <c r="AB495" s="60"/>
      <c r="AC495" s="60"/>
      <c r="AF495" s="1"/>
    </row>
    <row r="496" spans="1:68" ht="14.25" customHeight="1" thickTop="1" x14ac:dyDescent="0.2">
      <c r="A496" s="862" t="s">
        <v>10</v>
      </c>
      <c r="B496" s="864" t="s">
        <v>77</v>
      </c>
      <c r="C496" s="864" t="s">
        <v>109</v>
      </c>
      <c r="D496" s="864" t="s">
        <v>127</v>
      </c>
      <c r="E496" s="864" t="s">
        <v>181</v>
      </c>
      <c r="F496" s="864" t="s">
        <v>200</v>
      </c>
      <c r="G496" s="864" t="s">
        <v>232</v>
      </c>
      <c r="H496" s="864" t="s">
        <v>108</v>
      </c>
      <c r="I496" s="864" t="s">
        <v>268</v>
      </c>
      <c r="J496" s="864" t="s">
        <v>309</v>
      </c>
      <c r="K496" s="864" t="s">
        <v>369</v>
      </c>
      <c r="L496" s="864" t="s">
        <v>411</v>
      </c>
      <c r="M496" s="864" t="s">
        <v>427</v>
      </c>
      <c r="N496" s="1"/>
      <c r="O496" s="864" t="s">
        <v>438</v>
      </c>
      <c r="P496" s="864" t="s">
        <v>447</v>
      </c>
      <c r="Q496" s="864" t="s">
        <v>457</v>
      </c>
      <c r="R496" s="864" t="s">
        <v>535</v>
      </c>
      <c r="S496" s="864" t="s">
        <v>546</v>
      </c>
      <c r="T496" s="864" t="s">
        <v>581</v>
      </c>
      <c r="U496" s="864" t="s">
        <v>598</v>
      </c>
      <c r="V496" s="864" t="s">
        <v>629</v>
      </c>
      <c r="W496" s="864" t="s">
        <v>644</v>
      </c>
      <c r="X496" s="864" t="s">
        <v>648</v>
      </c>
      <c r="Y496" s="864" t="s">
        <v>708</v>
      </c>
      <c r="Z496" s="864" t="s">
        <v>744</v>
      </c>
      <c r="AB496" s="60"/>
      <c r="AC496" s="60"/>
      <c r="AF496" s="1"/>
    </row>
    <row r="497" spans="1:32" ht="13.5" thickBot="1" x14ac:dyDescent="0.25">
      <c r="A497" s="863"/>
      <c r="B497" s="864"/>
      <c r="C497" s="864"/>
      <c r="D497" s="864"/>
      <c r="E497" s="864"/>
      <c r="F497" s="864"/>
      <c r="G497" s="864"/>
      <c r="H497" s="864"/>
      <c r="I497" s="864"/>
      <c r="J497" s="864"/>
      <c r="K497" s="864"/>
      <c r="L497" s="864"/>
      <c r="M497" s="864"/>
      <c r="N497" s="1"/>
      <c r="O497" s="864"/>
      <c r="P497" s="864"/>
      <c r="Q497" s="864"/>
      <c r="R497" s="864"/>
      <c r="S497" s="864"/>
      <c r="T497" s="864"/>
      <c r="U497" s="864"/>
      <c r="V497" s="864"/>
      <c r="W497" s="864"/>
      <c r="X497" s="864"/>
      <c r="Y497" s="864"/>
      <c r="Z497" s="864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IFERROR(Y22*1,"0")+IFERROR(Y26*1,"0")+IFERROR(Y27*1,"0")+IFERROR(Y28*1,"0")+IFERROR(Y29*1,"0")+IFERROR(Y30*1,"0")+IFERROR(Y34*1,"0")</f>
        <v>0</v>
      </c>
      <c r="C498" s="52">
        <f>IFERROR(Y40*1,"0")+IFERROR(Y41*1,"0")+IFERROR(Y42*1,"0")+IFERROR(Y46*1,"0")</f>
        <v>0</v>
      </c>
      <c r="D498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52">
        <f>IFERROR(Y85*1,"0")+IFERROR(Y86*1,"0")+IFERROR(Y87*1,"0")+IFERROR(Y91*1,"0")+IFERROR(Y92*1,"0")+IFERROR(Y93*1,"0")+IFERROR(Y94*1,"0")</f>
        <v>0</v>
      </c>
      <c r="F498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8" s="52">
        <f>IFERROR(Y124*1,"0")+IFERROR(Y125*1,"0")+IFERROR(Y129*1,"0")+IFERROR(Y130*1,"0")+IFERROR(Y134*1,"0")+IFERROR(Y135*1,"0")</f>
        <v>0</v>
      </c>
      <c r="H498" s="52">
        <f>IFERROR(Y140*1,"0")+IFERROR(Y141*1,"0")+IFERROR(Y142*1,"0")+IFERROR(Y146*1,"0")+IFERROR(Y147*1,"0")+IFERROR(Y148*1,"0")+IFERROR(Y152*1,"0")</f>
        <v>0</v>
      </c>
      <c r="I498" s="52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52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8" s="52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52">
        <f>IFERROR(Y254*1,"0")+IFERROR(Y255*1,"0")+IFERROR(Y256*1,"0")+IFERROR(Y257*1,"0")+IFERROR(Y258*1,"0")</f>
        <v>0</v>
      </c>
      <c r="M498" s="52">
        <f>IFERROR(Y263*1,"0")+IFERROR(Y264*1,"0")+IFERROR(Y265*1,"0")+IFERROR(Y266*1,"0")</f>
        <v>0</v>
      </c>
      <c r="N498" s="1"/>
      <c r="O498" s="52">
        <f>IFERROR(Y271*1,"0")+IFERROR(Y272*1,"0")+IFERROR(Y273*1,"0")</f>
        <v>0</v>
      </c>
      <c r="P498" s="52">
        <f>IFERROR(Y278*1,"0")+IFERROR(Y279*1,"0")+IFERROR(Y283*1,"0")</f>
        <v>0</v>
      </c>
      <c r="Q498" s="52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8" s="52">
        <f>IFERROR(Y334*1,"0")+IFERROR(Y335*1,"0")+IFERROR(Y336*1,"0")</f>
        <v>0</v>
      </c>
      <c r="S498" s="52">
        <f>IFERROR(Y342*1,"0")+IFERROR(Y343*1,"0")+IFERROR(Y344*1,"0")+IFERROR(Y345*1,"0")+IFERROR(Y346*1,"0")+IFERROR(Y347*1,"0")+IFERROR(Y348*1,"0")+IFERROR(Y352*1,"0")+IFERROR(Y353*1,"0")+IFERROR(Y357*1,"0")+IFERROR(Y358*1,"0")+IFERROR(Y362*1,"0")</f>
        <v>0</v>
      </c>
      <c r="T498" s="52">
        <f>IFERROR(Y367*1,"0")+IFERROR(Y368*1,"0")+IFERROR(Y372*1,"0")+IFERROR(Y373*1,"0")+IFERROR(Y377*1,"0")+IFERROR(Y378*1,"0")</f>
        <v>0</v>
      </c>
      <c r="U498" s="52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52">
        <f>IFERROR(Y402*1,"0")+IFERROR(Y406*1,"0")+IFERROR(Y407*1,"0")+IFERROR(Y408*1,"0")+IFERROR(Y409*1,"0")</f>
        <v>0</v>
      </c>
      <c r="W498" s="52">
        <f>IFERROR(Y414*1,"0")</f>
        <v>0</v>
      </c>
      <c r="X498" s="52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0</v>
      </c>
      <c r="Y498" s="52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41AvFqkvjyRkIo4JkO9q2XXKL2U86OYFLCJKVKmxgQK+VToX0TuANAqYEcfLslByWs2E7ipjganQKtu/OueJjQ==" saltValue="coGjLl1P8+iY2aH3RUuv0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2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P452:V452"/>
    <mergeCell ref="A452:O453"/>
    <mergeCell ref="P453:V453"/>
    <mergeCell ref="A454:Z454"/>
    <mergeCell ref="A455:Z455"/>
    <mergeCell ref="A456:Z456"/>
    <mergeCell ref="D457:E457"/>
    <mergeCell ref="P457:T457"/>
    <mergeCell ref="D458:E458"/>
    <mergeCell ref="P458:T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A412:Z412"/>
    <mergeCell ref="A413:Z413"/>
    <mergeCell ref="D414:E414"/>
    <mergeCell ref="P414:T414"/>
    <mergeCell ref="P415:V415"/>
    <mergeCell ref="A415:O416"/>
    <mergeCell ref="P416:V416"/>
    <mergeCell ref="A417:Z417"/>
    <mergeCell ref="A418:Z418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00:Z400"/>
    <mergeCell ref="A401:Z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P398:V398"/>
    <mergeCell ref="A398:O399"/>
    <mergeCell ref="P399:V399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A382:Z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A376:Z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P374:V374"/>
    <mergeCell ref="A374:O375"/>
    <mergeCell ref="P375:V375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9:Z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16:E316"/>
    <mergeCell ref="P316:T316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A305:Z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00:E300"/>
    <mergeCell ref="P300:T300"/>
    <mergeCell ref="D301:E301"/>
    <mergeCell ref="P301:T301"/>
    <mergeCell ref="D302:E302"/>
    <mergeCell ref="P302:T302"/>
    <mergeCell ref="P303:V303"/>
    <mergeCell ref="A303:O304"/>
    <mergeCell ref="P304:V304"/>
    <mergeCell ref="A295:Z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A282:Z282"/>
    <mergeCell ref="D283:E283"/>
    <mergeCell ref="P283:T283"/>
    <mergeCell ref="P284:V284"/>
    <mergeCell ref="A284:O285"/>
    <mergeCell ref="P285:V285"/>
    <mergeCell ref="A286:Z286"/>
    <mergeCell ref="A287:Z287"/>
    <mergeCell ref="D288:E288"/>
    <mergeCell ref="P288:T288"/>
    <mergeCell ref="A276:Z276"/>
    <mergeCell ref="A277:Z277"/>
    <mergeCell ref="D278:E278"/>
    <mergeCell ref="P278:T278"/>
    <mergeCell ref="D279:E279"/>
    <mergeCell ref="P279:T279"/>
    <mergeCell ref="P280:V280"/>
    <mergeCell ref="A280:O281"/>
    <mergeCell ref="P281:V281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A240:Z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A222:Z222"/>
    <mergeCell ref="A223:Z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A194:Z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P181:V181"/>
    <mergeCell ref="A181:O182"/>
    <mergeCell ref="P182:V182"/>
    <mergeCell ref="A183:Z183"/>
    <mergeCell ref="A184:Z184"/>
    <mergeCell ref="D185:E185"/>
    <mergeCell ref="P185:T185"/>
    <mergeCell ref="D186:E186"/>
    <mergeCell ref="P186:T186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D163:E163"/>
    <mergeCell ref="P163:T163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A157:Z157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5 X440:X445 X434 X425 X422 X420 X414 X391 X388:X389 X377 X367 X358 X352 X342:X344 X335:X336 X329 X327 X322:X323 X314:X316 X302 X299:X300 X272:X273 X232 X226:X227 X224 X218:X219 X213:X214 X211 X208:X209 X195:X202 X168 X162:X166 X135 X130 X124 X119 X114:X115 X112 X106 X101 X99 X91 X87 X85 X79 X62 X60 X56 X52 X40:X4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9"/>
    </row>
    <row r="3" spans="2:8" x14ac:dyDescent="0.2">
      <c r="B3" s="53" t="s">
        <v>749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750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751</v>
      </c>
      <c r="D6" s="53" t="s">
        <v>752</v>
      </c>
      <c r="E6" s="53" t="s">
        <v>45</v>
      </c>
    </row>
    <row r="8" spans="2:8" x14ac:dyDescent="0.2">
      <c r="B8" s="53" t="s">
        <v>76</v>
      </c>
      <c r="C8" s="53" t="s">
        <v>751</v>
      </c>
      <c r="D8" s="53" t="s">
        <v>45</v>
      </c>
      <c r="E8" s="53" t="s">
        <v>45</v>
      </c>
    </row>
    <row r="10" spans="2:8" x14ac:dyDescent="0.2">
      <c r="B10" s="53" t="s">
        <v>753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754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755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756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757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758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759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760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761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762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763</v>
      </c>
      <c r="C20" s="53" t="s">
        <v>45</v>
      </c>
      <c r="D20" s="53" t="s">
        <v>45</v>
      </c>
      <c r="E20" s="53" t="s">
        <v>45</v>
      </c>
    </row>
  </sheetData>
  <sheetProtection algorithmName="SHA-512" hashValue="9y8PJp79BpG05yU5ocUJ+0gD5dRtXhpxOqnseo8TQD3TIAiCS9NWto89lY1dmTJl0yZVi8pGDpyXG7yhLcM2Xg==" saltValue="LjZKUcdaKKiXlWRrKZ3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966</vt:i4>
      </vt:variant>
    </vt:vector>
  </HeadingPairs>
  <TitlesOfParts>
    <vt:vector size="96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2025-11-06T06:13:33Z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