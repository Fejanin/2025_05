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5A59CCA-E9BA-4B3B-8793-2A4FE105D81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87" i="2" l="1"/>
  <c r="X487" i="2"/>
  <c r="X486" i="2"/>
  <c r="BO485" i="2"/>
  <c r="BM485" i="2"/>
  <c r="Y485" i="2"/>
  <c r="Z498" i="2" s="1"/>
  <c r="P485" i="2"/>
  <c r="X482" i="2"/>
  <c r="X481" i="2"/>
  <c r="BO480" i="2"/>
  <c r="BM480" i="2"/>
  <c r="Y480" i="2"/>
  <c r="P480" i="2"/>
  <c r="BP479" i="2"/>
  <c r="BO479" i="2"/>
  <c r="BN479" i="2"/>
  <c r="BM479" i="2"/>
  <c r="Z479" i="2"/>
  <c r="Y479" i="2"/>
  <c r="P479" i="2"/>
  <c r="X477" i="2"/>
  <c r="X476" i="2"/>
  <c r="BP475" i="2"/>
  <c r="BO475" i="2"/>
  <c r="BM475" i="2"/>
  <c r="Y475" i="2"/>
  <c r="BN475" i="2" s="1"/>
  <c r="P475" i="2"/>
  <c r="X473" i="2"/>
  <c r="X472" i="2"/>
  <c r="BO471" i="2"/>
  <c r="BM471" i="2"/>
  <c r="Y471" i="2"/>
  <c r="P471" i="2"/>
  <c r="BO470" i="2"/>
  <c r="BM470" i="2"/>
  <c r="Z470" i="2"/>
  <c r="Y470" i="2"/>
  <c r="BP470" i="2" s="1"/>
  <c r="P470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BO459" i="2"/>
  <c r="BM459" i="2"/>
  <c r="Y459" i="2"/>
  <c r="P459" i="2"/>
  <c r="BP458" i="2"/>
  <c r="BO458" i="2"/>
  <c r="BM458" i="2"/>
  <c r="Y458" i="2"/>
  <c r="BN458" i="2" s="1"/>
  <c r="P458" i="2"/>
  <c r="BO457" i="2"/>
  <c r="BM457" i="2"/>
  <c r="Y457" i="2"/>
  <c r="P457" i="2"/>
  <c r="X453" i="2"/>
  <c r="X452" i="2"/>
  <c r="BO451" i="2"/>
  <c r="BM451" i="2"/>
  <c r="Y451" i="2"/>
  <c r="P451" i="2"/>
  <c r="BP450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P445" i="2"/>
  <c r="BP444" i="2"/>
  <c r="BO444" i="2"/>
  <c r="BN444" i="2"/>
  <c r="BM444" i="2"/>
  <c r="Z444" i="2"/>
  <c r="Y444" i="2"/>
  <c r="P444" i="2"/>
  <c r="BO443" i="2"/>
  <c r="BM443" i="2"/>
  <c r="Y443" i="2"/>
  <c r="P443" i="2"/>
  <c r="BO442" i="2"/>
  <c r="BM442" i="2"/>
  <c r="Y442" i="2"/>
  <c r="P442" i="2"/>
  <c r="BP441" i="2"/>
  <c r="BO441" i="2"/>
  <c r="BM441" i="2"/>
  <c r="Y441" i="2"/>
  <c r="BN441" i="2" s="1"/>
  <c r="P441" i="2"/>
  <c r="BO440" i="2"/>
  <c r="BM440" i="2"/>
  <c r="Y440" i="2"/>
  <c r="P440" i="2"/>
  <c r="X438" i="2"/>
  <c r="X437" i="2"/>
  <c r="BP436" i="2"/>
  <c r="BO436" i="2"/>
  <c r="BM436" i="2"/>
  <c r="Y436" i="2"/>
  <c r="P436" i="2"/>
  <c r="BO435" i="2"/>
  <c r="BM435" i="2"/>
  <c r="Y435" i="2"/>
  <c r="P435" i="2"/>
  <c r="BP434" i="2"/>
  <c r="BO434" i="2"/>
  <c r="BN434" i="2"/>
  <c r="BM434" i="2"/>
  <c r="Z434" i="2"/>
  <c r="Y434" i="2"/>
  <c r="P434" i="2"/>
  <c r="X432" i="2"/>
  <c r="X431" i="2"/>
  <c r="BO430" i="2"/>
  <c r="BM430" i="2"/>
  <c r="Y430" i="2"/>
  <c r="P430" i="2"/>
  <c r="BP429" i="2"/>
  <c r="BO429" i="2"/>
  <c r="BN429" i="2"/>
  <c r="BM429" i="2"/>
  <c r="Z429" i="2"/>
  <c r="Y429" i="2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Z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Z423" i="2"/>
  <c r="Y423" i="2"/>
  <c r="BP423" i="2" s="1"/>
  <c r="P423" i="2"/>
  <c r="BO422" i="2"/>
  <c r="BN422" i="2"/>
  <c r="BM422" i="2"/>
  <c r="Z422" i="2"/>
  <c r="Y422" i="2"/>
  <c r="BP422" i="2" s="1"/>
  <c r="P422" i="2"/>
  <c r="BO421" i="2"/>
  <c r="BM421" i="2"/>
  <c r="Y421" i="2"/>
  <c r="P421" i="2"/>
  <c r="BP420" i="2"/>
  <c r="BO420" i="2"/>
  <c r="BM420" i="2"/>
  <c r="Y420" i="2"/>
  <c r="P420" i="2"/>
  <c r="X416" i="2"/>
  <c r="X415" i="2"/>
  <c r="BO414" i="2"/>
  <c r="BM414" i="2"/>
  <c r="Y414" i="2"/>
  <c r="P414" i="2"/>
  <c r="X411" i="2"/>
  <c r="X410" i="2"/>
  <c r="BO409" i="2"/>
  <c r="BM409" i="2"/>
  <c r="Y409" i="2"/>
  <c r="P409" i="2"/>
  <c r="BO408" i="2"/>
  <c r="BM408" i="2"/>
  <c r="Y408" i="2"/>
  <c r="BP408" i="2" s="1"/>
  <c r="P408" i="2"/>
  <c r="BO407" i="2"/>
  <c r="BM407" i="2"/>
  <c r="Z407" i="2"/>
  <c r="Y407" i="2"/>
  <c r="BP407" i="2" s="1"/>
  <c r="P407" i="2"/>
  <c r="BO406" i="2"/>
  <c r="BM406" i="2"/>
  <c r="Y406" i="2"/>
  <c r="Z406" i="2" s="1"/>
  <c r="P406" i="2"/>
  <c r="X404" i="2"/>
  <c r="X403" i="2"/>
  <c r="BO402" i="2"/>
  <c r="BM402" i="2"/>
  <c r="Y402" i="2"/>
  <c r="P402" i="2"/>
  <c r="Y399" i="2"/>
  <c r="X399" i="2"/>
  <c r="Y398" i="2"/>
  <c r="X398" i="2"/>
  <c r="BO397" i="2"/>
  <c r="BM397" i="2"/>
  <c r="Z397" i="2"/>
  <c r="Y397" i="2"/>
  <c r="BP397" i="2" s="1"/>
  <c r="P397" i="2"/>
  <c r="BO396" i="2"/>
  <c r="BN396" i="2"/>
  <c r="BM396" i="2"/>
  <c r="Z396" i="2"/>
  <c r="Z398" i="2" s="1"/>
  <c r="Y396" i="2"/>
  <c r="BP396" i="2" s="1"/>
  <c r="P396" i="2"/>
  <c r="X394" i="2"/>
  <c r="X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P390" i="2"/>
  <c r="BO389" i="2"/>
  <c r="BM389" i="2"/>
  <c r="Y389" i="2"/>
  <c r="P389" i="2"/>
  <c r="BP388" i="2"/>
  <c r="BO388" i="2"/>
  <c r="BN388" i="2"/>
  <c r="BM388" i="2"/>
  <c r="Z388" i="2"/>
  <c r="Y388" i="2"/>
  <c r="P388" i="2"/>
  <c r="BO387" i="2"/>
  <c r="BM387" i="2"/>
  <c r="Y387" i="2"/>
  <c r="P387" i="2"/>
  <c r="BO386" i="2"/>
  <c r="BM386" i="2"/>
  <c r="Y386" i="2"/>
  <c r="P386" i="2"/>
  <c r="BP385" i="2"/>
  <c r="BO385" i="2"/>
  <c r="BM385" i="2"/>
  <c r="Y385" i="2"/>
  <c r="BN385" i="2" s="1"/>
  <c r="P385" i="2"/>
  <c r="BO384" i="2"/>
  <c r="BM384" i="2"/>
  <c r="Y384" i="2"/>
  <c r="BP384" i="2" s="1"/>
  <c r="P384" i="2"/>
  <c r="X380" i="2"/>
  <c r="X379" i="2"/>
  <c r="BP378" i="2"/>
  <c r="BO378" i="2"/>
  <c r="BN378" i="2"/>
  <c r="BM378" i="2"/>
  <c r="Z378" i="2"/>
  <c r="Y378" i="2"/>
  <c r="P378" i="2"/>
  <c r="BO377" i="2"/>
  <c r="BM377" i="2"/>
  <c r="Y377" i="2"/>
  <c r="P377" i="2"/>
  <c r="X375" i="2"/>
  <c r="X374" i="2"/>
  <c r="BO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P367" i="2"/>
  <c r="Y364" i="2"/>
  <c r="X364" i="2"/>
  <c r="Y363" i="2"/>
  <c r="X363" i="2"/>
  <c r="BO362" i="2"/>
  <c r="BM362" i="2"/>
  <c r="Z362" i="2"/>
  <c r="Z363" i="2" s="1"/>
  <c r="Y362" i="2"/>
  <c r="BP362" i="2" s="1"/>
  <c r="P362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Y355" i="2"/>
  <c r="X355" i="2"/>
  <c r="Y354" i="2"/>
  <c r="X354" i="2"/>
  <c r="BP353" i="2"/>
  <c r="BO353" i="2"/>
  <c r="BN353" i="2"/>
  <c r="BM353" i="2"/>
  <c r="Z353" i="2"/>
  <c r="Y353" i="2"/>
  <c r="P353" i="2"/>
  <c r="BO352" i="2"/>
  <c r="BM352" i="2"/>
  <c r="Y352" i="2"/>
  <c r="P352" i="2"/>
  <c r="X350" i="2"/>
  <c r="X349" i="2"/>
  <c r="BP348" i="2"/>
  <c r="BO348" i="2"/>
  <c r="BM348" i="2"/>
  <c r="Y348" i="2"/>
  <c r="BN348" i="2" s="1"/>
  <c r="P348" i="2"/>
  <c r="BO347" i="2"/>
  <c r="BM347" i="2"/>
  <c r="Y347" i="2"/>
  <c r="P347" i="2"/>
  <c r="BO346" i="2"/>
  <c r="BM346" i="2"/>
  <c r="Z346" i="2"/>
  <c r="Y346" i="2"/>
  <c r="BP346" i="2" s="1"/>
  <c r="P346" i="2"/>
  <c r="BO345" i="2"/>
  <c r="BM345" i="2"/>
  <c r="Y345" i="2"/>
  <c r="BP345" i="2" s="1"/>
  <c r="BO344" i="2"/>
  <c r="BM344" i="2"/>
  <c r="Z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Y350" i="2" s="1"/>
  <c r="P342" i="2"/>
  <c r="X338" i="2"/>
  <c r="X337" i="2"/>
  <c r="BP336" i="2"/>
  <c r="BO336" i="2"/>
  <c r="BN336" i="2"/>
  <c r="BM336" i="2"/>
  <c r="Z336" i="2"/>
  <c r="Y336" i="2"/>
  <c r="P336" i="2"/>
  <c r="BO335" i="2"/>
  <c r="BM335" i="2"/>
  <c r="Y335" i="2"/>
  <c r="P335" i="2"/>
  <c r="BO334" i="2"/>
  <c r="BM334" i="2"/>
  <c r="Y334" i="2"/>
  <c r="P334" i="2"/>
  <c r="X331" i="2"/>
  <c r="X330" i="2"/>
  <c r="BP329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Y331" i="2" s="1"/>
  <c r="P327" i="2"/>
  <c r="Y325" i="2"/>
  <c r="X325" i="2"/>
  <c r="Y324" i="2"/>
  <c r="X324" i="2"/>
  <c r="BP323" i="2"/>
  <c r="BO323" i="2"/>
  <c r="BN323" i="2"/>
  <c r="BM323" i="2"/>
  <c r="Z323" i="2"/>
  <c r="Y323" i="2"/>
  <c r="P323" i="2"/>
  <c r="BO322" i="2"/>
  <c r="BN322" i="2"/>
  <c r="BM322" i="2"/>
  <c r="Z322" i="2"/>
  <c r="Y322" i="2"/>
  <c r="BP322" i="2" s="1"/>
  <c r="P322" i="2"/>
  <c r="BO321" i="2"/>
  <c r="BN321" i="2"/>
  <c r="BM321" i="2"/>
  <c r="Z321" i="2"/>
  <c r="Y321" i="2"/>
  <c r="BP321" i="2" s="1"/>
  <c r="BP320" i="2"/>
  <c r="BO320" i="2"/>
  <c r="BN320" i="2"/>
  <c r="BM320" i="2"/>
  <c r="Z320" i="2"/>
  <c r="Y320" i="2"/>
  <c r="P320" i="2"/>
  <c r="X318" i="2"/>
  <c r="X317" i="2"/>
  <c r="BO316" i="2"/>
  <c r="BM316" i="2"/>
  <c r="Y316" i="2"/>
  <c r="P316" i="2"/>
  <c r="BP315" i="2"/>
  <c r="BO315" i="2"/>
  <c r="BM315" i="2"/>
  <c r="Y315" i="2"/>
  <c r="BN315" i="2" s="1"/>
  <c r="P315" i="2"/>
  <c r="BO314" i="2"/>
  <c r="BM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P308" i="2"/>
  <c r="BO308" i="2"/>
  <c r="BN308" i="2"/>
  <c r="BM308" i="2"/>
  <c r="Z308" i="2"/>
  <c r="Y308" i="2"/>
  <c r="P308" i="2"/>
  <c r="BO307" i="2"/>
  <c r="BN307" i="2"/>
  <c r="BM307" i="2"/>
  <c r="Z307" i="2"/>
  <c r="Y307" i="2"/>
  <c r="BP307" i="2" s="1"/>
  <c r="P307" i="2"/>
  <c r="BO306" i="2"/>
  <c r="BN306" i="2"/>
  <c r="BM306" i="2"/>
  <c r="Z306" i="2"/>
  <c r="Y306" i="2"/>
  <c r="BP306" i="2" s="1"/>
  <c r="P306" i="2"/>
  <c r="X304" i="2"/>
  <c r="X303" i="2"/>
  <c r="BO302" i="2"/>
  <c r="BM302" i="2"/>
  <c r="Y302" i="2"/>
  <c r="P302" i="2"/>
  <c r="BP301" i="2"/>
  <c r="BO301" i="2"/>
  <c r="BM301" i="2"/>
  <c r="Y301" i="2"/>
  <c r="BN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P297" i="2"/>
  <c r="BO296" i="2"/>
  <c r="BM296" i="2"/>
  <c r="Y296" i="2"/>
  <c r="P296" i="2"/>
  <c r="Y294" i="2"/>
  <c r="X294" i="2"/>
  <c r="X293" i="2"/>
  <c r="BO292" i="2"/>
  <c r="BM292" i="2"/>
  <c r="Y292" i="2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X285" i="2"/>
  <c r="Y284" i="2"/>
  <c r="X284" i="2"/>
  <c r="BO283" i="2"/>
  <c r="BM283" i="2"/>
  <c r="Z283" i="2"/>
  <c r="Z284" i="2" s="1"/>
  <c r="Y283" i="2"/>
  <c r="Y285" i="2" s="1"/>
  <c r="P283" i="2"/>
  <c r="X281" i="2"/>
  <c r="X280" i="2"/>
  <c r="BO279" i="2"/>
  <c r="BM279" i="2"/>
  <c r="Y279" i="2"/>
  <c r="P279" i="2"/>
  <c r="BO278" i="2"/>
  <c r="BM278" i="2"/>
  <c r="Y278" i="2"/>
  <c r="P278" i="2"/>
  <c r="X275" i="2"/>
  <c r="X274" i="2"/>
  <c r="BO273" i="2"/>
  <c r="BN273" i="2"/>
  <c r="BM273" i="2"/>
  <c r="Z273" i="2"/>
  <c r="Y273" i="2"/>
  <c r="BP273" i="2" s="1"/>
  <c r="P273" i="2"/>
  <c r="BO272" i="2"/>
  <c r="BN272" i="2"/>
  <c r="BM272" i="2"/>
  <c r="Z272" i="2"/>
  <c r="Y272" i="2"/>
  <c r="BP272" i="2" s="1"/>
  <c r="P272" i="2"/>
  <c r="BO271" i="2"/>
  <c r="BM271" i="2"/>
  <c r="Y271" i="2"/>
  <c r="P271" i="2"/>
  <c r="X268" i="2"/>
  <c r="X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Y267" i="2" s="1"/>
  <c r="P264" i="2"/>
  <c r="BP263" i="2"/>
  <c r="BO263" i="2"/>
  <c r="BN263" i="2"/>
  <c r="BM263" i="2"/>
  <c r="Z263" i="2"/>
  <c r="Y263" i="2"/>
  <c r="P263" i="2"/>
  <c r="X260" i="2"/>
  <c r="X259" i="2"/>
  <c r="BO258" i="2"/>
  <c r="BM258" i="2"/>
  <c r="Y258" i="2"/>
  <c r="P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Z249" i="2" s="1"/>
  <c r="P249" i="2"/>
  <c r="BO248" i="2"/>
  <c r="BM248" i="2"/>
  <c r="Y248" i="2"/>
  <c r="P248" i="2"/>
  <c r="BO247" i="2"/>
  <c r="BM247" i="2"/>
  <c r="Y247" i="2"/>
  <c r="P247" i="2"/>
  <c r="BO246" i="2"/>
  <c r="BM246" i="2"/>
  <c r="Y246" i="2"/>
  <c r="Z246" i="2" s="1"/>
  <c r="P246" i="2"/>
  <c r="BO245" i="2"/>
  <c r="BM245" i="2"/>
  <c r="Y245" i="2"/>
  <c r="P245" i="2"/>
  <c r="X243" i="2"/>
  <c r="X242" i="2"/>
  <c r="BO241" i="2"/>
  <c r="BM241" i="2"/>
  <c r="Y241" i="2"/>
  <c r="Y243" i="2" s="1"/>
  <c r="P241" i="2"/>
  <c r="X239" i="2"/>
  <c r="X238" i="2"/>
  <c r="BO237" i="2"/>
  <c r="BM237" i="2"/>
  <c r="Y237" i="2"/>
  <c r="BP237" i="2" s="1"/>
  <c r="P237" i="2"/>
  <c r="X235" i="2"/>
  <c r="X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P231" i="2"/>
  <c r="BP230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P226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Z224" i="2"/>
  <c r="Y224" i="2"/>
  <c r="BP224" i="2" s="1"/>
  <c r="P224" i="2"/>
  <c r="X221" i="2"/>
  <c r="X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Z214" i="2"/>
  <c r="Y214" i="2"/>
  <c r="BP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Y216" i="2" s="1"/>
  <c r="P206" i="2"/>
  <c r="X204" i="2"/>
  <c r="X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BN200" i="2" s="1"/>
  <c r="P200" i="2"/>
  <c r="BO199" i="2"/>
  <c r="BM199" i="2"/>
  <c r="Y199" i="2"/>
  <c r="P199" i="2"/>
  <c r="BP198" i="2"/>
  <c r="BO198" i="2"/>
  <c r="BN198" i="2"/>
  <c r="BM198" i="2"/>
  <c r="Z198" i="2"/>
  <c r="Y198" i="2"/>
  <c r="P198" i="2"/>
  <c r="BO197" i="2"/>
  <c r="BN197" i="2"/>
  <c r="BM197" i="2"/>
  <c r="Z197" i="2"/>
  <c r="Y197" i="2"/>
  <c r="BP197" i="2" s="1"/>
  <c r="P197" i="2"/>
  <c r="BO196" i="2"/>
  <c r="BN196" i="2"/>
  <c r="BM196" i="2"/>
  <c r="Z196" i="2"/>
  <c r="Y196" i="2"/>
  <c r="BP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N190" i="2" s="1"/>
  <c r="P190" i="2"/>
  <c r="X188" i="2"/>
  <c r="X187" i="2"/>
  <c r="BO186" i="2"/>
  <c r="BM186" i="2"/>
  <c r="Y186" i="2"/>
  <c r="Z186" i="2" s="1"/>
  <c r="P186" i="2"/>
  <c r="BO185" i="2"/>
  <c r="BM185" i="2"/>
  <c r="Z185" i="2"/>
  <c r="Z187" i="2" s="1"/>
  <c r="Y185" i="2"/>
  <c r="Y188" i="2" s="1"/>
  <c r="P185" i="2"/>
  <c r="X182" i="2"/>
  <c r="X181" i="2"/>
  <c r="BO180" i="2"/>
  <c r="BM180" i="2"/>
  <c r="Y180" i="2"/>
  <c r="Y182" i="2" s="1"/>
  <c r="P180" i="2"/>
  <c r="X178" i="2"/>
  <c r="X177" i="2"/>
  <c r="BO176" i="2"/>
  <c r="BM176" i="2"/>
  <c r="Y176" i="2"/>
  <c r="Z176" i="2" s="1"/>
  <c r="P176" i="2"/>
  <c r="BP175" i="2"/>
  <c r="BO175" i="2"/>
  <c r="BN175" i="2"/>
  <c r="BM175" i="2"/>
  <c r="Z175" i="2"/>
  <c r="Y175" i="2"/>
  <c r="P175" i="2"/>
  <c r="BO174" i="2"/>
  <c r="BN174" i="2"/>
  <c r="BM174" i="2"/>
  <c r="Z174" i="2"/>
  <c r="Z177" i="2" s="1"/>
  <c r="Y174" i="2"/>
  <c r="BP174" i="2" s="1"/>
  <c r="P174" i="2"/>
  <c r="X172" i="2"/>
  <c r="X171" i="2"/>
  <c r="BO170" i="2"/>
  <c r="BM170" i="2"/>
  <c r="Y170" i="2"/>
  <c r="BN170" i="2" s="1"/>
  <c r="P170" i="2"/>
  <c r="BO169" i="2"/>
  <c r="BM169" i="2"/>
  <c r="Y169" i="2"/>
  <c r="P169" i="2"/>
  <c r="BO168" i="2"/>
  <c r="BM168" i="2"/>
  <c r="Y168" i="2"/>
  <c r="Z168" i="2" s="1"/>
  <c r="P168" i="2"/>
  <c r="BO167" i="2"/>
  <c r="BM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P165" i="2"/>
  <c r="BO164" i="2"/>
  <c r="BN164" i="2"/>
  <c r="BM164" i="2"/>
  <c r="Z164" i="2"/>
  <c r="Y164" i="2"/>
  <c r="BP164" i="2" s="1"/>
  <c r="P164" i="2"/>
  <c r="BO163" i="2"/>
  <c r="BN163" i="2"/>
  <c r="BM163" i="2"/>
  <c r="Z163" i="2"/>
  <c r="Y163" i="2"/>
  <c r="BP163" i="2" s="1"/>
  <c r="P163" i="2"/>
  <c r="BO162" i="2"/>
  <c r="BM162" i="2"/>
  <c r="Y162" i="2"/>
  <c r="BN162" i="2" s="1"/>
  <c r="P162" i="2"/>
  <c r="X160" i="2"/>
  <c r="X159" i="2"/>
  <c r="BO158" i="2"/>
  <c r="BM158" i="2"/>
  <c r="Y158" i="2"/>
  <c r="Z158" i="2" s="1"/>
  <c r="Z159" i="2" s="1"/>
  <c r="P158" i="2"/>
  <c r="Y154" i="2"/>
  <c r="X154" i="2"/>
  <c r="X153" i="2"/>
  <c r="BP152" i="2"/>
  <c r="BO152" i="2"/>
  <c r="BN152" i="2"/>
  <c r="BM152" i="2"/>
  <c r="Z152" i="2"/>
  <c r="Z153" i="2" s="1"/>
  <c r="Y152" i="2"/>
  <c r="Y153" i="2" s="1"/>
  <c r="X150" i="2"/>
  <c r="X149" i="2"/>
  <c r="BP148" i="2"/>
  <c r="BO148" i="2"/>
  <c r="BN148" i="2"/>
  <c r="BM148" i="2"/>
  <c r="Z148" i="2"/>
  <c r="Y148" i="2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P142" i="2"/>
  <c r="BO142" i="2"/>
  <c r="BM142" i="2"/>
  <c r="Y142" i="2"/>
  <c r="BN142" i="2" s="1"/>
  <c r="P142" i="2"/>
  <c r="BO141" i="2"/>
  <c r="BM141" i="2"/>
  <c r="Y141" i="2"/>
  <c r="BP141" i="2" s="1"/>
  <c r="P141" i="2"/>
  <c r="BO140" i="2"/>
  <c r="BM140" i="2"/>
  <c r="Y140" i="2"/>
  <c r="P140" i="2"/>
  <c r="Y137" i="2"/>
  <c r="X137" i="2"/>
  <c r="Y136" i="2"/>
  <c r="X136" i="2"/>
  <c r="BP135" i="2"/>
  <c r="BO135" i="2"/>
  <c r="BN135" i="2"/>
  <c r="BM135" i="2"/>
  <c r="Z135" i="2"/>
  <c r="Y135" i="2"/>
  <c r="P135" i="2"/>
  <c r="BO134" i="2"/>
  <c r="BN134" i="2"/>
  <c r="BM134" i="2"/>
  <c r="Z134" i="2"/>
  <c r="Z136" i="2" s="1"/>
  <c r="Y134" i="2"/>
  <c r="BP134" i="2" s="1"/>
  <c r="P134" i="2"/>
  <c r="X132" i="2"/>
  <c r="X131" i="2"/>
  <c r="BO130" i="2"/>
  <c r="BM130" i="2"/>
  <c r="Y130" i="2"/>
  <c r="P130" i="2"/>
  <c r="BO129" i="2"/>
  <c r="BM129" i="2"/>
  <c r="Y129" i="2"/>
  <c r="BN129" i="2" s="1"/>
  <c r="P129" i="2"/>
  <c r="X127" i="2"/>
  <c r="X126" i="2"/>
  <c r="BP125" i="2"/>
  <c r="BO125" i="2"/>
  <c r="BN125" i="2"/>
  <c r="BM125" i="2"/>
  <c r="Z125" i="2"/>
  <c r="Y125" i="2"/>
  <c r="P125" i="2"/>
  <c r="BO124" i="2"/>
  <c r="BM124" i="2"/>
  <c r="Y124" i="2"/>
  <c r="BP124" i="2" s="1"/>
  <c r="P124" i="2"/>
  <c r="X121" i="2"/>
  <c r="X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P114" i="2"/>
  <c r="BO113" i="2"/>
  <c r="BM113" i="2"/>
  <c r="Y113" i="2"/>
  <c r="Z113" i="2" s="1"/>
  <c r="P113" i="2"/>
  <c r="BP112" i="2"/>
  <c r="BO112" i="2"/>
  <c r="BN112" i="2"/>
  <c r="BM112" i="2"/>
  <c r="Z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X104" i="2"/>
  <c r="X103" i="2"/>
  <c r="BO102" i="2"/>
  <c r="BM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Y100" i="2"/>
  <c r="Z100" i="2" s="1"/>
  <c r="P100" i="2"/>
  <c r="BO99" i="2"/>
  <c r="BM99" i="2"/>
  <c r="Z99" i="2"/>
  <c r="Y99" i="2"/>
  <c r="P99" i="2"/>
  <c r="X96" i="2"/>
  <c r="X95" i="2"/>
  <c r="BO94" i="2"/>
  <c r="BM94" i="2"/>
  <c r="Y94" i="2"/>
  <c r="BP94" i="2" s="1"/>
  <c r="P94" i="2"/>
  <c r="BO93" i="2"/>
  <c r="BM93" i="2"/>
  <c r="Z93" i="2"/>
  <c r="Y93" i="2"/>
  <c r="BN93" i="2" s="1"/>
  <c r="P93" i="2"/>
  <c r="BO92" i="2"/>
  <c r="BM92" i="2"/>
  <c r="Y92" i="2"/>
  <c r="P92" i="2"/>
  <c r="BO91" i="2"/>
  <c r="BM91" i="2"/>
  <c r="Y91" i="2"/>
  <c r="BP91" i="2" s="1"/>
  <c r="P91" i="2"/>
  <c r="X89" i="2"/>
  <c r="X88" i="2"/>
  <c r="BO87" i="2"/>
  <c r="BN87" i="2"/>
  <c r="BM87" i="2"/>
  <c r="Z87" i="2"/>
  <c r="Y87" i="2"/>
  <c r="BP87" i="2" s="1"/>
  <c r="P87" i="2"/>
  <c r="BO86" i="2"/>
  <c r="BM86" i="2"/>
  <c r="Y86" i="2"/>
  <c r="BN86" i="2" s="1"/>
  <c r="P86" i="2"/>
  <c r="BP85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X77" i="2"/>
  <c r="X76" i="2"/>
  <c r="BO75" i="2"/>
  <c r="BM75" i="2"/>
  <c r="Z75" i="2"/>
  <c r="Y75" i="2"/>
  <c r="P75" i="2"/>
  <c r="BO74" i="2"/>
  <c r="BM74" i="2"/>
  <c r="Y74" i="2"/>
  <c r="BP74" i="2" s="1"/>
  <c r="P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P53" i="2"/>
  <c r="BO53" i="2"/>
  <c r="BM53" i="2"/>
  <c r="Y53" i="2"/>
  <c r="BN53" i="2" s="1"/>
  <c r="P53" i="2"/>
  <c r="BO52" i="2"/>
  <c r="BM52" i="2"/>
  <c r="Y52" i="2"/>
  <c r="P52" i="2"/>
  <c r="BO51" i="2"/>
  <c r="BM51" i="2"/>
  <c r="Y51" i="2"/>
  <c r="BP51" i="2" s="1"/>
  <c r="P51" i="2"/>
  <c r="X48" i="2"/>
  <c r="X47" i="2"/>
  <c r="BO46" i="2"/>
  <c r="BM46" i="2"/>
  <c r="Y46" i="2"/>
  <c r="BP46" i="2" s="1"/>
  <c r="P46" i="2"/>
  <c r="X44" i="2"/>
  <c r="X43" i="2"/>
  <c r="BO42" i="2"/>
  <c r="BM42" i="2"/>
  <c r="Y42" i="2"/>
  <c r="P42" i="2"/>
  <c r="BO41" i="2"/>
  <c r="BM41" i="2"/>
  <c r="Z41" i="2"/>
  <c r="Y41" i="2"/>
  <c r="P41" i="2"/>
  <c r="BO40" i="2"/>
  <c r="BM40" i="2"/>
  <c r="Y40" i="2"/>
  <c r="BN40" i="2" s="1"/>
  <c r="P40" i="2"/>
  <c r="X36" i="2"/>
  <c r="X35" i="2"/>
  <c r="BO34" i="2"/>
  <c r="BN34" i="2"/>
  <c r="BM34" i="2"/>
  <c r="Z34" i="2"/>
  <c r="Z35" i="2" s="1"/>
  <c r="Y34" i="2"/>
  <c r="Y36" i="2" s="1"/>
  <c r="P34" i="2"/>
  <c r="X32" i="2"/>
  <c r="X31" i="2"/>
  <c r="BO30" i="2"/>
  <c r="BN30" i="2"/>
  <c r="BM30" i="2"/>
  <c r="Z30" i="2"/>
  <c r="Y30" i="2"/>
  <c r="BP30" i="2" s="1"/>
  <c r="P30" i="2"/>
  <c r="BO29" i="2"/>
  <c r="BN29" i="2"/>
  <c r="BM29" i="2"/>
  <c r="Z29" i="2"/>
  <c r="Y29" i="2"/>
  <c r="BP29" i="2" s="1"/>
  <c r="P29" i="2"/>
  <c r="BO28" i="2"/>
  <c r="BM28" i="2"/>
  <c r="Y28" i="2"/>
  <c r="BN28" i="2" s="1"/>
  <c r="P28" i="2"/>
  <c r="BO27" i="2"/>
  <c r="BM27" i="2"/>
  <c r="Y27" i="2"/>
  <c r="P27" i="2"/>
  <c r="BO26" i="2"/>
  <c r="BM26" i="2"/>
  <c r="Y26" i="2"/>
  <c r="P26" i="2"/>
  <c r="Y24" i="2"/>
  <c r="X24" i="2"/>
  <c r="Y23" i="2"/>
  <c r="X23" i="2"/>
  <c r="BO22" i="2"/>
  <c r="BM22" i="2"/>
  <c r="Z22" i="2"/>
  <c r="Z23" i="2" s="1"/>
  <c r="Y22" i="2"/>
  <c r="P22" i="2"/>
  <c r="H10" i="2"/>
  <c r="A9" i="2"/>
  <c r="H9" i="2" s="1"/>
  <c r="D7" i="2"/>
  <c r="Q6" i="2"/>
  <c r="P2" i="2"/>
  <c r="X490" i="2" l="1"/>
  <c r="Y89" i="2"/>
  <c r="BN100" i="2"/>
  <c r="BN115" i="2"/>
  <c r="BP115" i="2"/>
  <c r="Y116" i="2"/>
  <c r="Y117" i="2"/>
  <c r="Y121" i="2"/>
  <c r="Y126" i="2"/>
  <c r="Y127" i="2"/>
  <c r="BN158" i="2"/>
  <c r="BP158" i="2"/>
  <c r="Y159" i="2"/>
  <c r="Y160" i="2"/>
  <c r="BN168" i="2"/>
  <c r="BP168" i="2"/>
  <c r="Y177" i="2"/>
  <c r="Y178" i="2"/>
  <c r="BN186" i="2"/>
  <c r="BP186" i="2"/>
  <c r="BN191" i="2"/>
  <c r="BP191" i="2"/>
  <c r="Y192" i="2"/>
  <c r="Y193" i="2"/>
  <c r="BN213" i="2"/>
  <c r="Y235" i="2"/>
  <c r="BN232" i="2"/>
  <c r="BP232" i="2"/>
  <c r="Y238" i="2"/>
  <c r="Y239" i="2"/>
  <c r="BP247" i="2"/>
  <c r="Z247" i="2"/>
  <c r="BP258" i="2"/>
  <c r="Z258" i="2"/>
  <c r="BP296" i="2"/>
  <c r="Y304" i="2"/>
  <c r="BN296" i="2"/>
  <c r="Z296" i="2"/>
  <c r="BP297" i="2"/>
  <c r="BN297" i="2"/>
  <c r="Z297" i="2"/>
  <c r="BP298" i="2"/>
  <c r="BN298" i="2"/>
  <c r="Z298" i="2"/>
  <c r="Y317" i="2"/>
  <c r="Y318" i="2"/>
  <c r="BP314" i="2"/>
  <c r="BP328" i="2"/>
  <c r="Z328" i="2"/>
  <c r="BN343" i="2"/>
  <c r="BN347" i="2"/>
  <c r="BP347" i="2"/>
  <c r="BN358" i="2"/>
  <c r="BP372" i="2"/>
  <c r="Y375" i="2"/>
  <c r="Y374" i="2"/>
  <c r="Z372" i="2"/>
  <c r="BP386" i="2"/>
  <c r="BN386" i="2"/>
  <c r="Z386" i="2"/>
  <c r="BP387" i="2"/>
  <c r="Z387" i="2"/>
  <c r="BN406" i="2"/>
  <c r="W498" i="2"/>
  <c r="Y416" i="2"/>
  <c r="Y415" i="2"/>
  <c r="BP414" i="2"/>
  <c r="BN414" i="2"/>
  <c r="Z414" i="2"/>
  <c r="Z415" i="2" s="1"/>
  <c r="BP424" i="2"/>
  <c r="BN424" i="2"/>
  <c r="Z424" i="2"/>
  <c r="BP430" i="2"/>
  <c r="Z430" i="2"/>
  <c r="Y447" i="2"/>
  <c r="BP440" i="2"/>
  <c r="BP449" i="2"/>
  <c r="Z449" i="2"/>
  <c r="Y453" i="2"/>
  <c r="Y461" i="2"/>
  <c r="BP457" i="2"/>
  <c r="BN457" i="2"/>
  <c r="Z457" i="2"/>
  <c r="BN471" i="2"/>
  <c r="BP471" i="2"/>
  <c r="BN480" i="2"/>
  <c r="BP480" i="2"/>
  <c r="X492" i="2"/>
  <c r="X489" i="2"/>
  <c r="BP28" i="2"/>
  <c r="Z46" i="2"/>
  <c r="Z47" i="2" s="1"/>
  <c r="Y47" i="2"/>
  <c r="Y48" i="2"/>
  <c r="Z54" i="2"/>
  <c r="BN54" i="2"/>
  <c r="Z55" i="2"/>
  <c r="BN55" i="2"/>
  <c r="Z56" i="2"/>
  <c r="BN56" i="2"/>
  <c r="Y57" i="2"/>
  <c r="BP62" i="2"/>
  <c r="Z68" i="2"/>
  <c r="BN68" i="2"/>
  <c r="Z74" i="2"/>
  <c r="BP86" i="2"/>
  <c r="Z91" i="2"/>
  <c r="BN91" i="2"/>
  <c r="Z94" i="2"/>
  <c r="Z102" i="2"/>
  <c r="Z103" i="2" s="1"/>
  <c r="BN102" i="2"/>
  <c r="Z108" i="2"/>
  <c r="BP119" i="2"/>
  <c r="Z124" i="2"/>
  <c r="Z126" i="2" s="1"/>
  <c r="BN124" i="2"/>
  <c r="Z141" i="2"/>
  <c r="Z147" i="2"/>
  <c r="BN147" i="2"/>
  <c r="BP162" i="2"/>
  <c r="Z180" i="2"/>
  <c r="Z181" i="2" s="1"/>
  <c r="BP195" i="2"/>
  <c r="BN201" i="2"/>
  <c r="BP201" i="2"/>
  <c r="Z206" i="2"/>
  <c r="BN206" i="2"/>
  <c r="Z207" i="2"/>
  <c r="BN207" i="2"/>
  <c r="Z208" i="2"/>
  <c r="BN208" i="2"/>
  <c r="BN211" i="2"/>
  <c r="BP211" i="2"/>
  <c r="Z218" i="2"/>
  <c r="BN218" i="2"/>
  <c r="BP225" i="2"/>
  <c r="Z227" i="2"/>
  <c r="BN227" i="2"/>
  <c r="Z228" i="2"/>
  <c r="BN228" i="2"/>
  <c r="Z229" i="2"/>
  <c r="BN229" i="2"/>
  <c r="Z237" i="2"/>
  <c r="Z238" i="2" s="1"/>
  <c r="BN237" i="2"/>
  <c r="Z241" i="2"/>
  <c r="Z242" i="2" s="1"/>
  <c r="BN241" i="2"/>
  <c r="BP241" i="2"/>
  <c r="Y242" i="2"/>
  <c r="BN264" i="2"/>
  <c r="BP264" i="2"/>
  <c r="BN266" i="2"/>
  <c r="BP266" i="2"/>
  <c r="Y274" i="2"/>
  <c r="O498" i="2"/>
  <c r="BP271" i="2"/>
  <c r="BP288" i="2"/>
  <c r="BN288" i="2"/>
  <c r="Z288" i="2"/>
  <c r="BN291" i="2"/>
  <c r="BP291" i="2"/>
  <c r="BP316" i="2"/>
  <c r="BN316" i="2"/>
  <c r="Z316" i="2"/>
  <c r="BP335" i="2"/>
  <c r="BN335" i="2"/>
  <c r="Z335" i="2"/>
  <c r="BP352" i="2"/>
  <c r="BN352" i="2"/>
  <c r="Z352" i="2"/>
  <c r="Z354" i="2" s="1"/>
  <c r="BP390" i="2"/>
  <c r="BN390" i="2"/>
  <c r="Z390" i="2"/>
  <c r="BN421" i="2"/>
  <c r="BP421" i="2"/>
  <c r="BN436" i="2"/>
  <c r="Z436" i="2"/>
  <c r="BP442" i="2"/>
  <c r="BN442" i="2"/>
  <c r="Z442" i="2"/>
  <c r="BP443" i="2"/>
  <c r="Z443" i="2"/>
  <c r="BN451" i="2"/>
  <c r="BP451" i="2"/>
  <c r="BP464" i="2"/>
  <c r="Z464" i="2"/>
  <c r="Y482" i="2"/>
  <c r="BN246" i="2"/>
  <c r="BN249" i="2"/>
  <c r="BP249" i="2"/>
  <c r="BN255" i="2"/>
  <c r="BP255" i="2"/>
  <c r="BN257" i="2"/>
  <c r="BN299" i="2"/>
  <c r="BN391" i="2"/>
  <c r="BP391" i="2"/>
  <c r="BP426" i="2"/>
  <c r="BN427" i="2"/>
  <c r="BP427" i="2"/>
  <c r="Y468" i="2"/>
  <c r="BN466" i="2"/>
  <c r="BP466" i="2"/>
  <c r="Y472" i="2"/>
  <c r="Y473" i="2"/>
  <c r="Y477" i="2"/>
  <c r="Y481" i="2"/>
  <c r="X491" i="2"/>
  <c r="Z73" i="2"/>
  <c r="BP73" i="2"/>
  <c r="BP200" i="2"/>
  <c r="Z200" i="2"/>
  <c r="BP212" i="2"/>
  <c r="Z212" i="2"/>
  <c r="Z79" i="2"/>
  <c r="Y82" i="2"/>
  <c r="Y81" i="2"/>
  <c r="BP254" i="2"/>
  <c r="BN254" i="2"/>
  <c r="Y260" i="2"/>
  <c r="Z254" i="2"/>
  <c r="Y259" i="2"/>
  <c r="L498" i="2"/>
  <c r="Y280" i="2"/>
  <c r="P498" i="2"/>
  <c r="BN278" i="2"/>
  <c r="Z278" i="2"/>
  <c r="Y281" i="2"/>
  <c r="X488" i="2"/>
  <c r="Z107" i="2"/>
  <c r="BP107" i="2"/>
  <c r="BP377" i="2"/>
  <c r="BN377" i="2"/>
  <c r="Z377" i="2"/>
  <c r="Z379" i="2" s="1"/>
  <c r="Y380" i="2"/>
  <c r="Y379" i="2"/>
  <c r="BP42" i="2"/>
  <c r="BN42" i="2"/>
  <c r="BN107" i="2"/>
  <c r="Z130" i="2"/>
  <c r="BP130" i="2"/>
  <c r="BN209" i="2"/>
  <c r="BP248" i="2"/>
  <c r="BN248" i="2"/>
  <c r="BP278" i="2"/>
  <c r="Y31" i="2"/>
  <c r="BN26" i="2"/>
  <c r="Y32" i="2"/>
  <c r="BP79" i="2"/>
  <c r="Y96" i="2"/>
  <c r="Y95" i="2"/>
  <c r="BN92" i="2"/>
  <c r="Z92" i="2"/>
  <c r="Z95" i="2" s="1"/>
  <c r="F498" i="2"/>
  <c r="BP99" i="2"/>
  <c r="BN99" i="2"/>
  <c r="Y104" i="2"/>
  <c r="BP169" i="2"/>
  <c r="Z169" i="2"/>
  <c r="Z248" i="2"/>
  <c r="BP265" i="2"/>
  <c r="BN265" i="2"/>
  <c r="Z265" i="2"/>
  <c r="Y431" i="2"/>
  <c r="BP425" i="2"/>
  <c r="BN425" i="2"/>
  <c r="Z425" i="2"/>
  <c r="BP34" i="2"/>
  <c r="Z26" i="2"/>
  <c r="Z51" i="2"/>
  <c r="BN130" i="2"/>
  <c r="Z166" i="2"/>
  <c r="Y171" i="2"/>
  <c r="BP209" i="2"/>
  <c r="BP279" i="2"/>
  <c r="BN279" i="2"/>
  <c r="Z279" i="2"/>
  <c r="R498" i="2"/>
  <c r="Y338" i="2"/>
  <c r="Z334" i="2"/>
  <c r="Z337" i="2" s="1"/>
  <c r="Z42" i="2"/>
  <c r="BP80" i="2"/>
  <c r="Z80" i="2"/>
  <c r="BN113" i="2"/>
  <c r="BN169" i="2"/>
  <c r="BP245" i="2"/>
  <c r="Z245" i="2"/>
  <c r="Y250" i="2"/>
  <c r="Y393" i="2"/>
  <c r="BP389" i="2"/>
  <c r="BN389" i="2"/>
  <c r="Z389" i="2"/>
  <c r="Y64" i="2"/>
  <c r="BN60" i="2"/>
  <c r="Y63" i="2"/>
  <c r="BN166" i="2"/>
  <c r="BP210" i="2"/>
  <c r="BN210" i="2"/>
  <c r="Z210" i="2"/>
  <c r="Y221" i="2"/>
  <c r="Z219" i="2"/>
  <c r="BP292" i="2"/>
  <c r="BN292" i="2"/>
  <c r="Z292" i="2"/>
  <c r="BN334" i="2"/>
  <c r="Y337" i="2"/>
  <c r="Y70" i="2"/>
  <c r="Z66" i="2"/>
  <c r="Z69" i="2" s="1"/>
  <c r="J9" i="2"/>
  <c r="BP26" i="2"/>
  <c r="Z60" i="2"/>
  <c r="BN80" i="2"/>
  <c r="BP113" i="2"/>
  <c r="BP190" i="2"/>
  <c r="Z190" i="2"/>
  <c r="Z192" i="2" s="1"/>
  <c r="BN245" i="2"/>
  <c r="BP92" i="2"/>
  <c r="Y44" i="2"/>
  <c r="BN66" i="2"/>
  <c r="Y69" i="2"/>
  <c r="BP75" i="2"/>
  <c r="BN75" i="2"/>
  <c r="BP166" i="2"/>
  <c r="Z170" i="2"/>
  <c r="BP170" i="2"/>
  <c r="BN219" i="2"/>
  <c r="BP334" i="2"/>
  <c r="V498" i="2"/>
  <c r="Y404" i="2"/>
  <c r="Y403" i="2"/>
  <c r="BP402" i="2"/>
  <c r="BN402" i="2"/>
  <c r="Z402" i="2"/>
  <c r="Z403" i="2" s="1"/>
  <c r="BP435" i="2"/>
  <c r="BN435" i="2"/>
  <c r="Z435" i="2"/>
  <c r="Z437" i="2" s="1"/>
  <c r="Y438" i="2"/>
  <c r="Y437" i="2"/>
  <c r="D498" i="2"/>
  <c r="BN51" i="2"/>
  <c r="Y58" i="2"/>
  <c r="BN27" i="2"/>
  <c r="Z27" i="2"/>
  <c r="Y150" i="2"/>
  <c r="Z146" i="2"/>
  <c r="Z149" i="2" s="1"/>
  <c r="BP202" i="2"/>
  <c r="Z202" i="2"/>
  <c r="BP256" i="2"/>
  <c r="BN256" i="2"/>
  <c r="Z256" i="2"/>
  <c r="Y293" i="2"/>
  <c r="Q498" i="2"/>
  <c r="Z289" i="2"/>
  <c r="BP342" i="2"/>
  <c r="BN342" i="2"/>
  <c r="S498" i="2"/>
  <c r="Z342" i="2"/>
  <c r="Y349" i="2"/>
  <c r="Y394" i="2"/>
  <c r="BN52" i="2"/>
  <c r="Z52" i="2"/>
  <c r="Y144" i="2"/>
  <c r="Y143" i="2"/>
  <c r="BN140" i="2"/>
  <c r="H498" i="2"/>
  <c r="B498" i="2"/>
  <c r="BP60" i="2"/>
  <c r="BP66" i="2"/>
  <c r="Y103" i="2"/>
  <c r="Y109" i="2"/>
  <c r="Z140" i="2"/>
  <c r="BP167" i="2"/>
  <c r="Z167" i="2"/>
  <c r="BP185" i="2"/>
  <c r="BN185" i="2"/>
  <c r="Y187" i="2"/>
  <c r="J498" i="2"/>
  <c r="Y203" i="2"/>
  <c r="Z199" i="2"/>
  <c r="BP219" i="2"/>
  <c r="Y411" i="2"/>
  <c r="Z409" i="2"/>
  <c r="Z410" i="2" s="1"/>
  <c r="BP302" i="2"/>
  <c r="BN302" i="2"/>
  <c r="Z302" i="2"/>
  <c r="X498" i="2"/>
  <c r="F9" i="2"/>
  <c r="F10" i="2"/>
  <c r="A10" i="2"/>
  <c r="Y43" i="2"/>
  <c r="BP72" i="2"/>
  <c r="Z72" i="2"/>
  <c r="Z76" i="2" s="1"/>
  <c r="BP61" i="2"/>
  <c r="BN61" i="2"/>
  <c r="E498" i="2"/>
  <c r="BP93" i="2"/>
  <c r="BP100" i="2"/>
  <c r="BN167" i="2"/>
  <c r="BN199" i="2"/>
  <c r="Y220" i="2"/>
  <c r="Y369" i="2"/>
  <c r="T498" i="2"/>
  <c r="BP367" i="2"/>
  <c r="BN367" i="2"/>
  <c r="Z367" i="2"/>
  <c r="Y370" i="2"/>
  <c r="BN409" i="2"/>
  <c r="BP445" i="2"/>
  <c r="BN445" i="2"/>
  <c r="Z445" i="2"/>
  <c r="Y35" i="2"/>
  <c r="BP233" i="2"/>
  <c r="Z233" i="2"/>
  <c r="BP52" i="2"/>
  <c r="BN22" i="2"/>
  <c r="BN46" i="2"/>
  <c r="Z61" i="2"/>
  <c r="BN72" i="2"/>
  <c r="Y76" i="2"/>
  <c r="Y110" i="2"/>
  <c r="BP106" i="2"/>
  <c r="Z106" i="2"/>
  <c r="Z109" i="2" s="1"/>
  <c r="BP140" i="2"/>
  <c r="BP146" i="2"/>
  <c r="BN176" i="2"/>
  <c r="Y215" i="2"/>
  <c r="Y234" i="2"/>
  <c r="Z230" i="2"/>
  <c r="K498" i="2"/>
  <c r="BN233" i="2"/>
  <c r="BP289" i="2"/>
  <c r="U498" i="2"/>
  <c r="BP459" i="2"/>
  <c r="BN459" i="2"/>
  <c r="Z459" i="2"/>
  <c r="Y462" i="2"/>
  <c r="BP231" i="2"/>
  <c r="BN231" i="2"/>
  <c r="Z231" i="2"/>
  <c r="Y149" i="2"/>
  <c r="BP27" i="2"/>
  <c r="BP41" i="2"/>
  <c r="BN41" i="2"/>
  <c r="BP199" i="2"/>
  <c r="Y303" i="2"/>
  <c r="Z299" i="2"/>
  <c r="Z324" i="2"/>
  <c r="BP409" i="2"/>
  <c r="BP309" i="2"/>
  <c r="Z309" i="2"/>
  <c r="Y312" i="2"/>
  <c r="Y311" i="2"/>
  <c r="Z40" i="2"/>
  <c r="Z43" i="2" s="1"/>
  <c r="C498" i="2"/>
  <c r="BP40" i="2"/>
  <c r="BP114" i="2"/>
  <c r="Z114" i="2"/>
  <c r="Z116" i="2" s="1"/>
  <c r="BN114" i="2"/>
  <c r="BN146" i="2"/>
  <c r="BP22" i="2"/>
  <c r="Y77" i="2"/>
  <c r="G498" i="2"/>
  <c r="BP129" i="2"/>
  <c r="Z129" i="2"/>
  <c r="Z131" i="2" s="1"/>
  <c r="Y132" i="2"/>
  <c r="Y131" i="2"/>
  <c r="BP176" i="2"/>
  <c r="Y204" i="2"/>
  <c r="BN230" i="2"/>
  <c r="Y251" i="2"/>
  <c r="Y268" i="2"/>
  <c r="Z264" i="2"/>
  <c r="Z267" i="2" s="1"/>
  <c r="M498" i="2"/>
  <c r="Z466" i="2"/>
  <c r="I498" i="2"/>
  <c r="Y275" i="2"/>
  <c r="BN94" i="2"/>
  <c r="Y120" i="2"/>
  <c r="BN141" i="2"/>
  <c r="BN180" i="2"/>
  <c r="BP213" i="2"/>
  <c r="BN224" i="2"/>
  <c r="BP246" i="2"/>
  <c r="BP257" i="2"/>
  <c r="Z291" i="2"/>
  <c r="Z301" i="2"/>
  <c r="BN328" i="2"/>
  <c r="BP343" i="2"/>
  <c r="BN346" i="2"/>
  <c r="BP358" i="2"/>
  <c r="BP406" i="2"/>
  <c r="BN449" i="2"/>
  <c r="Y452" i="2"/>
  <c r="Z471" i="2"/>
  <c r="Z472" i="2" s="1"/>
  <c r="Y476" i="2"/>
  <c r="BP180" i="2"/>
  <c r="Y359" i="2"/>
  <c r="Y181" i="2"/>
  <c r="Z62" i="2"/>
  <c r="BN74" i="2"/>
  <c r="Z85" i="2"/>
  <c r="BN108" i="2"/>
  <c r="Z142" i="2"/>
  <c r="Y172" i="2"/>
  <c r="BP206" i="2"/>
  <c r="BN214" i="2"/>
  <c r="Z225" i="2"/>
  <c r="BN247" i="2"/>
  <c r="BN258" i="2"/>
  <c r="BN283" i="2"/>
  <c r="Z314" i="2"/>
  <c r="Z329" i="2"/>
  <c r="BN344" i="2"/>
  <c r="Z347" i="2"/>
  <c r="Y360" i="2"/>
  <c r="BN372" i="2"/>
  <c r="Z384" i="2"/>
  <c r="BN407" i="2"/>
  <c r="Y410" i="2"/>
  <c r="Z420" i="2"/>
  <c r="BN430" i="2"/>
  <c r="Z440" i="2"/>
  <c r="Z450" i="2"/>
  <c r="BN464" i="2"/>
  <c r="Y467" i="2"/>
  <c r="BN85" i="2"/>
  <c r="Y88" i="2"/>
  <c r="BP283" i="2"/>
  <c r="BN314" i="2"/>
  <c r="Z357" i="2"/>
  <c r="Z359" i="2" s="1"/>
  <c r="BN384" i="2"/>
  <c r="Z392" i="2"/>
  <c r="BN420" i="2"/>
  <c r="Z428" i="2"/>
  <c r="BN440" i="2"/>
  <c r="Z485" i="2"/>
  <c r="Z486" i="2" s="1"/>
  <c r="Z327" i="2"/>
  <c r="Z345" i="2"/>
  <c r="BN357" i="2"/>
  <c r="Z368" i="2"/>
  <c r="BN392" i="2"/>
  <c r="BN428" i="2"/>
  <c r="Z460" i="2"/>
  <c r="BN485" i="2"/>
  <c r="BN362" i="2"/>
  <c r="Z373" i="2"/>
  <c r="Z374" i="2" s="1"/>
  <c r="BN387" i="2"/>
  <c r="BN397" i="2"/>
  <c r="Z408" i="2"/>
  <c r="BN423" i="2"/>
  <c r="BN443" i="2"/>
  <c r="Y446" i="2"/>
  <c r="Z465" i="2"/>
  <c r="Z290" i="2"/>
  <c r="Z300" i="2"/>
  <c r="Z310" i="2"/>
  <c r="BN327" i="2"/>
  <c r="Y330" i="2"/>
  <c r="BN345" i="2"/>
  <c r="BN368" i="2"/>
  <c r="BN460" i="2"/>
  <c r="BP485" i="2"/>
  <c r="Z28" i="2"/>
  <c r="Z53" i="2"/>
  <c r="Z86" i="2"/>
  <c r="Z119" i="2"/>
  <c r="Z120" i="2" s="1"/>
  <c r="Z162" i="2"/>
  <c r="Z195" i="2"/>
  <c r="Z226" i="2"/>
  <c r="Z271" i="2"/>
  <c r="Z274" i="2" s="1"/>
  <c r="Z315" i="2"/>
  <c r="Z348" i="2"/>
  <c r="BN373" i="2"/>
  <c r="Z385" i="2"/>
  <c r="BN408" i="2"/>
  <c r="Z421" i="2"/>
  <c r="Y432" i="2"/>
  <c r="Z441" i="2"/>
  <c r="Z451" i="2"/>
  <c r="BN465" i="2"/>
  <c r="Z475" i="2"/>
  <c r="Z476" i="2" s="1"/>
  <c r="Z458" i="2"/>
  <c r="Z461" i="2" s="1"/>
  <c r="BN470" i="2"/>
  <c r="Z480" i="2"/>
  <c r="Z481" i="2" s="1"/>
  <c r="Y486" i="2"/>
  <c r="BN290" i="2"/>
  <c r="BN300" i="2"/>
  <c r="BN310" i="2"/>
  <c r="BP327" i="2"/>
  <c r="BN271" i="2"/>
  <c r="Y498" i="2"/>
  <c r="Y490" i="2" l="1"/>
  <c r="Z311" i="2"/>
  <c r="Z303" i="2"/>
  <c r="Y488" i="2"/>
  <c r="Y492" i="2"/>
  <c r="Z467" i="2"/>
  <c r="Z452" i="2"/>
  <c r="Z317" i="2"/>
  <c r="Z234" i="2"/>
  <c r="Z369" i="2"/>
  <c r="Z143" i="2"/>
  <c r="Z293" i="2"/>
  <c r="Z220" i="2"/>
  <c r="Z215" i="2"/>
  <c r="Z250" i="2"/>
  <c r="Z259" i="2"/>
  <c r="Z57" i="2"/>
  <c r="Z31" i="2"/>
  <c r="Z81" i="2"/>
  <c r="Z88" i="2"/>
  <c r="Y489" i="2"/>
  <c r="Y491" i="2" s="1"/>
  <c r="Z63" i="2"/>
  <c r="Z446" i="2"/>
  <c r="Z280" i="2"/>
  <c r="Z431" i="2"/>
  <c r="Z330" i="2"/>
  <c r="Z393" i="2"/>
  <c r="Z203" i="2"/>
  <c r="Z171" i="2"/>
  <c r="Z349" i="2"/>
  <c r="Z493" i="2" l="1"/>
</calcChain>
</file>

<file path=xl/sharedStrings.xml><?xml version="1.0" encoding="utf-8"?>
<sst xmlns="http://schemas.openxmlformats.org/spreadsheetml/2006/main" count="3571" uniqueCount="762">
  <si>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</si>
  <si>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</si>
  <si>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</si>
  <si>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</si>
  <si>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</si>
  <si>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</si>
  <si>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</si>
  <si>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</si>
  <si>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</si>
  <si>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</si>
  <si>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</si>
  <si>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</si>
  <si>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</si>
  <si>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</si>
  <si>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</si>
  <si>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</si>
  <si>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</si>
  <si>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</si>
  <si>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</si>
  <si>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</si>
  <si>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</si>
  <si>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</si>
  <si>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</si>
  <si>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</si>
  <si>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</si>
  <si>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</si>
  <si>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</si>
  <si>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</si>
  <si>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</si>
  <si>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</si>
  <si>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</si>
  <si>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</si>
  <si>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</si>
  <si>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</si>
  <si>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</si>
  <si>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</si>
  <si>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</si>
  <si>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</si>
  <si>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</si>
  <si>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</si>
  <si>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</si>
  <si>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</si>
  <si>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</si>
  <si>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</si>
  <si>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</si>
  <si>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</si>
  <si>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</si>
  <si>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</si>
  <si>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</si>
  <si>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</si>
  <si>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</si>
  <si>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</si>
  <si>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</si>
  <si>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</si>
  <si>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</si>
  <si>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</si>
  <si>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</si>
  <si>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</si>
  <si>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</si>
  <si>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</si>
  <si>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</si>
  <si>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</si>
  <si>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</si>
  <si>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</si>
  <si>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</si>
  <si>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</si>
  <si>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</si>
  <si>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</si>
  <si>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</si>
  <si>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</si>
  <si>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</si>
  <si>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</si>
  <si>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</si>
  <si>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</si>
  <si>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</si>
  <si>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</si>
  <si>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</si>
  <si>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</si>
  <si>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</si>
  <si>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</si>
  <si>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</si>
  <si>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</si>
  <si>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</si>
  <si>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</si>
  <si>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</si>
  <si>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</si>
  <si>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</si>
  <si>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</si>
  <si>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</si>
  <si>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</si>
  <si>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</si>
  <si>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</si>
  <si>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</si>
  <si>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</si>
  <si>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</si>
  <si>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</si>
  <si>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</si>
  <si>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</si>
  <si>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</si>
  <si>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</si>
  <si>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</si>
  <si>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</si>
  <si>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</si>
  <si>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</si>
  <si>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</si>
  <si>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</si>
  <si>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</si>
  <si>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</si>
  <si>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</si>
  <si>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</si>
  <si>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</si>
  <si>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</si>
  <si>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</si>
  <si>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</si>
  <si>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</si>
  <si>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</si>
  <si>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</si>
  <si>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</si>
  <si>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</si>
  <si>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Короб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</si>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</sst>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45975</v>
      </c>
      <c r="R5" s="555"/>
      <c r="T5" s="556" t="s">
        <v>3</v>
      </c>
      <c r="U5" s="557"/>
      <c r="V5" s="558" t="s">
        <v>748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75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Пятница</v>
      </c>
      <c r="R6" s="561"/>
      <c r="T6" s="562" t="s">
        <v>5</v>
      </c>
      <c r="U6" s="563"/>
      <c r="V6" s="564" t="s">
        <v>69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76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0.375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70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71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72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73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77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77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78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84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102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108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109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110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45</v>
      </c>
      <c r="M40" s="38" t="s">
        <v>114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116</v>
      </c>
      <c r="B41" s="63" t="s">
        <v>117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118</v>
      </c>
      <c r="L41" s="37" t="s">
        <v>45</v>
      </c>
      <c r="M41" s="38" t="s">
        <v>88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119</v>
      </c>
      <c r="AK41" s="84">
        <v>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118</v>
      </c>
      <c r="L42" s="37" t="s">
        <v>45</v>
      </c>
      <c r="M42" s="38" t="s">
        <v>88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84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122</v>
      </c>
      <c r="B46" s="63" t="s">
        <v>123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124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125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110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126</v>
      </c>
      <c r="B51" s="63" t="s">
        <v>127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128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129</v>
      </c>
      <c r="B52" s="63" t="s">
        <v>130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131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118</v>
      </c>
      <c r="L53" s="37" t="s">
        <v>45</v>
      </c>
      <c r="M53" s="38" t="s">
        <v>114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134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135</v>
      </c>
      <c r="B54" s="63" t="s">
        <v>136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118</v>
      </c>
      <c r="L54" s="37" t="s">
        <v>45</v>
      </c>
      <c r="M54" s="38" t="s">
        <v>114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137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140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118</v>
      </c>
      <c r="L56" s="37" t="s">
        <v>45</v>
      </c>
      <c r="M56" s="38" t="s">
        <v>114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143</v>
      </c>
      <c r="AG56" s="78"/>
      <c r="AJ56" s="84" t="s">
        <v>119</v>
      </c>
      <c r="AK56" s="84">
        <v>4.5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144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145</v>
      </c>
      <c r="B60" s="63" t="s">
        <v>146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147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148</v>
      </c>
      <c r="B61" s="63" t="s">
        <v>149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147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150</v>
      </c>
      <c r="B62" s="63" t="s">
        <v>151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147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78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152</v>
      </c>
      <c r="B66" s="63" t="s">
        <v>153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154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155</v>
      </c>
      <c r="B67" s="63" t="s">
        <v>156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157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158</v>
      </c>
      <c r="B68" s="63" t="s">
        <v>159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160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84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161</v>
      </c>
      <c r="B72" s="63" t="s">
        <v>162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163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164</v>
      </c>
      <c r="B73" s="63" t="s">
        <v>165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166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167</v>
      </c>
      <c r="B74" s="63" t="s">
        <v>168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163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169</v>
      </c>
      <c r="B75" s="63" t="s">
        <v>170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171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172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173</v>
      </c>
      <c r="B79" s="63" t="s">
        <v>174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45</v>
      </c>
      <c r="M79" s="38" t="s">
        <v>96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175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176</v>
      </c>
      <c r="B80" s="63" t="s">
        <v>177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118</v>
      </c>
      <c r="L80" s="37" t="s">
        <v>45</v>
      </c>
      <c r="M80" s="38" t="s">
        <v>88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178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179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110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180</v>
      </c>
      <c r="B85" s="63" t="s">
        <v>181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45</v>
      </c>
      <c r="M85" s="38" t="s">
        <v>96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182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183</v>
      </c>
      <c r="B86" s="63" t="s">
        <v>184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118</v>
      </c>
      <c r="L86" s="37" t="s">
        <v>45</v>
      </c>
      <c r="M86" s="38" t="s">
        <v>88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182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185</v>
      </c>
      <c r="B87" s="63" t="s">
        <v>186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118</v>
      </c>
      <c r="L87" s="37" t="s">
        <v>45</v>
      </c>
      <c r="M87" s="38" t="s">
        <v>96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182</v>
      </c>
      <c r="AG87" s="78"/>
      <c r="AJ87" s="84" t="s">
        <v>119</v>
      </c>
      <c r="AK87" s="84">
        <v>4.5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84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16.5" customHeight="1" x14ac:dyDescent="0.25">
      <c r="A91" s="63" t="s">
        <v>187</v>
      </c>
      <c r="B91" s="63" t="s">
        <v>188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45</v>
      </c>
      <c r="M91" s="38" t="s">
        <v>96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189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190</v>
      </c>
      <c r="B92" s="63" t="s">
        <v>191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193</v>
      </c>
      <c r="B93" s="63" t="s">
        <v>194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189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195</v>
      </c>
      <c r="B94" s="63" t="s">
        <v>196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197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198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110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199</v>
      </c>
      <c r="B99" s="63" t="s">
        <v>200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45</v>
      </c>
      <c r="M99" s="38" t="s">
        <v>114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201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202</v>
      </c>
      <c r="B100" s="63" t="s">
        <v>203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118</v>
      </c>
      <c r="L100" s="37" t="s">
        <v>45</v>
      </c>
      <c r="M100" s="38" t="s">
        <v>88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204</v>
      </c>
      <c r="B101" s="63" t="s">
        <v>205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118</v>
      </c>
      <c r="L101" s="37" t="s">
        <v>206</v>
      </c>
      <c r="M101" s="38" t="s">
        <v>88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201</v>
      </c>
      <c r="AG101" s="78"/>
      <c r="AJ101" s="84" t="s">
        <v>119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207</v>
      </c>
      <c r="B102" s="63" t="s">
        <v>208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118</v>
      </c>
      <c r="L102" s="37" t="s">
        <v>45</v>
      </c>
      <c r="M102" s="38" t="s">
        <v>88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201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144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209</v>
      </c>
      <c r="B106" s="63" t="s">
        <v>210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45</v>
      </c>
      <c r="M106" s="38" t="s">
        <v>114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211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212</v>
      </c>
      <c r="B107" s="63" t="s">
        <v>213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211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214</v>
      </c>
      <c r="B108" s="63" t="s">
        <v>215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211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84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216</v>
      </c>
      <c r="B112" s="63" t="s">
        <v>217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45</v>
      </c>
      <c r="M112" s="38" t="s">
        <v>96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218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219</v>
      </c>
      <c r="B113" s="63" t="s">
        <v>220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218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221</v>
      </c>
      <c r="B114" s="63" t="s">
        <v>222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223</v>
      </c>
      <c r="M114" s="38" t="s">
        <v>96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218</v>
      </c>
      <c r="AG114" s="78"/>
      <c r="AJ114" s="84" t="s">
        <v>119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224</v>
      </c>
      <c r="B115" s="63" t="s">
        <v>225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172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227</v>
      </c>
      <c r="B119" s="63" t="s">
        <v>228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229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230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110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231</v>
      </c>
      <c r="B124" s="63" t="s">
        <v>232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107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233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231</v>
      </c>
      <c r="B125" s="63" t="s">
        <v>234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233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78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235</v>
      </c>
      <c r="B129" s="63" t="s">
        <v>236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237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235</v>
      </c>
      <c r="B130" s="63" t="s">
        <v>238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107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237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84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239</v>
      </c>
      <c r="B134" s="63" t="s">
        <v>240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233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239</v>
      </c>
      <c r="B135" s="63" t="s">
        <v>241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233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108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110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242</v>
      </c>
      <c r="B140" s="63" t="s">
        <v>243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244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245</v>
      </c>
      <c r="B141" s="63" t="s">
        <v>246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118</v>
      </c>
      <c r="L141" s="37" t="s">
        <v>45</v>
      </c>
      <c r="M141" s="38" t="s">
        <v>114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247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248</v>
      </c>
      <c r="B142" s="63" t="s">
        <v>249</v>
      </c>
      <c r="C142" s="36">
        <v>4301012179</v>
      </c>
      <c r="D142" s="619">
        <v>4680115886810</v>
      </c>
      <c r="E142" s="619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1"/>
      <c r="R142" s="621"/>
      <c r="S142" s="621"/>
      <c r="T142" s="622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250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6"/>
      <c r="B144" s="626"/>
      <c r="C144" s="626"/>
      <c r="D144" s="626"/>
      <c r="E144" s="626"/>
      <c r="F144" s="626"/>
      <c r="G144" s="626"/>
      <c r="H144" s="626"/>
      <c r="I144" s="626"/>
      <c r="J144" s="626"/>
      <c r="K144" s="626"/>
      <c r="L144" s="626"/>
      <c r="M144" s="626"/>
      <c r="N144" s="626"/>
      <c r="O144" s="627"/>
      <c r="P144" s="623" t="s">
        <v>40</v>
      </c>
      <c r="Q144" s="624"/>
      <c r="R144" s="624"/>
      <c r="S144" s="624"/>
      <c r="T144" s="624"/>
      <c r="U144" s="624"/>
      <c r="V144" s="625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18" t="s">
        <v>78</v>
      </c>
      <c r="B145" s="618"/>
      <c r="C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  <c r="Q145" s="618"/>
      <c r="R145" s="618"/>
      <c r="S145" s="618"/>
      <c r="T145" s="618"/>
      <c r="U145" s="618"/>
      <c r="V145" s="618"/>
      <c r="W145" s="618"/>
      <c r="X145" s="618"/>
      <c r="Y145" s="618"/>
      <c r="Z145" s="618"/>
      <c r="AA145" s="66"/>
      <c r="AB145" s="66"/>
      <c r="AC145" s="80"/>
    </row>
    <row r="146" spans="1:68" ht="16.5" customHeight="1" x14ac:dyDescent="0.25">
      <c r="A146" s="63" t="s">
        <v>251</v>
      </c>
      <c r="B146" s="63" t="s">
        <v>252</v>
      </c>
      <c r="C146" s="36">
        <v>4301030895</v>
      </c>
      <c r="D146" s="619">
        <v>4607091387667</v>
      </c>
      <c r="E146" s="619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253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254</v>
      </c>
      <c r="B147" s="63" t="s">
        <v>255</v>
      </c>
      <c r="C147" s="36">
        <v>4301030961</v>
      </c>
      <c r="D147" s="619">
        <v>4607091387636</v>
      </c>
      <c r="E147" s="619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256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257</v>
      </c>
      <c r="B148" s="63" t="s">
        <v>258</v>
      </c>
      <c r="C148" s="36">
        <v>4301030963</v>
      </c>
      <c r="D148" s="619">
        <v>4607091382426</v>
      </c>
      <c r="E148" s="619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1"/>
      <c r="R148" s="621"/>
      <c r="S148" s="621"/>
      <c r="T148" s="622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259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6"/>
      <c r="B150" s="626"/>
      <c r="C150" s="626"/>
      <c r="D150" s="626"/>
      <c r="E150" s="626"/>
      <c r="F150" s="626"/>
      <c r="G150" s="626"/>
      <c r="H150" s="626"/>
      <c r="I150" s="626"/>
      <c r="J150" s="626"/>
      <c r="K150" s="626"/>
      <c r="L150" s="626"/>
      <c r="M150" s="626"/>
      <c r="N150" s="626"/>
      <c r="O150" s="627"/>
      <c r="P150" s="623" t="s">
        <v>40</v>
      </c>
      <c r="Q150" s="624"/>
      <c r="R150" s="624"/>
      <c r="S150" s="624"/>
      <c r="T150" s="624"/>
      <c r="U150" s="624"/>
      <c r="V150" s="625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18" t="s">
        <v>84</v>
      </c>
      <c r="B151" s="618"/>
      <c r="C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  <c r="Q151" s="618"/>
      <c r="R151" s="618"/>
      <c r="S151" s="618"/>
      <c r="T151" s="618"/>
      <c r="U151" s="618"/>
      <c r="V151" s="618"/>
      <c r="W151" s="618"/>
      <c r="X151" s="618"/>
      <c r="Y151" s="618"/>
      <c r="Z151" s="618"/>
      <c r="AA151" s="66"/>
      <c r="AB151" s="66"/>
      <c r="AC151" s="80"/>
    </row>
    <row r="152" spans="1:68" ht="27" customHeight="1" x14ac:dyDescent="0.25">
      <c r="A152" s="63" t="s">
        <v>260</v>
      </c>
      <c r="B152" s="63" t="s">
        <v>261</v>
      </c>
      <c r="C152" s="36">
        <v>4301052064</v>
      </c>
      <c r="D152" s="619">
        <v>4680115887459</v>
      </c>
      <c r="E152" s="619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87" t="s">
        <v>262</v>
      </c>
      <c r="Q152" s="621"/>
      <c r="R152" s="621"/>
      <c r="S152" s="621"/>
      <c r="T152" s="622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264</v>
      </c>
      <c r="AC152" s="206" t="s">
        <v>263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6"/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7"/>
      <c r="P154" s="623" t="s">
        <v>40</v>
      </c>
      <c r="Q154" s="624"/>
      <c r="R154" s="624"/>
      <c r="S154" s="624"/>
      <c r="T154" s="624"/>
      <c r="U154" s="624"/>
      <c r="V154" s="625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6" t="s">
        <v>265</v>
      </c>
      <c r="B155" s="616"/>
      <c r="C155" s="616"/>
      <c r="D155" s="616"/>
      <c r="E155" s="616"/>
      <c r="F155" s="616"/>
      <c r="G155" s="616"/>
      <c r="H155" s="616"/>
      <c r="I155" s="616"/>
      <c r="J155" s="616"/>
      <c r="K155" s="616"/>
      <c r="L155" s="616"/>
      <c r="M155" s="616"/>
      <c r="N155" s="616"/>
      <c r="O155" s="616"/>
      <c r="P155" s="616"/>
      <c r="Q155" s="616"/>
      <c r="R155" s="616"/>
      <c r="S155" s="616"/>
      <c r="T155" s="616"/>
      <c r="U155" s="616"/>
      <c r="V155" s="616"/>
      <c r="W155" s="616"/>
      <c r="X155" s="616"/>
      <c r="Y155" s="616"/>
      <c r="Z155" s="616"/>
      <c r="AA155" s="54"/>
      <c r="AB155" s="54"/>
      <c r="AC155" s="54"/>
    </row>
    <row r="156" spans="1:68" ht="16.5" customHeight="1" x14ac:dyDescent="0.25">
      <c r="A156" s="617" t="s">
        <v>266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5"/>
      <c r="AB156" s="65"/>
      <c r="AC156" s="79"/>
    </row>
    <row r="157" spans="1:68" ht="14.25" customHeight="1" x14ac:dyDescent="0.25">
      <c r="A157" s="618" t="s">
        <v>144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66"/>
      <c r="AB157" s="66"/>
      <c r="AC157" s="80"/>
    </row>
    <row r="158" spans="1:68" ht="27" customHeight="1" x14ac:dyDescent="0.25">
      <c r="A158" s="63" t="s">
        <v>267</v>
      </c>
      <c r="B158" s="63" t="s">
        <v>268</v>
      </c>
      <c r="C158" s="36">
        <v>4301020323</v>
      </c>
      <c r="D158" s="619">
        <v>4680115886223</v>
      </c>
      <c r="E158" s="619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1"/>
      <c r="R158" s="621"/>
      <c r="S158" s="621"/>
      <c r="T158" s="622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269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6"/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7"/>
      <c r="P160" s="623" t="s">
        <v>40</v>
      </c>
      <c r="Q160" s="624"/>
      <c r="R160" s="624"/>
      <c r="S160" s="624"/>
      <c r="T160" s="624"/>
      <c r="U160" s="624"/>
      <c r="V160" s="62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18" t="s">
        <v>78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6"/>
      <c r="AB161" s="66"/>
      <c r="AC161" s="80"/>
    </row>
    <row r="162" spans="1:68" ht="27" customHeight="1" x14ac:dyDescent="0.25">
      <c r="A162" s="63" t="s">
        <v>270</v>
      </c>
      <c r="B162" s="63" t="s">
        <v>271</v>
      </c>
      <c r="C162" s="36">
        <v>4301031191</v>
      </c>
      <c r="D162" s="619">
        <v>4680115880993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118</v>
      </c>
      <c r="L162" s="37" t="s">
        <v>45</v>
      </c>
      <c r="M162" s="38" t="s">
        <v>82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0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0" si="6">IFERROR(X162*I162/H162,"0")</f>
        <v>0</v>
      </c>
      <c r="BN162" s="78">
        <f t="shared" ref="BN162:BN170" si="7">IFERROR(Y162*I162/H162,"0")</f>
        <v>0</v>
      </c>
      <c r="BO162" s="78">
        <f t="shared" ref="BO162:BO170" si="8">IFERROR(1/J162*(X162/H162),"0")</f>
        <v>0</v>
      </c>
      <c r="BP162" s="78">
        <f t="shared" ref="BP162:BP170" si="9">IFERROR(1/J162*(Y162/H162),"0")</f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4301031204</v>
      </c>
      <c r="D163" s="619">
        <v>4680115881761</v>
      </c>
      <c r="E163" s="619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118</v>
      </c>
      <c r="L163" s="37" t="s">
        <v>45</v>
      </c>
      <c r="M163" s="38" t="s">
        <v>82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4301031201</v>
      </c>
      <c r="D164" s="619">
        <v>4680115881563</v>
      </c>
      <c r="E164" s="619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118</v>
      </c>
      <c r="L164" s="37" t="s">
        <v>45</v>
      </c>
      <c r="M164" s="38" t="s">
        <v>82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4301031199</v>
      </c>
      <c r="D165" s="619">
        <v>4680115880986</v>
      </c>
      <c r="E165" s="619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40</v>
      </c>
      <c r="P165" s="69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272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281</v>
      </c>
      <c r="B166" s="63" t="s">
        <v>282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275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283</v>
      </c>
      <c r="B167" s="63" t="s">
        <v>284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285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286</v>
      </c>
      <c r="B168" s="63" t="s">
        <v>287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278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288</v>
      </c>
      <c r="B169" s="63" t="s">
        <v>289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278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290</v>
      </c>
      <c r="B170" s="63" t="s">
        <v>291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292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IFERROR(SUM(X162:X170),"0")</f>
        <v>0</v>
      </c>
      <c r="Y172" s="43">
        <f>IFERROR(SUM(Y162:Y170),"0")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102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293</v>
      </c>
      <c r="B174" s="63" t="s">
        <v>294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297</v>
      </c>
      <c r="L174" s="37" t="s">
        <v>45</v>
      </c>
      <c r="M174" s="38" t="s">
        <v>296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295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298</v>
      </c>
      <c r="B175" s="63" t="s">
        <v>299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297</v>
      </c>
      <c r="L175" s="37" t="s">
        <v>45</v>
      </c>
      <c r="M175" s="38" t="s">
        <v>296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300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301</v>
      </c>
      <c r="B176" s="63" t="s">
        <v>302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297</v>
      </c>
      <c r="L176" s="37" t="s">
        <v>45</v>
      </c>
      <c r="M176" s="38" t="s">
        <v>296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300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303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304</v>
      </c>
      <c r="B180" s="63" t="s">
        <v>305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297</v>
      </c>
      <c r="L180" s="37" t="s">
        <v>45</v>
      </c>
      <c r="M180" s="38" t="s">
        <v>296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300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306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110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307</v>
      </c>
      <c r="B185" s="63" t="s">
        <v>308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309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310</v>
      </c>
      <c r="B186" s="63" t="s">
        <v>311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309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144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312</v>
      </c>
      <c r="B190" s="63" t="s">
        <v>313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314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315</v>
      </c>
      <c r="B191" s="63" t="s">
        <v>316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114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314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78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317</v>
      </c>
      <c r="B195" s="63" t="s">
        <v>318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118</v>
      </c>
      <c r="L195" s="37" t="s">
        <v>45</v>
      </c>
      <c r="M195" s="38" t="s">
        <v>82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319</v>
      </c>
      <c r="AG195" s="78"/>
      <c r="AJ195" s="84" t="s">
        <v>45</v>
      </c>
      <c r="AK195" s="84">
        <v>0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320</v>
      </c>
      <c r="B196" s="63" t="s">
        <v>321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118</v>
      </c>
      <c r="L196" s="37" t="s">
        <v>45</v>
      </c>
      <c r="M196" s="38" t="s">
        <v>82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322</v>
      </c>
      <c r="AG196" s="78"/>
      <c r="AJ196" s="84" t="s">
        <v>45</v>
      </c>
      <c r="AK196" s="84">
        <v>0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323</v>
      </c>
      <c r="B197" s="63" t="s">
        <v>324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118</v>
      </c>
      <c r="L197" s="37" t="s">
        <v>45</v>
      </c>
      <c r="M197" s="38" t="s">
        <v>82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325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326</v>
      </c>
      <c r="B198" s="63" t="s">
        <v>327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118</v>
      </c>
      <c r="L198" s="37" t="s">
        <v>45</v>
      </c>
      <c r="M198" s="38" t="s">
        <v>82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328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329</v>
      </c>
      <c r="B199" s="63" t="s">
        <v>330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331</v>
      </c>
      <c r="M199" s="38" t="s">
        <v>82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319</v>
      </c>
      <c r="AG199" s="78"/>
      <c r="AJ199" s="84" t="s">
        <v>119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45</v>
      </c>
      <c r="M200" s="38" t="s">
        <v>82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322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325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328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84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45</v>
      </c>
      <c r="M206" s="38" t="s">
        <v>88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45</v>
      </c>
      <c r="M208" s="38" t="s">
        <v>88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223</v>
      </c>
      <c r="M209" s="38" t="s">
        <v>88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119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351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223</v>
      </c>
      <c r="M211" s="38" t="s">
        <v>88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119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45</v>
      </c>
      <c r="M212" s="38" t="s">
        <v>88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45</v>
      </c>
      <c r="M213" s="38" t="s">
        <v>96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358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359</v>
      </c>
      <c r="B214" s="63" t="s">
        <v>360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45</v>
      </c>
      <c r="M214" s="38" t="s">
        <v>88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172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361</v>
      </c>
      <c r="B218" s="63" t="s">
        <v>362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45</v>
      </c>
      <c r="M218" s="38" t="s">
        <v>96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363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364</v>
      </c>
      <c r="B219" s="63" t="s">
        <v>365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366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367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110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368</v>
      </c>
      <c r="B224" s="63" t="s">
        <v>369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45</v>
      </c>
      <c r="M224" s="38" t="s">
        <v>114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370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371</v>
      </c>
      <c r="B225" s="63" t="s">
        <v>372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373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374</v>
      </c>
      <c r="B226" s="63" t="s">
        <v>375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376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377</v>
      </c>
      <c r="B227" s="63" t="s">
        <v>378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118</v>
      </c>
      <c r="L227" s="37" t="s">
        <v>45</v>
      </c>
      <c r="M227" s="38" t="s">
        <v>114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370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377</v>
      </c>
      <c r="B228" s="63" t="s">
        <v>379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118</v>
      </c>
      <c r="L228" s="37" t="s">
        <v>45</v>
      </c>
      <c r="M228" s="38" t="s">
        <v>114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370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380</v>
      </c>
      <c r="B229" s="63" t="s">
        <v>381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118</v>
      </c>
      <c r="L229" s="37" t="s">
        <v>45</v>
      </c>
      <c r="M229" s="38" t="s">
        <v>114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383</v>
      </c>
      <c r="B230" s="63" t="s">
        <v>384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118</v>
      </c>
      <c r="L230" s="37" t="s">
        <v>45</v>
      </c>
      <c r="M230" s="38" t="s">
        <v>114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373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373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118</v>
      </c>
      <c r="L232" s="37" t="s">
        <v>45</v>
      </c>
      <c r="M232" s="38" t="s">
        <v>114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376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387</v>
      </c>
      <c r="B233" s="63" t="s">
        <v>389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118</v>
      </c>
      <c r="L233" s="37" t="s">
        <v>45</v>
      </c>
      <c r="M233" s="38" t="s">
        <v>114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144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390</v>
      </c>
      <c r="B237" s="63" t="s">
        <v>391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392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393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394</v>
      </c>
      <c r="B241" s="63" t="s">
        <v>395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297</v>
      </c>
      <c r="L241" s="37" t="s">
        <v>45</v>
      </c>
      <c r="M241" s="38" t="s">
        <v>296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396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397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398</v>
      </c>
      <c r="B245" s="63" t="s">
        <v>399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297</v>
      </c>
      <c r="L245" s="37" t="s">
        <v>45</v>
      </c>
      <c r="M245" s="38" t="s">
        <v>296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400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401</v>
      </c>
      <c r="B246" s="63" t="s">
        <v>402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297</v>
      </c>
      <c r="L246" s="37" t="s">
        <v>45</v>
      </c>
      <c r="M246" s="38" t="s">
        <v>296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400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297</v>
      </c>
      <c r="L247" s="37" t="s">
        <v>45</v>
      </c>
      <c r="M247" s="38" t="s">
        <v>296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400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297</v>
      </c>
      <c r="L248" s="37" t="s">
        <v>45</v>
      </c>
      <c r="M248" s="38" t="s">
        <v>296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400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297</v>
      </c>
      <c r="L249" s="37" t="s">
        <v>45</v>
      </c>
      <c r="M249" s="38" t="s">
        <v>296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400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409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110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410</v>
      </c>
      <c r="B254" s="63" t="s">
        <v>411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45</v>
      </c>
      <c r="M254" s="38" t="s">
        <v>114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412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413</v>
      </c>
      <c r="B255" s="63" t="s">
        <v>414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415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416</v>
      </c>
      <c r="B256" s="63" t="s">
        <v>417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418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419</v>
      </c>
      <c r="B257" s="63" t="s">
        <v>420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118</v>
      </c>
      <c r="L257" s="37" t="s">
        <v>45</v>
      </c>
      <c r="M257" s="38" t="s">
        <v>114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421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422</v>
      </c>
      <c r="B258" s="63" t="s">
        <v>423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118</v>
      </c>
      <c r="L258" s="37" t="s">
        <v>45</v>
      </c>
      <c r="M258" s="38" t="s">
        <v>114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424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425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110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426</v>
      </c>
      <c r="B263" s="63" t="s">
        <v>427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428</v>
      </c>
      <c r="B264" s="63" t="s">
        <v>429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430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431</v>
      </c>
      <c r="B265" s="63" t="s">
        <v>432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433</v>
      </c>
      <c r="B266" s="63" t="s">
        <v>434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435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436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84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437</v>
      </c>
      <c r="B271" s="63" t="s">
        <v>438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439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440</v>
      </c>
      <c r="B272" s="63" t="s">
        <v>441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45</v>
      </c>
      <c r="M272" s="38" t="s">
        <v>96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442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443</v>
      </c>
      <c r="B273" s="63" t="s">
        <v>444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45</v>
      </c>
      <c r="M273" s="38" t="s">
        <v>88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439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445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78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446</v>
      </c>
      <c r="B278" s="63" t="s">
        <v>447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448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449</v>
      </c>
      <c r="B279" s="63" t="s">
        <v>450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451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84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452</v>
      </c>
      <c r="B283" s="63" t="s">
        <v>453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118</v>
      </c>
      <c r="L283" s="37" t="s">
        <v>45</v>
      </c>
      <c r="M283" s="38" t="s">
        <v>88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454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626"/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7"/>
      <c r="P284" s="623" t="s">
        <v>40</v>
      </c>
      <c r="Q284" s="624"/>
      <c r="R284" s="624"/>
      <c r="S284" s="624"/>
      <c r="T284" s="624"/>
      <c r="U284" s="624"/>
      <c r="V284" s="625"/>
      <c r="W284" s="42" t="s">
        <v>39</v>
      </c>
      <c r="X284" s="43">
        <f>IFERROR(X283/H283,"0")</f>
        <v>0</v>
      </c>
      <c r="Y284" s="43">
        <f>IFERROR(Y283/H283,"0")</f>
        <v>0</v>
      </c>
      <c r="Z284" s="43">
        <f>IFERROR(IF(Z283="",0,Z283),"0")</f>
        <v>0</v>
      </c>
      <c r="AA284" s="67"/>
      <c r="AB284" s="67"/>
      <c r="AC284" s="67"/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0</v>
      </c>
      <c r="X285" s="43">
        <f>IFERROR(SUM(X283:X283),"0")</f>
        <v>0</v>
      </c>
      <c r="Y285" s="43">
        <f>IFERROR(SUM(Y283:Y283),"0")</f>
        <v>0</v>
      </c>
      <c r="Z285" s="42"/>
      <c r="AA285" s="67"/>
      <c r="AB285" s="67"/>
      <c r="AC285" s="67"/>
    </row>
    <row r="286" spans="1:68" ht="16.5" customHeight="1" x14ac:dyDescent="0.25">
      <c r="A286" s="617" t="s">
        <v>455</v>
      </c>
      <c r="B286" s="617"/>
      <c r="C286" s="617"/>
      <c r="D286" s="617"/>
      <c r="E286" s="617"/>
      <c r="F286" s="617"/>
      <c r="G286" s="617"/>
      <c r="H286" s="617"/>
      <c r="I286" s="617"/>
      <c r="J286" s="617"/>
      <c r="K286" s="617"/>
      <c r="L286" s="617"/>
      <c r="M286" s="617"/>
      <c r="N286" s="617"/>
      <c r="O286" s="617"/>
      <c r="P286" s="617"/>
      <c r="Q286" s="617"/>
      <c r="R286" s="617"/>
      <c r="S286" s="617"/>
      <c r="T286" s="617"/>
      <c r="U286" s="617"/>
      <c r="V286" s="617"/>
      <c r="W286" s="617"/>
      <c r="X286" s="617"/>
      <c r="Y286" s="617"/>
      <c r="Z286" s="617"/>
      <c r="AA286" s="65"/>
      <c r="AB286" s="65"/>
      <c r="AC286" s="79"/>
    </row>
    <row r="287" spans="1:68" ht="14.25" customHeight="1" x14ac:dyDescent="0.25">
      <c r="A287" s="618" t="s">
        <v>110</v>
      </c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  <c r="P287" s="618"/>
      <c r="Q287" s="618"/>
      <c r="R287" s="618"/>
      <c r="S287" s="618"/>
      <c r="T287" s="618"/>
      <c r="U287" s="618"/>
      <c r="V287" s="618"/>
      <c r="W287" s="618"/>
      <c r="X287" s="618"/>
      <c r="Y287" s="618"/>
      <c r="Z287" s="618"/>
      <c r="AA287" s="66"/>
      <c r="AB287" s="66"/>
      <c r="AC287" s="80"/>
    </row>
    <row r="288" spans="1:68" ht="27" customHeight="1" x14ac:dyDescent="0.25">
      <c r="A288" s="63" t="s">
        <v>456</v>
      </c>
      <c r="B288" s="63" t="s">
        <v>457</v>
      </c>
      <c r="C288" s="36">
        <v>4301012024</v>
      </c>
      <c r="D288" s="619">
        <v>4680115885615</v>
      </c>
      <c r="E288" s="619"/>
      <c r="F288" s="62">
        <v>1.35</v>
      </c>
      <c r="G288" s="37">
        <v>8</v>
      </c>
      <c r="H288" s="62">
        <v>10.8</v>
      </c>
      <c r="I288" s="62">
        <v>11.21</v>
      </c>
      <c r="J288" s="37">
        <v>64</v>
      </c>
      <c r="K288" s="37" t="s">
        <v>115</v>
      </c>
      <c r="L288" s="37" t="s">
        <v>45</v>
      </c>
      <c r="M288" s="38" t="s">
        <v>88</v>
      </c>
      <c r="N288" s="38"/>
      <c r="O288" s="37">
        <v>55</v>
      </c>
      <c r="P288" s="7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621"/>
      <c r="R288" s="621"/>
      <c r="S288" s="621"/>
      <c r="T288" s="622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IFERROR(IF(Y288=0,"",ROUNDUP(Y288/H288,0)*0.01898),"")</f>
        <v/>
      </c>
      <c r="AA288" s="68" t="s">
        <v>45</v>
      </c>
      <c r="AB288" s="69" t="s">
        <v>45</v>
      </c>
      <c r="AC288" s="346" t="s">
        <v>458</v>
      </c>
      <c r="AG288" s="78"/>
      <c r="AJ288" s="84" t="s">
        <v>45</v>
      </c>
      <c r="AK288" s="84">
        <v>0</v>
      </c>
      <c r="BB288" s="347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37.5" customHeight="1" x14ac:dyDescent="0.25">
      <c r="A289" s="63" t="s">
        <v>459</v>
      </c>
      <c r="B289" s="63" t="s">
        <v>460</v>
      </c>
      <c r="C289" s="36">
        <v>4301011858</v>
      </c>
      <c r="D289" s="619">
        <v>4680115885646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114</v>
      </c>
      <c r="N289" s="38"/>
      <c r="O289" s="37">
        <v>55</v>
      </c>
      <c r="P289" s="7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461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462</v>
      </c>
      <c r="B290" s="63" t="s">
        <v>463</v>
      </c>
      <c r="C290" s="36">
        <v>4301012016</v>
      </c>
      <c r="D290" s="619">
        <v>4680115885554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464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465</v>
      </c>
      <c r="B291" s="63" t="s">
        <v>466</v>
      </c>
      <c r="C291" s="36">
        <v>4301011857</v>
      </c>
      <c r="D291" s="619">
        <v>4680115885622</v>
      </c>
      <c r="E291" s="61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118</v>
      </c>
      <c r="L291" s="37" t="s">
        <v>45</v>
      </c>
      <c r="M291" s="38" t="s">
        <v>114</v>
      </c>
      <c r="N291" s="38"/>
      <c r="O291" s="37">
        <v>55</v>
      </c>
      <c r="P291" s="76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52" t="s">
        <v>458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4301011859</v>
      </c>
      <c r="D292" s="619">
        <v>4680115885608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118</v>
      </c>
      <c r="L292" s="37" t="s">
        <v>45</v>
      </c>
      <c r="M292" s="38" t="s">
        <v>114</v>
      </c>
      <c r="N292" s="38"/>
      <c r="O292" s="37">
        <v>55</v>
      </c>
      <c r="P292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469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26"/>
      <c r="B293" s="626"/>
      <c r="C293" s="626"/>
      <c r="D293" s="626"/>
      <c r="E293" s="626"/>
      <c r="F293" s="626"/>
      <c r="G293" s="626"/>
      <c r="H293" s="626"/>
      <c r="I293" s="626"/>
      <c r="J293" s="626"/>
      <c r="K293" s="626"/>
      <c r="L293" s="626"/>
      <c r="M293" s="626"/>
      <c r="N293" s="626"/>
      <c r="O293" s="627"/>
      <c r="P293" s="623" t="s">
        <v>40</v>
      </c>
      <c r="Q293" s="624"/>
      <c r="R293" s="624"/>
      <c r="S293" s="624"/>
      <c r="T293" s="624"/>
      <c r="U293" s="624"/>
      <c r="V293" s="625"/>
      <c r="W293" s="42" t="s">
        <v>39</v>
      </c>
      <c r="X293" s="43">
        <f>IFERROR(X288/H288,"0")+IFERROR(X289/H289,"0")+IFERROR(X290/H290,"0")+IFERROR(X291/H291,"0")+IFERROR(X292/H292,"0")</f>
        <v>0</v>
      </c>
      <c r="Y293" s="43">
        <f>IFERROR(Y288/H288,"0")+IFERROR(Y289/H289,"0")+IFERROR(Y290/H290,"0")+IFERROR(Y291/H291,"0")+IFERROR(Y292/H292,"0")</f>
        <v>0</v>
      </c>
      <c r="Z293" s="43">
        <f>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0</v>
      </c>
      <c r="X294" s="43">
        <f>IFERROR(SUM(X288:X292),"0")</f>
        <v>0</v>
      </c>
      <c r="Y294" s="43">
        <f>IFERROR(SUM(Y288:Y292),"0")</f>
        <v>0</v>
      </c>
      <c r="Z294" s="42"/>
      <c r="AA294" s="67"/>
      <c r="AB294" s="67"/>
      <c r="AC294" s="67"/>
    </row>
    <row r="295" spans="1:68" ht="14.25" customHeight="1" x14ac:dyDescent="0.25">
      <c r="A295" s="618" t="s">
        <v>78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6"/>
      <c r="AB295" s="66"/>
      <c r="AC295" s="80"/>
    </row>
    <row r="296" spans="1:68" ht="27" customHeight="1" x14ac:dyDescent="0.25">
      <c r="A296" s="63" t="s">
        <v>470</v>
      </c>
      <c r="B296" s="63" t="s">
        <v>471</v>
      </c>
      <c r="C296" s="36">
        <v>4301030878</v>
      </c>
      <c r="D296" s="619">
        <v>4607091387193</v>
      </c>
      <c r="E296" s="619"/>
      <c r="F296" s="62">
        <v>0.7</v>
      </c>
      <c r="G296" s="37">
        <v>6</v>
      </c>
      <c r="H296" s="62">
        <v>4.2</v>
      </c>
      <c r="I296" s="62">
        <v>4.45</v>
      </c>
      <c r="J296" s="37">
        <v>132</v>
      </c>
      <c r="K296" s="37" t="s">
        <v>118</v>
      </c>
      <c r="L296" s="37" t="s">
        <v>45</v>
      </c>
      <c r="M296" s="38" t="s">
        <v>82</v>
      </c>
      <c r="N296" s="38"/>
      <c r="O296" s="37">
        <v>35</v>
      </c>
      <c r="P296" s="7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621"/>
      <c r="R296" s="621"/>
      <c r="S296" s="621"/>
      <c r="T296" s="622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2" si="26">IFERROR(IF(X296="",0,CEILING((X296/$H296),1)*$H296),"")</f>
        <v>0</v>
      </c>
      <c r="Z296" s="41" t="str">
        <f>IFERROR(IF(Y296=0,"",ROUNDUP(Y296/H296,0)*0.00902),"")</f>
        <v/>
      </c>
      <c r="AA296" s="68" t="s">
        <v>45</v>
      </c>
      <c r="AB296" s="69" t="s">
        <v>45</v>
      </c>
      <c r="AC296" s="356" t="s">
        <v>472</v>
      </c>
      <c r="AG296" s="78"/>
      <c r="AJ296" s="84" t="s">
        <v>45</v>
      </c>
      <c r="AK296" s="84">
        <v>0</v>
      </c>
      <c r="BB296" s="357" t="s">
        <v>66</v>
      </c>
      <c r="BM296" s="78">
        <f t="shared" ref="BM296:BM302" si="27">IFERROR(X296*I296/H296,"0")</f>
        <v>0</v>
      </c>
      <c r="BN296" s="78">
        <f t="shared" ref="BN296:BN302" si="28">IFERROR(Y296*I296/H296,"0")</f>
        <v>0</v>
      </c>
      <c r="BO296" s="78">
        <f t="shared" ref="BO296:BO302" si="29">IFERROR(1/J296*(X296/H296),"0")</f>
        <v>0</v>
      </c>
      <c r="BP296" s="78">
        <f t="shared" ref="BP296:BP302" si="30">IFERROR(1/J296*(Y296/H296),"0")</f>
        <v>0</v>
      </c>
    </row>
    <row r="297" spans="1:68" ht="27" customHeight="1" x14ac:dyDescent="0.25">
      <c r="A297" s="63" t="s">
        <v>473</v>
      </c>
      <c r="B297" s="63" t="s">
        <v>474</v>
      </c>
      <c r="C297" s="36">
        <v>4301031153</v>
      </c>
      <c r="D297" s="619">
        <v>4607091387230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118</v>
      </c>
      <c r="L297" s="37" t="s">
        <v>45</v>
      </c>
      <c r="M297" s="38" t="s">
        <v>82</v>
      </c>
      <c r="N297" s="38"/>
      <c r="O297" s="37">
        <v>40</v>
      </c>
      <c r="P297" s="7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475</v>
      </c>
      <c r="AG297" s="78"/>
      <c r="AJ297" s="84" t="s">
        <v>45</v>
      </c>
      <c r="AK297" s="84">
        <v>0</v>
      </c>
      <c r="BB297" s="359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476</v>
      </c>
      <c r="B298" s="63" t="s">
        <v>477</v>
      </c>
      <c r="C298" s="36">
        <v>4301031154</v>
      </c>
      <c r="D298" s="619">
        <v>4607091387292</v>
      </c>
      <c r="E298" s="619"/>
      <c r="F298" s="62">
        <v>0.73</v>
      </c>
      <c r="G298" s="37">
        <v>6</v>
      </c>
      <c r="H298" s="62">
        <v>4.38</v>
      </c>
      <c r="I298" s="62">
        <v>4.63</v>
      </c>
      <c r="J298" s="37">
        <v>132</v>
      </c>
      <c r="K298" s="37" t="s">
        <v>118</v>
      </c>
      <c r="L298" s="37" t="s">
        <v>45</v>
      </c>
      <c r="M298" s="38" t="s">
        <v>82</v>
      </c>
      <c r="N298" s="38"/>
      <c r="O298" s="37">
        <v>45</v>
      </c>
      <c r="P298" s="7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478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479</v>
      </c>
      <c r="B299" s="63" t="s">
        <v>480</v>
      </c>
      <c r="C299" s="36">
        <v>4301031152</v>
      </c>
      <c r="D299" s="619">
        <v>4607091387285</v>
      </c>
      <c r="E299" s="619"/>
      <c r="F299" s="62">
        <v>0.35</v>
      </c>
      <c r="G299" s="37">
        <v>6</v>
      </c>
      <c r="H299" s="62">
        <v>2.1</v>
      </c>
      <c r="I299" s="62">
        <v>2.23</v>
      </c>
      <c r="J299" s="37">
        <v>234</v>
      </c>
      <c r="K299" s="37" t="s">
        <v>83</v>
      </c>
      <c r="L299" s="37" t="s">
        <v>45</v>
      </c>
      <c r="M299" s="38" t="s">
        <v>82</v>
      </c>
      <c r="N299" s="38"/>
      <c r="O299" s="37">
        <v>40</v>
      </c>
      <c r="P299" s="7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IFERROR(IF(Y299=0,"",ROUNDUP(Y299/H299,0)*0.00502),"")</f>
        <v/>
      </c>
      <c r="AA299" s="68" t="s">
        <v>45</v>
      </c>
      <c r="AB299" s="69" t="s">
        <v>45</v>
      </c>
      <c r="AC299" s="362" t="s">
        <v>475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4301031305</v>
      </c>
      <c r="D300" s="619">
        <v>4607091389845</v>
      </c>
      <c r="E300" s="619"/>
      <c r="F300" s="62">
        <v>0.35</v>
      </c>
      <c r="G300" s="37">
        <v>6</v>
      </c>
      <c r="H300" s="62">
        <v>2.1</v>
      </c>
      <c r="I300" s="62">
        <v>2.2000000000000002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483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4301031306</v>
      </c>
      <c r="D301" s="619">
        <v>4680115882881</v>
      </c>
      <c r="E301" s="619"/>
      <c r="F301" s="62">
        <v>0.28000000000000003</v>
      </c>
      <c r="G301" s="37">
        <v>6</v>
      </c>
      <c r="H301" s="62">
        <v>1.68</v>
      </c>
      <c r="I301" s="62">
        <v>1.81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483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4301031066</v>
      </c>
      <c r="D302" s="619">
        <v>4607091383836</v>
      </c>
      <c r="E302" s="619"/>
      <c r="F302" s="62">
        <v>0.3</v>
      </c>
      <c r="G302" s="37">
        <v>6</v>
      </c>
      <c r="H302" s="62">
        <v>1.8</v>
      </c>
      <c r="I302" s="62">
        <v>2.028</v>
      </c>
      <c r="J302" s="37">
        <v>182</v>
      </c>
      <c r="K302" s="37" t="s">
        <v>89</v>
      </c>
      <c r="L302" s="37" t="s">
        <v>45</v>
      </c>
      <c r="M302" s="38" t="s">
        <v>82</v>
      </c>
      <c r="N302" s="38"/>
      <c r="O302" s="37">
        <v>40</v>
      </c>
      <c r="P302" s="7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IFERROR(IF(Y302=0,"",ROUNDUP(Y302/H302,0)*0.00651),"")</f>
        <v/>
      </c>
      <c r="AA302" s="68" t="s">
        <v>45</v>
      </c>
      <c r="AB302" s="69" t="s">
        <v>45</v>
      </c>
      <c r="AC302" s="368" t="s">
        <v>488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x14ac:dyDescent="0.2">
      <c r="A303" s="626"/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7"/>
      <c r="P303" s="623" t="s">
        <v>40</v>
      </c>
      <c r="Q303" s="624"/>
      <c r="R303" s="624"/>
      <c r="S303" s="624"/>
      <c r="T303" s="624"/>
      <c r="U303" s="624"/>
      <c r="V303" s="625"/>
      <c r="W303" s="42" t="s">
        <v>39</v>
      </c>
      <c r="X303" s="43">
        <f>IFERROR(X296/H296,"0")+IFERROR(X297/H297,"0")+IFERROR(X298/H298,"0")+IFERROR(X299/H299,"0")+IFERROR(X300/H300,"0")+IFERROR(X301/H301,"0")+IFERROR(X302/H302,"0")</f>
        <v>0</v>
      </c>
      <c r="Y303" s="43">
        <f>IFERROR(Y296/H296,"0")+IFERROR(Y297/H297,"0")+IFERROR(Y298/H298,"0")+IFERROR(Y299/H299,"0")+IFERROR(Y300/H300,"0")+IFERROR(Y301/H301,"0")+IFERROR(Y302/H302,"0")</f>
        <v>0</v>
      </c>
      <c r="Z303" s="43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0</v>
      </c>
      <c r="X304" s="43">
        <f>IFERROR(SUM(X296:X302),"0")</f>
        <v>0</v>
      </c>
      <c r="Y304" s="43">
        <f>IFERROR(SUM(Y296:Y302),"0")</f>
        <v>0</v>
      </c>
      <c r="Z304" s="42"/>
      <c r="AA304" s="67"/>
      <c r="AB304" s="67"/>
      <c r="AC304" s="67"/>
    </row>
    <row r="305" spans="1:68" ht="14.25" customHeight="1" x14ac:dyDescent="0.25">
      <c r="A305" s="618" t="s">
        <v>84</v>
      </c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  <c r="P305" s="618"/>
      <c r="Q305" s="618"/>
      <c r="R305" s="618"/>
      <c r="S305" s="618"/>
      <c r="T305" s="618"/>
      <c r="U305" s="618"/>
      <c r="V305" s="618"/>
      <c r="W305" s="618"/>
      <c r="X305" s="618"/>
      <c r="Y305" s="618"/>
      <c r="Z305" s="618"/>
      <c r="AA305" s="66"/>
      <c r="AB305" s="66"/>
      <c r="AC305" s="80"/>
    </row>
    <row r="306" spans="1:68" ht="27" customHeight="1" x14ac:dyDescent="0.25">
      <c r="A306" s="63" t="s">
        <v>489</v>
      </c>
      <c r="B306" s="63" t="s">
        <v>490</v>
      </c>
      <c r="C306" s="36">
        <v>4301051100</v>
      </c>
      <c r="D306" s="619">
        <v>4607091387766</v>
      </c>
      <c r="E306" s="619"/>
      <c r="F306" s="62">
        <v>1.3</v>
      </c>
      <c r="G306" s="37">
        <v>6</v>
      </c>
      <c r="H306" s="62">
        <v>7.8</v>
      </c>
      <c r="I306" s="62">
        <v>8.2880000000000003</v>
      </c>
      <c r="J306" s="37">
        <v>64</v>
      </c>
      <c r="K306" s="37" t="s">
        <v>115</v>
      </c>
      <c r="L306" s="37" t="s">
        <v>45</v>
      </c>
      <c r="M306" s="38" t="s">
        <v>88</v>
      </c>
      <c r="N306" s="38"/>
      <c r="O306" s="37">
        <v>40</v>
      </c>
      <c r="P306" s="7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621"/>
      <c r="R306" s="621"/>
      <c r="S306" s="621"/>
      <c r="T306" s="622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IFERROR(IF(Y306=0,"",ROUNDUP(Y306/H306,0)*0.01898),"")</f>
        <v/>
      </c>
      <c r="AA306" s="68" t="s">
        <v>45</v>
      </c>
      <c r="AB306" s="69" t="s">
        <v>45</v>
      </c>
      <c r="AC306" s="370" t="s">
        <v>491</v>
      </c>
      <c r="AG306" s="78"/>
      <c r="AJ306" s="84" t="s">
        <v>45</v>
      </c>
      <c r="AK306" s="84">
        <v>0</v>
      </c>
      <c r="BB306" s="371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492</v>
      </c>
      <c r="B307" s="63" t="s">
        <v>493</v>
      </c>
      <c r="C307" s="36">
        <v>4301051818</v>
      </c>
      <c r="D307" s="619">
        <v>4607091387957</v>
      </c>
      <c r="E307" s="619"/>
      <c r="F307" s="62">
        <v>1.3</v>
      </c>
      <c r="G307" s="37">
        <v>6</v>
      </c>
      <c r="H307" s="62">
        <v>7.8</v>
      </c>
      <c r="I307" s="62">
        <v>8.2940000000000005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4301051819</v>
      </c>
      <c r="D308" s="619">
        <v>4607091387964</v>
      </c>
      <c r="E308" s="619"/>
      <c r="F308" s="62">
        <v>1.35</v>
      </c>
      <c r="G308" s="37">
        <v>6</v>
      </c>
      <c r="H308" s="62">
        <v>8.1</v>
      </c>
      <c r="I308" s="62">
        <v>8.5760000000000005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4301051734</v>
      </c>
      <c r="D309" s="619">
        <v>4680115884588</v>
      </c>
      <c r="E309" s="619"/>
      <c r="F309" s="62">
        <v>0.5</v>
      </c>
      <c r="G309" s="37">
        <v>6</v>
      </c>
      <c r="H309" s="62">
        <v>3</v>
      </c>
      <c r="I309" s="62">
        <v>3.246</v>
      </c>
      <c r="J309" s="37">
        <v>182</v>
      </c>
      <c r="K309" s="37" t="s">
        <v>89</v>
      </c>
      <c r="L309" s="37" t="s">
        <v>45</v>
      </c>
      <c r="M309" s="38" t="s">
        <v>88</v>
      </c>
      <c r="N309" s="38"/>
      <c r="O309" s="37">
        <v>40</v>
      </c>
      <c r="P309" s="7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4301051578</v>
      </c>
      <c r="D310" s="619">
        <v>4607091387513</v>
      </c>
      <c r="E310" s="619"/>
      <c r="F310" s="62">
        <v>0.45</v>
      </c>
      <c r="G310" s="37">
        <v>6</v>
      </c>
      <c r="H310" s="62">
        <v>2.7</v>
      </c>
      <c r="I310" s="62">
        <v>2.9580000000000002</v>
      </c>
      <c r="J310" s="37">
        <v>182</v>
      </c>
      <c r="K310" s="37" t="s">
        <v>89</v>
      </c>
      <c r="L310" s="37" t="s">
        <v>45</v>
      </c>
      <c r="M310" s="38" t="s">
        <v>96</v>
      </c>
      <c r="N310" s="38"/>
      <c r="O310" s="37">
        <v>40</v>
      </c>
      <c r="P310" s="77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IFERROR(X306/H306,"0")+IFERROR(X307/H307,"0")+IFERROR(X308/H308,"0")+IFERROR(X309/H309,"0")+IFERROR(X310/H310,"0")</f>
        <v>0</v>
      </c>
      <c r="Y311" s="43">
        <f>IFERROR(Y306/H306,"0")+IFERROR(Y307/H307,"0")+IFERROR(Y308/H308,"0")+IFERROR(Y309/H309,"0")+IFERROR(Y310/H310,"0")</f>
        <v>0</v>
      </c>
      <c r="Z311" s="43">
        <f>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IFERROR(SUM(X306:X310),"0")</f>
        <v>0</v>
      </c>
      <c r="Y312" s="43">
        <f>IFERROR(SUM(Y306:Y310),"0")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172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45</v>
      </c>
      <c r="M314" s="38" t="s">
        <v>88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88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45</v>
      </c>
      <c r="M316" s="38" t="s">
        <v>96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102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118</v>
      </c>
      <c r="L320" s="37" t="s">
        <v>45</v>
      </c>
      <c r="M320" s="38" t="s">
        <v>107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118</v>
      </c>
      <c r="L321" s="37" t="s">
        <v>45</v>
      </c>
      <c r="M321" s="38" t="s">
        <v>107</v>
      </c>
      <c r="N321" s="38"/>
      <c r="O321" s="37">
        <v>180</v>
      </c>
      <c r="P321" s="778" t="s">
        <v>518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519</v>
      </c>
      <c r="B322" s="63" t="s">
        <v>520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45</v>
      </c>
      <c r="M322" s="38" t="s">
        <v>107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522</v>
      </c>
      <c r="B323" s="63" t="s">
        <v>523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45</v>
      </c>
      <c r="M323" s="38" t="s">
        <v>107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524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525</v>
      </c>
      <c r="B327" s="63" t="s">
        <v>526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45</v>
      </c>
      <c r="M327" s="38" t="s">
        <v>528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527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529</v>
      </c>
      <c r="B328" s="63" t="s">
        <v>530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528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527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531</v>
      </c>
      <c r="B329" s="63" t="s">
        <v>532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528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527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533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84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534</v>
      </c>
      <c r="B334" s="63" t="s">
        <v>535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45</v>
      </c>
      <c r="M334" s="38" t="s">
        <v>96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536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537</v>
      </c>
      <c r="B335" s="63" t="s">
        <v>538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223</v>
      </c>
      <c r="M335" s="38" t="s">
        <v>88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539</v>
      </c>
      <c r="AG335" s="78"/>
      <c r="AJ335" s="84" t="s">
        <v>119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540</v>
      </c>
      <c r="B336" s="63" t="s">
        <v>541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223</v>
      </c>
      <c r="M336" s="38" t="s">
        <v>96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542</v>
      </c>
      <c r="AG336" s="78"/>
      <c r="AJ336" s="84" t="s">
        <v>119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543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544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110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545</v>
      </c>
      <c r="B342" s="63" t="s">
        <v>546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45</v>
      </c>
      <c r="M342" s="38" t="s">
        <v>82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547</v>
      </c>
      <c r="AG342" s="78"/>
      <c r="AJ342" s="84" t="s">
        <v>45</v>
      </c>
      <c r="AK342" s="84">
        <v>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548</v>
      </c>
      <c r="B343" s="63" t="s">
        <v>549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45</v>
      </c>
      <c r="M343" s="38" t="s">
        <v>82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550</v>
      </c>
      <c r="AG343" s="78"/>
      <c r="AJ343" s="84" t="s">
        <v>45</v>
      </c>
      <c r="AK343" s="84">
        <v>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551</v>
      </c>
      <c r="B344" s="63" t="s">
        <v>552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45</v>
      </c>
      <c r="M344" s="38" t="s">
        <v>82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553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554</v>
      </c>
      <c r="B345" s="63" t="s">
        <v>555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0" t="s">
        <v>556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557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558</v>
      </c>
      <c r="B346" s="63" t="s">
        <v>559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118</v>
      </c>
      <c r="L346" s="37" t="s">
        <v>45</v>
      </c>
      <c r="M346" s="38" t="s">
        <v>114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560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561</v>
      </c>
      <c r="B347" s="63" t="s">
        <v>562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118</v>
      </c>
      <c r="L347" s="37" t="s">
        <v>45</v>
      </c>
      <c r="M347" s="38" t="s">
        <v>82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550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563</v>
      </c>
      <c r="B348" s="63" t="s">
        <v>564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118</v>
      </c>
      <c r="L348" s="37" t="s">
        <v>45</v>
      </c>
      <c r="M348" s="38" t="s">
        <v>82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553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144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565</v>
      </c>
      <c r="B352" s="63" t="s">
        <v>566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114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567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568</v>
      </c>
      <c r="B353" s="63" t="s">
        <v>569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118</v>
      </c>
      <c r="L353" s="37" t="s">
        <v>45</v>
      </c>
      <c r="M353" s="38" t="s">
        <v>114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567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84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570</v>
      </c>
      <c r="B357" s="63" t="s">
        <v>571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572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573</v>
      </c>
      <c r="B358" s="63" t="s">
        <v>574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575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172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576</v>
      </c>
      <c r="B362" s="63" t="s">
        <v>577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578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579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110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580</v>
      </c>
      <c r="B367" s="63" t="s">
        <v>581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45</v>
      </c>
      <c r="M367" s="38" t="s">
        <v>82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582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583</v>
      </c>
      <c r="B368" s="63" t="s">
        <v>584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118</v>
      </c>
      <c r="L368" s="37" t="s">
        <v>45</v>
      </c>
      <c r="M368" s="38" t="s">
        <v>82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582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78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585</v>
      </c>
      <c r="B372" s="63" t="s">
        <v>586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118</v>
      </c>
      <c r="L372" s="37" t="s">
        <v>45</v>
      </c>
      <c r="M372" s="38" t="s">
        <v>82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587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585</v>
      </c>
      <c r="B373" s="63" t="s">
        <v>588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118</v>
      </c>
      <c r="L373" s="37" t="s">
        <v>45</v>
      </c>
      <c r="M373" s="38" t="s">
        <v>82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589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84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590</v>
      </c>
      <c r="B377" s="63" t="s">
        <v>591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45</v>
      </c>
      <c r="M377" s="38" t="s">
        <v>88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592</v>
      </c>
      <c r="AG377" s="78"/>
      <c r="AJ377" s="84" t="s">
        <v>45</v>
      </c>
      <c r="AK377" s="84">
        <v>0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593</v>
      </c>
      <c r="B378" s="63" t="s">
        <v>594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45</v>
      </c>
      <c r="M378" s="38" t="s">
        <v>88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592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595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596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78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597</v>
      </c>
      <c r="B384" s="63" t="s">
        <v>598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118</v>
      </c>
      <c r="L384" s="37" t="s">
        <v>45</v>
      </c>
      <c r="M384" s="38" t="s">
        <v>82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599</v>
      </c>
      <c r="AG384" s="78"/>
      <c r="AJ384" s="84" t="s">
        <v>45</v>
      </c>
      <c r="AK384" s="84">
        <v>0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600</v>
      </c>
      <c r="B385" s="63" t="s">
        <v>601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118</v>
      </c>
      <c r="L385" s="37" t="s">
        <v>45</v>
      </c>
      <c r="M385" s="38" t="s">
        <v>82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602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603</v>
      </c>
      <c r="B386" s="63" t="s">
        <v>604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118</v>
      </c>
      <c r="L386" s="37" t="s">
        <v>45</v>
      </c>
      <c r="M386" s="38" t="s">
        <v>82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605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606</v>
      </c>
      <c r="B387" s="63" t="s">
        <v>607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83</v>
      </c>
      <c r="L387" s="37" t="s">
        <v>45</v>
      </c>
      <c r="M387" s="38" t="s">
        <v>82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599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608</v>
      </c>
      <c r="B388" s="63" t="s">
        <v>609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599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610</v>
      </c>
      <c r="B389" s="63" t="s">
        <v>611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612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613</v>
      </c>
      <c r="B390" s="63" t="s">
        <v>614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615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616</v>
      </c>
      <c r="B391" s="63" t="s">
        <v>617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618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619</v>
      </c>
      <c r="B392" s="63" t="s">
        <v>620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615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84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621</v>
      </c>
      <c r="B396" s="63" t="s">
        <v>622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118</v>
      </c>
      <c r="L396" s="37" t="s">
        <v>45</v>
      </c>
      <c r="M396" s="38" t="s">
        <v>88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623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624</v>
      </c>
      <c r="B397" s="63" t="s">
        <v>625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89</v>
      </c>
      <c r="L397" s="37" t="s">
        <v>45</v>
      </c>
      <c r="M397" s="38" t="s">
        <v>88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626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627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144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628</v>
      </c>
      <c r="B402" s="63" t="s">
        <v>629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89</v>
      </c>
      <c r="L402" s="37" t="s">
        <v>45</v>
      </c>
      <c r="M402" s="38" t="s">
        <v>82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630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78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631</v>
      </c>
      <c r="B406" s="63" t="s">
        <v>632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118</v>
      </c>
      <c r="L406" s="37" t="s">
        <v>45</v>
      </c>
      <c r="M406" s="38" t="s">
        <v>114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633</v>
      </c>
      <c r="AG406" s="78"/>
      <c r="AJ406" s="84" t="s">
        <v>45</v>
      </c>
      <c r="AK406" s="84">
        <v>0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634</v>
      </c>
      <c r="B407" s="63" t="s">
        <v>635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83</v>
      </c>
      <c r="L407" s="37" t="s">
        <v>45</v>
      </c>
      <c r="M407" s="38" t="s">
        <v>82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636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637</v>
      </c>
      <c r="B408" s="63" t="s">
        <v>638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639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640</v>
      </c>
      <c r="B409" s="63" t="s">
        <v>641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331</v>
      </c>
      <c r="M409" s="38" t="s">
        <v>82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639</v>
      </c>
      <c r="AG409" s="78"/>
      <c r="AJ409" s="84" t="s">
        <v>119</v>
      </c>
      <c r="AK409" s="84">
        <v>37.799999999999997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642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78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643</v>
      </c>
      <c r="B414" s="63" t="s">
        <v>644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89</v>
      </c>
      <c r="L414" s="37" t="s">
        <v>45</v>
      </c>
      <c r="M414" s="38" t="s">
        <v>82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645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646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646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110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647</v>
      </c>
      <c r="B420" s="63" t="s">
        <v>648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115</v>
      </c>
      <c r="L420" s="37" t="s">
        <v>45</v>
      </c>
      <c r="M420" s="38" t="s">
        <v>114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113</v>
      </c>
      <c r="AG420" s="78"/>
      <c r="AJ420" s="84" t="s">
        <v>45</v>
      </c>
      <c r="AK420" s="84">
        <v>0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649</v>
      </c>
      <c r="B421" s="63" t="s">
        <v>650</v>
      </c>
      <c r="C421" s="36">
        <v>4301011961</v>
      </c>
      <c r="D421" s="619">
        <v>4680115885271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45</v>
      </c>
      <c r="M421" s="38" t="s">
        <v>114</v>
      </c>
      <c r="N421" s="38"/>
      <c r="O421" s="37">
        <v>60</v>
      </c>
      <c r="P421" s="8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651</v>
      </c>
      <c r="AG421" s="78"/>
      <c r="AJ421" s="84" t="s">
        <v>45</v>
      </c>
      <c r="AK421" s="84">
        <v>0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652</v>
      </c>
      <c r="B422" s="63" t="s">
        <v>653</v>
      </c>
      <c r="C422" s="36">
        <v>4301011376</v>
      </c>
      <c r="D422" s="619">
        <v>4680115885226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88</v>
      </c>
      <c r="N422" s="38"/>
      <c r="O422" s="37">
        <v>60</v>
      </c>
      <c r="P422" s="8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654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655</v>
      </c>
      <c r="B423" s="63" t="s">
        <v>656</v>
      </c>
      <c r="C423" s="36">
        <v>4301012145</v>
      </c>
      <c r="D423" s="619">
        <v>4607091383522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114</v>
      </c>
      <c r="N423" s="38"/>
      <c r="O423" s="37">
        <v>60</v>
      </c>
      <c r="P423" s="8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657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658</v>
      </c>
      <c r="B424" s="63" t="s">
        <v>659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660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661</v>
      </c>
      <c r="B425" s="63" t="s">
        <v>662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663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664</v>
      </c>
      <c r="B426" s="63" t="s">
        <v>665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89</v>
      </c>
      <c r="L426" s="37" t="s">
        <v>45</v>
      </c>
      <c r="M426" s="38" t="s">
        <v>88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666</v>
      </c>
      <c r="B427" s="63" t="s">
        <v>667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118</v>
      </c>
      <c r="L427" s="37" t="s">
        <v>45</v>
      </c>
      <c r="M427" s="38" t="s">
        <v>114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668</v>
      </c>
      <c r="B428" s="63" t="s">
        <v>669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118</v>
      </c>
      <c r="L428" s="37" t="s">
        <v>45</v>
      </c>
      <c r="M428" s="38" t="s">
        <v>114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670</v>
      </c>
      <c r="B429" s="63" t="s">
        <v>671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89</v>
      </c>
      <c r="L429" s="37" t="s">
        <v>45</v>
      </c>
      <c r="M429" s="38" t="s">
        <v>114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672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118</v>
      </c>
      <c r="L430" s="37" t="s">
        <v>45</v>
      </c>
      <c r="M430" s="38" t="s">
        <v>114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144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675</v>
      </c>
      <c r="B434" s="63" t="s">
        <v>676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45</v>
      </c>
      <c r="M434" s="38" t="s">
        <v>88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677</v>
      </c>
      <c r="AG434" s="78"/>
      <c r="AJ434" s="84" t="s">
        <v>45</v>
      </c>
      <c r="AK434" s="84">
        <v>0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678</v>
      </c>
      <c r="B435" s="63" t="s">
        <v>679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89</v>
      </c>
      <c r="L435" s="37" t="s">
        <v>45</v>
      </c>
      <c r="M435" s="38" t="s">
        <v>88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677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680</v>
      </c>
      <c r="B436" s="63" t="s">
        <v>681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118</v>
      </c>
      <c r="L436" s="37" t="s">
        <v>45</v>
      </c>
      <c r="M436" s="38" t="s">
        <v>114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677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78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682</v>
      </c>
      <c r="B440" s="63" t="s">
        <v>683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45</v>
      </c>
      <c r="M440" s="38" t="s">
        <v>114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684</v>
      </c>
      <c r="AG440" s="78"/>
      <c r="AJ440" s="84" t="s">
        <v>45</v>
      </c>
      <c r="AK440" s="84">
        <v>0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685</v>
      </c>
      <c r="B441" s="63" t="s">
        <v>686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45</v>
      </c>
      <c r="M441" s="38" t="s">
        <v>82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687</v>
      </c>
      <c r="AG441" s="78"/>
      <c r="AJ441" s="84" t="s">
        <v>45</v>
      </c>
      <c r="AK441" s="84">
        <v>0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688</v>
      </c>
      <c r="B442" s="63" t="s">
        <v>689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45</v>
      </c>
      <c r="M442" s="38" t="s">
        <v>82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690</v>
      </c>
      <c r="AG442" s="78"/>
      <c r="AJ442" s="84" t="s">
        <v>45</v>
      </c>
      <c r="AK442" s="84">
        <v>0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691</v>
      </c>
      <c r="B443" s="63" t="s">
        <v>692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118</v>
      </c>
      <c r="L443" s="37" t="s">
        <v>45</v>
      </c>
      <c r="M443" s="38" t="s">
        <v>114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684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693</v>
      </c>
      <c r="B444" s="63" t="s">
        <v>694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118</v>
      </c>
      <c r="L444" s="37" t="s">
        <v>45</v>
      </c>
      <c r="M444" s="38" t="s">
        <v>82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687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695</v>
      </c>
      <c r="B445" s="63" t="s">
        <v>696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118</v>
      </c>
      <c r="L445" s="37" t="s">
        <v>45</v>
      </c>
      <c r="M445" s="38" t="s">
        <v>82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690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84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697</v>
      </c>
      <c r="B449" s="63" t="s">
        <v>698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115</v>
      </c>
      <c r="L449" s="37" t="s">
        <v>45</v>
      </c>
      <c r="M449" s="38" t="s">
        <v>88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699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700</v>
      </c>
      <c r="B450" s="63" t="s">
        <v>701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702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703</v>
      </c>
      <c r="B451" s="63" t="s">
        <v>704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89</v>
      </c>
      <c r="L451" s="37" t="s">
        <v>45</v>
      </c>
      <c r="M451" s="38" t="s">
        <v>88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705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706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706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110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707</v>
      </c>
      <c r="B457" s="63" t="s">
        <v>708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88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709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710</v>
      </c>
      <c r="B458" s="63" t="s">
        <v>711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712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713</v>
      </c>
      <c r="B459" s="63" t="s">
        <v>714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715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716</v>
      </c>
      <c r="B460" s="63" t="s">
        <v>717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118</v>
      </c>
      <c r="L460" s="37" t="s">
        <v>45</v>
      </c>
      <c r="M460" s="38" t="s">
        <v>88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709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144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718</v>
      </c>
      <c r="B464" s="63" t="s">
        <v>719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720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721</v>
      </c>
      <c r="B465" s="63" t="s">
        <v>722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723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724</v>
      </c>
      <c r="B466" s="63" t="s">
        <v>725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118</v>
      </c>
      <c r="L466" s="37" t="s">
        <v>45</v>
      </c>
      <c r="M466" s="38" t="s">
        <v>114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726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78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727</v>
      </c>
      <c r="B470" s="63" t="s">
        <v>728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118</v>
      </c>
      <c r="L470" s="37" t="s">
        <v>45</v>
      </c>
      <c r="M470" s="38" t="s">
        <v>82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729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730</v>
      </c>
      <c r="B471" s="63" t="s">
        <v>731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118</v>
      </c>
      <c r="L471" s="37" t="s">
        <v>45</v>
      </c>
      <c r="M471" s="38" t="s">
        <v>82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732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84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733</v>
      </c>
      <c r="B475" s="63" t="s">
        <v>734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45</v>
      </c>
      <c r="M475" s="38" t="s">
        <v>96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735</v>
      </c>
      <c r="AG475" s="78"/>
      <c r="AJ475" s="84" t="s">
        <v>45</v>
      </c>
      <c r="AK475" s="84">
        <v>0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172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736</v>
      </c>
      <c r="B479" s="63" t="s">
        <v>737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88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738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739</v>
      </c>
      <c r="B480" s="63" t="s">
        <v>740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741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742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144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743</v>
      </c>
      <c r="B485" s="63" t="s">
        <v>744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745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64" t="s">
        <v>108</v>
      </c>
      <c r="D495" s="864" t="s">
        <v>108</v>
      </c>
      <c r="E495" s="864" t="s">
        <v>108</v>
      </c>
      <c r="F495" s="864" t="s">
        <v>108</v>
      </c>
      <c r="G495" s="864" t="s">
        <v>108</v>
      </c>
      <c r="H495" s="864" t="s">
        <v>108</v>
      </c>
      <c r="I495" s="864" t="s">
        <v>265</v>
      </c>
      <c r="J495" s="864" t="s">
        <v>265</v>
      </c>
      <c r="K495" s="864" t="s">
        <v>265</v>
      </c>
      <c r="L495" s="864" t="s">
        <v>265</v>
      </c>
      <c r="M495" s="864" t="s">
        <v>265</v>
      </c>
      <c r="N495" s="865"/>
      <c r="O495" s="864" t="s">
        <v>265</v>
      </c>
      <c r="P495" s="864" t="s">
        <v>265</v>
      </c>
      <c r="Q495" s="864" t="s">
        <v>265</v>
      </c>
      <c r="R495" s="864" t="s">
        <v>265</v>
      </c>
      <c r="S495" s="864" t="s">
        <v>543</v>
      </c>
      <c r="T495" s="864" t="s">
        <v>543</v>
      </c>
      <c r="U495" s="864" t="s">
        <v>595</v>
      </c>
      <c r="V495" s="864" t="s">
        <v>595</v>
      </c>
      <c r="W495" s="864" t="s">
        <v>595</v>
      </c>
      <c r="X495" s="85" t="s">
        <v>646</v>
      </c>
      <c r="Y495" s="864" t="s">
        <v>706</v>
      </c>
      <c r="Z495" s="864" t="s">
        <v>706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77</v>
      </c>
      <c r="C496" s="864" t="s">
        <v>109</v>
      </c>
      <c r="D496" s="864" t="s">
        <v>125</v>
      </c>
      <c r="E496" s="864" t="s">
        <v>179</v>
      </c>
      <c r="F496" s="864" t="s">
        <v>198</v>
      </c>
      <c r="G496" s="864" t="s">
        <v>230</v>
      </c>
      <c r="H496" s="864" t="s">
        <v>108</v>
      </c>
      <c r="I496" s="864" t="s">
        <v>266</v>
      </c>
      <c r="J496" s="864" t="s">
        <v>306</v>
      </c>
      <c r="K496" s="864" t="s">
        <v>367</v>
      </c>
      <c r="L496" s="864" t="s">
        <v>409</v>
      </c>
      <c r="M496" s="864" t="s">
        <v>425</v>
      </c>
      <c r="N496" s="1"/>
      <c r="O496" s="864" t="s">
        <v>436</v>
      </c>
      <c r="P496" s="864" t="s">
        <v>445</v>
      </c>
      <c r="Q496" s="864" t="s">
        <v>455</v>
      </c>
      <c r="R496" s="864" t="s">
        <v>533</v>
      </c>
      <c r="S496" s="864" t="s">
        <v>544</v>
      </c>
      <c r="T496" s="864" t="s">
        <v>579</v>
      </c>
      <c r="U496" s="864" t="s">
        <v>596</v>
      </c>
      <c r="V496" s="864" t="s">
        <v>627</v>
      </c>
      <c r="W496" s="864" t="s">
        <v>642</v>
      </c>
      <c r="X496" s="864" t="s">
        <v>646</v>
      </c>
      <c r="Y496" s="864" t="s">
        <v>706</v>
      </c>
      <c r="Z496" s="864" t="s">
        <v>742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IFERROR(Y140*1,"0")+IFERROR(Y141*1,"0")+IFERROR(Y142*1,"0")+IFERROR(Y146*1,"0")+IFERROR(Y147*1,"0")+IFERROR(Y148*1,"0")+IFERROR(Y152*1,"0")</f>
        <v>0</v>
      </c>
      <c r="I498" s="52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</f>
        <v>0</v>
      </c>
      <c r="Q498" s="52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LzKwVvZKFRdofX3pyozpHnLXK3N3HV/+ICQvADKzBIoDSiir9wf3YHrS9SsdGWoinHcnf8x2VyoDuIZdd6rHaA==" saltValue="VIZvBTeUj5HxJbGphLED/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2:Z282"/>
    <mergeCell ref="D283:E283"/>
    <mergeCell ref="P283:T283"/>
    <mergeCell ref="P284:V284"/>
    <mergeCell ref="A284:O285"/>
    <mergeCell ref="P285:V285"/>
    <mergeCell ref="A286:Z286"/>
    <mergeCell ref="A287:Z287"/>
    <mergeCell ref="D288:E288"/>
    <mergeCell ref="P288:T288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09 X335:X336 X211 X209 X199 X114 X101 X87 X56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746</v>
      </c>
      <c r="H1" s="9"/>
    </row>
    <row r="3" spans="2:8" x14ac:dyDescent="0.2">
      <c r="B3" s="53" t="s">
        <v>747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749</v>
      </c>
      <c r="D6" s="53" t="s">
        <v>750</v>
      </c>
      <c r="E6" s="53" t="s">
        <v>45</v>
      </c>
    </row>
    <row r="8" spans="2:8" x14ac:dyDescent="0.2">
      <c r="B8" s="53" t="s">
        <v>76</v>
      </c>
      <c r="C8" s="53" t="s">
        <v>749</v>
      </c>
      <c r="D8" s="53" t="s">
        <v>45</v>
      </c>
      <c r="E8" s="53" t="s">
        <v>45</v>
      </c>
    </row>
    <row r="10" spans="2:8" x14ac:dyDescent="0.2">
      <c r="B10" s="53" t="s">
        <v>751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752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753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</sheetData>
  <sheetProtection algorithmName="SHA-512" hashValue="vZfZSORNIrSxPaXGzjdBfMM9fWMRLBy3j0l3qoRtT3Rriymahxw+A7nX6sfbV42hm0hmKeKVjMjzcff1IyBrMg==" saltValue="CP0LrROY0JdGtzc0f7LeY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