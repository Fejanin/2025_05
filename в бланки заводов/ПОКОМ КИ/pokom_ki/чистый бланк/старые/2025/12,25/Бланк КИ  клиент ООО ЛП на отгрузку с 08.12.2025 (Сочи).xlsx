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73CB2D3-60E7-4A4F-BABE-4D72906DBF4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2" l="1"/>
  <c r="X489" i="2"/>
  <c r="BO488" i="2"/>
  <c r="BM488" i="2"/>
  <c r="Y488" i="2"/>
  <c r="Z501" i="2" s="1"/>
  <c r="P488" i="2"/>
  <c r="X485" i="2"/>
  <c r="X484" i="2"/>
  <c r="BO483" i="2"/>
  <c r="BM483" i="2"/>
  <c r="Y483" i="2"/>
  <c r="BN483" i="2" s="1"/>
  <c r="P483" i="2"/>
  <c r="BO482" i="2"/>
  <c r="BM482" i="2"/>
  <c r="Y482" i="2"/>
  <c r="BP482" i="2" s="1"/>
  <c r="P482" i="2"/>
  <c r="X480" i="2"/>
  <c r="X479" i="2"/>
  <c r="BO478" i="2"/>
  <c r="BN478" i="2"/>
  <c r="BM478" i="2"/>
  <c r="Z478" i="2"/>
  <c r="Z479" i="2" s="1"/>
  <c r="Y478" i="2"/>
  <c r="Y480" i="2" s="1"/>
  <c r="P478" i="2"/>
  <c r="X476" i="2"/>
  <c r="X475" i="2"/>
  <c r="BO474" i="2"/>
  <c r="BM474" i="2"/>
  <c r="Y474" i="2"/>
  <c r="P474" i="2"/>
  <c r="BO473" i="2"/>
  <c r="BM473" i="2"/>
  <c r="Y473" i="2"/>
  <c r="P473" i="2"/>
  <c r="X471" i="2"/>
  <c r="X470" i="2"/>
  <c r="BO469" i="2"/>
  <c r="BM469" i="2"/>
  <c r="Y469" i="2"/>
  <c r="BP469" i="2" s="1"/>
  <c r="P469" i="2"/>
  <c r="BO468" i="2"/>
  <c r="BM468" i="2"/>
  <c r="Y468" i="2"/>
  <c r="P468" i="2"/>
  <c r="BO467" i="2"/>
  <c r="BM467" i="2"/>
  <c r="Y467" i="2"/>
  <c r="P467" i="2"/>
  <c r="X465" i="2"/>
  <c r="X464" i="2"/>
  <c r="BO463" i="2"/>
  <c r="BN463" i="2"/>
  <c r="BM463" i="2"/>
  <c r="Z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6" i="2"/>
  <c r="X455" i="2"/>
  <c r="BP454" i="2"/>
  <c r="BO454" i="2"/>
  <c r="BN454" i="2"/>
  <c r="BM454" i="2"/>
  <c r="Z454" i="2"/>
  <c r="Y454" i="2"/>
  <c r="P454" i="2"/>
  <c r="BO453" i="2"/>
  <c r="BM453" i="2"/>
  <c r="Z453" i="2"/>
  <c r="Y453" i="2"/>
  <c r="BN453" i="2" s="1"/>
  <c r="P453" i="2"/>
  <c r="BO452" i="2"/>
  <c r="BM452" i="2"/>
  <c r="Z452" i="2"/>
  <c r="Y452" i="2"/>
  <c r="Y456" i="2" s="1"/>
  <c r="P452" i="2"/>
  <c r="X450" i="2"/>
  <c r="X449" i="2"/>
  <c r="BO448" i="2"/>
  <c r="BM448" i="2"/>
  <c r="Y448" i="2"/>
  <c r="BP448" i="2" s="1"/>
  <c r="P448" i="2"/>
  <c r="BO447" i="2"/>
  <c r="BM447" i="2"/>
  <c r="Y447" i="2"/>
  <c r="P447" i="2"/>
  <c r="BO446" i="2"/>
  <c r="BM446" i="2"/>
  <c r="Y446" i="2"/>
  <c r="BP446" i="2" s="1"/>
  <c r="P446" i="2"/>
  <c r="BP445" i="2"/>
  <c r="BO445" i="2"/>
  <c r="BN445" i="2"/>
  <c r="BM445" i="2"/>
  <c r="Z445" i="2"/>
  <c r="Y445" i="2"/>
  <c r="P445" i="2"/>
  <c r="BO444" i="2"/>
  <c r="BM444" i="2"/>
  <c r="Y444" i="2"/>
  <c r="P444" i="2"/>
  <c r="BP443" i="2"/>
  <c r="BO443" i="2"/>
  <c r="BN443" i="2"/>
  <c r="BM443" i="2"/>
  <c r="Z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P437" i="2"/>
  <c r="BO437" i="2"/>
  <c r="BM437" i="2"/>
  <c r="Y437" i="2"/>
  <c r="Z437" i="2" s="1"/>
  <c r="P437" i="2"/>
  <c r="X435" i="2"/>
  <c r="X434" i="2"/>
  <c r="BO433" i="2"/>
  <c r="BM433" i="2"/>
  <c r="Y433" i="2"/>
  <c r="BP433" i="2" s="1"/>
  <c r="P433" i="2"/>
  <c r="BP432" i="2"/>
  <c r="BO432" i="2"/>
  <c r="BN432" i="2"/>
  <c r="BM432" i="2"/>
  <c r="Z432" i="2"/>
  <c r="Y432" i="2"/>
  <c r="P432" i="2"/>
  <c r="BO431" i="2"/>
  <c r="BN431" i="2"/>
  <c r="BM431" i="2"/>
  <c r="Z431" i="2"/>
  <c r="Y431" i="2"/>
  <c r="BP431" i="2" s="1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BP428" i="2" s="1"/>
  <c r="P428" i="2"/>
  <c r="BP427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Z424" i="2" s="1"/>
  <c r="P424" i="2"/>
  <c r="BP423" i="2"/>
  <c r="BO423" i="2"/>
  <c r="BN423" i="2"/>
  <c r="BM423" i="2"/>
  <c r="Z423" i="2"/>
  <c r="Y423" i="2"/>
  <c r="BO422" i="2"/>
  <c r="BM422" i="2"/>
  <c r="Y422" i="2"/>
  <c r="P422" i="2"/>
  <c r="X418" i="2"/>
  <c r="X417" i="2"/>
  <c r="BO416" i="2"/>
  <c r="BM416" i="2"/>
  <c r="Y416" i="2"/>
  <c r="P416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Z409" i="2" s="1"/>
  <c r="P409" i="2"/>
  <c r="BO408" i="2"/>
  <c r="BM408" i="2"/>
  <c r="Y408" i="2"/>
  <c r="BP408" i="2" s="1"/>
  <c r="P408" i="2"/>
  <c r="Y406" i="2"/>
  <c r="X406" i="2"/>
  <c r="Y405" i="2"/>
  <c r="X405" i="2"/>
  <c r="BP404" i="2"/>
  <c r="BO404" i="2"/>
  <c r="BN404" i="2"/>
  <c r="BM404" i="2"/>
  <c r="Z404" i="2"/>
  <c r="Z405" i="2" s="1"/>
  <c r="Y404" i="2"/>
  <c r="P404" i="2"/>
  <c r="X401" i="2"/>
  <c r="X400" i="2"/>
  <c r="BO399" i="2"/>
  <c r="BM399" i="2"/>
  <c r="Y399" i="2"/>
  <c r="P399" i="2"/>
  <c r="BO398" i="2"/>
  <c r="BM398" i="2"/>
  <c r="Y398" i="2"/>
  <c r="P398" i="2"/>
  <c r="X396" i="2"/>
  <c r="X395" i="2"/>
  <c r="BP394" i="2"/>
  <c r="BO394" i="2"/>
  <c r="BM394" i="2"/>
  <c r="Y394" i="2"/>
  <c r="P394" i="2"/>
  <c r="BO393" i="2"/>
  <c r="BM393" i="2"/>
  <c r="Y393" i="2"/>
  <c r="Z393" i="2" s="1"/>
  <c r="P393" i="2"/>
  <c r="BP392" i="2"/>
  <c r="BO392" i="2"/>
  <c r="BN392" i="2"/>
  <c r="BM392" i="2"/>
  <c r="Z392" i="2"/>
  <c r="Y392" i="2"/>
  <c r="P392" i="2"/>
  <c r="BO391" i="2"/>
  <c r="BM391" i="2"/>
  <c r="Y391" i="2"/>
  <c r="P391" i="2"/>
  <c r="BP390" i="2"/>
  <c r="BO390" i="2"/>
  <c r="BN390" i="2"/>
  <c r="BM390" i="2"/>
  <c r="Z390" i="2"/>
  <c r="Y390" i="2"/>
  <c r="P390" i="2"/>
  <c r="BO389" i="2"/>
  <c r="BM389" i="2"/>
  <c r="Y389" i="2"/>
  <c r="BP389" i="2" s="1"/>
  <c r="P389" i="2"/>
  <c r="BO388" i="2"/>
  <c r="BM388" i="2"/>
  <c r="Y388" i="2"/>
  <c r="P388" i="2"/>
  <c r="BO387" i="2"/>
  <c r="BM387" i="2"/>
  <c r="Y387" i="2"/>
  <c r="BP387" i="2" s="1"/>
  <c r="P387" i="2"/>
  <c r="BO386" i="2"/>
  <c r="BM386" i="2"/>
  <c r="Y386" i="2"/>
  <c r="P386" i="2"/>
  <c r="X382" i="2"/>
  <c r="X381" i="2"/>
  <c r="BP380" i="2"/>
  <c r="BO380" i="2"/>
  <c r="BN380" i="2"/>
  <c r="BM380" i="2"/>
  <c r="Z380" i="2"/>
  <c r="Y380" i="2"/>
  <c r="P380" i="2"/>
  <c r="BO379" i="2"/>
  <c r="BM379" i="2"/>
  <c r="Y379" i="2"/>
  <c r="P379" i="2"/>
  <c r="BP378" i="2"/>
  <c r="BO378" i="2"/>
  <c r="BN378" i="2"/>
  <c r="BM378" i="2"/>
  <c r="Z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X371" i="2"/>
  <c r="X370" i="2"/>
  <c r="BO369" i="2"/>
  <c r="BM369" i="2"/>
  <c r="Y369" i="2"/>
  <c r="P369" i="2"/>
  <c r="BP368" i="2"/>
  <c r="BO368" i="2"/>
  <c r="BN368" i="2"/>
  <c r="BM368" i="2"/>
  <c r="Z368" i="2"/>
  <c r="Y368" i="2"/>
  <c r="P368" i="2"/>
  <c r="X365" i="2"/>
  <c r="Y364" i="2"/>
  <c r="X364" i="2"/>
  <c r="BP363" i="2"/>
  <c r="BO363" i="2"/>
  <c r="BM363" i="2"/>
  <c r="Y363" i="2"/>
  <c r="BN363" i="2" s="1"/>
  <c r="P363" i="2"/>
  <c r="X361" i="2"/>
  <c r="X360" i="2"/>
  <c r="BO359" i="2"/>
  <c r="BM359" i="2"/>
  <c r="Y359" i="2"/>
  <c r="P359" i="2"/>
  <c r="BO358" i="2"/>
  <c r="BM358" i="2"/>
  <c r="Y358" i="2"/>
  <c r="Z358" i="2" s="1"/>
  <c r="P358" i="2"/>
  <c r="X356" i="2"/>
  <c r="X355" i="2"/>
  <c r="BO354" i="2"/>
  <c r="BM354" i="2"/>
  <c r="Y354" i="2"/>
  <c r="P354" i="2"/>
  <c r="BO353" i="2"/>
  <c r="BM353" i="2"/>
  <c r="Y353" i="2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Z347" i="2" s="1"/>
  <c r="P347" i="2"/>
  <c r="BP346" i="2"/>
  <c r="BO346" i="2"/>
  <c r="BN346" i="2"/>
  <c r="BM346" i="2"/>
  <c r="Z346" i="2"/>
  <c r="Y346" i="2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P343" i="2"/>
  <c r="X339" i="2"/>
  <c r="X338" i="2"/>
  <c r="BO337" i="2"/>
  <c r="BM337" i="2"/>
  <c r="Y337" i="2"/>
  <c r="BP337" i="2" s="1"/>
  <c r="P337" i="2"/>
  <c r="BO336" i="2"/>
  <c r="BM336" i="2"/>
  <c r="Y336" i="2"/>
  <c r="P336" i="2"/>
  <c r="BO335" i="2"/>
  <c r="BM335" i="2"/>
  <c r="Y335" i="2"/>
  <c r="P335" i="2"/>
  <c r="X332" i="2"/>
  <c r="X331" i="2"/>
  <c r="BP330" i="2"/>
  <c r="BO330" i="2"/>
  <c r="BN330" i="2"/>
  <c r="BM330" i="2"/>
  <c r="Z330" i="2"/>
  <c r="Y330" i="2"/>
  <c r="P330" i="2"/>
  <c r="BO329" i="2"/>
  <c r="BM329" i="2"/>
  <c r="Y329" i="2"/>
  <c r="BP329" i="2" s="1"/>
  <c r="P329" i="2"/>
  <c r="BO328" i="2"/>
  <c r="BM328" i="2"/>
  <c r="Y328" i="2"/>
  <c r="P328" i="2"/>
  <c r="X326" i="2"/>
  <c r="X325" i="2"/>
  <c r="BO324" i="2"/>
  <c r="BM324" i="2"/>
  <c r="Y324" i="2"/>
  <c r="P324" i="2"/>
  <c r="BO323" i="2"/>
  <c r="BM323" i="2"/>
  <c r="Y323" i="2"/>
  <c r="Z323" i="2" s="1"/>
  <c r="P323" i="2"/>
  <c r="BP322" i="2"/>
  <c r="BO322" i="2"/>
  <c r="BN322" i="2"/>
  <c r="BM322" i="2"/>
  <c r="Z322" i="2"/>
  <c r="Y322" i="2"/>
  <c r="P322" i="2"/>
  <c r="BO321" i="2"/>
  <c r="BM321" i="2"/>
  <c r="Y321" i="2"/>
  <c r="P321" i="2"/>
  <c r="X319" i="2"/>
  <c r="X318" i="2"/>
  <c r="BO317" i="2"/>
  <c r="BM317" i="2"/>
  <c r="Y317" i="2"/>
  <c r="BP317" i="2" s="1"/>
  <c r="P317" i="2"/>
  <c r="BO316" i="2"/>
  <c r="BM316" i="2"/>
  <c r="Y316" i="2"/>
  <c r="Z316" i="2" s="1"/>
  <c r="P316" i="2"/>
  <c r="BO315" i="2"/>
  <c r="BM315" i="2"/>
  <c r="Y315" i="2"/>
  <c r="Y319" i="2" s="1"/>
  <c r="P315" i="2"/>
  <c r="X313" i="2"/>
  <c r="X312" i="2"/>
  <c r="BP311" i="2"/>
  <c r="BO311" i="2"/>
  <c r="BN311" i="2"/>
  <c r="BM311" i="2"/>
  <c r="Z311" i="2"/>
  <c r="Y311" i="2"/>
  <c r="P311" i="2"/>
  <c r="BO310" i="2"/>
  <c r="BM310" i="2"/>
  <c r="Y310" i="2"/>
  <c r="P310" i="2"/>
  <c r="BO309" i="2"/>
  <c r="BM309" i="2"/>
  <c r="Y309" i="2"/>
  <c r="P309" i="2"/>
  <c r="BO308" i="2"/>
  <c r="BM308" i="2"/>
  <c r="Y308" i="2"/>
  <c r="P308" i="2"/>
  <c r="X306" i="2"/>
  <c r="X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Z302" i="2" s="1"/>
  <c r="P302" i="2"/>
  <c r="BP301" i="2"/>
  <c r="BO301" i="2"/>
  <c r="BN301" i="2"/>
  <c r="BM301" i="2"/>
  <c r="Z301" i="2"/>
  <c r="Y301" i="2"/>
  <c r="P301" i="2"/>
  <c r="BO300" i="2"/>
  <c r="BM300" i="2"/>
  <c r="Y300" i="2"/>
  <c r="P300" i="2"/>
  <c r="BO299" i="2"/>
  <c r="BM299" i="2"/>
  <c r="Y299" i="2"/>
  <c r="P299" i="2"/>
  <c r="X297" i="2"/>
  <c r="X296" i="2"/>
  <c r="BO295" i="2"/>
  <c r="BM295" i="2"/>
  <c r="Y295" i="2"/>
  <c r="BP295" i="2" s="1"/>
  <c r="P295" i="2"/>
  <c r="BO294" i="2"/>
  <c r="BM294" i="2"/>
  <c r="Y294" i="2"/>
  <c r="BP294" i="2" s="1"/>
  <c r="P294" i="2"/>
  <c r="BP293" i="2"/>
  <c r="BO293" i="2"/>
  <c r="BM293" i="2"/>
  <c r="Y293" i="2"/>
  <c r="BN293" i="2" s="1"/>
  <c r="P293" i="2"/>
  <c r="BO292" i="2"/>
  <c r="BM292" i="2"/>
  <c r="Y292" i="2"/>
  <c r="P292" i="2"/>
  <c r="BP291" i="2"/>
  <c r="BO291" i="2"/>
  <c r="BN291" i="2"/>
  <c r="BM291" i="2"/>
  <c r="Z291" i="2"/>
  <c r="Y291" i="2"/>
  <c r="P291" i="2"/>
  <c r="BO290" i="2"/>
  <c r="BM290" i="2"/>
  <c r="Y290" i="2"/>
  <c r="Y297" i="2" s="1"/>
  <c r="P290" i="2"/>
  <c r="X287" i="2"/>
  <c r="X286" i="2"/>
  <c r="BP285" i="2"/>
  <c r="BO285" i="2"/>
  <c r="BM285" i="2"/>
  <c r="Y285" i="2"/>
  <c r="BN285" i="2" s="1"/>
  <c r="P285" i="2"/>
  <c r="BO284" i="2"/>
  <c r="BM284" i="2"/>
  <c r="Y284" i="2"/>
  <c r="BP284" i="2" s="1"/>
  <c r="P284" i="2"/>
  <c r="X282" i="2"/>
  <c r="X281" i="2"/>
  <c r="BO280" i="2"/>
  <c r="BM280" i="2"/>
  <c r="Y280" i="2"/>
  <c r="Z280" i="2" s="1"/>
  <c r="P280" i="2"/>
  <c r="BP279" i="2"/>
  <c r="BO279" i="2"/>
  <c r="BN279" i="2"/>
  <c r="BM279" i="2"/>
  <c r="Z279" i="2"/>
  <c r="Z281" i="2" s="1"/>
  <c r="Y279" i="2"/>
  <c r="P279" i="2"/>
  <c r="X276" i="2"/>
  <c r="X275" i="2"/>
  <c r="BO274" i="2"/>
  <c r="BN274" i="2"/>
  <c r="BM274" i="2"/>
  <c r="Z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X269" i="2"/>
  <c r="X268" i="2"/>
  <c r="BO267" i="2"/>
  <c r="BM267" i="2"/>
  <c r="Y267" i="2"/>
  <c r="Z267" i="2" s="1"/>
  <c r="P267" i="2"/>
  <c r="BO266" i="2"/>
  <c r="BM266" i="2"/>
  <c r="Y266" i="2"/>
  <c r="BP266" i="2" s="1"/>
  <c r="P266" i="2"/>
  <c r="BP265" i="2"/>
  <c r="BO265" i="2"/>
  <c r="BN265" i="2"/>
  <c r="BM265" i="2"/>
  <c r="Z265" i="2"/>
  <c r="Y265" i="2"/>
  <c r="P265" i="2"/>
  <c r="BO264" i="2"/>
  <c r="BN264" i="2"/>
  <c r="BM264" i="2"/>
  <c r="Z264" i="2"/>
  <c r="Y264" i="2"/>
  <c r="P264" i="2"/>
  <c r="X261" i="2"/>
  <c r="X260" i="2"/>
  <c r="BO259" i="2"/>
  <c r="BM259" i="2"/>
  <c r="Y259" i="2"/>
  <c r="BP259" i="2" s="1"/>
  <c r="P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Y261" i="2" s="1"/>
  <c r="P255" i="2"/>
  <c r="X252" i="2"/>
  <c r="X251" i="2"/>
  <c r="BO250" i="2"/>
  <c r="BM250" i="2"/>
  <c r="Z250" i="2"/>
  <c r="Y250" i="2"/>
  <c r="BP250" i="2" s="1"/>
  <c r="P250" i="2"/>
  <c r="BO249" i="2"/>
  <c r="BM249" i="2"/>
  <c r="Y249" i="2"/>
  <c r="BN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BP246" i="2" s="1"/>
  <c r="P246" i="2"/>
  <c r="X244" i="2"/>
  <c r="X243" i="2"/>
  <c r="BO242" i="2"/>
  <c r="BM242" i="2"/>
  <c r="Y242" i="2"/>
  <c r="Y243" i="2" s="1"/>
  <c r="P242" i="2"/>
  <c r="X240" i="2"/>
  <c r="X239" i="2"/>
  <c r="BO238" i="2"/>
  <c r="BM238" i="2"/>
  <c r="Y238" i="2"/>
  <c r="Y240" i="2" s="1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P231" i="2"/>
  <c r="BO231" i="2"/>
  <c r="BN231" i="2"/>
  <c r="BM231" i="2"/>
  <c r="Z231" i="2"/>
  <c r="Y231" i="2"/>
  <c r="P231" i="2"/>
  <c r="BO230" i="2"/>
  <c r="BN230" i="2"/>
  <c r="BM230" i="2"/>
  <c r="Z230" i="2"/>
  <c r="Y230" i="2"/>
  <c r="BP230" i="2" s="1"/>
  <c r="P230" i="2"/>
  <c r="BO229" i="2"/>
  <c r="BN229" i="2"/>
  <c r="BM229" i="2"/>
  <c r="Z229" i="2"/>
  <c r="Y229" i="2"/>
  <c r="BP229" i="2" s="1"/>
  <c r="P229" i="2"/>
  <c r="BO228" i="2"/>
  <c r="BM228" i="2"/>
  <c r="Y228" i="2"/>
  <c r="BP228" i="2" s="1"/>
  <c r="P228" i="2"/>
  <c r="BP227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Z225" i="2"/>
  <c r="Y225" i="2"/>
  <c r="BN225" i="2" s="1"/>
  <c r="P225" i="2"/>
  <c r="X222" i="2"/>
  <c r="X221" i="2"/>
  <c r="BO220" i="2"/>
  <c r="BM220" i="2"/>
  <c r="Y220" i="2"/>
  <c r="BP220" i="2" s="1"/>
  <c r="P220" i="2"/>
  <c r="BO219" i="2"/>
  <c r="BM219" i="2"/>
  <c r="Y219" i="2"/>
  <c r="Y221" i="2" s="1"/>
  <c r="P219" i="2"/>
  <c r="X217" i="2"/>
  <c r="X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Z212" i="2" s="1"/>
  <c r="P212" i="2"/>
  <c r="BP211" i="2"/>
  <c r="BO211" i="2"/>
  <c r="BN211" i="2"/>
  <c r="BM211" i="2"/>
  <c r="Z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P207" i="2"/>
  <c r="X205" i="2"/>
  <c r="X204" i="2"/>
  <c r="BO203" i="2"/>
  <c r="BM203" i="2"/>
  <c r="Y203" i="2"/>
  <c r="BP203" i="2" s="1"/>
  <c r="P203" i="2"/>
  <c r="BO202" i="2"/>
  <c r="BM202" i="2"/>
  <c r="Y202" i="2"/>
  <c r="Z202" i="2" s="1"/>
  <c r="P202" i="2"/>
  <c r="BO201" i="2"/>
  <c r="BM201" i="2"/>
  <c r="Y201" i="2"/>
  <c r="BP201" i="2" s="1"/>
  <c r="P201" i="2"/>
  <c r="BP200" i="2"/>
  <c r="BO200" i="2"/>
  <c r="BN200" i="2"/>
  <c r="BM200" i="2"/>
  <c r="Z200" i="2"/>
  <c r="Y200" i="2"/>
  <c r="P200" i="2"/>
  <c r="BO199" i="2"/>
  <c r="BN199" i="2"/>
  <c r="BM199" i="2"/>
  <c r="Z199" i="2"/>
  <c r="Y199" i="2"/>
  <c r="BP199" i="2" s="1"/>
  <c r="P199" i="2"/>
  <c r="BO198" i="2"/>
  <c r="BN198" i="2"/>
  <c r="BM198" i="2"/>
  <c r="Z198" i="2"/>
  <c r="Y198" i="2"/>
  <c r="BP198" i="2" s="1"/>
  <c r="P198" i="2"/>
  <c r="BO197" i="2"/>
  <c r="BM197" i="2"/>
  <c r="Y197" i="2"/>
  <c r="BP197" i="2" s="1"/>
  <c r="P197" i="2"/>
  <c r="BP196" i="2"/>
  <c r="BO196" i="2"/>
  <c r="BM196" i="2"/>
  <c r="Y196" i="2"/>
  <c r="Z196" i="2" s="1"/>
  <c r="P196" i="2"/>
  <c r="X194" i="2"/>
  <c r="X193" i="2"/>
  <c r="BO192" i="2"/>
  <c r="BM192" i="2"/>
  <c r="Y192" i="2"/>
  <c r="Y194" i="2" s="1"/>
  <c r="P192" i="2"/>
  <c r="BP191" i="2"/>
  <c r="BO191" i="2"/>
  <c r="BN191" i="2"/>
  <c r="BM191" i="2"/>
  <c r="Z191" i="2"/>
  <c r="Y191" i="2"/>
  <c r="P191" i="2"/>
  <c r="X189" i="2"/>
  <c r="X188" i="2"/>
  <c r="BO187" i="2"/>
  <c r="BM187" i="2"/>
  <c r="Y187" i="2"/>
  <c r="BP187" i="2" s="1"/>
  <c r="P187" i="2"/>
  <c r="BO186" i="2"/>
  <c r="BM186" i="2"/>
  <c r="Y186" i="2"/>
  <c r="BN186" i="2" s="1"/>
  <c r="P186" i="2"/>
  <c r="X183" i="2"/>
  <c r="X182" i="2"/>
  <c r="BO181" i="2"/>
  <c r="BM181" i="2"/>
  <c r="Y181" i="2"/>
  <c r="Y183" i="2" s="1"/>
  <c r="P181" i="2"/>
  <c r="X179" i="2"/>
  <c r="X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Z169" i="2" s="1"/>
  <c r="P169" i="2"/>
  <c r="BO168" i="2"/>
  <c r="BM168" i="2"/>
  <c r="Y168" i="2"/>
  <c r="BP168" i="2" s="1"/>
  <c r="P168" i="2"/>
  <c r="BP167" i="2"/>
  <c r="BO167" i="2"/>
  <c r="BN167" i="2"/>
  <c r="BM167" i="2"/>
  <c r="Z167" i="2"/>
  <c r="Y167" i="2"/>
  <c r="P167" i="2"/>
  <c r="BO166" i="2"/>
  <c r="BM166" i="2"/>
  <c r="Y166" i="2"/>
  <c r="BP166" i="2" s="1"/>
  <c r="P166" i="2"/>
  <c r="BO165" i="2"/>
  <c r="BN165" i="2"/>
  <c r="BM165" i="2"/>
  <c r="Z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Z163" i="2" s="1"/>
  <c r="P163" i="2"/>
  <c r="BP162" i="2"/>
  <c r="BO162" i="2"/>
  <c r="BM162" i="2"/>
  <c r="Y162" i="2"/>
  <c r="BN162" i="2" s="1"/>
  <c r="P162" i="2"/>
  <c r="X160" i="2"/>
  <c r="X159" i="2"/>
  <c r="BO158" i="2"/>
  <c r="BM158" i="2"/>
  <c r="Y158" i="2"/>
  <c r="I501" i="2" s="1"/>
  <c r="P158" i="2"/>
  <c r="X154" i="2"/>
  <c r="X153" i="2"/>
  <c r="BO152" i="2"/>
  <c r="BM152" i="2"/>
  <c r="Y152" i="2"/>
  <c r="Y154" i="2" s="1"/>
  <c r="P152" i="2"/>
  <c r="X150" i="2"/>
  <c r="X149" i="2"/>
  <c r="BP148" i="2"/>
  <c r="BO148" i="2"/>
  <c r="BM148" i="2"/>
  <c r="Y148" i="2"/>
  <c r="BN148" i="2" s="1"/>
  <c r="P148" i="2"/>
  <c r="BO147" i="2"/>
  <c r="BM147" i="2"/>
  <c r="Z147" i="2"/>
  <c r="Y147" i="2"/>
  <c r="BN147" i="2" s="1"/>
  <c r="P147" i="2"/>
  <c r="BO146" i="2"/>
  <c r="BM146" i="2"/>
  <c r="Y146" i="2"/>
  <c r="BP146" i="2" s="1"/>
  <c r="P146" i="2"/>
  <c r="Y144" i="2"/>
  <c r="X144" i="2"/>
  <c r="X143" i="2"/>
  <c r="BO142" i="2"/>
  <c r="BM142" i="2"/>
  <c r="Y142" i="2"/>
  <c r="P142" i="2"/>
  <c r="BO141" i="2"/>
  <c r="BN141" i="2"/>
  <c r="BM141" i="2"/>
  <c r="Z141" i="2"/>
  <c r="Y141" i="2"/>
  <c r="BP141" i="2" s="1"/>
  <c r="P141" i="2"/>
  <c r="X138" i="2"/>
  <c r="X137" i="2"/>
  <c r="BO136" i="2"/>
  <c r="BM136" i="2"/>
  <c r="Y136" i="2"/>
  <c r="BP136" i="2" s="1"/>
  <c r="P136" i="2"/>
  <c r="BO135" i="2"/>
  <c r="BM135" i="2"/>
  <c r="Y135" i="2"/>
  <c r="BP135" i="2" s="1"/>
  <c r="P135" i="2"/>
  <c r="X133" i="2"/>
  <c r="X132" i="2"/>
  <c r="BP131" i="2"/>
  <c r="BO131" i="2"/>
  <c r="BN131" i="2"/>
  <c r="BM131" i="2"/>
  <c r="Z131" i="2"/>
  <c r="Y131" i="2"/>
  <c r="P131" i="2"/>
  <c r="BO130" i="2"/>
  <c r="BM130" i="2"/>
  <c r="Y130" i="2"/>
  <c r="Y132" i="2" s="1"/>
  <c r="P130" i="2"/>
  <c r="X128" i="2"/>
  <c r="X127" i="2"/>
  <c r="BO126" i="2"/>
  <c r="BM126" i="2"/>
  <c r="Y126" i="2"/>
  <c r="Z126" i="2" s="1"/>
  <c r="P126" i="2"/>
  <c r="BO125" i="2"/>
  <c r="BM125" i="2"/>
  <c r="Y125" i="2"/>
  <c r="G501" i="2" s="1"/>
  <c r="P125" i="2"/>
  <c r="Y122" i="2"/>
  <c r="X122" i="2"/>
  <c r="Y121" i="2"/>
  <c r="X121" i="2"/>
  <c r="BP120" i="2"/>
  <c r="BO120" i="2"/>
  <c r="BN120" i="2"/>
  <c r="BM120" i="2"/>
  <c r="Z120" i="2"/>
  <c r="Z121" i="2" s="1"/>
  <c r="Y120" i="2"/>
  <c r="P120" i="2"/>
  <c r="X118" i="2"/>
  <c r="X117" i="2"/>
  <c r="BO116" i="2"/>
  <c r="BM116" i="2"/>
  <c r="Y116" i="2"/>
  <c r="BP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Y118" i="2" s="1"/>
  <c r="P113" i="2"/>
  <c r="X111" i="2"/>
  <c r="X110" i="2"/>
  <c r="BP109" i="2"/>
  <c r="BO109" i="2"/>
  <c r="BN109" i="2"/>
  <c r="BM109" i="2"/>
  <c r="Z109" i="2"/>
  <c r="Y109" i="2"/>
  <c r="P109" i="2"/>
  <c r="BO108" i="2"/>
  <c r="BM108" i="2"/>
  <c r="Y108" i="2"/>
  <c r="BP108" i="2" s="1"/>
  <c r="P108" i="2"/>
  <c r="BP107" i="2"/>
  <c r="BO107" i="2"/>
  <c r="BN107" i="2"/>
  <c r="BM107" i="2"/>
  <c r="Z107" i="2"/>
  <c r="Y107" i="2"/>
  <c r="P107" i="2"/>
  <c r="X105" i="2"/>
  <c r="X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Z101" i="2"/>
  <c r="Y101" i="2"/>
  <c r="BN101" i="2" s="1"/>
  <c r="P101" i="2"/>
  <c r="BO100" i="2"/>
  <c r="BM100" i="2"/>
  <c r="Y100" i="2"/>
  <c r="F501" i="2" s="1"/>
  <c r="P100" i="2"/>
  <c r="X97" i="2"/>
  <c r="X96" i="2"/>
  <c r="BO95" i="2"/>
  <c r="BM95" i="2"/>
  <c r="Y95" i="2"/>
  <c r="P95" i="2"/>
  <c r="BO94" i="2"/>
  <c r="BN94" i="2"/>
  <c r="BM94" i="2"/>
  <c r="Z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X90" i="2"/>
  <c r="X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E501" i="2" s="1"/>
  <c r="P86" i="2"/>
  <c r="X83" i="2"/>
  <c r="X82" i="2"/>
  <c r="BP81" i="2"/>
  <c r="BO81" i="2"/>
  <c r="BM81" i="2"/>
  <c r="Y81" i="2"/>
  <c r="BN81" i="2" s="1"/>
  <c r="P81" i="2"/>
  <c r="BO80" i="2"/>
  <c r="BM80" i="2"/>
  <c r="Y80" i="2"/>
  <c r="BP80" i="2" s="1"/>
  <c r="P80" i="2"/>
  <c r="X78" i="2"/>
  <c r="X77" i="2"/>
  <c r="BO76" i="2"/>
  <c r="BM76" i="2"/>
  <c r="Y76" i="2"/>
  <c r="Z76" i="2" s="1"/>
  <c r="P76" i="2"/>
  <c r="BP75" i="2"/>
  <c r="BO75" i="2"/>
  <c r="BN75" i="2"/>
  <c r="BM75" i="2"/>
  <c r="Z75" i="2"/>
  <c r="Y75" i="2"/>
  <c r="P75" i="2"/>
  <c r="BO74" i="2"/>
  <c r="BM74" i="2"/>
  <c r="Y74" i="2"/>
  <c r="BP74" i="2" s="1"/>
  <c r="P74" i="2"/>
  <c r="BP73" i="2"/>
  <c r="BO73" i="2"/>
  <c r="BN73" i="2"/>
  <c r="BM73" i="2"/>
  <c r="Z73" i="2"/>
  <c r="Y73" i="2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Z67" i="2"/>
  <c r="Y67" i="2"/>
  <c r="Y70" i="2" s="1"/>
  <c r="P67" i="2"/>
  <c r="X65" i="2"/>
  <c r="X64" i="2"/>
  <c r="BP63" i="2"/>
  <c r="BO63" i="2"/>
  <c r="BN63" i="2"/>
  <c r="BM63" i="2"/>
  <c r="Z63" i="2"/>
  <c r="Y63" i="2"/>
  <c r="P63" i="2"/>
  <c r="BO62" i="2"/>
  <c r="BM62" i="2"/>
  <c r="Y62" i="2"/>
  <c r="P62" i="2"/>
  <c r="BO61" i="2"/>
  <c r="BN61" i="2"/>
  <c r="BM61" i="2"/>
  <c r="Z61" i="2"/>
  <c r="Y61" i="2"/>
  <c r="BP61" i="2" s="1"/>
  <c r="P61" i="2"/>
  <c r="X59" i="2"/>
  <c r="X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Z55" i="2" s="1"/>
  <c r="P55" i="2"/>
  <c r="BO54" i="2"/>
  <c r="BM54" i="2"/>
  <c r="Y54" i="2"/>
  <c r="Z54" i="2" s="1"/>
  <c r="P54" i="2"/>
  <c r="BP53" i="2"/>
  <c r="BO53" i="2"/>
  <c r="BN53" i="2"/>
  <c r="BM53" i="2"/>
  <c r="Z53" i="2"/>
  <c r="Y53" i="2"/>
  <c r="P53" i="2"/>
  <c r="BO52" i="2"/>
  <c r="BM52" i="2"/>
  <c r="Y52" i="2"/>
  <c r="P52" i="2"/>
  <c r="X49" i="2"/>
  <c r="X48" i="2"/>
  <c r="BO47" i="2"/>
  <c r="BM47" i="2"/>
  <c r="Y47" i="2"/>
  <c r="Y49" i="2" s="1"/>
  <c r="P47" i="2"/>
  <c r="X45" i="2"/>
  <c r="X44" i="2"/>
  <c r="BO43" i="2"/>
  <c r="BM43" i="2"/>
  <c r="Y43" i="2"/>
  <c r="BN43" i="2" s="1"/>
  <c r="P43" i="2"/>
  <c r="BP42" i="2"/>
  <c r="BO42" i="2"/>
  <c r="BN42" i="2"/>
  <c r="BM42" i="2"/>
  <c r="Z42" i="2"/>
  <c r="Y42" i="2"/>
  <c r="P42" i="2"/>
  <c r="BO41" i="2"/>
  <c r="BM41" i="2"/>
  <c r="Y41" i="2"/>
  <c r="C501" i="2" s="1"/>
  <c r="P41" i="2"/>
  <c r="Y37" i="2"/>
  <c r="X37" i="2"/>
  <c r="Y36" i="2"/>
  <c r="X36" i="2"/>
  <c r="BO35" i="2"/>
  <c r="BM35" i="2"/>
  <c r="Y35" i="2"/>
  <c r="BP35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491" i="2" s="1"/>
  <c r="X24" i="2"/>
  <c r="BO23" i="2"/>
  <c r="BM23" i="2"/>
  <c r="Y23" i="2"/>
  <c r="BP23" i="2" s="1"/>
  <c r="P23" i="2"/>
  <c r="BO22" i="2"/>
  <c r="X493" i="2" s="1"/>
  <c r="BM22" i="2"/>
  <c r="Y22" i="2"/>
  <c r="Y25" i="2" s="1"/>
  <c r="H10" i="2"/>
  <c r="A9" i="2"/>
  <c r="F10" i="2" s="1"/>
  <c r="D7" i="2"/>
  <c r="Q6" i="2"/>
  <c r="P2" i="2"/>
  <c r="BN54" i="2" l="1"/>
  <c r="BP54" i="2"/>
  <c r="BN55" i="2"/>
  <c r="BP55" i="2"/>
  <c r="Y58" i="2"/>
  <c r="BN87" i="2"/>
  <c r="BP87" i="2"/>
  <c r="BN88" i="2"/>
  <c r="BP88" i="2"/>
  <c r="Y89" i="2"/>
  <c r="Y90" i="2"/>
  <c r="BN92" i="2"/>
  <c r="BP92" i="2"/>
  <c r="BN93" i="2"/>
  <c r="Y97" i="2"/>
  <c r="Y110" i="2"/>
  <c r="Y111" i="2"/>
  <c r="Y128" i="2"/>
  <c r="Y133" i="2"/>
  <c r="Y137" i="2"/>
  <c r="Y149" i="2"/>
  <c r="Y150" i="2"/>
  <c r="BN163" i="2"/>
  <c r="BP163" i="2"/>
  <c r="BN164" i="2"/>
  <c r="Y178" i="2"/>
  <c r="Y179" i="2"/>
  <c r="BP181" i="2"/>
  <c r="Y182" i="2"/>
  <c r="BN192" i="2"/>
  <c r="BP192" i="2"/>
  <c r="Y193" i="2"/>
  <c r="BN197" i="2"/>
  <c r="BN212" i="2"/>
  <c r="BP212" i="2"/>
  <c r="BN228" i="2"/>
  <c r="Y244" i="2"/>
  <c r="BN273" i="2"/>
  <c r="BN280" i="2"/>
  <c r="BP280" i="2"/>
  <c r="Y281" i="2"/>
  <c r="Z292" i="2"/>
  <c r="BP292" i="2"/>
  <c r="BN292" i="2"/>
  <c r="BN302" i="2"/>
  <c r="BP302" i="2"/>
  <c r="BN303" i="2"/>
  <c r="BP303" i="2"/>
  <c r="BP308" i="2"/>
  <c r="BN308" i="2"/>
  <c r="Z308" i="2"/>
  <c r="BP309" i="2"/>
  <c r="BN309" i="2"/>
  <c r="Z309" i="2"/>
  <c r="BP310" i="2"/>
  <c r="BN310" i="2"/>
  <c r="Z310" i="2"/>
  <c r="BN323" i="2"/>
  <c r="BP323" i="2"/>
  <c r="BN324" i="2"/>
  <c r="BP324" i="2"/>
  <c r="Y331" i="2"/>
  <c r="BP328" i="2"/>
  <c r="BN347" i="2"/>
  <c r="BP347" i="2"/>
  <c r="BN348" i="2"/>
  <c r="BP348" i="2"/>
  <c r="BP353" i="2"/>
  <c r="BN353" i="2"/>
  <c r="Z353" i="2"/>
  <c r="Z355" i="2" s="1"/>
  <c r="Y355" i="2"/>
  <c r="BN354" i="2"/>
  <c r="Z354" i="2"/>
  <c r="Y356" i="2"/>
  <c r="BN358" i="2"/>
  <c r="BP358" i="2"/>
  <c r="BN359" i="2"/>
  <c r="Z359" i="2"/>
  <c r="Z360" i="2" s="1"/>
  <c r="Z381" i="2"/>
  <c r="BP379" i="2"/>
  <c r="BN379" i="2"/>
  <c r="Z379" i="2"/>
  <c r="BP391" i="2"/>
  <c r="BN391" i="2"/>
  <c r="Z391" i="2"/>
  <c r="BN398" i="2"/>
  <c r="BP398" i="2"/>
  <c r="BP429" i="2"/>
  <c r="BN429" i="2"/>
  <c r="Z429" i="2"/>
  <c r="BN430" i="2"/>
  <c r="BN433" i="2"/>
  <c r="BP439" i="2"/>
  <c r="Z439" i="2"/>
  <c r="Z447" i="2"/>
  <c r="BP447" i="2"/>
  <c r="X492" i="2"/>
  <c r="X495" i="2"/>
  <c r="Z28" i="2"/>
  <c r="BN28" i="2"/>
  <c r="BN29" i="2"/>
  <c r="BP29" i="2"/>
  <c r="BN30" i="2"/>
  <c r="BP30" i="2"/>
  <c r="BN35" i="2"/>
  <c r="Z41" i="2"/>
  <c r="BN41" i="2"/>
  <c r="BP41" i="2"/>
  <c r="BP43" i="2"/>
  <c r="D501" i="2"/>
  <c r="Y64" i="2"/>
  <c r="Y65" i="2"/>
  <c r="BP67" i="2"/>
  <c r="BN69" i="2"/>
  <c r="BP69" i="2"/>
  <c r="Z74" i="2"/>
  <c r="Z77" i="2" s="1"/>
  <c r="BN74" i="2"/>
  <c r="BP76" i="2"/>
  <c r="Z86" i="2"/>
  <c r="BN86" i="2"/>
  <c r="Y96" i="2"/>
  <c r="Z100" i="2"/>
  <c r="BN100" i="2"/>
  <c r="BP100" i="2"/>
  <c r="BP101" i="2"/>
  <c r="BN103" i="2"/>
  <c r="BP103" i="2"/>
  <c r="Z108" i="2"/>
  <c r="Z110" i="2" s="1"/>
  <c r="BN108" i="2"/>
  <c r="BP115" i="2"/>
  <c r="BP125" i="2"/>
  <c r="BN126" i="2"/>
  <c r="BP126" i="2"/>
  <c r="Z130" i="2"/>
  <c r="Z132" i="2" s="1"/>
  <c r="BN130" i="2"/>
  <c r="BP130" i="2"/>
  <c r="Y143" i="2"/>
  <c r="Z146" i="2"/>
  <c r="BN146" i="2"/>
  <c r="BP147" i="2"/>
  <c r="Z158" i="2"/>
  <c r="Z159" i="2" s="1"/>
  <c r="BN158" i="2"/>
  <c r="BP158" i="2"/>
  <c r="Y159" i="2"/>
  <c r="Y160" i="2"/>
  <c r="Z168" i="2"/>
  <c r="BN168" i="2"/>
  <c r="BN169" i="2"/>
  <c r="BP169" i="2"/>
  <c r="Y172" i="2"/>
  <c r="Z175" i="2"/>
  <c r="BN175" i="2"/>
  <c r="Z177" i="2"/>
  <c r="BN177" i="2"/>
  <c r="Z181" i="2"/>
  <c r="Z182" i="2" s="1"/>
  <c r="Z201" i="2"/>
  <c r="BN201" i="2"/>
  <c r="BN202" i="2"/>
  <c r="BP202" i="2"/>
  <c r="Y217" i="2"/>
  <c r="BN207" i="2"/>
  <c r="Z208" i="2"/>
  <c r="BN208" i="2"/>
  <c r="Z209" i="2"/>
  <c r="BN209" i="2"/>
  <c r="Z210" i="2"/>
  <c r="BN210" i="2"/>
  <c r="Z219" i="2"/>
  <c r="BN219" i="2"/>
  <c r="Z220" i="2"/>
  <c r="BN220" i="2"/>
  <c r="Y222" i="2"/>
  <c r="BP225" i="2"/>
  <c r="Z232" i="2"/>
  <c r="BN232" i="2"/>
  <c r="BN233" i="2"/>
  <c r="BP233" i="2"/>
  <c r="BN238" i="2"/>
  <c r="Z242" i="2"/>
  <c r="Z243" i="2" s="1"/>
  <c r="BN242" i="2"/>
  <c r="BP242" i="2"/>
  <c r="BP249" i="2"/>
  <c r="Z255" i="2"/>
  <c r="BN255" i="2"/>
  <c r="BP255" i="2"/>
  <c r="Y260" i="2"/>
  <c r="BN256" i="2"/>
  <c r="BP256" i="2"/>
  <c r="Y269" i="2"/>
  <c r="Z266" i="2"/>
  <c r="Z268" i="2" s="1"/>
  <c r="BN266" i="2"/>
  <c r="BN267" i="2"/>
  <c r="BP267" i="2"/>
  <c r="Y268" i="2"/>
  <c r="P501" i="2"/>
  <c r="Z290" i="2"/>
  <c r="BN290" i="2"/>
  <c r="BP290" i="2"/>
  <c r="Y306" i="2"/>
  <c r="Y305" i="2"/>
  <c r="BN299" i="2"/>
  <c r="Z299" i="2"/>
  <c r="BP300" i="2"/>
  <c r="BN300" i="2"/>
  <c r="Z300" i="2"/>
  <c r="Y312" i="2"/>
  <c r="Y313" i="2"/>
  <c r="Y325" i="2"/>
  <c r="BP321" i="2"/>
  <c r="BN321" i="2"/>
  <c r="Z321" i="2"/>
  <c r="Y339" i="2"/>
  <c r="Y338" i="2"/>
  <c r="BN335" i="2"/>
  <c r="BP335" i="2"/>
  <c r="BN336" i="2"/>
  <c r="BP336" i="2"/>
  <c r="BP343" i="2"/>
  <c r="Y350" i="2"/>
  <c r="BN343" i="2"/>
  <c r="Z343" i="2"/>
  <c r="BP344" i="2"/>
  <c r="BN344" i="2"/>
  <c r="Z344" i="2"/>
  <c r="BP345" i="2"/>
  <c r="BN345" i="2"/>
  <c r="Z345" i="2"/>
  <c r="BP359" i="2"/>
  <c r="Y360" i="2"/>
  <c r="BP369" i="2"/>
  <c r="BN369" i="2"/>
  <c r="Z369" i="2"/>
  <c r="Z370" i="2" s="1"/>
  <c r="Y381" i="2"/>
  <c r="Y382" i="2"/>
  <c r="U501" i="2"/>
  <c r="BN388" i="2"/>
  <c r="BP388" i="2"/>
  <c r="BN393" i="2"/>
  <c r="BP393" i="2"/>
  <c r="BN394" i="2"/>
  <c r="Z394" i="2"/>
  <c r="BP411" i="2"/>
  <c r="BN411" i="2"/>
  <c r="Z411" i="2"/>
  <c r="W501" i="2"/>
  <c r="Y418" i="2"/>
  <c r="Y417" i="2"/>
  <c r="BP416" i="2"/>
  <c r="BN416" i="2"/>
  <c r="Z416" i="2"/>
  <c r="Z417" i="2" s="1"/>
  <c r="BN424" i="2"/>
  <c r="BP424" i="2"/>
  <c r="BP425" i="2"/>
  <c r="BN425" i="2"/>
  <c r="Z425" i="2"/>
  <c r="BP444" i="2"/>
  <c r="BN444" i="2"/>
  <c r="Z444" i="2"/>
  <c r="Z455" i="2"/>
  <c r="BN461" i="2"/>
  <c r="BP461" i="2"/>
  <c r="BN468" i="2"/>
  <c r="BP468" i="2"/>
  <c r="BP473" i="2"/>
  <c r="Z473" i="2"/>
  <c r="Y326" i="2"/>
  <c r="T501" i="2"/>
  <c r="Y370" i="2"/>
  <c r="Y371" i="2"/>
  <c r="Y401" i="2"/>
  <c r="V501" i="2"/>
  <c r="X501" i="2"/>
  <c r="BN422" i="2"/>
  <c r="Y450" i="2"/>
  <c r="BP452" i="2"/>
  <c r="BP453" i="2"/>
  <c r="Y471" i="2"/>
  <c r="BN467" i="2"/>
  <c r="Y470" i="2"/>
  <c r="Y475" i="2"/>
  <c r="Z89" i="2"/>
  <c r="X494" i="2"/>
  <c r="Y204" i="2"/>
  <c r="Y235" i="2"/>
  <c r="BP478" i="2"/>
  <c r="Y490" i="2"/>
  <c r="H501" i="2"/>
  <c r="BP186" i="2"/>
  <c r="BN196" i="2"/>
  <c r="Z214" i="2"/>
  <c r="BN227" i="2"/>
  <c r="Z247" i="2"/>
  <c r="Z258" i="2"/>
  <c r="BN272" i="2"/>
  <c r="Y275" i="2"/>
  <c r="Z294" i="2"/>
  <c r="Z304" i="2"/>
  <c r="BN316" i="2"/>
  <c r="Z337" i="2"/>
  <c r="Z349" i="2"/>
  <c r="BN374" i="2"/>
  <c r="Z386" i="2"/>
  <c r="BN409" i="2"/>
  <c r="Y412" i="2"/>
  <c r="Z422" i="2"/>
  <c r="BN427" i="2"/>
  <c r="BN437" i="2"/>
  <c r="Y440" i="2"/>
  <c r="BN447" i="2"/>
  <c r="Z469" i="2"/>
  <c r="BP483" i="2"/>
  <c r="Z113" i="2"/>
  <c r="Z136" i="2"/>
  <c r="Z171" i="2"/>
  <c r="Z27" i="2"/>
  <c r="Z32" i="2" s="1"/>
  <c r="Y44" i="2"/>
  <c r="Z52" i="2"/>
  <c r="Z62" i="2"/>
  <c r="Z64" i="2" s="1"/>
  <c r="Y77" i="2"/>
  <c r="Z95" i="2"/>
  <c r="Z142" i="2"/>
  <c r="Z143" i="2" s="1"/>
  <c r="Z166" i="2"/>
  <c r="Z176" i="2"/>
  <c r="Z178" i="2" s="1"/>
  <c r="Y332" i="2"/>
  <c r="Z430" i="2"/>
  <c r="BN452" i="2"/>
  <c r="Y455" i="2"/>
  <c r="Y465" i="2"/>
  <c r="Z474" i="2"/>
  <c r="Z475" i="2" s="1"/>
  <c r="Y479" i="2"/>
  <c r="J501" i="2"/>
  <c r="BN23" i="2"/>
  <c r="Y32" i="2"/>
  <c r="Z57" i="2"/>
  <c r="BN113" i="2"/>
  <c r="BN171" i="2"/>
  <c r="Y205" i="2"/>
  <c r="BN214" i="2"/>
  <c r="Y236" i="2"/>
  <c r="BN247" i="2"/>
  <c r="BN258" i="2"/>
  <c r="BP272" i="2"/>
  <c r="Y286" i="2"/>
  <c r="BN294" i="2"/>
  <c r="BN304" i="2"/>
  <c r="BP316" i="2"/>
  <c r="Z324" i="2"/>
  <c r="Z325" i="2" s="1"/>
  <c r="BN337" i="2"/>
  <c r="BN349" i="2"/>
  <c r="BP374" i="2"/>
  <c r="BN386" i="2"/>
  <c r="BP409" i="2"/>
  <c r="BN469" i="2"/>
  <c r="Y484" i="2"/>
  <c r="K501" i="2"/>
  <c r="Y82" i="2"/>
  <c r="BN136" i="2"/>
  <c r="BN52" i="2"/>
  <c r="BN62" i="2"/>
  <c r="BN95" i="2"/>
  <c r="Z116" i="2"/>
  <c r="BN142" i="2"/>
  <c r="Z152" i="2"/>
  <c r="Z153" i="2" s="1"/>
  <c r="BN166" i="2"/>
  <c r="BN176" i="2"/>
  <c r="Z187" i="2"/>
  <c r="Y276" i="2"/>
  <c r="Z329" i="2"/>
  <c r="Z389" i="2"/>
  <c r="Z399" i="2"/>
  <c r="Y413" i="2"/>
  <c r="Y441" i="2"/>
  <c r="Z462" i="2"/>
  <c r="BN474" i="2"/>
  <c r="L501" i="2"/>
  <c r="Z22" i="2"/>
  <c r="BN22" i="2"/>
  <c r="Y33" i="2"/>
  <c r="BN57" i="2"/>
  <c r="BN27" i="2"/>
  <c r="BP22" i="2"/>
  <c r="Y45" i="2"/>
  <c r="BN67" i="2"/>
  <c r="Y78" i="2"/>
  <c r="Y104" i="2"/>
  <c r="BP113" i="2"/>
  <c r="Y127" i="2"/>
  <c r="BN181" i="2"/>
  <c r="Z192" i="2"/>
  <c r="Z193" i="2" s="1"/>
  <c r="Z256" i="2"/>
  <c r="Y282" i="2"/>
  <c r="Z335" i="2"/>
  <c r="Y375" i="2"/>
  <c r="BP386" i="2"/>
  <c r="BP422" i="2"/>
  <c r="Z433" i="2"/>
  <c r="Z467" i="2"/>
  <c r="M501" i="2"/>
  <c r="Z35" i="2"/>
  <c r="Z36" i="2" s="1"/>
  <c r="BP52" i="2"/>
  <c r="BP62" i="2"/>
  <c r="Y83" i="2"/>
  <c r="Z93" i="2"/>
  <c r="Z96" i="2" s="1"/>
  <c r="BP95" i="2"/>
  <c r="BN116" i="2"/>
  <c r="BP142" i="2"/>
  <c r="BN152" i="2"/>
  <c r="Z164" i="2"/>
  <c r="BP176" i="2"/>
  <c r="BN187" i="2"/>
  <c r="Z197" i="2"/>
  <c r="Z207" i="2"/>
  <c r="BP219" i="2"/>
  <c r="Z228" i="2"/>
  <c r="Z238" i="2"/>
  <c r="Z239" i="2" s="1"/>
  <c r="BN250" i="2"/>
  <c r="BP264" i="2"/>
  <c r="Z273" i="2"/>
  <c r="Z275" i="2" s="1"/>
  <c r="Y287" i="2"/>
  <c r="BP299" i="2"/>
  <c r="Z317" i="2"/>
  <c r="BN329" i="2"/>
  <c r="BP354" i="2"/>
  <c r="Y365" i="2"/>
  <c r="BN389" i="2"/>
  <c r="BN399" i="2"/>
  <c r="Z410" i="2"/>
  <c r="Z428" i="2"/>
  <c r="Z438" i="2"/>
  <c r="Z440" i="2" s="1"/>
  <c r="Z448" i="2"/>
  <c r="BN462" i="2"/>
  <c r="BP474" i="2"/>
  <c r="Y485" i="2"/>
  <c r="O501" i="2"/>
  <c r="Z23" i="2"/>
  <c r="Z47" i="2"/>
  <c r="Z48" i="2" s="1"/>
  <c r="Y71" i="2"/>
  <c r="Z80" i="2"/>
  <c r="Y105" i="2"/>
  <c r="Z114" i="2"/>
  <c r="BP152" i="2"/>
  <c r="Z215" i="2"/>
  <c r="Z248" i="2"/>
  <c r="Z259" i="2"/>
  <c r="Z284" i="2"/>
  <c r="Z295" i="2"/>
  <c r="BN317" i="2"/>
  <c r="Y376" i="2"/>
  <c r="Z387" i="2"/>
  <c r="BP399" i="2"/>
  <c r="BN410" i="2"/>
  <c r="BN428" i="2"/>
  <c r="BN438" i="2"/>
  <c r="BN448" i="2"/>
  <c r="Z460" i="2"/>
  <c r="Z482" i="2"/>
  <c r="Q501" i="2"/>
  <c r="Y395" i="2"/>
  <c r="BP467" i="2"/>
  <c r="Z488" i="2"/>
  <c r="Z489" i="2" s="1"/>
  <c r="R501" i="2"/>
  <c r="BN47" i="2"/>
  <c r="Y59" i="2"/>
  <c r="Z68" i="2"/>
  <c r="Z70" i="2" s="1"/>
  <c r="BN80" i="2"/>
  <c r="Z102" i="2"/>
  <c r="Z104" i="2" s="1"/>
  <c r="BN114" i="2"/>
  <c r="Y117" i="2"/>
  <c r="Z125" i="2"/>
  <c r="Z127" i="2" s="1"/>
  <c r="Y138" i="2"/>
  <c r="Z148" i="2"/>
  <c r="Z149" i="2" s="1"/>
  <c r="Y153" i="2"/>
  <c r="Z162" i="2"/>
  <c r="Y173" i="2"/>
  <c r="Y188" i="2"/>
  <c r="BP207" i="2"/>
  <c r="BN215" i="2"/>
  <c r="Z226" i="2"/>
  <c r="BP238" i="2"/>
  <c r="BN248" i="2"/>
  <c r="Y251" i="2"/>
  <c r="BN259" i="2"/>
  <c r="BN284" i="2"/>
  <c r="BN295" i="2"/>
  <c r="Z315" i="2"/>
  <c r="Y351" i="2"/>
  <c r="Z373" i="2"/>
  <c r="Z375" i="2" s="1"/>
  <c r="BN387" i="2"/>
  <c r="Y400" i="2"/>
  <c r="Z408" i="2"/>
  <c r="Z412" i="2" s="1"/>
  <c r="Z426" i="2"/>
  <c r="Z446" i="2"/>
  <c r="Z449" i="2" s="1"/>
  <c r="BN460" i="2"/>
  <c r="BN482" i="2"/>
  <c r="S501" i="2"/>
  <c r="Y434" i="2"/>
  <c r="Y476" i="2"/>
  <c r="BN488" i="2"/>
  <c r="BP47" i="2"/>
  <c r="Z56" i="2"/>
  <c r="BN68" i="2"/>
  <c r="BN102" i="2"/>
  <c r="BN125" i="2"/>
  <c r="Z135" i="2"/>
  <c r="Z170" i="2"/>
  <c r="Z203" i="2"/>
  <c r="Z213" i="2"/>
  <c r="BN226" i="2"/>
  <c r="Z234" i="2"/>
  <c r="Y239" i="2"/>
  <c r="Z246" i="2"/>
  <c r="Z257" i="2"/>
  <c r="Z293" i="2"/>
  <c r="Z296" i="2" s="1"/>
  <c r="Z303" i="2"/>
  <c r="BN315" i="2"/>
  <c r="Y318" i="2"/>
  <c r="Z336" i="2"/>
  <c r="Z348" i="2"/>
  <c r="Z350" i="2" s="1"/>
  <c r="Y361" i="2"/>
  <c r="BN373" i="2"/>
  <c r="Y396" i="2"/>
  <c r="BN408" i="2"/>
  <c r="BN426" i="2"/>
  <c r="BN446" i="2"/>
  <c r="Y449" i="2"/>
  <c r="BP460" i="2"/>
  <c r="Z468" i="2"/>
  <c r="B501" i="2"/>
  <c r="F9" i="2"/>
  <c r="BP86" i="2"/>
  <c r="Y189" i="2"/>
  <c r="Y252" i="2"/>
  <c r="BP488" i="2"/>
  <c r="BN203" i="2"/>
  <c r="BN213" i="2"/>
  <c r="Y216" i="2"/>
  <c r="BN234" i="2"/>
  <c r="BN246" i="2"/>
  <c r="BN257" i="2"/>
  <c r="Y296" i="2"/>
  <c r="BP315" i="2"/>
  <c r="Y435" i="2"/>
  <c r="Z115" i="2"/>
  <c r="Z186" i="2"/>
  <c r="Z249" i="2"/>
  <c r="Z285" i="2"/>
  <c r="Z328" i="2"/>
  <c r="Z331" i="2" s="1"/>
  <c r="Z363" i="2"/>
  <c r="Z364" i="2" s="1"/>
  <c r="Z388" i="2"/>
  <c r="Z398" i="2"/>
  <c r="Z400" i="2" s="1"/>
  <c r="BN439" i="2"/>
  <c r="Z461" i="2"/>
  <c r="BN473" i="2"/>
  <c r="Z483" i="2"/>
  <c r="Y489" i="2"/>
  <c r="BN31" i="2"/>
  <c r="Z43" i="2"/>
  <c r="Z44" i="2" s="1"/>
  <c r="Z81" i="2"/>
  <c r="BP31" i="2"/>
  <c r="BN76" i="2"/>
  <c r="BP170" i="2"/>
  <c r="Y501" i="2"/>
  <c r="H9" i="2"/>
  <c r="J9" i="2"/>
  <c r="Y24" i="2"/>
  <c r="Y48" i="2"/>
  <c r="BN56" i="2"/>
  <c r="BN135" i="2"/>
  <c r="A10" i="2"/>
  <c r="BN328" i="2"/>
  <c r="Z251" i="2" l="1"/>
  <c r="Z172" i="2"/>
  <c r="Z464" i="2"/>
  <c r="Z204" i="2"/>
  <c r="Z305" i="2"/>
  <c r="Z221" i="2"/>
  <c r="Z312" i="2"/>
  <c r="Z484" i="2"/>
  <c r="Z82" i="2"/>
  <c r="Z235" i="2"/>
  <c r="Z338" i="2"/>
  <c r="Z260" i="2"/>
  <c r="Y491" i="2"/>
  <c r="Z117" i="2"/>
  <c r="Y493" i="2"/>
  <c r="Z188" i="2"/>
  <c r="Z470" i="2"/>
  <c r="Z137" i="2"/>
  <c r="Z318" i="2"/>
  <c r="Y492" i="2"/>
  <c r="Y494" i="2" s="1"/>
  <c r="Z434" i="2"/>
  <c r="Z24" i="2"/>
  <c r="Z395" i="2"/>
  <c r="Z286" i="2"/>
  <c r="Y495" i="2"/>
  <c r="Z216" i="2"/>
  <c r="Z58" i="2"/>
  <c r="Z496" i="2" l="1"/>
</calcChain>
</file>

<file path=xl/sharedStrings.xml><?xml version="1.0" encoding="utf-8"?>
<sst xmlns="http://schemas.openxmlformats.org/spreadsheetml/2006/main" count="3609" uniqueCount="769">
  <si>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</si>
  <si>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</si>
  <si>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</si>
  <si>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</si>
  <si>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</si>
  <si>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</si>
  <si>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</si>
  <si>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</si>
  <si>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</si>
  <si>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</si>
  <si>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</si>
  <si>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</si>
  <si>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</si>
  <si>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</si>
  <si>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</si>
  <si>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</si>
  <si>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</si>
  <si>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</si>
  <si>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</si>
  <si>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</si>
  <si>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</si>
  <si>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</si>
  <si>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</si>
  <si>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</si>
  <si>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</si>
  <si>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</si>
  <si>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</si>
  <si>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</si>
  <si>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</si>
  <si>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</si>
  <si>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</si>
  <si>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</si>
  <si>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</si>
  <si>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</si>
  <si>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</si>
  <si>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</si>
  <si>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</si>
  <si>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</si>
  <si>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</si>
  <si>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</si>
  <si>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</si>
  <si>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</si>
  <si>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</si>
  <si>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</si>
  <si>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</si>
  <si>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</si>
  <si>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</si>
  <si>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</si>
  <si>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</si>
  <si>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</si>
  <si>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</si>
  <si>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</si>
  <si>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</si>
  <si>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</si>
  <si>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</si>
  <si>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</si>
  <si>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</si>
  <si>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</si>
  <si>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</si>
  <si>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</si>
  <si>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</si>
  <si>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</si>
  <si>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</si>
  <si>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</si>
  <si>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</si>
  <si>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</si>
  <si>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</si>
  <si>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08.12.2025</t>
  </si>
  <si>
    <t>03.12.2025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</si>
  <si>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</si>
  <si>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</si>
  <si>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</si>
  <si>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</si>
  <si>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</si>
  <si>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</si>
  <si>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</si>
  <si>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</si>
  <si>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</si>
  <si>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Копченые колбасы</t>
  </si>
  <si>
    <t>SU004004</t>
  </si>
  <si>
    <t>P005154</t>
  </si>
  <si>
    <t>Копченые колбасы «Колбаски Мини-колбаски со вкусом Мясо на углях» Фикс.вес 0,2 б/о ТМ «Ядрена копоть»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</si>
  <si>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</si>
  <si>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</si>
  <si>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</si>
  <si>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</si>
  <si>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</si>
  <si>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</si>
  <si>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</si>
  <si>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</si>
  <si>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</si>
  <si>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</si>
  <si>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</si>
  <si>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</si>
  <si>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</si>
  <si>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</si>
  <si>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</si>
  <si>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</si>
  <si>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</si>
  <si>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</si>
  <si>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</si>
  <si>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</si>
  <si>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</si>
  <si>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</si>
  <si>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Короб, мин. 14</t>
  </si>
  <si>
    <t>Короб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</si>
  <si>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</si>
  <si>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</si>
  <si>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</si>
  <si>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</si>
  <si>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</si>
  <si>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</si>
  <si>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</si>
  <si>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</si>
  <si>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</si>
  <si>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</si>
  <si>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</si>
  <si>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</si>
  <si>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</si>
  <si>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</si>
  <si>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</si>
  <si>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</si>
  <si>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</si>
  <si>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</si>
  <si>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</si>
  <si>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</si>
  <si>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</si>
  <si>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</si>
  <si>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</si>
  <si>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</si>
  <si>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</si>
  <si>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</si>
  <si>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</si>
  <si>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</si>
  <si>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</si>
  <si>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</si>
  <si>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</si>
  <si>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</si>
  <si>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</si>
  <si>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</si>
  <si>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</si>
  <si>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</si>
  <si>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</si>
  <si>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</si>
  <si>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</si>
  <si>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</si>
  <si>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</si>
  <si>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</si>
  <si>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</si>
  <si>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</si>
  <si>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</si>
  <si>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</si>
  <si>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</si>
  <si>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</si>
  <si>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</si>
  <si>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</si>
  <si>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</si>
  <si>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</si>
  <si>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</si>
  <si>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</si>
  <si>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</si>
  <si>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</si>
  <si>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</si>
  <si>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</si>
  <si>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</si>
  <si>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</si>
  <si>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</si>
  <si>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</si>
  <si>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</si>
  <si>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</si>
  <si>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</si>
  <si>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</si>
  <si>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</si>
  <si>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</si>
  <si>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</si>
  <si>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</si>
  <si>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</si>
  <si>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</si>
  <si>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</si>
  <si>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</si>
  <si>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</si>
  <si>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</si>
  <si>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</si>
  <si>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</si>
  <si>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</si>
  <si>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</si>
  <si>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</si>
  <si>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</si>
  <si>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</si>
  <si>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</si>
  <si>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</si>
  <si>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</si>
  <si>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</si>
  <si>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</si>
  <si>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</si>
  <si>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</si>
  <si>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</si>
  <si>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</si>
  <si>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</si>
  <si>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</si>
  <si>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</si>
  <si>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</si>
  <si>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</si>
  <si>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</si>
  <si>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</si>
  <si>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</si>
  <si>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</si>
  <si>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</si>
  <si>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</si>
  <si>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</si>
  <si>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</si>
  <si>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</si>
  <si>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</si>
  <si>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</si>
  <si>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</si>
  <si>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</si>
  <si>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</si>
  <si>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</si>
  <si>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</si>
  <si>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</si>
  <si>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</si>
  <si>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</si>
  <si>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</si>
  <si>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</si>
  <si>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</si>
  <si>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</si>
  <si>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</si>
  <si>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</si>
  <si>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</si>
  <si>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</si>
  <si>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</si>
  <si>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</si>
  <si>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</si>
  <si>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</si>
  <si>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</si>
  <si>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</si>
  <si>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</si>
  <si>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</si>
  <si>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</si>
  <si>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</si>
  <si>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</si>
  <si>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</si>
  <si>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</si>
  <si>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</si>
  <si>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</si>
  <si>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</si>
  <si>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</si>
  <si>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</si>
  <si>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</si>
  <si>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</si>
  <si>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</si>
  <si>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</si>
  <si>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</si>
  <si>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</si>
  <si>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</si>
  <si>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</si>
  <si>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</si>
  <si>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</si>
  <si>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</si>
  <si>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</si>
  <si>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</si>
  <si>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</si>
  <si>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</si>
  <si>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</si>
  <si>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</si>
  <si>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</si>
  <si>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</si>
  <si>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</si>
  <si>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</si>
  <si>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</si>
  <si>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</si>
  <si>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</si>
  <si>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</si>
  <si>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</si>
  <si>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</si>
  <si>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</si>
  <si>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</si>
  <si>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</si>
  <si>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</si>
  <si>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</si>
  <si>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</si>
  <si>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</si>
  <si>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</si>
  <si>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</si>
  <si>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</si>
  <si>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</si>
  <si>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</si>
  <si>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</si>
  <si>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</si>
  <si>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</si>
  <si>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</si>
  <si>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</si>
  <si>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</si>
  <si>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</si>
  <si>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</si>
  <si>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</si>
  <si>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</si>
  <si>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</si>
  <si>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</si>
  <si>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</si>
  <si>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</si>
  <si>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</si>
  <si>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</si>
  <si>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</si>
  <si>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</si>
  <si>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</si>
  <si>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</si>
  <si>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</si>
  <si>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</si>
  <si>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</si>
  <si>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</si>
  <si>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</si>
  <si>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</si>
  <si>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</si>
  <si>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</si>
  <si>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</si>
  <si>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</si>
  <si>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</si>
  <si>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</si>
  <si>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</si>
  <si>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</si>
  <si>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</si>
  <si>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</si>
  <si>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</si>
  <si>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</si>
  <si>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</si>
  <si>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</si>
  <si>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</si>
  <si>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</si>
  <si>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</si>
  <si>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</si>
  <si>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</si>
  <si>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</si>
  <si>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</si>
  <si>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</si>
  <si>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</si>
  <si>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</si>
  <si>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</si>
  <si>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</si>
  <si>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</si>
  <si>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</si>
  <si>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</si>
  <si>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</si>
  <si>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</si>
  <si>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</si>
  <si>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</si>
  <si>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</si>
  <si>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</si>
  <si>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</si>
  <si>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</si>
  <si>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</si>
  <si>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</si>
  <si>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</si>
  <si>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</si>
  <si>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</si>
  <si>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</si>
  <si>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</si>
  <si>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</si>
  <si>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</si>
  <si>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</si>
  <si>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</si>
  <si>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</si>
  <si>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</si>
  <si>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</si>
  <si>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</si>
  <si>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</si>
  <si>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</si>
  <si>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</si>
  <si>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</si>
  <si>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</si>
  <si>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</si>
  <si>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</si>
  <si>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</si>
  <si>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</si>
  <si>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</si>
  <si>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</si>
  <si>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</si>
  <si>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</si>
  <si>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</si>
  <si>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</si>
  <si>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</si>
  <si>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</si>
  <si>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</si>
  <si>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</si>
  <si>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</si>
  <si>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</si>
  <si>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</si>
  <si>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</si>
  <si>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</si>
  <si>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</si>
  <si>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</si>
  <si>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</si>
  <si>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</si>
  <si>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</si>
  <si>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</si>
  <si>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</si>
  <si>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</si>
  <si>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</si>
  <si>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</si>
  <si>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</si>
  <si>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</si>
  <si>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</si>
  <si>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</si>
  <si>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</si>
  <si>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</si>
  <si>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</si>
  <si>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</si>
  <si>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</si>
  <si>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</si>
  <si>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</si>
  <si>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</si>
  <si>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</si>
  <si>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</si>
  <si>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</si>
  <si>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</si>
  <si>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</si>
  <si>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</si>
  <si>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</si>
  <si>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</si>
  <si>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</si>
  <si>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</si>
  <si>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</si>
  <si>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</si>
  <si>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</si>
  <si>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</si>
  <si>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</si>
  <si>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</si>
  <si>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</si>
  <si>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</si>
  <si>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</si>
  <si>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</si>
  <si>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</si>
  <si>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</si>
  <si>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</si>
  <si>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</si>
  <si>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</si>
  <si>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</si>
  <si>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</si>
  <si>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</si>
  <si>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</si>
  <si>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</si>
  <si>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</si>
  <si>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</si>
  <si>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</si>
  <si>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</si>
  <si>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</si>
  <si>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</si>
  <si>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</si>
  <si>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</si>
  <si>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</si>
  <si>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</si>
  <si>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</si>
  <si>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</si>
  <si>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</si>
  <si>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</si>
  <si>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</si>
  <si>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</si>
  <si>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</si>
  <si>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</si>
  <si>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</si>
  <si>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</si>
  <si>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</si>
  <si>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</si>
  <si>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</si>
  <si>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</si>
  <si>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</si>
  <si>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</si>
  <si>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</si>
  <si>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</si>
  <si>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</si>
  <si>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</si>
  <si>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</si>
  <si>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</si>
  <si>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</si>
  <si>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</si>
  <si>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</si>
  <si>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</si>
  <si>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</si>
  <si>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</si>
  <si>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</si>
  <si>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</si>
  <si>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</si>
  <si>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</si>
  <si>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</si>
  <si>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</si>
  <si>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</si>
  <si>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</si>
  <si>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</si>
  <si>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</si>
  <si>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</si>
  <si>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</si>
  <si>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</si>
  <si>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</si>
  <si>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</si>
  <si>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</si>
  <si>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</si>
  <si>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</si>
  <si>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</si>
  <si>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</si>
  <si>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</si>
  <si>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</si>
  <si>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</si>
  <si>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</si>
  <si>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</si>
  <si>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</si>
  <si>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</si>
  <si>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</si>
  <si>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</si>
  <si>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</si>
  <si>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</si>
  <si>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</si>
  <si>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</si>
  <si>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</si>
  <si>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</si>
  <si>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</si>
  <si>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</si>
  <si>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</si>
  <si>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</si>
  <si>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</si>
  <si>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</si>
  <si>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</si>
  <si>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</si>
  <si>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</si>
  <si>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</si>
  <si>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</si>
  <si>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</si>
  <si>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</si>
  <si>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</si>
  <si>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</si>
  <si>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</si>
  <si>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</si>
  <si>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</si>
  <si>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</si>
  <si>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</si>
  <si>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</si>
  <si>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</si>
  <si>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</si>
  <si>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</si>
  <si>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</si>
  <si>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</si>
  <si>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</si>
  <si>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</si>
  <si>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</si>
  <si>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</si>
  <si>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</si>
  <si>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</si>
  <si>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</si>
  <si>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</si>
  <si>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</si>
  <si>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</si>
  <si>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</si>
  <si>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</si>
  <si>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</si>
  <si>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</si>
  <si>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</si>
  <si>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</si>
  <si>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</si>
  <si>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</si>
  <si>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</si>
  <si>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</si>
  <si>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</si>
  <si>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</si>
  <si>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</si>
  <si>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</si>
  <si>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</si>
  <si>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</si>
  <si>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</si>
  <si>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</si>
  <si>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</si>
  <si>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</si>
  <si>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</si>
  <si>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</si>
  <si>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</si>
  <si>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</si>
  <si>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</si>
  <si>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</si>
  <si>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</si>
  <si>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</si>
  <si>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</si>
  <si>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</si>
  <si>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</si>
  <si>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</si>
  <si>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</si>
  <si>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</si>
  <si>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</si>
  <si>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</si>
  <si>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</si>
  <si>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</si>
  <si>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</si>
  <si>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</si>
  <si>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</si>
  <si>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</si>
  <si>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</si>
  <si>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</si>
  <si>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</si>
  <si>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</si>
  <si>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</si>
  <si>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</si>
  <si>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</si>
  <si>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</si>
  <si>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</si>
  <si>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</si>
  <si>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</si>
  <si>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</si>
  <si>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</si>
  <si>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</si>
  <si>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</si>
  <si>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</si>
  <si>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</si>
  <si>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</si>
  <si>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</si>
  <si>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</si>
  <si>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</si>
  <si>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</si>
  <si>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</si>
  <si>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</si>
  <si>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</si>
  <si>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</si>
  <si>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</si>
  <si>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</si>
  <si>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</si>
  <si>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</si>
  <si>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</si>
  <si>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</si>
  <si>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</si>
  <si>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</si>
  <si>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</si>
  <si>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</si>
  <si>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</si>
  <si>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</si>
  <si>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</si>
  <si>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</si>
  <si>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</si>
  <si>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</si>
  <si>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</si>
  <si>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</si>
  <si>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</si>
  <si>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</si>
  <si>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</si>
  <si>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</si>
  <si>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</si>
  <si>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</si>
  <si>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</si>
  <si>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</si>
  <si>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</si>
  <si>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</si>
  <si>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</si>
  <si>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</si>
  <si>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</si>
  <si>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</si>
  <si>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</si>
  <si>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</si>
  <si>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</si>
  <si>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</si>
  <si>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</si>
  <si>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</si>
  <si>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</si>
  <si>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</si>
  <si>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</si>
  <si>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</si>
  <si>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</si>
  <si>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</si>
  <si>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</si>
  <si>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</si>
  <si>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</si>
  <si>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</si>
  <si>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</si>
  <si>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</si>
  <si>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</si>
  <si>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</si>
  <si>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</si>
  <si>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</si>
  <si>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</si>
  <si>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</si>
  <si>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</si>
  <si>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</si>
  <si>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</si>
  <si>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</si>
  <si>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</si>
  <si>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</si>
  <si>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</si>
  <si>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</si>
  <si>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</si>
  <si>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</si>
  <si>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</si>
  <si>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</si>
  <si>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</si>
  <si>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</si>
  <si>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</si>
  <si>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</si>
  <si>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</si>
  <si>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</si>
  <si>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</si>
  <si>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</si>
  <si>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</si>
  <si>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</si>
  <si>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</si>
  <si>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</si>
  <si>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</si>
  <si>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</si>
  <si>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</si>
  <si>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</si>
  <si>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</si>
  <si>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10.12.2025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</si>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</sst>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/>
      <c r="I5" s="559"/>
      <c r="J5" s="559"/>
      <c r="K5" s="559"/>
      <c r="L5" s="559"/>
      <c r="M5" s="559"/>
      <c r="N5" s="72"/>
      <c r="P5" s="27" t="s">
        <v>4</v>
      </c>
      <c r="Q5" s="561">
        <v>46002</v>
      </c>
      <c r="R5" s="561"/>
      <c r="T5" s="562" t="s">
        <v>3</v>
      </c>
      <c r="U5" s="563"/>
      <c r="V5" s="564" t="s">
        <v>755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 t="s">
        <v>75</v>
      </c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>Четверг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 t="str">
        <f>IFERROR(VLOOKUP(DeliveryAddress,Table,3,0),1)</f>
        <v>1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 t="s">
        <v>76</v>
      </c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>
        <v>0.41666666666666669</v>
      </c>
      <c r="R8" s="581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2"/>
      <c r="C9" s="582"/>
      <c r="D9" s="583" t="s">
        <v>45</v>
      </c>
      <c r="E9" s="584"/>
      <c r="F9" s="5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2"/>
      <c r="H9" s="585" t="str">
        <f>IF(AND($A$9="Тип доверенности/получателя при получении в адресе перегруза:",$D$9="Разовая доверенность"),"Введите ФИО","")</f>
        <v/>
      </c>
      <c r="I9" s="585"/>
      <c r="J9" s="5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5"/>
      <c r="L9" s="585"/>
      <c r="M9" s="585"/>
      <c r="N9" s="70"/>
      <c r="P9" s="31" t="s">
        <v>15</v>
      </c>
      <c r="Q9" s="586"/>
      <c r="R9" s="586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2"/>
      <c r="C10" s="582"/>
      <c r="D10" s="583"/>
      <c r="E10" s="584"/>
      <c r="F10" s="5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2"/>
      <c r="H10" s="587" t="str">
        <f>IFERROR(VLOOKUP($D$10,Proxy,2,FALSE),"")</f>
        <v/>
      </c>
      <c r="I10" s="587"/>
      <c r="J10" s="587"/>
      <c r="K10" s="587"/>
      <c r="L10" s="587"/>
      <c r="M10" s="587"/>
      <c r="N10" s="71"/>
      <c r="P10" s="31" t="s">
        <v>32</v>
      </c>
      <c r="Q10" s="588"/>
      <c r="R10" s="588"/>
      <c r="U10" s="29" t="s">
        <v>12</v>
      </c>
      <c r="V10" s="589" t="s">
        <v>70</v>
      </c>
      <c r="W10" s="5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1"/>
      <c r="R11" s="591"/>
      <c r="U11" s="29" t="s">
        <v>28</v>
      </c>
      <c r="V11" s="592" t="s">
        <v>54</v>
      </c>
      <c r="W11" s="5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3" t="s">
        <v>71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3"/>
      <c r="N12" s="76"/>
      <c r="P12" s="27" t="s">
        <v>30</v>
      </c>
      <c r="Q12" s="581"/>
      <c r="R12" s="581"/>
      <c r="S12" s="28"/>
      <c r="T12"/>
      <c r="U12" s="29" t="s">
        <v>45</v>
      </c>
      <c r="V12" s="594"/>
      <c r="W12" s="594"/>
      <c r="X12"/>
      <c r="AB12" s="59"/>
      <c r="AC12" s="59"/>
      <c r="AD12" s="59"/>
      <c r="AE12" s="59"/>
    </row>
    <row r="13" spans="1:32" s="17" customFormat="1" ht="23.25" customHeight="1" x14ac:dyDescent="0.2">
      <c r="A13" s="593" t="s">
        <v>72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3"/>
      <c r="N13" s="76"/>
      <c r="O13" s="31"/>
      <c r="P13" s="31" t="s">
        <v>31</v>
      </c>
      <c r="Q13" s="592"/>
      <c r="R13" s="5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3" t="s">
        <v>73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5" t="s">
        <v>74</v>
      </c>
      <c r="B15" s="595"/>
      <c r="C15" s="595"/>
      <c r="D15" s="595"/>
      <c r="E15" s="595"/>
      <c r="F15" s="595"/>
      <c r="G15" s="595"/>
      <c r="H15" s="595"/>
      <c r="I15" s="595"/>
      <c r="J15" s="595"/>
      <c r="K15" s="595"/>
      <c r="L15" s="595"/>
      <c r="M15" s="595"/>
      <c r="N15" s="77"/>
      <c r="O15"/>
      <c r="P15" s="596" t="s">
        <v>60</v>
      </c>
      <c r="Q15" s="596"/>
      <c r="R15" s="596"/>
      <c r="S15" s="596"/>
      <c r="T15" s="5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7"/>
      <c r="Q16" s="597"/>
      <c r="R16" s="597"/>
      <c r="S16" s="597"/>
      <c r="T16" s="5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0" t="s">
        <v>58</v>
      </c>
      <c r="B17" s="600" t="s">
        <v>48</v>
      </c>
      <c r="C17" s="602" t="s">
        <v>47</v>
      </c>
      <c r="D17" s="604" t="s">
        <v>49</v>
      </c>
      <c r="E17" s="605"/>
      <c r="F17" s="600" t="s">
        <v>21</v>
      </c>
      <c r="G17" s="600" t="s">
        <v>24</v>
      </c>
      <c r="H17" s="600" t="s">
        <v>22</v>
      </c>
      <c r="I17" s="600" t="s">
        <v>23</v>
      </c>
      <c r="J17" s="600" t="s">
        <v>16</v>
      </c>
      <c r="K17" s="600" t="s">
        <v>65</v>
      </c>
      <c r="L17" s="600" t="s">
        <v>63</v>
      </c>
      <c r="M17" s="600" t="s">
        <v>2</v>
      </c>
      <c r="N17" s="600" t="s">
        <v>62</v>
      </c>
      <c r="O17" s="600" t="s">
        <v>25</v>
      </c>
      <c r="P17" s="604" t="s">
        <v>17</v>
      </c>
      <c r="Q17" s="608"/>
      <c r="R17" s="608"/>
      <c r="S17" s="608"/>
      <c r="T17" s="605"/>
      <c r="U17" s="598" t="s">
        <v>55</v>
      </c>
      <c r="V17" s="599"/>
      <c r="W17" s="600" t="s">
        <v>6</v>
      </c>
      <c r="X17" s="600" t="s">
        <v>41</v>
      </c>
      <c r="Y17" s="610" t="s">
        <v>53</v>
      </c>
      <c r="Z17" s="612" t="s">
        <v>18</v>
      </c>
      <c r="AA17" s="614" t="s">
        <v>59</v>
      </c>
      <c r="AB17" s="614" t="s">
        <v>19</v>
      </c>
      <c r="AC17" s="614" t="s">
        <v>64</v>
      </c>
      <c r="AD17" s="616" t="s">
        <v>56</v>
      </c>
      <c r="AE17" s="617"/>
      <c r="AF17" s="618"/>
      <c r="AG17" s="82"/>
      <c r="BD17" s="81" t="s">
        <v>61</v>
      </c>
    </row>
    <row r="18" spans="1:68" ht="14.25" customHeight="1" x14ac:dyDescent="0.2">
      <c r="A18" s="601"/>
      <c r="B18" s="601"/>
      <c r="C18" s="603"/>
      <c r="D18" s="606"/>
      <c r="E18" s="607"/>
      <c r="F18" s="601"/>
      <c r="G18" s="601"/>
      <c r="H18" s="601"/>
      <c r="I18" s="601"/>
      <c r="J18" s="601"/>
      <c r="K18" s="601"/>
      <c r="L18" s="601"/>
      <c r="M18" s="601"/>
      <c r="N18" s="601"/>
      <c r="O18" s="601"/>
      <c r="P18" s="606"/>
      <c r="Q18" s="609"/>
      <c r="R18" s="609"/>
      <c r="S18" s="609"/>
      <c r="T18" s="607"/>
      <c r="U18" s="83" t="s">
        <v>44</v>
      </c>
      <c r="V18" s="83" t="s">
        <v>43</v>
      </c>
      <c r="W18" s="601"/>
      <c r="X18" s="601"/>
      <c r="Y18" s="611"/>
      <c r="Z18" s="613"/>
      <c r="AA18" s="615"/>
      <c r="AB18" s="615"/>
      <c r="AC18" s="615"/>
      <c r="AD18" s="619"/>
      <c r="AE18" s="620"/>
      <c r="AF18" s="621"/>
      <c r="AG18" s="82"/>
      <c r="BD18" s="81"/>
    </row>
    <row r="19" spans="1:68" ht="27.75" customHeight="1" x14ac:dyDescent="0.2">
      <c r="A19" s="622" t="s">
        <v>77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4"/>
      <c r="AB19" s="54"/>
      <c r="AC19" s="54"/>
    </row>
    <row r="20" spans="1:68" ht="16.5" customHeight="1" x14ac:dyDescent="0.25">
      <c r="A20" s="623" t="s">
        <v>77</v>
      </c>
      <c r="B20" s="623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65"/>
      <c r="AB20" s="65"/>
      <c r="AC20" s="79"/>
    </row>
    <row r="21" spans="1:68" ht="14.25" customHeight="1" x14ac:dyDescent="0.25">
      <c r="A21" s="624" t="s">
        <v>78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5">
        <v>4680115887510</v>
      </c>
      <c r="E22" s="62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84</v>
      </c>
      <c r="L22" s="37" t="s">
        <v>45</v>
      </c>
      <c r="M22" s="38" t="s">
        <v>83</v>
      </c>
      <c r="N22" s="38"/>
      <c r="O22" s="37">
        <v>40</v>
      </c>
      <c r="P22" s="626" t="s">
        <v>81</v>
      </c>
      <c r="Q22" s="627"/>
      <c r="R22" s="627"/>
      <c r="S22" s="627"/>
      <c r="T22" s="62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82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85</v>
      </c>
      <c r="B23" s="63" t="s">
        <v>86</v>
      </c>
      <c r="C23" s="36">
        <v>4301031278</v>
      </c>
      <c r="D23" s="625">
        <v>4680115886643</v>
      </c>
      <c r="E23" s="62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88</v>
      </c>
      <c r="L23" s="37" t="s">
        <v>45</v>
      </c>
      <c r="M23" s="38" t="s">
        <v>83</v>
      </c>
      <c r="N23" s="38"/>
      <c r="O23" s="37">
        <v>40</v>
      </c>
      <c r="P23" s="62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7"/>
      <c r="R23" s="627"/>
      <c r="S23" s="627"/>
      <c r="T23" s="62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87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3"/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4"/>
      <c r="P25" s="630" t="s">
        <v>40</v>
      </c>
      <c r="Q25" s="631"/>
      <c r="R25" s="631"/>
      <c r="S25" s="631"/>
      <c r="T25" s="631"/>
      <c r="U25" s="631"/>
      <c r="V25" s="6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4" t="s">
        <v>89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6"/>
      <c r="AB26" s="66"/>
      <c r="AC26" s="80"/>
    </row>
    <row r="27" spans="1:68" ht="27" customHeight="1" x14ac:dyDescent="0.25">
      <c r="A27" s="63" t="s">
        <v>90</v>
      </c>
      <c r="B27" s="63" t="s">
        <v>91</v>
      </c>
      <c r="C27" s="36">
        <v>4301051866</v>
      </c>
      <c r="D27" s="625">
        <v>4680115885912</v>
      </c>
      <c r="E27" s="6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84</v>
      </c>
      <c r="L27" s="37" t="s">
        <v>45</v>
      </c>
      <c r="M27" s="38" t="s">
        <v>93</v>
      </c>
      <c r="N27" s="38"/>
      <c r="O27" s="37">
        <v>40</v>
      </c>
      <c r="P27" s="6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7"/>
      <c r="R27" s="627"/>
      <c r="S27" s="627"/>
      <c r="T27" s="628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94</v>
      </c>
      <c r="B28" s="63" t="s">
        <v>95</v>
      </c>
      <c r="C28" s="36">
        <v>4301051776</v>
      </c>
      <c r="D28" s="625">
        <v>4607091388237</v>
      </c>
      <c r="E28" s="6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84</v>
      </c>
      <c r="L28" s="37" t="s">
        <v>45</v>
      </c>
      <c r="M28" s="38" t="s">
        <v>93</v>
      </c>
      <c r="N28" s="38"/>
      <c r="O28" s="37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7"/>
      <c r="R28" s="627"/>
      <c r="S28" s="627"/>
      <c r="T28" s="628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96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4301052063</v>
      </c>
      <c r="D29" s="625">
        <v>4680115887350</v>
      </c>
      <c r="E29" s="6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84</v>
      </c>
      <c r="L29" s="37" t="s">
        <v>45</v>
      </c>
      <c r="M29" s="38" t="s">
        <v>100</v>
      </c>
      <c r="N29" s="38"/>
      <c r="O29" s="37">
        <v>40</v>
      </c>
      <c r="P29" s="6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7"/>
      <c r="R29" s="627"/>
      <c r="S29" s="627"/>
      <c r="T29" s="628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101</v>
      </c>
      <c r="B30" s="63" t="s">
        <v>102</v>
      </c>
      <c r="C30" s="36">
        <v>4301051863</v>
      </c>
      <c r="D30" s="625">
        <v>4680115885905</v>
      </c>
      <c r="E30" s="6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84</v>
      </c>
      <c r="L30" s="37" t="s">
        <v>104</v>
      </c>
      <c r="M30" s="38" t="s">
        <v>100</v>
      </c>
      <c r="N30" s="38"/>
      <c r="O30" s="37">
        <v>40</v>
      </c>
      <c r="P30" s="6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7"/>
      <c r="R30" s="627"/>
      <c r="S30" s="627"/>
      <c r="T30" s="628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103</v>
      </c>
      <c r="AG30" s="78"/>
      <c r="AJ30" s="84" t="s">
        <v>105</v>
      </c>
      <c r="AK30" s="84">
        <v>25.2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106</v>
      </c>
      <c r="B31" s="63" t="s">
        <v>107</v>
      </c>
      <c r="C31" s="36">
        <v>4301051851</v>
      </c>
      <c r="D31" s="625">
        <v>4607091388244</v>
      </c>
      <c r="E31" s="625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84</v>
      </c>
      <c r="L31" s="37" t="s">
        <v>104</v>
      </c>
      <c r="M31" s="38" t="s">
        <v>100</v>
      </c>
      <c r="N31" s="38"/>
      <c r="O31" s="37">
        <v>40</v>
      </c>
      <c r="P31" s="63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7"/>
      <c r="R31" s="627"/>
      <c r="S31" s="627"/>
      <c r="T31" s="628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103</v>
      </c>
      <c r="AG31" s="78"/>
      <c r="AJ31" s="84" t="s">
        <v>105</v>
      </c>
      <c r="AK31" s="84">
        <v>35.28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0" t="s">
        <v>40</v>
      </c>
      <c r="Q32" s="631"/>
      <c r="R32" s="631"/>
      <c r="S32" s="631"/>
      <c r="T32" s="631"/>
      <c r="U32" s="631"/>
      <c r="V32" s="6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3"/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4"/>
      <c r="P33" s="630" t="s">
        <v>40</v>
      </c>
      <c r="Q33" s="631"/>
      <c r="R33" s="631"/>
      <c r="S33" s="631"/>
      <c r="T33" s="631"/>
      <c r="U33" s="631"/>
      <c r="V33" s="6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4" t="s">
        <v>108</v>
      </c>
      <c r="B34" s="624"/>
      <c r="C34" s="624"/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4"/>
      <c r="O34" s="624"/>
      <c r="P34" s="624"/>
      <c r="Q34" s="624"/>
      <c r="R34" s="624"/>
      <c r="S34" s="624"/>
      <c r="T34" s="624"/>
      <c r="U34" s="624"/>
      <c r="V34" s="624"/>
      <c r="W34" s="624"/>
      <c r="X34" s="624"/>
      <c r="Y34" s="624"/>
      <c r="Z34" s="624"/>
      <c r="AA34" s="66"/>
      <c r="AB34" s="66"/>
      <c r="AC34" s="80"/>
    </row>
    <row r="35" spans="1:68" ht="27" customHeight="1" x14ac:dyDescent="0.25">
      <c r="A35" s="63" t="s">
        <v>109</v>
      </c>
      <c r="B35" s="63" t="s">
        <v>110</v>
      </c>
      <c r="C35" s="36">
        <v>4301032013</v>
      </c>
      <c r="D35" s="625">
        <v>4607091388503</v>
      </c>
      <c r="E35" s="625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84</v>
      </c>
      <c r="L35" s="37" t="s">
        <v>45</v>
      </c>
      <c r="M35" s="38" t="s">
        <v>113</v>
      </c>
      <c r="N35" s="38"/>
      <c r="O35" s="37">
        <v>120</v>
      </c>
      <c r="P35" s="64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7"/>
      <c r="R35" s="627"/>
      <c r="S35" s="627"/>
      <c r="T35" s="628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111</v>
      </c>
      <c r="AG35" s="78"/>
      <c r="AJ35" s="84" t="s">
        <v>45</v>
      </c>
      <c r="AK35" s="84">
        <v>0</v>
      </c>
      <c r="BB35" s="101" t="s">
        <v>112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3"/>
      <c r="B36" s="633"/>
      <c r="C36" s="633"/>
      <c r="D36" s="633"/>
      <c r="E36" s="633"/>
      <c r="F36" s="633"/>
      <c r="G36" s="633"/>
      <c r="H36" s="633"/>
      <c r="I36" s="633"/>
      <c r="J36" s="633"/>
      <c r="K36" s="633"/>
      <c r="L36" s="633"/>
      <c r="M36" s="633"/>
      <c r="N36" s="633"/>
      <c r="O36" s="634"/>
      <c r="P36" s="630" t="s">
        <v>40</v>
      </c>
      <c r="Q36" s="631"/>
      <c r="R36" s="631"/>
      <c r="S36" s="631"/>
      <c r="T36" s="631"/>
      <c r="U36" s="631"/>
      <c r="V36" s="63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3"/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4"/>
      <c r="P37" s="630" t="s">
        <v>40</v>
      </c>
      <c r="Q37" s="631"/>
      <c r="R37" s="631"/>
      <c r="S37" s="631"/>
      <c r="T37" s="631"/>
      <c r="U37" s="631"/>
      <c r="V37" s="63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2" t="s">
        <v>114</v>
      </c>
      <c r="B38" s="622"/>
      <c r="C38" s="622"/>
      <c r="D38" s="622"/>
      <c r="E38" s="622"/>
      <c r="F38" s="622"/>
      <c r="G38" s="622"/>
      <c r="H38" s="622"/>
      <c r="I38" s="622"/>
      <c r="J38" s="622"/>
      <c r="K38" s="622"/>
      <c r="L38" s="622"/>
      <c r="M38" s="622"/>
      <c r="N38" s="622"/>
      <c r="O38" s="622"/>
      <c r="P38" s="622"/>
      <c r="Q38" s="622"/>
      <c r="R38" s="622"/>
      <c r="S38" s="622"/>
      <c r="T38" s="622"/>
      <c r="U38" s="622"/>
      <c r="V38" s="622"/>
      <c r="W38" s="622"/>
      <c r="X38" s="622"/>
      <c r="Y38" s="622"/>
      <c r="Z38" s="622"/>
      <c r="AA38" s="54"/>
      <c r="AB38" s="54"/>
      <c r="AC38" s="54"/>
    </row>
    <row r="39" spans="1:68" ht="16.5" customHeight="1" x14ac:dyDescent="0.25">
      <c r="A39" s="623" t="s">
        <v>115</v>
      </c>
      <c r="B39" s="623"/>
      <c r="C39" s="623"/>
      <c r="D39" s="623"/>
      <c r="E39" s="623"/>
      <c r="F39" s="623"/>
      <c r="G39" s="623"/>
      <c r="H39" s="623"/>
      <c r="I39" s="623"/>
      <c r="J39" s="623"/>
      <c r="K39" s="623"/>
      <c r="L39" s="623"/>
      <c r="M39" s="623"/>
      <c r="N39" s="623"/>
      <c r="O39" s="623"/>
      <c r="P39" s="623"/>
      <c r="Q39" s="623"/>
      <c r="R39" s="623"/>
      <c r="S39" s="623"/>
      <c r="T39" s="623"/>
      <c r="U39" s="623"/>
      <c r="V39" s="623"/>
      <c r="W39" s="623"/>
      <c r="X39" s="623"/>
      <c r="Y39" s="623"/>
      <c r="Z39" s="623"/>
      <c r="AA39" s="65"/>
      <c r="AB39" s="65"/>
      <c r="AC39" s="79"/>
    </row>
    <row r="40" spans="1:68" ht="14.25" customHeight="1" x14ac:dyDescent="0.25">
      <c r="A40" s="624" t="s">
        <v>116</v>
      </c>
      <c r="B40" s="624"/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6"/>
      <c r="AB40" s="66"/>
      <c r="AC40" s="80"/>
    </row>
    <row r="41" spans="1:68" ht="16.5" customHeight="1" x14ac:dyDescent="0.25">
      <c r="A41" s="63" t="s">
        <v>117</v>
      </c>
      <c r="B41" s="63" t="s">
        <v>118</v>
      </c>
      <c r="C41" s="36">
        <v>4301011380</v>
      </c>
      <c r="D41" s="625">
        <v>4607091385670</v>
      </c>
      <c r="E41" s="625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121</v>
      </c>
      <c r="L41" s="37" t="s">
        <v>122</v>
      </c>
      <c r="M41" s="38" t="s">
        <v>120</v>
      </c>
      <c r="N41" s="38"/>
      <c r="O41" s="37">
        <v>50</v>
      </c>
      <c r="P41" s="6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7"/>
      <c r="R41" s="627"/>
      <c r="S41" s="627"/>
      <c r="T41" s="628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119</v>
      </c>
      <c r="AG41" s="78"/>
      <c r="AJ41" s="84" t="s">
        <v>105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123</v>
      </c>
      <c r="B42" s="63" t="s">
        <v>124</v>
      </c>
      <c r="C42" s="36">
        <v>4301011382</v>
      </c>
      <c r="D42" s="625">
        <v>4607091385687</v>
      </c>
      <c r="E42" s="625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125</v>
      </c>
      <c r="L42" s="37" t="s">
        <v>126</v>
      </c>
      <c r="M42" s="38" t="s">
        <v>93</v>
      </c>
      <c r="N42" s="38"/>
      <c r="O42" s="37">
        <v>50</v>
      </c>
      <c r="P42" s="6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27"/>
      <c r="R42" s="627"/>
      <c r="S42" s="627"/>
      <c r="T42" s="62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119</v>
      </c>
      <c r="AG42" s="78"/>
      <c r="AJ42" s="84" t="s">
        <v>105</v>
      </c>
      <c r="AK42" s="84">
        <v>48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127</v>
      </c>
      <c r="B43" s="63" t="s">
        <v>128</v>
      </c>
      <c r="C43" s="36">
        <v>4301011565</v>
      </c>
      <c r="D43" s="625">
        <v>4680115882539</v>
      </c>
      <c r="E43" s="625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125</v>
      </c>
      <c r="L43" s="37" t="s">
        <v>45</v>
      </c>
      <c r="M43" s="38" t="s">
        <v>93</v>
      </c>
      <c r="N43" s="38"/>
      <c r="O43" s="37">
        <v>50</v>
      </c>
      <c r="P43" s="6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7"/>
      <c r="R43" s="627"/>
      <c r="S43" s="627"/>
      <c r="T43" s="62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119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3"/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4"/>
      <c r="P44" s="630" t="s">
        <v>40</v>
      </c>
      <c r="Q44" s="631"/>
      <c r="R44" s="631"/>
      <c r="S44" s="631"/>
      <c r="T44" s="631"/>
      <c r="U44" s="631"/>
      <c r="V44" s="632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3"/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4"/>
      <c r="P45" s="630" t="s">
        <v>40</v>
      </c>
      <c r="Q45" s="631"/>
      <c r="R45" s="631"/>
      <c r="S45" s="631"/>
      <c r="T45" s="631"/>
      <c r="U45" s="631"/>
      <c r="V45" s="632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4" t="s">
        <v>89</v>
      </c>
      <c r="B46" s="624"/>
      <c r="C46" s="624"/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4"/>
      <c r="P46" s="624"/>
      <c r="Q46" s="624"/>
      <c r="R46" s="624"/>
      <c r="S46" s="624"/>
      <c r="T46" s="624"/>
      <c r="U46" s="624"/>
      <c r="V46" s="624"/>
      <c r="W46" s="624"/>
      <c r="X46" s="624"/>
      <c r="Y46" s="624"/>
      <c r="Z46" s="624"/>
      <c r="AA46" s="66"/>
      <c r="AB46" s="66"/>
      <c r="AC46" s="80"/>
    </row>
    <row r="47" spans="1:68" ht="16.5" customHeight="1" x14ac:dyDescent="0.25">
      <c r="A47" s="63" t="s">
        <v>129</v>
      </c>
      <c r="B47" s="63" t="s">
        <v>130</v>
      </c>
      <c r="C47" s="36">
        <v>4301051820</v>
      </c>
      <c r="D47" s="625">
        <v>4680115884915</v>
      </c>
      <c r="E47" s="625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84</v>
      </c>
      <c r="L47" s="37" t="s">
        <v>104</v>
      </c>
      <c r="M47" s="38" t="s">
        <v>93</v>
      </c>
      <c r="N47" s="38"/>
      <c r="O47" s="37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7"/>
      <c r="R47" s="627"/>
      <c r="S47" s="627"/>
      <c r="T47" s="628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131</v>
      </c>
      <c r="AG47" s="78"/>
      <c r="AJ47" s="84" t="s">
        <v>105</v>
      </c>
      <c r="AK47" s="84">
        <v>25.2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3"/>
      <c r="B48" s="633"/>
      <c r="C48" s="633"/>
      <c r="D48" s="633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634"/>
      <c r="P48" s="630" t="s">
        <v>40</v>
      </c>
      <c r="Q48" s="631"/>
      <c r="R48" s="631"/>
      <c r="S48" s="631"/>
      <c r="T48" s="631"/>
      <c r="U48" s="631"/>
      <c r="V48" s="632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3"/>
      <c r="B49" s="633"/>
      <c r="C49" s="633"/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4"/>
      <c r="P49" s="630" t="s">
        <v>40</v>
      </c>
      <c r="Q49" s="631"/>
      <c r="R49" s="631"/>
      <c r="S49" s="631"/>
      <c r="T49" s="631"/>
      <c r="U49" s="631"/>
      <c r="V49" s="632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3" t="s">
        <v>132</v>
      </c>
      <c r="B50" s="623"/>
      <c r="C50" s="623"/>
      <c r="D50" s="623"/>
      <c r="E50" s="623"/>
      <c r="F50" s="623"/>
      <c r="G50" s="623"/>
      <c r="H50" s="623"/>
      <c r="I50" s="623"/>
      <c r="J50" s="623"/>
      <c r="K50" s="623"/>
      <c r="L50" s="623"/>
      <c r="M50" s="623"/>
      <c r="N50" s="623"/>
      <c r="O50" s="623"/>
      <c r="P50" s="623"/>
      <c r="Q50" s="623"/>
      <c r="R50" s="623"/>
      <c r="S50" s="623"/>
      <c r="T50" s="623"/>
      <c r="U50" s="623"/>
      <c r="V50" s="623"/>
      <c r="W50" s="623"/>
      <c r="X50" s="623"/>
      <c r="Y50" s="623"/>
      <c r="Z50" s="623"/>
      <c r="AA50" s="65"/>
      <c r="AB50" s="65"/>
      <c r="AC50" s="79"/>
    </row>
    <row r="51" spans="1:68" ht="14.25" customHeight="1" x14ac:dyDescent="0.25">
      <c r="A51" s="624" t="s">
        <v>116</v>
      </c>
      <c r="B51" s="624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4"/>
      <c r="W51" s="624"/>
      <c r="X51" s="624"/>
      <c r="Y51" s="624"/>
      <c r="Z51" s="624"/>
      <c r="AA51" s="66"/>
      <c r="AB51" s="66"/>
      <c r="AC51" s="80"/>
    </row>
    <row r="52" spans="1:68" ht="27" customHeight="1" x14ac:dyDescent="0.25">
      <c r="A52" s="63" t="s">
        <v>133</v>
      </c>
      <c r="B52" s="63" t="s">
        <v>134</v>
      </c>
      <c r="C52" s="36">
        <v>4301012030</v>
      </c>
      <c r="D52" s="625">
        <v>4680115885882</v>
      </c>
      <c r="E52" s="625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121</v>
      </c>
      <c r="L52" s="37" t="s">
        <v>122</v>
      </c>
      <c r="M52" s="38" t="s">
        <v>93</v>
      </c>
      <c r="N52" s="38"/>
      <c r="O52" s="37">
        <v>50</v>
      </c>
      <c r="P52" s="64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7"/>
      <c r="R52" s="627"/>
      <c r="S52" s="627"/>
      <c r="T52" s="628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135</v>
      </c>
      <c r="AG52" s="78"/>
      <c r="AJ52" s="84" t="s">
        <v>105</v>
      </c>
      <c r="AK52" s="84">
        <v>89.6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136</v>
      </c>
      <c r="B53" s="63" t="s">
        <v>137</v>
      </c>
      <c r="C53" s="36">
        <v>4301011816</v>
      </c>
      <c r="D53" s="625">
        <v>4680115881426</v>
      </c>
      <c r="E53" s="625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121</v>
      </c>
      <c r="L53" s="37" t="s">
        <v>45</v>
      </c>
      <c r="M53" s="38" t="s">
        <v>120</v>
      </c>
      <c r="N53" s="38"/>
      <c r="O53" s="37">
        <v>50</v>
      </c>
      <c r="P53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7"/>
      <c r="R53" s="627"/>
      <c r="S53" s="627"/>
      <c r="T53" s="62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138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139</v>
      </c>
      <c r="B54" s="63" t="s">
        <v>140</v>
      </c>
      <c r="C54" s="36">
        <v>4301011386</v>
      </c>
      <c r="D54" s="625">
        <v>4680115880283</v>
      </c>
      <c r="E54" s="625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125</v>
      </c>
      <c r="L54" s="37" t="s">
        <v>45</v>
      </c>
      <c r="M54" s="38" t="s">
        <v>120</v>
      </c>
      <c r="N54" s="38"/>
      <c r="O54" s="37">
        <v>45</v>
      </c>
      <c r="P54" s="64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7"/>
      <c r="R54" s="627"/>
      <c r="S54" s="627"/>
      <c r="T54" s="62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141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142</v>
      </c>
      <c r="B55" s="63" t="s">
        <v>143</v>
      </c>
      <c r="C55" s="36">
        <v>4301011806</v>
      </c>
      <c r="D55" s="625">
        <v>4680115881525</v>
      </c>
      <c r="E55" s="625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125</v>
      </c>
      <c r="L55" s="37" t="s">
        <v>45</v>
      </c>
      <c r="M55" s="38" t="s">
        <v>120</v>
      </c>
      <c r="N55" s="38"/>
      <c r="O55" s="37">
        <v>50</v>
      </c>
      <c r="P55" s="6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7"/>
      <c r="R55" s="627"/>
      <c r="S55" s="627"/>
      <c r="T55" s="62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144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145</v>
      </c>
      <c r="B56" s="63" t="s">
        <v>146</v>
      </c>
      <c r="C56" s="36">
        <v>4301011589</v>
      </c>
      <c r="D56" s="625">
        <v>4680115885899</v>
      </c>
      <c r="E56" s="625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84</v>
      </c>
      <c r="L56" s="37" t="s">
        <v>104</v>
      </c>
      <c r="M56" s="38" t="s">
        <v>100</v>
      </c>
      <c r="N56" s="38"/>
      <c r="O56" s="37">
        <v>50</v>
      </c>
      <c r="P56" s="64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7"/>
      <c r="R56" s="627"/>
      <c r="S56" s="627"/>
      <c r="T56" s="62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147</v>
      </c>
      <c r="AG56" s="78"/>
      <c r="AJ56" s="84" t="s">
        <v>105</v>
      </c>
      <c r="AK56" s="84">
        <v>29.4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148</v>
      </c>
      <c r="B57" s="63" t="s">
        <v>149</v>
      </c>
      <c r="C57" s="36">
        <v>4301011801</v>
      </c>
      <c r="D57" s="625">
        <v>4680115881419</v>
      </c>
      <c r="E57" s="625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125</v>
      </c>
      <c r="L57" s="37" t="s">
        <v>45</v>
      </c>
      <c r="M57" s="38" t="s">
        <v>120</v>
      </c>
      <c r="N57" s="38"/>
      <c r="O57" s="37">
        <v>50</v>
      </c>
      <c r="P57" s="6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7"/>
      <c r="R57" s="627"/>
      <c r="S57" s="627"/>
      <c r="T57" s="62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150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3"/>
      <c r="B58" s="633"/>
      <c r="C58" s="633"/>
      <c r="D58" s="633"/>
      <c r="E58" s="633"/>
      <c r="F58" s="633"/>
      <c r="G58" s="633"/>
      <c r="H58" s="633"/>
      <c r="I58" s="633"/>
      <c r="J58" s="633"/>
      <c r="K58" s="633"/>
      <c r="L58" s="633"/>
      <c r="M58" s="633"/>
      <c r="N58" s="633"/>
      <c r="O58" s="634"/>
      <c r="P58" s="630" t="s">
        <v>40</v>
      </c>
      <c r="Q58" s="631"/>
      <c r="R58" s="631"/>
      <c r="S58" s="631"/>
      <c r="T58" s="631"/>
      <c r="U58" s="631"/>
      <c r="V58" s="632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3"/>
      <c r="B59" s="633"/>
      <c r="C59" s="633"/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4"/>
      <c r="P59" s="630" t="s">
        <v>40</v>
      </c>
      <c r="Q59" s="631"/>
      <c r="R59" s="631"/>
      <c r="S59" s="631"/>
      <c r="T59" s="631"/>
      <c r="U59" s="631"/>
      <c r="V59" s="632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4" t="s">
        <v>151</v>
      </c>
      <c r="B60" s="624"/>
      <c r="C60" s="624"/>
      <c r="D60" s="624"/>
      <c r="E60" s="624"/>
      <c r="F60" s="624"/>
      <c r="G60" s="624"/>
      <c r="H60" s="624"/>
      <c r="I60" s="624"/>
      <c r="J60" s="624"/>
      <c r="K60" s="624"/>
      <c r="L60" s="624"/>
      <c r="M60" s="624"/>
      <c r="N60" s="624"/>
      <c r="O60" s="624"/>
      <c r="P60" s="624"/>
      <c r="Q60" s="624"/>
      <c r="R60" s="624"/>
      <c r="S60" s="624"/>
      <c r="T60" s="624"/>
      <c r="U60" s="624"/>
      <c r="V60" s="624"/>
      <c r="W60" s="624"/>
      <c r="X60" s="624"/>
      <c r="Y60" s="624"/>
      <c r="Z60" s="624"/>
      <c r="AA60" s="66"/>
      <c r="AB60" s="66"/>
      <c r="AC60" s="80"/>
    </row>
    <row r="61" spans="1:68" ht="16.5" customHeight="1" x14ac:dyDescent="0.25">
      <c r="A61" s="63" t="s">
        <v>152</v>
      </c>
      <c r="B61" s="63" t="s">
        <v>153</v>
      </c>
      <c r="C61" s="36">
        <v>4301020298</v>
      </c>
      <c r="D61" s="625">
        <v>4680115881440</v>
      </c>
      <c r="E61" s="62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121</v>
      </c>
      <c r="L61" s="37" t="s">
        <v>122</v>
      </c>
      <c r="M61" s="38" t="s">
        <v>120</v>
      </c>
      <c r="N61" s="38"/>
      <c r="O61" s="37">
        <v>50</v>
      </c>
      <c r="P61" s="6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7"/>
      <c r="R61" s="627"/>
      <c r="S61" s="627"/>
      <c r="T61" s="628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154</v>
      </c>
      <c r="AG61" s="78"/>
      <c r="AJ61" s="84" t="s">
        <v>105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155</v>
      </c>
      <c r="B62" s="63" t="s">
        <v>156</v>
      </c>
      <c r="C62" s="36">
        <v>4301020358</v>
      </c>
      <c r="D62" s="625">
        <v>4680115885950</v>
      </c>
      <c r="E62" s="625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84</v>
      </c>
      <c r="L62" s="37" t="s">
        <v>45</v>
      </c>
      <c r="M62" s="38" t="s">
        <v>93</v>
      </c>
      <c r="N62" s="38"/>
      <c r="O62" s="37">
        <v>50</v>
      </c>
      <c r="P62" s="6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7"/>
      <c r="R62" s="627"/>
      <c r="S62" s="627"/>
      <c r="T62" s="62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154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157</v>
      </c>
      <c r="B63" s="63" t="s">
        <v>158</v>
      </c>
      <c r="C63" s="36">
        <v>4301020296</v>
      </c>
      <c r="D63" s="625">
        <v>4680115881433</v>
      </c>
      <c r="E63" s="625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84</v>
      </c>
      <c r="L63" s="37" t="s">
        <v>45</v>
      </c>
      <c r="M63" s="38" t="s">
        <v>120</v>
      </c>
      <c r="N63" s="38"/>
      <c r="O63" s="37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7"/>
      <c r="R63" s="627"/>
      <c r="S63" s="627"/>
      <c r="T63" s="62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154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3"/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4"/>
      <c r="P64" s="630" t="s">
        <v>40</v>
      </c>
      <c r="Q64" s="631"/>
      <c r="R64" s="631"/>
      <c r="S64" s="631"/>
      <c r="T64" s="631"/>
      <c r="U64" s="631"/>
      <c r="V64" s="632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3"/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4"/>
      <c r="P65" s="630" t="s">
        <v>40</v>
      </c>
      <c r="Q65" s="631"/>
      <c r="R65" s="631"/>
      <c r="S65" s="631"/>
      <c r="T65" s="631"/>
      <c r="U65" s="631"/>
      <c r="V65" s="632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4" t="s">
        <v>78</v>
      </c>
      <c r="B66" s="624"/>
      <c r="C66" s="624"/>
      <c r="D66" s="624"/>
      <c r="E66" s="624"/>
      <c r="F66" s="624"/>
      <c r="G66" s="624"/>
      <c r="H66" s="624"/>
      <c r="I66" s="624"/>
      <c r="J66" s="624"/>
      <c r="K66" s="624"/>
      <c r="L66" s="624"/>
      <c r="M66" s="624"/>
      <c r="N66" s="624"/>
      <c r="O66" s="624"/>
      <c r="P66" s="624"/>
      <c r="Q66" s="624"/>
      <c r="R66" s="624"/>
      <c r="S66" s="624"/>
      <c r="T66" s="624"/>
      <c r="U66" s="624"/>
      <c r="V66" s="624"/>
      <c r="W66" s="624"/>
      <c r="X66" s="624"/>
      <c r="Y66" s="624"/>
      <c r="Z66" s="624"/>
      <c r="AA66" s="66"/>
      <c r="AB66" s="66"/>
      <c r="AC66" s="80"/>
    </row>
    <row r="67" spans="1:68" ht="27" customHeight="1" x14ac:dyDescent="0.25">
      <c r="A67" s="63" t="s">
        <v>159</v>
      </c>
      <c r="B67" s="63" t="s">
        <v>160</v>
      </c>
      <c r="C67" s="36">
        <v>4301031243</v>
      </c>
      <c r="D67" s="625">
        <v>4680115885073</v>
      </c>
      <c r="E67" s="625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88</v>
      </c>
      <c r="L67" s="37" t="s">
        <v>45</v>
      </c>
      <c r="M67" s="38" t="s">
        <v>83</v>
      </c>
      <c r="N67" s="38"/>
      <c r="O67" s="37">
        <v>40</v>
      </c>
      <c r="P67" s="65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7"/>
      <c r="R67" s="627"/>
      <c r="S67" s="627"/>
      <c r="T67" s="628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161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162</v>
      </c>
      <c r="B68" s="63" t="s">
        <v>163</v>
      </c>
      <c r="C68" s="36">
        <v>4301031241</v>
      </c>
      <c r="D68" s="625">
        <v>4680115885059</v>
      </c>
      <c r="E68" s="625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88</v>
      </c>
      <c r="L68" s="37" t="s">
        <v>45</v>
      </c>
      <c r="M68" s="38" t="s">
        <v>83</v>
      </c>
      <c r="N68" s="38"/>
      <c r="O68" s="37">
        <v>40</v>
      </c>
      <c r="P68" s="65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627"/>
      <c r="R68" s="627"/>
      <c r="S68" s="627"/>
      <c r="T68" s="628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164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165</v>
      </c>
      <c r="B69" s="63" t="s">
        <v>166</v>
      </c>
      <c r="C69" s="36">
        <v>4301031316</v>
      </c>
      <c r="D69" s="625">
        <v>4680115885097</v>
      </c>
      <c r="E69" s="625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88</v>
      </c>
      <c r="L69" s="37" t="s">
        <v>45</v>
      </c>
      <c r="M69" s="38" t="s">
        <v>83</v>
      </c>
      <c r="N69" s="38"/>
      <c r="O69" s="37">
        <v>40</v>
      </c>
      <c r="P69" s="65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7"/>
      <c r="R69" s="627"/>
      <c r="S69" s="627"/>
      <c r="T69" s="628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167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39</v>
      </c>
      <c r="X70" s="43">
        <f>IFERROR(X67/H67,"0")+IFERROR(X68/H68,"0")+IFERROR(X69/H69,"0")</f>
        <v>0</v>
      </c>
      <c r="Y70" s="43">
        <f>IFERROR(Y67/H67,"0")+IFERROR(Y68/H68,"0")+IFERROR(Y69/H69,"0")</f>
        <v>0</v>
      </c>
      <c r="Z70" s="43">
        <f>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33"/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4"/>
      <c r="P71" s="630" t="s">
        <v>40</v>
      </c>
      <c r="Q71" s="631"/>
      <c r="R71" s="631"/>
      <c r="S71" s="631"/>
      <c r="T71" s="631"/>
      <c r="U71" s="631"/>
      <c r="V71" s="632"/>
      <c r="W71" s="42" t="s">
        <v>0</v>
      </c>
      <c r="X71" s="43">
        <f>IFERROR(SUM(X67:X69),"0")</f>
        <v>0</v>
      </c>
      <c r="Y71" s="43">
        <f>IFERROR(SUM(Y67:Y69),"0")</f>
        <v>0</v>
      </c>
      <c r="Z71" s="42"/>
      <c r="AA71" s="67"/>
      <c r="AB71" s="67"/>
      <c r="AC71" s="67"/>
    </row>
    <row r="72" spans="1:68" ht="14.25" customHeight="1" x14ac:dyDescent="0.25">
      <c r="A72" s="624" t="s">
        <v>89</v>
      </c>
      <c r="B72" s="624"/>
      <c r="C72" s="624"/>
      <c r="D72" s="624"/>
      <c r="E72" s="624"/>
      <c r="F72" s="624"/>
      <c r="G72" s="624"/>
      <c r="H72" s="624"/>
      <c r="I72" s="624"/>
      <c r="J72" s="624"/>
      <c r="K72" s="624"/>
      <c r="L72" s="624"/>
      <c r="M72" s="624"/>
      <c r="N72" s="624"/>
      <c r="O72" s="624"/>
      <c r="P72" s="624"/>
      <c r="Q72" s="624"/>
      <c r="R72" s="624"/>
      <c r="S72" s="624"/>
      <c r="T72" s="624"/>
      <c r="U72" s="624"/>
      <c r="V72" s="624"/>
      <c r="W72" s="624"/>
      <c r="X72" s="624"/>
      <c r="Y72" s="624"/>
      <c r="Z72" s="624"/>
      <c r="AA72" s="66"/>
      <c r="AB72" s="66"/>
      <c r="AC72" s="80"/>
    </row>
    <row r="73" spans="1:68" ht="27" customHeight="1" x14ac:dyDescent="0.25">
      <c r="A73" s="63" t="s">
        <v>168</v>
      </c>
      <c r="B73" s="63" t="s">
        <v>169</v>
      </c>
      <c r="C73" s="36">
        <v>4301051846</v>
      </c>
      <c r="D73" s="625">
        <v>4680115885769</v>
      </c>
      <c r="E73" s="625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121</v>
      </c>
      <c r="L73" s="37" t="s">
        <v>45</v>
      </c>
      <c r="M73" s="38" t="s">
        <v>93</v>
      </c>
      <c r="N73" s="38"/>
      <c r="O73" s="37">
        <v>45</v>
      </c>
      <c r="P73" s="65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7"/>
      <c r="R73" s="627"/>
      <c r="S73" s="627"/>
      <c r="T73" s="62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170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171</v>
      </c>
      <c r="B74" s="63" t="s">
        <v>172</v>
      </c>
      <c r="C74" s="36">
        <v>4301051837</v>
      </c>
      <c r="D74" s="625">
        <v>4680115884311</v>
      </c>
      <c r="E74" s="62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84</v>
      </c>
      <c r="L74" s="37" t="s">
        <v>104</v>
      </c>
      <c r="M74" s="38" t="s">
        <v>93</v>
      </c>
      <c r="N74" s="38"/>
      <c r="O74" s="37">
        <v>40</v>
      </c>
      <c r="P74" s="65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7"/>
      <c r="R74" s="627"/>
      <c r="S74" s="627"/>
      <c r="T74" s="62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173</v>
      </c>
      <c r="AG74" s="78"/>
      <c r="AJ74" s="84" t="s">
        <v>105</v>
      </c>
      <c r="AK74" s="84">
        <v>25.2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174</v>
      </c>
      <c r="B75" s="63" t="s">
        <v>175</v>
      </c>
      <c r="C75" s="36">
        <v>4301051844</v>
      </c>
      <c r="D75" s="625">
        <v>4680115885929</v>
      </c>
      <c r="E75" s="62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84</v>
      </c>
      <c r="L75" s="37" t="s">
        <v>45</v>
      </c>
      <c r="M75" s="38" t="s">
        <v>93</v>
      </c>
      <c r="N75" s="38"/>
      <c r="O75" s="37">
        <v>45</v>
      </c>
      <c r="P75" s="65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7"/>
      <c r="R75" s="627"/>
      <c r="S75" s="627"/>
      <c r="T75" s="62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170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176</v>
      </c>
      <c r="B76" s="63" t="s">
        <v>177</v>
      </c>
      <c r="C76" s="36">
        <v>4301051929</v>
      </c>
      <c r="D76" s="625">
        <v>4680115884403</v>
      </c>
      <c r="E76" s="62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84</v>
      </c>
      <c r="L76" s="37" t="s">
        <v>104</v>
      </c>
      <c r="M76" s="38" t="s">
        <v>93</v>
      </c>
      <c r="N76" s="38"/>
      <c r="O76" s="37">
        <v>40</v>
      </c>
      <c r="P76" s="6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7"/>
      <c r="R76" s="627"/>
      <c r="S76" s="627"/>
      <c r="T76" s="62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178</v>
      </c>
      <c r="AG76" s="78"/>
      <c r="AJ76" s="84" t="s">
        <v>105</v>
      </c>
      <c r="AK76" s="84">
        <v>25.2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3"/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4"/>
      <c r="P77" s="630" t="s">
        <v>40</v>
      </c>
      <c r="Q77" s="631"/>
      <c r="R77" s="631"/>
      <c r="S77" s="631"/>
      <c r="T77" s="631"/>
      <c r="U77" s="631"/>
      <c r="V77" s="632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3"/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4"/>
      <c r="P78" s="630" t="s">
        <v>40</v>
      </c>
      <c r="Q78" s="631"/>
      <c r="R78" s="631"/>
      <c r="S78" s="631"/>
      <c r="T78" s="631"/>
      <c r="U78" s="631"/>
      <c r="V78" s="632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4" t="s">
        <v>179</v>
      </c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4"/>
      <c r="P79" s="624"/>
      <c r="Q79" s="624"/>
      <c r="R79" s="624"/>
      <c r="S79" s="624"/>
      <c r="T79" s="624"/>
      <c r="U79" s="624"/>
      <c r="V79" s="624"/>
      <c r="W79" s="624"/>
      <c r="X79" s="624"/>
      <c r="Y79" s="624"/>
      <c r="Z79" s="624"/>
      <c r="AA79" s="66"/>
      <c r="AB79" s="66"/>
      <c r="AC79" s="80"/>
    </row>
    <row r="80" spans="1:68" ht="27" customHeight="1" x14ac:dyDescent="0.25">
      <c r="A80" s="63" t="s">
        <v>180</v>
      </c>
      <c r="B80" s="63" t="s">
        <v>181</v>
      </c>
      <c r="C80" s="36">
        <v>4301060455</v>
      </c>
      <c r="D80" s="625">
        <v>4680115881532</v>
      </c>
      <c r="E80" s="625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121</v>
      </c>
      <c r="L80" s="37" t="s">
        <v>122</v>
      </c>
      <c r="M80" s="38" t="s">
        <v>100</v>
      </c>
      <c r="N80" s="38"/>
      <c r="O80" s="37">
        <v>30</v>
      </c>
      <c r="P80" s="6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7"/>
      <c r="R80" s="627"/>
      <c r="S80" s="627"/>
      <c r="T80" s="62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182</v>
      </c>
      <c r="AG80" s="78"/>
      <c r="AJ80" s="84" t="s">
        <v>105</v>
      </c>
      <c r="AK80" s="84">
        <v>62.4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183</v>
      </c>
      <c r="B81" s="63" t="s">
        <v>184</v>
      </c>
      <c r="C81" s="36">
        <v>4301060351</v>
      </c>
      <c r="D81" s="625">
        <v>4680115881464</v>
      </c>
      <c r="E81" s="625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125</v>
      </c>
      <c r="L81" s="37" t="s">
        <v>126</v>
      </c>
      <c r="M81" s="38" t="s">
        <v>93</v>
      </c>
      <c r="N81" s="38"/>
      <c r="O81" s="37">
        <v>30</v>
      </c>
      <c r="P81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7"/>
      <c r="R81" s="627"/>
      <c r="S81" s="627"/>
      <c r="T81" s="62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185</v>
      </c>
      <c r="AG81" s="78"/>
      <c r="AJ81" s="84" t="s">
        <v>105</v>
      </c>
      <c r="AK81" s="84">
        <v>28.8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3"/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4"/>
      <c r="P82" s="630" t="s">
        <v>40</v>
      </c>
      <c r="Q82" s="631"/>
      <c r="R82" s="631"/>
      <c r="S82" s="631"/>
      <c r="T82" s="631"/>
      <c r="U82" s="631"/>
      <c r="V82" s="632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33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4"/>
      <c r="P83" s="630" t="s">
        <v>40</v>
      </c>
      <c r="Q83" s="631"/>
      <c r="R83" s="631"/>
      <c r="S83" s="631"/>
      <c r="T83" s="631"/>
      <c r="U83" s="631"/>
      <c r="V83" s="632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23" t="s">
        <v>186</v>
      </c>
      <c r="B84" s="623"/>
      <c r="C84" s="623"/>
      <c r="D84" s="623"/>
      <c r="E84" s="623"/>
      <c r="F84" s="623"/>
      <c r="G84" s="623"/>
      <c r="H84" s="623"/>
      <c r="I84" s="623"/>
      <c r="J84" s="623"/>
      <c r="K84" s="623"/>
      <c r="L84" s="623"/>
      <c r="M84" s="623"/>
      <c r="N84" s="623"/>
      <c r="O84" s="623"/>
      <c r="P84" s="623"/>
      <c r="Q84" s="623"/>
      <c r="R84" s="623"/>
      <c r="S84" s="623"/>
      <c r="T84" s="623"/>
      <c r="U84" s="623"/>
      <c r="V84" s="623"/>
      <c r="W84" s="623"/>
      <c r="X84" s="623"/>
      <c r="Y84" s="623"/>
      <c r="Z84" s="623"/>
      <c r="AA84" s="65"/>
      <c r="AB84" s="65"/>
      <c r="AC84" s="79"/>
    </row>
    <row r="85" spans="1:68" ht="14.25" customHeight="1" x14ac:dyDescent="0.25">
      <c r="A85" s="624" t="s">
        <v>116</v>
      </c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6"/>
      <c r="AB85" s="66"/>
      <c r="AC85" s="80"/>
    </row>
    <row r="86" spans="1:68" ht="27" customHeight="1" x14ac:dyDescent="0.25">
      <c r="A86" s="63" t="s">
        <v>187</v>
      </c>
      <c r="B86" s="63" t="s">
        <v>188</v>
      </c>
      <c r="C86" s="36">
        <v>4301011468</v>
      </c>
      <c r="D86" s="625">
        <v>4680115881327</v>
      </c>
      <c r="E86" s="625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121</v>
      </c>
      <c r="L86" s="37" t="s">
        <v>122</v>
      </c>
      <c r="M86" s="38" t="s">
        <v>100</v>
      </c>
      <c r="N86" s="38"/>
      <c r="O86" s="37">
        <v>50</v>
      </c>
      <c r="P86" s="6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7"/>
      <c r="R86" s="627"/>
      <c r="S86" s="627"/>
      <c r="T86" s="62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189</v>
      </c>
      <c r="AG86" s="78"/>
      <c r="AJ86" s="84" t="s">
        <v>105</v>
      </c>
      <c r="AK86" s="84">
        <v>86.4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190</v>
      </c>
      <c r="B87" s="63" t="s">
        <v>191</v>
      </c>
      <c r="C87" s="36">
        <v>4301011476</v>
      </c>
      <c r="D87" s="625">
        <v>4680115881518</v>
      </c>
      <c r="E87" s="625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125</v>
      </c>
      <c r="L87" s="37" t="s">
        <v>45</v>
      </c>
      <c r="M87" s="38" t="s">
        <v>93</v>
      </c>
      <c r="N87" s="38"/>
      <c r="O87" s="37">
        <v>50</v>
      </c>
      <c r="P87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7"/>
      <c r="R87" s="627"/>
      <c r="S87" s="627"/>
      <c r="T87" s="62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189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192</v>
      </c>
      <c r="B88" s="63" t="s">
        <v>193</v>
      </c>
      <c r="C88" s="36">
        <v>4301011443</v>
      </c>
      <c r="D88" s="625">
        <v>4680115881303</v>
      </c>
      <c r="E88" s="625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125</v>
      </c>
      <c r="L88" s="37" t="s">
        <v>126</v>
      </c>
      <c r="M88" s="38" t="s">
        <v>100</v>
      </c>
      <c r="N88" s="38"/>
      <c r="O88" s="37">
        <v>50</v>
      </c>
      <c r="P88" s="6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27"/>
      <c r="R88" s="627"/>
      <c r="S88" s="627"/>
      <c r="T88" s="62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189</v>
      </c>
      <c r="AG88" s="78"/>
      <c r="AJ88" s="84" t="s">
        <v>105</v>
      </c>
      <c r="AK88" s="84">
        <v>54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33"/>
      <c r="B89" s="633"/>
      <c r="C89" s="633"/>
      <c r="D89" s="633"/>
      <c r="E89" s="633"/>
      <c r="F89" s="633"/>
      <c r="G89" s="633"/>
      <c r="H89" s="633"/>
      <c r="I89" s="633"/>
      <c r="J89" s="633"/>
      <c r="K89" s="633"/>
      <c r="L89" s="633"/>
      <c r="M89" s="633"/>
      <c r="N89" s="633"/>
      <c r="O89" s="634"/>
      <c r="P89" s="630" t="s">
        <v>40</v>
      </c>
      <c r="Q89" s="631"/>
      <c r="R89" s="631"/>
      <c r="S89" s="631"/>
      <c r="T89" s="631"/>
      <c r="U89" s="631"/>
      <c r="V89" s="632"/>
      <c r="W89" s="42" t="s">
        <v>39</v>
      </c>
      <c r="X89" s="43">
        <f>IFERROR(X86/H86,"0")+IFERROR(X87/H87,"0")+IFERROR(X88/H88,"0")</f>
        <v>0</v>
      </c>
      <c r="Y89" s="43">
        <f>IFERROR(Y86/H86,"0")+IFERROR(Y87/H87,"0")+IFERROR(Y88/H88,"0")</f>
        <v>0</v>
      </c>
      <c r="Z89" s="43">
        <f>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0</v>
      </c>
      <c r="X90" s="43">
        <f>IFERROR(SUM(X86:X88),"0")</f>
        <v>0</v>
      </c>
      <c r="Y90" s="43">
        <f>IFERROR(SUM(Y86:Y88),"0")</f>
        <v>0</v>
      </c>
      <c r="Z90" s="42"/>
      <c r="AA90" s="67"/>
      <c r="AB90" s="67"/>
      <c r="AC90" s="67"/>
    </row>
    <row r="91" spans="1:68" ht="14.25" customHeight="1" x14ac:dyDescent="0.25">
      <c r="A91" s="624" t="s">
        <v>89</v>
      </c>
      <c r="B91" s="624"/>
      <c r="C91" s="624"/>
      <c r="D91" s="624"/>
      <c r="E91" s="624"/>
      <c r="F91" s="624"/>
      <c r="G91" s="624"/>
      <c r="H91" s="624"/>
      <c r="I91" s="624"/>
      <c r="J91" s="624"/>
      <c r="K91" s="624"/>
      <c r="L91" s="624"/>
      <c r="M91" s="624"/>
      <c r="N91" s="624"/>
      <c r="O91" s="624"/>
      <c r="P91" s="624"/>
      <c r="Q91" s="624"/>
      <c r="R91" s="624"/>
      <c r="S91" s="624"/>
      <c r="T91" s="624"/>
      <c r="U91" s="624"/>
      <c r="V91" s="624"/>
      <c r="W91" s="624"/>
      <c r="X91" s="624"/>
      <c r="Y91" s="624"/>
      <c r="Z91" s="624"/>
      <c r="AA91" s="66"/>
      <c r="AB91" s="66"/>
      <c r="AC91" s="80"/>
    </row>
    <row r="92" spans="1:68" ht="27" customHeight="1" x14ac:dyDescent="0.25">
      <c r="A92" s="63" t="s">
        <v>194</v>
      </c>
      <c r="B92" s="63" t="s">
        <v>195</v>
      </c>
      <c r="C92" s="36">
        <v>4301051712</v>
      </c>
      <c r="D92" s="625">
        <v>4607091386967</v>
      </c>
      <c r="E92" s="625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121</v>
      </c>
      <c r="L92" s="37" t="s">
        <v>122</v>
      </c>
      <c r="M92" s="38" t="s">
        <v>100</v>
      </c>
      <c r="N92" s="38"/>
      <c r="O92" s="37">
        <v>45</v>
      </c>
      <c r="P92" s="6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27"/>
      <c r="R92" s="627"/>
      <c r="S92" s="627"/>
      <c r="T92" s="628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196</v>
      </c>
      <c r="AG92" s="78"/>
      <c r="AJ92" s="84" t="s">
        <v>105</v>
      </c>
      <c r="AK92" s="84">
        <v>64.8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197</v>
      </c>
      <c r="B93" s="63" t="s">
        <v>198</v>
      </c>
      <c r="C93" s="36">
        <v>4301051788</v>
      </c>
      <c r="D93" s="625">
        <v>4680115884953</v>
      </c>
      <c r="E93" s="625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84</v>
      </c>
      <c r="L93" s="37" t="s">
        <v>45</v>
      </c>
      <c r="M93" s="38" t="s">
        <v>93</v>
      </c>
      <c r="N93" s="38"/>
      <c r="O93" s="37">
        <v>45</v>
      </c>
      <c r="P93" s="6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27"/>
      <c r="R93" s="627"/>
      <c r="S93" s="627"/>
      <c r="T93" s="62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199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200</v>
      </c>
      <c r="B94" s="63" t="s">
        <v>201</v>
      </c>
      <c r="C94" s="36">
        <v>4301051718</v>
      </c>
      <c r="D94" s="625">
        <v>4607091385731</v>
      </c>
      <c r="E94" s="625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84</v>
      </c>
      <c r="L94" s="37" t="s">
        <v>45</v>
      </c>
      <c r="M94" s="38" t="s">
        <v>100</v>
      </c>
      <c r="N94" s="38"/>
      <c r="O94" s="37">
        <v>45</v>
      </c>
      <c r="P94" s="66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27"/>
      <c r="R94" s="627"/>
      <c r="S94" s="627"/>
      <c r="T94" s="62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196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202</v>
      </c>
      <c r="B95" s="63" t="s">
        <v>203</v>
      </c>
      <c r="C95" s="36">
        <v>4301051438</v>
      </c>
      <c r="D95" s="625">
        <v>4680115880894</v>
      </c>
      <c r="E95" s="625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84</v>
      </c>
      <c r="L95" s="37" t="s">
        <v>104</v>
      </c>
      <c r="M95" s="38" t="s">
        <v>93</v>
      </c>
      <c r="N95" s="38"/>
      <c r="O95" s="37">
        <v>45</v>
      </c>
      <c r="P95" s="66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27"/>
      <c r="R95" s="627"/>
      <c r="S95" s="627"/>
      <c r="T95" s="62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204</v>
      </c>
      <c r="AG95" s="78"/>
      <c r="AJ95" s="84" t="s">
        <v>105</v>
      </c>
      <c r="AK95" s="84">
        <v>27.72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33"/>
      <c r="B96" s="633"/>
      <c r="C96" s="633"/>
      <c r="D96" s="633"/>
      <c r="E96" s="633"/>
      <c r="F96" s="633"/>
      <c r="G96" s="633"/>
      <c r="H96" s="633"/>
      <c r="I96" s="633"/>
      <c r="J96" s="633"/>
      <c r="K96" s="633"/>
      <c r="L96" s="633"/>
      <c r="M96" s="633"/>
      <c r="N96" s="633"/>
      <c r="O96" s="634"/>
      <c r="P96" s="630" t="s">
        <v>40</v>
      </c>
      <c r="Q96" s="631"/>
      <c r="R96" s="631"/>
      <c r="S96" s="631"/>
      <c r="T96" s="631"/>
      <c r="U96" s="631"/>
      <c r="V96" s="632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23" t="s">
        <v>205</v>
      </c>
      <c r="B98" s="623"/>
      <c r="C98" s="623"/>
      <c r="D98" s="623"/>
      <c r="E98" s="623"/>
      <c r="F98" s="623"/>
      <c r="G98" s="623"/>
      <c r="H98" s="623"/>
      <c r="I98" s="623"/>
      <c r="J98" s="623"/>
      <c r="K98" s="623"/>
      <c r="L98" s="623"/>
      <c r="M98" s="623"/>
      <c r="N98" s="623"/>
      <c r="O98" s="623"/>
      <c r="P98" s="623"/>
      <c r="Q98" s="623"/>
      <c r="R98" s="623"/>
      <c r="S98" s="623"/>
      <c r="T98" s="623"/>
      <c r="U98" s="623"/>
      <c r="V98" s="623"/>
      <c r="W98" s="623"/>
      <c r="X98" s="623"/>
      <c r="Y98" s="623"/>
      <c r="Z98" s="623"/>
      <c r="AA98" s="65"/>
      <c r="AB98" s="65"/>
      <c r="AC98" s="79"/>
    </row>
    <row r="99" spans="1:68" ht="14.25" customHeight="1" x14ac:dyDescent="0.25">
      <c r="A99" s="624" t="s">
        <v>116</v>
      </c>
      <c r="B99" s="624"/>
      <c r="C99" s="624"/>
      <c r="D99" s="624"/>
      <c r="E99" s="624"/>
      <c r="F99" s="624"/>
      <c r="G99" s="624"/>
      <c r="H99" s="624"/>
      <c r="I99" s="624"/>
      <c r="J99" s="624"/>
      <c r="K99" s="624"/>
      <c r="L99" s="624"/>
      <c r="M99" s="624"/>
      <c r="N99" s="624"/>
      <c r="O99" s="624"/>
      <c r="P99" s="624"/>
      <c r="Q99" s="624"/>
      <c r="R99" s="624"/>
      <c r="S99" s="624"/>
      <c r="T99" s="624"/>
      <c r="U99" s="624"/>
      <c r="V99" s="624"/>
      <c r="W99" s="624"/>
      <c r="X99" s="624"/>
      <c r="Y99" s="624"/>
      <c r="Z99" s="624"/>
      <c r="AA99" s="66"/>
      <c r="AB99" s="66"/>
      <c r="AC99" s="80"/>
    </row>
    <row r="100" spans="1:68" ht="37.5" customHeight="1" x14ac:dyDescent="0.25">
      <c r="A100" s="63" t="s">
        <v>206</v>
      </c>
      <c r="B100" s="63" t="s">
        <v>207</v>
      </c>
      <c r="C100" s="36">
        <v>4301011514</v>
      </c>
      <c r="D100" s="625">
        <v>4680115882133</v>
      </c>
      <c r="E100" s="625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121</v>
      </c>
      <c r="L100" s="37" t="s">
        <v>122</v>
      </c>
      <c r="M100" s="38" t="s">
        <v>120</v>
      </c>
      <c r="N100" s="38"/>
      <c r="O100" s="37">
        <v>50</v>
      </c>
      <c r="P100" s="6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27"/>
      <c r="R100" s="627"/>
      <c r="S100" s="627"/>
      <c r="T100" s="628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208</v>
      </c>
      <c r="AG100" s="78"/>
      <c r="AJ100" s="84" t="s">
        <v>105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209</v>
      </c>
      <c r="B101" s="63" t="s">
        <v>210</v>
      </c>
      <c r="C101" s="36">
        <v>4301011417</v>
      </c>
      <c r="D101" s="625">
        <v>4680115880269</v>
      </c>
      <c r="E101" s="625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125</v>
      </c>
      <c r="L101" s="37" t="s">
        <v>126</v>
      </c>
      <c r="M101" s="38" t="s">
        <v>93</v>
      </c>
      <c r="N101" s="38"/>
      <c r="O101" s="37">
        <v>50</v>
      </c>
      <c r="P101" s="67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27"/>
      <c r="R101" s="627"/>
      <c r="S101" s="627"/>
      <c r="T101" s="62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208</v>
      </c>
      <c r="AG101" s="78"/>
      <c r="AJ101" s="84" t="s">
        <v>105</v>
      </c>
      <c r="AK101" s="84">
        <v>45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211</v>
      </c>
      <c r="B102" s="63" t="s">
        <v>212</v>
      </c>
      <c r="C102" s="36">
        <v>4301011415</v>
      </c>
      <c r="D102" s="625">
        <v>4680115880429</v>
      </c>
      <c r="E102" s="625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125</v>
      </c>
      <c r="L102" s="37" t="s">
        <v>126</v>
      </c>
      <c r="M102" s="38" t="s">
        <v>93</v>
      </c>
      <c r="N102" s="38"/>
      <c r="O102" s="37">
        <v>50</v>
      </c>
      <c r="P102" s="67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27"/>
      <c r="R102" s="627"/>
      <c r="S102" s="627"/>
      <c r="T102" s="62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208</v>
      </c>
      <c r="AG102" s="78"/>
      <c r="AJ102" s="84" t="s">
        <v>105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213</v>
      </c>
      <c r="B103" s="63" t="s">
        <v>214</v>
      </c>
      <c r="C103" s="36">
        <v>4301011462</v>
      </c>
      <c r="D103" s="625">
        <v>4680115881457</v>
      </c>
      <c r="E103" s="625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125</v>
      </c>
      <c r="L103" s="37" t="s">
        <v>45</v>
      </c>
      <c r="M103" s="38" t="s">
        <v>93</v>
      </c>
      <c r="N103" s="38"/>
      <c r="O103" s="37">
        <v>50</v>
      </c>
      <c r="P103" s="6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27"/>
      <c r="R103" s="627"/>
      <c r="S103" s="627"/>
      <c r="T103" s="62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208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3"/>
      <c r="B104" s="633"/>
      <c r="C104" s="633"/>
      <c r="D104" s="633"/>
      <c r="E104" s="633"/>
      <c r="F104" s="633"/>
      <c r="G104" s="633"/>
      <c r="H104" s="633"/>
      <c r="I104" s="633"/>
      <c r="J104" s="633"/>
      <c r="K104" s="633"/>
      <c r="L104" s="633"/>
      <c r="M104" s="633"/>
      <c r="N104" s="633"/>
      <c r="O104" s="634"/>
      <c r="P104" s="630" t="s">
        <v>40</v>
      </c>
      <c r="Q104" s="631"/>
      <c r="R104" s="631"/>
      <c r="S104" s="631"/>
      <c r="T104" s="631"/>
      <c r="U104" s="631"/>
      <c r="V104" s="632"/>
      <c r="W104" s="42" t="s">
        <v>39</v>
      </c>
      <c r="X104" s="43">
        <f>IFERROR(X100/H100,"0")+IFERROR(X101/H101,"0")+IFERROR(X102/H102,"0")+IFERROR(X103/H103,"0")</f>
        <v>0</v>
      </c>
      <c r="Y104" s="43">
        <f>IFERROR(Y100/H100,"0")+IFERROR(Y101/H101,"0")+IFERROR(Y102/H102,"0")+IFERROR(Y103/H103,"0")</f>
        <v>0</v>
      </c>
      <c r="Z104" s="43">
        <f>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3"/>
      <c r="B105" s="633"/>
      <c r="C105" s="633"/>
      <c r="D105" s="633"/>
      <c r="E105" s="633"/>
      <c r="F105" s="633"/>
      <c r="G105" s="633"/>
      <c r="H105" s="633"/>
      <c r="I105" s="633"/>
      <c r="J105" s="633"/>
      <c r="K105" s="633"/>
      <c r="L105" s="633"/>
      <c r="M105" s="633"/>
      <c r="N105" s="633"/>
      <c r="O105" s="634"/>
      <c r="P105" s="630" t="s">
        <v>40</v>
      </c>
      <c r="Q105" s="631"/>
      <c r="R105" s="631"/>
      <c r="S105" s="631"/>
      <c r="T105" s="631"/>
      <c r="U105" s="631"/>
      <c r="V105" s="632"/>
      <c r="W105" s="42" t="s">
        <v>0</v>
      </c>
      <c r="X105" s="43">
        <f>IFERROR(SUM(X100:X103),"0")</f>
        <v>0</v>
      </c>
      <c r="Y105" s="43">
        <f>IFERROR(SUM(Y100:Y103),"0")</f>
        <v>0</v>
      </c>
      <c r="Z105" s="42"/>
      <c r="AA105" s="67"/>
      <c r="AB105" s="67"/>
      <c r="AC105" s="67"/>
    </row>
    <row r="106" spans="1:68" ht="14.25" customHeight="1" x14ac:dyDescent="0.25">
      <c r="A106" s="624" t="s">
        <v>151</v>
      </c>
      <c r="B106" s="624"/>
      <c r="C106" s="624"/>
      <c r="D106" s="624"/>
      <c r="E106" s="624"/>
      <c r="F106" s="624"/>
      <c r="G106" s="624"/>
      <c r="H106" s="624"/>
      <c r="I106" s="624"/>
      <c r="J106" s="624"/>
      <c r="K106" s="624"/>
      <c r="L106" s="624"/>
      <c r="M106" s="624"/>
      <c r="N106" s="624"/>
      <c r="O106" s="624"/>
      <c r="P106" s="624"/>
      <c r="Q106" s="624"/>
      <c r="R106" s="624"/>
      <c r="S106" s="624"/>
      <c r="T106" s="624"/>
      <c r="U106" s="624"/>
      <c r="V106" s="624"/>
      <c r="W106" s="624"/>
      <c r="X106" s="624"/>
      <c r="Y106" s="624"/>
      <c r="Z106" s="624"/>
      <c r="AA106" s="66"/>
      <c r="AB106" s="66"/>
      <c r="AC106" s="80"/>
    </row>
    <row r="107" spans="1:68" ht="16.5" customHeight="1" x14ac:dyDescent="0.25">
      <c r="A107" s="63" t="s">
        <v>215</v>
      </c>
      <c r="B107" s="63" t="s">
        <v>216</v>
      </c>
      <c r="C107" s="36">
        <v>4301020345</v>
      </c>
      <c r="D107" s="625">
        <v>4680115881488</v>
      </c>
      <c r="E107" s="625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121</v>
      </c>
      <c r="L107" s="37" t="s">
        <v>45</v>
      </c>
      <c r="M107" s="38" t="s">
        <v>120</v>
      </c>
      <c r="N107" s="38"/>
      <c r="O107" s="37">
        <v>55</v>
      </c>
      <c r="P107" s="6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27"/>
      <c r="R107" s="627"/>
      <c r="S107" s="627"/>
      <c r="T107" s="628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217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218</v>
      </c>
      <c r="B108" s="63" t="s">
        <v>219</v>
      </c>
      <c r="C108" s="36">
        <v>4301020346</v>
      </c>
      <c r="D108" s="625">
        <v>4680115882775</v>
      </c>
      <c r="E108" s="625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88</v>
      </c>
      <c r="L108" s="37" t="s">
        <v>45</v>
      </c>
      <c r="M108" s="38" t="s">
        <v>120</v>
      </c>
      <c r="N108" s="38"/>
      <c r="O108" s="37">
        <v>55</v>
      </c>
      <c r="P108" s="67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27"/>
      <c r="R108" s="627"/>
      <c r="S108" s="627"/>
      <c r="T108" s="628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217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220</v>
      </c>
      <c r="B109" s="63" t="s">
        <v>221</v>
      </c>
      <c r="C109" s="36">
        <v>4301020344</v>
      </c>
      <c r="D109" s="625">
        <v>4680115880658</v>
      </c>
      <c r="E109" s="625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84</v>
      </c>
      <c r="L109" s="37" t="s">
        <v>45</v>
      </c>
      <c r="M109" s="38" t="s">
        <v>120</v>
      </c>
      <c r="N109" s="38"/>
      <c r="O109" s="37">
        <v>55</v>
      </c>
      <c r="P109" s="6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27"/>
      <c r="R109" s="627"/>
      <c r="S109" s="627"/>
      <c r="T109" s="62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217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633"/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4"/>
      <c r="P110" s="630" t="s">
        <v>40</v>
      </c>
      <c r="Q110" s="631"/>
      <c r="R110" s="631"/>
      <c r="S110" s="631"/>
      <c r="T110" s="631"/>
      <c r="U110" s="631"/>
      <c r="V110" s="632"/>
      <c r="W110" s="42" t="s">
        <v>39</v>
      </c>
      <c r="X110" s="43">
        <f>IFERROR(X107/H107,"0")+IFERROR(X108/H108,"0")+IFERROR(X109/H109,"0")</f>
        <v>0</v>
      </c>
      <c r="Y110" s="43">
        <f>IFERROR(Y107/H107,"0")+IFERROR(Y108/H108,"0")+IFERROR(Y109/H109,"0")</f>
        <v>0</v>
      </c>
      <c r="Z110" s="43">
        <f>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33"/>
      <c r="B111" s="633"/>
      <c r="C111" s="633"/>
      <c r="D111" s="633"/>
      <c r="E111" s="633"/>
      <c r="F111" s="633"/>
      <c r="G111" s="633"/>
      <c r="H111" s="633"/>
      <c r="I111" s="633"/>
      <c r="J111" s="633"/>
      <c r="K111" s="633"/>
      <c r="L111" s="633"/>
      <c r="M111" s="633"/>
      <c r="N111" s="633"/>
      <c r="O111" s="634"/>
      <c r="P111" s="630" t="s">
        <v>40</v>
      </c>
      <c r="Q111" s="631"/>
      <c r="R111" s="631"/>
      <c r="S111" s="631"/>
      <c r="T111" s="631"/>
      <c r="U111" s="631"/>
      <c r="V111" s="632"/>
      <c r="W111" s="42" t="s">
        <v>0</v>
      </c>
      <c r="X111" s="43">
        <f>IFERROR(SUM(X107:X109),"0")</f>
        <v>0</v>
      </c>
      <c r="Y111" s="43">
        <f>IFERROR(SUM(Y107:Y109),"0")</f>
        <v>0</v>
      </c>
      <c r="Z111" s="42"/>
      <c r="AA111" s="67"/>
      <c r="AB111" s="67"/>
      <c r="AC111" s="67"/>
    </row>
    <row r="112" spans="1:68" ht="14.25" customHeight="1" x14ac:dyDescent="0.25">
      <c r="A112" s="624" t="s">
        <v>89</v>
      </c>
      <c r="B112" s="624"/>
      <c r="C112" s="624"/>
      <c r="D112" s="624"/>
      <c r="E112" s="624"/>
      <c r="F112" s="624"/>
      <c r="G112" s="624"/>
      <c r="H112" s="624"/>
      <c r="I112" s="624"/>
      <c r="J112" s="624"/>
      <c r="K112" s="624"/>
      <c r="L112" s="624"/>
      <c r="M112" s="624"/>
      <c r="N112" s="624"/>
      <c r="O112" s="624"/>
      <c r="P112" s="624"/>
      <c r="Q112" s="624"/>
      <c r="R112" s="624"/>
      <c r="S112" s="624"/>
      <c r="T112" s="624"/>
      <c r="U112" s="624"/>
      <c r="V112" s="624"/>
      <c r="W112" s="624"/>
      <c r="X112" s="624"/>
      <c r="Y112" s="624"/>
      <c r="Z112" s="624"/>
      <c r="AA112" s="66"/>
      <c r="AB112" s="66"/>
      <c r="AC112" s="80"/>
    </row>
    <row r="113" spans="1:68" ht="27" customHeight="1" x14ac:dyDescent="0.25">
      <c r="A113" s="63" t="s">
        <v>222</v>
      </c>
      <c r="B113" s="63" t="s">
        <v>223</v>
      </c>
      <c r="C113" s="36">
        <v>4301051724</v>
      </c>
      <c r="D113" s="625">
        <v>4607091385168</v>
      </c>
      <c r="E113" s="625"/>
      <c r="F113" s="62">
        <v>1.35</v>
      </c>
      <c r="G113" s="37">
        <v>6</v>
      </c>
      <c r="H113" s="62">
        <v>8.1</v>
      </c>
      <c r="I113" s="62">
        <v>8.5879999999999992</v>
      </c>
      <c r="J113" s="37">
        <v>64</v>
      </c>
      <c r="K113" s="37" t="s">
        <v>121</v>
      </c>
      <c r="L113" s="37" t="s">
        <v>122</v>
      </c>
      <c r="M113" s="38" t="s">
        <v>100</v>
      </c>
      <c r="N113" s="38"/>
      <c r="O113" s="37">
        <v>45</v>
      </c>
      <c r="P113" s="6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27"/>
      <c r="R113" s="627"/>
      <c r="S113" s="627"/>
      <c r="T113" s="628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74" t="s">
        <v>224</v>
      </c>
      <c r="AG113" s="78"/>
      <c r="AJ113" s="84" t="s">
        <v>105</v>
      </c>
      <c r="AK113" s="84">
        <v>64.8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225</v>
      </c>
      <c r="B114" s="63" t="s">
        <v>226</v>
      </c>
      <c r="C114" s="36">
        <v>4301051730</v>
      </c>
      <c r="D114" s="625">
        <v>4607091383256</v>
      </c>
      <c r="E114" s="625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84</v>
      </c>
      <c r="L114" s="37" t="s">
        <v>104</v>
      </c>
      <c r="M114" s="38" t="s">
        <v>100</v>
      </c>
      <c r="N114" s="38"/>
      <c r="O114" s="37">
        <v>45</v>
      </c>
      <c r="P114" s="6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27"/>
      <c r="R114" s="627"/>
      <c r="S114" s="627"/>
      <c r="T114" s="628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224</v>
      </c>
      <c r="AG114" s="78"/>
      <c r="AJ114" s="84" t="s">
        <v>105</v>
      </c>
      <c r="AK114" s="84">
        <v>27.72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227</v>
      </c>
      <c r="B115" s="63" t="s">
        <v>228</v>
      </c>
      <c r="C115" s="36">
        <v>4301051721</v>
      </c>
      <c r="D115" s="625">
        <v>4607091385748</v>
      </c>
      <c r="E115" s="625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84</v>
      </c>
      <c r="L115" s="37" t="s">
        <v>104</v>
      </c>
      <c r="M115" s="38" t="s">
        <v>100</v>
      </c>
      <c r="N115" s="38"/>
      <c r="O115" s="37">
        <v>45</v>
      </c>
      <c r="P115" s="6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27"/>
      <c r="R115" s="627"/>
      <c r="S115" s="627"/>
      <c r="T115" s="628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224</v>
      </c>
      <c r="AG115" s="78"/>
      <c r="AJ115" s="84" t="s">
        <v>105</v>
      </c>
      <c r="AK115" s="84">
        <v>37.799999999999997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229</v>
      </c>
      <c r="B116" s="63" t="s">
        <v>230</v>
      </c>
      <c r="C116" s="36">
        <v>4301051740</v>
      </c>
      <c r="D116" s="625">
        <v>4680115884533</v>
      </c>
      <c r="E116" s="625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84</v>
      </c>
      <c r="L116" s="37" t="s">
        <v>104</v>
      </c>
      <c r="M116" s="38" t="s">
        <v>93</v>
      </c>
      <c r="N116" s="38"/>
      <c r="O116" s="37">
        <v>45</v>
      </c>
      <c r="P116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27"/>
      <c r="R116" s="627"/>
      <c r="S116" s="627"/>
      <c r="T116" s="62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231</v>
      </c>
      <c r="AG116" s="78"/>
      <c r="AJ116" s="84" t="s">
        <v>105</v>
      </c>
      <c r="AK116" s="84">
        <v>25.2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0" t="s">
        <v>40</v>
      </c>
      <c r="Q117" s="631"/>
      <c r="R117" s="631"/>
      <c r="S117" s="631"/>
      <c r="T117" s="631"/>
      <c r="U117" s="631"/>
      <c r="V117" s="632"/>
      <c r="W117" s="42" t="s">
        <v>39</v>
      </c>
      <c r="X117" s="43">
        <f>IFERROR(X113/H113,"0")+IFERROR(X114/H114,"0")+IFERROR(X115/H115,"0")+IFERROR(X116/H116,"0")</f>
        <v>0</v>
      </c>
      <c r="Y117" s="43">
        <f>IFERROR(Y113/H113,"0")+IFERROR(Y114/H114,"0")+IFERROR(Y115/H115,"0")+IFERROR(Y116/H116,"0")</f>
        <v>0</v>
      </c>
      <c r="Z117" s="43">
        <f>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33"/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4"/>
      <c r="P118" s="630" t="s">
        <v>40</v>
      </c>
      <c r="Q118" s="631"/>
      <c r="R118" s="631"/>
      <c r="S118" s="631"/>
      <c r="T118" s="631"/>
      <c r="U118" s="631"/>
      <c r="V118" s="632"/>
      <c r="W118" s="42" t="s">
        <v>0</v>
      </c>
      <c r="X118" s="43">
        <f>IFERROR(SUM(X113:X116),"0")</f>
        <v>0</v>
      </c>
      <c r="Y118" s="43">
        <f>IFERROR(SUM(Y113:Y116),"0")</f>
        <v>0</v>
      </c>
      <c r="Z118" s="42"/>
      <c r="AA118" s="67"/>
      <c r="AB118" s="67"/>
      <c r="AC118" s="67"/>
    </row>
    <row r="119" spans="1:68" ht="14.25" customHeight="1" x14ac:dyDescent="0.25">
      <c r="A119" s="624" t="s">
        <v>179</v>
      </c>
      <c r="B119" s="624"/>
      <c r="C119" s="624"/>
      <c r="D119" s="624"/>
      <c r="E119" s="624"/>
      <c r="F119" s="624"/>
      <c r="G119" s="624"/>
      <c r="H119" s="624"/>
      <c r="I119" s="624"/>
      <c r="J119" s="624"/>
      <c r="K119" s="624"/>
      <c r="L119" s="624"/>
      <c r="M119" s="624"/>
      <c r="N119" s="624"/>
      <c r="O119" s="624"/>
      <c r="P119" s="624"/>
      <c r="Q119" s="624"/>
      <c r="R119" s="624"/>
      <c r="S119" s="624"/>
      <c r="T119" s="624"/>
      <c r="U119" s="624"/>
      <c r="V119" s="624"/>
      <c r="W119" s="624"/>
      <c r="X119" s="624"/>
      <c r="Y119" s="624"/>
      <c r="Z119" s="624"/>
      <c r="AA119" s="66"/>
      <c r="AB119" s="66"/>
      <c r="AC119" s="80"/>
    </row>
    <row r="120" spans="1:68" ht="16.5" customHeight="1" x14ac:dyDescent="0.25">
      <c r="A120" s="63" t="s">
        <v>232</v>
      </c>
      <c r="B120" s="63" t="s">
        <v>233</v>
      </c>
      <c r="C120" s="36">
        <v>4301060317</v>
      </c>
      <c r="D120" s="625">
        <v>4680115880238</v>
      </c>
      <c r="E120" s="625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84</v>
      </c>
      <c r="L120" s="37" t="s">
        <v>104</v>
      </c>
      <c r="M120" s="38" t="s">
        <v>93</v>
      </c>
      <c r="N120" s="38"/>
      <c r="O120" s="37">
        <v>40</v>
      </c>
      <c r="P120" s="6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27"/>
      <c r="R120" s="627"/>
      <c r="S120" s="627"/>
      <c r="T120" s="628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234</v>
      </c>
      <c r="AG120" s="78"/>
      <c r="AJ120" s="84" t="s">
        <v>105</v>
      </c>
      <c r="AK120" s="84">
        <v>27.72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33"/>
      <c r="B121" s="633"/>
      <c r="C121" s="633"/>
      <c r="D121" s="633"/>
      <c r="E121" s="633"/>
      <c r="F121" s="633"/>
      <c r="G121" s="633"/>
      <c r="H121" s="633"/>
      <c r="I121" s="633"/>
      <c r="J121" s="633"/>
      <c r="K121" s="633"/>
      <c r="L121" s="633"/>
      <c r="M121" s="633"/>
      <c r="N121" s="633"/>
      <c r="O121" s="634"/>
      <c r="P121" s="630" t="s">
        <v>40</v>
      </c>
      <c r="Q121" s="631"/>
      <c r="R121" s="631"/>
      <c r="S121" s="631"/>
      <c r="T121" s="631"/>
      <c r="U121" s="631"/>
      <c r="V121" s="632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633"/>
      <c r="B122" s="633"/>
      <c r="C122" s="633"/>
      <c r="D122" s="633"/>
      <c r="E122" s="633"/>
      <c r="F122" s="633"/>
      <c r="G122" s="633"/>
      <c r="H122" s="633"/>
      <c r="I122" s="633"/>
      <c r="J122" s="633"/>
      <c r="K122" s="633"/>
      <c r="L122" s="633"/>
      <c r="M122" s="633"/>
      <c r="N122" s="633"/>
      <c r="O122" s="634"/>
      <c r="P122" s="630" t="s">
        <v>40</v>
      </c>
      <c r="Q122" s="631"/>
      <c r="R122" s="631"/>
      <c r="S122" s="631"/>
      <c r="T122" s="631"/>
      <c r="U122" s="631"/>
      <c r="V122" s="632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623" t="s">
        <v>235</v>
      </c>
      <c r="B123" s="623"/>
      <c r="C123" s="623"/>
      <c r="D123" s="623"/>
      <c r="E123" s="623"/>
      <c r="F123" s="623"/>
      <c r="G123" s="623"/>
      <c r="H123" s="623"/>
      <c r="I123" s="623"/>
      <c r="J123" s="623"/>
      <c r="K123" s="623"/>
      <c r="L123" s="623"/>
      <c r="M123" s="623"/>
      <c r="N123" s="623"/>
      <c r="O123" s="623"/>
      <c r="P123" s="623"/>
      <c r="Q123" s="623"/>
      <c r="R123" s="623"/>
      <c r="S123" s="623"/>
      <c r="T123" s="623"/>
      <c r="U123" s="623"/>
      <c r="V123" s="623"/>
      <c r="W123" s="623"/>
      <c r="X123" s="623"/>
      <c r="Y123" s="623"/>
      <c r="Z123" s="623"/>
      <c r="AA123" s="65"/>
      <c r="AB123" s="65"/>
      <c r="AC123" s="79"/>
    </row>
    <row r="124" spans="1:68" ht="14.25" customHeight="1" x14ac:dyDescent="0.25">
      <c r="A124" s="624" t="s">
        <v>116</v>
      </c>
      <c r="B124" s="624"/>
      <c r="C124" s="624"/>
      <c r="D124" s="624"/>
      <c r="E124" s="624"/>
      <c r="F124" s="624"/>
      <c r="G124" s="624"/>
      <c r="H124" s="624"/>
      <c r="I124" s="624"/>
      <c r="J124" s="624"/>
      <c r="K124" s="624"/>
      <c r="L124" s="624"/>
      <c r="M124" s="624"/>
      <c r="N124" s="624"/>
      <c r="O124" s="624"/>
      <c r="P124" s="624"/>
      <c r="Q124" s="624"/>
      <c r="R124" s="624"/>
      <c r="S124" s="624"/>
      <c r="T124" s="624"/>
      <c r="U124" s="624"/>
      <c r="V124" s="624"/>
      <c r="W124" s="624"/>
      <c r="X124" s="624"/>
      <c r="Y124" s="624"/>
      <c r="Z124" s="624"/>
      <c r="AA124" s="66"/>
      <c r="AB124" s="66"/>
      <c r="AC124" s="80"/>
    </row>
    <row r="125" spans="1:68" ht="27" customHeight="1" x14ac:dyDescent="0.25">
      <c r="A125" s="63" t="s">
        <v>236</v>
      </c>
      <c r="B125" s="63" t="s">
        <v>237</v>
      </c>
      <c r="C125" s="36">
        <v>4301011562</v>
      </c>
      <c r="D125" s="625">
        <v>4680115882577</v>
      </c>
      <c r="E125" s="625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84</v>
      </c>
      <c r="L125" s="37" t="s">
        <v>104</v>
      </c>
      <c r="M125" s="38" t="s">
        <v>113</v>
      </c>
      <c r="N125" s="38"/>
      <c r="O125" s="37">
        <v>90</v>
      </c>
      <c r="P125" s="6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627"/>
      <c r="R125" s="627"/>
      <c r="S125" s="627"/>
      <c r="T125" s="628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238</v>
      </c>
      <c r="AG125" s="78"/>
      <c r="AJ125" s="84" t="s">
        <v>105</v>
      </c>
      <c r="AK125" s="84">
        <v>44.8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236</v>
      </c>
      <c r="B126" s="63" t="s">
        <v>239</v>
      </c>
      <c r="C126" s="36">
        <v>4301011564</v>
      </c>
      <c r="D126" s="625">
        <v>4680115882577</v>
      </c>
      <c r="E126" s="625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84</v>
      </c>
      <c r="L126" s="37" t="s">
        <v>104</v>
      </c>
      <c r="M126" s="38" t="s">
        <v>113</v>
      </c>
      <c r="N126" s="38"/>
      <c r="O126" s="37">
        <v>90</v>
      </c>
      <c r="P126" s="6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27"/>
      <c r="R126" s="627"/>
      <c r="S126" s="627"/>
      <c r="T126" s="628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238</v>
      </c>
      <c r="AG126" s="78"/>
      <c r="AJ126" s="84" t="s">
        <v>105</v>
      </c>
      <c r="AK126" s="84">
        <v>44.8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33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0" t="s">
        <v>40</v>
      </c>
      <c r="Q127" s="631"/>
      <c r="R127" s="631"/>
      <c r="S127" s="631"/>
      <c r="T127" s="631"/>
      <c r="U127" s="631"/>
      <c r="V127" s="632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0" t="s">
        <v>40</v>
      </c>
      <c r="Q128" s="631"/>
      <c r="R128" s="631"/>
      <c r="S128" s="631"/>
      <c r="T128" s="631"/>
      <c r="U128" s="631"/>
      <c r="V128" s="632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624" t="s">
        <v>78</v>
      </c>
      <c r="B129" s="624"/>
      <c r="C129" s="624"/>
      <c r="D129" s="624"/>
      <c r="E129" s="624"/>
      <c r="F129" s="624"/>
      <c r="G129" s="624"/>
      <c r="H129" s="624"/>
      <c r="I129" s="624"/>
      <c r="J129" s="624"/>
      <c r="K129" s="624"/>
      <c r="L129" s="624"/>
      <c r="M129" s="624"/>
      <c r="N129" s="624"/>
      <c r="O129" s="624"/>
      <c r="P129" s="624"/>
      <c r="Q129" s="624"/>
      <c r="R129" s="624"/>
      <c r="S129" s="624"/>
      <c r="T129" s="624"/>
      <c r="U129" s="624"/>
      <c r="V129" s="624"/>
      <c r="W129" s="624"/>
      <c r="X129" s="624"/>
      <c r="Y129" s="624"/>
      <c r="Z129" s="624"/>
      <c r="AA129" s="66"/>
      <c r="AB129" s="66"/>
      <c r="AC129" s="80"/>
    </row>
    <row r="130" spans="1:68" ht="27" customHeight="1" x14ac:dyDescent="0.25">
      <c r="A130" s="63" t="s">
        <v>240</v>
      </c>
      <c r="B130" s="63" t="s">
        <v>241</v>
      </c>
      <c r="C130" s="36">
        <v>4301031235</v>
      </c>
      <c r="D130" s="625">
        <v>4680115883444</v>
      </c>
      <c r="E130" s="625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84</v>
      </c>
      <c r="L130" s="37" t="s">
        <v>104</v>
      </c>
      <c r="M130" s="38" t="s">
        <v>113</v>
      </c>
      <c r="N130" s="38"/>
      <c r="O130" s="37">
        <v>90</v>
      </c>
      <c r="P130" s="68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627"/>
      <c r="R130" s="627"/>
      <c r="S130" s="627"/>
      <c r="T130" s="628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242</v>
      </c>
      <c r="AG130" s="78"/>
      <c r="AJ130" s="84" t="s">
        <v>105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240</v>
      </c>
      <c r="B131" s="63" t="s">
        <v>243</v>
      </c>
      <c r="C131" s="36">
        <v>4301031234</v>
      </c>
      <c r="D131" s="625">
        <v>4680115883444</v>
      </c>
      <c r="E131" s="625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84</v>
      </c>
      <c r="L131" s="37" t="s">
        <v>104</v>
      </c>
      <c r="M131" s="38" t="s">
        <v>113</v>
      </c>
      <c r="N131" s="38"/>
      <c r="O131" s="37">
        <v>90</v>
      </c>
      <c r="P131" s="6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27"/>
      <c r="R131" s="627"/>
      <c r="S131" s="627"/>
      <c r="T131" s="628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242</v>
      </c>
      <c r="AG131" s="78"/>
      <c r="AJ131" s="84" t="s">
        <v>105</v>
      </c>
      <c r="AK131" s="84">
        <v>39.200000000000003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33"/>
      <c r="B132" s="633"/>
      <c r="C132" s="633"/>
      <c r="D132" s="633"/>
      <c r="E132" s="633"/>
      <c r="F132" s="633"/>
      <c r="G132" s="633"/>
      <c r="H132" s="633"/>
      <c r="I132" s="633"/>
      <c r="J132" s="633"/>
      <c r="K132" s="633"/>
      <c r="L132" s="633"/>
      <c r="M132" s="633"/>
      <c r="N132" s="633"/>
      <c r="O132" s="634"/>
      <c r="P132" s="630" t="s">
        <v>40</v>
      </c>
      <c r="Q132" s="631"/>
      <c r="R132" s="631"/>
      <c r="S132" s="631"/>
      <c r="T132" s="631"/>
      <c r="U132" s="631"/>
      <c r="V132" s="632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33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0" t="s">
        <v>40</v>
      </c>
      <c r="Q133" s="631"/>
      <c r="R133" s="631"/>
      <c r="S133" s="631"/>
      <c r="T133" s="631"/>
      <c r="U133" s="631"/>
      <c r="V133" s="632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24" t="s">
        <v>89</v>
      </c>
      <c r="B134" s="624"/>
      <c r="C134" s="624"/>
      <c r="D134" s="624"/>
      <c r="E134" s="624"/>
      <c r="F134" s="624"/>
      <c r="G134" s="624"/>
      <c r="H134" s="624"/>
      <c r="I134" s="624"/>
      <c r="J134" s="624"/>
      <c r="K134" s="624"/>
      <c r="L134" s="624"/>
      <c r="M134" s="624"/>
      <c r="N134" s="624"/>
      <c r="O134" s="624"/>
      <c r="P134" s="624"/>
      <c r="Q134" s="624"/>
      <c r="R134" s="624"/>
      <c r="S134" s="624"/>
      <c r="T134" s="624"/>
      <c r="U134" s="624"/>
      <c r="V134" s="624"/>
      <c r="W134" s="624"/>
      <c r="X134" s="624"/>
      <c r="Y134" s="624"/>
      <c r="Z134" s="624"/>
      <c r="AA134" s="66"/>
      <c r="AB134" s="66"/>
      <c r="AC134" s="80"/>
    </row>
    <row r="135" spans="1:68" ht="16.5" customHeight="1" x14ac:dyDescent="0.25">
      <c r="A135" s="63" t="s">
        <v>244</v>
      </c>
      <c r="B135" s="63" t="s">
        <v>245</v>
      </c>
      <c r="C135" s="36">
        <v>4301051477</v>
      </c>
      <c r="D135" s="625">
        <v>4680115882584</v>
      </c>
      <c r="E135" s="625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84</v>
      </c>
      <c r="L135" s="37" t="s">
        <v>45</v>
      </c>
      <c r="M135" s="38" t="s">
        <v>113</v>
      </c>
      <c r="N135" s="38"/>
      <c r="O135" s="37">
        <v>60</v>
      </c>
      <c r="P135" s="68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27"/>
      <c r="R135" s="627"/>
      <c r="S135" s="627"/>
      <c r="T135" s="628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238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customHeight="1" x14ac:dyDescent="0.25">
      <c r="A136" s="63" t="s">
        <v>244</v>
      </c>
      <c r="B136" s="63" t="s">
        <v>246</v>
      </c>
      <c r="C136" s="36">
        <v>4301051476</v>
      </c>
      <c r="D136" s="625">
        <v>4680115882584</v>
      </c>
      <c r="E136" s="625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84</v>
      </c>
      <c r="L136" s="37" t="s">
        <v>104</v>
      </c>
      <c r="M136" s="38" t="s">
        <v>113</v>
      </c>
      <c r="N136" s="38"/>
      <c r="O136" s="37">
        <v>60</v>
      </c>
      <c r="P136" s="6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27"/>
      <c r="R136" s="627"/>
      <c r="S136" s="627"/>
      <c r="T136" s="628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238</v>
      </c>
      <c r="AG136" s="78"/>
      <c r="AJ136" s="84" t="s">
        <v>105</v>
      </c>
      <c r="AK136" s="84">
        <v>36.96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33"/>
      <c r="B137" s="633"/>
      <c r="C137" s="633"/>
      <c r="D137" s="633"/>
      <c r="E137" s="633"/>
      <c r="F137" s="633"/>
      <c r="G137" s="633"/>
      <c r="H137" s="633"/>
      <c r="I137" s="633"/>
      <c r="J137" s="633"/>
      <c r="K137" s="633"/>
      <c r="L137" s="633"/>
      <c r="M137" s="633"/>
      <c r="N137" s="633"/>
      <c r="O137" s="634"/>
      <c r="P137" s="630" t="s">
        <v>40</v>
      </c>
      <c r="Q137" s="631"/>
      <c r="R137" s="631"/>
      <c r="S137" s="631"/>
      <c r="T137" s="631"/>
      <c r="U137" s="631"/>
      <c r="V137" s="632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33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0" t="s">
        <v>40</v>
      </c>
      <c r="Q138" s="631"/>
      <c r="R138" s="631"/>
      <c r="S138" s="631"/>
      <c r="T138" s="631"/>
      <c r="U138" s="631"/>
      <c r="V138" s="632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customHeight="1" x14ac:dyDescent="0.25">
      <c r="A139" s="623" t="s">
        <v>114</v>
      </c>
      <c r="B139" s="623"/>
      <c r="C139" s="623"/>
      <c r="D139" s="623"/>
      <c r="E139" s="623"/>
      <c r="F139" s="623"/>
      <c r="G139" s="623"/>
      <c r="H139" s="623"/>
      <c r="I139" s="623"/>
      <c r="J139" s="623"/>
      <c r="K139" s="623"/>
      <c r="L139" s="623"/>
      <c r="M139" s="623"/>
      <c r="N139" s="623"/>
      <c r="O139" s="623"/>
      <c r="P139" s="623"/>
      <c r="Q139" s="623"/>
      <c r="R139" s="623"/>
      <c r="S139" s="623"/>
      <c r="T139" s="623"/>
      <c r="U139" s="623"/>
      <c r="V139" s="623"/>
      <c r="W139" s="623"/>
      <c r="X139" s="623"/>
      <c r="Y139" s="623"/>
      <c r="Z139" s="623"/>
      <c r="AA139" s="65"/>
      <c r="AB139" s="65"/>
      <c r="AC139" s="79"/>
    </row>
    <row r="140" spans="1:68" ht="14.25" customHeight="1" x14ac:dyDescent="0.25">
      <c r="A140" s="624" t="s">
        <v>116</v>
      </c>
      <c r="B140" s="624"/>
      <c r="C140" s="624"/>
      <c r="D140" s="624"/>
      <c r="E140" s="624"/>
      <c r="F140" s="624"/>
      <c r="G140" s="624"/>
      <c r="H140" s="624"/>
      <c r="I140" s="624"/>
      <c r="J140" s="624"/>
      <c r="K140" s="624"/>
      <c r="L140" s="624"/>
      <c r="M140" s="624"/>
      <c r="N140" s="624"/>
      <c r="O140" s="624"/>
      <c r="P140" s="624"/>
      <c r="Q140" s="624"/>
      <c r="R140" s="624"/>
      <c r="S140" s="624"/>
      <c r="T140" s="624"/>
      <c r="U140" s="624"/>
      <c r="V140" s="624"/>
      <c r="W140" s="624"/>
      <c r="X140" s="624"/>
      <c r="Y140" s="624"/>
      <c r="Z140" s="624"/>
      <c r="AA140" s="66"/>
      <c r="AB140" s="66"/>
      <c r="AC140" s="80"/>
    </row>
    <row r="141" spans="1:68" ht="27" customHeight="1" x14ac:dyDescent="0.25">
      <c r="A141" s="63" t="s">
        <v>247</v>
      </c>
      <c r="B141" s="63" t="s">
        <v>248</v>
      </c>
      <c r="C141" s="36">
        <v>4301012244</v>
      </c>
      <c r="D141" s="625">
        <v>4680115887374</v>
      </c>
      <c r="E141" s="625"/>
      <c r="F141" s="62">
        <v>1.6</v>
      </c>
      <c r="G141" s="37">
        <v>8</v>
      </c>
      <c r="H141" s="62">
        <v>12.8</v>
      </c>
      <c r="I141" s="62">
        <v>13.21</v>
      </c>
      <c r="J141" s="37">
        <v>64</v>
      </c>
      <c r="K141" s="37" t="s">
        <v>121</v>
      </c>
      <c r="L141" s="37" t="s">
        <v>45</v>
      </c>
      <c r="M141" s="38" t="s">
        <v>120</v>
      </c>
      <c r="N141" s="38"/>
      <c r="O141" s="37">
        <v>55</v>
      </c>
      <c r="P141" s="68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27"/>
      <c r="R141" s="627"/>
      <c r="S141" s="627"/>
      <c r="T141" s="628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45</v>
      </c>
      <c r="AC141" s="196" t="s">
        <v>249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250</v>
      </c>
      <c r="B142" s="63" t="s">
        <v>251</v>
      </c>
      <c r="C142" s="36">
        <v>4301011705</v>
      </c>
      <c r="D142" s="625">
        <v>4607091384604</v>
      </c>
      <c r="E142" s="625"/>
      <c r="F142" s="62">
        <v>0.4</v>
      </c>
      <c r="G142" s="37">
        <v>10</v>
      </c>
      <c r="H142" s="62">
        <v>4</v>
      </c>
      <c r="I142" s="62">
        <v>4.1900000000000004</v>
      </c>
      <c r="J142" s="37">
        <v>132</v>
      </c>
      <c r="K142" s="37" t="s">
        <v>125</v>
      </c>
      <c r="L142" s="37" t="s">
        <v>126</v>
      </c>
      <c r="M142" s="38" t="s">
        <v>120</v>
      </c>
      <c r="N142" s="38"/>
      <c r="O142" s="37">
        <v>50</v>
      </c>
      <c r="P142" s="68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27"/>
      <c r="R142" s="627"/>
      <c r="S142" s="627"/>
      <c r="T142" s="628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105</v>
      </c>
      <c r="AK142" s="84">
        <v>48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33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0" t="s">
        <v>40</v>
      </c>
      <c r="Q143" s="631"/>
      <c r="R143" s="631"/>
      <c r="S143" s="631"/>
      <c r="T143" s="631"/>
      <c r="U143" s="631"/>
      <c r="V143" s="632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0" t="s">
        <v>40</v>
      </c>
      <c r="Q144" s="631"/>
      <c r="R144" s="631"/>
      <c r="S144" s="631"/>
      <c r="T144" s="631"/>
      <c r="U144" s="631"/>
      <c r="V144" s="632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24" t="s">
        <v>78</v>
      </c>
      <c r="B145" s="624"/>
      <c r="C145" s="624"/>
      <c r="D145" s="624"/>
      <c r="E145" s="624"/>
      <c r="F145" s="624"/>
      <c r="G145" s="624"/>
      <c r="H145" s="624"/>
      <c r="I145" s="624"/>
      <c r="J145" s="624"/>
      <c r="K145" s="624"/>
      <c r="L145" s="624"/>
      <c r="M145" s="624"/>
      <c r="N145" s="624"/>
      <c r="O145" s="624"/>
      <c r="P145" s="624"/>
      <c r="Q145" s="624"/>
      <c r="R145" s="624"/>
      <c r="S145" s="624"/>
      <c r="T145" s="624"/>
      <c r="U145" s="624"/>
      <c r="V145" s="624"/>
      <c r="W145" s="624"/>
      <c r="X145" s="624"/>
      <c r="Y145" s="624"/>
      <c r="Z145" s="624"/>
      <c r="AA145" s="66"/>
      <c r="AB145" s="66"/>
      <c r="AC145" s="80"/>
    </row>
    <row r="146" spans="1:68" ht="16.5" customHeight="1" x14ac:dyDescent="0.25">
      <c r="A146" s="63" t="s">
        <v>253</v>
      </c>
      <c r="B146" s="63" t="s">
        <v>254</v>
      </c>
      <c r="C146" s="36">
        <v>4301030895</v>
      </c>
      <c r="D146" s="625">
        <v>4607091387667</v>
      </c>
      <c r="E146" s="625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121</v>
      </c>
      <c r="L146" s="37" t="s">
        <v>122</v>
      </c>
      <c r="M146" s="38" t="s">
        <v>120</v>
      </c>
      <c r="N146" s="38"/>
      <c r="O146" s="37">
        <v>40</v>
      </c>
      <c r="P146" s="6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7"/>
      <c r="R146" s="627"/>
      <c r="S146" s="627"/>
      <c r="T146" s="628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255</v>
      </c>
      <c r="AG146" s="78"/>
      <c r="AJ146" s="84" t="s">
        <v>105</v>
      </c>
      <c r="AK146" s="84">
        <v>72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256</v>
      </c>
      <c r="B147" s="63" t="s">
        <v>257</v>
      </c>
      <c r="C147" s="36">
        <v>4301030961</v>
      </c>
      <c r="D147" s="625">
        <v>4607091387636</v>
      </c>
      <c r="E147" s="625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84</v>
      </c>
      <c r="L147" s="37" t="s">
        <v>45</v>
      </c>
      <c r="M147" s="38" t="s">
        <v>83</v>
      </c>
      <c r="N147" s="38"/>
      <c r="O147" s="37">
        <v>40</v>
      </c>
      <c r="P147" s="6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7"/>
      <c r="R147" s="627"/>
      <c r="S147" s="627"/>
      <c r="T147" s="628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259</v>
      </c>
      <c r="B148" s="63" t="s">
        <v>260</v>
      </c>
      <c r="C148" s="36">
        <v>4301030963</v>
      </c>
      <c r="D148" s="625">
        <v>4607091382426</v>
      </c>
      <c r="E148" s="625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121</v>
      </c>
      <c r="L148" s="37" t="s">
        <v>122</v>
      </c>
      <c r="M148" s="38" t="s">
        <v>83</v>
      </c>
      <c r="N148" s="38"/>
      <c r="O148" s="37">
        <v>40</v>
      </c>
      <c r="P148" s="6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7"/>
      <c r="R148" s="627"/>
      <c r="S148" s="627"/>
      <c r="T148" s="628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105</v>
      </c>
      <c r="AK148" s="84">
        <v>72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33"/>
      <c r="B149" s="633"/>
      <c r="C149" s="633"/>
      <c r="D149" s="633"/>
      <c r="E149" s="633"/>
      <c r="F149" s="633"/>
      <c r="G149" s="633"/>
      <c r="H149" s="633"/>
      <c r="I149" s="633"/>
      <c r="J149" s="633"/>
      <c r="K149" s="633"/>
      <c r="L149" s="633"/>
      <c r="M149" s="633"/>
      <c r="N149" s="633"/>
      <c r="O149" s="634"/>
      <c r="P149" s="630" t="s">
        <v>40</v>
      </c>
      <c r="Q149" s="631"/>
      <c r="R149" s="631"/>
      <c r="S149" s="631"/>
      <c r="T149" s="631"/>
      <c r="U149" s="631"/>
      <c r="V149" s="632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33"/>
      <c r="B150" s="633"/>
      <c r="C150" s="633"/>
      <c r="D150" s="633"/>
      <c r="E150" s="633"/>
      <c r="F150" s="633"/>
      <c r="G150" s="633"/>
      <c r="H150" s="633"/>
      <c r="I150" s="633"/>
      <c r="J150" s="633"/>
      <c r="K150" s="633"/>
      <c r="L150" s="633"/>
      <c r="M150" s="633"/>
      <c r="N150" s="633"/>
      <c r="O150" s="634"/>
      <c r="P150" s="630" t="s">
        <v>40</v>
      </c>
      <c r="Q150" s="631"/>
      <c r="R150" s="631"/>
      <c r="S150" s="631"/>
      <c r="T150" s="631"/>
      <c r="U150" s="631"/>
      <c r="V150" s="632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24" t="s">
        <v>89</v>
      </c>
      <c r="B151" s="624"/>
      <c r="C151" s="624"/>
      <c r="D151" s="624"/>
      <c r="E151" s="624"/>
      <c r="F151" s="624"/>
      <c r="G151" s="624"/>
      <c r="H151" s="624"/>
      <c r="I151" s="624"/>
      <c r="J151" s="624"/>
      <c r="K151" s="624"/>
      <c r="L151" s="624"/>
      <c r="M151" s="624"/>
      <c r="N151" s="624"/>
      <c r="O151" s="624"/>
      <c r="P151" s="624"/>
      <c r="Q151" s="624"/>
      <c r="R151" s="624"/>
      <c r="S151" s="624"/>
      <c r="T151" s="624"/>
      <c r="U151" s="624"/>
      <c r="V151" s="624"/>
      <c r="W151" s="624"/>
      <c r="X151" s="624"/>
      <c r="Y151" s="624"/>
      <c r="Z151" s="624"/>
      <c r="AA151" s="66"/>
      <c r="AB151" s="66"/>
      <c r="AC151" s="80"/>
    </row>
    <row r="152" spans="1:68" ht="27" customHeight="1" x14ac:dyDescent="0.25">
      <c r="A152" s="63" t="s">
        <v>262</v>
      </c>
      <c r="B152" s="63" t="s">
        <v>263</v>
      </c>
      <c r="C152" s="36">
        <v>4301052064</v>
      </c>
      <c r="D152" s="625">
        <v>4680115887459</v>
      </c>
      <c r="E152" s="625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84</v>
      </c>
      <c r="L152" s="37" t="s">
        <v>45</v>
      </c>
      <c r="M152" s="38" t="s">
        <v>93</v>
      </c>
      <c r="N152" s="38"/>
      <c r="O152" s="37">
        <v>45</v>
      </c>
      <c r="P152" s="6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627"/>
      <c r="R152" s="627"/>
      <c r="S152" s="627"/>
      <c r="T152" s="628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45</v>
      </c>
      <c r="AC152" s="206" t="s">
        <v>264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33"/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4"/>
      <c r="P153" s="630" t="s">
        <v>40</v>
      </c>
      <c r="Q153" s="631"/>
      <c r="R153" s="631"/>
      <c r="S153" s="631"/>
      <c r="T153" s="631"/>
      <c r="U153" s="631"/>
      <c r="V153" s="632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33"/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4"/>
      <c r="P154" s="630" t="s">
        <v>40</v>
      </c>
      <c r="Q154" s="631"/>
      <c r="R154" s="631"/>
      <c r="S154" s="631"/>
      <c r="T154" s="631"/>
      <c r="U154" s="631"/>
      <c r="V154" s="632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22" t="s">
        <v>265</v>
      </c>
      <c r="B155" s="622"/>
      <c r="C155" s="622"/>
      <c r="D155" s="622"/>
      <c r="E155" s="622"/>
      <c r="F155" s="622"/>
      <c r="G155" s="622"/>
      <c r="H155" s="622"/>
      <c r="I155" s="622"/>
      <c r="J155" s="622"/>
      <c r="K155" s="622"/>
      <c r="L155" s="622"/>
      <c r="M155" s="622"/>
      <c r="N155" s="622"/>
      <c r="O155" s="622"/>
      <c r="P155" s="622"/>
      <c r="Q155" s="622"/>
      <c r="R155" s="622"/>
      <c r="S155" s="622"/>
      <c r="T155" s="622"/>
      <c r="U155" s="622"/>
      <c r="V155" s="622"/>
      <c r="W155" s="622"/>
      <c r="X155" s="622"/>
      <c r="Y155" s="622"/>
      <c r="Z155" s="622"/>
      <c r="AA155" s="54"/>
      <c r="AB155" s="54"/>
      <c r="AC155" s="54"/>
    </row>
    <row r="156" spans="1:68" ht="16.5" customHeight="1" x14ac:dyDescent="0.25">
      <c r="A156" s="623" t="s">
        <v>266</v>
      </c>
      <c r="B156" s="623"/>
      <c r="C156" s="623"/>
      <c r="D156" s="623"/>
      <c r="E156" s="623"/>
      <c r="F156" s="623"/>
      <c r="G156" s="623"/>
      <c r="H156" s="623"/>
      <c r="I156" s="623"/>
      <c r="J156" s="623"/>
      <c r="K156" s="623"/>
      <c r="L156" s="623"/>
      <c r="M156" s="623"/>
      <c r="N156" s="623"/>
      <c r="O156" s="623"/>
      <c r="P156" s="623"/>
      <c r="Q156" s="623"/>
      <c r="R156" s="623"/>
      <c r="S156" s="623"/>
      <c r="T156" s="623"/>
      <c r="U156" s="623"/>
      <c r="V156" s="623"/>
      <c r="W156" s="623"/>
      <c r="X156" s="623"/>
      <c r="Y156" s="623"/>
      <c r="Z156" s="623"/>
      <c r="AA156" s="65"/>
      <c r="AB156" s="65"/>
      <c r="AC156" s="79"/>
    </row>
    <row r="157" spans="1:68" ht="14.25" customHeight="1" x14ac:dyDescent="0.25">
      <c r="A157" s="624" t="s">
        <v>151</v>
      </c>
      <c r="B157" s="624"/>
      <c r="C157" s="624"/>
      <c r="D157" s="624"/>
      <c r="E157" s="624"/>
      <c r="F157" s="624"/>
      <c r="G157" s="624"/>
      <c r="H157" s="624"/>
      <c r="I157" s="624"/>
      <c r="J157" s="624"/>
      <c r="K157" s="624"/>
      <c r="L157" s="624"/>
      <c r="M157" s="624"/>
      <c r="N157" s="624"/>
      <c r="O157" s="624"/>
      <c r="P157" s="624"/>
      <c r="Q157" s="624"/>
      <c r="R157" s="624"/>
      <c r="S157" s="624"/>
      <c r="T157" s="624"/>
      <c r="U157" s="624"/>
      <c r="V157" s="624"/>
      <c r="W157" s="624"/>
      <c r="X157" s="624"/>
      <c r="Y157" s="624"/>
      <c r="Z157" s="624"/>
      <c r="AA157" s="66"/>
      <c r="AB157" s="66"/>
      <c r="AC157" s="80"/>
    </row>
    <row r="158" spans="1:68" ht="27" customHeight="1" x14ac:dyDescent="0.25">
      <c r="A158" s="63" t="s">
        <v>267</v>
      </c>
      <c r="B158" s="63" t="s">
        <v>268</v>
      </c>
      <c r="C158" s="36">
        <v>4301020323</v>
      </c>
      <c r="D158" s="625">
        <v>4680115886223</v>
      </c>
      <c r="E158" s="625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88</v>
      </c>
      <c r="L158" s="37" t="s">
        <v>45</v>
      </c>
      <c r="M158" s="38" t="s">
        <v>83</v>
      </c>
      <c r="N158" s="38"/>
      <c r="O158" s="37">
        <v>40</v>
      </c>
      <c r="P158" s="69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7"/>
      <c r="R158" s="627"/>
      <c r="S158" s="627"/>
      <c r="T158" s="628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269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33"/>
      <c r="B159" s="633"/>
      <c r="C159" s="633"/>
      <c r="D159" s="633"/>
      <c r="E159" s="633"/>
      <c r="F159" s="633"/>
      <c r="G159" s="633"/>
      <c r="H159" s="633"/>
      <c r="I159" s="633"/>
      <c r="J159" s="633"/>
      <c r="K159" s="633"/>
      <c r="L159" s="633"/>
      <c r="M159" s="633"/>
      <c r="N159" s="633"/>
      <c r="O159" s="634"/>
      <c r="P159" s="630" t="s">
        <v>40</v>
      </c>
      <c r="Q159" s="631"/>
      <c r="R159" s="631"/>
      <c r="S159" s="631"/>
      <c r="T159" s="631"/>
      <c r="U159" s="631"/>
      <c r="V159" s="632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33"/>
      <c r="B160" s="633"/>
      <c r="C160" s="633"/>
      <c r="D160" s="633"/>
      <c r="E160" s="633"/>
      <c r="F160" s="633"/>
      <c r="G160" s="633"/>
      <c r="H160" s="633"/>
      <c r="I160" s="633"/>
      <c r="J160" s="633"/>
      <c r="K160" s="633"/>
      <c r="L160" s="633"/>
      <c r="M160" s="633"/>
      <c r="N160" s="633"/>
      <c r="O160" s="634"/>
      <c r="P160" s="630" t="s">
        <v>40</v>
      </c>
      <c r="Q160" s="631"/>
      <c r="R160" s="631"/>
      <c r="S160" s="631"/>
      <c r="T160" s="631"/>
      <c r="U160" s="631"/>
      <c r="V160" s="632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24" t="s">
        <v>78</v>
      </c>
      <c r="B161" s="624"/>
      <c r="C161" s="624"/>
      <c r="D161" s="624"/>
      <c r="E161" s="624"/>
      <c r="F161" s="624"/>
      <c r="G161" s="624"/>
      <c r="H161" s="624"/>
      <c r="I161" s="624"/>
      <c r="J161" s="624"/>
      <c r="K161" s="624"/>
      <c r="L161" s="624"/>
      <c r="M161" s="624"/>
      <c r="N161" s="624"/>
      <c r="O161" s="624"/>
      <c r="P161" s="624"/>
      <c r="Q161" s="624"/>
      <c r="R161" s="624"/>
      <c r="S161" s="624"/>
      <c r="T161" s="624"/>
      <c r="U161" s="624"/>
      <c r="V161" s="624"/>
      <c r="W161" s="624"/>
      <c r="X161" s="624"/>
      <c r="Y161" s="624"/>
      <c r="Z161" s="624"/>
      <c r="AA161" s="66"/>
      <c r="AB161" s="66"/>
      <c r="AC161" s="80"/>
    </row>
    <row r="162" spans="1:68" ht="27" customHeight="1" x14ac:dyDescent="0.25">
      <c r="A162" s="63" t="s">
        <v>270</v>
      </c>
      <c r="B162" s="63" t="s">
        <v>271</v>
      </c>
      <c r="C162" s="36">
        <v>4301031191</v>
      </c>
      <c r="D162" s="625">
        <v>4680115880993</v>
      </c>
      <c r="E162" s="625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125</v>
      </c>
      <c r="L162" s="37" t="s">
        <v>126</v>
      </c>
      <c r="M162" s="38" t="s">
        <v>83</v>
      </c>
      <c r="N162" s="38"/>
      <c r="O162" s="37">
        <v>40</v>
      </c>
      <c r="P162" s="69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627"/>
      <c r="R162" s="627"/>
      <c r="S162" s="627"/>
      <c r="T162" s="628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1" si="5">IFERROR(IF(X162="",0,CEILING((X162/$H162),1)*$H162),"")</f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272</v>
      </c>
      <c r="AG162" s="78"/>
      <c r="AJ162" s="84" t="s">
        <v>105</v>
      </c>
      <c r="AK162" s="84">
        <v>50.4</v>
      </c>
      <c r="BB162" s="211" t="s">
        <v>66</v>
      </c>
      <c r="BM162" s="78">
        <f t="shared" ref="BM162:BM171" si="6">IFERROR(X162*I162/H162,"0")</f>
        <v>0</v>
      </c>
      <c r="BN162" s="78">
        <f t="shared" ref="BN162:BN171" si="7">IFERROR(Y162*I162/H162,"0")</f>
        <v>0</v>
      </c>
      <c r="BO162" s="78">
        <f t="shared" ref="BO162:BO171" si="8">IFERROR(1/J162*(X162/H162),"0")</f>
        <v>0</v>
      </c>
      <c r="BP162" s="78">
        <f t="shared" ref="BP162:BP171" si="9">IFERROR(1/J162*(Y162/H162),"0")</f>
        <v>0</v>
      </c>
    </row>
    <row r="163" spans="1:68" ht="27" customHeight="1" x14ac:dyDescent="0.25">
      <c r="A163" s="63" t="s">
        <v>273</v>
      </c>
      <c r="B163" s="63" t="s">
        <v>274</v>
      </c>
      <c r="C163" s="36">
        <v>4301031204</v>
      </c>
      <c r="D163" s="625">
        <v>4680115881761</v>
      </c>
      <c r="E163" s="625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125</v>
      </c>
      <c r="L163" s="37" t="s">
        <v>45</v>
      </c>
      <c r="M163" s="38" t="s">
        <v>83</v>
      </c>
      <c r="N163" s="38"/>
      <c r="O163" s="37">
        <v>40</v>
      </c>
      <c r="P163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627"/>
      <c r="R163" s="627"/>
      <c r="S163" s="627"/>
      <c r="T163" s="628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275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276</v>
      </c>
      <c r="B164" s="63" t="s">
        <v>277</v>
      </c>
      <c r="C164" s="36">
        <v>4301031201</v>
      </c>
      <c r="D164" s="625">
        <v>4680115881563</v>
      </c>
      <c r="E164" s="625"/>
      <c r="F164" s="62">
        <v>0.7</v>
      </c>
      <c r="G164" s="37">
        <v>6</v>
      </c>
      <c r="H164" s="62">
        <v>4.2</v>
      </c>
      <c r="I164" s="62">
        <v>4.3899999999999997</v>
      </c>
      <c r="J164" s="37">
        <v>132</v>
      </c>
      <c r="K164" s="37" t="s">
        <v>125</v>
      </c>
      <c r="L164" s="37" t="s">
        <v>126</v>
      </c>
      <c r="M164" s="38" t="s">
        <v>83</v>
      </c>
      <c r="N164" s="38"/>
      <c r="O164" s="37">
        <v>40</v>
      </c>
      <c r="P164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627"/>
      <c r="R164" s="627"/>
      <c r="S164" s="627"/>
      <c r="T164" s="628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278</v>
      </c>
      <c r="AG164" s="78"/>
      <c r="AJ164" s="84" t="s">
        <v>105</v>
      </c>
      <c r="AK164" s="84">
        <v>50.4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279</v>
      </c>
      <c r="B165" s="63" t="s">
        <v>280</v>
      </c>
      <c r="C165" s="36">
        <v>4301031199</v>
      </c>
      <c r="D165" s="625">
        <v>4680115880986</v>
      </c>
      <c r="E165" s="625"/>
      <c r="F165" s="62">
        <v>0.35</v>
      </c>
      <c r="G165" s="37">
        <v>6</v>
      </c>
      <c r="H165" s="62">
        <v>2.1</v>
      </c>
      <c r="I165" s="62">
        <v>2.23</v>
      </c>
      <c r="J165" s="37">
        <v>234</v>
      </c>
      <c r="K165" s="37" t="s">
        <v>88</v>
      </c>
      <c r="L165" s="37" t="s">
        <v>281</v>
      </c>
      <c r="M165" s="38" t="s">
        <v>83</v>
      </c>
      <c r="N165" s="38"/>
      <c r="O165" s="37">
        <v>40</v>
      </c>
      <c r="P165" s="6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627"/>
      <c r="R165" s="627"/>
      <c r="S165" s="627"/>
      <c r="T165" s="628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272</v>
      </c>
      <c r="AG165" s="78"/>
      <c r="AJ165" s="84" t="s">
        <v>105</v>
      </c>
      <c r="AK165" s="84">
        <v>37.799999999999997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4301031443</v>
      </c>
      <c r="D166" s="625">
        <v>4680115887213</v>
      </c>
      <c r="E166" s="625"/>
      <c r="F166" s="62">
        <v>0.3</v>
      </c>
      <c r="G166" s="37">
        <v>6</v>
      </c>
      <c r="H166" s="62">
        <v>1.8</v>
      </c>
      <c r="I166" s="62">
        <v>1.9</v>
      </c>
      <c r="J166" s="37">
        <v>234</v>
      </c>
      <c r="K166" s="37" t="s">
        <v>88</v>
      </c>
      <c r="L166" s="37" t="s">
        <v>45</v>
      </c>
      <c r="M166" s="38" t="s">
        <v>83</v>
      </c>
      <c r="N166" s="38"/>
      <c r="O166" s="37">
        <v>45</v>
      </c>
      <c r="P166" s="6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627"/>
      <c r="R166" s="627"/>
      <c r="S166" s="627"/>
      <c r="T166" s="628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4301031205</v>
      </c>
      <c r="D167" s="625">
        <v>4680115881785</v>
      </c>
      <c r="E167" s="625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88</v>
      </c>
      <c r="L167" s="37" t="s">
        <v>281</v>
      </c>
      <c r="M167" s="38" t="s">
        <v>83</v>
      </c>
      <c r="N167" s="38"/>
      <c r="O167" s="37">
        <v>40</v>
      </c>
      <c r="P167" s="70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27"/>
      <c r="R167" s="627"/>
      <c r="S167" s="627"/>
      <c r="T167" s="62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275</v>
      </c>
      <c r="AG167" s="78"/>
      <c r="AJ167" s="84" t="s">
        <v>105</v>
      </c>
      <c r="AK167" s="84">
        <v>37.799999999999997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287</v>
      </c>
      <c r="B168" s="63" t="s">
        <v>288</v>
      </c>
      <c r="C168" s="36">
        <v>4301031399</v>
      </c>
      <c r="D168" s="625">
        <v>4680115886537</v>
      </c>
      <c r="E168" s="625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88</v>
      </c>
      <c r="L168" s="37" t="s">
        <v>45</v>
      </c>
      <c r="M168" s="38" t="s">
        <v>83</v>
      </c>
      <c r="N168" s="38"/>
      <c r="O168" s="37">
        <v>40</v>
      </c>
      <c r="P168" s="70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27"/>
      <c r="R168" s="627"/>
      <c r="S168" s="627"/>
      <c r="T168" s="62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289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customHeight="1" x14ac:dyDescent="0.25">
      <c r="A169" s="63" t="s">
        <v>290</v>
      </c>
      <c r="B169" s="63" t="s">
        <v>291</v>
      </c>
      <c r="C169" s="36">
        <v>4301031202</v>
      </c>
      <c r="D169" s="625">
        <v>4680115881679</v>
      </c>
      <c r="E169" s="625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88</v>
      </c>
      <c r="L169" s="37" t="s">
        <v>281</v>
      </c>
      <c r="M169" s="38" t="s">
        <v>83</v>
      </c>
      <c r="N169" s="38"/>
      <c r="O169" s="37">
        <v>40</v>
      </c>
      <c r="P169" s="70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27"/>
      <c r="R169" s="627"/>
      <c r="S169" s="627"/>
      <c r="T169" s="62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278</v>
      </c>
      <c r="AG169" s="78"/>
      <c r="AJ169" s="84" t="s">
        <v>105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292</v>
      </c>
      <c r="B170" s="63" t="s">
        <v>293</v>
      </c>
      <c r="C170" s="36">
        <v>4301031158</v>
      </c>
      <c r="D170" s="625">
        <v>4680115880191</v>
      </c>
      <c r="E170" s="625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84</v>
      </c>
      <c r="L170" s="37" t="s">
        <v>45</v>
      </c>
      <c r="M170" s="38" t="s">
        <v>83</v>
      </c>
      <c r="N170" s="38"/>
      <c r="O170" s="37">
        <v>40</v>
      </c>
      <c r="P170" s="70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27"/>
      <c r="R170" s="627"/>
      <c r="S170" s="627"/>
      <c r="T170" s="62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278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294</v>
      </c>
      <c r="B171" s="63" t="s">
        <v>295</v>
      </c>
      <c r="C171" s="36">
        <v>4301031245</v>
      </c>
      <c r="D171" s="625">
        <v>4680115883963</v>
      </c>
      <c r="E171" s="625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88</v>
      </c>
      <c r="L171" s="37" t="s">
        <v>45</v>
      </c>
      <c r="M171" s="38" t="s">
        <v>83</v>
      </c>
      <c r="N171" s="38"/>
      <c r="O171" s="37">
        <v>40</v>
      </c>
      <c r="P171" s="70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27"/>
      <c r="R171" s="627"/>
      <c r="S171" s="627"/>
      <c r="T171" s="62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296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633"/>
      <c r="B172" s="633"/>
      <c r="C172" s="633"/>
      <c r="D172" s="633"/>
      <c r="E172" s="633"/>
      <c r="F172" s="633"/>
      <c r="G172" s="633"/>
      <c r="H172" s="633"/>
      <c r="I172" s="633"/>
      <c r="J172" s="633"/>
      <c r="K172" s="633"/>
      <c r="L172" s="633"/>
      <c r="M172" s="633"/>
      <c r="N172" s="633"/>
      <c r="O172" s="634"/>
      <c r="P172" s="630" t="s">
        <v>40</v>
      </c>
      <c r="Q172" s="631"/>
      <c r="R172" s="631"/>
      <c r="S172" s="631"/>
      <c r="T172" s="631"/>
      <c r="U172" s="631"/>
      <c r="V172" s="632"/>
      <c r="W172" s="42" t="s">
        <v>39</v>
      </c>
      <c r="X172" s="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633"/>
      <c r="B173" s="633"/>
      <c r="C173" s="633"/>
      <c r="D173" s="633"/>
      <c r="E173" s="633"/>
      <c r="F173" s="633"/>
      <c r="G173" s="633"/>
      <c r="H173" s="633"/>
      <c r="I173" s="633"/>
      <c r="J173" s="633"/>
      <c r="K173" s="633"/>
      <c r="L173" s="633"/>
      <c r="M173" s="633"/>
      <c r="N173" s="633"/>
      <c r="O173" s="634"/>
      <c r="P173" s="630" t="s">
        <v>40</v>
      </c>
      <c r="Q173" s="631"/>
      <c r="R173" s="631"/>
      <c r="S173" s="631"/>
      <c r="T173" s="631"/>
      <c r="U173" s="631"/>
      <c r="V173" s="632"/>
      <c r="W173" s="42" t="s">
        <v>0</v>
      </c>
      <c r="X173" s="43">
        <f>IFERROR(SUM(X162:X171),"0")</f>
        <v>0</v>
      </c>
      <c r="Y173" s="43">
        <f>IFERROR(SUM(Y162:Y171),"0")</f>
        <v>0</v>
      </c>
      <c r="Z173" s="42"/>
      <c r="AA173" s="67"/>
      <c r="AB173" s="67"/>
      <c r="AC173" s="67"/>
    </row>
    <row r="174" spans="1:68" ht="14.25" customHeight="1" x14ac:dyDescent="0.25">
      <c r="A174" s="624" t="s">
        <v>108</v>
      </c>
      <c r="B174" s="624"/>
      <c r="C174" s="624"/>
      <c r="D174" s="624"/>
      <c r="E174" s="624"/>
      <c r="F174" s="624"/>
      <c r="G174" s="624"/>
      <c r="H174" s="624"/>
      <c r="I174" s="624"/>
      <c r="J174" s="624"/>
      <c r="K174" s="624"/>
      <c r="L174" s="624"/>
      <c r="M174" s="624"/>
      <c r="N174" s="624"/>
      <c r="O174" s="624"/>
      <c r="P174" s="624"/>
      <c r="Q174" s="624"/>
      <c r="R174" s="624"/>
      <c r="S174" s="624"/>
      <c r="T174" s="624"/>
      <c r="U174" s="624"/>
      <c r="V174" s="624"/>
      <c r="W174" s="624"/>
      <c r="X174" s="624"/>
      <c r="Y174" s="624"/>
      <c r="Z174" s="624"/>
      <c r="AA174" s="66"/>
      <c r="AB174" s="66"/>
      <c r="AC174" s="80"/>
    </row>
    <row r="175" spans="1:68" ht="27" customHeight="1" x14ac:dyDescent="0.25">
      <c r="A175" s="63" t="s">
        <v>297</v>
      </c>
      <c r="B175" s="63" t="s">
        <v>298</v>
      </c>
      <c r="C175" s="36">
        <v>4301032053</v>
      </c>
      <c r="D175" s="625">
        <v>4680115886780</v>
      </c>
      <c r="E175" s="625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301</v>
      </c>
      <c r="L175" s="37" t="s">
        <v>45</v>
      </c>
      <c r="M175" s="38" t="s">
        <v>300</v>
      </c>
      <c r="N175" s="38"/>
      <c r="O175" s="37">
        <v>60</v>
      </c>
      <c r="P175" s="70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27"/>
      <c r="R175" s="627"/>
      <c r="S175" s="627"/>
      <c r="T175" s="628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299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302</v>
      </c>
      <c r="B176" s="63" t="s">
        <v>303</v>
      </c>
      <c r="C176" s="36">
        <v>4301032051</v>
      </c>
      <c r="D176" s="625">
        <v>4680115886742</v>
      </c>
      <c r="E176" s="625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301</v>
      </c>
      <c r="L176" s="37" t="s">
        <v>45</v>
      </c>
      <c r="M176" s="38" t="s">
        <v>300</v>
      </c>
      <c r="N176" s="38"/>
      <c r="O176" s="37">
        <v>90</v>
      </c>
      <c r="P176" s="70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27"/>
      <c r="R176" s="627"/>
      <c r="S176" s="627"/>
      <c r="T176" s="628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304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customHeight="1" x14ac:dyDescent="0.25">
      <c r="A177" s="63" t="s">
        <v>305</v>
      </c>
      <c r="B177" s="63" t="s">
        <v>306</v>
      </c>
      <c r="C177" s="36">
        <v>4301032052</v>
      </c>
      <c r="D177" s="625">
        <v>4680115886766</v>
      </c>
      <c r="E177" s="625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301</v>
      </c>
      <c r="L177" s="37" t="s">
        <v>45</v>
      </c>
      <c r="M177" s="38" t="s">
        <v>300</v>
      </c>
      <c r="N177" s="38"/>
      <c r="O177" s="37">
        <v>90</v>
      </c>
      <c r="P177" s="7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27"/>
      <c r="R177" s="627"/>
      <c r="S177" s="627"/>
      <c r="T177" s="628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304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x14ac:dyDescent="0.2">
      <c r="A178" s="633"/>
      <c r="B178" s="633"/>
      <c r="C178" s="633"/>
      <c r="D178" s="633"/>
      <c r="E178" s="633"/>
      <c r="F178" s="633"/>
      <c r="G178" s="633"/>
      <c r="H178" s="633"/>
      <c r="I178" s="633"/>
      <c r="J178" s="633"/>
      <c r="K178" s="633"/>
      <c r="L178" s="633"/>
      <c r="M178" s="633"/>
      <c r="N178" s="633"/>
      <c r="O178" s="634"/>
      <c r="P178" s="630" t="s">
        <v>40</v>
      </c>
      <c r="Q178" s="631"/>
      <c r="R178" s="631"/>
      <c r="S178" s="631"/>
      <c r="T178" s="631"/>
      <c r="U178" s="631"/>
      <c r="V178" s="632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33"/>
      <c r="B179" s="633"/>
      <c r="C179" s="633"/>
      <c r="D179" s="633"/>
      <c r="E179" s="633"/>
      <c r="F179" s="633"/>
      <c r="G179" s="633"/>
      <c r="H179" s="633"/>
      <c r="I179" s="633"/>
      <c r="J179" s="633"/>
      <c r="K179" s="633"/>
      <c r="L179" s="633"/>
      <c r="M179" s="633"/>
      <c r="N179" s="633"/>
      <c r="O179" s="634"/>
      <c r="P179" s="630" t="s">
        <v>40</v>
      </c>
      <c r="Q179" s="631"/>
      <c r="R179" s="631"/>
      <c r="S179" s="631"/>
      <c r="T179" s="631"/>
      <c r="U179" s="631"/>
      <c r="V179" s="632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customHeight="1" x14ac:dyDescent="0.25">
      <c r="A180" s="624" t="s">
        <v>307</v>
      </c>
      <c r="B180" s="624"/>
      <c r="C180" s="624"/>
      <c r="D180" s="624"/>
      <c r="E180" s="624"/>
      <c r="F180" s="624"/>
      <c r="G180" s="624"/>
      <c r="H180" s="624"/>
      <c r="I180" s="624"/>
      <c r="J180" s="624"/>
      <c r="K180" s="624"/>
      <c r="L180" s="624"/>
      <c r="M180" s="624"/>
      <c r="N180" s="624"/>
      <c r="O180" s="624"/>
      <c r="P180" s="624"/>
      <c r="Q180" s="624"/>
      <c r="R180" s="624"/>
      <c r="S180" s="624"/>
      <c r="T180" s="624"/>
      <c r="U180" s="624"/>
      <c r="V180" s="624"/>
      <c r="W180" s="624"/>
      <c r="X180" s="624"/>
      <c r="Y180" s="624"/>
      <c r="Z180" s="624"/>
      <c r="AA180" s="66"/>
      <c r="AB180" s="66"/>
      <c r="AC180" s="80"/>
    </row>
    <row r="181" spans="1:68" ht="27" customHeight="1" x14ac:dyDescent="0.25">
      <c r="A181" s="63" t="s">
        <v>308</v>
      </c>
      <c r="B181" s="63" t="s">
        <v>309</v>
      </c>
      <c r="C181" s="36">
        <v>4301170013</v>
      </c>
      <c r="D181" s="625">
        <v>4680115886797</v>
      </c>
      <c r="E181" s="625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301</v>
      </c>
      <c r="L181" s="37" t="s">
        <v>45</v>
      </c>
      <c r="M181" s="38" t="s">
        <v>300</v>
      </c>
      <c r="N181" s="38"/>
      <c r="O181" s="37">
        <v>90</v>
      </c>
      <c r="P181" s="70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27"/>
      <c r="R181" s="627"/>
      <c r="S181" s="627"/>
      <c r="T181" s="628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304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0" t="s">
        <v>40</v>
      </c>
      <c r="Q182" s="631"/>
      <c r="R182" s="631"/>
      <c r="S182" s="631"/>
      <c r="T182" s="631"/>
      <c r="U182" s="631"/>
      <c r="V182" s="632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633"/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4"/>
      <c r="P183" s="630" t="s">
        <v>40</v>
      </c>
      <c r="Q183" s="631"/>
      <c r="R183" s="631"/>
      <c r="S183" s="631"/>
      <c r="T183" s="631"/>
      <c r="U183" s="631"/>
      <c r="V183" s="632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customHeight="1" x14ac:dyDescent="0.25">
      <c r="A184" s="623" t="s">
        <v>310</v>
      </c>
      <c r="B184" s="623"/>
      <c r="C184" s="623"/>
      <c r="D184" s="623"/>
      <c r="E184" s="623"/>
      <c r="F184" s="623"/>
      <c r="G184" s="623"/>
      <c r="H184" s="623"/>
      <c r="I184" s="623"/>
      <c r="J184" s="623"/>
      <c r="K184" s="623"/>
      <c r="L184" s="623"/>
      <c r="M184" s="623"/>
      <c r="N184" s="623"/>
      <c r="O184" s="623"/>
      <c r="P184" s="623"/>
      <c r="Q184" s="623"/>
      <c r="R184" s="623"/>
      <c r="S184" s="623"/>
      <c r="T184" s="623"/>
      <c r="U184" s="623"/>
      <c r="V184" s="623"/>
      <c r="W184" s="623"/>
      <c r="X184" s="623"/>
      <c r="Y184" s="623"/>
      <c r="Z184" s="623"/>
      <c r="AA184" s="65"/>
      <c r="AB184" s="65"/>
      <c r="AC184" s="79"/>
    </row>
    <row r="185" spans="1:68" ht="14.25" customHeight="1" x14ac:dyDescent="0.25">
      <c r="A185" s="624" t="s">
        <v>116</v>
      </c>
      <c r="B185" s="624"/>
      <c r="C185" s="624"/>
      <c r="D185" s="624"/>
      <c r="E185" s="624"/>
      <c r="F185" s="624"/>
      <c r="G185" s="624"/>
      <c r="H185" s="624"/>
      <c r="I185" s="624"/>
      <c r="J185" s="624"/>
      <c r="K185" s="624"/>
      <c r="L185" s="624"/>
      <c r="M185" s="624"/>
      <c r="N185" s="624"/>
      <c r="O185" s="624"/>
      <c r="P185" s="624"/>
      <c r="Q185" s="624"/>
      <c r="R185" s="624"/>
      <c r="S185" s="624"/>
      <c r="T185" s="624"/>
      <c r="U185" s="624"/>
      <c r="V185" s="624"/>
      <c r="W185" s="624"/>
      <c r="X185" s="624"/>
      <c r="Y185" s="624"/>
      <c r="Z185" s="624"/>
      <c r="AA185" s="66"/>
      <c r="AB185" s="66"/>
      <c r="AC185" s="80"/>
    </row>
    <row r="186" spans="1:68" ht="27" customHeight="1" x14ac:dyDescent="0.25">
      <c r="A186" s="63" t="s">
        <v>311</v>
      </c>
      <c r="B186" s="63" t="s">
        <v>312</v>
      </c>
      <c r="C186" s="36">
        <v>4301011450</v>
      </c>
      <c r="D186" s="625">
        <v>4680115881402</v>
      </c>
      <c r="E186" s="625"/>
      <c r="F186" s="62">
        <v>1.35</v>
      </c>
      <c r="G186" s="37">
        <v>8</v>
      </c>
      <c r="H186" s="62">
        <v>10.8</v>
      </c>
      <c r="I186" s="62">
        <v>11.21</v>
      </c>
      <c r="J186" s="37">
        <v>64</v>
      </c>
      <c r="K186" s="37" t="s">
        <v>121</v>
      </c>
      <c r="L186" s="37" t="s">
        <v>45</v>
      </c>
      <c r="M186" s="38" t="s">
        <v>120</v>
      </c>
      <c r="N186" s="38"/>
      <c r="O186" s="37">
        <v>55</v>
      </c>
      <c r="P186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27"/>
      <c r="R186" s="627"/>
      <c r="S186" s="627"/>
      <c r="T186" s="62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313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314</v>
      </c>
      <c r="B187" s="63" t="s">
        <v>315</v>
      </c>
      <c r="C187" s="36">
        <v>4301011768</v>
      </c>
      <c r="D187" s="625">
        <v>4680115881396</v>
      </c>
      <c r="E187" s="625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84</v>
      </c>
      <c r="L187" s="37" t="s">
        <v>104</v>
      </c>
      <c r="M187" s="38" t="s">
        <v>120</v>
      </c>
      <c r="N187" s="38"/>
      <c r="O187" s="37">
        <v>55</v>
      </c>
      <c r="P187" s="7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27"/>
      <c r="R187" s="627"/>
      <c r="S187" s="627"/>
      <c r="T187" s="628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313</v>
      </c>
      <c r="AG187" s="78"/>
      <c r="AJ187" s="84" t="s">
        <v>105</v>
      </c>
      <c r="AK187" s="84">
        <v>37.799999999999997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33"/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4"/>
      <c r="P188" s="630" t="s">
        <v>40</v>
      </c>
      <c r="Q188" s="631"/>
      <c r="R188" s="631"/>
      <c r="S188" s="631"/>
      <c r="T188" s="631"/>
      <c r="U188" s="631"/>
      <c r="V188" s="632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633"/>
      <c r="B189" s="633"/>
      <c r="C189" s="633"/>
      <c r="D189" s="633"/>
      <c r="E189" s="633"/>
      <c r="F189" s="633"/>
      <c r="G189" s="633"/>
      <c r="H189" s="633"/>
      <c r="I189" s="633"/>
      <c r="J189" s="633"/>
      <c r="K189" s="633"/>
      <c r="L189" s="633"/>
      <c r="M189" s="633"/>
      <c r="N189" s="633"/>
      <c r="O189" s="634"/>
      <c r="P189" s="630" t="s">
        <v>40</v>
      </c>
      <c r="Q189" s="631"/>
      <c r="R189" s="631"/>
      <c r="S189" s="631"/>
      <c r="T189" s="631"/>
      <c r="U189" s="631"/>
      <c r="V189" s="632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624" t="s">
        <v>151</v>
      </c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4"/>
      <c r="P190" s="624"/>
      <c r="Q190" s="624"/>
      <c r="R190" s="624"/>
      <c r="S190" s="624"/>
      <c r="T190" s="624"/>
      <c r="U190" s="624"/>
      <c r="V190" s="624"/>
      <c r="W190" s="624"/>
      <c r="X190" s="624"/>
      <c r="Y190" s="624"/>
      <c r="Z190" s="624"/>
      <c r="AA190" s="66"/>
      <c r="AB190" s="66"/>
      <c r="AC190" s="80"/>
    </row>
    <row r="191" spans="1:68" ht="16.5" customHeight="1" x14ac:dyDescent="0.25">
      <c r="A191" s="63" t="s">
        <v>316</v>
      </c>
      <c r="B191" s="63" t="s">
        <v>317</v>
      </c>
      <c r="C191" s="36">
        <v>4301020261</v>
      </c>
      <c r="D191" s="625">
        <v>4680115882935</v>
      </c>
      <c r="E191" s="625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121</v>
      </c>
      <c r="L191" s="37" t="s">
        <v>45</v>
      </c>
      <c r="M191" s="38" t="s">
        <v>120</v>
      </c>
      <c r="N191" s="38"/>
      <c r="O191" s="37">
        <v>50</v>
      </c>
      <c r="P191" s="7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27"/>
      <c r="R191" s="627"/>
      <c r="S191" s="627"/>
      <c r="T191" s="62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318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319</v>
      </c>
      <c r="B192" s="63" t="s">
        <v>320</v>
      </c>
      <c r="C192" s="36">
        <v>4301020220</v>
      </c>
      <c r="D192" s="625">
        <v>4680115880764</v>
      </c>
      <c r="E192" s="625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84</v>
      </c>
      <c r="L192" s="37" t="s">
        <v>45</v>
      </c>
      <c r="M192" s="38" t="s">
        <v>120</v>
      </c>
      <c r="N192" s="38"/>
      <c r="O192" s="37">
        <v>50</v>
      </c>
      <c r="P192" s="7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27"/>
      <c r="R192" s="627"/>
      <c r="S192" s="627"/>
      <c r="T192" s="628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318</v>
      </c>
      <c r="AG192" s="78"/>
      <c r="AJ192" s="84" t="s">
        <v>45</v>
      </c>
      <c r="AK192" s="84">
        <v>0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3"/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4"/>
      <c r="P193" s="630" t="s">
        <v>40</v>
      </c>
      <c r="Q193" s="631"/>
      <c r="R193" s="631"/>
      <c r="S193" s="631"/>
      <c r="T193" s="631"/>
      <c r="U193" s="631"/>
      <c r="V193" s="632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33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0" t="s">
        <v>40</v>
      </c>
      <c r="Q194" s="631"/>
      <c r="R194" s="631"/>
      <c r="S194" s="631"/>
      <c r="T194" s="631"/>
      <c r="U194" s="631"/>
      <c r="V194" s="632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4" t="s">
        <v>78</v>
      </c>
      <c r="B195" s="624"/>
      <c r="C195" s="624"/>
      <c r="D195" s="624"/>
      <c r="E195" s="624"/>
      <c r="F195" s="624"/>
      <c r="G195" s="624"/>
      <c r="H195" s="624"/>
      <c r="I195" s="624"/>
      <c r="J195" s="624"/>
      <c r="K195" s="624"/>
      <c r="L195" s="624"/>
      <c r="M195" s="624"/>
      <c r="N195" s="624"/>
      <c r="O195" s="624"/>
      <c r="P195" s="624"/>
      <c r="Q195" s="624"/>
      <c r="R195" s="624"/>
      <c r="S195" s="624"/>
      <c r="T195" s="624"/>
      <c r="U195" s="624"/>
      <c r="V195" s="624"/>
      <c r="W195" s="624"/>
      <c r="X195" s="624"/>
      <c r="Y195" s="624"/>
      <c r="Z195" s="624"/>
      <c r="AA195" s="66"/>
      <c r="AB195" s="66"/>
      <c r="AC195" s="80"/>
    </row>
    <row r="196" spans="1:68" ht="27" customHeight="1" x14ac:dyDescent="0.25">
      <c r="A196" s="63" t="s">
        <v>321</v>
      </c>
      <c r="B196" s="63" t="s">
        <v>322</v>
      </c>
      <c r="C196" s="36">
        <v>4301031224</v>
      </c>
      <c r="D196" s="625">
        <v>4680115882683</v>
      </c>
      <c r="E196" s="625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125</v>
      </c>
      <c r="L196" s="37" t="s">
        <v>126</v>
      </c>
      <c r="M196" s="38" t="s">
        <v>83</v>
      </c>
      <c r="N196" s="38"/>
      <c r="O196" s="37">
        <v>40</v>
      </c>
      <c r="P196" s="71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27"/>
      <c r="R196" s="627"/>
      <c r="S196" s="627"/>
      <c r="T196" s="628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323</v>
      </c>
      <c r="AG196" s="78"/>
      <c r="AJ196" s="84" t="s">
        <v>105</v>
      </c>
      <c r="AK196" s="84">
        <v>64.8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4301031230</v>
      </c>
      <c r="D197" s="625">
        <v>4680115882690</v>
      </c>
      <c r="E197" s="625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125</v>
      </c>
      <c r="L197" s="37" t="s">
        <v>126</v>
      </c>
      <c r="M197" s="38" t="s">
        <v>83</v>
      </c>
      <c r="N197" s="38"/>
      <c r="O197" s="37">
        <v>40</v>
      </c>
      <c r="P197" s="71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27"/>
      <c r="R197" s="627"/>
      <c r="S197" s="627"/>
      <c r="T197" s="628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326</v>
      </c>
      <c r="AG197" s="78"/>
      <c r="AJ197" s="84" t="s">
        <v>105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4301031220</v>
      </c>
      <c r="D198" s="625">
        <v>4680115882669</v>
      </c>
      <c r="E198" s="625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125</v>
      </c>
      <c r="L198" s="37" t="s">
        <v>126</v>
      </c>
      <c r="M198" s="38" t="s">
        <v>83</v>
      </c>
      <c r="N198" s="38"/>
      <c r="O198" s="37">
        <v>40</v>
      </c>
      <c r="P198" s="71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27"/>
      <c r="R198" s="627"/>
      <c r="S198" s="627"/>
      <c r="T198" s="628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329</v>
      </c>
      <c r="AG198" s="78"/>
      <c r="AJ198" s="84" t="s">
        <v>105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330</v>
      </c>
      <c r="B199" s="63" t="s">
        <v>331</v>
      </c>
      <c r="C199" s="36">
        <v>4301031221</v>
      </c>
      <c r="D199" s="625">
        <v>4680115882676</v>
      </c>
      <c r="E199" s="625"/>
      <c r="F199" s="62">
        <v>0.9</v>
      </c>
      <c r="G199" s="37">
        <v>6</v>
      </c>
      <c r="H199" s="62">
        <v>5.4</v>
      </c>
      <c r="I199" s="62">
        <v>5.59</v>
      </c>
      <c r="J199" s="37">
        <v>132</v>
      </c>
      <c r="K199" s="37" t="s">
        <v>125</v>
      </c>
      <c r="L199" s="37" t="s">
        <v>126</v>
      </c>
      <c r="M199" s="38" t="s">
        <v>83</v>
      </c>
      <c r="N199" s="38"/>
      <c r="O199" s="37">
        <v>40</v>
      </c>
      <c r="P199" s="7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27"/>
      <c r="R199" s="627"/>
      <c r="S199" s="627"/>
      <c r="T199" s="628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332</v>
      </c>
      <c r="AG199" s="78"/>
      <c r="AJ199" s="84" t="s">
        <v>105</v>
      </c>
      <c r="AK199" s="84">
        <v>64.8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333</v>
      </c>
      <c r="B200" s="63" t="s">
        <v>334</v>
      </c>
      <c r="C200" s="36">
        <v>4301031223</v>
      </c>
      <c r="D200" s="625">
        <v>4680115884014</v>
      </c>
      <c r="E200" s="625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88</v>
      </c>
      <c r="L200" s="37" t="s">
        <v>281</v>
      </c>
      <c r="M200" s="38" t="s">
        <v>83</v>
      </c>
      <c r="N200" s="38"/>
      <c r="O200" s="37">
        <v>40</v>
      </c>
      <c r="P200" s="71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27"/>
      <c r="R200" s="627"/>
      <c r="S200" s="627"/>
      <c r="T200" s="628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323</v>
      </c>
      <c r="AG200" s="78"/>
      <c r="AJ200" s="84" t="s">
        <v>105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335</v>
      </c>
      <c r="B201" s="63" t="s">
        <v>336</v>
      </c>
      <c r="C201" s="36">
        <v>4301031222</v>
      </c>
      <c r="D201" s="625">
        <v>4680115884007</v>
      </c>
      <c r="E201" s="625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88</v>
      </c>
      <c r="L201" s="37" t="s">
        <v>281</v>
      </c>
      <c r="M201" s="38" t="s">
        <v>83</v>
      </c>
      <c r="N201" s="38"/>
      <c r="O201" s="37">
        <v>40</v>
      </c>
      <c r="P201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27"/>
      <c r="R201" s="627"/>
      <c r="S201" s="627"/>
      <c r="T201" s="628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326</v>
      </c>
      <c r="AG201" s="78"/>
      <c r="AJ201" s="84" t="s">
        <v>105</v>
      </c>
      <c r="AK201" s="84">
        <v>32.4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337</v>
      </c>
      <c r="B202" s="63" t="s">
        <v>338</v>
      </c>
      <c r="C202" s="36">
        <v>4301031229</v>
      </c>
      <c r="D202" s="625">
        <v>4680115884038</v>
      </c>
      <c r="E202" s="625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88</v>
      </c>
      <c r="L202" s="37" t="s">
        <v>45</v>
      </c>
      <c r="M202" s="38" t="s">
        <v>83</v>
      </c>
      <c r="N202" s="38"/>
      <c r="O202" s="37">
        <v>40</v>
      </c>
      <c r="P202" s="71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27"/>
      <c r="R202" s="627"/>
      <c r="S202" s="627"/>
      <c r="T202" s="628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329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339</v>
      </c>
      <c r="B203" s="63" t="s">
        <v>340</v>
      </c>
      <c r="C203" s="36">
        <v>4301031225</v>
      </c>
      <c r="D203" s="625">
        <v>4680115884021</v>
      </c>
      <c r="E203" s="625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88</v>
      </c>
      <c r="L203" s="37" t="s">
        <v>281</v>
      </c>
      <c r="M203" s="38" t="s">
        <v>83</v>
      </c>
      <c r="N203" s="38"/>
      <c r="O203" s="37">
        <v>40</v>
      </c>
      <c r="P203" s="72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27"/>
      <c r="R203" s="627"/>
      <c r="S203" s="627"/>
      <c r="T203" s="628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332</v>
      </c>
      <c r="AG203" s="78"/>
      <c r="AJ203" s="84" t="s">
        <v>105</v>
      </c>
      <c r="AK203" s="84">
        <v>32.4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633"/>
      <c r="B204" s="633"/>
      <c r="C204" s="633"/>
      <c r="D204" s="633"/>
      <c r="E204" s="633"/>
      <c r="F204" s="633"/>
      <c r="G204" s="633"/>
      <c r="H204" s="633"/>
      <c r="I204" s="633"/>
      <c r="J204" s="633"/>
      <c r="K204" s="633"/>
      <c r="L204" s="633"/>
      <c r="M204" s="633"/>
      <c r="N204" s="633"/>
      <c r="O204" s="634"/>
      <c r="P204" s="630" t="s">
        <v>40</v>
      </c>
      <c r="Q204" s="631"/>
      <c r="R204" s="631"/>
      <c r="S204" s="631"/>
      <c r="T204" s="631"/>
      <c r="U204" s="631"/>
      <c r="V204" s="632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633"/>
      <c r="B205" s="633"/>
      <c r="C205" s="633"/>
      <c r="D205" s="633"/>
      <c r="E205" s="633"/>
      <c r="F205" s="633"/>
      <c r="G205" s="633"/>
      <c r="H205" s="633"/>
      <c r="I205" s="633"/>
      <c r="J205" s="633"/>
      <c r="K205" s="633"/>
      <c r="L205" s="633"/>
      <c r="M205" s="633"/>
      <c r="N205" s="633"/>
      <c r="O205" s="634"/>
      <c r="P205" s="630" t="s">
        <v>40</v>
      </c>
      <c r="Q205" s="631"/>
      <c r="R205" s="631"/>
      <c r="S205" s="631"/>
      <c r="T205" s="631"/>
      <c r="U205" s="631"/>
      <c r="V205" s="632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624" t="s">
        <v>89</v>
      </c>
      <c r="B206" s="624"/>
      <c r="C206" s="624"/>
      <c r="D206" s="624"/>
      <c r="E206" s="624"/>
      <c r="F206" s="624"/>
      <c r="G206" s="624"/>
      <c r="H206" s="624"/>
      <c r="I206" s="624"/>
      <c r="J206" s="624"/>
      <c r="K206" s="624"/>
      <c r="L206" s="624"/>
      <c r="M206" s="624"/>
      <c r="N206" s="624"/>
      <c r="O206" s="624"/>
      <c r="P206" s="624"/>
      <c r="Q206" s="624"/>
      <c r="R206" s="624"/>
      <c r="S206" s="624"/>
      <c r="T206" s="624"/>
      <c r="U206" s="624"/>
      <c r="V206" s="624"/>
      <c r="W206" s="624"/>
      <c r="X206" s="624"/>
      <c r="Y206" s="624"/>
      <c r="Z206" s="624"/>
      <c r="AA206" s="66"/>
      <c r="AB206" s="66"/>
      <c r="AC206" s="80"/>
    </row>
    <row r="207" spans="1:68" ht="27" customHeight="1" x14ac:dyDescent="0.25">
      <c r="A207" s="63" t="s">
        <v>341</v>
      </c>
      <c r="B207" s="63" t="s">
        <v>342</v>
      </c>
      <c r="C207" s="36">
        <v>4301051408</v>
      </c>
      <c r="D207" s="625">
        <v>4680115881594</v>
      </c>
      <c r="E207" s="625"/>
      <c r="F207" s="62">
        <v>1.35</v>
      </c>
      <c r="G207" s="37">
        <v>6</v>
      </c>
      <c r="H207" s="62">
        <v>8.1</v>
      </c>
      <c r="I207" s="62">
        <v>8.5939999999999994</v>
      </c>
      <c r="J207" s="37">
        <v>64</v>
      </c>
      <c r="K207" s="37" t="s">
        <v>121</v>
      </c>
      <c r="L207" s="37" t="s">
        <v>45</v>
      </c>
      <c r="M207" s="38" t="s">
        <v>93</v>
      </c>
      <c r="N207" s="38"/>
      <c r="O207" s="37">
        <v>40</v>
      </c>
      <c r="P207" s="7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27"/>
      <c r="R207" s="627"/>
      <c r="S207" s="627"/>
      <c r="T207" s="62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343</v>
      </c>
      <c r="AG207" s="78"/>
      <c r="AJ207" s="84" t="s">
        <v>45</v>
      </c>
      <c r="AK207" s="84">
        <v>0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customHeight="1" x14ac:dyDescent="0.25">
      <c r="A208" s="63" t="s">
        <v>344</v>
      </c>
      <c r="B208" s="63" t="s">
        <v>345</v>
      </c>
      <c r="C208" s="36">
        <v>4301051411</v>
      </c>
      <c r="D208" s="625">
        <v>4680115881617</v>
      </c>
      <c r="E208" s="625"/>
      <c r="F208" s="62">
        <v>1.35</v>
      </c>
      <c r="G208" s="37">
        <v>6</v>
      </c>
      <c r="H208" s="62">
        <v>8.1</v>
      </c>
      <c r="I208" s="62">
        <v>8.5760000000000005</v>
      </c>
      <c r="J208" s="37">
        <v>64</v>
      </c>
      <c r="K208" s="37" t="s">
        <v>121</v>
      </c>
      <c r="L208" s="37" t="s">
        <v>45</v>
      </c>
      <c r="M208" s="38" t="s">
        <v>93</v>
      </c>
      <c r="N208" s="38"/>
      <c r="O208" s="37">
        <v>40</v>
      </c>
      <c r="P208" s="72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27"/>
      <c r="R208" s="627"/>
      <c r="S208" s="627"/>
      <c r="T208" s="62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346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347</v>
      </c>
      <c r="B209" s="63" t="s">
        <v>348</v>
      </c>
      <c r="C209" s="36">
        <v>4301051656</v>
      </c>
      <c r="D209" s="625">
        <v>4680115880573</v>
      </c>
      <c r="E209" s="625"/>
      <c r="F209" s="62">
        <v>1.45</v>
      </c>
      <c r="G209" s="37">
        <v>6</v>
      </c>
      <c r="H209" s="62">
        <v>8.6999999999999993</v>
      </c>
      <c r="I209" s="62">
        <v>9.1940000000000008</v>
      </c>
      <c r="J209" s="37">
        <v>64</v>
      </c>
      <c r="K209" s="37" t="s">
        <v>121</v>
      </c>
      <c r="L209" s="37" t="s">
        <v>122</v>
      </c>
      <c r="M209" s="38" t="s">
        <v>93</v>
      </c>
      <c r="N209" s="38"/>
      <c r="O209" s="37">
        <v>45</v>
      </c>
      <c r="P209" s="72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27"/>
      <c r="R209" s="627"/>
      <c r="S209" s="627"/>
      <c r="T209" s="62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349</v>
      </c>
      <c r="AG209" s="78"/>
      <c r="AJ209" s="84" t="s">
        <v>105</v>
      </c>
      <c r="AK209" s="84">
        <v>69.599999999999994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350</v>
      </c>
      <c r="B210" s="63" t="s">
        <v>351</v>
      </c>
      <c r="C210" s="36">
        <v>4301051407</v>
      </c>
      <c r="D210" s="625">
        <v>4680115882195</v>
      </c>
      <c r="E210" s="625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84</v>
      </c>
      <c r="L210" s="37" t="s">
        <v>104</v>
      </c>
      <c r="M210" s="38" t="s">
        <v>93</v>
      </c>
      <c r="N210" s="38"/>
      <c r="O210" s="37">
        <v>40</v>
      </c>
      <c r="P210" s="72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27"/>
      <c r="R210" s="627"/>
      <c r="S210" s="627"/>
      <c r="T210" s="62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343</v>
      </c>
      <c r="AG210" s="78"/>
      <c r="AJ210" s="84" t="s">
        <v>105</v>
      </c>
      <c r="AK210" s="84">
        <v>33.6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352</v>
      </c>
      <c r="B211" s="63" t="s">
        <v>353</v>
      </c>
      <c r="C211" s="36">
        <v>4301051752</v>
      </c>
      <c r="D211" s="625">
        <v>4680115882607</v>
      </c>
      <c r="E211" s="625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84</v>
      </c>
      <c r="L211" s="37" t="s">
        <v>104</v>
      </c>
      <c r="M211" s="38" t="s">
        <v>100</v>
      </c>
      <c r="N211" s="38"/>
      <c r="O211" s="37">
        <v>45</v>
      </c>
      <c r="P211" s="72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27"/>
      <c r="R211" s="627"/>
      <c r="S211" s="627"/>
      <c r="T211" s="62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349</v>
      </c>
      <c r="AG211" s="78"/>
      <c r="AJ211" s="84" t="s">
        <v>105</v>
      </c>
      <c r="AK211" s="84">
        <v>25.2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354</v>
      </c>
      <c r="B212" s="63" t="s">
        <v>355</v>
      </c>
      <c r="C212" s="36">
        <v>4301051666</v>
      </c>
      <c r="D212" s="625">
        <v>4680115880092</v>
      </c>
      <c r="E212" s="625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84</v>
      </c>
      <c r="L212" s="37" t="s">
        <v>104</v>
      </c>
      <c r="M212" s="38" t="s">
        <v>93</v>
      </c>
      <c r="N212" s="38"/>
      <c r="O212" s="37">
        <v>45</v>
      </c>
      <c r="P212" s="72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27"/>
      <c r="R212" s="627"/>
      <c r="S212" s="627"/>
      <c r="T212" s="62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349</v>
      </c>
      <c r="AG212" s="78"/>
      <c r="AJ212" s="84" t="s">
        <v>105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356</v>
      </c>
      <c r="B213" s="63" t="s">
        <v>357</v>
      </c>
      <c r="C213" s="36">
        <v>4301051668</v>
      </c>
      <c r="D213" s="625">
        <v>4680115880221</v>
      </c>
      <c r="E213" s="625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84</v>
      </c>
      <c r="L213" s="37" t="s">
        <v>104</v>
      </c>
      <c r="M213" s="38" t="s">
        <v>93</v>
      </c>
      <c r="N213" s="38"/>
      <c r="O213" s="37">
        <v>45</v>
      </c>
      <c r="P213" s="72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27"/>
      <c r="R213" s="627"/>
      <c r="S213" s="627"/>
      <c r="T213" s="62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349</v>
      </c>
      <c r="AG213" s="78"/>
      <c r="AJ213" s="84" t="s">
        <v>105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358</v>
      </c>
      <c r="B214" s="63" t="s">
        <v>359</v>
      </c>
      <c r="C214" s="36">
        <v>4301051945</v>
      </c>
      <c r="D214" s="625">
        <v>4680115880504</v>
      </c>
      <c r="E214" s="625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84</v>
      </c>
      <c r="L214" s="37" t="s">
        <v>104</v>
      </c>
      <c r="M214" s="38" t="s">
        <v>100</v>
      </c>
      <c r="N214" s="38"/>
      <c r="O214" s="37">
        <v>40</v>
      </c>
      <c r="P214" s="72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27"/>
      <c r="R214" s="627"/>
      <c r="S214" s="627"/>
      <c r="T214" s="628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360</v>
      </c>
      <c r="AG214" s="78"/>
      <c r="AJ214" s="84" t="s">
        <v>105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361</v>
      </c>
      <c r="B215" s="63" t="s">
        <v>362</v>
      </c>
      <c r="C215" s="36">
        <v>4301051410</v>
      </c>
      <c r="D215" s="625">
        <v>4680115882164</v>
      </c>
      <c r="E215" s="625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84</v>
      </c>
      <c r="L215" s="37" t="s">
        <v>104</v>
      </c>
      <c r="M215" s="38" t="s">
        <v>93</v>
      </c>
      <c r="N215" s="38"/>
      <c r="O215" s="37">
        <v>40</v>
      </c>
      <c r="P215" s="72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27"/>
      <c r="R215" s="627"/>
      <c r="S215" s="627"/>
      <c r="T215" s="628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346</v>
      </c>
      <c r="AG215" s="78"/>
      <c r="AJ215" s="84" t="s">
        <v>105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633"/>
      <c r="B216" s="633"/>
      <c r="C216" s="633"/>
      <c r="D216" s="633"/>
      <c r="E216" s="633"/>
      <c r="F216" s="633"/>
      <c r="G216" s="633"/>
      <c r="H216" s="633"/>
      <c r="I216" s="633"/>
      <c r="J216" s="633"/>
      <c r="K216" s="633"/>
      <c r="L216" s="633"/>
      <c r="M216" s="633"/>
      <c r="N216" s="633"/>
      <c r="O216" s="634"/>
      <c r="P216" s="630" t="s">
        <v>40</v>
      </c>
      <c r="Q216" s="631"/>
      <c r="R216" s="631"/>
      <c r="S216" s="631"/>
      <c r="T216" s="631"/>
      <c r="U216" s="631"/>
      <c r="V216" s="632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633"/>
      <c r="B217" s="633"/>
      <c r="C217" s="633"/>
      <c r="D217" s="633"/>
      <c r="E217" s="633"/>
      <c r="F217" s="633"/>
      <c r="G217" s="633"/>
      <c r="H217" s="633"/>
      <c r="I217" s="633"/>
      <c r="J217" s="633"/>
      <c r="K217" s="633"/>
      <c r="L217" s="633"/>
      <c r="M217" s="633"/>
      <c r="N217" s="633"/>
      <c r="O217" s="634"/>
      <c r="P217" s="630" t="s">
        <v>40</v>
      </c>
      <c r="Q217" s="631"/>
      <c r="R217" s="631"/>
      <c r="S217" s="631"/>
      <c r="T217" s="631"/>
      <c r="U217" s="631"/>
      <c r="V217" s="632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customHeight="1" x14ac:dyDescent="0.25">
      <c r="A218" s="624" t="s">
        <v>179</v>
      </c>
      <c r="B218" s="624"/>
      <c r="C218" s="624"/>
      <c r="D218" s="624"/>
      <c r="E218" s="624"/>
      <c r="F218" s="624"/>
      <c r="G218" s="624"/>
      <c r="H218" s="624"/>
      <c r="I218" s="624"/>
      <c r="J218" s="624"/>
      <c r="K218" s="624"/>
      <c r="L218" s="624"/>
      <c r="M218" s="624"/>
      <c r="N218" s="624"/>
      <c r="O218" s="624"/>
      <c r="P218" s="624"/>
      <c r="Q218" s="624"/>
      <c r="R218" s="624"/>
      <c r="S218" s="624"/>
      <c r="T218" s="624"/>
      <c r="U218" s="624"/>
      <c r="V218" s="624"/>
      <c r="W218" s="624"/>
      <c r="X218" s="624"/>
      <c r="Y218" s="624"/>
      <c r="Z218" s="624"/>
      <c r="AA218" s="66"/>
      <c r="AB218" s="66"/>
      <c r="AC218" s="80"/>
    </row>
    <row r="219" spans="1:68" ht="27" customHeight="1" x14ac:dyDescent="0.25">
      <c r="A219" s="63" t="s">
        <v>363</v>
      </c>
      <c r="B219" s="63" t="s">
        <v>364</v>
      </c>
      <c r="C219" s="36">
        <v>4301060463</v>
      </c>
      <c r="D219" s="625">
        <v>4680115880818</v>
      </c>
      <c r="E219" s="625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84</v>
      </c>
      <c r="L219" s="37" t="s">
        <v>104</v>
      </c>
      <c r="M219" s="38" t="s">
        <v>100</v>
      </c>
      <c r="N219" s="38"/>
      <c r="O219" s="37">
        <v>40</v>
      </c>
      <c r="P219" s="73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27"/>
      <c r="R219" s="627"/>
      <c r="S219" s="627"/>
      <c r="T219" s="628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365</v>
      </c>
      <c r="AG219" s="78"/>
      <c r="AJ219" s="84" t="s">
        <v>105</v>
      </c>
      <c r="AK219" s="84">
        <v>33.6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366</v>
      </c>
      <c r="B220" s="63" t="s">
        <v>367</v>
      </c>
      <c r="C220" s="36">
        <v>4301060389</v>
      </c>
      <c r="D220" s="625">
        <v>4680115880801</v>
      </c>
      <c r="E220" s="625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84</v>
      </c>
      <c r="L220" s="37" t="s">
        <v>45</v>
      </c>
      <c r="M220" s="38" t="s">
        <v>93</v>
      </c>
      <c r="N220" s="38"/>
      <c r="O220" s="37">
        <v>40</v>
      </c>
      <c r="P220" s="73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27"/>
      <c r="R220" s="627"/>
      <c r="S220" s="627"/>
      <c r="T220" s="628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368</v>
      </c>
      <c r="AG220" s="78"/>
      <c r="AJ220" s="84" t="s">
        <v>45</v>
      </c>
      <c r="AK220" s="84">
        <v>0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633"/>
      <c r="B221" s="633"/>
      <c r="C221" s="633"/>
      <c r="D221" s="633"/>
      <c r="E221" s="633"/>
      <c r="F221" s="633"/>
      <c r="G221" s="633"/>
      <c r="H221" s="633"/>
      <c r="I221" s="633"/>
      <c r="J221" s="633"/>
      <c r="K221" s="633"/>
      <c r="L221" s="633"/>
      <c r="M221" s="633"/>
      <c r="N221" s="633"/>
      <c r="O221" s="634"/>
      <c r="P221" s="630" t="s">
        <v>40</v>
      </c>
      <c r="Q221" s="631"/>
      <c r="R221" s="631"/>
      <c r="S221" s="631"/>
      <c r="T221" s="631"/>
      <c r="U221" s="631"/>
      <c r="V221" s="632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633"/>
      <c r="B222" s="633"/>
      <c r="C222" s="633"/>
      <c r="D222" s="633"/>
      <c r="E222" s="633"/>
      <c r="F222" s="633"/>
      <c r="G222" s="633"/>
      <c r="H222" s="633"/>
      <c r="I222" s="633"/>
      <c r="J222" s="633"/>
      <c r="K222" s="633"/>
      <c r="L222" s="633"/>
      <c r="M222" s="633"/>
      <c r="N222" s="633"/>
      <c r="O222" s="634"/>
      <c r="P222" s="630" t="s">
        <v>40</v>
      </c>
      <c r="Q222" s="631"/>
      <c r="R222" s="631"/>
      <c r="S222" s="631"/>
      <c r="T222" s="631"/>
      <c r="U222" s="631"/>
      <c r="V222" s="632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623" t="s">
        <v>369</v>
      </c>
      <c r="B223" s="623"/>
      <c r="C223" s="623"/>
      <c r="D223" s="623"/>
      <c r="E223" s="623"/>
      <c r="F223" s="623"/>
      <c r="G223" s="623"/>
      <c r="H223" s="623"/>
      <c r="I223" s="623"/>
      <c r="J223" s="623"/>
      <c r="K223" s="623"/>
      <c r="L223" s="623"/>
      <c r="M223" s="623"/>
      <c r="N223" s="623"/>
      <c r="O223" s="623"/>
      <c r="P223" s="623"/>
      <c r="Q223" s="623"/>
      <c r="R223" s="623"/>
      <c r="S223" s="623"/>
      <c r="T223" s="623"/>
      <c r="U223" s="623"/>
      <c r="V223" s="623"/>
      <c r="W223" s="623"/>
      <c r="X223" s="623"/>
      <c r="Y223" s="623"/>
      <c r="Z223" s="623"/>
      <c r="AA223" s="65"/>
      <c r="AB223" s="65"/>
      <c r="AC223" s="79"/>
    </row>
    <row r="224" spans="1:68" ht="14.25" customHeight="1" x14ac:dyDescent="0.25">
      <c r="A224" s="624" t="s">
        <v>116</v>
      </c>
      <c r="B224" s="624"/>
      <c r="C224" s="624"/>
      <c r="D224" s="624"/>
      <c r="E224" s="624"/>
      <c r="F224" s="624"/>
      <c r="G224" s="624"/>
      <c r="H224" s="624"/>
      <c r="I224" s="624"/>
      <c r="J224" s="624"/>
      <c r="K224" s="624"/>
      <c r="L224" s="624"/>
      <c r="M224" s="624"/>
      <c r="N224" s="624"/>
      <c r="O224" s="624"/>
      <c r="P224" s="624"/>
      <c r="Q224" s="624"/>
      <c r="R224" s="624"/>
      <c r="S224" s="624"/>
      <c r="T224" s="624"/>
      <c r="U224" s="624"/>
      <c r="V224" s="624"/>
      <c r="W224" s="624"/>
      <c r="X224" s="624"/>
      <c r="Y224" s="624"/>
      <c r="Z224" s="624"/>
      <c r="AA224" s="66"/>
      <c r="AB224" s="66"/>
      <c r="AC224" s="80"/>
    </row>
    <row r="225" spans="1:68" ht="27" customHeight="1" x14ac:dyDescent="0.25">
      <c r="A225" s="63" t="s">
        <v>370</v>
      </c>
      <c r="B225" s="63" t="s">
        <v>371</v>
      </c>
      <c r="C225" s="36">
        <v>4301011826</v>
      </c>
      <c r="D225" s="625">
        <v>4680115884137</v>
      </c>
      <c r="E225" s="625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121</v>
      </c>
      <c r="L225" s="37" t="s">
        <v>45</v>
      </c>
      <c r="M225" s="38" t="s">
        <v>120</v>
      </c>
      <c r="N225" s="38"/>
      <c r="O225" s="37">
        <v>55</v>
      </c>
      <c r="P225" s="7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27"/>
      <c r="R225" s="627"/>
      <c r="S225" s="627"/>
      <c r="T225" s="628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372</v>
      </c>
      <c r="AG225" s="78"/>
      <c r="AJ225" s="84" t="s">
        <v>45</v>
      </c>
      <c r="AK225" s="84">
        <v>0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4301011724</v>
      </c>
      <c r="D226" s="625">
        <v>4680115884236</v>
      </c>
      <c r="E226" s="625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121</v>
      </c>
      <c r="L226" s="37" t="s">
        <v>45</v>
      </c>
      <c r="M226" s="38" t="s">
        <v>120</v>
      </c>
      <c r="N226" s="38"/>
      <c r="O226" s="37">
        <v>55</v>
      </c>
      <c r="P226" s="7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27"/>
      <c r="R226" s="627"/>
      <c r="S226" s="627"/>
      <c r="T226" s="628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375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376</v>
      </c>
      <c r="B227" s="63" t="s">
        <v>377</v>
      </c>
      <c r="C227" s="36">
        <v>4301011721</v>
      </c>
      <c r="D227" s="625">
        <v>4680115884175</v>
      </c>
      <c r="E227" s="625"/>
      <c r="F227" s="62">
        <v>1.45</v>
      </c>
      <c r="G227" s="37">
        <v>8</v>
      </c>
      <c r="H227" s="62">
        <v>11.6</v>
      </c>
      <c r="I227" s="62">
        <v>12.01</v>
      </c>
      <c r="J227" s="37">
        <v>64</v>
      </c>
      <c r="K227" s="37" t="s">
        <v>121</v>
      </c>
      <c r="L227" s="37" t="s">
        <v>45</v>
      </c>
      <c r="M227" s="38" t="s">
        <v>120</v>
      </c>
      <c r="N227" s="38"/>
      <c r="O227" s="37">
        <v>55</v>
      </c>
      <c r="P227" s="7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27"/>
      <c r="R227" s="627"/>
      <c r="S227" s="627"/>
      <c r="T227" s="628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378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379</v>
      </c>
      <c r="B228" s="63" t="s">
        <v>380</v>
      </c>
      <c r="C228" s="36">
        <v>4301011824</v>
      </c>
      <c r="D228" s="625">
        <v>4680115884144</v>
      </c>
      <c r="E228" s="625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125</v>
      </c>
      <c r="L228" s="37" t="s">
        <v>126</v>
      </c>
      <c r="M228" s="38" t="s">
        <v>120</v>
      </c>
      <c r="N228" s="38"/>
      <c r="O228" s="37">
        <v>55</v>
      </c>
      <c r="P228" s="73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27"/>
      <c r="R228" s="627"/>
      <c r="S228" s="627"/>
      <c r="T228" s="628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372</v>
      </c>
      <c r="AG228" s="78"/>
      <c r="AJ228" s="84" t="s">
        <v>105</v>
      </c>
      <c r="AK228" s="84">
        <v>48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379</v>
      </c>
      <c r="B229" s="63" t="s">
        <v>381</v>
      </c>
      <c r="C229" s="36">
        <v>4301012196</v>
      </c>
      <c r="D229" s="625">
        <v>4680115884144</v>
      </c>
      <c r="E229" s="625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125</v>
      </c>
      <c r="L229" s="37" t="s">
        <v>45</v>
      </c>
      <c r="M229" s="38" t="s">
        <v>120</v>
      </c>
      <c r="N229" s="38"/>
      <c r="O229" s="37">
        <v>55</v>
      </c>
      <c r="P229" s="73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27"/>
      <c r="R229" s="627"/>
      <c r="S229" s="627"/>
      <c r="T229" s="628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372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382</v>
      </c>
      <c r="B230" s="63" t="s">
        <v>383</v>
      </c>
      <c r="C230" s="36">
        <v>4301012149</v>
      </c>
      <c r="D230" s="625">
        <v>4680115886551</v>
      </c>
      <c r="E230" s="625"/>
      <c r="F230" s="62">
        <v>0.4</v>
      </c>
      <c r="G230" s="37">
        <v>10</v>
      </c>
      <c r="H230" s="62">
        <v>4</v>
      </c>
      <c r="I230" s="62">
        <v>4.1900000000000004</v>
      </c>
      <c r="J230" s="37">
        <v>132</v>
      </c>
      <c r="K230" s="37" t="s">
        <v>125</v>
      </c>
      <c r="L230" s="37" t="s">
        <v>45</v>
      </c>
      <c r="M230" s="38" t="s">
        <v>120</v>
      </c>
      <c r="N230" s="38"/>
      <c r="O230" s="37">
        <v>55</v>
      </c>
      <c r="P230" s="73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27"/>
      <c r="R230" s="627"/>
      <c r="S230" s="627"/>
      <c r="T230" s="628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384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385</v>
      </c>
      <c r="B231" s="63" t="s">
        <v>386</v>
      </c>
      <c r="C231" s="36">
        <v>4301011726</v>
      </c>
      <c r="D231" s="625">
        <v>4680115884182</v>
      </c>
      <c r="E231" s="625"/>
      <c r="F231" s="62">
        <v>0.37</v>
      </c>
      <c r="G231" s="37">
        <v>10</v>
      </c>
      <c r="H231" s="62">
        <v>3.7</v>
      </c>
      <c r="I231" s="62">
        <v>3.89</v>
      </c>
      <c r="J231" s="37">
        <v>132</v>
      </c>
      <c r="K231" s="37" t="s">
        <v>125</v>
      </c>
      <c r="L231" s="37" t="s">
        <v>45</v>
      </c>
      <c r="M231" s="38" t="s">
        <v>120</v>
      </c>
      <c r="N231" s="38"/>
      <c r="O231" s="37">
        <v>55</v>
      </c>
      <c r="P231" s="73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27"/>
      <c r="R231" s="627"/>
      <c r="S231" s="627"/>
      <c r="T231" s="628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375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387</v>
      </c>
      <c r="B232" s="63" t="s">
        <v>388</v>
      </c>
      <c r="C232" s="36">
        <v>4301012228</v>
      </c>
      <c r="D232" s="625">
        <v>4680115887282</v>
      </c>
      <c r="E232" s="625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84</v>
      </c>
      <c r="L232" s="37" t="s">
        <v>45</v>
      </c>
      <c r="M232" s="38" t="s">
        <v>120</v>
      </c>
      <c r="N232" s="38"/>
      <c r="O232" s="37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27"/>
      <c r="R232" s="627"/>
      <c r="S232" s="627"/>
      <c r="T232" s="628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375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389</v>
      </c>
      <c r="B233" s="63" t="s">
        <v>390</v>
      </c>
      <c r="C233" s="36">
        <v>4301011722</v>
      </c>
      <c r="D233" s="625">
        <v>4680115884205</v>
      </c>
      <c r="E233" s="625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125</v>
      </c>
      <c r="L233" s="37" t="s">
        <v>126</v>
      </c>
      <c r="M233" s="38" t="s">
        <v>120</v>
      </c>
      <c r="N233" s="38"/>
      <c r="O233" s="37">
        <v>55</v>
      </c>
      <c r="P233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27"/>
      <c r="R233" s="627"/>
      <c r="S233" s="627"/>
      <c r="T233" s="628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378</v>
      </c>
      <c r="AG233" s="78"/>
      <c r="AJ233" s="84" t="s">
        <v>105</v>
      </c>
      <c r="AK233" s="84">
        <v>48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389</v>
      </c>
      <c r="B234" s="63" t="s">
        <v>391</v>
      </c>
      <c r="C234" s="36">
        <v>4301012195</v>
      </c>
      <c r="D234" s="625">
        <v>4680115884205</v>
      </c>
      <c r="E234" s="625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125</v>
      </c>
      <c r="L234" s="37" t="s">
        <v>45</v>
      </c>
      <c r="M234" s="38" t="s">
        <v>120</v>
      </c>
      <c r="N234" s="38"/>
      <c r="O234" s="37">
        <v>55</v>
      </c>
      <c r="P234" s="74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27"/>
      <c r="R234" s="627"/>
      <c r="S234" s="627"/>
      <c r="T234" s="628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378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633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0" t="s">
        <v>40</v>
      </c>
      <c r="Q235" s="631"/>
      <c r="R235" s="631"/>
      <c r="S235" s="631"/>
      <c r="T235" s="631"/>
      <c r="U235" s="631"/>
      <c r="V235" s="632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0" t="s">
        <v>40</v>
      </c>
      <c r="Q236" s="631"/>
      <c r="R236" s="631"/>
      <c r="S236" s="631"/>
      <c r="T236" s="631"/>
      <c r="U236" s="631"/>
      <c r="V236" s="632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624" t="s">
        <v>151</v>
      </c>
      <c r="B237" s="624"/>
      <c r="C237" s="624"/>
      <c r="D237" s="624"/>
      <c r="E237" s="624"/>
      <c r="F237" s="624"/>
      <c r="G237" s="624"/>
      <c r="H237" s="624"/>
      <c r="I237" s="624"/>
      <c r="J237" s="624"/>
      <c r="K237" s="624"/>
      <c r="L237" s="624"/>
      <c r="M237" s="624"/>
      <c r="N237" s="624"/>
      <c r="O237" s="624"/>
      <c r="P237" s="624"/>
      <c r="Q237" s="624"/>
      <c r="R237" s="624"/>
      <c r="S237" s="624"/>
      <c r="T237" s="624"/>
      <c r="U237" s="624"/>
      <c r="V237" s="624"/>
      <c r="W237" s="624"/>
      <c r="X237" s="624"/>
      <c r="Y237" s="624"/>
      <c r="Z237" s="624"/>
      <c r="AA237" s="66"/>
      <c r="AB237" s="66"/>
      <c r="AC237" s="80"/>
    </row>
    <row r="238" spans="1:68" ht="27" customHeight="1" x14ac:dyDescent="0.25">
      <c r="A238" s="63" t="s">
        <v>392</v>
      </c>
      <c r="B238" s="63" t="s">
        <v>393</v>
      </c>
      <c r="C238" s="36">
        <v>4301020377</v>
      </c>
      <c r="D238" s="625">
        <v>4680115885981</v>
      </c>
      <c r="E238" s="625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88</v>
      </c>
      <c r="L238" s="37" t="s">
        <v>45</v>
      </c>
      <c r="M238" s="38" t="s">
        <v>93</v>
      </c>
      <c r="N238" s="38"/>
      <c r="O238" s="37">
        <v>50</v>
      </c>
      <c r="P238" s="74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27"/>
      <c r="R238" s="627"/>
      <c r="S238" s="627"/>
      <c r="T238" s="628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394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633"/>
      <c r="B239" s="633"/>
      <c r="C239" s="633"/>
      <c r="D239" s="633"/>
      <c r="E239" s="633"/>
      <c r="F239" s="633"/>
      <c r="G239" s="633"/>
      <c r="H239" s="633"/>
      <c r="I239" s="633"/>
      <c r="J239" s="633"/>
      <c r="K239" s="633"/>
      <c r="L239" s="633"/>
      <c r="M239" s="633"/>
      <c r="N239" s="633"/>
      <c r="O239" s="634"/>
      <c r="P239" s="630" t="s">
        <v>40</v>
      </c>
      <c r="Q239" s="631"/>
      <c r="R239" s="631"/>
      <c r="S239" s="631"/>
      <c r="T239" s="631"/>
      <c r="U239" s="631"/>
      <c r="V239" s="632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633"/>
      <c r="B240" s="633"/>
      <c r="C240" s="633"/>
      <c r="D240" s="633"/>
      <c r="E240" s="633"/>
      <c r="F240" s="633"/>
      <c r="G240" s="633"/>
      <c r="H240" s="633"/>
      <c r="I240" s="633"/>
      <c r="J240" s="633"/>
      <c r="K240" s="633"/>
      <c r="L240" s="633"/>
      <c r="M240" s="633"/>
      <c r="N240" s="633"/>
      <c r="O240" s="634"/>
      <c r="P240" s="630" t="s">
        <v>40</v>
      </c>
      <c r="Q240" s="631"/>
      <c r="R240" s="631"/>
      <c r="S240" s="631"/>
      <c r="T240" s="631"/>
      <c r="U240" s="631"/>
      <c r="V240" s="632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624" t="s">
        <v>395</v>
      </c>
      <c r="B241" s="624"/>
      <c r="C241" s="624"/>
      <c r="D241" s="624"/>
      <c r="E241" s="624"/>
      <c r="F241" s="624"/>
      <c r="G241" s="624"/>
      <c r="H241" s="624"/>
      <c r="I241" s="624"/>
      <c r="J241" s="624"/>
      <c r="K241" s="624"/>
      <c r="L241" s="624"/>
      <c r="M241" s="624"/>
      <c r="N241" s="624"/>
      <c r="O241" s="624"/>
      <c r="P241" s="624"/>
      <c r="Q241" s="624"/>
      <c r="R241" s="624"/>
      <c r="S241" s="624"/>
      <c r="T241" s="624"/>
      <c r="U241" s="624"/>
      <c r="V241" s="624"/>
      <c r="W241" s="624"/>
      <c r="X241" s="624"/>
      <c r="Y241" s="624"/>
      <c r="Z241" s="624"/>
      <c r="AA241" s="66"/>
      <c r="AB241" s="66"/>
      <c r="AC241" s="80"/>
    </row>
    <row r="242" spans="1:68" ht="27" customHeight="1" x14ac:dyDescent="0.25">
      <c r="A242" s="63" t="s">
        <v>396</v>
      </c>
      <c r="B242" s="63" t="s">
        <v>397</v>
      </c>
      <c r="C242" s="36">
        <v>4301040362</v>
      </c>
      <c r="D242" s="625">
        <v>4680115886803</v>
      </c>
      <c r="E242" s="625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301</v>
      </c>
      <c r="L242" s="37" t="s">
        <v>45</v>
      </c>
      <c r="M242" s="38" t="s">
        <v>300</v>
      </c>
      <c r="N242" s="38"/>
      <c r="O242" s="37">
        <v>45</v>
      </c>
      <c r="P242" s="7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27"/>
      <c r="R242" s="627"/>
      <c r="S242" s="627"/>
      <c r="T242" s="628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398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33"/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4"/>
      <c r="P243" s="630" t="s">
        <v>40</v>
      </c>
      <c r="Q243" s="631"/>
      <c r="R243" s="631"/>
      <c r="S243" s="631"/>
      <c r="T243" s="631"/>
      <c r="U243" s="631"/>
      <c r="V243" s="632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33"/>
      <c r="B244" s="633"/>
      <c r="C244" s="633"/>
      <c r="D244" s="633"/>
      <c r="E244" s="633"/>
      <c r="F244" s="633"/>
      <c r="G244" s="633"/>
      <c r="H244" s="633"/>
      <c r="I244" s="633"/>
      <c r="J244" s="633"/>
      <c r="K244" s="633"/>
      <c r="L244" s="633"/>
      <c r="M244" s="633"/>
      <c r="N244" s="633"/>
      <c r="O244" s="634"/>
      <c r="P244" s="630" t="s">
        <v>40</v>
      </c>
      <c r="Q244" s="631"/>
      <c r="R244" s="631"/>
      <c r="S244" s="631"/>
      <c r="T244" s="631"/>
      <c r="U244" s="631"/>
      <c r="V244" s="632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4" t="s">
        <v>399</v>
      </c>
      <c r="B245" s="624"/>
      <c r="C245" s="624"/>
      <c r="D245" s="624"/>
      <c r="E245" s="624"/>
      <c r="F245" s="624"/>
      <c r="G245" s="624"/>
      <c r="H245" s="624"/>
      <c r="I245" s="624"/>
      <c r="J245" s="624"/>
      <c r="K245" s="624"/>
      <c r="L245" s="624"/>
      <c r="M245" s="624"/>
      <c r="N245" s="624"/>
      <c r="O245" s="624"/>
      <c r="P245" s="624"/>
      <c r="Q245" s="624"/>
      <c r="R245" s="624"/>
      <c r="S245" s="624"/>
      <c r="T245" s="624"/>
      <c r="U245" s="624"/>
      <c r="V245" s="624"/>
      <c r="W245" s="624"/>
      <c r="X245" s="624"/>
      <c r="Y245" s="624"/>
      <c r="Z245" s="624"/>
      <c r="AA245" s="66"/>
      <c r="AB245" s="66"/>
      <c r="AC245" s="80"/>
    </row>
    <row r="246" spans="1:68" ht="27" customHeight="1" x14ac:dyDescent="0.25">
      <c r="A246" s="63" t="s">
        <v>400</v>
      </c>
      <c r="B246" s="63" t="s">
        <v>401</v>
      </c>
      <c r="C246" s="36">
        <v>4301041004</v>
      </c>
      <c r="D246" s="625">
        <v>4680115886704</v>
      </c>
      <c r="E246" s="625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301</v>
      </c>
      <c r="L246" s="37" t="s">
        <v>45</v>
      </c>
      <c r="M246" s="38" t="s">
        <v>300</v>
      </c>
      <c r="N246" s="38"/>
      <c r="O246" s="37">
        <v>90</v>
      </c>
      <c r="P246" s="74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27"/>
      <c r="R246" s="627"/>
      <c r="S246" s="627"/>
      <c r="T246" s="628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402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403</v>
      </c>
      <c r="B247" s="63" t="s">
        <v>404</v>
      </c>
      <c r="C247" s="36">
        <v>4301041008</v>
      </c>
      <c r="D247" s="625">
        <v>4680115886681</v>
      </c>
      <c r="E247" s="625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301</v>
      </c>
      <c r="L247" s="37" t="s">
        <v>45</v>
      </c>
      <c r="M247" s="38" t="s">
        <v>300</v>
      </c>
      <c r="N247" s="38"/>
      <c r="O247" s="37">
        <v>90</v>
      </c>
      <c r="P247" s="7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27"/>
      <c r="R247" s="627"/>
      <c r="S247" s="627"/>
      <c r="T247" s="628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402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405</v>
      </c>
      <c r="B248" s="63" t="s">
        <v>406</v>
      </c>
      <c r="C248" s="36">
        <v>4301041007</v>
      </c>
      <c r="D248" s="625">
        <v>4680115886735</v>
      </c>
      <c r="E248" s="625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301</v>
      </c>
      <c r="L248" s="37" t="s">
        <v>45</v>
      </c>
      <c r="M248" s="38" t="s">
        <v>300</v>
      </c>
      <c r="N248" s="38"/>
      <c r="O248" s="37">
        <v>90</v>
      </c>
      <c r="P248" s="74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27"/>
      <c r="R248" s="627"/>
      <c r="S248" s="627"/>
      <c r="T248" s="628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402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407</v>
      </c>
      <c r="B249" s="63" t="s">
        <v>408</v>
      </c>
      <c r="C249" s="36">
        <v>4301041006</v>
      </c>
      <c r="D249" s="625">
        <v>4680115886728</v>
      </c>
      <c r="E249" s="625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301</v>
      </c>
      <c r="L249" s="37" t="s">
        <v>45</v>
      </c>
      <c r="M249" s="38" t="s">
        <v>300</v>
      </c>
      <c r="N249" s="38"/>
      <c r="O249" s="37">
        <v>90</v>
      </c>
      <c r="P249" s="74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27"/>
      <c r="R249" s="627"/>
      <c r="S249" s="627"/>
      <c r="T249" s="628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402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409</v>
      </c>
      <c r="B250" s="63" t="s">
        <v>410</v>
      </c>
      <c r="C250" s="36">
        <v>4301041005</v>
      </c>
      <c r="D250" s="625">
        <v>4680115886711</v>
      </c>
      <c r="E250" s="625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301</v>
      </c>
      <c r="L250" s="37" t="s">
        <v>45</v>
      </c>
      <c r="M250" s="38" t="s">
        <v>300</v>
      </c>
      <c r="N250" s="38"/>
      <c r="O250" s="37">
        <v>90</v>
      </c>
      <c r="P250" s="74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27"/>
      <c r="R250" s="627"/>
      <c r="S250" s="627"/>
      <c r="T250" s="628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402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0" t="s">
        <v>40</v>
      </c>
      <c r="Q252" s="631"/>
      <c r="R252" s="631"/>
      <c r="S252" s="631"/>
      <c r="T252" s="631"/>
      <c r="U252" s="631"/>
      <c r="V252" s="632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623" t="s">
        <v>411</v>
      </c>
      <c r="B253" s="623"/>
      <c r="C253" s="623"/>
      <c r="D253" s="623"/>
      <c r="E253" s="623"/>
      <c r="F253" s="623"/>
      <c r="G253" s="623"/>
      <c r="H253" s="623"/>
      <c r="I253" s="623"/>
      <c r="J253" s="623"/>
      <c r="K253" s="623"/>
      <c r="L253" s="623"/>
      <c r="M253" s="623"/>
      <c r="N253" s="623"/>
      <c r="O253" s="623"/>
      <c r="P253" s="623"/>
      <c r="Q253" s="623"/>
      <c r="R253" s="623"/>
      <c r="S253" s="623"/>
      <c r="T253" s="623"/>
      <c r="U253" s="623"/>
      <c r="V253" s="623"/>
      <c r="W253" s="623"/>
      <c r="X253" s="623"/>
      <c r="Y253" s="623"/>
      <c r="Z253" s="623"/>
      <c r="AA253" s="65"/>
      <c r="AB253" s="65"/>
      <c r="AC253" s="79"/>
    </row>
    <row r="254" spans="1:68" ht="14.25" customHeight="1" x14ac:dyDescent="0.25">
      <c r="A254" s="624" t="s">
        <v>116</v>
      </c>
      <c r="B254" s="624"/>
      <c r="C254" s="624"/>
      <c r="D254" s="624"/>
      <c r="E254" s="624"/>
      <c r="F254" s="624"/>
      <c r="G254" s="624"/>
      <c r="H254" s="624"/>
      <c r="I254" s="624"/>
      <c r="J254" s="624"/>
      <c r="K254" s="624"/>
      <c r="L254" s="624"/>
      <c r="M254" s="624"/>
      <c r="N254" s="624"/>
      <c r="O254" s="624"/>
      <c r="P254" s="624"/>
      <c r="Q254" s="624"/>
      <c r="R254" s="624"/>
      <c r="S254" s="624"/>
      <c r="T254" s="624"/>
      <c r="U254" s="624"/>
      <c r="V254" s="624"/>
      <c r="W254" s="624"/>
      <c r="X254" s="624"/>
      <c r="Y254" s="624"/>
      <c r="Z254" s="624"/>
      <c r="AA254" s="66"/>
      <c r="AB254" s="66"/>
      <c r="AC254" s="80"/>
    </row>
    <row r="255" spans="1:68" ht="27" customHeight="1" x14ac:dyDescent="0.25">
      <c r="A255" s="63" t="s">
        <v>412</v>
      </c>
      <c r="B255" s="63" t="s">
        <v>413</v>
      </c>
      <c r="C255" s="36">
        <v>4301011855</v>
      </c>
      <c r="D255" s="625">
        <v>4680115885837</v>
      </c>
      <c r="E255" s="625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121</v>
      </c>
      <c r="L255" s="37" t="s">
        <v>122</v>
      </c>
      <c r="M255" s="38" t="s">
        <v>120</v>
      </c>
      <c r="N255" s="38"/>
      <c r="O255" s="37">
        <v>55</v>
      </c>
      <c r="P255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27"/>
      <c r="R255" s="627"/>
      <c r="S255" s="627"/>
      <c r="T255" s="62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414</v>
      </c>
      <c r="AG255" s="78"/>
      <c r="AJ255" s="84" t="s">
        <v>105</v>
      </c>
      <c r="AK255" s="84">
        <v>86.4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415</v>
      </c>
      <c r="B256" s="63" t="s">
        <v>416</v>
      </c>
      <c r="C256" s="36">
        <v>4301011853</v>
      </c>
      <c r="D256" s="625">
        <v>4680115885851</v>
      </c>
      <c r="E256" s="625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121</v>
      </c>
      <c r="L256" s="37" t="s">
        <v>45</v>
      </c>
      <c r="M256" s="38" t="s">
        <v>120</v>
      </c>
      <c r="N256" s="38"/>
      <c r="O256" s="37">
        <v>55</v>
      </c>
      <c r="P256" s="75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27"/>
      <c r="R256" s="627"/>
      <c r="S256" s="627"/>
      <c r="T256" s="62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417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418</v>
      </c>
      <c r="B257" s="63" t="s">
        <v>419</v>
      </c>
      <c r="C257" s="36">
        <v>4301011850</v>
      </c>
      <c r="D257" s="625">
        <v>4680115885806</v>
      </c>
      <c r="E257" s="62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121</v>
      </c>
      <c r="L257" s="37" t="s">
        <v>122</v>
      </c>
      <c r="M257" s="38" t="s">
        <v>120</v>
      </c>
      <c r="N257" s="38"/>
      <c r="O257" s="37">
        <v>55</v>
      </c>
      <c r="P257" s="7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27"/>
      <c r="R257" s="627"/>
      <c r="S257" s="627"/>
      <c r="T257" s="62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420</v>
      </c>
      <c r="AG257" s="78"/>
      <c r="AJ257" s="84" t="s">
        <v>105</v>
      </c>
      <c r="AK257" s="84">
        <v>86.4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421</v>
      </c>
      <c r="B258" s="63" t="s">
        <v>422</v>
      </c>
      <c r="C258" s="36">
        <v>4301011852</v>
      </c>
      <c r="D258" s="625">
        <v>4680115885844</v>
      </c>
      <c r="E258" s="625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125</v>
      </c>
      <c r="L258" s="37" t="s">
        <v>45</v>
      </c>
      <c r="M258" s="38" t="s">
        <v>120</v>
      </c>
      <c r="N258" s="38"/>
      <c r="O258" s="37">
        <v>55</v>
      </c>
      <c r="P258" s="7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27"/>
      <c r="R258" s="627"/>
      <c r="S258" s="627"/>
      <c r="T258" s="628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423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customHeight="1" x14ac:dyDescent="0.25">
      <c r="A259" s="63" t="s">
        <v>424</v>
      </c>
      <c r="B259" s="63" t="s">
        <v>425</v>
      </c>
      <c r="C259" s="36">
        <v>4301011851</v>
      </c>
      <c r="D259" s="625">
        <v>4680115885820</v>
      </c>
      <c r="E259" s="625"/>
      <c r="F259" s="62">
        <v>0.4</v>
      </c>
      <c r="G259" s="37">
        <v>10</v>
      </c>
      <c r="H259" s="62">
        <v>4</v>
      </c>
      <c r="I259" s="62">
        <v>4.1900000000000004</v>
      </c>
      <c r="J259" s="37">
        <v>132</v>
      </c>
      <c r="K259" s="37" t="s">
        <v>125</v>
      </c>
      <c r="L259" s="37" t="s">
        <v>126</v>
      </c>
      <c r="M259" s="38" t="s">
        <v>120</v>
      </c>
      <c r="N259" s="38"/>
      <c r="O259" s="37">
        <v>55</v>
      </c>
      <c r="P259" s="7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27"/>
      <c r="R259" s="627"/>
      <c r="S259" s="627"/>
      <c r="T259" s="628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426</v>
      </c>
      <c r="AG259" s="78"/>
      <c r="AJ259" s="84" t="s">
        <v>105</v>
      </c>
      <c r="AK259" s="84">
        <v>48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633"/>
      <c r="B260" s="633"/>
      <c r="C260" s="633"/>
      <c r="D260" s="633"/>
      <c r="E260" s="633"/>
      <c r="F260" s="633"/>
      <c r="G260" s="633"/>
      <c r="H260" s="633"/>
      <c r="I260" s="633"/>
      <c r="J260" s="633"/>
      <c r="K260" s="633"/>
      <c r="L260" s="633"/>
      <c r="M260" s="633"/>
      <c r="N260" s="633"/>
      <c r="O260" s="634"/>
      <c r="P260" s="630" t="s">
        <v>40</v>
      </c>
      <c r="Q260" s="631"/>
      <c r="R260" s="631"/>
      <c r="S260" s="631"/>
      <c r="T260" s="631"/>
      <c r="U260" s="631"/>
      <c r="V260" s="632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x14ac:dyDescent="0.2">
      <c r="A261" s="633"/>
      <c r="B261" s="633"/>
      <c r="C261" s="633"/>
      <c r="D261" s="633"/>
      <c r="E261" s="633"/>
      <c r="F261" s="633"/>
      <c r="G261" s="633"/>
      <c r="H261" s="633"/>
      <c r="I261" s="633"/>
      <c r="J261" s="633"/>
      <c r="K261" s="633"/>
      <c r="L261" s="633"/>
      <c r="M261" s="633"/>
      <c r="N261" s="633"/>
      <c r="O261" s="634"/>
      <c r="P261" s="630" t="s">
        <v>40</v>
      </c>
      <c r="Q261" s="631"/>
      <c r="R261" s="631"/>
      <c r="S261" s="631"/>
      <c r="T261" s="631"/>
      <c r="U261" s="631"/>
      <c r="V261" s="632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customHeight="1" x14ac:dyDescent="0.25">
      <c r="A262" s="623" t="s">
        <v>427</v>
      </c>
      <c r="B262" s="623"/>
      <c r="C262" s="623"/>
      <c r="D262" s="623"/>
      <c r="E262" s="623"/>
      <c r="F262" s="623"/>
      <c r="G262" s="623"/>
      <c r="H262" s="623"/>
      <c r="I262" s="623"/>
      <c r="J262" s="623"/>
      <c r="K262" s="623"/>
      <c r="L262" s="623"/>
      <c r="M262" s="623"/>
      <c r="N262" s="623"/>
      <c r="O262" s="623"/>
      <c r="P262" s="623"/>
      <c r="Q262" s="623"/>
      <c r="R262" s="623"/>
      <c r="S262" s="623"/>
      <c r="T262" s="623"/>
      <c r="U262" s="623"/>
      <c r="V262" s="623"/>
      <c r="W262" s="623"/>
      <c r="X262" s="623"/>
      <c r="Y262" s="623"/>
      <c r="Z262" s="623"/>
      <c r="AA262" s="65"/>
      <c r="AB262" s="65"/>
      <c r="AC262" s="79"/>
    </row>
    <row r="263" spans="1:68" ht="14.25" customHeight="1" x14ac:dyDescent="0.25">
      <c r="A263" s="624" t="s">
        <v>116</v>
      </c>
      <c r="B263" s="624"/>
      <c r="C263" s="624"/>
      <c r="D263" s="624"/>
      <c r="E263" s="624"/>
      <c r="F263" s="624"/>
      <c r="G263" s="624"/>
      <c r="H263" s="624"/>
      <c r="I263" s="624"/>
      <c r="J263" s="624"/>
      <c r="K263" s="624"/>
      <c r="L263" s="624"/>
      <c r="M263" s="624"/>
      <c r="N263" s="624"/>
      <c r="O263" s="624"/>
      <c r="P263" s="624"/>
      <c r="Q263" s="624"/>
      <c r="R263" s="624"/>
      <c r="S263" s="624"/>
      <c r="T263" s="624"/>
      <c r="U263" s="624"/>
      <c r="V263" s="624"/>
      <c r="W263" s="624"/>
      <c r="X263" s="624"/>
      <c r="Y263" s="624"/>
      <c r="Z263" s="624"/>
      <c r="AA263" s="66"/>
      <c r="AB263" s="66"/>
      <c r="AC263" s="80"/>
    </row>
    <row r="264" spans="1:68" ht="27" customHeight="1" x14ac:dyDescent="0.25">
      <c r="A264" s="63" t="s">
        <v>428</v>
      </c>
      <c r="B264" s="63" t="s">
        <v>429</v>
      </c>
      <c r="C264" s="36">
        <v>4301011223</v>
      </c>
      <c r="D264" s="625">
        <v>4607091383423</v>
      </c>
      <c r="E264" s="625"/>
      <c r="F264" s="62">
        <v>1.35</v>
      </c>
      <c r="G264" s="37">
        <v>8</v>
      </c>
      <c r="H264" s="62">
        <v>10.8</v>
      </c>
      <c r="I264" s="62">
        <v>11.305999999999999</v>
      </c>
      <c r="J264" s="37">
        <v>64</v>
      </c>
      <c r="K264" s="37" t="s">
        <v>121</v>
      </c>
      <c r="L264" s="37" t="s">
        <v>45</v>
      </c>
      <c r="M264" s="38" t="s">
        <v>93</v>
      </c>
      <c r="N264" s="38"/>
      <c r="O264" s="37">
        <v>35</v>
      </c>
      <c r="P264" s="75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27"/>
      <c r="R264" s="627"/>
      <c r="S264" s="627"/>
      <c r="T264" s="62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119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430</v>
      </c>
      <c r="B265" s="63" t="s">
        <v>431</v>
      </c>
      <c r="C265" s="36">
        <v>4301012199</v>
      </c>
      <c r="D265" s="625">
        <v>4680115886957</v>
      </c>
      <c r="E265" s="625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121</v>
      </c>
      <c r="L265" s="37" t="s">
        <v>45</v>
      </c>
      <c r="M265" s="38" t="s">
        <v>93</v>
      </c>
      <c r="N265" s="38"/>
      <c r="O265" s="37">
        <v>30</v>
      </c>
      <c r="P265" s="75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27"/>
      <c r="R265" s="627"/>
      <c r="S265" s="627"/>
      <c r="T265" s="62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432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433</v>
      </c>
      <c r="B266" s="63" t="s">
        <v>434</v>
      </c>
      <c r="C266" s="36">
        <v>4301012098</v>
      </c>
      <c r="D266" s="625">
        <v>4680115885660</v>
      </c>
      <c r="E266" s="625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121</v>
      </c>
      <c r="L266" s="37" t="s">
        <v>45</v>
      </c>
      <c r="M266" s="38" t="s">
        <v>93</v>
      </c>
      <c r="N266" s="38"/>
      <c r="O266" s="37">
        <v>35</v>
      </c>
      <c r="P266" s="75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27"/>
      <c r="R266" s="627"/>
      <c r="S266" s="627"/>
      <c r="T266" s="62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378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435</v>
      </c>
      <c r="B267" s="63" t="s">
        <v>436</v>
      </c>
      <c r="C267" s="36">
        <v>4301012176</v>
      </c>
      <c r="D267" s="625">
        <v>4680115886773</v>
      </c>
      <c r="E267" s="625"/>
      <c r="F267" s="62">
        <v>0.9</v>
      </c>
      <c r="G267" s="37">
        <v>10</v>
      </c>
      <c r="H267" s="62">
        <v>9</v>
      </c>
      <c r="I267" s="62">
        <v>9.41</v>
      </c>
      <c r="J267" s="37">
        <v>64</v>
      </c>
      <c r="K267" s="37" t="s">
        <v>121</v>
      </c>
      <c r="L267" s="37" t="s">
        <v>45</v>
      </c>
      <c r="M267" s="38" t="s">
        <v>120</v>
      </c>
      <c r="N267" s="38"/>
      <c r="O267" s="37">
        <v>31</v>
      </c>
      <c r="P267" s="75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27"/>
      <c r="R267" s="627"/>
      <c r="S267" s="627"/>
      <c r="T267" s="628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437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33"/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4"/>
      <c r="P269" s="630" t="s">
        <v>40</v>
      </c>
      <c r="Q269" s="631"/>
      <c r="R269" s="631"/>
      <c r="S269" s="631"/>
      <c r="T269" s="631"/>
      <c r="U269" s="631"/>
      <c r="V269" s="632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623" t="s">
        <v>438</v>
      </c>
      <c r="B270" s="623"/>
      <c r="C270" s="623"/>
      <c r="D270" s="623"/>
      <c r="E270" s="623"/>
      <c r="F270" s="623"/>
      <c r="G270" s="623"/>
      <c r="H270" s="623"/>
      <c r="I270" s="623"/>
      <c r="J270" s="623"/>
      <c r="K270" s="623"/>
      <c r="L270" s="623"/>
      <c r="M270" s="623"/>
      <c r="N270" s="623"/>
      <c r="O270" s="623"/>
      <c r="P270" s="623"/>
      <c r="Q270" s="623"/>
      <c r="R270" s="623"/>
      <c r="S270" s="623"/>
      <c r="T270" s="623"/>
      <c r="U270" s="623"/>
      <c r="V270" s="623"/>
      <c r="W270" s="623"/>
      <c r="X270" s="623"/>
      <c r="Y270" s="623"/>
      <c r="Z270" s="623"/>
      <c r="AA270" s="65"/>
      <c r="AB270" s="65"/>
      <c r="AC270" s="79"/>
    </row>
    <row r="271" spans="1:68" ht="14.25" customHeight="1" x14ac:dyDescent="0.25">
      <c r="A271" s="624" t="s">
        <v>89</v>
      </c>
      <c r="B271" s="624"/>
      <c r="C271" s="624"/>
      <c r="D271" s="624"/>
      <c r="E271" s="624"/>
      <c r="F271" s="624"/>
      <c r="G271" s="624"/>
      <c r="H271" s="624"/>
      <c r="I271" s="624"/>
      <c r="J271" s="624"/>
      <c r="K271" s="624"/>
      <c r="L271" s="624"/>
      <c r="M271" s="624"/>
      <c r="N271" s="624"/>
      <c r="O271" s="624"/>
      <c r="P271" s="624"/>
      <c r="Q271" s="624"/>
      <c r="R271" s="624"/>
      <c r="S271" s="624"/>
      <c r="T271" s="624"/>
      <c r="U271" s="624"/>
      <c r="V271" s="624"/>
      <c r="W271" s="624"/>
      <c r="X271" s="624"/>
      <c r="Y271" s="624"/>
      <c r="Z271" s="624"/>
      <c r="AA271" s="66"/>
      <c r="AB271" s="66"/>
      <c r="AC271" s="80"/>
    </row>
    <row r="272" spans="1:68" ht="27" customHeight="1" x14ac:dyDescent="0.25">
      <c r="A272" s="63" t="s">
        <v>439</v>
      </c>
      <c r="B272" s="63" t="s">
        <v>440</v>
      </c>
      <c r="C272" s="36">
        <v>4301051893</v>
      </c>
      <c r="D272" s="625">
        <v>4680115886186</v>
      </c>
      <c r="E272" s="625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84</v>
      </c>
      <c r="L272" s="37" t="s">
        <v>45</v>
      </c>
      <c r="M272" s="38" t="s">
        <v>93</v>
      </c>
      <c r="N272" s="38"/>
      <c r="O272" s="37">
        <v>45</v>
      </c>
      <c r="P272" s="75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27"/>
      <c r="R272" s="627"/>
      <c r="S272" s="627"/>
      <c r="T272" s="62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441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442</v>
      </c>
      <c r="B273" s="63" t="s">
        <v>443</v>
      </c>
      <c r="C273" s="36">
        <v>4301051795</v>
      </c>
      <c r="D273" s="625">
        <v>4680115881228</v>
      </c>
      <c r="E273" s="625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84</v>
      </c>
      <c r="L273" s="37" t="s">
        <v>45</v>
      </c>
      <c r="M273" s="38" t="s">
        <v>100</v>
      </c>
      <c r="N273" s="38"/>
      <c r="O273" s="37">
        <v>40</v>
      </c>
      <c r="P273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27"/>
      <c r="R273" s="627"/>
      <c r="S273" s="627"/>
      <c r="T273" s="62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444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445</v>
      </c>
      <c r="B274" s="63" t="s">
        <v>446</v>
      </c>
      <c r="C274" s="36">
        <v>4301051388</v>
      </c>
      <c r="D274" s="625">
        <v>4680115881211</v>
      </c>
      <c r="E274" s="625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84</v>
      </c>
      <c r="L274" s="37" t="s">
        <v>104</v>
      </c>
      <c r="M274" s="38" t="s">
        <v>93</v>
      </c>
      <c r="N274" s="38"/>
      <c r="O274" s="37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27"/>
      <c r="R274" s="627"/>
      <c r="S274" s="627"/>
      <c r="T274" s="62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441</v>
      </c>
      <c r="AG274" s="78"/>
      <c r="AJ274" s="84" t="s">
        <v>105</v>
      </c>
      <c r="AK274" s="84">
        <v>33.6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3"/>
      <c r="B275" s="633"/>
      <c r="C275" s="633"/>
      <c r="D275" s="633"/>
      <c r="E275" s="633"/>
      <c r="F275" s="633"/>
      <c r="G275" s="633"/>
      <c r="H275" s="633"/>
      <c r="I275" s="633"/>
      <c r="J275" s="633"/>
      <c r="K275" s="633"/>
      <c r="L275" s="633"/>
      <c r="M275" s="633"/>
      <c r="N275" s="633"/>
      <c r="O275" s="634"/>
      <c r="P275" s="630" t="s">
        <v>40</v>
      </c>
      <c r="Q275" s="631"/>
      <c r="R275" s="631"/>
      <c r="S275" s="631"/>
      <c r="T275" s="631"/>
      <c r="U275" s="631"/>
      <c r="V275" s="632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3"/>
      <c r="B276" s="633"/>
      <c r="C276" s="633"/>
      <c r="D276" s="633"/>
      <c r="E276" s="633"/>
      <c r="F276" s="633"/>
      <c r="G276" s="633"/>
      <c r="H276" s="633"/>
      <c r="I276" s="633"/>
      <c r="J276" s="633"/>
      <c r="K276" s="633"/>
      <c r="L276" s="633"/>
      <c r="M276" s="633"/>
      <c r="N276" s="633"/>
      <c r="O276" s="634"/>
      <c r="P276" s="630" t="s">
        <v>40</v>
      </c>
      <c r="Q276" s="631"/>
      <c r="R276" s="631"/>
      <c r="S276" s="631"/>
      <c r="T276" s="631"/>
      <c r="U276" s="631"/>
      <c r="V276" s="632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customHeight="1" x14ac:dyDescent="0.25">
      <c r="A277" s="623" t="s">
        <v>447</v>
      </c>
      <c r="B277" s="623"/>
      <c r="C277" s="623"/>
      <c r="D277" s="623"/>
      <c r="E277" s="623"/>
      <c r="F277" s="623"/>
      <c r="G277" s="623"/>
      <c r="H277" s="623"/>
      <c r="I277" s="623"/>
      <c r="J277" s="623"/>
      <c r="K277" s="623"/>
      <c r="L277" s="623"/>
      <c r="M277" s="623"/>
      <c r="N277" s="623"/>
      <c r="O277" s="623"/>
      <c r="P277" s="623"/>
      <c r="Q277" s="623"/>
      <c r="R277" s="623"/>
      <c r="S277" s="623"/>
      <c r="T277" s="623"/>
      <c r="U277" s="623"/>
      <c r="V277" s="623"/>
      <c r="W277" s="623"/>
      <c r="X277" s="623"/>
      <c r="Y277" s="623"/>
      <c r="Z277" s="623"/>
      <c r="AA277" s="65"/>
      <c r="AB277" s="65"/>
      <c r="AC277" s="79"/>
    </row>
    <row r="278" spans="1:68" ht="14.25" customHeight="1" x14ac:dyDescent="0.25">
      <c r="A278" s="624" t="s">
        <v>78</v>
      </c>
      <c r="B278" s="624"/>
      <c r="C278" s="624"/>
      <c r="D278" s="624"/>
      <c r="E278" s="624"/>
      <c r="F278" s="624"/>
      <c r="G278" s="624"/>
      <c r="H278" s="624"/>
      <c r="I278" s="624"/>
      <c r="J278" s="624"/>
      <c r="K278" s="624"/>
      <c r="L278" s="624"/>
      <c r="M278" s="624"/>
      <c r="N278" s="624"/>
      <c r="O278" s="624"/>
      <c r="P278" s="624"/>
      <c r="Q278" s="624"/>
      <c r="R278" s="624"/>
      <c r="S278" s="624"/>
      <c r="T278" s="624"/>
      <c r="U278" s="624"/>
      <c r="V278" s="624"/>
      <c r="W278" s="624"/>
      <c r="X278" s="624"/>
      <c r="Y278" s="624"/>
      <c r="Z278" s="624"/>
      <c r="AA278" s="66"/>
      <c r="AB278" s="66"/>
      <c r="AC278" s="80"/>
    </row>
    <row r="279" spans="1:68" ht="27" customHeight="1" x14ac:dyDescent="0.25">
      <c r="A279" s="63" t="s">
        <v>448</v>
      </c>
      <c r="B279" s="63" t="s">
        <v>449</v>
      </c>
      <c r="C279" s="36">
        <v>4301031307</v>
      </c>
      <c r="D279" s="625">
        <v>4680115880344</v>
      </c>
      <c r="E279" s="625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88</v>
      </c>
      <c r="L279" s="37" t="s">
        <v>45</v>
      </c>
      <c r="M279" s="38" t="s">
        <v>83</v>
      </c>
      <c r="N279" s="38"/>
      <c r="O279" s="37">
        <v>40</v>
      </c>
      <c r="P279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27"/>
      <c r="R279" s="627"/>
      <c r="S279" s="627"/>
      <c r="T279" s="628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450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451</v>
      </c>
      <c r="B280" s="63" t="s">
        <v>452</v>
      </c>
      <c r="C280" s="36">
        <v>4301031429</v>
      </c>
      <c r="D280" s="625">
        <v>4680115886919</v>
      </c>
      <c r="E280" s="625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84</v>
      </c>
      <c r="L280" s="37" t="s">
        <v>45</v>
      </c>
      <c r="M280" s="38" t="s">
        <v>83</v>
      </c>
      <c r="N280" s="38"/>
      <c r="O280" s="37">
        <v>40</v>
      </c>
      <c r="P280" s="7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27"/>
      <c r="R280" s="627"/>
      <c r="S280" s="627"/>
      <c r="T280" s="628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453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3"/>
      <c r="B281" s="633"/>
      <c r="C281" s="633"/>
      <c r="D281" s="633"/>
      <c r="E281" s="633"/>
      <c r="F281" s="633"/>
      <c r="G281" s="633"/>
      <c r="H281" s="633"/>
      <c r="I281" s="633"/>
      <c r="J281" s="633"/>
      <c r="K281" s="633"/>
      <c r="L281" s="633"/>
      <c r="M281" s="633"/>
      <c r="N281" s="633"/>
      <c r="O281" s="634"/>
      <c r="P281" s="630" t="s">
        <v>40</v>
      </c>
      <c r="Q281" s="631"/>
      <c r="R281" s="631"/>
      <c r="S281" s="631"/>
      <c r="T281" s="631"/>
      <c r="U281" s="631"/>
      <c r="V281" s="632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x14ac:dyDescent="0.2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customHeight="1" x14ac:dyDescent="0.25">
      <c r="A283" s="624" t="s">
        <v>89</v>
      </c>
      <c r="B283" s="624"/>
      <c r="C283" s="624"/>
      <c r="D283" s="624"/>
      <c r="E283" s="624"/>
      <c r="F283" s="624"/>
      <c r="G283" s="624"/>
      <c r="H283" s="624"/>
      <c r="I283" s="624"/>
      <c r="J283" s="624"/>
      <c r="K283" s="624"/>
      <c r="L283" s="624"/>
      <c r="M283" s="624"/>
      <c r="N283" s="624"/>
      <c r="O283" s="624"/>
      <c r="P283" s="624"/>
      <c r="Q283" s="624"/>
      <c r="R283" s="624"/>
      <c r="S283" s="624"/>
      <c r="T283" s="624"/>
      <c r="U283" s="624"/>
      <c r="V283" s="624"/>
      <c r="W283" s="624"/>
      <c r="X283" s="624"/>
      <c r="Y283" s="624"/>
      <c r="Z283" s="624"/>
      <c r="AA283" s="66"/>
      <c r="AB283" s="66"/>
      <c r="AC283" s="80"/>
    </row>
    <row r="284" spans="1:68" ht="37.5" customHeight="1" x14ac:dyDescent="0.25">
      <c r="A284" s="63" t="s">
        <v>454</v>
      </c>
      <c r="B284" s="63" t="s">
        <v>455</v>
      </c>
      <c r="C284" s="36">
        <v>4301051782</v>
      </c>
      <c r="D284" s="625">
        <v>4680115884618</v>
      </c>
      <c r="E284" s="625"/>
      <c r="F284" s="62">
        <v>0.6</v>
      </c>
      <c r="G284" s="37">
        <v>6</v>
      </c>
      <c r="H284" s="62">
        <v>3.6</v>
      </c>
      <c r="I284" s="62">
        <v>3.79</v>
      </c>
      <c r="J284" s="37">
        <v>132</v>
      </c>
      <c r="K284" s="37" t="s">
        <v>125</v>
      </c>
      <c r="L284" s="37" t="s">
        <v>126</v>
      </c>
      <c r="M284" s="38" t="s">
        <v>93</v>
      </c>
      <c r="N284" s="38"/>
      <c r="O284" s="37">
        <v>45</v>
      </c>
      <c r="P284" s="7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627"/>
      <c r="R284" s="627"/>
      <c r="S284" s="627"/>
      <c r="T284" s="628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456</v>
      </c>
      <c r="AG284" s="78"/>
      <c r="AJ284" s="84" t="s">
        <v>105</v>
      </c>
      <c r="AK284" s="84">
        <v>43.2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27" customHeight="1" x14ac:dyDescent="0.25">
      <c r="A285" s="63" t="s">
        <v>457</v>
      </c>
      <c r="B285" s="63" t="s">
        <v>458</v>
      </c>
      <c r="C285" s="36">
        <v>4301052057</v>
      </c>
      <c r="D285" s="625">
        <v>4680115887114</v>
      </c>
      <c r="E285" s="625"/>
      <c r="F285" s="62">
        <v>0.55000000000000004</v>
      </c>
      <c r="G285" s="37">
        <v>6</v>
      </c>
      <c r="H285" s="62">
        <v>3.3</v>
      </c>
      <c r="I285" s="62">
        <v>3.49</v>
      </c>
      <c r="J285" s="37">
        <v>132</v>
      </c>
      <c r="K285" s="37" t="s">
        <v>125</v>
      </c>
      <c r="L285" s="37" t="s">
        <v>45</v>
      </c>
      <c r="M285" s="38" t="s">
        <v>93</v>
      </c>
      <c r="N285" s="38"/>
      <c r="O285" s="37">
        <v>45</v>
      </c>
      <c r="P285" s="7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627"/>
      <c r="R285" s="627"/>
      <c r="S285" s="627"/>
      <c r="T285" s="628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48" t="s">
        <v>459</v>
      </c>
      <c r="AG285" s="78"/>
      <c r="AJ285" s="84" t="s">
        <v>45</v>
      </c>
      <c r="AK285" s="84">
        <v>0</v>
      </c>
      <c r="BB285" s="349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33"/>
      <c r="B286" s="633"/>
      <c r="C286" s="633"/>
      <c r="D286" s="633"/>
      <c r="E286" s="633"/>
      <c r="F286" s="633"/>
      <c r="G286" s="633"/>
      <c r="H286" s="633"/>
      <c r="I286" s="633"/>
      <c r="J286" s="633"/>
      <c r="K286" s="633"/>
      <c r="L286" s="633"/>
      <c r="M286" s="633"/>
      <c r="N286" s="633"/>
      <c r="O286" s="634"/>
      <c r="P286" s="630" t="s">
        <v>40</v>
      </c>
      <c r="Q286" s="631"/>
      <c r="R286" s="631"/>
      <c r="S286" s="631"/>
      <c r="T286" s="631"/>
      <c r="U286" s="631"/>
      <c r="V286" s="632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33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0" t="s">
        <v>40</v>
      </c>
      <c r="Q287" s="631"/>
      <c r="R287" s="631"/>
      <c r="S287" s="631"/>
      <c r="T287" s="631"/>
      <c r="U287" s="631"/>
      <c r="V287" s="632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6.5" customHeight="1" x14ac:dyDescent="0.25">
      <c r="A288" s="623" t="s">
        <v>460</v>
      </c>
      <c r="B288" s="623"/>
      <c r="C288" s="623"/>
      <c r="D288" s="623"/>
      <c r="E288" s="623"/>
      <c r="F288" s="623"/>
      <c r="G288" s="623"/>
      <c r="H288" s="623"/>
      <c r="I288" s="623"/>
      <c r="J288" s="623"/>
      <c r="K288" s="623"/>
      <c r="L288" s="623"/>
      <c r="M288" s="623"/>
      <c r="N288" s="623"/>
      <c r="O288" s="623"/>
      <c r="P288" s="623"/>
      <c r="Q288" s="623"/>
      <c r="R288" s="623"/>
      <c r="S288" s="623"/>
      <c r="T288" s="623"/>
      <c r="U288" s="623"/>
      <c r="V288" s="623"/>
      <c r="W288" s="623"/>
      <c r="X288" s="623"/>
      <c r="Y288" s="623"/>
      <c r="Z288" s="623"/>
      <c r="AA288" s="65"/>
      <c r="AB288" s="65"/>
      <c r="AC288" s="79"/>
    </row>
    <row r="289" spans="1:68" ht="14.25" customHeight="1" x14ac:dyDescent="0.25">
      <c r="A289" s="624" t="s">
        <v>116</v>
      </c>
      <c r="B289" s="624"/>
      <c r="C289" s="624"/>
      <c r="D289" s="624"/>
      <c r="E289" s="624"/>
      <c r="F289" s="624"/>
      <c r="G289" s="624"/>
      <c r="H289" s="624"/>
      <c r="I289" s="624"/>
      <c r="J289" s="624"/>
      <c r="K289" s="624"/>
      <c r="L289" s="624"/>
      <c r="M289" s="624"/>
      <c r="N289" s="624"/>
      <c r="O289" s="624"/>
      <c r="P289" s="624"/>
      <c r="Q289" s="624"/>
      <c r="R289" s="624"/>
      <c r="S289" s="624"/>
      <c r="T289" s="624"/>
      <c r="U289" s="624"/>
      <c r="V289" s="624"/>
      <c r="W289" s="624"/>
      <c r="X289" s="624"/>
      <c r="Y289" s="624"/>
      <c r="Z289" s="624"/>
      <c r="AA289" s="66"/>
      <c r="AB289" s="66"/>
      <c r="AC289" s="80"/>
    </row>
    <row r="290" spans="1:68" ht="27" customHeight="1" x14ac:dyDescent="0.25">
      <c r="A290" s="63" t="s">
        <v>461</v>
      </c>
      <c r="B290" s="63" t="s">
        <v>462</v>
      </c>
      <c r="C290" s="36">
        <v>4301012126</v>
      </c>
      <c r="D290" s="625">
        <v>4607091386004</v>
      </c>
      <c r="E290" s="625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121</v>
      </c>
      <c r="L290" s="37" t="s">
        <v>45</v>
      </c>
      <c r="M290" s="38" t="s">
        <v>120</v>
      </c>
      <c r="N290" s="38"/>
      <c r="O290" s="37">
        <v>55</v>
      </c>
      <c r="P290" s="76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627"/>
      <c r="R290" s="627"/>
      <c r="S290" s="627"/>
      <c r="T290" s="628"/>
      <c r="U290" s="39" t="s">
        <v>45</v>
      </c>
      <c r="V290" s="39" t="s">
        <v>45</v>
      </c>
      <c r="W290" s="40" t="s">
        <v>0</v>
      </c>
      <c r="X290" s="58">
        <v>0</v>
      </c>
      <c r="Y290" s="55">
        <f t="shared" ref="Y290:Y295" si="26"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463</v>
      </c>
      <c r="AG290" s="78"/>
      <c r="AJ290" s="84" t="s">
        <v>45</v>
      </c>
      <c r="AK290" s="84">
        <v>0</v>
      </c>
      <c r="BB290" s="351" t="s">
        <v>66</v>
      </c>
      <c r="BM290" s="78">
        <f t="shared" ref="BM290:BM295" si="27">IFERROR(X290*I290/H290,"0")</f>
        <v>0</v>
      </c>
      <c r="BN290" s="78">
        <f t="shared" ref="BN290:BN295" si="28">IFERROR(Y290*I290/H290,"0")</f>
        <v>0</v>
      </c>
      <c r="BO290" s="78">
        <f t="shared" ref="BO290:BO295" si="29">IFERROR(1/J290*(X290/H290),"0")</f>
        <v>0</v>
      </c>
      <c r="BP290" s="78">
        <f t="shared" ref="BP290:BP295" si="30">IFERROR(1/J290*(Y290/H290),"0")</f>
        <v>0</v>
      </c>
    </row>
    <row r="291" spans="1:68" ht="27" customHeight="1" x14ac:dyDescent="0.25">
      <c r="A291" s="63" t="s">
        <v>464</v>
      </c>
      <c r="B291" s="63" t="s">
        <v>465</v>
      </c>
      <c r="C291" s="36">
        <v>4301012024</v>
      </c>
      <c r="D291" s="625">
        <v>4680115885615</v>
      </c>
      <c r="E291" s="625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121</v>
      </c>
      <c r="L291" s="37" t="s">
        <v>122</v>
      </c>
      <c r="M291" s="38" t="s">
        <v>93</v>
      </c>
      <c r="N291" s="38"/>
      <c r="O291" s="37">
        <v>55</v>
      </c>
      <c r="P291" s="76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627"/>
      <c r="R291" s="627"/>
      <c r="S291" s="627"/>
      <c r="T291" s="628"/>
      <c r="U291" s="39" t="s">
        <v>45</v>
      </c>
      <c r="V291" s="39" t="s">
        <v>45</v>
      </c>
      <c r="W291" s="40" t="s">
        <v>0</v>
      </c>
      <c r="X291" s="58">
        <v>0</v>
      </c>
      <c r="Y291" s="55">
        <f t="shared" si="26"/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466</v>
      </c>
      <c r="AG291" s="78"/>
      <c r="AJ291" s="84" t="s">
        <v>105</v>
      </c>
      <c r="AK291" s="84">
        <v>86.4</v>
      </c>
      <c r="BB291" s="353" t="s">
        <v>66</v>
      </c>
      <c r="BM291" s="78">
        <f t="shared" si="27"/>
        <v>0</v>
      </c>
      <c r="BN291" s="78">
        <f t="shared" si="28"/>
        <v>0</v>
      </c>
      <c r="BO291" s="78">
        <f t="shared" si="29"/>
        <v>0</v>
      </c>
      <c r="BP291" s="78">
        <f t="shared" si="30"/>
        <v>0</v>
      </c>
    </row>
    <row r="292" spans="1:68" ht="37.5" customHeight="1" x14ac:dyDescent="0.25">
      <c r="A292" s="63" t="s">
        <v>467</v>
      </c>
      <c r="B292" s="63" t="s">
        <v>468</v>
      </c>
      <c r="C292" s="36">
        <v>4301011858</v>
      </c>
      <c r="D292" s="625">
        <v>4680115885646</v>
      </c>
      <c r="E292" s="625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121</v>
      </c>
      <c r="L292" s="37" t="s">
        <v>122</v>
      </c>
      <c r="M292" s="38" t="s">
        <v>120</v>
      </c>
      <c r="N292" s="38"/>
      <c r="O292" s="37">
        <v>55</v>
      </c>
      <c r="P292" s="76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627"/>
      <c r="R292" s="627"/>
      <c r="S292" s="627"/>
      <c r="T292" s="628"/>
      <c r="U292" s="39" t="s">
        <v>45</v>
      </c>
      <c r="V292" s="39" t="s">
        <v>45</v>
      </c>
      <c r="W292" s="40" t="s">
        <v>0</v>
      </c>
      <c r="X292" s="58">
        <v>0</v>
      </c>
      <c r="Y292" s="55">
        <f t="shared" si="26"/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469</v>
      </c>
      <c r="AG292" s="78"/>
      <c r="AJ292" s="84" t="s">
        <v>105</v>
      </c>
      <c r="AK292" s="84">
        <v>86.4</v>
      </c>
      <c r="BB292" s="355" t="s">
        <v>66</v>
      </c>
      <c r="BM292" s="78">
        <f t="shared" si="27"/>
        <v>0</v>
      </c>
      <c r="BN292" s="78">
        <f t="shared" si="28"/>
        <v>0</v>
      </c>
      <c r="BO292" s="78">
        <f t="shared" si="29"/>
        <v>0</v>
      </c>
      <c r="BP292" s="78">
        <f t="shared" si="30"/>
        <v>0</v>
      </c>
    </row>
    <row r="293" spans="1:68" ht="27" customHeight="1" x14ac:dyDescent="0.25">
      <c r="A293" s="63" t="s">
        <v>470</v>
      </c>
      <c r="B293" s="63" t="s">
        <v>471</v>
      </c>
      <c r="C293" s="36">
        <v>4301012016</v>
      </c>
      <c r="D293" s="625">
        <v>4680115885554</v>
      </c>
      <c r="E293" s="625"/>
      <c r="F293" s="62">
        <v>1.35</v>
      </c>
      <c r="G293" s="37">
        <v>8</v>
      </c>
      <c r="H293" s="62">
        <v>10.8</v>
      </c>
      <c r="I293" s="62">
        <v>11.21</v>
      </c>
      <c r="J293" s="37">
        <v>64</v>
      </c>
      <c r="K293" s="37" t="s">
        <v>121</v>
      </c>
      <c r="L293" s="37" t="s">
        <v>45</v>
      </c>
      <c r="M293" s="38" t="s">
        <v>93</v>
      </c>
      <c r="N293" s="38"/>
      <c r="O293" s="37">
        <v>55</v>
      </c>
      <c r="P29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627"/>
      <c r="R293" s="627"/>
      <c r="S293" s="627"/>
      <c r="T293" s="628"/>
      <c r="U293" s="39" t="s">
        <v>45</v>
      </c>
      <c r="V293" s="39" t="s">
        <v>45</v>
      </c>
      <c r="W293" s="40" t="s">
        <v>0</v>
      </c>
      <c r="X293" s="58">
        <v>0</v>
      </c>
      <c r="Y293" s="55">
        <f t="shared" si="26"/>
        <v>0</v>
      </c>
      <c r="Z293" s="41" t="str">
        <f>IFERROR(IF(Y293=0,"",ROUNDUP(Y293/H293,0)*0.01898),"")</f>
        <v/>
      </c>
      <c r="AA293" s="68" t="s">
        <v>45</v>
      </c>
      <c r="AB293" s="69" t="s">
        <v>45</v>
      </c>
      <c r="AC293" s="356" t="s">
        <v>472</v>
      </c>
      <c r="AG293" s="78"/>
      <c r="AJ293" s="84" t="s">
        <v>45</v>
      </c>
      <c r="AK293" s="84">
        <v>0</v>
      </c>
      <c r="BB293" s="357" t="s">
        <v>66</v>
      </c>
      <c r="BM293" s="78">
        <f t="shared" si="27"/>
        <v>0</v>
      </c>
      <c r="BN293" s="78">
        <f t="shared" si="28"/>
        <v>0</v>
      </c>
      <c r="BO293" s="78">
        <f t="shared" si="29"/>
        <v>0</v>
      </c>
      <c r="BP293" s="78">
        <f t="shared" si="30"/>
        <v>0</v>
      </c>
    </row>
    <row r="294" spans="1:68" ht="27" customHeight="1" x14ac:dyDescent="0.25">
      <c r="A294" s="63" t="s">
        <v>473</v>
      </c>
      <c r="B294" s="63" t="s">
        <v>474</v>
      </c>
      <c r="C294" s="36">
        <v>4301011857</v>
      </c>
      <c r="D294" s="625">
        <v>4680115885622</v>
      </c>
      <c r="E294" s="625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125</v>
      </c>
      <c r="L294" s="37" t="s">
        <v>126</v>
      </c>
      <c r="M294" s="38" t="s">
        <v>120</v>
      </c>
      <c r="N294" s="38"/>
      <c r="O294" s="37">
        <v>55</v>
      </c>
      <c r="P294" s="7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627"/>
      <c r="R294" s="627"/>
      <c r="S294" s="627"/>
      <c r="T294" s="628"/>
      <c r="U294" s="39" t="s">
        <v>45</v>
      </c>
      <c r="V294" s="39" t="s">
        <v>45</v>
      </c>
      <c r="W294" s="40" t="s">
        <v>0</v>
      </c>
      <c r="X294" s="58">
        <v>0</v>
      </c>
      <c r="Y294" s="55">
        <f t="shared" si="26"/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466</v>
      </c>
      <c r="AG294" s="78"/>
      <c r="AJ294" s="84" t="s">
        <v>105</v>
      </c>
      <c r="AK294" s="84">
        <v>48</v>
      </c>
      <c r="BB294" s="359" t="s">
        <v>66</v>
      </c>
      <c r="BM294" s="78">
        <f t="shared" si="27"/>
        <v>0</v>
      </c>
      <c r="BN294" s="78">
        <f t="shared" si="28"/>
        <v>0</v>
      </c>
      <c r="BO294" s="78">
        <f t="shared" si="29"/>
        <v>0</v>
      </c>
      <c r="BP294" s="78">
        <f t="shared" si="30"/>
        <v>0</v>
      </c>
    </row>
    <row r="295" spans="1:68" ht="27" customHeight="1" x14ac:dyDescent="0.25">
      <c r="A295" s="63" t="s">
        <v>475</v>
      </c>
      <c r="B295" s="63" t="s">
        <v>476</v>
      </c>
      <c r="C295" s="36">
        <v>4301011859</v>
      </c>
      <c r="D295" s="625">
        <v>4680115885608</v>
      </c>
      <c r="E295" s="625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125</v>
      </c>
      <c r="L295" s="37" t="s">
        <v>126</v>
      </c>
      <c r="M295" s="38" t="s">
        <v>120</v>
      </c>
      <c r="N295" s="38"/>
      <c r="O295" s="37">
        <v>55</v>
      </c>
      <c r="P29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627"/>
      <c r="R295" s="627"/>
      <c r="S295" s="627"/>
      <c r="T295" s="628"/>
      <c r="U295" s="39" t="s">
        <v>45</v>
      </c>
      <c r="V295" s="39" t="s">
        <v>45</v>
      </c>
      <c r="W295" s="40" t="s">
        <v>0</v>
      </c>
      <c r="X295" s="58">
        <v>0</v>
      </c>
      <c r="Y295" s="55">
        <f t="shared" si="26"/>
        <v>0</v>
      </c>
      <c r="Z295" s="41" t="str">
        <f>IFERROR(IF(Y295=0,"",ROUNDUP(Y295/H295,0)*0.00902),"")</f>
        <v/>
      </c>
      <c r="AA295" s="68" t="s">
        <v>45</v>
      </c>
      <c r="AB295" s="69" t="s">
        <v>45</v>
      </c>
      <c r="AC295" s="360" t="s">
        <v>477</v>
      </c>
      <c r="AG295" s="78"/>
      <c r="AJ295" s="84" t="s">
        <v>105</v>
      </c>
      <c r="AK295" s="84">
        <v>48</v>
      </c>
      <c r="BB295" s="361" t="s">
        <v>66</v>
      </c>
      <c r="BM295" s="78">
        <f t="shared" si="27"/>
        <v>0</v>
      </c>
      <c r="BN295" s="78">
        <f t="shared" si="28"/>
        <v>0</v>
      </c>
      <c r="BO295" s="78">
        <f t="shared" si="29"/>
        <v>0</v>
      </c>
      <c r="BP295" s="78">
        <f t="shared" si="30"/>
        <v>0</v>
      </c>
    </row>
    <row r="296" spans="1:68" x14ac:dyDescent="0.2">
      <c r="A296" s="633"/>
      <c r="B296" s="633"/>
      <c r="C296" s="633"/>
      <c r="D296" s="633"/>
      <c r="E296" s="633"/>
      <c r="F296" s="633"/>
      <c r="G296" s="633"/>
      <c r="H296" s="633"/>
      <c r="I296" s="633"/>
      <c r="J296" s="633"/>
      <c r="K296" s="633"/>
      <c r="L296" s="633"/>
      <c r="M296" s="633"/>
      <c r="N296" s="633"/>
      <c r="O296" s="634"/>
      <c r="P296" s="630" t="s">
        <v>40</v>
      </c>
      <c r="Q296" s="631"/>
      <c r="R296" s="631"/>
      <c r="S296" s="631"/>
      <c r="T296" s="631"/>
      <c r="U296" s="631"/>
      <c r="V296" s="632"/>
      <c r="W296" s="42" t="s">
        <v>39</v>
      </c>
      <c r="X296" s="43">
        <f>IFERROR(X290/H290,"0")+IFERROR(X291/H291,"0")+IFERROR(X292/H292,"0")+IFERROR(X293/H293,"0")+IFERROR(X294/H294,"0")+IFERROR(X295/H295,"0")</f>
        <v>0</v>
      </c>
      <c r="Y296" s="43">
        <f>IFERROR(Y290/H290,"0")+IFERROR(Y291/H291,"0")+IFERROR(Y292/H292,"0")+IFERROR(Y293/H293,"0")+IFERROR(Y294/H294,"0")+IFERROR(Y295/H295,"0")</f>
        <v>0</v>
      </c>
      <c r="Z296" s="43">
        <f>IFERROR(IF(Z290="",0,Z290),"0")+IFERROR(IF(Z291="",0,Z291),"0")+IFERROR(IF(Z292="",0,Z292),"0")+IFERROR(IF(Z293="",0,Z293),"0")+IFERROR(IF(Z294="",0,Z294),"0")+IFERROR(IF(Z295="",0,Z295),"0")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x14ac:dyDescent="0.2">
      <c r="A297" s="633"/>
      <c r="B297" s="633"/>
      <c r="C297" s="633"/>
      <c r="D297" s="633"/>
      <c r="E297" s="633"/>
      <c r="F297" s="633"/>
      <c r="G297" s="633"/>
      <c r="H297" s="633"/>
      <c r="I297" s="633"/>
      <c r="J297" s="633"/>
      <c r="K297" s="633"/>
      <c r="L297" s="633"/>
      <c r="M297" s="633"/>
      <c r="N297" s="633"/>
      <c r="O297" s="634"/>
      <c r="P297" s="630" t="s">
        <v>40</v>
      </c>
      <c r="Q297" s="631"/>
      <c r="R297" s="631"/>
      <c r="S297" s="631"/>
      <c r="T297" s="631"/>
      <c r="U297" s="631"/>
      <c r="V297" s="632"/>
      <c r="W297" s="42" t="s">
        <v>0</v>
      </c>
      <c r="X297" s="43">
        <f>IFERROR(SUM(X290:X295),"0")</f>
        <v>0</v>
      </c>
      <c r="Y297" s="43">
        <f>IFERROR(SUM(Y290:Y295),"0")</f>
        <v>0</v>
      </c>
      <c r="Z297" s="42"/>
      <c r="AA297" s="67"/>
      <c r="AB297" s="67"/>
      <c r="AC297" s="67"/>
    </row>
    <row r="298" spans="1:68" ht="14.25" customHeight="1" x14ac:dyDescent="0.25">
      <c r="A298" s="624" t="s">
        <v>78</v>
      </c>
      <c r="B298" s="624"/>
      <c r="C298" s="624"/>
      <c r="D298" s="624"/>
      <c r="E298" s="624"/>
      <c r="F298" s="624"/>
      <c r="G298" s="624"/>
      <c r="H298" s="624"/>
      <c r="I298" s="624"/>
      <c r="J298" s="624"/>
      <c r="K298" s="624"/>
      <c r="L298" s="624"/>
      <c r="M298" s="624"/>
      <c r="N298" s="624"/>
      <c r="O298" s="624"/>
      <c r="P298" s="624"/>
      <c r="Q298" s="624"/>
      <c r="R298" s="624"/>
      <c r="S298" s="624"/>
      <c r="T298" s="624"/>
      <c r="U298" s="624"/>
      <c r="V298" s="624"/>
      <c r="W298" s="624"/>
      <c r="X298" s="624"/>
      <c r="Y298" s="624"/>
      <c r="Z298" s="624"/>
      <c r="AA298" s="66"/>
      <c r="AB298" s="66"/>
      <c r="AC298" s="80"/>
    </row>
    <row r="299" spans="1:68" ht="27" customHeight="1" x14ac:dyDescent="0.25">
      <c r="A299" s="63" t="s">
        <v>478</v>
      </c>
      <c r="B299" s="63" t="s">
        <v>479</v>
      </c>
      <c r="C299" s="36">
        <v>4301030878</v>
      </c>
      <c r="D299" s="625">
        <v>4607091387193</v>
      </c>
      <c r="E299" s="625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125</v>
      </c>
      <c r="L299" s="37" t="s">
        <v>126</v>
      </c>
      <c r="M299" s="38" t="s">
        <v>83</v>
      </c>
      <c r="N299" s="38"/>
      <c r="O299" s="37">
        <v>35</v>
      </c>
      <c r="P29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627"/>
      <c r="R299" s="627"/>
      <c r="S299" s="627"/>
      <c r="T299" s="628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ref="Y299:Y304" si="31"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480</v>
      </c>
      <c r="AG299" s="78"/>
      <c r="AJ299" s="84" t="s">
        <v>105</v>
      </c>
      <c r="AK299" s="84">
        <v>50.4</v>
      </c>
      <c r="BB299" s="363" t="s">
        <v>66</v>
      </c>
      <c r="BM299" s="78">
        <f t="shared" ref="BM299:BM304" si="32">IFERROR(X299*I299/H299,"0")</f>
        <v>0</v>
      </c>
      <c r="BN299" s="78">
        <f t="shared" ref="BN299:BN304" si="33">IFERROR(Y299*I299/H299,"0")</f>
        <v>0</v>
      </c>
      <c r="BO299" s="78">
        <f t="shared" ref="BO299:BO304" si="34">IFERROR(1/J299*(X299/H299),"0")</f>
        <v>0</v>
      </c>
      <c r="BP299" s="78">
        <f t="shared" ref="BP299:BP304" si="35">IFERROR(1/J299*(Y299/H299),"0")</f>
        <v>0</v>
      </c>
    </row>
    <row r="300" spans="1:68" ht="27" customHeight="1" x14ac:dyDescent="0.25">
      <c r="A300" s="63" t="s">
        <v>481</v>
      </c>
      <c r="B300" s="63" t="s">
        <v>482</v>
      </c>
      <c r="C300" s="36">
        <v>4301031153</v>
      </c>
      <c r="D300" s="625">
        <v>4607091387230</v>
      </c>
      <c r="E300" s="625"/>
      <c r="F300" s="62">
        <v>0.7</v>
      </c>
      <c r="G300" s="37">
        <v>6</v>
      </c>
      <c r="H300" s="62">
        <v>4.2</v>
      </c>
      <c r="I300" s="62">
        <v>4.45</v>
      </c>
      <c r="J300" s="37">
        <v>132</v>
      </c>
      <c r="K300" s="37" t="s">
        <v>125</v>
      </c>
      <c r="L300" s="37" t="s">
        <v>126</v>
      </c>
      <c r="M300" s="38" t="s">
        <v>83</v>
      </c>
      <c r="N300" s="38"/>
      <c r="O300" s="37">
        <v>40</v>
      </c>
      <c r="P30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627"/>
      <c r="R300" s="627"/>
      <c r="S300" s="627"/>
      <c r="T300" s="628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483</v>
      </c>
      <c r="AG300" s="78"/>
      <c r="AJ300" s="84" t="s">
        <v>105</v>
      </c>
      <c r="AK300" s="84">
        <v>50.4</v>
      </c>
      <c r="BB300" s="365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484</v>
      </c>
      <c r="B301" s="63" t="s">
        <v>485</v>
      </c>
      <c r="C301" s="36">
        <v>4301031154</v>
      </c>
      <c r="D301" s="625">
        <v>4607091387292</v>
      </c>
      <c r="E301" s="625"/>
      <c r="F301" s="62">
        <v>0.73</v>
      </c>
      <c r="G301" s="37">
        <v>6</v>
      </c>
      <c r="H301" s="62">
        <v>4.38</v>
      </c>
      <c r="I301" s="62">
        <v>4.63</v>
      </c>
      <c r="J301" s="37">
        <v>132</v>
      </c>
      <c r="K301" s="37" t="s">
        <v>125</v>
      </c>
      <c r="L301" s="37" t="s">
        <v>45</v>
      </c>
      <c r="M301" s="38" t="s">
        <v>83</v>
      </c>
      <c r="N301" s="38"/>
      <c r="O301" s="37">
        <v>45</v>
      </c>
      <c r="P30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627"/>
      <c r="R301" s="627"/>
      <c r="S301" s="627"/>
      <c r="T301" s="628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66" t="s">
        <v>486</v>
      </c>
      <c r="AG301" s="78"/>
      <c r="AJ301" s="84" t="s">
        <v>45</v>
      </c>
      <c r="AK301" s="84">
        <v>0</v>
      </c>
      <c r="BB301" s="367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ht="27" customHeight="1" x14ac:dyDescent="0.25">
      <c r="A302" s="63" t="s">
        <v>487</v>
      </c>
      <c r="B302" s="63" t="s">
        <v>488</v>
      </c>
      <c r="C302" s="36">
        <v>4301031152</v>
      </c>
      <c r="D302" s="625">
        <v>4607091387285</v>
      </c>
      <c r="E302" s="625"/>
      <c r="F302" s="62">
        <v>0.35</v>
      </c>
      <c r="G302" s="37">
        <v>6</v>
      </c>
      <c r="H302" s="62">
        <v>2.1</v>
      </c>
      <c r="I302" s="62">
        <v>2.23</v>
      </c>
      <c r="J302" s="37">
        <v>234</v>
      </c>
      <c r="K302" s="37" t="s">
        <v>88</v>
      </c>
      <c r="L302" s="37" t="s">
        <v>281</v>
      </c>
      <c r="M302" s="38" t="s">
        <v>83</v>
      </c>
      <c r="N302" s="38"/>
      <c r="O302" s="37">
        <v>40</v>
      </c>
      <c r="P302" s="77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627"/>
      <c r="R302" s="627"/>
      <c r="S302" s="627"/>
      <c r="T302" s="628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31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483</v>
      </c>
      <c r="AG302" s="78"/>
      <c r="AJ302" s="84" t="s">
        <v>105</v>
      </c>
      <c r="AK302" s="84">
        <v>37.799999999999997</v>
      </c>
      <c r="BB302" s="369" t="s">
        <v>66</v>
      </c>
      <c r="BM302" s="78">
        <f t="shared" si="32"/>
        <v>0</v>
      </c>
      <c r="BN302" s="78">
        <f t="shared" si="33"/>
        <v>0</v>
      </c>
      <c r="BO302" s="78">
        <f t="shared" si="34"/>
        <v>0</v>
      </c>
      <c r="BP302" s="78">
        <f t="shared" si="35"/>
        <v>0</v>
      </c>
    </row>
    <row r="303" spans="1:68" ht="27" customHeight="1" x14ac:dyDescent="0.25">
      <c r="A303" s="63" t="s">
        <v>489</v>
      </c>
      <c r="B303" s="63" t="s">
        <v>490</v>
      </c>
      <c r="C303" s="36">
        <v>4301031305</v>
      </c>
      <c r="D303" s="625">
        <v>4607091389845</v>
      </c>
      <c r="E303" s="625"/>
      <c r="F303" s="62">
        <v>0.35</v>
      </c>
      <c r="G303" s="37">
        <v>6</v>
      </c>
      <c r="H303" s="62">
        <v>2.1</v>
      </c>
      <c r="I303" s="62">
        <v>2.2000000000000002</v>
      </c>
      <c r="J303" s="37">
        <v>234</v>
      </c>
      <c r="K303" s="37" t="s">
        <v>88</v>
      </c>
      <c r="L303" s="37" t="s">
        <v>281</v>
      </c>
      <c r="M303" s="38" t="s">
        <v>83</v>
      </c>
      <c r="N303" s="38"/>
      <c r="O303" s="37">
        <v>40</v>
      </c>
      <c r="P303" s="7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627"/>
      <c r="R303" s="627"/>
      <c r="S303" s="627"/>
      <c r="T303" s="628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31"/>
        <v>0</v>
      </c>
      <c r="Z303" s="41" t="str">
        <f>IFERROR(IF(Y303=0,"",ROUNDUP(Y303/H303,0)*0.00502),"")</f>
        <v/>
      </c>
      <c r="AA303" s="68" t="s">
        <v>45</v>
      </c>
      <c r="AB303" s="69" t="s">
        <v>45</v>
      </c>
      <c r="AC303" s="370" t="s">
        <v>491</v>
      </c>
      <c r="AG303" s="78"/>
      <c r="AJ303" s="84" t="s">
        <v>105</v>
      </c>
      <c r="AK303" s="84">
        <v>37.799999999999997</v>
      </c>
      <c r="BB303" s="371" t="s">
        <v>66</v>
      </c>
      <c r="BM303" s="78">
        <f t="shared" si="32"/>
        <v>0</v>
      </c>
      <c r="BN303" s="78">
        <f t="shared" si="33"/>
        <v>0</v>
      </c>
      <c r="BO303" s="78">
        <f t="shared" si="34"/>
        <v>0</v>
      </c>
      <c r="BP303" s="78">
        <f t="shared" si="35"/>
        <v>0</v>
      </c>
    </row>
    <row r="304" spans="1:68" ht="27" customHeight="1" x14ac:dyDescent="0.25">
      <c r="A304" s="63" t="s">
        <v>492</v>
      </c>
      <c r="B304" s="63" t="s">
        <v>493</v>
      </c>
      <c r="C304" s="36">
        <v>4301031066</v>
      </c>
      <c r="D304" s="625">
        <v>4607091383836</v>
      </c>
      <c r="E304" s="625"/>
      <c r="F304" s="62">
        <v>0.3</v>
      </c>
      <c r="G304" s="37">
        <v>6</v>
      </c>
      <c r="H304" s="62">
        <v>1.8</v>
      </c>
      <c r="I304" s="62">
        <v>2.028</v>
      </c>
      <c r="J304" s="37">
        <v>182</v>
      </c>
      <c r="K304" s="37" t="s">
        <v>84</v>
      </c>
      <c r="L304" s="37" t="s">
        <v>104</v>
      </c>
      <c r="M304" s="38" t="s">
        <v>83</v>
      </c>
      <c r="N304" s="38"/>
      <c r="O304" s="37">
        <v>40</v>
      </c>
      <c r="P304" s="77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627"/>
      <c r="R304" s="627"/>
      <c r="S304" s="627"/>
      <c r="T304" s="628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31"/>
        <v>0</v>
      </c>
      <c r="Z304" s="41" t="str">
        <f>IFERROR(IF(Y304=0,"",ROUNDUP(Y304/H304,0)*0.00651),"")</f>
        <v/>
      </c>
      <c r="AA304" s="68" t="s">
        <v>45</v>
      </c>
      <c r="AB304" s="69" t="s">
        <v>45</v>
      </c>
      <c r="AC304" s="372" t="s">
        <v>494</v>
      </c>
      <c r="AG304" s="78"/>
      <c r="AJ304" s="84" t="s">
        <v>105</v>
      </c>
      <c r="AK304" s="84">
        <v>25.2</v>
      </c>
      <c r="BB304" s="373" t="s">
        <v>66</v>
      </c>
      <c r="BM304" s="78">
        <f t="shared" si="32"/>
        <v>0</v>
      </c>
      <c r="BN304" s="78">
        <f t="shared" si="33"/>
        <v>0</v>
      </c>
      <c r="BO304" s="78">
        <f t="shared" si="34"/>
        <v>0</v>
      </c>
      <c r="BP304" s="78">
        <f t="shared" si="35"/>
        <v>0</v>
      </c>
    </row>
    <row r="305" spans="1:68" x14ac:dyDescent="0.2">
      <c r="A305" s="633"/>
      <c r="B305" s="633"/>
      <c r="C305" s="633"/>
      <c r="D305" s="633"/>
      <c r="E305" s="633"/>
      <c r="F305" s="633"/>
      <c r="G305" s="633"/>
      <c r="H305" s="633"/>
      <c r="I305" s="633"/>
      <c r="J305" s="633"/>
      <c r="K305" s="633"/>
      <c r="L305" s="633"/>
      <c r="M305" s="633"/>
      <c r="N305" s="633"/>
      <c r="O305" s="634"/>
      <c r="P305" s="630" t="s">
        <v>40</v>
      </c>
      <c r="Q305" s="631"/>
      <c r="R305" s="631"/>
      <c r="S305" s="631"/>
      <c r="T305" s="631"/>
      <c r="U305" s="631"/>
      <c r="V305" s="632"/>
      <c r="W305" s="42" t="s">
        <v>39</v>
      </c>
      <c r="X305" s="43">
        <f>IFERROR(X299/H299,"0")+IFERROR(X300/H300,"0")+IFERROR(X301/H301,"0")+IFERROR(X302/H302,"0")+IFERROR(X303/H303,"0")+IFERROR(X304/H304,"0")</f>
        <v>0</v>
      </c>
      <c r="Y305" s="43">
        <f>IFERROR(Y299/H299,"0")+IFERROR(Y300/H300,"0")+IFERROR(Y301/H301,"0")+IFERROR(Y302/H302,"0")+IFERROR(Y303/H303,"0")+IFERROR(Y304/H304,"0")</f>
        <v>0</v>
      </c>
      <c r="Z305" s="43">
        <f>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">
      <c r="A306" s="633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0" t="s">
        <v>40</v>
      </c>
      <c r="Q306" s="631"/>
      <c r="R306" s="631"/>
      <c r="S306" s="631"/>
      <c r="T306" s="631"/>
      <c r="U306" s="631"/>
      <c r="V306" s="632"/>
      <c r="W306" s="42" t="s">
        <v>0</v>
      </c>
      <c r="X306" s="43">
        <f>IFERROR(SUM(X299:X304),"0")</f>
        <v>0</v>
      </c>
      <c r="Y306" s="43">
        <f>IFERROR(SUM(Y299:Y304),"0")</f>
        <v>0</v>
      </c>
      <c r="Z306" s="42"/>
      <c r="AA306" s="67"/>
      <c r="AB306" s="67"/>
      <c r="AC306" s="67"/>
    </row>
    <row r="307" spans="1:68" ht="14.25" customHeight="1" x14ac:dyDescent="0.25">
      <c r="A307" s="624" t="s">
        <v>89</v>
      </c>
      <c r="B307" s="624"/>
      <c r="C307" s="624"/>
      <c r="D307" s="624"/>
      <c r="E307" s="624"/>
      <c r="F307" s="624"/>
      <c r="G307" s="624"/>
      <c r="H307" s="624"/>
      <c r="I307" s="624"/>
      <c r="J307" s="624"/>
      <c r="K307" s="624"/>
      <c r="L307" s="624"/>
      <c r="M307" s="624"/>
      <c r="N307" s="624"/>
      <c r="O307" s="624"/>
      <c r="P307" s="624"/>
      <c r="Q307" s="624"/>
      <c r="R307" s="624"/>
      <c r="S307" s="624"/>
      <c r="T307" s="624"/>
      <c r="U307" s="624"/>
      <c r="V307" s="624"/>
      <c r="W307" s="624"/>
      <c r="X307" s="624"/>
      <c r="Y307" s="624"/>
      <c r="Z307" s="624"/>
      <c r="AA307" s="66"/>
      <c r="AB307" s="66"/>
      <c r="AC307" s="80"/>
    </row>
    <row r="308" spans="1:68" ht="27" customHeight="1" x14ac:dyDescent="0.25">
      <c r="A308" s="63" t="s">
        <v>495</v>
      </c>
      <c r="B308" s="63" t="s">
        <v>496</v>
      </c>
      <c r="C308" s="36">
        <v>4301051100</v>
      </c>
      <c r="D308" s="625">
        <v>4607091387766</v>
      </c>
      <c r="E308" s="625"/>
      <c r="F308" s="62">
        <v>1.3</v>
      </c>
      <c r="G308" s="37">
        <v>6</v>
      </c>
      <c r="H308" s="62">
        <v>7.8</v>
      </c>
      <c r="I308" s="62">
        <v>8.2880000000000003</v>
      </c>
      <c r="J308" s="37">
        <v>64</v>
      </c>
      <c r="K308" s="37" t="s">
        <v>121</v>
      </c>
      <c r="L308" s="37" t="s">
        <v>122</v>
      </c>
      <c r="M308" s="38" t="s">
        <v>93</v>
      </c>
      <c r="N308" s="38"/>
      <c r="O308" s="37">
        <v>40</v>
      </c>
      <c r="P308" s="77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627"/>
      <c r="R308" s="627"/>
      <c r="S308" s="627"/>
      <c r="T308" s="628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497</v>
      </c>
      <c r="AG308" s="78"/>
      <c r="AJ308" s="84" t="s">
        <v>105</v>
      </c>
      <c r="AK308" s="84">
        <v>62.4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498</v>
      </c>
      <c r="B309" s="63" t="s">
        <v>499</v>
      </c>
      <c r="C309" s="36">
        <v>4301051818</v>
      </c>
      <c r="D309" s="625">
        <v>4607091387957</v>
      </c>
      <c r="E309" s="625"/>
      <c r="F309" s="62">
        <v>1.3</v>
      </c>
      <c r="G309" s="37">
        <v>6</v>
      </c>
      <c r="H309" s="62">
        <v>7.8</v>
      </c>
      <c r="I309" s="62">
        <v>8.2940000000000005</v>
      </c>
      <c r="J309" s="37">
        <v>64</v>
      </c>
      <c r="K309" s="37" t="s">
        <v>121</v>
      </c>
      <c r="L309" s="37" t="s">
        <v>45</v>
      </c>
      <c r="M309" s="38" t="s">
        <v>93</v>
      </c>
      <c r="N309" s="38"/>
      <c r="O309" s="37">
        <v>40</v>
      </c>
      <c r="P309" s="77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627"/>
      <c r="R309" s="627"/>
      <c r="S309" s="627"/>
      <c r="T309" s="628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500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501</v>
      </c>
      <c r="B310" s="63" t="s">
        <v>502</v>
      </c>
      <c r="C310" s="36">
        <v>4301051819</v>
      </c>
      <c r="D310" s="625">
        <v>4607091387964</v>
      </c>
      <c r="E310" s="625"/>
      <c r="F310" s="62">
        <v>1.35</v>
      </c>
      <c r="G310" s="37">
        <v>6</v>
      </c>
      <c r="H310" s="62">
        <v>8.1</v>
      </c>
      <c r="I310" s="62">
        <v>8.5760000000000005</v>
      </c>
      <c r="J310" s="37">
        <v>64</v>
      </c>
      <c r="K310" s="37" t="s">
        <v>121</v>
      </c>
      <c r="L310" s="37" t="s">
        <v>45</v>
      </c>
      <c r="M310" s="38" t="s">
        <v>93</v>
      </c>
      <c r="N310" s="38"/>
      <c r="O310" s="37">
        <v>40</v>
      </c>
      <c r="P310" s="77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627"/>
      <c r="R310" s="627"/>
      <c r="S310" s="627"/>
      <c r="T310" s="628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45</v>
      </c>
      <c r="AB310" s="69" t="s">
        <v>45</v>
      </c>
      <c r="AC310" s="378" t="s">
        <v>503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504</v>
      </c>
      <c r="B311" s="63" t="s">
        <v>505</v>
      </c>
      <c r="C311" s="36">
        <v>4301051734</v>
      </c>
      <c r="D311" s="625">
        <v>4680115884588</v>
      </c>
      <c r="E311" s="625"/>
      <c r="F311" s="62">
        <v>0.5</v>
      </c>
      <c r="G311" s="37">
        <v>6</v>
      </c>
      <c r="H311" s="62">
        <v>3</v>
      </c>
      <c r="I311" s="62">
        <v>3.246</v>
      </c>
      <c r="J311" s="37">
        <v>182</v>
      </c>
      <c r="K311" s="37" t="s">
        <v>84</v>
      </c>
      <c r="L311" s="37" t="s">
        <v>104</v>
      </c>
      <c r="M311" s="38" t="s">
        <v>93</v>
      </c>
      <c r="N311" s="38"/>
      <c r="O311" s="37">
        <v>40</v>
      </c>
      <c r="P311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627"/>
      <c r="R311" s="627"/>
      <c r="S311" s="627"/>
      <c r="T311" s="628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506</v>
      </c>
      <c r="AG311" s="78"/>
      <c r="AJ311" s="84" t="s">
        <v>105</v>
      </c>
      <c r="AK311" s="84">
        <v>42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2" t="s">
        <v>39</v>
      </c>
      <c r="X312" s="43">
        <f>IFERROR(X308/H308,"0")+IFERROR(X309/H309,"0")+IFERROR(X310/H310,"0")+IFERROR(X311/H311,"0")</f>
        <v>0</v>
      </c>
      <c r="Y312" s="43">
        <f>IFERROR(Y308/H308,"0")+IFERROR(Y309/H309,"0")+IFERROR(Y310/H310,"0")+IFERROR(Y311/H311,"0")</f>
        <v>0</v>
      </c>
      <c r="Z312" s="43">
        <f>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33"/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4"/>
      <c r="P313" s="630" t="s">
        <v>40</v>
      </c>
      <c r="Q313" s="631"/>
      <c r="R313" s="631"/>
      <c r="S313" s="631"/>
      <c r="T313" s="631"/>
      <c r="U313" s="631"/>
      <c r="V313" s="632"/>
      <c r="W313" s="42" t="s">
        <v>0</v>
      </c>
      <c r="X313" s="43">
        <f>IFERROR(SUM(X308:X311),"0")</f>
        <v>0</v>
      </c>
      <c r="Y313" s="43">
        <f>IFERROR(SUM(Y308:Y311),"0")</f>
        <v>0</v>
      </c>
      <c r="Z313" s="42"/>
      <c r="AA313" s="67"/>
      <c r="AB313" s="67"/>
      <c r="AC313" s="67"/>
    </row>
    <row r="314" spans="1:68" ht="14.25" customHeight="1" x14ac:dyDescent="0.25">
      <c r="A314" s="624" t="s">
        <v>179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6"/>
      <c r="AB314" s="66"/>
      <c r="AC314" s="80"/>
    </row>
    <row r="315" spans="1:68" ht="27" customHeight="1" x14ac:dyDescent="0.25">
      <c r="A315" s="63" t="s">
        <v>507</v>
      </c>
      <c r="B315" s="63" t="s">
        <v>508</v>
      </c>
      <c r="C315" s="36">
        <v>4301060387</v>
      </c>
      <c r="D315" s="625">
        <v>4607091380880</v>
      </c>
      <c r="E315" s="625"/>
      <c r="F315" s="62">
        <v>1.4</v>
      </c>
      <c r="G315" s="37">
        <v>6</v>
      </c>
      <c r="H315" s="62">
        <v>8.4</v>
      </c>
      <c r="I315" s="62">
        <v>8.8940000000000001</v>
      </c>
      <c r="J315" s="37">
        <v>64</v>
      </c>
      <c r="K315" s="37" t="s">
        <v>121</v>
      </c>
      <c r="L315" s="37" t="s">
        <v>122</v>
      </c>
      <c r="M315" s="38" t="s">
        <v>93</v>
      </c>
      <c r="N315" s="38"/>
      <c r="O315" s="37">
        <v>30</v>
      </c>
      <c r="P315" s="7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27"/>
      <c r="R315" s="627"/>
      <c r="S315" s="627"/>
      <c r="T315" s="628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509</v>
      </c>
      <c r="AG315" s="78"/>
      <c r="AJ315" s="84" t="s">
        <v>105</v>
      </c>
      <c r="AK315" s="84">
        <v>67.2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510</v>
      </c>
      <c r="B316" s="63" t="s">
        <v>511</v>
      </c>
      <c r="C316" s="36">
        <v>4301060406</v>
      </c>
      <c r="D316" s="625">
        <v>4607091384482</v>
      </c>
      <c r="E316" s="625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121</v>
      </c>
      <c r="L316" s="37" t="s">
        <v>122</v>
      </c>
      <c r="M316" s="38" t="s">
        <v>93</v>
      </c>
      <c r="N316" s="38"/>
      <c r="O316" s="37">
        <v>30</v>
      </c>
      <c r="P316" s="78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27"/>
      <c r="R316" s="627"/>
      <c r="S316" s="627"/>
      <c r="T316" s="628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512</v>
      </c>
      <c r="AG316" s="78"/>
      <c r="AJ316" s="84" t="s">
        <v>105</v>
      </c>
      <c r="AK316" s="84">
        <v>62.4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16.5" customHeight="1" x14ac:dyDescent="0.25">
      <c r="A317" s="63" t="s">
        <v>513</v>
      </c>
      <c r="B317" s="63" t="s">
        <v>514</v>
      </c>
      <c r="C317" s="36">
        <v>4301060484</v>
      </c>
      <c r="D317" s="625">
        <v>4607091380897</v>
      </c>
      <c r="E317" s="625"/>
      <c r="F317" s="62">
        <v>1.4</v>
      </c>
      <c r="G317" s="37">
        <v>6</v>
      </c>
      <c r="H317" s="62">
        <v>8.4</v>
      </c>
      <c r="I317" s="62">
        <v>8.8940000000000001</v>
      </c>
      <c r="J317" s="37">
        <v>64</v>
      </c>
      <c r="K317" s="37" t="s">
        <v>121</v>
      </c>
      <c r="L317" s="37" t="s">
        <v>122</v>
      </c>
      <c r="M317" s="38" t="s">
        <v>100</v>
      </c>
      <c r="N317" s="38"/>
      <c r="O317" s="37">
        <v>30</v>
      </c>
      <c r="P317" s="7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27"/>
      <c r="R317" s="627"/>
      <c r="S317" s="627"/>
      <c r="T317" s="62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515</v>
      </c>
      <c r="AG317" s="78"/>
      <c r="AJ317" s="84" t="s">
        <v>105</v>
      </c>
      <c r="AK317" s="84">
        <v>67.2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33"/>
      <c r="B318" s="633"/>
      <c r="C318" s="633"/>
      <c r="D318" s="633"/>
      <c r="E318" s="633"/>
      <c r="F318" s="633"/>
      <c r="G318" s="633"/>
      <c r="H318" s="633"/>
      <c r="I318" s="633"/>
      <c r="J318" s="633"/>
      <c r="K318" s="633"/>
      <c r="L318" s="633"/>
      <c r="M318" s="633"/>
      <c r="N318" s="633"/>
      <c r="O318" s="634"/>
      <c r="P318" s="630" t="s">
        <v>40</v>
      </c>
      <c r="Q318" s="631"/>
      <c r="R318" s="631"/>
      <c r="S318" s="631"/>
      <c r="T318" s="631"/>
      <c r="U318" s="631"/>
      <c r="V318" s="632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33"/>
      <c r="B319" s="633"/>
      <c r="C319" s="633"/>
      <c r="D319" s="633"/>
      <c r="E319" s="633"/>
      <c r="F319" s="633"/>
      <c r="G319" s="633"/>
      <c r="H319" s="633"/>
      <c r="I319" s="633"/>
      <c r="J319" s="633"/>
      <c r="K319" s="633"/>
      <c r="L319" s="633"/>
      <c r="M319" s="633"/>
      <c r="N319" s="633"/>
      <c r="O319" s="634"/>
      <c r="P319" s="630" t="s">
        <v>40</v>
      </c>
      <c r="Q319" s="631"/>
      <c r="R319" s="631"/>
      <c r="S319" s="631"/>
      <c r="T319" s="631"/>
      <c r="U319" s="631"/>
      <c r="V319" s="632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4.25" customHeight="1" x14ac:dyDescent="0.25">
      <c r="A320" s="624" t="s">
        <v>108</v>
      </c>
      <c r="B320" s="624"/>
      <c r="C320" s="624"/>
      <c r="D320" s="624"/>
      <c r="E320" s="624"/>
      <c r="F320" s="624"/>
      <c r="G320" s="624"/>
      <c r="H320" s="624"/>
      <c r="I320" s="624"/>
      <c r="J320" s="624"/>
      <c r="K320" s="624"/>
      <c r="L320" s="624"/>
      <c r="M320" s="624"/>
      <c r="N320" s="624"/>
      <c r="O320" s="624"/>
      <c r="P320" s="624"/>
      <c r="Q320" s="624"/>
      <c r="R320" s="624"/>
      <c r="S320" s="624"/>
      <c r="T320" s="624"/>
      <c r="U320" s="624"/>
      <c r="V320" s="624"/>
      <c r="W320" s="624"/>
      <c r="X320" s="624"/>
      <c r="Y320" s="624"/>
      <c r="Z320" s="624"/>
      <c r="AA320" s="66"/>
      <c r="AB320" s="66"/>
      <c r="AC320" s="80"/>
    </row>
    <row r="321" spans="1:68" ht="27" customHeight="1" x14ac:dyDescent="0.25">
      <c r="A321" s="63" t="s">
        <v>516</v>
      </c>
      <c r="B321" s="63" t="s">
        <v>517</v>
      </c>
      <c r="C321" s="36">
        <v>4301030235</v>
      </c>
      <c r="D321" s="625">
        <v>4607091388381</v>
      </c>
      <c r="E321" s="625"/>
      <c r="F321" s="62">
        <v>0.38</v>
      </c>
      <c r="G321" s="37">
        <v>8</v>
      </c>
      <c r="H321" s="62">
        <v>3.04</v>
      </c>
      <c r="I321" s="62">
        <v>3.31</v>
      </c>
      <c r="J321" s="37">
        <v>132</v>
      </c>
      <c r="K321" s="37" t="s">
        <v>125</v>
      </c>
      <c r="L321" s="37" t="s">
        <v>45</v>
      </c>
      <c r="M321" s="38" t="s">
        <v>113</v>
      </c>
      <c r="N321" s="38"/>
      <c r="O321" s="37">
        <v>180</v>
      </c>
      <c r="P321" s="7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27"/>
      <c r="R321" s="627"/>
      <c r="S321" s="627"/>
      <c r="T321" s="628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518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519</v>
      </c>
      <c r="B322" s="63" t="s">
        <v>520</v>
      </c>
      <c r="C322" s="36">
        <v>4301030232</v>
      </c>
      <c r="D322" s="625">
        <v>4607091388374</v>
      </c>
      <c r="E322" s="625"/>
      <c r="F322" s="62">
        <v>0.38</v>
      </c>
      <c r="G322" s="37">
        <v>8</v>
      </c>
      <c r="H322" s="62">
        <v>3.04</v>
      </c>
      <c r="I322" s="62">
        <v>3.27</v>
      </c>
      <c r="J322" s="37">
        <v>132</v>
      </c>
      <c r="K322" s="37" t="s">
        <v>125</v>
      </c>
      <c r="L322" s="37" t="s">
        <v>45</v>
      </c>
      <c r="M322" s="38" t="s">
        <v>113</v>
      </c>
      <c r="N322" s="38"/>
      <c r="O322" s="37">
        <v>180</v>
      </c>
      <c r="P322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627"/>
      <c r="R322" s="627"/>
      <c r="S322" s="627"/>
      <c r="T322" s="628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518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521</v>
      </c>
      <c r="B323" s="63" t="s">
        <v>522</v>
      </c>
      <c r="C323" s="36">
        <v>4301032015</v>
      </c>
      <c r="D323" s="625">
        <v>4607091383102</v>
      </c>
      <c r="E323" s="625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84</v>
      </c>
      <c r="L323" s="37" t="s">
        <v>45</v>
      </c>
      <c r="M323" s="38" t="s">
        <v>113</v>
      </c>
      <c r="N323" s="38"/>
      <c r="O323" s="37">
        <v>180</v>
      </c>
      <c r="P323" s="78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27"/>
      <c r="R323" s="627"/>
      <c r="S323" s="627"/>
      <c r="T323" s="628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523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524</v>
      </c>
      <c r="B324" s="63" t="s">
        <v>525</v>
      </c>
      <c r="C324" s="36">
        <v>4301030233</v>
      </c>
      <c r="D324" s="625">
        <v>4607091388404</v>
      </c>
      <c r="E324" s="625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84</v>
      </c>
      <c r="L324" s="37" t="s">
        <v>104</v>
      </c>
      <c r="M324" s="38" t="s">
        <v>113</v>
      </c>
      <c r="N324" s="38"/>
      <c r="O324" s="37">
        <v>180</v>
      </c>
      <c r="P324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27"/>
      <c r="R324" s="627"/>
      <c r="S324" s="627"/>
      <c r="T324" s="62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518</v>
      </c>
      <c r="AG324" s="78"/>
      <c r="AJ324" s="84" t="s">
        <v>105</v>
      </c>
      <c r="AK324" s="84">
        <v>35.700000000000003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33"/>
      <c r="B325" s="633"/>
      <c r="C325" s="633"/>
      <c r="D325" s="633"/>
      <c r="E325" s="633"/>
      <c r="F325" s="633"/>
      <c r="G325" s="633"/>
      <c r="H325" s="633"/>
      <c r="I325" s="633"/>
      <c r="J325" s="633"/>
      <c r="K325" s="633"/>
      <c r="L325" s="633"/>
      <c r="M325" s="633"/>
      <c r="N325" s="633"/>
      <c r="O325" s="634"/>
      <c r="P325" s="630" t="s">
        <v>40</v>
      </c>
      <c r="Q325" s="631"/>
      <c r="R325" s="631"/>
      <c r="S325" s="631"/>
      <c r="T325" s="631"/>
      <c r="U325" s="631"/>
      <c r="V325" s="632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33"/>
      <c r="B326" s="633"/>
      <c r="C326" s="633"/>
      <c r="D326" s="633"/>
      <c r="E326" s="633"/>
      <c r="F326" s="633"/>
      <c r="G326" s="633"/>
      <c r="H326" s="633"/>
      <c r="I326" s="633"/>
      <c r="J326" s="633"/>
      <c r="K326" s="633"/>
      <c r="L326" s="633"/>
      <c r="M326" s="633"/>
      <c r="N326" s="633"/>
      <c r="O326" s="634"/>
      <c r="P326" s="630" t="s">
        <v>40</v>
      </c>
      <c r="Q326" s="631"/>
      <c r="R326" s="631"/>
      <c r="S326" s="631"/>
      <c r="T326" s="631"/>
      <c r="U326" s="631"/>
      <c r="V326" s="632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624" t="s">
        <v>526</v>
      </c>
      <c r="B327" s="624"/>
      <c r="C327" s="624"/>
      <c r="D327" s="624"/>
      <c r="E327" s="624"/>
      <c r="F327" s="624"/>
      <c r="G327" s="624"/>
      <c r="H327" s="624"/>
      <c r="I327" s="624"/>
      <c r="J327" s="624"/>
      <c r="K327" s="624"/>
      <c r="L327" s="624"/>
      <c r="M327" s="624"/>
      <c r="N327" s="624"/>
      <c r="O327" s="624"/>
      <c r="P327" s="624"/>
      <c r="Q327" s="624"/>
      <c r="R327" s="624"/>
      <c r="S327" s="624"/>
      <c r="T327" s="624"/>
      <c r="U327" s="624"/>
      <c r="V327" s="624"/>
      <c r="W327" s="624"/>
      <c r="X327" s="624"/>
      <c r="Y327" s="624"/>
      <c r="Z327" s="624"/>
      <c r="AA327" s="66"/>
      <c r="AB327" s="66"/>
      <c r="AC327" s="80"/>
    </row>
    <row r="328" spans="1:68" ht="16.5" customHeight="1" x14ac:dyDescent="0.25">
      <c r="A328" s="63" t="s">
        <v>527</v>
      </c>
      <c r="B328" s="63" t="s">
        <v>528</v>
      </c>
      <c r="C328" s="36">
        <v>4301180007</v>
      </c>
      <c r="D328" s="625">
        <v>4680115881808</v>
      </c>
      <c r="E328" s="625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84</v>
      </c>
      <c r="L328" s="37" t="s">
        <v>45</v>
      </c>
      <c r="M328" s="38" t="s">
        <v>530</v>
      </c>
      <c r="N328" s="38"/>
      <c r="O328" s="37">
        <v>730</v>
      </c>
      <c r="P328" s="78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27"/>
      <c r="R328" s="627"/>
      <c r="S328" s="627"/>
      <c r="T328" s="628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529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531</v>
      </c>
      <c r="B329" s="63" t="s">
        <v>532</v>
      </c>
      <c r="C329" s="36">
        <v>4301180006</v>
      </c>
      <c r="D329" s="625">
        <v>4680115881822</v>
      </c>
      <c r="E329" s="625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84</v>
      </c>
      <c r="L329" s="37" t="s">
        <v>45</v>
      </c>
      <c r="M329" s="38" t="s">
        <v>530</v>
      </c>
      <c r="N329" s="38"/>
      <c r="O329" s="37">
        <v>730</v>
      </c>
      <c r="P329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27"/>
      <c r="R329" s="627"/>
      <c r="S329" s="627"/>
      <c r="T329" s="62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529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533</v>
      </c>
      <c r="B330" s="63" t="s">
        <v>534</v>
      </c>
      <c r="C330" s="36">
        <v>4301180001</v>
      </c>
      <c r="D330" s="625">
        <v>4680115880016</v>
      </c>
      <c r="E330" s="625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84</v>
      </c>
      <c r="L330" s="37" t="s">
        <v>45</v>
      </c>
      <c r="M330" s="38" t="s">
        <v>530</v>
      </c>
      <c r="N330" s="38"/>
      <c r="O330" s="37">
        <v>730</v>
      </c>
      <c r="P330" s="7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27"/>
      <c r="R330" s="627"/>
      <c r="S330" s="627"/>
      <c r="T330" s="62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529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33"/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4"/>
      <c r="P331" s="630" t="s">
        <v>40</v>
      </c>
      <c r="Q331" s="631"/>
      <c r="R331" s="631"/>
      <c r="S331" s="631"/>
      <c r="T331" s="631"/>
      <c r="U331" s="631"/>
      <c r="V331" s="632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33"/>
      <c r="B332" s="633"/>
      <c r="C332" s="633"/>
      <c r="D332" s="633"/>
      <c r="E332" s="633"/>
      <c r="F332" s="633"/>
      <c r="G332" s="633"/>
      <c r="H332" s="633"/>
      <c r="I332" s="633"/>
      <c r="J332" s="633"/>
      <c r="K332" s="633"/>
      <c r="L332" s="633"/>
      <c r="M332" s="633"/>
      <c r="N332" s="633"/>
      <c r="O332" s="634"/>
      <c r="P332" s="630" t="s">
        <v>40</v>
      </c>
      <c r="Q332" s="631"/>
      <c r="R332" s="631"/>
      <c r="S332" s="631"/>
      <c r="T332" s="631"/>
      <c r="U332" s="631"/>
      <c r="V332" s="632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623" t="s">
        <v>535</v>
      </c>
      <c r="B333" s="623"/>
      <c r="C333" s="623"/>
      <c r="D333" s="623"/>
      <c r="E333" s="623"/>
      <c r="F333" s="623"/>
      <c r="G333" s="623"/>
      <c r="H333" s="623"/>
      <c r="I333" s="623"/>
      <c r="J333" s="623"/>
      <c r="K333" s="623"/>
      <c r="L333" s="623"/>
      <c r="M333" s="623"/>
      <c r="N333" s="623"/>
      <c r="O333" s="623"/>
      <c r="P333" s="623"/>
      <c r="Q333" s="623"/>
      <c r="R333" s="623"/>
      <c r="S333" s="623"/>
      <c r="T333" s="623"/>
      <c r="U333" s="623"/>
      <c r="V333" s="623"/>
      <c r="W333" s="623"/>
      <c r="X333" s="623"/>
      <c r="Y333" s="623"/>
      <c r="Z333" s="623"/>
      <c r="AA333" s="65"/>
      <c r="AB333" s="65"/>
      <c r="AC333" s="79"/>
    </row>
    <row r="334" spans="1:68" ht="14.25" customHeight="1" x14ac:dyDescent="0.25">
      <c r="A334" s="624" t="s">
        <v>89</v>
      </c>
      <c r="B334" s="624"/>
      <c r="C334" s="624"/>
      <c r="D334" s="624"/>
      <c r="E334" s="624"/>
      <c r="F334" s="624"/>
      <c r="G334" s="624"/>
      <c r="H334" s="624"/>
      <c r="I334" s="624"/>
      <c r="J334" s="624"/>
      <c r="K334" s="624"/>
      <c r="L334" s="624"/>
      <c r="M334" s="624"/>
      <c r="N334" s="624"/>
      <c r="O334" s="624"/>
      <c r="P334" s="624"/>
      <c r="Q334" s="624"/>
      <c r="R334" s="624"/>
      <c r="S334" s="624"/>
      <c r="T334" s="624"/>
      <c r="U334" s="624"/>
      <c r="V334" s="624"/>
      <c r="W334" s="624"/>
      <c r="X334" s="624"/>
      <c r="Y334" s="624"/>
      <c r="Z334" s="624"/>
      <c r="AA334" s="66"/>
      <c r="AB334" s="66"/>
      <c r="AC334" s="80"/>
    </row>
    <row r="335" spans="1:68" ht="27" customHeight="1" x14ac:dyDescent="0.25">
      <c r="A335" s="63" t="s">
        <v>536</v>
      </c>
      <c r="B335" s="63" t="s">
        <v>537</v>
      </c>
      <c r="C335" s="36">
        <v>4301051489</v>
      </c>
      <c r="D335" s="625">
        <v>4607091387919</v>
      </c>
      <c r="E335" s="625"/>
      <c r="F335" s="62">
        <v>1.35</v>
      </c>
      <c r="G335" s="37">
        <v>6</v>
      </c>
      <c r="H335" s="62">
        <v>8.1</v>
      </c>
      <c r="I335" s="62">
        <v>8.5939999999999994</v>
      </c>
      <c r="J335" s="37">
        <v>64</v>
      </c>
      <c r="K335" s="37" t="s">
        <v>121</v>
      </c>
      <c r="L335" s="37" t="s">
        <v>122</v>
      </c>
      <c r="M335" s="38" t="s">
        <v>100</v>
      </c>
      <c r="N335" s="38"/>
      <c r="O335" s="37">
        <v>45</v>
      </c>
      <c r="P335" s="79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27"/>
      <c r="R335" s="627"/>
      <c r="S335" s="627"/>
      <c r="T335" s="628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538</v>
      </c>
      <c r="AG335" s="78"/>
      <c r="AJ335" s="84" t="s">
        <v>105</v>
      </c>
      <c r="AK335" s="84">
        <v>64.8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539</v>
      </c>
      <c r="B336" s="63" t="s">
        <v>540</v>
      </c>
      <c r="C336" s="36">
        <v>4301051461</v>
      </c>
      <c r="D336" s="625">
        <v>4680115883604</v>
      </c>
      <c r="E336" s="625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84</v>
      </c>
      <c r="L336" s="37" t="s">
        <v>104</v>
      </c>
      <c r="M336" s="38" t="s">
        <v>93</v>
      </c>
      <c r="N336" s="38"/>
      <c r="O336" s="37">
        <v>45</v>
      </c>
      <c r="P336" s="7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27"/>
      <c r="R336" s="627"/>
      <c r="S336" s="627"/>
      <c r="T336" s="62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541</v>
      </c>
      <c r="AG336" s="78"/>
      <c r="AJ336" s="84" t="s">
        <v>105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542</v>
      </c>
      <c r="B337" s="63" t="s">
        <v>543</v>
      </c>
      <c r="C337" s="36">
        <v>4301051864</v>
      </c>
      <c r="D337" s="625">
        <v>4680115883567</v>
      </c>
      <c r="E337" s="625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84</v>
      </c>
      <c r="L337" s="37" t="s">
        <v>104</v>
      </c>
      <c r="M337" s="38" t="s">
        <v>100</v>
      </c>
      <c r="N337" s="38"/>
      <c r="O337" s="37">
        <v>40</v>
      </c>
      <c r="P337" s="7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27"/>
      <c r="R337" s="627"/>
      <c r="S337" s="627"/>
      <c r="T337" s="62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544</v>
      </c>
      <c r="AG337" s="78"/>
      <c r="AJ337" s="84" t="s">
        <v>105</v>
      </c>
      <c r="AK337" s="84">
        <v>29.4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33"/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4"/>
      <c r="P338" s="630" t="s">
        <v>40</v>
      </c>
      <c r="Q338" s="631"/>
      <c r="R338" s="631"/>
      <c r="S338" s="631"/>
      <c r="T338" s="631"/>
      <c r="U338" s="631"/>
      <c r="V338" s="632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33"/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4"/>
      <c r="P339" s="630" t="s">
        <v>40</v>
      </c>
      <c r="Q339" s="631"/>
      <c r="R339" s="631"/>
      <c r="S339" s="631"/>
      <c r="T339" s="631"/>
      <c r="U339" s="631"/>
      <c r="V339" s="632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customHeight="1" x14ac:dyDescent="0.2">
      <c r="A340" s="622" t="s">
        <v>545</v>
      </c>
      <c r="B340" s="622"/>
      <c r="C340" s="622"/>
      <c r="D340" s="622"/>
      <c r="E340" s="622"/>
      <c r="F340" s="622"/>
      <c r="G340" s="622"/>
      <c r="H340" s="622"/>
      <c r="I340" s="622"/>
      <c r="J340" s="622"/>
      <c r="K340" s="622"/>
      <c r="L340" s="622"/>
      <c r="M340" s="622"/>
      <c r="N340" s="622"/>
      <c r="O340" s="622"/>
      <c r="P340" s="622"/>
      <c r="Q340" s="622"/>
      <c r="R340" s="622"/>
      <c r="S340" s="622"/>
      <c r="T340" s="622"/>
      <c r="U340" s="622"/>
      <c r="V340" s="622"/>
      <c r="W340" s="622"/>
      <c r="X340" s="622"/>
      <c r="Y340" s="622"/>
      <c r="Z340" s="622"/>
      <c r="AA340" s="54"/>
      <c r="AB340" s="54"/>
      <c r="AC340" s="54"/>
    </row>
    <row r="341" spans="1:68" ht="16.5" customHeight="1" x14ac:dyDescent="0.25">
      <c r="A341" s="623" t="s">
        <v>546</v>
      </c>
      <c r="B341" s="623"/>
      <c r="C341" s="623"/>
      <c r="D341" s="623"/>
      <c r="E341" s="623"/>
      <c r="F341" s="623"/>
      <c r="G341" s="623"/>
      <c r="H341" s="623"/>
      <c r="I341" s="623"/>
      <c r="J341" s="623"/>
      <c r="K341" s="623"/>
      <c r="L341" s="623"/>
      <c r="M341" s="623"/>
      <c r="N341" s="623"/>
      <c r="O341" s="623"/>
      <c r="P341" s="623"/>
      <c r="Q341" s="623"/>
      <c r="R341" s="623"/>
      <c r="S341" s="623"/>
      <c r="T341" s="623"/>
      <c r="U341" s="623"/>
      <c r="V341" s="623"/>
      <c r="W341" s="623"/>
      <c r="X341" s="623"/>
      <c r="Y341" s="623"/>
      <c r="Z341" s="623"/>
      <c r="AA341" s="65"/>
      <c r="AB341" s="65"/>
      <c r="AC341" s="79"/>
    </row>
    <row r="342" spans="1:68" ht="14.25" customHeight="1" x14ac:dyDescent="0.25">
      <c r="A342" s="624" t="s">
        <v>116</v>
      </c>
      <c r="B342" s="624"/>
      <c r="C342" s="624"/>
      <c r="D342" s="624"/>
      <c r="E342" s="624"/>
      <c r="F342" s="624"/>
      <c r="G342" s="624"/>
      <c r="H342" s="624"/>
      <c r="I342" s="624"/>
      <c r="J342" s="624"/>
      <c r="K342" s="624"/>
      <c r="L342" s="624"/>
      <c r="M342" s="624"/>
      <c r="N342" s="624"/>
      <c r="O342" s="624"/>
      <c r="P342" s="624"/>
      <c r="Q342" s="624"/>
      <c r="R342" s="624"/>
      <c r="S342" s="624"/>
      <c r="T342" s="624"/>
      <c r="U342" s="624"/>
      <c r="V342" s="624"/>
      <c r="W342" s="624"/>
      <c r="X342" s="624"/>
      <c r="Y342" s="624"/>
      <c r="Z342" s="624"/>
      <c r="AA342" s="66"/>
      <c r="AB342" s="66"/>
      <c r="AC342" s="80"/>
    </row>
    <row r="343" spans="1:68" ht="37.5" customHeight="1" x14ac:dyDescent="0.25">
      <c r="A343" s="63" t="s">
        <v>547</v>
      </c>
      <c r="B343" s="63" t="s">
        <v>548</v>
      </c>
      <c r="C343" s="36">
        <v>4301011869</v>
      </c>
      <c r="D343" s="625">
        <v>4680115884847</v>
      </c>
      <c r="E343" s="625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121</v>
      </c>
      <c r="L343" s="37" t="s">
        <v>45</v>
      </c>
      <c r="M343" s="38" t="s">
        <v>83</v>
      </c>
      <c r="N343" s="38"/>
      <c r="O343" s="37">
        <v>60</v>
      </c>
      <c r="P343" s="7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27"/>
      <c r="R343" s="627"/>
      <c r="S343" s="627"/>
      <c r="T343" s="628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ref="Y343:Y349" si="36">IFERROR(IF(X343="",0,CEILING((X343/$H343),1)*$H343),"")</f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549</v>
      </c>
      <c r="AG343" s="78"/>
      <c r="AJ343" s="84" t="s">
        <v>45</v>
      </c>
      <c r="AK343" s="84">
        <v>0</v>
      </c>
      <c r="BB343" s="409" t="s">
        <v>66</v>
      </c>
      <c r="BM343" s="78">
        <f t="shared" ref="BM343:BM349" si="37">IFERROR(X343*I343/H343,"0")</f>
        <v>0</v>
      </c>
      <c r="BN343" s="78">
        <f t="shared" ref="BN343:BN349" si="38">IFERROR(Y343*I343/H343,"0")</f>
        <v>0</v>
      </c>
      <c r="BO343" s="78">
        <f t="shared" ref="BO343:BO349" si="39">IFERROR(1/J343*(X343/H343),"0")</f>
        <v>0</v>
      </c>
      <c r="BP343" s="78">
        <f t="shared" ref="BP343:BP349" si="40">IFERROR(1/J343*(Y343/H343),"0")</f>
        <v>0</v>
      </c>
    </row>
    <row r="344" spans="1:68" ht="27" customHeight="1" x14ac:dyDescent="0.25">
      <c r="A344" s="63" t="s">
        <v>550</v>
      </c>
      <c r="B344" s="63" t="s">
        <v>551</v>
      </c>
      <c r="C344" s="36">
        <v>4301011870</v>
      </c>
      <c r="D344" s="625">
        <v>4680115884854</v>
      </c>
      <c r="E344" s="625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121</v>
      </c>
      <c r="L344" s="37" t="s">
        <v>45</v>
      </c>
      <c r="M344" s="38" t="s">
        <v>83</v>
      </c>
      <c r="N344" s="38"/>
      <c r="O344" s="37">
        <v>60</v>
      </c>
      <c r="P344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27"/>
      <c r="R344" s="627"/>
      <c r="S344" s="627"/>
      <c r="T344" s="628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6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552</v>
      </c>
      <c r="AG344" s="78"/>
      <c r="AJ344" s="84" t="s">
        <v>45</v>
      </c>
      <c r="AK344" s="84">
        <v>0</v>
      </c>
      <c r="BB344" s="411" t="s">
        <v>66</v>
      </c>
      <c r="BM344" s="78">
        <f t="shared" si="37"/>
        <v>0</v>
      </c>
      <c r="BN344" s="78">
        <f t="shared" si="38"/>
        <v>0</v>
      </c>
      <c r="BO344" s="78">
        <f t="shared" si="39"/>
        <v>0</v>
      </c>
      <c r="BP344" s="78">
        <f t="shared" si="40"/>
        <v>0</v>
      </c>
    </row>
    <row r="345" spans="1:68" ht="37.5" customHeight="1" x14ac:dyDescent="0.25">
      <c r="A345" s="63" t="s">
        <v>553</v>
      </c>
      <c r="B345" s="63" t="s">
        <v>554</v>
      </c>
      <c r="C345" s="36">
        <v>4301011867</v>
      </c>
      <c r="D345" s="625">
        <v>4680115884830</v>
      </c>
      <c r="E345" s="625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121</v>
      </c>
      <c r="L345" s="37" t="s">
        <v>45</v>
      </c>
      <c r="M345" s="38" t="s">
        <v>83</v>
      </c>
      <c r="N345" s="38"/>
      <c r="O345" s="37">
        <v>60</v>
      </c>
      <c r="P345" s="7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627"/>
      <c r="R345" s="627"/>
      <c r="S345" s="627"/>
      <c r="T345" s="628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6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555</v>
      </c>
      <c r="AG345" s="78"/>
      <c r="AJ345" s="84" t="s">
        <v>45</v>
      </c>
      <c r="AK345" s="84">
        <v>0</v>
      </c>
      <c r="BB345" s="413" t="s">
        <v>66</v>
      </c>
      <c r="BM345" s="78">
        <f t="shared" si="37"/>
        <v>0</v>
      </c>
      <c r="BN345" s="78">
        <f t="shared" si="38"/>
        <v>0</v>
      </c>
      <c r="BO345" s="78">
        <f t="shared" si="39"/>
        <v>0</v>
      </c>
      <c r="BP345" s="78">
        <f t="shared" si="40"/>
        <v>0</v>
      </c>
    </row>
    <row r="346" spans="1:68" ht="27" customHeight="1" x14ac:dyDescent="0.25">
      <c r="A346" s="63" t="s">
        <v>556</v>
      </c>
      <c r="B346" s="63" t="s">
        <v>557</v>
      </c>
      <c r="C346" s="36">
        <v>4301012215</v>
      </c>
      <c r="D346" s="625">
        <v>4680115887046</v>
      </c>
      <c r="E346" s="625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121</v>
      </c>
      <c r="L346" s="37" t="s">
        <v>45</v>
      </c>
      <c r="M346" s="38" t="s">
        <v>100</v>
      </c>
      <c r="N346" s="38"/>
      <c r="O346" s="37">
        <v>60</v>
      </c>
      <c r="P346" s="79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627"/>
      <c r="R346" s="627"/>
      <c r="S346" s="627"/>
      <c r="T346" s="628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6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558</v>
      </c>
      <c r="AG346" s="78"/>
      <c r="AJ346" s="84" t="s">
        <v>45</v>
      </c>
      <c r="AK346" s="84">
        <v>0</v>
      </c>
      <c r="BB346" s="415" t="s">
        <v>66</v>
      </c>
      <c r="BM346" s="78">
        <f t="shared" si="37"/>
        <v>0</v>
      </c>
      <c r="BN346" s="78">
        <f t="shared" si="38"/>
        <v>0</v>
      </c>
      <c r="BO346" s="78">
        <f t="shared" si="39"/>
        <v>0</v>
      </c>
      <c r="BP346" s="78">
        <f t="shared" si="40"/>
        <v>0</v>
      </c>
    </row>
    <row r="347" spans="1:68" ht="27" customHeight="1" x14ac:dyDescent="0.25">
      <c r="A347" s="63" t="s">
        <v>559</v>
      </c>
      <c r="B347" s="63" t="s">
        <v>560</v>
      </c>
      <c r="C347" s="36">
        <v>4301011433</v>
      </c>
      <c r="D347" s="625">
        <v>4680115882638</v>
      </c>
      <c r="E347" s="625"/>
      <c r="F347" s="62">
        <v>0.4</v>
      </c>
      <c r="G347" s="37">
        <v>10</v>
      </c>
      <c r="H347" s="62">
        <v>4</v>
      </c>
      <c r="I347" s="62">
        <v>4.1900000000000004</v>
      </c>
      <c r="J347" s="37">
        <v>132</v>
      </c>
      <c r="K347" s="37" t="s">
        <v>125</v>
      </c>
      <c r="L347" s="37" t="s">
        <v>45</v>
      </c>
      <c r="M347" s="38" t="s">
        <v>120</v>
      </c>
      <c r="N347" s="38"/>
      <c r="O347" s="37">
        <v>90</v>
      </c>
      <c r="P347" s="79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27"/>
      <c r="R347" s="627"/>
      <c r="S347" s="627"/>
      <c r="T347" s="628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6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561</v>
      </c>
      <c r="AG347" s="78"/>
      <c r="AJ347" s="84" t="s">
        <v>45</v>
      </c>
      <c r="AK347" s="84">
        <v>0</v>
      </c>
      <c r="BB347" s="417" t="s">
        <v>66</v>
      </c>
      <c r="BM347" s="78">
        <f t="shared" si="37"/>
        <v>0</v>
      </c>
      <c r="BN347" s="78">
        <f t="shared" si="38"/>
        <v>0</v>
      </c>
      <c r="BO347" s="78">
        <f t="shared" si="39"/>
        <v>0</v>
      </c>
      <c r="BP347" s="78">
        <f t="shared" si="40"/>
        <v>0</v>
      </c>
    </row>
    <row r="348" spans="1:68" ht="27" customHeight="1" x14ac:dyDescent="0.25">
      <c r="A348" s="63" t="s">
        <v>562</v>
      </c>
      <c r="B348" s="63" t="s">
        <v>563</v>
      </c>
      <c r="C348" s="36">
        <v>4301011952</v>
      </c>
      <c r="D348" s="625">
        <v>4680115884922</v>
      </c>
      <c r="E348" s="625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125</v>
      </c>
      <c r="L348" s="37" t="s">
        <v>45</v>
      </c>
      <c r="M348" s="38" t="s">
        <v>83</v>
      </c>
      <c r="N348" s="38"/>
      <c r="O348" s="37">
        <v>60</v>
      </c>
      <c r="P348" s="7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27"/>
      <c r="R348" s="627"/>
      <c r="S348" s="627"/>
      <c r="T348" s="628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6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552</v>
      </c>
      <c r="AG348" s="78"/>
      <c r="AJ348" s="84" t="s">
        <v>45</v>
      </c>
      <c r="AK348" s="84">
        <v>0</v>
      </c>
      <c r="BB348" s="419" t="s">
        <v>66</v>
      </c>
      <c r="BM348" s="78">
        <f t="shared" si="37"/>
        <v>0</v>
      </c>
      <c r="BN348" s="78">
        <f t="shared" si="38"/>
        <v>0</v>
      </c>
      <c r="BO348" s="78">
        <f t="shared" si="39"/>
        <v>0</v>
      </c>
      <c r="BP348" s="78">
        <f t="shared" si="40"/>
        <v>0</v>
      </c>
    </row>
    <row r="349" spans="1:68" ht="37.5" customHeight="1" x14ac:dyDescent="0.25">
      <c r="A349" s="63" t="s">
        <v>564</v>
      </c>
      <c r="B349" s="63" t="s">
        <v>565</v>
      </c>
      <c r="C349" s="36">
        <v>4301011868</v>
      </c>
      <c r="D349" s="625">
        <v>4680115884861</v>
      </c>
      <c r="E349" s="625"/>
      <c r="F349" s="62">
        <v>0.5</v>
      </c>
      <c r="G349" s="37">
        <v>10</v>
      </c>
      <c r="H349" s="62">
        <v>5</v>
      </c>
      <c r="I349" s="62">
        <v>5.19</v>
      </c>
      <c r="J349" s="37">
        <v>132</v>
      </c>
      <c r="K349" s="37" t="s">
        <v>125</v>
      </c>
      <c r="L349" s="37" t="s">
        <v>126</v>
      </c>
      <c r="M349" s="38" t="s">
        <v>83</v>
      </c>
      <c r="N349" s="38"/>
      <c r="O349" s="37">
        <v>60</v>
      </c>
      <c r="P349" s="80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27"/>
      <c r="R349" s="627"/>
      <c r="S349" s="627"/>
      <c r="T349" s="628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555</v>
      </c>
      <c r="AG349" s="78"/>
      <c r="AJ349" s="84" t="s">
        <v>105</v>
      </c>
      <c r="AK349" s="84">
        <v>60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0" t="s">
        <v>40</v>
      </c>
      <c r="Q350" s="631"/>
      <c r="R350" s="631"/>
      <c r="S350" s="631"/>
      <c r="T350" s="631"/>
      <c r="U350" s="631"/>
      <c r="V350" s="632"/>
      <c r="W350" s="42" t="s">
        <v>39</v>
      </c>
      <c r="X350" s="43">
        <f>IFERROR(X343/H343,"0")+IFERROR(X344/H344,"0")+IFERROR(X345/H345,"0")+IFERROR(X346/H346,"0")+IFERROR(X347/H347,"0")+IFERROR(X348/H348,"0")+IFERROR(X349/H349,"0")</f>
        <v>0</v>
      </c>
      <c r="Y350" s="43">
        <f>IFERROR(Y343/H343,"0")+IFERROR(Y344/H344,"0")+IFERROR(Y345/H345,"0")+IFERROR(Y346/H346,"0")+IFERROR(Y347/H347,"0")+IFERROR(Y348/H348,"0")+IFERROR(Y349/H349,"0")</f>
        <v>0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633"/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4"/>
      <c r="P351" s="630" t="s">
        <v>40</v>
      </c>
      <c r="Q351" s="631"/>
      <c r="R351" s="631"/>
      <c r="S351" s="631"/>
      <c r="T351" s="631"/>
      <c r="U351" s="631"/>
      <c r="V351" s="632"/>
      <c r="W351" s="42" t="s">
        <v>0</v>
      </c>
      <c r="X351" s="43">
        <f>IFERROR(SUM(X343:X349),"0")</f>
        <v>0</v>
      </c>
      <c r="Y351" s="43">
        <f>IFERROR(SUM(Y343:Y349),"0")</f>
        <v>0</v>
      </c>
      <c r="Z351" s="42"/>
      <c r="AA351" s="67"/>
      <c r="AB351" s="67"/>
      <c r="AC351" s="67"/>
    </row>
    <row r="352" spans="1:68" ht="14.25" customHeight="1" x14ac:dyDescent="0.25">
      <c r="A352" s="624" t="s">
        <v>151</v>
      </c>
      <c r="B352" s="624"/>
      <c r="C352" s="624"/>
      <c r="D352" s="624"/>
      <c r="E352" s="624"/>
      <c r="F352" s="624"/>
      <c r="G352" s="624"/>
      <c r="H352" s="624"/>
      <c r="I352" s="624"/>
      <c r="J352" s="624"/>
      <c r="K352" s="624"/>
      <c r="L352" s="624"/>
      <c r="M352" s="624"/>
      <c r="N352" s="624"/>
      <c r="O352" s="624"/>
      <c r="P352" s="624"/>
      <c r="Q352" s="624"/>
      <c r="R352" s="624"/>
      <c r="S352" s="624"/>
      <c r="T352" s="624"/>
      <c r="U352" s="624"/>
      <c r="V352" s="624"/>
      <c r="W352" s="624"/>
      <c r="X352" s="624"/>
      <c r="Y352" s="624"/>
      <c r="Z352" s="624"/>
      <c r="AA352" s="66"/>
      <c r="AB352" s="66"/>
      <c r="AC352" s="80"/>
    </row>
    <row r="353" spans="1:68" ht="27" customHeight="1" x14ac:dyDescent="0.25">
      <c r="A353" s="63" t="s">
        <v>566</v>
      </c>
      <c r="B353" s="63" t="s">
        <v>567</v>
      </c>
      <c r="C353" s="36">
        <v>4301020178</v>
      </c>
      <c r="D353" s="625">
        <v>4607091383980</v>
      </c>
      <c r="E353" s="625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121</v>
      </c>
      <c r="L353" s="37" t="s">
        <v>45</v>
      </c>
      <c r="M353" s="38" t="s">
        <v>120</v>
      </c>
      <c r="N353" s="38"/>
      <c r="O353" s="37">
        <v>50</v>
      </c>
      <c r="P353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27"/>
      <c r="R353" s="627"/>
      <c r="S353" s="627"/>
      <c r="T353" s="628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2" t="s">
        <v>568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569</v>
      </c>
      <c r="B354" s="63" t="s">
        <v>570</v>
      </c>
      <c r="C354" s="36">
        <v>4301020179</v>
      </c>
      <c r="D354" s="625">
        <v>4607091384178</v>
      </c>
      <c r="E354" s="625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125</v>
      </c>
      <c r="L354" s="37" t="s">
        <v>45</v>
      </c>
      <c r="M354" s="38" t="s">
        <v>120</v>
      </c>
      <c r="N354" s="38"/>
      <c r="O354" s="37">
        <v>50</v>
      </c>
      <c r="P354" s="80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27"/>
      <c r="R354" s="627"/>
      <c r="S354" s="627"/>
      <c r="T354" s="628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571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33"/>
      <c r="B355" s="633"/>
      <c r="C355" s="633"/>
      <c r="D355" s="633"/>
      <c r="E355" s="633"/>
      <c r="F355" s="633"/>
      <c r="G355" s="633"/>
      <c r="H355" s="633"/>
      <c r="I355" s="633"/>
      <c r="J355" s="633"/>
      <c r="K355" s="633"/>
      <c r="L355" s="633"/>
      <c r="M355" s="633"/>
      <c r="N355" s="633"/>
      <c r="O355" s="634"/>
      <c r="P355" s="630" t="s">
        <v>40</v>
      </c>
      <c r="Q355" s="631"/>
      <c r="R355" s="631"/>
      <c r="S355" s="631"/>
      <c r="T355" s="631"/>
      <c r="U355" s="631"/>
      <c r="V355" s="6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633"/>
      <c r="B356" s="633"/>
      <c r="C356" s="633"/>
      <c r="D356" s="633"/>
      <c r="E356" s="633"/>
      <c r="F356" s="633"/>
      <c r="G356" s="633"/>
      <c r="H356" s="633"/>
      <c r="I356" s="633"/>
      <c r="J356" s="633"/>
      <c r="K356" s="633"/>
      <c r="L356" s="633"/>
      <c r="M356" s="633"/>
      <c r="N356" s="633"/>
      <c r="O356" s="634"/>
      <c r="P356" s="630" t="s">
        <v>40</v>
      </c>
      <c r="Q356" s="631"/>
      <c r="R356" s="631"/>
      <c r="S356" s="631"/>
      <c r="T356" s="631"/>
      <c r="U356" s="631"/>
      <c r="V356" s="6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customHeight="1" x14ac:dyDescent="0.25">
      <c r="A357" s="624" t="s">
        <v>89</v>
      </c>
      <c r="B357" s="624"/>
      <c r="C357" s="624"/>
      <c r="D357" s="624"/>
      <c r="E357" s="624"/>
      <c r="F357" s="624"/>
      <c r="G357" s="624"/>
      <c r="H357" s="624"/>
      <c r="I357" s="624"/>
      <c r="J357" s="624"/>
      <c r="K357" s="624"/>
      <c r="L357" s="624"/>
      <c r="M357" s="624"/>
      <c r="N357" s="624"/>
      <c r="O357" s="624"/>
      <c r="P357" s="624"/>
      <c r="Q357" s="624"/>
      <c r="R357" s="624"/>
      <c r="S357" s="624"/>
      <c r="T357" s="624"/>
      <c r="U357" s="624"/>
      <c r="V357" s="624"/>
      <c r="W357" s="624"/>
      <c r="X357" s="624"/>
      <c r="Y357" s="624"/>
      <c r="Z357" s="624"/>
      <c r="AA357" s="66"/>
      <c r="AB357" s="66"/>
      <c r="AC357" s="80"/>
    </row>
    <row r="358" spans="1:68" ht="27" customHeight="1" x14ac:dyDescent="0.25">
      <c r="A358" s="63" t="s">
        <v>572</v>
      </c>
      <c r="B358" s="63" t="s">
        <v>573</v>
      </c>
      <c r="C358" s="36">
        <v>4301051903</v>
      </c>
      <c r="D358" s="625">
        <v>4607091383928</v>
      </c>
      <c r="E358" s="625"/>
      <c r="F358" s="62">
        <v>1.5</v>
      </c>
      <c r="G358" s="37">
        <v>6</v>
      </c>
      <c r="H358" s="62">
        <v>9</v>
      </c>
      <c r="I358" s="62">
        <v>9.5</v>
      </c>
      <c r="J358" s="37">
        <v>64</v>
      </c>
      <c r="K358" s="37" t="s">
        <v>121</v>
      </c>
      <c r="L358" s="37" t="s">
        <v>122</v>
      </c>
      <c r="M358" s="38" t="s">
        <v>93</v>
      </c>
      <c r="N358" s="38"/>
      <c r="O358" s="37">
        <v>40</v>
      </c>
      <c r="P358" s="8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27"/>
      <c r="R358" s="627"/>
      <c r="S358" s="627"/>
      <c r="T358" s="628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574</v>
      </c>
      <c r="AG358" s="78"/>
      <c r="AJ358" s="84" t="s">
        <v>105</v>
      </c>
      <c r="AK358" s="84">
        <v>72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575</v>
      </c>
      <c r="B359" s="63" t="s">
        <v>576</v>
      </c>
      <c r="C359" s="36">
        <v>4301051897</v>
      </c>
      <c r="D359" s="625">
        <v>4607091384260</v>
      </c>
      <c r="E359" s="625"/>
      <c r="F359" s="62">
        <v>1.5</v>
      </c>
      <c r="G359" s="37">
        <v>6</v>
      </c>
      <c r="H359" s="62">
        <v>9</v>
      </c>
      <c r="I359" s="62">
        <v>9.4939999999999998</v>
      </c>
      <c r="J359" s="37">
        <v>64</v>
      </c>
      <c r="K359" s="37" t="s">
        <v>121</v>
      </c>
      <c r="L359" s="37" t="s">
        <v>122</v>
      </c>
      <c r="M359" s="38" t="s">
        <v>93</v>
      </c>
      <c r="N359" s="38"/>
      <c r="O359" s="37">
        <v>40</v>
      </c>
      <c r="P359" s="8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27"/>
      <c r="R359" s="627"/>
      <c r="S359" s="627"/>
      <c r="T359" s="628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577</v>
      </c>
      <c r="AG359" s="78"/>
      <c r="AJ359" s="84" t="s">
        <v>105</v>
      </c>
      <c r="AK359" s="84">
        <v>72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3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0" t="s">
        <v>40</v>
      </c>
      <c r="Q360" s="631"/>
      <c r="R360" s="631"/>
      <c r="S360" s="631"/>
      <c r="T360" s="631"/>
      <c r="U360" s="631"/>
      <c r="V360" s="632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0" t="s">
        <v>40</v>
      </c>
      <c r="Q361" s="631"/>
      <c r="R361" s="631"/>
      <c r="S361" s="631"/>
      <c r="T361" s="631"/>
      <c r="U361" s="631"/>
      <c r="V361" s="632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4" t="s">
        <v>179</v>
      </c>
      <c r="B362" s="624"/>
      <c r="C362" s="624"/>
      <c r="D362" s="624"/>
      <c r="E362" s="624"/>
      <c r="F362" s="624"/>
      <c r="G362" s="624"/>
      <c r="H362" s="624"/>
      <c r="I362" s="624"/>
      <c r="J362" s="624"/>
      <c r="K362" s="624"/>
      <c r="L362" s="624"/>
      <c r="M362" s="624"/>
      <c r="N362" s="624"/>
      <c r="O362" s="624"/>
      <c r="P362" s="624"/>
      <c r="Q362" s="624"/>
      <c r="R362" s="624"/>
      <c r="S362" s="624"/>
      <c r="T362" s="624"/>
      <c r="U362" s="624"/>
      <c r="V362" s="624"/>
      <c r="W362" s="624"/>
      <c r="X362" s="624"/>
      <c r="Y362" s="624"/>
      <c r="Z362" s="624"/>
      <c r="AA362" s="66"/>
      <c r="AB362" s="66"/>
      <c r="AC362" s="80"/>
    </row>
    <row r="363" spans="1:68" ht="16.5" customHeight="1" x14ac:dyDescent="0.25">
      <c r="A363" s="63" t="s">
        <v>578</v>
      </c>
      <c r="B363" s="63" t="s">
        <v>579</v>
      </c>
      <c r="C363" s="36">
        <v>4301060524</v>
      </c>
      <c r="D363" s="625">
        <v>4607091384673</v>
      </c>
      <c r="E363" s="625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121</v>
      </c>
      <c r="L363" s="37" t="s">
        <v>45</v>
      </c>
      <c r="M363" s="38" t="s">
        <v>93</v>
      </c>
      <c r="N363" s="38"/>
      <c r="O363" s="37">
        <v>40</v>
      </c>
      <c r="P363" s="8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27"/>
      <c r="R363" s="627"/>
      <c r="S363" s="627"/>
      <c r="T363" s="628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580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33"/>
      <c r="B364" s="633"/>
      <c r="C364" s="633"/>
      <c r="D364" s="633"/>
      <c r="E364" s="633"/>
      <c r="F364" s="633"/>
      <c r="G364" s="633"/>
      <c r="H364" s="633"/>
      <c r="I364" s="633"/>
      <c r="J364" s="633"/>
      <c r="K364" s="633"/>
      <c r="L364" s="633"/>
      <c r="M364" s="633"/>
      <c r="N364" s="633"/>
      <c r="O364" s="634"/>
      <c r="P364" s="630" t="s">
        <v>40</v>
      </c>
      <c r="Q364" s="631"/>
      <c r="R364" s="631"/>
      <c r="S364" s="631"/>
      <c r="T364" s="631"/>
      <c r="U364" s="631"/>
      <c r="V364" s="632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633"/>
      <c r="B365" s="633"/>
      <c r="C365" s="633"/>
      <c r="D365" s="633"/>
      <c r="E365" s="633"/>
      <c r="F365" s="633"/>
      <c r="G365" s="633"/>
      <c r="H365" s="633"/>
      <c r="I365" s="633"/>
      <c r="J365" s="633"/>
      <c r="K365" s="633"/>
      <c r="L365" s="633"/>
      <c r="M365" s="633"/>
      <c r="N365" s="633"/>
      <c r="O365" s="634"/>
      <c r="P365" s="630" t="s">
        <v>40</v>
      </c>
      <c r="Q365" s="631"/>
      <c r="R365" s="631"/>
      <c r="S365" s="631"/>
      <c r="T365" s="631"/>
      <c r="U365" s="631"/>
      <c r="V365" s="632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customHeight="1" x14ac:dyDescent="0.25">
      <c r="A366" s="623" t="s">
        <v>581</v>
      </c>
      <c r="B366" s="623"/>
      <c r="C366" s="623"/>
      <c r="D366" s="623"/>
      <c r="E366" s="623"/>
      <c r="F366" s="623"/>
      <c r="G366" s="623"/>
      <c r="H366" s="623"/>
      <c r="I366" s="623"/>
      <c r="J366" s="623"/>
      <c r="K366" s="623"/>
      <c r="L366" s="623"/>
      <c r="M366" s="623"/>
      <c r="N366" s="623"/>
      <c r="O366" s="623"/>
      <c r="P366" s="623"/>
      <c r="Q366" s="623"/>
      <c r="R366" s="623"/>
      <c r="S366" s="623"/>
      <c r="T366" s="623"/>
      <c r="U366" s="623"/>
      <c r="V366" s="623"/>
      <c r="W366" s="623"/>
      <c r="X366" s="623"/>
      <c r="Y366" s="623"/>
      <c r="Z366" s="623"/>
      <c r="AA366" s="65"/>
      <c r="AB366" s="65"/>
      <c r="AC366" s="79"/>
    </row>
    <row r="367" spans="1:68" ht="14.25" customHeight="1" x14ac:dyDescent="0.25">
      <c r="A367" s="624" t="s">
        <v>116</v>
      </c>
      <c r="B367" s="624"/>
      <c r="C367" s="624"/>
      <c r="D367" s="624"/>
      <c r="E367" s="624"/>
      <c r="F367" s="624"/>
      <c r="G367" s="624"/>
      <c r="H367" s="624"/>
      <c r="I367" s="624"/>
      <c r="J367" s="624"/>
      <c r="K367" s="624"/>
      <c r="L367" s="624"/>
      <c r="M367" s="624"/>
      <c r="N367" s="624"/>
      <c r="O367" s="624"/>
      <c r="P367" s="624"/>
      <c r="Q367" s="624"/>
      <c r="R367" s="624"/>
      <c r="S367" s="624"/>
      <c r="T367" s="624"/>
      <c r="U367" s="624"/>
      <c r="V367" s="624"/>
      <c r="W367" s="624"/>
      <c r="X367" s="624"/>
      <c r="Y367" s="624"/>
      <c r="Z367" s="624"/>
      <c r="AA367" s="66"/>
      <c r="AB367" s="66"/>
      <c r="AC367" s="80"/>
    </row>
    <row r="368" spans="1:68" ht="37.5" customHeight="1" x14ac:dyDescent="0.25">
      <c r="A368" s="63" t="s">
        <v>582</v>
      </c>
      <c r="B368" s="63" t="s">
        <v>583</v>
      </c>
      <c r="C368" s="36">
        <v>4301011875</v>
      </c>
      <c r="D368" s="625">
        <v>4680115884885</v>
      </c>
      <c r="E368" s="625"/>
      <c r="F368" s="62">
        <v>0.8</v>
      </c>
      <c r="G368" s="37">
        <v>15</v>
      </c>
      <c r="H368" s="62">
        <v>12</v>
      </c>
      <c r="I368" s="62">
        <v>12.41</v>
      </c>
      <c r="J368" s="37">
        <v>64</v>
      </c>
      <c r="K368" s="37" t="s">
        <v>121</v>
      </c>
      <c r="L368" s="37" t="s">
        <v>122</v>
      </c>
      <c r="M368" s="38" t="s">
        <v>83</v>
      </c>
      <c r="N368" s="38"/>
      <c r="O368" s="37">
        <v>60</v>
      </c>
      <c r="P368" s="8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27"/>
      <c r="R368" s="627"/>
      <c r="S368" s="627"/>
      <c r="T368" s="628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584</v>
      </c>
      <c r="AG368" s="78"/>
      <c r="AJ368" s="84" t="s">
        <v>105</v>
      </c>
      <c r="AK368" s="84">
        <v>96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customHeight="1" x14ac:dyDescent="0.25">
      <c r="A369" s="63" t="s">
        <v>585</v>
      </c>
      <c r="B369" s="63" t="s">
        <v>586</v>
      </c>
      <c r="C369" s="36">
        <v>4301011871</v>
      </c>
      <c r="D369" s="625">
        <v>4680115884908</v>
      </c>
      <c r="E369" s="625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125</v>
      </c>
      <c r="L369" s="37" t="s">
        <v>126</v>
      </c>
      <c r="M369" s="38" t="s">
        <v>83</v>
      </c>
      <c r="N369" s="38"/>
      <c r="O369" s="37">
        <v>60</v>
      </c>
      <c r="P369" s="8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27"/>
      <c r="R369" s="627"/>
      <c r="S369" s="627"/>
      <c r="T369" s="628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584</v>
      </c>
      <c r="AG369" s="78"/>
      <c r="AJ369" s="84" t="s">
        <v>105</v>
      </c>
      <c r="AK369" s="84">
        <v>48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33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0" t="s">
        <v>40</v>
      </c>
      <c r="Q370" s="631"/>
      <c r="R370" s="631"/>
      <c r="S370" s="631"/>
      <c r="T370" s="631"/>
      <c r="U370" s="631"/>
      <c r="V370" s="632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0" t="s">
        <v>40</v>
      </c>
      <c r="Q371" s="631"/>
      <c r="R371" s="631"/>
      <c r="S371" s="631"/>
      <c r="T371" s="631"/>
      <c r="U371" s="631"/>
      <c r="V371" s="632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customHeight="1" x14ac:dyDescent="0.25">
      <c r="A372" s="624" t="s">
        <v>78</v>
      </c>
      <c r="B372" s="624"/>
      <c r="C372" s="624"/>
      <c r="D372" s="624"/>
      <c r="E372" s="624"/>
      <c r="F372" s="624"/>
      <c r="G372" s="624"/>
      <c r="H372" s="624"/>
      <c r="I372" s="624"/>
      <c r="J372" s="624"/>
      <c r="K372" s="624"/>
      <c r="L372" s="624"/>
      <c r="M372" s="624"/>
      <c r="N372" s="624"/>
      <c r="O372" s="624"/>
      <c r="P372" s="624"/>
      <c r="Q372" s="624"/>
      <c r="R372" s="624"/>
      <c r="S372" s="624"/>
      <c r="T372" s="624"/>
      <c r="U372" s="624"/>
      <c r="V372" s="624"/>
      <c r="W372" s="624"/>
      <c r="X372" s="624"/>
      <c r="Y372" s="624"/>
      <c r="Z372" s="624"/>
      <c r="AA372" s="66"/>
      <c r="AB372" s="66"/>
      <c r="AC372" s="80"/>
    </row>
    <row r="373" spans="1:68" ht="27" customHeight="1" x14ac:dyDescent="0.25">
      <c r="A373" s="63" t="s">
        <v>587</v>
      </c>
      <c r="B373" s="63" t="s">
        <v>588</v>
      </c>
      <c r="C373" s="36">
        <v>4301031303</v>
      </c>
      <c r="D373" s="625">
        <v>4607091384802</v>
      </c>
      <c r="E373" s="625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125</v>
      </c>
      <c r="L373" s="37" t="s">
        <v>126</v>
      </c>
      <c r="M373" s="38" t="s">
        <v>83</v>
      </c>
      <c r="N373" s="38"/>
      <c r="O373" s="37">
        <v>35</v>
      </c>
      <c r="P373" s="80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27"/>
      <c r="R373" s="627"/>
      <c r="S373" s="627"/>
      <c r="T373" s="628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589</v>
      </c>
      <c r="AG373" s="78"/>
      <c r="AJ373" s="84" t="s">
        <v>105</v>
      </c>
      <c r="AK373" s="84">
        <v>52.56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587</v>
      </c>
      <c r="B374" s="63" t="s">
        <v>590</v>
      </c>
      <c r="C374" s="36">
        <v>4301031457</v>
      </c>
      <c r="D374" s="625">
        <v>4607091384802</v>
      </c>
      <c r="E374" s="625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125</v>
      </c>
      <c r="L374" s="37" t="s">
        <v>45</v>
      </c>
      <c r="M374" s="38" t="s">
        <v>83</v>
      </c>
      <c r="N374" s="38"/>
      <c r="O374" s="37">
        <v>50</v>
      </c>
      <c r="P374" s="8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27"/>
      <c r="R374" s="627"/>
      <c r="S374" s="627"/>
      <c r="T374" s="628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591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3"/>
      <c r="B375" s="633"/>
      <c r="C375" s="633"/>
      <c r="D375" s="633"/>
      <c r="E375" s="633"/>
      <c r="F375" s="633"/>
      <c r="G375" s="633"/>
      <c r="H375" s="633"/>
      <c r="I375" s="633"/>
      <c r="J375" s="633"/>
      <c r="K375" s="633"/>
      <c r="L375" s="633"/>
      <c r="M375" s="633"/>
      <c r="N375" s="633"/>
      <c r="O375" s="634"/>
      <c r="P375" s="630" t="s">
        <v>40</v>
      </c>
      <c r="Q375" s="631"/>
      <c r="R375" s="631"/>
      <c r="S375" s="631"/>
      <c r="T375" s="631"/>
      <c r="U375" s="631"/>
      <c r="V375" s="632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3"/>
      <c r="B376" s="633"/>
      <c r="C376" s="633"/>
      <c r="D376" s="633"/>
      <c r="E376" s="633"/>
      <c r="F376" s="633"/>
      <c r="G376" s="633"/>
      <c r="H376" s="633"/>
      <c r="I376" s="633"/>
      <c r="J376" s="633"/>
      <c r="K376" s="633"/>
      <c r="L376" s="633"/>
      <c r="M376" s="633"/>
      <c r="N376" s="633"/>
      <c r="O376" s="634"/>
      <c r="P376" s="630" t="s">
        <v>40</v>
      </c>
      <c r="Q376" s="631"/>
      <c r="R376" s="631"/>
      <c r="S376" s="631"/>
      <c r="T376" s="631"/>
      <c r="U376" s="631"/>
      <c r="V376" s="632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4" t="s">
        <v>89</v>
      </c>
      <c r="B377" s="624"/>
      <c r="C377" s="624"/>
      <c r="D377" s="624"/>
      <c r="E377" s="624"/>
      <c r="F377" s="624"/>
      <c r="G377" s="624"/>
      <c r="H377" s="624"/>
      <c r="I377" s="624"/>
      <c r="J377" s="624"/>
      <c r="K377" s="624"/>
      <c r="L377" s="624"/>
      <c r="M377" s="624"/>
      <c r="N377" s="624"/>
      <c r="O377" s="624"/>
      <c r="P377" s="624"/>
      <c r="Q377" s="624"/>
      <c r="R377" s="624"/>
      <c r="S377" s="624"/>
      <c r="T377" s="624"/>
      <c r="U377" s="624"/>
      <c r="V377" s="624"/>
      <c r="W377" s="624"/>
      <c r="X377" s="624"/>
      <c r="Y377" s="624"/>
      <c r="Z377" s="624"/>
      <c r="AA377" s="66"/>
      <c r="AB377" s="66"/>
      <c r="AC377" s="80"/>
    </row>
    <row r="378" spans="1:68" ht="27" customHeight="1" x14ac:dyDescent="0.25">
      <c r="A378" s="63" t="s">
        <v>592</v>
      </c>
      <c r="B378" s="63" t="s">
        <v>593</v>
      </c>
      <c r="C378" s="36">
        <v>4301051899</v>
      </c>
      <c r="D378" s="625">
        <v>4607091384246</v>
      </c>
      <c r="E378" s="625"/>
      <c r="F378" s="62">
        <v>1.5</v>
      </c>
      <c r="G378" s="37">
        <v>6</v>
      </c>
      <c r="H378" s="62">
        <v>9</v>
      </c>
      <c r="I378" s="62">
        <v>9.4939999999999998</v>
      </c>
      <c r="J378" s="37">
        <v>64</v>
      </c>
      <c r="K378" s="37" t="s">
        <v>121</v>
      </c>
      <c r="L378" s="37" t="s">
        <v>122</v>
      </c>
      <c r="M378" s="38" t="s">
        <v>93</v>
      </c>
      <c r="N378" s="38"/>
      <c r="O378" s="37">
        <v>40</v>
      </c>
      <c r="P378" s="81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27"/>
      <c r="R378" s="627"/>
      <c r="S378" s="627"/>
      <c r="T378" s="628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45</v>
      </c>
      <c r="AB378" s="69" t="s">
        <v>45</v>
      </c>
      <c r="AC378" s="440" t="s">
        <v>594</v>
      </c>
      <c r="AG378" s="78"/>
      <c r="AJ378" s="84" t="s">
        <v>105</v>
      </c>
      <c r="AK378" s="84">
        <v>72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595</v>
      </c>
      <c r="B379" s="63" t="s">
        <v>596</v>
      </c>
      <c r="C379" s="36">
        <v>4301051660</v>
      </c>
      <c r="D379" s="625">
        <v>4607091384253</v>
      </c>
      <c r="E379" s="625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84</v>
      </c>
      <c r="L379" s="37" t="s">
        <v>104</v>
      </c>
      <c r="M379" s="38" t="s">
        <v>93</v>
      </c>
      <c r="N379" s="38"/>
      <c r="O379" s="37">
        <v>40</v>
      </c>
      <c r="P379" s="81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27"/>
      <c r="R379" s="627"/>
      <c r="S379" s="627"/>
      <c r="T379" s="628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594</v>
      </c>
      <c r="AG379" s="78"/>
      <c r="AJ379" s="84" t="s">
        <v>105</v>
      </c>
      <c r="AK379" s="84">
        <v>33.6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595</v>
      </c>
      <c r="B380" s="63" t="s">
        <v>597</v>
      </c>
      <c r="C380" s="36">
        <v>4301052069</v>
      </c>
      <c r="D380" s="625">
        <v>4607091384253</v>
      </c>
      <c r="E380" s="625"/>
      <c r="F380" s="62">
        <v>0.4</v>
      </c>
      <c r="G380" s="37">
        <v>6</v>
      </c>
      <c r="H380" s="62">
        <v>2.4</v>
      </c>
      <c r="I380" s="62">
        <v>2.6640000000000001</v>
      </c>
      <c r="J380" s="37">
        <v>182</v>
      </c>
      <c r="K380" s="37" t="s">
        <v>84</v>
      </c>
      <c r="L380" s="37" t="s">
        <v>45</v>
      </c>
      <c r="M380" s="38" t="s">
        <v>93</v>
      </c>
      <c r="N380" s="38"/>
      <c r="O380" s="37">
        <v>40</v>
      </c>
      <c r="P380" s="81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627"/>
      <c r="R380" s="627"/>
      <c r="S380" s="627"/>
      <c r="T380" s="628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45</v>
      </c>
      <c r="AB380" s="69" t="s">
        <v>45</v>
      </c>
      <c r="AC380" s="444" t="s">
        <v>598</v>
      </c>
      <c r="AG380" s="78"/>
      <c r="AJ380" s="84" t="s">
        <v>45</v>
      </c>
      <c r="AK380" s="84">
        <v>0</v>
      </c>
      <c r="BB380" s="445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3"/>
      <c r="B381" s="633"/>
      <c r="C381" s="633"/>
      <c r="D381" s="633"/>
      <c r="E381" s="633"/>
      <c r="F381" s="633"/>
      <c r="G381" s="633"/>
      <c r="H381" s="633"/>
      <c r="I381" s="633"/>
      <c r="J381" s="633"/>
      <c r="K381" s="633"/>
      <c r="L381" s="633"/>
      <c r="M381" s="633"/>
      <c r="N381" s="633"/>
      <c r="O381" s="634"/>
      <c r="P381" s="630" t="s">
        <v>40</v>
      </c>
      <c r="Q381" s="631"/>
      <c r="R381" s="631"/>
      <c r="S381" s="631"/>
      <c r="T381" s="631"/>
      <c r="U381" s="631"/>
      <c r="V381" s="632"/>
      <c r="W381" s="42" t="s">
        <v>39</v>
      </c>
      <c r="X381" s="43">
        <f>IFERROR(X378/H378,"0")+IFERROR(X379/H379,"0")+IFERROR(X380/H380,"0")</f>
        <v>0</v>
      </c>
      <c r="Y381" s="43">
        <f>IFERROR(Y378/H378,"0")+IFERROR(Y379/H379,"0")+IFERROR(Y380/H380,"0")</f>
        <v>0</v>
      </c>
      <c r="Z381" s="43">
        <f>IFERROR(IF(Z378="",0,Z378),"0")+IFERROR(IF(Z379="",0,Z379),"0")+IFERROR(IF(Z380="",0,Z380),"0")</f>
        <v>0</v>
      </c>
      <c r="AA381" s="67"/>
      <c r="AB381" s="67"/>
      <c r="AC381" s="67"/>
    </row>
    <row r="382" spans="1:68" x14ac:dyDescent="0.2">
      <c r="A382" s="633"/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4"/>
      <c r="P382" s="630" t="s">
        <v>40</v>
      </c>
      <c r="Q382" s="631"/>
      <c r="R382" s="631"/>
      <c r="S382" s="631"/>
      <c r="T382" s="631"/>
      <c r="U382" s="631"/>
      <c r="V382" s="632"/>
      <c r="W382" s="42" t="s">
        <v>0</v>
      </c>
      <c r="X382" s="43">
        <f>IFERROR(SUM(X378:X380),"0")</f>
        <v>0</v>
      </c>
      <c r="Y382" s="43">
        <f>IFERROR(SUM(Y378:Y380),"0")</f>
        <v>0</v>
      </c>
      <c r="Z382" s="42"/>
      <c r="AA382" s="67"/>
      <c r="AB382" s="67"/>
      <c r="AC382" s="67"/>
    </row>
    <row r="383" spans="1:68" ht="27.75" customHeight="1" x14ac:dyDescent="0.2">
      <c r="A383" s="622" t="s">
        <v>599</v>
      </c>
      <c r="B383" s="622"/>
      <c r="C383" s="622"/>
      <c r="D383" s="622"/>
      <c r="E383" s="622"/>
      <c r="F383" s="622"/>
      <c r="G383" s="622"/>
      <c r="H383" s="622"/>
      <c r="I383" s="622"/>
      <c r="J383" s="622"/>
      <c r="K383" s="622"/>
      <c r="L383" s="622"/>
      <c r="M383" s="622"/>
      <c r="N383" s="622"/>
      <c r="O383" s="622"/>
      <c r="P383" s="622"/>
      <c r="Q383" s="622"/>
      <c r="R383" s="622"/>
      <c r="S383" s="622"/>
      <c r="T383" s="622"/>
      <c r="U383" s="622"/>
      <c r="V383" s="622"/>
      <c r="W383" s="622"/>
      <c r="X383" s="622"/>
      <c r="Y383" s="622"/>
      <c r="Z383" s="622"/>
      <c r="AA383" s="54"/>
      <c r="AB383" s="54"/>
      <c r="AC383" s="54"/>
    </row>
    <row r="384" spans="1:68" ht="16.5" customHeight="1" x14ac:dyDescent="0.25">
      <c r="A384" s="623" t="s">
        <v>600</v>
      </c>
      <c r="B384" s="623"/>
      <c r="C384" s="623"/>
      <c r="D384" s="623"/>
      <c r="E384" s="623"/>
      <c r="F384" s="623"/>
      <c r="G384" s="623"/>
      <c r="H384" s="623"/>
      <c r="I384" s="623"/>
      <c r="J384" s="623"/>
      <c r="K384" s="623"/>
      <c r="L384" s="623"/>
      <c r="M384" s="623"/>
      <c r="N384" s="623"/>
      <c r="O384" s="623"/>
      <c r="P384" s="623"/>
      <c r="Q384" s="623"/>
      <c r="R384" s="623"/>
      <c r="S384" s="623"/>
      <c r="T384" s="623"/>
      <c r="U384" s="623"/>
      <c r="V384" s="623"/>
      <c r="W384" s="623"/>
      <c r="X384" s="623"/>
      <c r="Y384" s="623"/>
      <c r="Z384" s="623"/>
      <c r="AA384" s="65"/>
      <c r="AB384" s="65"/>
      <c r="AC384" s="79"/>
    </row>
    <row r="385" spans="1:68" ht="14.25" customHeight="1" x14ac:dyDescent="0.25">
      <c r="A385" s="624" t="s">
        <v>78</v>
      </c>
      <c r="B385" s="624"/>
      <c r="C385" s="624"/>
      <c r="D385" s="624"/>
      <c r="E385" s="624"/>
      <c r="F385" s="624"/>
      <c r="G385" s="624"/>
      <c r="H385" s="624"/>
      <c r="I385" s="624"/>
      <c r="J385" s="624"/>
      <c r="K385" s="624"/>
      <c r="L385" s="624"/>
      <c r="M385" s="624"/>
      <c r="N385" s="624"/>
      <c r="O385" s="624"/>
      <c r="P385" s="624"/>
      <c r="Q385" s="624"/>
      <c r="R385" s="624"/>
      <c r="S385" s="624"/>
      <c r="T385" s="624"/>
      <c r="U385" s="624"/>
      <c r="V385" s="624"/>
      <c r="W385" s="624"/>
      <c r="X385" s="624"/>
      <c r="Y385" s="624"/>
      <c r="Z385" s="624"/>
      <c r="AA385" s="66"/>
      <c r="AB385" s="66"/>
      <c r="AC385" s="80"/>
    </row>
    <row r="386" spans="1:68" ht="27" customHeight="1" x14ac:dyDescent="0.25">
      <c r="A386" s="63" t="s">
        <v>601</v>
      </c>
      <c r="B386" s="63" t="s">
        <v>602</v>
      </c>
      <c r="C386" s="36">
        <v>4301031405</v>
      </c>
      <c r="D386" s="625">
        <v>4680115886100</v>
      </c>
      <c r="E386" s="625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125</v>
      </c>
      <c r="L386" s="37" t="s">
        <v>126</v>
      </c>
      <c r="M386" s="38" t="s">
        <v>83</v>
      </c>
      <c r="N386" s="38"/>
      <c r="O386" s="37">
        <v>50</v>
      </c>
      <c r="P386" s="8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627"/>
      <c r="R386" s="627"/>
      <c r="S386" s="627"/>
      <c r="T386" s="628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ref="Y386:Y394" si="41">IFERROR(IF(X386="",0,CEILING((X386/$H386),1)*$H386),"")</f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603</v>
      </c>
      <c r="AG386" s="78"/>
      <c r="AJ386" s="84" t="s">
        <v>105</v>
      </c>
      <c r="AK386" s="84">
        <v>64.8</v>
      </c>
      <c r="BB386" s="447" t="s">
        <v>66</v>
      </c>
      <c r="BM386" s="78">
        <f t="shared" ref="BM386:BM394" si="42">IFERROR(X386*I386/H386,"0")</f>
        <v>0</v>
      </c>
      <c r="BN386" s="78">
        <f t="shared" ref="BN386:BN394" si="43">IFERROR(Y386*I386/H386,"0")</f>
        <v>0</v>
      </c>
      <c r="BO386" s="78">
        <f t="shared" ref="BO386:BO394" si="44">IFERROR(1/J386*(X386/H386),"0")</f>
        <v>0</v>
      </c>
      <c r="BP386" s="78">
        <f t="shared" ref="BP386:BP394" si="45">IFERROR(1/J386*(Y386/H386),"0")</f>
        <v>0</v>
      </c>
    </row>
    <row r="387" spans="1:68" ht="27" customHeight="1" x14ac:dyDescent="0.25">
      <c r="A387" s="63" t="s">
        <v>604</v>
      </c>
      <c r="B387" s="63" t="s">
        <v>605</v>
      </c>
      <c r="C387" s="36">
        <v>4301031406</v>
      </c>
      <c r="D387" s="625">
        <v>4680115886117</v>
      </c>
      <c r="E387" s="625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125</v>
      </c>
      <c r="L387" s="37" t="s">
        <v>45</v>
      </c>
      <c r="M387" s="38" t="s">
        <v>83</v>
      </c>
      <c r="N387" s="38"/>
      <c r="O387" s="37">
        <v>50</v>
      </c>
      <c r="P387" s="8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627"/>
      <c r="R387" s="627"/>
      <c r="S387" s="627"/>
      <c r="T387" s="628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41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606</v>
      </c>
      <c r="AG387" s="78"/>
      <c r="AJ387" s="84" t="s">
        <v>45</v>
      </c>
      <c r="AK387" s="84">
        <v>0</v>
      </c>
      <c r="BB387" s="449" t="s">
        <v>66</v>
      </c>
      <c r="BM387" s="78">
        <f t="shared" si="42"/>
        <v>0</v>
      </c>
      <c r="BN387" s="78">
        <f t="shared" si="43"/>
        <v>0</v>
      </c>
      <c r="BO387" s="78">
        <f t="shared" si="44"/>
        <v>0</v>
      </c>
      <c r="BP387" s="78">
        <f t="shared" si="45"/>
        <v>0</v>
      </c>
    </row>
    <row r="388" spans="1:68" ht="27" customHeight="1" x14ac:dyDescent="0.25">
      <c r="A388" s="63" t="s">
        <v>607</v>
      </c>
      <c r="B388" s="63" t="s">
        <v>608</v>
      </c>
      <c r="C388" s="36">
        <v>4301031402</v>
      </c>
      <c r="D388" s="625">
        <v>4680115886124</v>
      </c>
      <c r="E388" s="625"/>
      <c r="F388" s="62">
        <v>0.9</v>
      </c>
      <c r="G388" s="37">
        <v>6</v>
      </c>
      <c r="H388" s="62">
        <v>5.4</v>
      </c>
      <c r="I388" s="62">
        <v>5.59</v>
      </c>
      <c r="J388" s="37">
        <v>132</v>
      </c>
      <c r="K388" s="37" t="s">
        <v>125</v>
      </c>
      <c r="L388" s="37" t="s">
        <v>126</v>
      </c>
      <c r="M388" s="38" t="s">
        <v>83</v>
      </c>
      <c r="N388" s="38"/>
      <c r="O388" s="37">
        <v>50</v>
      </c>
      <c r="P388" s="8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627"/>
      <c r="R388" s="627"/>
      <c r="S388" s="627"/>
      <c r="T388" s="628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41"/>
        <v>0</v>
      </c>
      <c r="Z388" s="41" t="str">
        <f>IFERROR(IF(Y388=0,"",ROUNDUP(Y388/H388,0)*0.00902),"")</f>
        <v/>
      </c>
      <c r="AA388" s="68" t="s">
        <v>45</v>
      </c>
      <c r="AB388" s="69" t="s">
        <v>45</v>
      </c>
      <c r="AC388" s="450" t="s">
        <v>609</v>
      </c>
      <c r="AG388" s="78"/>
      <c r="AJ388" s="84" t="s">
        <v>105</v>
      </c>
      <c r="AK388" s="84">
        <v>64.8</v>
      </c>
      <c r="BB388" s="451" t="s">
        <v>66</v>
      </c>
      <c r="BM388" s="78">
        <f t="shared" si="42"/>
        <v>0</v>
      </c>
      <c r="BN388" s="78">
        <f t="shared" si="43"/>
        <v>0</v>
      </c>
      <c r="BO388" s="78">
        <f t="shared" si="44"/>
        <v>0</v>
      </c>
      <c r="BP388" s="78">
        <f t="shared" si="45"/>
        <v>0</v>
      </c>
    </row>
    <row r="389" spans="1:68" ht="27" customHeight="1" x14ac:dyDescent="0.25">
      <c r="A389" s="63" t="s">
        <v>610</v>
      </c>
      <c r="B389" s="63" t="s">
        <v>611</v>
      </c>
      <c r="C389" s="36">
        <v>4301031366</v>
      </c>
      <c r="D389" s="625">
        <v>4680115883147</v>
      </c>
      <c r="E389" s="625"/>
      <c r="F389" s="62">
        <v>0.28000000000000003</v>
      </c>
      <c r="G389" s="37">
        <v>6</v>
      </c>
      <c r="H389" s="62">
        <v>1.68</v>
      </c>
      <c r="I389" s="62">
        <v>1.81</v>
      </c>
      <c r="J389" s="37">
        <v>234</v>
      </c>
      <c r="K389" s="37" t="s">
        <v>88</v>
      </c>
      <c r="L389" s="37" t="s">
        <v>45</v>
      </c>
      <c r="M389" s="38" t="s">
        <v>83</v>
      </c>
      <c r="N389" s="38"/>
      <c r="O389" s="37">
        <v>50</v>
      </c>
      <c r="P389" s="81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627"/>
      <c r="R389" s="627"/>
      <c r="S389" s="627"/>
      <c r="T389" s="628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41"/>
        <v>0</v>
      </c>
      <c r="Z389" s="41" t="str">
        <f t="shared" ref="Z389:Z394" si="46">IFERROR(IF(Y389=0,"",ROUNDUP(Y389/H389,0)*0.00502),"")</f>
        <v/>
      </c>
      <c r="AA389" s="68" t="s">
        <v>45</v>
      </c>
      <c r="AB389" s="69" t="s">
        <v>45</v>
      </c>
      <c r="AC389" s="452" t="s">
        <v>603</v>
      </c>
      <c r="AG389" s="78"/>
      <c r="AJ389" s="84" t="s">
        <v>45</v>
      </c>
      <c r="AK389" s="84">
        <v>0</v>
      </c>
      <c r="BB389" s="453" t="s">
        <v>66</v>
      </c>
      <c r="BM389" s="78">
        <f t="shared" si="42"/>
        <v>0</v>
      </c>
      <c r="BN389" s="78">
        <f t="shared" si="43"/>
        <v>0</v>
      </c>
      <c r="BO389" s="78">
        <f t="shared" si="44"/>
        <v>0</v>
      </c>
      <c r="BP389" s="78">
        <f t="shared" si="45"/>
        <v>0</v>
      </c>
    </row>
    <row r="390" spans="1:68" ht="27" customHeight="1" x14ac:dyDescent="0.25">
      <c r="A390" s="63" t="s">
        <v>612</v>
      </c>
      <c r="B390" s="63" t="s">
        <v>613</v>
      </c>
      <c r="C390" s="36">
        <v>4301031362</v>
      </c>
      <c r="D390" s="625">
        <v>4607091384338</v>
      </c>
      <c r="E390" s="625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88</v>
      </c>
      <c r="L390" s="37" t="s">
        <v>45</v>
      </c>
      <c r="M390" s="38" t="s">
        <v>83</v>
      </c>
      <c r="N390" s="38"/>
      <c r="O390" s="37">
        <v>50</v>
      </c>
      <c r="P390" s="81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627"/>
      <c r="R390" s="627"/>
      <c r="S390" s="627"/>
      <c r="T390" s="628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41"/>
        <v>0</v>
      </c>
      <c r="Z390" s="41" t="str">
        <f t="shared" si="46"/>
        <v/>
      </c>
      <c r="AA390" s="68" t="s">
        <v>45</v>
      </c>
      <c r="AB390" s="69" t="s">
        <v>45</v>
      </c>
      <c r="AC390" s="454" t="s">
        <v>603</v>
      </c>
      <c r="AG390" s="78"/>
      <c r="AJ390" s="84" t="s">
        <v>45</v>
      </c>
      <c r="AK390" s="84">
        <v>0</v>
      </c>
      <c r="BB390" s="455" t="s">
        <v>66</v>
      </c>
      <c r="BM390" s="78">
        <f t="shared" si="42"/>
        <v>0</v>
      </c>
      <c r="BN390" s="78">
        <f t="shared" si="43"/>
        <v>0</v>
      </c>
      <c r="BO390" s="78">
        <f t="shared" si="44"/>
        <v>0</v>
      </c>
      <c r="BP390" s="78">
        <f t="shared" si="45"/>
        <v>0</v>
      </c>
    </row>
    <row r="391" spans="1:68" ht="37.5" customHeight="1" x14ac:dyDescent="0.25">
      <c r="A391" s="63" t="s">
        <v>614</v>
      </c>
      <c r="B391" s="63" t="s">
        <v>615</v>
      </c>
      <c r="C391" s="36">
        <v>4301031361</v>
      </c>
      <c r="D391" s="625">
        <v>4607091389524</v>
      </c>
      <c r="E391" s="625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88</v>
      </c>
      <c r="L391" s="37" t="s">
        <v>45</v>
      </c>
      <c r="M391" s="38" t="s">
        <v>83</v>
      </c>
      <c r="N391" s="38"/>
      <c r="O391" s="37">
        <v>50</v>
      </c>
      <c r="P391" s="81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627"/>
      <c r="R391" s="627"/>
      <c r="S391" s="627"/>
      <c r="T391" s="628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41"/>
        <v>0</v>
      </c>
      <c r="Z391" s="41" t="str">
        <f t="shared" si="46"/>
        <v/>
      </c>
      <c r="AA391" s="68" t="s">
        <v>45</v>
      </c>
      <c r="AB391" s="69" t="s">
        <v>45</v>
      </c>
      <c r="AC391" s="456" t="s">
        <v>616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0</v>
      </c>
      <c r="BN391" s="78">
        <f t="shared" si="43"/>
        <v>0</v>
      </c>
      <c r="BO391" s="78">
        <f t="shared" si="44"/>
        <v>0</v>
      </c>
      <c r="BP391" s="78">
        <f t="shared" si="45"/>
        <v>0</v>
      </c>
    </row>
    <row r="392" spans="1:68" ht="27" customHeight="1" x14ac:dyDescent="0.25">
      <c r="A392" s="63" t="s">
        <v>617</v>
      </c>
      <c r="B392" s="63" t="s">
        <v>618</v>
      </c>
      <c r="C392" s="36">
        <v>4301031364</v>
      </c>
      <c r="D392" s="625">
        <v>4680115883161</v>
      </c>
      <c r="E392" s="625"/>
      <c r="F392" s="62">
        <v>0.28000000000000003</v>
      </c>
      <c r="G392" s="37">
        <v>6</v>
      </c>
      <c r="H392" s="62">
        <v>1.68</v>
      </c>
      <c r="I392" s="62">
        <v>1.81</v>
      </c>
      <c r="J392" s="37">
        <v>234</v>
      </c>
      <c r="K392" s="37" t="s">
        <v>88</v>
      </c>
      <c r="L392" s="37" t="s">
        <v>45</v>
      </c>
      <c r="M392" s="38" t="s">
        <v>83</v>
      </c>
      <c r="N392" s="38"/>
      <c r="O392" s="37">
        <v>50</v>
      </c>
      <c r="P392" s="81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627"/>
      <c r="R392" s="627"/>
      <c r="S392" s="627"/>
      <c r="T392" s="62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 t="shared" si="46"/>
        <v/>
      </c>
      <c r="AA392" s="68" t="s">
        <v>45</v>
      </c>
      <c r="AB392" s="69" t="s">
        <v>45</v>
      </c>
      <c r="AC392" s="458" t="s">
        <v>619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620</v>
      </c>
      <c r="B393" s="63" t="s">
        <v>621</v>
      </c>
      <c r="C393" s="36">
        <v>4301031358</v>
      </c>
      <c r="D393" s="625">
        <v>4607091389531</v>
      </c>
      <c r="E393" s="625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88</v>
      </c>
      <c r="L393" s="37" t="s">
        <v>45</v>
      </c>
      <c r="M393" s="38" t="s">
        <v>83</v>
      </c>
      <c r="N393" s="38"/>
      <c r="O393" s="37">
        <v>50</v>
      </c>
      <c r="P393" s="82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627"/>
      <c r="R393" s="627"/>
      <c r="S393" s="627"/>
      <c r="T393" s="62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 t="shared" si="46"/>
        <v/>
      </c>
      <c r="AA393" s="68" t="s">
        <v>45</v>
      </c>
      <c r="AB393" s="69" t="s">
        <v>45</v>
      </c>
      <c r="AC393" s="460" t="s">
        <v>622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37.5" customHeight="1" x14ac:dyDescent="0.25">
      <c r="A394" s="63" t="s">
        <v>623</v>
      </c>
      <c r="B394" s="63" t="s">
        <v>624</v>
      </c>
      <c r="C394" s="36">
        <v>4301031360</v>
      </c>
      <c r="D394" s="625">
        <v>4607091384345</v>
      </c>
      <c r="E394" s="625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88</v>
      </c>
      <c r="L394" s="37" t="s">
        <v>45</v>
      </c>
      <c r="M394" s="38" t="s">
        <v>83</v>
      </c>
      <c r="N394" s="38"/>
      <c r="O394" s="37">
        <v>50</v>
      </c>
      <c r="P394" s="8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627"/>
      <c r="R394" s="627"/>
      <c r="S394" s="627"/>
      <c r="T394" s="62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si="46"/>
        <v/>
      </c>
      <c r="AA394" s="68" t="s">
        <v>45</v>
      </c>
      <c r="AB394" s="69" t="s">
        <v>45</v>
      </c>
      <c r="AC394" s="462" t="s">
        <v>619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x14ac:dyDescent="0.2">
      <c r="A395" s="633"/>
      <c r="B395" s="633"/>
      <c r="C395" s="633"/>
      <c r="D395" s="633"/>
      <c r="E395" s="633"/>
      <c r="F395" s="633"/>
      <c r="G395" s="633"/>
      <c r="H395" s="633"/>
      <c r="I395" s="633"/>
      <c r="J395" s="633"/>
      <c r="K395" s="633"/>
      <c r="L395" s="633"/>
      <c r="M395" s="633"/>
      <c r="N395" s="633"/>
      <c r="O395" s="634"/>
      <c r="P395" s="630" t="s">
        <v>40</v>
      </c>
      <c r="Q395" s="631"/>
      <c r="R395" s="631"/>
      <c r="S395" s="631"/>
      <c r="T395" s="631"/>
      <c r="U395" s="631"/>
      <c r="V395" s="632"/>
      <c r="W395" s="42" t="s">
        <v>39</v>
      </c>
      <c r="X395" s="43">
        <f>IFERROR(X386/H386,"0")+IFERROR(X387/H387,"0")+IFERROR(X388/H388,"0")+IFERROR(X389/H389,"0")+IFERROR(X390/H390,"0")+IFERROR(X391/H391,"0")+IFERROR(X392/H392,"0")+IFERROR(X393/H393,"0")+IFERROR(X394/H394,"0")</f>
        <v>0</v>
      </c>
      <c r="Y395" s="43">
        <f>IFERROR(Y386/H386,"0")+IFERROR(Y387/H387,"0")+IFERROR(Y388/H388,"0")+IFERROR(Y389/H389,"0")+IFERROR(Y390/H390,"0")+IFERROR(Y391/H391,"0")+IFERROR(Y392/H392,"0")+IFERROR(Y393/H393,"0")+IFERROR(Y394/H394,"0")</f>
        <v>0</v>
      </c>
      <c r="Z395" s="43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33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0" t="s">
        <v>40</v>
      </c>
      <c r="Q396" s="631"/>
      <c r="R396" s="631"/>
      <c r="S396" s="631"/>
      <c r="T396" s="631"/>
      <c r="U396" s="631"/>
      <c r="V396" s="632"/>
      <c r="W396" s="42" t="s">
        <v>0</v>
      </c>
      <c r="X396" s="43">
        <f>IFERROR(SUM(X386:X394),"0")</f>
        <v>0</v>
      </c>
      <c r="Y396" s="43">
        <f>IFERROR(SUM(Y386:Y394),"0")</f>
        <v>0</v>
      </c>
      <c r="Z396" s="42"/>
      <c r="AA396" s="67"/>
      <c r="AB396" s="67"/>
      <c r="AC396" s="67"/>
    </row>
    <row r="397" spans="1:68" ht="14.25" customHeight="1" x14ac:dyDescent="0.25">
      <c r="A397" s="624" t="s">
        <v>89</v>
      </c>
      <c r="B397" s="624"/>
      <c r="C397" s="624"/>
      <c r="D397" s="624"/>
      <c r="E397" s="624"/>
      <c r="F397" s="624"/>
      <c r="G397" s="624"/>
      <c r="H397" s="624"/>
      <c r="I397" s="624"/>
      <c r="J397" s="624"/>
      <c r="K397" s="624"/>
      <c r="L397" s="624"/>
      <c r="M397" s="624"/>
      <c r="N397" s="624"/>
      <c r="O397" s="624"/>
      <c r="P397" s="624"/>
      <c r="Q397" s="624"/>
      <c r="R397" s="624"/>
      <c r="S397" s="624"/>
      <c r="T397" s="624"/>
      <c r="U397" s="624"/>
      <c r="V397" s="624"/>
      <c r="W397" s="624"/>
      <c r="X397" s="624"/>
      <c r="Y397" s="624"/>
      <c r="Z397" s="624"/>
      <c r="AA397" s="66"/>
      <c r="AB397" s="66"/>
      <c r="AC397" s="80"/>
    </row>
    <row r="398" spans="1:68" ht="27" customHeight="1" x14ac:dyDescent="0.25">
      <c r="A398" s="63" t="s">
        <v>625</v>
      </c>
      <c r="B398" s="63" t="s">
        <v>626</v>
      </c>
      <c r="C398" s="36">
        <v>4301051284</v>
      </c>
      <c r="D398" s="625">
        <v>4607091384352</v>
      </c>
      <c r="E398" s="625"/>
      <c r="F398" s="62">
        <v>0.6</v>
      </c>
      <c r="G398" s="37">
        <v>4</v>
      </c>
      <c r="H398" s="62">
        <v>2.4</v>
      </c>
      <c r="I398" s="62">
        <v>2.6259999999999999</v>
      </c>
      <c r="J398" s="37">
        <v>132</v>
      </c>
      <c r="K398" s="37" t="s">
        <v>125</v>
      </c>
      <c r="L398" s="37" t="s">
        <v>126</v>
      </c>
      <c r="M398" s="38" t="s">
        <v>93</v>
      </c>
      <c r="N398" s="38"/>
      <c r="O398" s="37">
        <v>45</v>
      </c>
      <c r="P398" s="8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627"/>
      <c r="R398" s="627"/>
      <c r="S398" s="627"/>
      <c r="T398" s="628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45</v>
      </c>
      <c r="AB398" s="69" t="s">
        <v>45</v>
      </c>
      <c r="AC398" s="464" t="s">
        <v>627</v>
      </c>
      <c r="AG398" s="78"/>
      <c r="AJ398" s="84" t="s">
        <v>105</v>
      </c>
      <c r="AK398" s="84">
        <v>28.8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628</v>
      </c>
      <c r="B399" s="63" t="s">
        <v>629</v>
      </c>
      <c r="C399" s="36">
        <v>4301051431</v>
      </c>
      <c r="D399" s="625">
        <v>4607091389654</v>
      </c>
      <c r="E399" s="625"/>
      <c r="F399" s="62">
        <v>0.33</v>
      </c>
      <c r="G399" s="37">
        <v>6</v>
      </c>
      <c r="H399" s="62">
        <v>1.98</v>
      </c>
      <c r="I399" s="62">
        <v>2.238</v>
      </c>
      <c r="J399" s="37">
        <v>182</v>
      </c>
      <c r="K399" s="37" t="s">
        <v>84</v>
      </c>
      <c r="L399" s="37" t="s">
        <v>104</v>
      </c>
      <c r="M399" s="38" t="s">
        <v>93</v>
      </c>
      <c r="N399" s="38"/>
      <c r="O399" s="37">
        <v>45</v>
      </c>
      <c r="P399" s="82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627"/>
      <c r="R399" s="627"/>
      <c r="S399" s="627"/>
      <c r="T399" s="628"/>
      <c r="U399" s="39" t="s">
        <v>45</v>
      </c>
      <c r="V399" s="39" t="s">
        <v>45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45</v>
      </c>
      <c r="AB399" s="69" t="s">
        <v>45</v>
      </c>
      <c r="AC399" s="466" t="s">
        <v>630</v>
      </c>
      <c r="AG399" s="78"/>
      <c r="AJ399" s="84" t="s">
        <v>105</v>
      </c>
      <c r="AK399" s="84">
        <v>27.72</v>
      </c>
      <c r="BB399" s="46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x14ac:dyDescent="0.2">
      <c r="A400" s="633"/>
      <c r="B400" s="633"/>
      <c r="C400" s="633"/>
      <c r="D400" s="633"/>
      <c r="E400" s="633"/>
      <c r="F400" s="633"/>
      <c r="G400" s="633"/>
      <c r="H400" s="633"/>
      <c r="I400" s="633"/>
      <c r="J400" s="633"/>
      <c r="K400" s="633"/>
      <c r="L400" s="633"/>
      <c r="M400" s="633"/>
      <c r="N400" s="633"/>
      <c r="O400" s="634"/>
      <c r="P400" s="630" t="s">
        <v>40</v>
      </c>
      <c r="Q400" s="631"/>
      <c r="R400" s="631"/>
      <c r="S400" s="631"/>
      <c r="T400" s="631"/>
      <c r="U400" s="631"/>
      <c r="V400" s="632"/>
      <c r="W400" s="42" t="s">
        <v>39</v>
      </c>
      <c r="X400" s="43">
        <f>IFERROR(X398/H398,"0")+IFERROR(X399/H399,"0")</f>
        <v>0</v>
      </c>
      <c r="Y400" s="43">
        <f>IFERROR(Y398/H398,"0")+IFERROR(Y399/H399,"0")</f>
        <v>0</v>
      </c>
      <c r="Z400" s="43">
        <f>IFERROR(IF(Z398="",0,Z398),"0")+IFERROR(IF(Z399="",0,Z399),"0")</f>
        <v>0</v>
      </c>
      <c r="AA400" s="67"/>
      <c r="AB400" s="67"/>
      <c r="AC400" s="67"/>
    </row>
    <row r="401" spans="1:68" x14ac:dyDescent="0.2">
      <c r="A401" s="633"/>
      <c r="B401" s="633"/>
      <c r="C401" s="633"/>
      <c r="D401" s="633"/>
      <c r="E401" s="633"/>
      <c r="F401" s="633"/>
      <c r="G401" s="633"/>
      <c r="H401" s="633"/>
      <c r="I401" s="633"/>
      <c r="J401" s="633"/>
      <c r="K401" s="633"/>
      <c r="L401" s="633"/>
      <c r="M401" s="633"/>
      <c r="N401" s="633"/>
      <c r="O401" s="634"/>
      <c r="P401" s="630" t="s">
        <v>40</v>
      </c>
      <c r="Q401" s="631"/>
      <c r="R401" s="631"/>
      <c r="S401" s="631"/>
      <c r="T401" s="631"/>
      <c r="U401" s="631"/>
      <c r="V401" s="632"/>
      <c r="W401" s="42" t="s">
        <v>0</v>
      </c>
      <c r="X401" s="43">
        <f>IFERROR(SUM(X398:X399),"0")</f>
        <v>0</v>
      </c>
      <c r="Y401" s="43">
        <f>IFERROR(SUM(Y398:Y399),"0")</f>
        <v>0</v>
      </c>
      <c r="Z401" s="42"/>
      <c r="AA401" s="67"/>
      <c r="AB401" s="67"/>
      <c r="AC401" s="67"/>
    </row>
    <row r="402" spans="1:68" ht="16.5" customHeight="1" x14ac:dyDescent="0.25">
      <c r="A402" s="623" t="s">
        <v>631</v>
      </c>
      <c r="B402" s="623"/>
      <c r="C402" s="623"/>
      <c r="D402" s="623"/>
      <c r="E402" s="623"/>
      <c r="F402" s="623"/>
      <c r="G402" s="623"/>
      <c r="H402" s="623"/>
      <c r="I402" s="623"/>
      <c r="J402" s="623"/>
      <c r="K402" s="623"/>
      <c r="L402" s="623"/>
      <c r="M402" s="623"/>
      <c r="N402" s="623"/>
      <c r="O402" s="623"/>
      <c r="P402" s="623"/>
      <c r="Q402" s="623"/>
      <c r="R402" s="623"/>
      <c r="S402" s="623"/>
      <c r="T402" s="623"/>
      <c r="U402" s="623"/>
      <c r="V402" s="623"/>
      <c r="W402" s="623"/>
      <c r="X402" s="623"/>
      <c r="Y402" s="623"/>
      <c r="Z402" s="623"/>
      <c r="AA402" s="65"/>
      <c r="AB402" s="65"/>
      <c r="AC402" s="79"/>
    </row>
    <row r="403" spans="1:68" ht="14.25" customHeight="1" x14ac:dyDescent="0.25">
      <c r="A403" s="624" t="s">
        <v>151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6"/>
      <c r="AB403" s="66"/>
      <c r="AC403" s="80"/>
    </row>
    <row r="404" spans="1:68" ht="27" customHeight="1" x14ac:dyDescent="0.25">
      <c r="A404" s="63" t="s">
        <v>632</v>
      </c>
      <c r="B404" s="63" t="s">
        <v>633</v>
      </c>
      <c r="C404" s="36">
        <v>4301020319</v>
      </c>
      <c r="D404" s="625">
        <v>4680115885240</v>
      </c>
      <c r="E404" s="625"/>
      <c r="F404" s="62">
        <v>0.35</v>
      </c>
      <c r="G404" s="37">
        <v>6</v>
      </c>
      <c r="H404" s="62">
        <v>2.1</v>
      </c>
      <c r="I404" s="62">
        <v>2.31</v>
      </c>
      <c r="J404" s="37">
        <v>182</v>
      </c>
      <c r="K404" s="37" t="s">
        <v>84</v>
      </c>
      <c r="L404" s="37" t="s">
        <v>45</v>
      </c>
      <c r="M404" s="38" t="s">
        <v>83</v>
      </c>
      <c r="N404" s="38"/>
      <c r="O404" s="37">
        <v>40</v>
      </c>
      <c r="P404" s="8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627"/>
      <c r="R404" s="627"/>
      <c r="S404" s="627"/>
      <c r="T404" s="628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68" t="s">
        <v>634</v>
      </c>
      <c r="AG404" s="78"/>
      <c r="AJ404" s="84" t="s">
        <v>45</v>
      </c>
      <c r="AK404" s="84">
        <v>0</v>
      </c>
      <c r="BB404" s="469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3"/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4"/>
      <c r="P405" s="630" t="s">
        <v>40</v>
      </c>
      <c r="Q405" s="631"/>
      <c r="R405" s="631"/>
      <c r="S405" s="631"/>
      <c r="T405" s="631"/>
      <c r="U405" s="631"/>
      <c r="V405" s="632"/>
      <c r="W405" s="42" t="s">
        <v>39</v>
      </c>
      <c r="X405" s="43">
        <f>IFERROR(X404/H404,"0")</f>
        <v>0</v>
      </c>
      <c r="Y405" s="43">
        <f>IFERROR(Y404/H404,"0")</f>
        <v>0</v>
      </c>
      <c r="Z405" s="43">
        <f>IFERROR(IF(Z404="",0,Z404),"0")</f>
        <v>0</v>
      </c>
      <c r="AA405" s="67"/>
      <c r="AB405" s="67"/>
      <c r="AC405" s="67"/>
    </row>
    <row r="406" spans="1:68" x14ac:dyDescent="0.2">
      <c r="A406" s="633"/>
      <c r="B406" s="633"/>
      <c r="C406" s="633"/>
      <c r="D406" s="633"/>
      <c r="E406" s="633"/>
      <c r="F406" s="633"/>
      <c r="G406" s="633"/>
      <c r="H406" s="633"/>
      <c r="I406" s="633"/>
      <c r="J406" s="633"/>
      <c r="K406" s="633"/>
      <c r="L406" s="633"/>
      <c r="M406" s="633"/>
      <c r="N406" s="633"/>
      <c r="O406" s="634"/>
      <c r="P406" s="630" t="s">
        <v>40</v>
      </c>
      <c r="Q406" s="631"/>
      <c r="R406" s="631"/>
      <c r="S406" s="631"/>
      <c r="T406" s="631"/>
      <c r="U406" s="631"/>
      <c r="V406" s="632"/>
      <c r="W406" s="42" t="s">
        <v>0</v>
      </c>
      <c r="X406" s="43">
        <f>IFERROR(SUM(X404:X404),"0")</f>
        <v>0</v>
      </c>
      <c r="Y406" s="43">
        <f>IFERROR(SUM(Y404:Y404),"0")</f>
        <v>0</v>
      </c>
      <c r="Z406" s="42"/>
      <c r="AA406" s="67"/>
      <c r="AB406" s="67"/>
      <c r="AC406" s="67"/>
    </row>
    <row r="407" spans="1:68" ht="14.25" customHeight="1" x14ac:dyDescent="0.25">
      <c r="A407" s="624" t="s">
        <v>78</v>
      </c>
      <c r="B407" s="624"/>
      <c r="C407" s="624"/>
      <c r="D407" s="624"/>
      <c r="E407" s="624"/>
      <c r="F407" s="624"/>
      <c r="G407" s="624"/>
      <c r="H407" s="624"/>
      <c r="I407" s="624"/>
      <c r="J407" s="624"/>
      <c r="K407" s="624"/>
      <c r="L407" s="624"/>
      <c r="M407" s="624"/>
      <c r="N407" s="624"/>
      <c r="O407" s="624"/>
      <c r="P407" s="624"/>
      <c r="Q407" s="624"/>
      <c r="R407" s="624"/>
      <c r="S407" s="624"/>
      <c r="T407" s="624"/>
      <c r="U407" s="624"/>
      <c r="V407" s="624"/>
      <c r="W407" s="624"/>
      <c r="X407" s="624"/>
      <c r="Y407" s="624"/>
      <c r="Z407" s="624"/>
      <c r="AA407" s="66"/>
      <c r="AB407" s="66"/>
      <c r="AC407" s="80"/>
    </row>
    <row r="408" spans="1:68" ht="27" customHeight="1" x14ac:dyDescent="0.25">
      <c r="A408" s="63" t="s">
        <v>635</v>
      </c>
      <c r="B408" s="63" t="s">
        <v>636</v>
      </c>
      <c r="C408" s="36">
        <v>4301031403</v>
      </c>
      <c r="D408" s="625">
        <v>4680115886094</v>
      </c>
      <c r="E408" s="625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125</v>
      </c>
      <c r="L408" s="37" t="s">
        <v>126</v>
      </c>
      <c r="M408" s="38" t="s">
        <v>120</v>
      </c>
      <c r="N408" s="38"/>
      <c r="O408" s="37">
        <v>50</v>
      </c>
      <c r="P408" s="82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627"/>
      <c r="R408" s="627"/>
      <c r="S408" s="627"/>
      <c r="T408" s="628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IFERROR(IF(Y408=0,"",ROUNDUP(Y408/H408,0)*0.00902),"")</f>
        <v/>
      </c>
      <c r="AA408" s="68" t="s">
        <v>45</v>
      </c>
      <c r="AB408" s="69" t="s">
        <v>45</v>
      </c>
      <c r="AC408" s="470" t="s">
        <v>637</v>
      </c>
      <c r="AG408" s="78"/>
      <c r="AJ408" s="84" t="s">
        <v>105</v>
      </c>
      <c r="AK408" s="84">
        <v>64.8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638</v>
      </c>
      <c r="B409" s="63" t="s">
        <v>639</v>
      </c>
      <c r="C409" s="36">
        <v>4301031363</v>
      </c>
      <c r="D409" s="625">
        <v>4607091389425</v>
      </c>
      <c r="E409" s="625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88</v>
      </c>
      <c r="L409" s="37" t="s">
        <v>45</v>
      </c>
      <c r="M409" s="38" t="s">
        <v>83</v>
      </c>
      <c r="N409" s="38"/>
      <c r="O409" s="37">
        <v>50</v>
      </c>
      <c r="P409" s="82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627"/>
      <c r="R409" s="627"/>
      <c r="S409" s="627"/>
      <c r="T409" s="628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640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641</v>
      </c>
      <c r="B410" s="63" t="s">
        <v>642</v>
      </c>
      <c r="C410" s="36">
        <v>4301031373</v>
      </c>
      <c r="D410" s="625">
        <v>4680115880771</v>
      </c>
      <c r="E410" s="625"/>
      <c r="F410" s="62">
        <v>0.28000000000000003</v>
      </c>
      <c r="G410" s="37">
        <v>6</v>
      </c>
      <c r="H410" s="62">
        <v>1.68</v>
      </c>
      <c r="I410" s="62">
        <v>1.81</v>
      </c>
      <c r="J410" s="37">
        <v>234</v>
      </c>
      <c r="K410" s="37" t="s">
        <v>88</v>
      </c>
      <c r="L410" s="37" t="s">
        <v>45</v>
      </c>
      <c r="M410" s="38" t="s">
        <v>83</v>
      </c>
      <c r="N410" s="38"/>
      <c r="O410" s="37">
        <v>50</v>
      </c>
      <c r="P410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627"/>
      <c r="R410" s="627"/>
      <c r="S410" s="627"/>
      <c r="T410" s="628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643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644</v>
      </c>
      <c r="B411" s="63" t="s">
        <v>645</v>
      </c>
      <c r="C411" s="36">
        <v>4301031359</v>
      </c>
      <c r="D411" s="625">
        <v>4607091389500</v>
      </c>
      <c r="E411" s="625"/>
      <c r="F411" s="62">
        <v>0.35</v>
      </c>
      <c r="G411" s="37">
        <v>6</v>
      </c>
      <c r="H411" s="62">
        <v>2.1</v>
      </c>
      <c r="I411" s="62">
        <v>2.23</v>
      </c>
      <c r="J411" s="37">
        <v>234</v>
      </c>
      <c r="K411" s="37" t="s">
        <v>88</v>
      </c>
      <c r="L411" s="37" t="s">
        <v>45</v>
      </c>
      <c r="M411" s="38" t="s">
        <v>83</v>
      </c>
      <c r="N411" s="38"/>
      <c r="O411" s="37">
        <v>50</v>
      </c>
      <c r="P411" s="82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627"/>
      <c r="R411" s="627"/>
      <c r="S411" s="627"/>
      <c r="T411" s="628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IFERROR(IF(Y411=0,"",ROUNDUP(Y411/H411,0)*0.00502),"")</f>
        <v/>
      </c>
      <c r="AA411" s="68" t="s">
        <v>45</v>
      </c>
      <c r="AB411" s="69" t="s">
        <v>45</v>
      </c>
      <c r="AC411" s="476" t="s">
        <v>643</v>
      </c>
      <c r="AG411" s="78"/>
      <c r="AJ411" s="84" t="s">
        <v>45</v>
      </c>
      <c r="AK411" s="84">
        <v>0</v>
      </c>
      <c r="BB411" s="477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33"/>
      <c r="B412" s="633"/>
      <c r="C412" s="633"/>
      <c r="D412" s="633"/>
      <c r="E412" s="633"/>
      <c r="F412" s="633"/>
      <c r="G412" s="633"/>
      <c r="H412" s="633"/>
      <c r="I412" s="633"/>
      <c r="J412" s="633"/>
      <c r="K412" s="633"/>
      <c r="L412" s="633"/>
      <c r="M412" s="633"/>
      <c r="N412" s="633"/>
      <c r="O412" s="634"/>
      <c r="P412" s="630" t="s">
        <v>40</v>
      </c>
      <c r="Q412" s="631"/>
      <c r="R412" s="631"/>
      <c r="S412" s="631"/>
      <c r="T412" s="631"/>
      <c r="U412" s="631"/>
      <c r="V412" s="632"/>
      <c r="W412" s="42" t="s">
        <v>39</v>
      </c>
      <c r="X412" s="43">
        <f>IFERROR(X408/H408,"0")+IFERROR(X409/H409,"0")+IFERROR(X410/H410,"0")+IFERROR(X411/H411,"0")</f>
        <v>0</v>
      </c>
      <c r="Y412" s="43">
        <f>IFERROR(Y408/H408,"0")+IFERROR(Y409/H409,"0")+IFERROR(Y410/H410,"0")+IFERROR(Y411/H411,"0")</f>
        <v>0</v>
      </c>
      <c r="Z412" s="43">
        <f>IFERROR(IF(Z408="",0,Z408),"0")+IFERROR(IF(Z409="",0,Z409),"0")+IFERROR(IF(Z410="",0,Z410),"0")+IFERROR(IF(Z411="",0,Z411),"0")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633"/>
      <c r="B413" s="633"/>
      <c r="C413" s="633"/>
      <c r="D413" s="633"/>
      <c r="E413" s="633"/>
      <c r="F413" s="633"/>
      <c r="G413" s="633"/>
      <c r="H413" s="633"/>
      <c r="I413" s="633"/>
      <c r="J413" s="633"/>
      <c r="K413" s="633"/>
      <c r="L413" s="633"/>
      <c r="M413" s="633"/>
      <c r="N413" s="633"/>
      <c r="O413" s="634"/>
      <c r="P413" s="630" t="s">
        <v>40</v>
      </c>
      <c r="Q413" s="631"/>
      <c r="R413" s="631"/>
      <c r="S413" s="631"/>
      <c r="T413" s="631"/>
      <c r="U413" s="631"/>
      <c r="V413" s="632"/>
      <c r="W413" s="42" t="s">
        <v>0</v>
      </c>
      <c r="X413" s="43">
        <f>IFERROR(SUM(X408:X411),"0")</f>
        <v>0</v>
      </c>
      <c r="Y413" s="43">
        <f>IFERROR(SUM(Y408:Y411),"0")</f>
        <v>0</v>
      </c>
      <c r="Z413" s="42"/>
      <c r="AA413" s="67"/>
      <c r="AB413" s="67"/>
      <c r="AC413" s="67"/>
    </row>
    <row r="414" spans="1:68" ht="16.5" customHeight="1" x14ac:dyDescent="0.25">
      <c r="A414" s="623" t="s">
        <v>646</v>
      </c>
      <c r="B414" s="623"/>
      <c r="C414" s="623"/>
      <c r="D414" s="623"/>
      <c r="E414" s="623"/>
      <c r="F414" s="623"/>
      <c r="G414" s="623"/>
      <c r="H414" s="623"/>
      <c r="I414" s="623"/>
      <c r="J414" s="623"/>
      <c r="K414" s="623"/>
      <c r="L414" s="623"/>
      <c r="M414" s="623"/>
      <c r="N414" s="623"/>
      <c r="O414" s="623"/>
      <c r="P414" s="623"/>
      <c r="Q414" s="623"/>
      <c r="R414" s="623"/>
      <c r="S414" s="623"/>
      <c r="T414" s="623"/>
      <c r="U414" s="623"/>
      <c r="V414" s="623"/>
      <c r="W414" s="623"/>
      <c r="X414" s="623"/>
      <c r="Y414" s="623"/>
      <c r="Z414" s="623"/>
      <c r="AA414" s="65"/>
      <c r="AB414" s="65"/>
      <c r="AC414" s="79"/>
    </row>
    <row r="415" spans="1:68" ht="14.25" customHeight="1" x14ac:dyDescent="0.25">
      <c r="A415" s="624" t="s">
        <v>78</v>
      </c>
      <c r="B415" s="624"/>
      <c r="C415" s="624"/>
      <c r="D415" s="624"/>
      <c r="E415" s="624"/>
      <c r="F415" s="624"/>
      <c r="G415" s="624"/>
      <c r="H415" s="624"/>
      <c r="I415" s="624"/>
      <c r="J415" s="624"/>
      <c r="K415" s="624"/>
      <c r="L415" s="624"/>
      <c r="M415" s="624"/>
      <c r="N415" s="624"/>
      <c r="O415" s="624"/>
      <c r="P415" s="624"/>
      <c r="Q415" s="624"/>
      <c r="R415" s="624"/>
      <c r="S415" s="624"/>
      <c r="T415" s="624"/>
      <c r="U415" s="624"/>
      <c r="V415" s="624"/>
      <c r="W415" s="624"/>
      <c r="X415" s="624"/>
      <c r="Y415" s="624"/>
      <c r="Z415" s="624"/>
      <c r="AA415" s="66"/>
      <c r="AB415" s="66"/>
      <c r="AC415" s="80"/>
    </row>
    <row r="416" spans="1:68" ht="27" customHeight="1" x14ac:dyDescent="0.25">
      <c r="A416" s="63" t="s">
        <v>647</v>
      </c>
      <c r="B416" s="63" t="s">
        <v>648</v>
      </c>
      <c r="C416" s="36">
        <v>4301031347</v>
      </c>
      <c r="D416" s="625">
        <v>4680115885110</v>
      </c>
      <c r="E416" s="625"/>
      <c r="F416" s="62">
        <v>0.2</v>
      </c>
      <c r="G416" s="37">
        <v>6</v>
      </c>
      <c r="H416" s="62">
        <v>1.2</v>
      </c>
      <c r="I416" s="62">
        <v>2.1</v>
      </c>
      <c r="J416" s="37">
        <v>182</v>
      </c>
      <c r="K416" s="37" t="s">
        <v>84</v>
      </c>
      <c r="L416" s="37" t="s">
        <v>45</v>
      </c>
      <c r="M416" s="38" t="s">
        <v>83</v>
      </c>
      <c r="N416" s="38"/>
      <c r="O416" s="37">
        <v>50</v>
      </c>
      <c r="P416" s="82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627"/>
      <c r="R416" s="627"/>
      <c r="S416" s="627"/>
      <c r="T416" s="628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45</v>
      </c>
      <c r="AB416" s="69" t="s">
        <v>45</v>
      </c>
      <c r="AC416" s="478" t="s">
        <v>649</v>
      </c>
      <c r="AG416" s="78"/>
      <c r="AJ416" s="84" t="s">
        <v>45</v>
      </c>
      <c r="AK416" s="84">
        <v>0</v>
      </c>
      <c r="BB416" s="479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3"/>
      <c r="B417" s="633"/>
      <c r="C417" s="633"/>
      <c r="D417" s="633"/>
      <c r="E417" s="633"/>
      <c r="F417" s="633"/>
      <c r="G417" s="633"/>
      <c r="H417" s="633"/>
      <c r="I417" s="633"/>
      <c r="J417" s="633"/>
      <c r="K417" s="633"/>
      <c r="L417" s="633"/>
      <c r="M417" s="633"/>
      <c r="N417" s="633"/>
      <c r="O417" s="634"/>
      <c r="P417" s="630" t="s">
        <v>40</v>
      </c>
      <c r="Q417" s="631"/>
      <c r="R417" s="631"/>
      <c r="S417" s="631"/>
      <c r="T417" s="631"/>
      <c r="U417" s="631"/>
      <c r="V417" s="632"/>
      <c r="W417" s="42" t="s">
        <v>39</v>
      </c>
      <c r="X417" s="43">
        <f>IFERROR(X416/H416,"0")</f>
        <v>0</v>
      </c>
      <c r="Y417" s="43">
        <f>IFERROR(Y416/H416,"0")</f>
        <v>0</v>
      </c>
      <c r="Z417" s="43">
        <f>IFERROR(IF(Z416="",0,Z416),"0")</f>
        <v>0</v>
      </c>
      <c r="AA417" s="67"/>
      <c r="AB417" s="67"/>
      <c r="AC417" s="67"/>
    </row>
    <row r="418" spans="1:68" x14ac:dyDescent="0.2">
      <c r="A418" s="633"/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4"/>
      <c r="P418" s="630" t="s">
        <v>40</v>
      </c>
      <c r="Q418" s="631"/>
      <c r="R418" s="631"/>
      <c r="S418" s="631"/>
      <c r="T418" s="631"/>
      <c r="U418" s="631"/>
      <c r="V418" s="632"/>
      <c r="W418" s="42" t="s">
        <v>0</v>
      </c>
      <c r="X418" s="43">
        <f>IFERROR(SUM(X416:X416),"0")</f>
        <v>0</v>
      </c>
      <c r="Y418" s="43">
        <f>IFERROR(SUM(Y416:Y416),"0")</f>
        <v>0</v>
      </c>
      <c r="Z418" s="42"/>
      <c r="AA418" s="67"/>
      <c r="AB418" s="67"/>
      <c r="AC418" s="67"/>
    </row>
    <row r="419" spans="1:68" ht="27.75" customHeight="1" x14ac:dyDescent="0.2">
      <c r="A419" s="622" t="s">
        <v>650</v>
      </c>
      <c r="B419" s="622"/>
      <c r="C419" s="622"/>
      <c r="D419" s="622"/>
      <c r="E419" s="622"/>
      <c r="F419" s="622"/>
      <c r="G419" s="622"/>
      <c r="H419" s="622"/>
      <c r="I419" s="622"/>
      <c r="J419" s="622"/>
      <c r="K419" s="622"/>
      <c r="L419" s="622"/>
      <c r="M419" s="622"/>
      <c r="N419" s="622"/>
      <c r="O419" s="622"/>
      <c r="P419" s="622"/>
      <c r="Q419" s="622"/>
      <c r="R419" s="622"/>
      <c r="S419" s="622"/>
      <c r="T419" s="622"/>
      <c r="U419" s="622"/>
      <c r="V419" s="622"/>
      <c r="W419" s="622"/>
      <c r="X419" s="622"/>
      <c r="Y419" s="622"/>
      <c r="Z419" s="622"/>
      <c r="AA419" s="54"/>
      <c r="AB419" s="54"/>
      <c r="AC419" s="54"/>
    </row>
    <row r="420" spans="1:68" ht="16.5" customHeight="1" x14ac:dyDescent="0.25">
      <c r="A420" s="623" t="s">
        <v>650</v>
      </c>
      <c r="B420" s="623"/>
      <c r="C420" s="623"/>
      <c r="D420" s="623"/>
      <c r="E420" s="623"/>
      <c r="F420" s="623"/>
      <c r="G420" s="623"/>
      <c r="H420" s="623"/>
      <c r="I420" s="623"/>
      <c r="J420" s="623"/>
      <c r="K420" s="623"/>
      <c r="L420" s="623"/>
      <c r="M420" s="623"/>
      <c r="N420" s="623"/>
      <c r="O420" s="623"/>
      <c r="P420" s="623"/>
      <c r="Q420" s="623"/>
      <c r="R420" s="623"/>
      <c r="S420" s="623"/>
      <c r="T420" s="623"/>
      <c r="U420" s="623"/>
      <c r="V420" s="623"/>
      <c r="W420" s="623"/>
      <c r="X420" s="623"/>
      <c r="Y420" s="623"/>
      <c r="Z420" s="623"/>
      <c r="AA420" s="65"/>
      <c r="AB420" s="65"/>
      <c r="AC420" s="79"/>
    </row>
    <row r="421" spans="1:68" ht="14.25" customHeight="1" x14ac:dyDescent="0.25">
      <c r="A421" s="624" t="s">
        <v>116</v>
      </c>
      <c r="B421" s="624"/>
      <c r="C421" s="624"/>
      <c r="D421" s="624"/>
      <c r="E421" s="624"/>
      <c r="F421" s="624"/>
      <c r="G421" s="624"/>
      <c r="H421" s="624"/>
      <c r="I421" s="624"/>
      <c r="J421" s="624"/>
      <c r="K421" s="624"/>
      <c r="L421" s="624"/>
      <c r="M421" s="624"/>
      <c r="N421" s="624"/>
      <c r="O421" s="624"/>
      <c r="P421" s="624"/>
      <c r="Q421" s="624"/>
      <c r="R421" s="624"/>
      <c r="S421" s="624"/>
      <c r="T421" s="624"/>
      <c r="U421" s="624"/>
      <c r="V421" s="624"/>
      <c r="W421" s="624"/>
      <c r="X421" s="624"/>
      <c r="Y421" s="624"/>
      <c r="Z421" s="624"/>
      <c r="AA421" s="66"/>
      <c r="AB421" s="66"/>
      <c r="AC421" s="80"/>
    </row>
    <row r="422" spans="1:68" ht="27" customHeight="1" x14ac:dyDescent="0.25">
      <c r="A422" s="63" t="s">
        <v>651</v>
      </c>
      <c r="B422" s="63" t="s">
        <v>652</v>
      </c>
      <c r="C422" s="36">
        <v>4301011795</v>
      </c>
      <c r="D422" s="625">
        <v>4607091389067</v>
      </c>
      <c r="E422" s="625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121</v>
      </c>
      <c r="L422" s="37" t="s">
        <v>122</v>
      </c>
      <c r="M422" s="38" t="s">
        <v>120</v>
      </c>
      <c r="N422" s="38"/>
      <c r="O422" s="37">
        <v>60</v>
      </c>
      <c r="P422" s="83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627"/>
      <c r="R422" s="627"/>
      <c r="S422" s="627"/>
      <c r="T422" s="628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ref="Y422:Y433" si="47">IFERROR(IF(X422="",0,CEILING((X422/$H422),1)*$H422),"")</f>
        <v>0</v>
      </c>
      <c r="Z422" s="41" t="str">
        <f t="shared" ref="Z422:Z428" si="48">IFERROR(IF(Y422=0,"",ROUNDUP(Y422/H422,0)*0.01196),"")</f>
        <v/>
      </c>
      <c r="AA422" s="68" t="s">
        <v>45</v>
      </c>
      <c r="AB422" s="69" t="s">
        <v>45</v>
      </c>
      <c r="AC422" s="480" t="s">
        <v>119</v>
      </c>
      <c r="AG422" s="78"/>
      <c r="AJ422" s="84" t="s">
        <v>105</v>
      </c>
      <c r="AK422" s="84">
        <v>42.24</v>
      </c>
      <c r="BB422" s="481" t="s">
        <v>66</v>
      </c>
      <c r="BM422" s="78">
        <f t="shared" ref="BM422:BM433" si="49">IFERROR(X422*I422/H422,"0")</f>
        <v>0</v>
      </c>
      <c r="BN422" s="78">
        <f t="shared" ref="BN422:BN433" si="50">IFERROR(Y422*I422/H422,"0")</f>
        <v>0</v>
      </c>
      <c r="BO422" s="78">
        <f t="shared" ref="BO422:BO433" si="51">IFERROR(1/J422*(X422/H422),"0")</f>
        <v>0</v>
      </c>
      <c r="BP422" s="78">
        <f t="shared" ref="BP422:BP433" si="52">IFERROR(1/J422*(Y422/H422),"0")</f>
        <v>0</v>
      </c>
    </row>
    <row r="423" spans="1:68" ht="27" customHeight="1" x14ac:dyDescent="0.25">
      <c r="A423" s="63" t="s">
        <v>653</v>
      </c>
      <c r="B423" s="63" t="s">
        <v>654</v>
      </c>
      <c r="C423" s="36">
        <v>4301012210</v>
      </c>
      <c r="D423" s="625">
        <v>4607091383522</v>
      </c>
      <c r="E423" s="625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121</v>
      </c>
      <c r="L423" s="37" t="s">
        <v>45</v>
      </c>
      <c r="M423" s="38" t="s">
        <v>120</v>
      </c>
      <c r="N423" s="38"/>
      <c r="O423" s="37">
        <v>60</v>
      </c>
      <c r="P423" s="831" t="s">
        <v>655</v>
      </c>
      <c r="Q423" s="627"/>
      <c r="R423" s="627"/>
      <c r="S423" s="627"/>
      <c r="T423" s="628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7"/>
        <v>0</v>
      </c>
      <c r="Z423" s="41" t="str">
        <f t="shared" si="48"/>
        <v/>
      </c>
      <c r="AA423" s="68" t="s">
        <v>45</v>
      </c>
      <c r="AB423" s="69" t="s">
        <v>45</v>
      </c>
      <c r="AC423" s="482" t="s">
        <v>656</v>
      </c>
      <c r="AG423" s="78"/>
      <c r="AJ423" s="84" t="s">
        <v>45</v>
      </c>
      <c r="AK423" s="84">
        <v>0</v>
      </c>
      <c r="BB423" s="483" t="s">
        <v>66</v>
      </c>
      <c r="BM423" s="78">
        <f t="shared" si="49"/>
        <v>0</v>
      </c>
      <c r="BN423" s="78">
        <f t="shared" si="50"/>
        <v>0</v>
      </c>
      <c r="BO423" s="78">
        <f t="shared" si="51"/>
        <v>0</v>
      </c>
      <c r="BP423" s="78">
        <f t="shared" si="52"/>
        <v>0</v>
      </c>
    </row>
    <row r="424" spans="1:68" ht="27" customHeight="1" x14ac:dyDescent="0.25">
      <c r="A424" s="63" t="s">
        <v>653</v>
      </c>
      <c r="B424" s="63" t="s">
        <v>657</v>
      </c>
      <c r="C424" s="36">
        <v>4301012145</v>
      </c>
      <c r="D424" s="625">
        <v>4607091383522</v>
      </c>
      <c r="E424" s="625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121</v>
      </c>
      <c r="L424" s="37" t="s">
        <v>45</v>
      </c>
      <c r="M424" s="38" t="s">
        <v>120</v>
      </c>
      <c r="N424" s="38"/>
      <c r="O424" s="37">
        <v>60</v>
      </c>
      <c r="P424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627"/>
      <c r="R424" s="627"/>
      <c r="S424" s="627"/>
      <c r="T424" s="628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7"/>
        <v>0</v>
      </c>
      <c r="Z424" s="41" t="str">
        <f t="shared" si="48"/>
        <v/>
      </c>
      <c r="AA424" s="68" t="s">
        <v>45</v>
      </c>
      <c r="AB424" s="69" t="s">
        <v>45</v>
      </c>
      <c r="AC424" s="484" t="s">
        <v>656</v>
      </c>
      <c r="AG424" s="78"/>
      <c r="AJ424" s="84" t="s">
        <v>45</v>
      </c>
      <c r="AK424" s="84">
        <v>0</v>
      </c>
      <c r="BB424" s="485" t="s">
        <v>66</v>
      </c>
      <c r="BM424" s="78">
        <f t="shared" si="49"/>
        <v>0</v>
      </c>
      <c r="BN424" s="78">
        <f t="shared" si="50"/>
        <v>0</v>
      </c>
      <c r="BO424" s="78">
        <f t="shared" si="51"/>
        <v>0</v>
      </c>
      <c r="BP424" s="78">
        <f t="shared" si="52"/>
        <v>0</v>
      </c>
    </row>
    <row r="425" spans="1:68" ht="27" customHeight="1" x14ac:dyDescent="0.25">
      <c r="A425" s="63" t="s">
        <v>658</v>
      </c>
      <c r="B425" s="63" t="s">
        <v>659</v>
      </c>
      <c r="C425" s="36">
        <v>4301011961</v>
      </c>
      <c r="D425" s="625">
        <v>4680115885271</v>
      </c>
      <c r="E425" s="625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121</v>
      </c>
      <c r="L425" s="37" t="s">
        <v>122</v>
      </c>
      <c r="M425" s="38" t="s">
        <v>120</v>
      </c>
      <c r="N425" s="38"/>
      <c r="O425" s="37">
        <v>60</v>
      </c>
      <c r="P425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627"/>
      <c r="R425" s="627"/>
      <c r="S425" s="627"/>
      <c r="T425" s="628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7"/>
        <v>0</v>
      </c>
      <c r="Z425" s="41" t="str">
        <f t="shared" si="48"/>
        <v/>
      </c>
      <c r="AA425" s="68" t="s">
        <v>45</v>
      </c>
      <c r="AB425" s="69" t="s">
        <v>45</v>
      </c>
      <c r="AC425" s="486" t="s">
        <v>660</v>
      </c>
      <c r="AG425" s="78"/>
      <c r="AJ425" s="84" t="s">
        <v>105</v>
      </c>
      <c r="AK425" s="84">
        <v>42.24</v>
      </c>
      <c r="BB425" s="487" t="s">
        <v>66</v>
      </c>
      <c r="BM425" s="78">
        <f t="shared" si="49"/>
        <v>0</v>
      </c>
      <c r="BN425" s="78">
        <f t="shared" si="50"/>
        <v>0</v>
      </c>
      <c r="BO425" s="78">
        <f t="shared" si="51"/>
        <v>0</v>
      </c>
      <c r="BP425" s="78">
        <f t="shared" si="52"/>
        <v>0</v>
      </c>
    </row>
    <row r="426" spans="1:68" ht="27" customHeight="1" x14ac:dyDescent="0.25">
      <c r="A426" s="63" t="s">
        <v>661</v>
      </c>
      <c r="B426" s="63" t="s">
        <v>662</v>
      </c>
      <c r="C426" s="36">
        <v>4301011376</v>
      </c>
      <c r="D426" s="625">
        <v>4680115885226</v>
      </c>
      <c r="E426" s="625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121</v>
      </c>
      <c r="L426" s="37" t="s">
        <v>122</v>
      </c>
      <c r="M426" s="38" t="s">
        <v>93</v>
      </c>
      <c r="N426" s="38"/>
      <c r="O426" s="37">
        <v>60</v>
      </c>
      <c r="P426" s="83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627"/>
      <c r="R426" s="627"/>
      <c r="S426" s="627"/>
      <c r="T426" s="628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7"/>
        <v>0</v>
      </c>
      <c r="Z426" s="41" t="str">
        <f t="shared" si="48"/>
        <v/>
      </c>
      <c r="AA426" s="68" t="s">
        <v>45</v>
      </c>
      <c r="AB426" s="69" t="s">
        <v>45</v>
      </c>
      <c r="AC426" s="488" t="s">
        <v>663</v>
      </c>
      <c r="AG426" s="78"/>
      <c r="AJ426" s="84" t="s">
        <v>105</v>
      </c>
      <c r="AK426" s="84">
        <v>42.24</v>
      </c>
      <c r="BB426" s="489" t="s">
        <v>66</v>
      </c>
      <c r="BM426" s="78">
        <f t="shared" si="49"/>
        <v>0</v>
      </c>
      <c r="BN426" s="78">
        <f t="shared" si="50"/>
        <v>0</v>
      </c>
      <c r="BO426" s="78">
        <f t="shared" si="51"/>
        <v>0</v>
      </c>
      <c r="BP426" s="78">
        <f t="shared" si="52"/>
        <v>0</v>
      </c>
    </row>
    <row r="427" spans="1:68" ht="16.5" customHeight="1" x14ac:dyDescent="0.25">
      <c r="A427" s="63" t="s">
        <v>664</v>
      </c>
      <c r="B427" s="63" t="s">
        <v>665</v>
      </c>
      <c r="C427" s="36">
        <v>4301011774</v>
      </c>
      <c r="D427" s="625">
        <v>4680115884502</v>
      </c>
      <c r="E427" s="625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121</v>
      </c>
      <c r="L427" s="37" t="s">
        <v>45</v>
      </c>
      <c r="M427" s="38" t="s">
        <v>120</v>
      </c>
      <c r="N427" s="38"/>
      <c r="O427" s="37">
        <v>60</v>
      </c>
      <c r="P427" s="83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627"/>
      <c r="R427" s="627"/>
      <c r="S427" s="627"/>
      <c r="T427" s="62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 t="shared" si="48"/>
        <v/>
      </c>
      <c r="AA427" s="68" t="s">
        <v>45</v>
      </c>
      <c r="AB427" s="69" t="s">
        <v>45</v>
      </c>
      <c r="AC427" s="490" t="s">
        <v>666</v>
      </c>
      <c r="AG427" s="78"/>
      <c r="AJ427" s="84" t="s">
        <v>45</v>
      </c>
      <c r="AK427" s="84">
        <v>0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667</v>
      </c>
      <c r="B428" s="63" t="s">
        <v>668</v>
      </c>
      <c r="C428" s="36">
        <v>4301011771</v>
      </c>
      <c r="D428" s="625">
        <v>4607091389104</v>
      </c>
      <c r="E428" s="625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121</v>
      </c>
      <c r="L428" s="37" t="s">
        <v>122</v>
      </c>
      <c r="M428" s="38" t="s">
        <v>120</v>
      </c>
      <c r="N428" s="38"/>
      <c r="O428" s="37">
        <v>60</v>
      </c>
      <c r="P428" s="8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627"/>
      <c r="R428" s="627"/>
      <c r="S428" s="627"/>
      <c r="T428" s="62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 t="shared" si="48"/>
        <v/>
      </c>
      <c r="AA428" s="68" t="s">
        <v>45</v>
      </c>
      <c r="AB428" s="69" t="s">
        <v>45</v>
      </c>
      <c r="AC428" s="492" t="s">
        <v>669</v>
      </c>
      <c r="AG428" s="78"/>
      <c r="AJ428" s="84" t="s">
        <v>105</v>
      </c>
      <c r="AK428" s="84">
        <v>42.24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670</v>
      </c>
      <c r="B429" s="63" t="s">
        <v>671</v>
      </c>
      <c r="C429" s="36">
        <v>4301012125</v>
      </c>
      <c r="D429" s="625">
        <v>4680115886391</v>
      </c>
      <c r="E429" s="625"/>
      <c r="F429" s="62">
        <v>0.4</v>
      </c>
      <c r="G429" s="37">
        <v>6</v>
      </c>
      <c r="H429" s="62">
        <v>2.4</v>
      </c>
      <c r="I429" s="62">
        <v>2.58</v>
      </c>
      <c r="J429" s="37">
        <v>182</v>
      </c>
      <c r="K429" s="37" t="s">
        <v>84</v>
      </c>
      <c r="L429" s="37" t="s">
        <v>45</v>
      </c>
      <c r="M429" s="38" t="s">
        <v>93</v>
      </c>
      <c r="N429" s="38"/>
      <c r="O429" s="37">
        <v>60</v>
      </c>
      <c r="P429" s="8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627"/>
      <c r="R429" s="627"/>
      <c r="S429" s="627"/>
      <c r="T429" s="62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IFERROR(IF(Y429=0,"",ROUNDUP(Y429/H429,0)*0.00651),"")</f>
        <v/>
      </c>
      <c r="AA429" s="68" t="s">
        <v>45</v>
      </c>
      <c r="AB429" s="69" t="s">
        <v>45</v>
      </c>
      <c r="AC429" s="494" t="s">
        <v>119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672</v>
      </c>
      <c r="B430" s="63" t="s">
        <v>673</v>
      </c>
      <c r="C430" s="36">
        <v>4301012035</v>
      </c>
      <c r="D430" s="625">
        <v>4680115880603</v>
      </c>
      <c r="E430" s="625"/>
      <c r="F430" s="62">
        <v>0.6</v>
      </c>
      <c r="G430" s="37">
        <v>8</v>
      </c>
      <c r="H430" s="62">
        <v>4.8</v>
      </c>
      <c r="I430" s="62">
        <v>6.91</v>
      </c>
      <c r="J430" s="37">
        <v>132</v>
      </c>
      <c r="K430" s="37" t="s">
        <v>125</v>
      </c>
      <c r="L430" s="37" t="s">
        <v>45</v>
      </c>
      <c r="M430" s="38" t="s">
        <v>120</v>
      </c>
      <c r="N430" s="38"/>
      <c r="O430" s="37">
        <v>60</v>
      </c>
      <c r="P430" s="8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627"/>
      <c r="R430" s="627"/>
      <c r="S430" s="627"/>
      <c r="T430" s="62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496" t="s">
        <v>119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674</v>
      </c>
      <c r="B431" s="63" t="s">
        <v>675</v>
      </c>
      <c r="C431" s="36">
        <v>4301012036</v>
      </c>
      <c r="D431" s="625">
        <v>4680115882782</v>
      </c>
      <c r="E431" s="625"/>
      <c r="F431" s="62">
        <v>0.6</v>
      </c>
      <c r="G431" s="37">
        <v>8</v>
      </c>
      <c r="H431" s="62">
        <v>4.8</v>
      </c>
      <c r="I431" s="62">
        <v>6.96</v>
      </c>
      <c r="J431" s="37">
        <v>120</v>
      </c>
      <c r="K431" s="37" t="s">
        <v>125</v>
      </c>
      <c r="L431" s="37" t="s">
        <v>45</v>
      </c>
      <c r="M431" s="38" t="s">
        <v>120</v>
      </c>
      <c r="N431" s="38"/>
      <c r="O431" s="37">
        <v>60</v>
      </c>
      <c r="P431" s="8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627"/>
      <c r="R431" s="627"/>
      <c r="S431" s="627"/>
      <c r="T431" s="62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>IFERROR(IF(Y431=0,"",ROUNDUP(Y431/H431,0)*0.00937),"")</f>
        <v/>
      </c>
      <c r="AA431" s="68" t="s">
        <v>45</v>
      </c>
      <c r="AB431" s="69" t="s">
        <v>45</v>
      </c>
      <c r="AC431" s="498" t="s">
        <v>660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676</v>
      </c>
      <c r="B432" s="63" t="s">
        <v>677</v>
      </c>
      <c r="C432" s="36">
        <v>4301012050</v>
      </c>
      <c r="D432" s="625">
        <v>4680115885479</v>
      </c>
      <c r="E432" s="625"/>
      <c r="F432" s="62">
        <v>0.4</v>
      </c>
      <c r="G432" s="37">
        <v>6</v>
      </c>
      <c r="H432" s="62">
        <v>2.4</v>
      </c>
      <c r="I432" s="62">
        <v>2.58</v>
      </c>
      <c r="J432" s="37">
        <v>182</v>
      </c>
      <c r="K432" s="37" t="s">
        <v>84</v>
      </c>
      <c r="L432" s="37" t="s">
        <v>45</v>
      </c>
      <c r="M432" s="38" t="s">
        <v>120</v>
      </c>
      <c r="N432" s="38"/>
      <c r="O432" s="37">
        <v>60</v>
      </c>
      <c r="P432" s="84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627"/>
      <c r="R432" s="627"/>
      <c r="S432" s="627"/>
      <c r="T432" s="62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>IFERROR(IF(Y432=0,"",ROUNDUP(Y432/H432,0)*0.00651),"")</f>
        <v/>
      </c>
      <c r="AA432" s="68" t="s">
        <v>45</v>
      </c>
      <c r="AB432" s="69" t="s">
        <v>45</v>
      </c>
      <c r="AC432" s="500" t="s">
        <v>678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679</v>
      </c>
      <c r="B433" s="63" t="s">
        <v>680</v>
      </c>
      <c r="C433" s="36">
        <v>4301012034</v>
      </c>
      <c r="D433" s="625">
        <v>4607091389982</v>
      </c>
      <c r="E433" s="625"/>
      <c r="F433" s="62">
        <v>0.6</v>
      </c>
      <c r="G433" s="37">
        <v>8</v>
      </c>
      <c r="H433" s="62">
        <v>4.8</v>
      </c>
      <c r="I433" s="62">
        <v>6.91</v>
      </c>
      <c r="J433" s="37">
        <v>132</v>
      </c>
      <c r="K433" s="37" t="s">
        <v>125</v>
      </c>
      <c r="L433" s="37" t="s">
        <v>45</v>
      </c>
      <c r="M433" s="38" t="s">
        <v>120</v>
      </c>
      <c r="N433" s="38"/>
      <c r="O433" s="37">
        <v>60</v>
      </c>
      <c r="P433" s="8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627"/>
      <c r="R433" s="627"/>
      <c r="S433" s="627"/>
      <c r="T433" s="628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>IFERROR(IF(Y433=0,"",ROUNDUP(Y433/H433,0)*0.00902),"")</f>
        <v/>
      </c>
      <c r="AA433" s="68" t="s">
        <v>45</v>
      </c>
      <c r="AB433" s="69" t="s">
        <v>45</v>
      </c>
      <c r="AC433" s="502" t="s">
        <v>669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x14ac:dyDescent="0.2">
      <c r="A434" s="633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0" t="s">
        <v>40</v>
      </c>
      <c r="Q434" s="631"/>
      <c r="R434" s="631"/>
      <c r="S434" s="631"/>
      <c r="T434" s="631"/>
      <c r="U434" s="631"/>
      <c r="V434" s="632"/>
      <c r="W434" s="42" t="s">
        <v>39</v>
      </c>
      <c r="X434" s="43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0</v>
      </c>
      <c r="Y434" s="43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0</v>
      </c>
      <c r="Z434" s="43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0" t="s">
        <v>40</v>
      </c>
      <c r="Q435" s="631"/>
      <c r="R435" s="631"/>
      <c r="S435" s="631"/>
      <c r="T435" s="631"/>
      <c r="U435" s="631"/>
      <c r="V435" s="632"/>
      <c r="W435" s="42" t="s">
        <v>0</v>
      </c>
      <c r="X435" s="43">
        <f>IFERROR(SUM(X422:X433),"0")</f>
        <v>0</v>
      </c>
      <c r="Y435" s="43">
        <f>IFERROR(SUM(Y422:Y433),"0")</f>
        <v>0</v>
      </c>
      <c r="Z435" s="42"/>
      <c r="AA435" s="67"/>
      <c r="AB435" s="67"/>
      <c r="AC435" s="67"/>
    </row>
    <row r="436" spans="1:68" ht="14.25" customHeight="1" x14ac:dyDescent="0.25">
      <c r="A436" s="624" t="s">
        <v>151</v>
      </c>
      <c r="B436" s="624"/>
      <c r="C436" s="624"/>
      <c r="D436" s="624"/>
      <c r="E436" s="624"/>
      <c r="F436" s="624"/>
      <c r="G436" s="624"/>
      <c r="H436" s="624"/>
      <c r="I436" s="624"/>
      <c r="J436" s="624"/>
      <c r="K436" s="624"/>
      <c r="L436" s="624"/>
      <c r="M436" s="624"/>
      <c r="N436" s="624"/>
      <c r="O436" s="624"/>
      <c r="P436" s="624"/>
      <c r="Q436" s="624"/>
      <c r="R436" s="624"/>
      <c r="S436" s="624"/>
      <c r="T436" s="624"/>
      <c r="U436" s="624"/>
      <c r="V436" s="624"/>
      <c r="W436" s="624"/>
      <c r="X436" s="624"/>
      <c r="Y436" s="624"/>
      <c r="Z436" s="624"/>
      <c r="AA436" s="66"/>
      <c r="AB436" s="66"/>
      <c r="AC436" s="80"/>
    </row>
    <row r="437" spans="1:68" ht="16.5" customHeight="1" x14ac:dyDescent="0.25">
      <c r="A437" s="63" t="s">
        <v>681</v>
      </c>
      <c r="B437" s="63" t="s">
        <v>682</v>
      </c>
      <c r="C437" s="36">
        <v>4301020334</v>
      </c>
      <c r="D437" s="625">
        <v>4607091388930</v>
      </c>
      <c r="E437" s="625"/>
      <c r="F437" s="62">
        <v>0.88</v>
      </c>
      <c r="G437" s="37">
        <v>6</v>
      </c>
      <c r="H437" s="62">
        <v>5.28</v>
      </c>
      <c r="I437" s="62">
        <v>5.63</v>
      </c>
      <c r="J437" s="37">
        <v>104</v>
      </c>
      <c r="K437" s="37" t="s">
        <v>121</v>
      </c>
      <c r="L437" s="37" t="s">
        <v>122</v>
      </c>
      <c r="M437" s="38" t="s">
        <v>93</v>
      </c>
      <c r="N437" s="38"/>
      <c r="O437" s="37">
        <v>70</v>
      </c>
      <c r="P437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627"/>
      <c r="R437" s="627"/>
      <c r="S437" s="627"/>
      <c r="T437" s="628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IFERROR(IF(Y437=0,"",ROUNDUP(Y437/H437,0)*0.01196),"")</f>
        <v/>
      </c>
      <c r="AA437" s="68" t="s">
        <v>45</v>
      </c>
      <c r="AB437" s="69" t="s">
        <v>45</v>
      </c>
      <c r="AC437" s="504" t="s">
        <v>683</v>
      </c>
      <c r="AG437" s="78"/>
      <c r="AJ437" s="84" t="s">
        <v>105</v>
      </c>
      <c r="AK437" s="84">
        <v>42.24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16.5" customHeight="1" x14ac:dyDescent="0.25">
      <c r="A438" s="63" t="s">
        <v>684</v>
      </c>
      <c r="B438" s="63" t="s">
        <v>685</v>
      </c>
      <c r="C438" s="36">
        <v>4301020384</v>
      </c>
      <c r="D438" s="625">
        <v>4680115886407</v>
      </c>
      <c r="E438" s="625"/>
      <c r="F438" s="62">
        <v>0.4</v>
      </c>
      <c r="G438" s="37">
        <v>6</v>
      </c>
      <c r="H438" s="62">
        <v>2.4</v>
      </c>
      <c r="I438" s="62">
        <v>2.58</v>
      </c>
      <c r="J438" s="37">
        <v>182</v>
      </c>
      <c r="K438" s="37" t="s">
        <v>84</v>
      </c>
      <c r="L438" s="37" t="s">
        <v>45</v>
      </c>
      <c r="M438" s="38" t="s">
        <v>93</v>
      </c>
      <c r="N438" s="38"/>
      <c r="O438" s="37">
        <v>70</v>
      </c>
      <c r="P438" s="8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627"/>
      <c r="R438" s="627"/>
      <c r="S438" s="627"/>
      <c r="T438" s="628"/>
      <c r="U438" s="39" t="s">
        <v>45</v>
      </c>
      <c r="V438" s="39" t="s">
        <v>45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06" t="s">
        <v>683</v>
      </c>
      <c r="AG438" s="78"/>
      <c r="AJ438" s="84" t="s">
        <v>45</v>
      </c>
      <c r="AK438" s="84">
        <v>0</v>
      </c>
      <c r="BB438" s="507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16.5" customHeight="1" x14ac:dyDescent="0.25">
      <c r="A439" s="63" t="s">
        <v>686</v>
      </c>
      <c r="B439" s="63" t="s">
        <v>687</v>
      </c>
      <c r="C439" s="36">
        <v>4301020385</v>
      </c>
      <c r="D439" s="625">
        <v>4680115880054</v>
      </c>
      <c r="E439" s="625"/>
      <c r="F439" s="62">
        <v>0.6</v>
      </c>
      <c r="G439" s="37">
        <v>8</v>
      </c>
      <c r="H439" s="62">
        <v>4.8</v>
      </c>
      <c r="I439" s="62">
        <v>6.91</v>
      </c>
      <c r="J439" s="37">
        <v>132</v>
      </c>
      <c r="K439" s="37" t="s">
        <v>125</v>
      </c>
      <c r="L439" s="37" t="s">
        <v>45</v>
      </c>
      <c r="M439" s="38" t="s">
        <v>120</v>
      </c>
      <c r="N439" s="38"/>
      <c r="O439" s="37">
        <v>70</v>
      </c>
      <c r="P439" s="8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627"/>
      <c r="R439" s="627"/>
      <c r="S439" s="627"/>
      <c r="T439" s="628"/>
      <c r="U439" s="39" t="s">
        <v>45</v>
      </c>
      <c r="V439" s="39" t="s">
        <v>45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08" t="s">
        <v>683</v>
      </c>
      <c r="AG439" s="78"/>
      <c r="AJ439" s="84" t="s">
        <v>45</v>
      </c>
      <c r="AK439" s="84">
        <v>0</v>
      </c>
      <c r="BB439" s="509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33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0" t="s">
        <v>40</v>
      </c>
      <c r="Q440" s="631"/>
      <c r="R440" s="631"/>
      <c r="S440" s="631"/>
      <c r="T440" s="631"/>
      <c r="U440" s="631"/>
      <c r="V440" s="632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0" t="s">
        <v>40</v>
      </c>
      <c r="Q441" s="631"/>
      <c r="R441" s="631"/>
      <c r="S441" s="631"/>
      <c r="T441" s="631"/>
      <c r="U441" s="631"/>
      <c r="V441" s="632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customHeight="1" x14ac:dyDescent="0.25">
      <c r="A442" s="624" t="s">
        <v>78</v>
      </c>
      <c r="B442" s="624"/>
      <c r="C442" s="624"/>
      <c r="D442" s="624"/>
      <c r="E442" s="624"/>
      <c r="F442" s="624"/>
      <c r="G442" s="624"/>
      <c r="H442" s="624"/>
      <c r="I442" s="624"/>
      <c r="J442" s="624"/>
      <c r="K442" s="624"/>
      <c r="L442" s="624"/>
      <c r="M442" s="624"/>
      <c r="N442" s="624"/>
      <c r="O442" s="624"/>
      <c r="P442" s="624"/>
      <c r="Q442" s="624"/>
      <c r="R442" s="624"/>
      <c r="S442" s="624"/>
      <c r="T442" s="624"/>
      <c r="U442" s="624"/>
      <c r="V442" s="624"/>
      <c r="W442" s="624"/>
      <c r="X442" s="624"/>
      <c r="Y442" s="624"/>
      <c r="Z442" s="624"/>
      <c r="AA442" s="66"/>
      <c r="AB442" s="66"/>
      <c r="AC442" s="80"/>
    </row>
    <row r="443" spans="1:68" ht="27" customHeight="1" x14ac:dyDescent="0.25">
      <c r="A443" s="63" t="s">
        <v>688</v>
      </c>
      <c r="B443" s="63" t="s">
        <v>689</v>
      </c>
      <c r="C443" s="36">
        <v>4301031349</v>
      </c>
      <c r="D443" s="625">
        <v>4680115883116</v>
      </c>
      <c r="E443" s="625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121</v>
      </c>
      <c r="L443" s="37" t="s">
        <v>122</v>
      </c>
      <c r="M443" s="38" t="s">
        <v>120</v>
      </c>
      <c r="N443" s="38"/>
      <c r="O443" s="37">
        <v>70</v>
      </c>
      <c r="P443" s="8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627"/>
      <c r="R443" s="627"/>
      <c r="S443" s="627"/>
      <c r="T443" s="628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ref="Y443:Y448" si="53">IFERROR(IF(X443="",0,CEILING((X443/$H443),1)*$H443),"")</f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690</v>
      </c>
      <c r="AG443" s="78"/>
      <c r="AJ443" s="84" t="s">
        <v>105</v>
      </c>
      <c r="AK443" s="84">
        <v>42.24</v>
      </c>
      <c r="BB443" s="511" t="s">
        <v>66</v>
      </c>
      <c r="BM443" s="78">
        <f t="shared" ref="BM443:BM448" si="54">IFERROR(X443*I443/H443,"0")</f>
        <v>0</v>
      </c>
      <c r="BN443" s="78">
        <f t="shared" ref="BN443:BN448" si="55">IFERROR(Y443*I443/H443,"0")</f>
        <v>0</v>
      </c>
      <c r="BO443" s="78">
        <f t="shared" ref="BO443:BO448" si="56">IFERROR(1/J443*(X443/H443),"0")</f>
        <v>0</v>
      </c>
      <c r="BP443" s="78">
        <f t="shared" ref="BP443:BP448" si="57">IFERROR(1/J443*(Y443/H443),"0")</f>
        <v>0</v>
      </c>
    </row>
    <row r="444" spans="1:68" ht="27" customHeight="1" x14ac:dyDescent="0.25">
      <c r="A444" s="63" t="s">
        <v>691</v>
      </c>
      <c r="B444" s="63" t="s">
        <v>692</v>
      </c>
      <c r="C444" s="36">
        <v>4301031350</v>
      </c>
      <c r="D444" s="625">
        <v>4680115883093</v>
      </c>
      <c r="E444" s="625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121</v>
      </c>
      <c r="L444" s="37" t="s">
        <v>122</v>
      </c>
      <c r="M444" s="38" t="s">
        <v>83</v>
      </c>
      <c r="N444" s="38"/>
      <c r="O444" s="37">
        <v>70</v>
      </c>
      <c r="P444" s="8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627"/>
      <c r="R444" s="627"/>
      <c r="S444" s="627"/>
      <c r="T444" s="628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53"/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2" t="s">
        <v>693</v>
      </c>
      <c r="AG444" s="78"/>
      <c r="AJ444" s="84" t="s">
        <v>105</v>
      </c>
      <c r="AK444" s="84">
        <v>42.24</v>
      </c>
      <c r="BB444" s="513" t="s">
        <v>66</v>
      </c>
      <c r="BM444" s="78">
        <f t="shared" si="54"/>
        <v>0</v>
      </c>
      <c r="BN444" s="78">
        <f t="shared" si="55"/>
        <v>0</v>
      </c>
      <c r="BO444" s="78">
        <f t="shared" si="56"/>
        <v>0</v>
      </c>
      <c r="BP444" s="78">
        <f t="shared" si="57"/>
        <v>0</v>
      </c>
    </row>
    <row r="445" spans="1:68" ht="27" customHeight="1" x14ac:dyDescent="0.25">
      <c r="A445" s="63" t="s">
        <v>694</v>
      </c>
      <c r="B445" s="63" t="s">
        <v>695</v>
      </c>
      <c r="C445" s="36">
        <v>4301031353</v>
      </c>
      <c r="D445" s="625">
        <v>4680115883109</v>
      </c>
      <c r="E445" s="625"/>
      <c r="F445" s="62">
        <v>0.88</v>
      </c>
      <c r="G445" s="37">
        <v>6</v>
      </c>
      <c r="H445" s="62">
        <v>5.28</v>
      </c>
      <c r="I445" s="62">
        <v>5.63</v>
      </c>
      <c r="J445" s="37">
        <v>104</v>
      </c>
      <c r="K445" s="37" t="s">
        <v>121</v>
      </c>
      <c r="L445" s="37" t="s">
        <v>122</v>
      </c>
      <c r="M445" s="38" t="s">
        <v>83</v>
      </c>
      <c r="N445" s="38"/>
      <c r="O445" s="37">
        <v>70</v>
      </c>
      <c r="P445" s="8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627"/>
      <c r="R445" s="627"/>
      <c r="S445" s="627"/>
      <c r="T445" s="628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53"/>
        <v>0</v>
      </c>
      <c r="Z445" s="41" t="str">
        <f>IFERROR(IF(Y445=0,"",ROUNDUP(Y445/H445,0)*0.01196),"")</f>
        <v/>
      </c>
      <c r="AA445" s="68" t="s">
        <v>45</v>
      </c>
      <c r="AB445" s="69" t="s">
        <v>45</v>
      </c>
      <c r="AC445" s="514" t="s">
        <v>696</v>
      </c>
      <c r="AG445" s="78"/>
      <c r="AJ445" s="84" t="s">
        <v>105</v>
      </c>
      <c r="AK445" s="84">
        <v>42.24</v>
      </c>
      <c r="BB445" s="515" t="s">
        <v>66</v>
      </c>
      <c r="BM445" s="78">
        <f t="shared" si="54"/>
        <v>0</v>
      </c>
      <c r="BN445" s="78">
        <f t="shared" si="55"/>
        <v>0</v>
      </c>
      <c r="BO445" s="78">
        <f t="shared" si="56"/>
        <v>0</v>
      </c>
      <c r="BP445" s="78">
        <f t="shared" si="57"/>
        <v>0</v>
      </c>
    </row>
    <row r="446" spans="1:68" ht="27" customHeight="1" x14ac:dyDescent="0.25">
      <c r="A446" s="63" t="s">
        <v>697</v>
      </c>
      <c r="B446" s="63" t="s">
        <v>698</v>
      </c>
      <c r="C446" s="36">
        <v>4301031419</v>
      </c>
      <c r="D446" s="625">
        <v>4680115882072</v>
      </c>
      <c r="E446" s="625"/>
      <c r="F446" s="62">
        <v>0.6</v>
      </c>
      <c r="G446" s="37">
        <v>8</v>
      </c>
      <c r="H446" s="62">
        <v>4.8</v>
      </c>
      <c r="I446" s="62">
        <v>6.91</v>
      </c>
      <c r="J446" s="37">
        <v>132</v>
      </c>
      <c r="K446" s="37" t="s">
        <v>125</v>
      </c>
      <c r="L446" s="37" t="s">
        <v>45</v>
      </c>
      <c r="M446" s="38" t="s">
        <v>120</v>
      </c>
      <c r="N446" s="38"/>
      <c r="O446" s="37">
        <v>70</v>
      </c>
      <c r="P446" s="8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627"/>
      <c r="R446" s="627"/>
      <c r="S446" s="627"/>
      <c r="T446" s="628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53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690</v>
      </c>
      <c r="AG446" s="78"/>
      <c r="AJ446" s="84" t="s">
        <v>45</v>
      </c>
      <c r="AK446" s="84">
        <v>0</v>
      </c>
      <c r="BB446" s="517" t="s">
        <v>66</v>
      </c>
      <c r="BM446" s="78">
        <f t="shared" si="54"/>
        <v>0</v>
      </c>
      <c r="BN446" s="78">
        <f t="shared" si="55"/>
        <v>0</v>
      </c>
      <c r="BO446" s="78">
        <f t="shared" si="56"/>
        <v>0</v>
      </c>
      <c r="BP446" s="78">
        <f t="shared" si="57"/>
        <v>0</v>
      </c>
    </row>
    <row r="447" spans="1:68" ht="27" customHeight="1" x14ac:dyDescent="0.25">
      <c r="A447" s="63" t="s">
        <v>699</v>
      </c>
      <c r="B447" s="63" t="s">
        <v>700</v>
      </c>
      <c r="C447" s="36">
        <v>4301031418</v>
      </c>
      <c r="D447" s="625">
        <v>4680115882102</v>
      </c>
      <c r="E447" s="625"/>
      <c r="F447" s="62">
        <v>0.6</v>
      </c>
      <c r="G447" s="37">
        <v>8</v>
      </c>
      <c r="H447" s="62">
        <v>4.8</v>
      </c>
      <c r="I447" s="62">
        <v>6.67</v>
      </c>
      <c r="J447" s="37">
        <v>132</v>
      </c>
      <c r="K447" s="37" t="s">
        <v>125</v>
      </c>
      <c r="L447" s="37" t="s">
        <v>45</v>
      </c>
      <c r="M447" s="38" t="s">
        <v>83</v>
      </c>
      <c r="N447" s="38"/>
      <c r="O447" s="37">
        <v>70</v>
      </c>
      <c r="P447" s="84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627"/>
      <c r="R447" s="627"/>
      <c r="S447" s="627"/>
      <c r="T447" s="628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53"/>
        <v>0</v>
      </c>
      <c r="Z447" s="41" t="str">
        <f>IFERROR(IF(Y447=0,"",ROUNDUP(Y447/H447,0)*0.00902),"")</f>
        <v/>
      </c>
      <c r="AA447" s="68" t="s">
        <v>45</v>
      </c>
      <c r="AB447" s="69" t="s">
        <v>45</v>
      </c>
      <c r="AC447" s="518" t="s">
        <v>693</v>
      </c>
      <c r="AG447" s="78"/>
      <c r="AJ447" s="84" t="s">
        <v>45</v>
      </c>
      <c r="AK447" s="84">
        <v>0</v>
      </c>
      <c r="BB447" s="519" t="s">
        <v>66</v>
      </c>
      <c r="BM447" s="78">
        <f t="shared" si="54"/>
        <v>0</v>
      </c>
      <c r="BN447" s="78">
        <f t="shared" si="55"/>
        <v>0</v>
      </c>
      <c r="BO447" s="78">
        <f t="shared" si="56"/>
        <v>0</v>
      </c>
      <c r="BP447" s="78">
        <f t="shared" si="57"/>
        <v>0</v>
      </c>
    </row>
    <row r="448" spans="1:68" ht="27" customHeight="1" x14ac:dyDescent="0.25">
      <c r="A448" s="63" t="s">
        <v>701</v>
      </c>
      <c r="B448" s="63" t="s">
        <v>702</v>
      </c>
      <c r="C448" s="36">
        <v>4301031417</v>
      </c>
      <c r="D448" s="625">
        <v>4680115882096</v>
      </c>
      <c r="E448" s="625"/>
      <c r="F448" s="62">
        <v>0.6</v>
      </c>
      <c r="G448" s="37">
        <v>8</v>
      </c>
      <c r="H448" s="62">
        <v>4.8</v>
      </c>
      <c r="I448" s="62">
        <v>6.67</v>
      </c>
      <c r="J448" s="37">
        <v>132</v>
      </c>
      <c r="K448" s="37" t="s">
        <v>125</v>
      </c>
      <c r="L448" s="37" t="s">
        <v>45</v>
      </c>
      <c r="M448" s="38" t="s">
        <v>83</v>
      </c>
      <c r="N448" s="38"/>
      <c r="O448" s="37">
        <v>70</v>
      </c>
      <c r="P448" s="85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627"/>
      <c r="R448" s="627"/>
      <c r="S448" s="627"/>
      <c r="T448" s="628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si="53"/>
        <v>0</v>
      </c>
      <c r="Z448" s="41" t="str">
        <f>IFERROR(IF(Y448=0,"",ROUNDUP(Y448/H448,0)*0.00902),"")</f>
        <v/>
      </c>
      <c r="AA448" s="68" t="s">
        <v>45</v>
      </c>
      <c r="AB448" s="69" t="s">
        <v>45</v>
      </c>
      <c r="AC448" s="520" t="s">
        <v>696</v>
      </c>
      <c r="AG448" s="78"/>
      <c r="AJ448" s="84" t="s">
        <v>45</v>
      </c>
      <c r="AK448" s="84">
        <v>0</v>
      </c>
      <c r="BB448" s="521" t="s">
        <v>66</v>
      </c>
      <c r="BM448" s="78">
        <f t="shared" si="54"/>
        <v>0</v>
      </c>
      <c r="BN448" s="78">
        <f t="shared" si="55"/>
        <v>0</v>
      </c>
      <c r="BO448" s="78">
        <f t="shared" si="56"/>
        <v>0</v>
      </c>
      <c r="BP448" s="78">
        <f t="shared" si="57"/>
        <v>0</v>
      </c>
    </row>
    <row r="449" spans="1:68" x14ac:dyDescent="0.2">
      <c r="A449" s="633"/>
      <c r="B449" s="633"/>
      <c r="C449" s="633"/>
      <c r="D449" s="633"/>
      <c r="E449" s="633"/>
      <c r="F449" s="633"/>
      <c r="G449" s="633"/>
      <c r="H449" s="633"/>
      <c r="I449" s="633"/>
      <c r="J449" s="633"/>
      <c r="K449" s="633"/>
      <c r="L449" s="633"/>
      <c r="M449" s="633"/>
      <c r="N449" s="633"/>
      <c r="O449" s="634"/>
      <c r="P449" s="630" t="s">
        <v>40</v>
      </c>
      <c r="Q449" s="631"/>
      <c r="R449" s="631"/>
      <c r="S449" s="631"/>
      <c r="T449" s="631"/>
      <c r="U449" s="631"/>
      <c r="V449" s="632"/>
      <c r="W449" s="42" t="s">
        <v>39</v>
      </c>
      <c r="X449" s="43">
        <f>IFERROR(X443/H443,"0")+IFERROR(X444/H444,"0")+IFERROR(X445/H445,"0")+IFERROR(X446/H446,"0")+IFERROR(X447/H447,"0")+IFERROR(X448/H448,"0")</f>
        <v>0</v>
      </c>
      <c r="Y449" s="43">
        <f>IFERROR(Y443/H443,"0")+IFERROR(Y444/H444,"0")+IFERROR(Y445/H445,"0")+IFERROR(Y446/H446,"0")+IFERROR(Y447/H447,"0")+IFERROR(Y448/H448,"0")</f>
        <v>0</v>
      </c>
      <c r="Z449" s="43">
        <f>IFERROR(IF(Z443="",0,Z443),"0")+IFERROR(IF(Z444="",0,Z444),"0")+IFERROR(IF(Z445="",0,Z445),"0")+IFERROR(IF(Z446="",0,Z446),"0")+IFERROR(IF(Z447="",0,Z447),"0")+IFERROR(IF(Z448="",0,Z448),"0")</f>
        <v>0</v>
      </c>
      <c r="AA449" s="67"/>
      <c r="AB449" s="67"/>
      <c r="AC449" s="67"/>
    </row>
    <row r="450" spans="1:68" x14ac:dyDescent="0.2">
      <c r="A450" s="633"/>
      <c r="B450" s="633"/>
      <c r="C450" s="633"/>
      <c r="D450" s="633"/>
      <c r="E450" s="633"/>
      <c r="F450" s="633"/>
      <c r="G450" s="633"/>
      <c r="H450" s="633"/>
      <c r="I450" s="633"/>
      <c r="J450" s="633"/>
      <c r="K450" s="633"/>
      <c r="L450" s="633"/>
      <c r="M450" s="633"/>
      <c r="N450" s="633"/>
      <c r="O450" s="634"/>
      <c r="P450" s="630" t="s">
        <v>40</v>
      </c>
      <c r="Q450" s="631"/>
      <c r="R450" s="631"/>
      <c r="S450" s="631"/>
      <c r="T450" s="631"/>
      <c r="U450" s="631"/>
      <c r="V450" s="632"/>
      <c r="W450" s="42" t="s">
        <v>0</v>
      </c>
      <c r="X450" s="43">
        <f>IFERROR(SUM(X443:X448),"0")</f>
        <v>0</v>
      </c>
      <c r="Y450" s="43">
        <f>IFERROR(SUM(Y443:Y448),"0")</f>
        <v>0</v>
      </c>
      <c r="Z450" s="42"/>
      <c r="AA450" s="67"/>
      <c r="AB450" s="67"/>
      <c r="AC450" s="67"/>
    </row>
    <row r="451" spans="1:68" ht="14.25" customHeight="1" x14ac:dyDescent="0.25">
      <c r="A451" s="624" t="s">
        <v>89</v>
      </c>
      <c r="B451" s="624"/>
      <c r="C451" s="624"/>
      <c r="D451" s="624"/>
      <c r="E451" s="624"/>
      <c r="F451" s="624"/>
      <c r="G451" s="624"/>
      <c r="H451" s="624"/>
      <c r="I451" s="624"/>
      <c r="J451" s="624"/>
      <c r="K451" s="624"/>
      <c r="L451" s="624"/>
      <c r="M451" s="624"/>
      <c r="N451" s="624"/>
      <c r="O451" s="624"/>
      <c r="P451" s="624"/>
      <c r="Q451" s="624"/>
      <c r="R451" s="624"/>
      <c r="S451" s="624"/>
      <c r="T451" s="624"/>
      <c r="U451" s="624"/>
      <c r="V451" s="624"/>
      <c r="W451" s="624"/>
      <c r="X451" s="624"/>
      <c r="Y451" s="624"/>
      <c r="Z451" s="624"/>
      <c r="AA451" s="66"/>
      <c r="AB451" s="66"/>
      <c r="AC451" s="80"/>
    </row>
    <row r="452" spans="1:68" ht="16.5" customHeight="1" x14ac:dyDescent="0.25">
      <c r="A452" s="63" t="s">
        <v>704</v>
      </c>
      <c r="B452" s="63" t="s">
        <v>705</v>
      </c>
      <c r="C452" s="36">
        <v>4301051232</v>
      </c>
      <c r="D452" s="625">
        <v>4607091383409</v>
      </c>
      <c r="E452" s="625"/>
      <c r="F452" s="62">
        <v>1.3</v>
      </c>
      <c r="G452" s="37">
        <v>6</v>
      </c>
      <c r="H452" s="62">
        <v>7.8</v>
      </c>
      <c r="I452" s="62">
        <v>8.2759999999999998</v>
      </c>
      <c r="J452" s="37">
        <v>64</v>
      </c>
      <c r="K452" s="37" t="s">
        <v>121</v>
      </c>
      <c r="L452" s="37" t="s">
        <v>45</v>
      </c>
      <c r="M452" s="38" t="s">
        <v>93</v>
      </c>
      <c r="N452" s="38"/>
      <c r="O452" s="37">
        <v>45</v>
      </c>
      <c r="P452" s="85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627"/>
      <c r="R452" s="627"/>
      <c r="S452" s="627"/>
      <c r="T452" s="628"/>
      <c r="U452" s="39" t="s">
        <v>45</v>
      </c>
      <c r="V452" s="39" t="s">
        <v>703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45</v>
      </c>
      <c r="AB452" s="69" t="s">
        <v>45</v>
      </c>
      <c r="AC452" s="522" t="s">
        <v>706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customHeight="1" x14ac:dyDescent="0.25">
      <c r="A453" s="63" t="s">
        <v>707</v>
      </c>
      <c r="B453" s="63" t="s">
        <v>708</v>
      </c>
      <c r="C453" s="36">
        <v>4301051233</v>
      </c>
      <c r="D453" s="625">
        <v>4607091383416</v>
      </c>
      <c r="E453" s="625"/>
      <c r="F453" s="62">
        <v>1.3</v>
      </c>
      <c r="G453" s="37">
        <v>6</v>
      </c>
      <c r="H453" s="62">
        <v>7.8</v>
      </c>
      <c r="I453" s="62">
        <v>8.2759999999999998</v>
      </c>
      <c r="J453" s="37">
        <v>64</v>
      </c>
      <c r="K453" s="37" t="s">
        <v>121</v>
      </c>
      <c r="L453" s="37" t="s">
        <v>45</v>
      </c>
      <c r="M453" s="38" t="s">
        <v>93</v>
      </c>
      <c r="N453" s="38"/>
      <c r="O453" s="37">
        <v>45</v>
      </c>
      <c r="P453" s="85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627"/>
      <c r="R453" s="627"/>
      <c r="S453" s="627"/>
      <c r="T453" s="628"/>
      <c r="U453" s="39" t="s">
        <v>45</v>
      </c>
      <c r="V453" s="39" t="s">
        <v>703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45</v>
      </c>
      <c r="AB453" s="69" t="s">
        <v>45</v>
      </c>
      <c r="AC453" s="524" t="s">
        <v>709</v>
      </c>
      <c r="AG453" s="78"/>
      <c r="AJ453" s="84" t="s">
        <v>45</v>
      </c>
      <c r="AK453" s="84">
        <v>0</v>
      </c>
      <c r="BB453" s="525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710</v>
      </c>
      <c r="B454" s="63" t="s">
        <v>711</v>
      </c>
      <c r="C454" s="36">
        <v>4301051064</v>
      </c>
      <c r="D454" s="625">
        <v>4680115883536</v>
      </c>
      <c r="E454" s="625"/>
      <c r="F454" s="62">
        <v>0.3</v>
      </c>
      <c r="G454" s="37">
        <v>6</v>
      </c>
      <c r="H454" s="62">
        <v>1.8</v>
      </c>
      <c r="I454" s="62">
        <v>2.0459999999999998</v>
      </c>
      <c r="J454" s="37">
        <v>182</v>
      </c>
      <c r="K454" s="37" t="s">
        <v>84</v>
      </c>
      <c r="L454" s="37" t="s">
        <v>45</v>
      </c>
      <c r="M454" s="38" t="s">
        <v>93</v>
      </c>
      <c r="N454" s="38"/>
      <c r="O454" s="37">
        <v>45</v>
      </c>
      <c r="P454" s="85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627"/>
      <c r="R454" s="627"/>
      <c r="S454" s="627"/>
      <c r="T454" s="628"/>
      <c r="U454" s="39" t="s">
        <v>45</v>
      </c>
      <c r="V454" s="39" t="s">
        <v>45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IFERROR(IF(Y454=0,"",ROUNDUP(Y454/H454,0)*0.00651),"")</f>
        <v/>
      </c>
      <c r="AA454" s="68" t="s">
        <v>45</v>
      </c>
      <c r="AB454" s="69" t="s">
        <v>45</v>
      </c>
      <c r="AC454" s="526" t="s">
        <v>712</v>
      </c>
      <c r="AG454" s="78"/>
      <c r="AJ454" s="84" t="s">
        <v>45</v>
      </c>
      <c r="AK454" s="84">
        <v>0</v>
      </c>
      <c r="BB454" s="527" t="s">
        <v>66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x14ac:dyDescent="0.2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2" t="s">
        <v>39</v>
      </c>
      <c r="X455" s="43">
        <f>IFERROR(X452/H452,"0")+IFERROR(X453/H453,"0")+IFERROR(X454/H454,"0")</f>
        <v>0</v>
      </c>
      <c r="Y455" s="43">
        <f>IFERROR(Y452/H452,"0")+IFERROR(Y453/H453,"0")+IFERROR(Y454/H454,"0")</f>
        <v>0</v>
      </c>
      <c r="Z455" s="43">
        <f>IFERROR(IF(Z452="",0,Z452),"0")+IFERROR(IF(Z453="",0,Z453),"0")+IFERROR(IF(Z454="",0,Z454),"0")</f>
        <v>0</v>
      </c>
      <c r="AA455" s="67"/>
      <c r="AB455" s="67"/>
      <c r="AC455" s="67"/>
    </row>
    <row r="456" spans="1:68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0</v>
      </c>
      <c r="X456" s="43">
        <f>IFERROR(SUM(X452:X454),"0")</f>
        <v>0</v>
      </c>
      <c r="Y456" s="43">
        <f>IFERROR(SUM(Y452:Y454),"0")</f>
        <v>0</v>
      </c>
      <c r="Z456" s="42"/>
      <c r="AA456" s="67"/>
      <c r="AB456" s="67"/>
      <c r="AC456" s="67"/>
    </row>
    <row r="457" spans="1:68" ht="27.75" customHeight="1" x14ac:dyDescent="0.2">
      <c r="A457" s="622" t="s">
        <v>713</v>
      </c>
      <c r="B457" s="622"/>
      <c r="C457" s="622"/>
      <c r="D457" s="622"/>
      <c r="E457" s="622"/>
      <c r="F457" s="622"/>
      <c r="G457" s="622"/>
      <c r="H457" s="622"/>
      <c r="I457" s="622"/>
      <c r="J457" s="622"/>
      <c r="K457" s="622"/>
      <c r="L457" s="622"/>
      <c r="M457" s="622"/>
      <c r="N457" s="622"/>
      <c r="O457" s="622"/>
      <c r="P457" s="622"/>
      <c r="Q457" s="622"/>
      <c r="R457" s="622"/>
      <c r="S457" s="622"/>
      <c r="T457" s="622"/>
      <c r="U457" s="622"/>
      <c r="V457" s="622"/>
      <c r="W457" s="622"/>
      <c r="X457" s="622"/>
      <c r="Y457" s="622"/>
      <c r="Z457" s="622"/>
      <c r="AA457" s="54"/>
      <c r="AB457" s="54"/>
      <c r="AC457" s="54"/>
    </row>
    <row r="458" spans="1:68" ht="16.5" customHeight="1" x14ac:dyDescent="0.25">
      <c r="A458" s="623" t="s">
        <v>713</v>
      </c>
      <c r="B458" s="623"/>
      <c r="C458" s="623"/>
      <c r="D458" s="623"/>
      <c r="E458" s="623"/>
      <c r="F458" s="623"/>
      <c r="G458" s="623"/>
      <c r="H458" s="623"/>
      <c r="I458" s="623"/>
      <c r="J458" s="623"/>
      <c r="K458" s="623"/>
      <c r="L458" s="623"/>
      <c r="M458" s="623"/>
      <c r="N458" s="623"/>
      <c r="O458" s="623"/>
      <c r="P458" s="623"/>
      <c r="Q458" s="623"/>
      <c r="R458" s="623"/>
      <c r="S458" s="623"/>
      <c r="T458" s="623"/>
      <c r="U458" s="623"/>
      <c r="V458" s="623"/>
      <c r="W458" s="623"/>
      <c r="X458" s="623"/>
      <c r="Y458" s="623"/>
      <c r="Z458" s="623"/>
      <c r="AA458" s="65"/>
      <c r="AB458" s="65"/>
      <c r="AC458" s="79"/>
    </row>
    <row r="459" spans="1:68" ht="14.25" customHeight="1" x14ac:dyDescent="0.25">
      <c r="A459" s="624" t="s">
        <v>116</v>
      </c>
      <c r="B459" s="624"/>
      <c r="C459" s="624"/>
      <c r="D459" s="624"/>
      <c r="E459" s="624"/>
      <c r="F459" s="624"/>
      <c r="G459" s="624"/>
      <c r="H459" s="624"/>
      <c r="I459" s="624"/>
      <c r="J459" s="624"/>
      <c r="K459" s="624"/>
      <c r="L459" s="624"/>
      <c r="M459" s="624"/>
      <c r="N459" s="624"/>
      <c r="O459" s="624"/>
      <c r="P459" s="624"/>
      <c r="Q459" s="624"/>
      <c r="R459" s="624"/>
      <c r="S459" s="624"/>
      <c r="T459" s="624"/>
      <c r="U459" s="624"/>
      <c r="V459" s="624"/>
      <c r="W459" s="624"/>
      <c r="X459" s="624"/>
      <c r="Y459" s="624"/>
      <c r="Z459" s="624"/>
      <c r="AA459" s="66"/>
      <c r="AB459" s="66"/>
      <c r="AC459" s="80"/>
    </row>
    <row r="460" spans="1:68" ht="27" customHeight="1" x14ac:dyDescent="0.25">
      <c r="A460" s="63" t="s">
        <v>714</v>
      </c>
      <c r="B460" s="63" t="s">
        <v>715</v>
      </c>
      <c r="C460" s="36">
        <v>4301011763</v>
      </c>
      <c r="D460" s="625">
        <v>4640242181011</v>
      </c>
      <c r="E460" s="625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121</v>
      </c>
      <c r="L460" s="37" t="s">
        <v>45</v>
      </c>
      <c r="M460" s="38" t="s">
        <v>93</v>
      </c>
      <c r="N460" s="38"/>
      <c r="O460" s="37">
        <v>55</v>
      </c>
      <c r="P460" s="85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7"/>
      <c r="R460" s="627"/>
      <c r="S460" s="627"/>
      <c r="T460" s="628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716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717</v>
      </c>
      <c r="B461" s="63" t="s">
        <v>718</v>
      </c>
      <c r="C461" s="36">
        <v>4301011585</v>
      </c>
      <c r="D461" s="625">
        <v>4640242180441</v>
      </c>
      <c r="E461" s="625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121</v>
      </c>
      <c r="L461" s="37" t="s">
        <v>45</v>
      </c>
      <c r="M461" s="38" t="s">
        <v>120</v>
      </c>
      <c r="N461" s="38"/>
      <c r="O461" s="37">
        <v>50</v>
      </c>
      <c r="P461" s="85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7"/>
      <c r="R461" s="627"/>
      <c r="S461" s="627"/>
      <c r="T461" s="62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0" t="s">
        <v>719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720</v>
      </c>
      <c r="B462" s="63" t="s">
        <v>721</v>
      </c>
      <c r="C462" s="36">
        <v>4301011584</v>
      </c>
      <c r="D462" s="625">
        <v>4640242180564</v>
      </c>
      <c r="E462" s="625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121</v>
      </c>
      <c r="L462" s="37" t="s">
        <v>122</v>
      </c>
      <c r="M462" s="38" t="s">
        <v>120</v>
      </c>
      <c r="N462" s="38"/>
      <c r="O462" s="37">
        <v>50</v>
      </c>
      <c r="P462" s="85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7"/>
      <c r="R462" s="627"/>
      <c r="S462" s="627"/>
      <c r="T462" s="628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2" t="s">
        <v>722</v>
      </c>
      <c r="AG462" s="78"/>
      <c r="AJ462" s="84" t="s">
        <v>105</v>
      </c>
      <c r="AK462" s="84">
        <v>96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723</v>
      </c>
      <c r="B463" s="63" t="s">
        <v>724</v>
      </c>
      <c r="C463" s="36">
        <v>4301011764</v>
      </c>
      <c r="D463" s="625">
        <v>4640242181189</v>
      </c>
      <c r="E463" s="625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125</v>
      </c>
      <c r="L463" s="37" t="s">
        <v>45</v>
      </c>
      <c r="M463" s="38" t="s">
        <v>93</v>
      </c>
      <c r="N463" s="38"/>
      <c r="O463" s="37">
        <v>55</v>
      </c>
      <c r="P463" s="85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7"/>
      <c r="R463" s="627"/>
      <c r="S463" s="627"/>
      <c r="T463" s="628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34" t="s">
        <v>716</v>
      </c>
      <c r="AG463" s="78"/>
      <c r="AJ463" s="84" t="s">
        <v>45</v>
      </c>
      <c r="AK463" s="84">
        <v>0</v>
      </c>
      <c r="BB463" s="535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33"/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4"/>
      <c r="P464" s="630" t="s">
        <v>40</v>
      </c>
      <c r="Q464" s="631"/>
      <c r="R464" s="631"/>
      <c r="S464" s="631"/>
      <c r="T464" s="631"/>
      <c r="U464" s="631"/>
      <c r="V464" s="632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633"/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4"/>
      <c r="P465" s="630" t="s">
        <v>40</v>
      </c>
      <c r="Q465" s="631"/>
      <c r="R465" s="631"/>
      <c r="S465" s="631"/>
      <c r="T465" s="631"/>
      <c r="U465" s="631"/>
      <c r="V465" s="632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customHeight="1" x14ac:dyDescent="0.25">
      <c r="A466" s="624" t="s">
        <v>151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6"/>
      <c r="AB466" s="66"/>
      <c r="AC466" s="80"/>
    </row>
    <row r="467" spans="1:68" ht="27" customHeight="1" x14ac:dyDescent="0.25">
      <c r="A467" s="63" t="s">
        <v>725</v>
      </c>
      <c r="B467" s="63" t="s">
        <v>726</v>
      </c>
      <c r="C467" s="36">
        <v>4301020400</v>
      </c>
      <c r="D467" s="625">
        <v>4640242180519</v>
      </c>
      <c r="E467" s="625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121</v>
      </c>
      <c r="L467" s="37" t="s">
        <v>45</v>
      </c>
      <c r="M467" s="38" t="s">
        <v>120</v>
      </c>
      <c r="N467" s="38"/>
      <c r="O467" s="37">
        <v>50</v>
      </c>
      <c r="P467" s="85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7"/>
      <c r="R467" s="627"/>
      <c r="S467" s="627"/>
      <c r="T467" s="62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36" t="s">
        <v>727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728</v>
      </c>
      <c r="B468" s="63" t="s">
        <v>729</v>
      </c>
      <c r="C468" s="36">
        <v>4301020260</v>
      </c>
      <c r="D468" s="625">
        <v>4640242180526</v>
      </c>
      <c r="E468" s="625"/>
      <c r="F468" s="62">
        <v>1.8</v>
      </c>
      <c r="G468" s="37">
        <v>6</v>
      </c>
      <c r="H468" s="62">
        <v>10.8</v>
      </c>
      <c r="I468" s="62">
        <v>11.21</v>
      </c>
      <c r="J468" s="37">
        <v>64</v>
      </c>
      <c r="K468" s="37" t="s">
        <v>121</v>
      </c>
      <c r="L468" s="37" t="s">
        <v>45</v>
      </c>
      <c r="M468" s="38" t="s">
        <v>120</v>
      </c>
      <c r="N468" s="38"/>
      <c r="O468" s="37">
        <v>50</v>
      </c>
      <c r="P468" s="85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627"/>
      <c r="R468" s="627"/>
      <c r="S468" s="627"/>
      <c r="T468" s="628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45</v>
      </c>
      <c r="AB468" s="69" t="s">
        <v>45</v>
      </c>
      <c r="AC468" s="538" t="s">
        <v>730</v>
      </c>
      <c r="AG468" s="78"/>
      <c r="AJ468" s="84" t="s">
        <v>45</v>
      </c>
      <c r="AK468" s="84">
        <v>0</v>
      </c>
      <c r="BB468" s="539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731</v>
      </c>
      <c r="B469" s="63" t="s">
        <v>732</v>
      </c>
      <c r="C469" s="36">
        <v>4301020295</v>
      </c>
      <c r="D469" s="625">
        <v>4640242181363</v>
      </c>
      <c r="E469" s="625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125</v>
      </c>
      <c r="L469" s="37" t="s">
        <v>45</v>
      </c>
      <c r="M469" s="38" t="s">
        <v>120</v>
      </c>
      <c r="N469" s="38"/>
      <c r="O469" s="37">
        <v>50</v>
      </c>
      <c r="P469" s="860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627"/>
      <c r="R469" s="627"/>
      <c r="S469" s="627"/>
      <c r="T469" s="628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45</v>
      </c>
      <c r="AB469" s="69" t="s">
        <v>45</v>
      </c>
      <c r="AC469" s="540" t="s">
        <v>733</v>
      </c>
      <c r="AG469" s="78"/>
      <c r="AJ469" s="84" t="s">
        <v>45</v>
      </c>
      <c r="AK469" s="84">
        <v>0</v>
      </c>
      <c r="BB469" s="541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33"/>
      <c r="B470" s="633"/>
      <c r="C470" s="633"/>
      <c r="D470" s="633"/>
      <c r="E470" s="633"/>
      <c r="F470" s="633"/>
      <c r="G470" s="633"/>
      <c r="H470" s="633"/>
      <c r="I470" s="633"/>
      <c r="J470" s="633"/>
      <c r="K470" s="633"/>
      <c r="L470" s="633"/>
      <c r="M470" s="633"/>
      <c r="N470" s="633"/>
      <c r="O470" s="634"/>
      <c r="P470" s="630" t="s">
        <v>40</v>
      </c>
      <c r="Q470" s="631"/>
      <c r="R470" s="631"/>
      <c r="S470" s="631"/>
      <c r="T470" s="631"/>
      <c r="U470" s="631"/>
      <c r="V470" s="632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x14ac:dyDescent="0.2">
      <c r="A471" s="633"/>
      <c r="B471" s="633"/>
      <c r="C471" s="633"/>
      <c r="D471" s="633"/>
      <c r="E471" s="633"/>
      <c r="F471" s="633"/>
      <c r="G471" s="633"/>
      <c r="H471" s="633"/>
      <c r="I471" s="633"/>
      <c r="J471" s="633"/>
      <c r="K471" s="633"/>
      <c r="L471" s="633"/>
      <c r="M471" s="633"/>
      <c r="N471" s="633"/>
      <c r="O471" s="634"/>
      <c r="P471" s="630" t="s">
        <v>40</v>
      </c>
      <c r="Q471" s="631"/>
      <c r="R471" s="631"/>
      <c r="S471" s="631"/>
      <c r="T471" s="631"/>
      <c r="U471" s="631"/>
      <c r="V471" s="632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14.25" customHeight="1" x14ac:dyDescent="0.25">
      <c r="A472" s="624" t="s">
        <v>78</v>
      </c>
      <c r="B472" s="624"/>
      <c r="C472" s="624"/>
      <c r="D472" s="624"/>
      <c r="E472" s="624"/>
      <c r="F472" s="624"/>
      <c r="G472" s="624"/>
      <c r="H472" s="624"/>
      <c r="I472" s="624"/>
      <c r="J472" s="624"/>
      <c r="K472" s="624"/>
      <c r="L472" s="624"/>
      <c r="M472" s="624"/>
      <c r="N472" s="624"/>
      <c r="O472" s="624"/>
      <c r="P472" s="624"/>
      <c r="Q472" s="624"/>
      <c r="R472" s="624"/>
      <c r="S472" s="624"/>
      <c r="T472" s="624"/>
      <c r="U472" s="624"/>
      <c r="V472" s="624"/>
      <c r="W472" s="624"/>
      <c r="X472" s="624"/>
      <c r="Y472" s="624"/>
      <c r="Z472" s="624"/>
      <c r="AA472" s="66"/>
      <c r="AB472" s="66"/>
      <c r="AC472" s="80"/>
    </row>
    <row r="473" spans="1:68" ht="27" customHeight="1" x14ac:dyDescent="0.25">
      <c r="A473" s="63" t="s">
        <v>734</v>
      </c>
      <c r="B473" s="63" t="s">
        <v>735</v>
      </c>
      <c r="C473" s="36">
        <v>4301031280</v>
      </c>
      <c r="D473" s="625">
        <v>4640242180816</v>
      </c>
      <c r="E473" s="62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125</v>
      </c>
      <c r="L473" s="37" t="s">
        <v>126</v>
      </c>
      <c r="M473" s="38" t="s">
        <v>83</v>
      </c>
      <c r="N473" s="38"/>
      <c r="O473" s="37">
        <v>40</v>
      </c>
      <c r="P473" s="86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627"/>
      <c r="R473" s="627"/>
      <c r="S473" s="627"/>
      <c r="T473" s="628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45</v>
      </c>
      <c r="AB473" s="69" t="s">
        <v>45</v>
      </c>
      <c r="AC473" s="542" t="s">
        <v>736</v>
      </c>
      <c r="AG473" s="78"/>
      <c r="AJ473" s="84" t="s">
        <v>105</v>
      </c>
      <c r="AK473" s="84">
        <v>50.4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t="27" customHeight="1" x14ac:dyDescent="0.25">
      <c r="A474" s="63" t="s">
        <v>737</v>
      </c>
      <c r="B474" s="63" t="s">
        <v>738</v>
      </c>
      <c r="C474" s="36">
        <v>4301031244</v>
      </c>
      <c r="D474" s="625">
        <v>4640242180595</v>
      </c>
      <c r="E474" s="625"/>
      <c r="F474" s="62">
        <v>0.7</v>
      </c>
      <c r="G474" s="37">
        <v>6</v>
      </c>
      <c r="H474" s="62">
        <v>4.2</v>
      </c>
      <c r="I474" s="62">
        <v>4.45</v>
      </c>
      <c r="J474" s="37">
        <v>132</v>
      </c>
      <c r="K474" s="37" t="s">
        <v>125</v>
      </c>
      <c r="L474" s="37" t="s">
        <v>126</v>
      </c>
      <c r="M474" s="38" t="s">
        <v>83</v>
      </c>
      <c r="N474" s="38"/>
      <c r="O474" s="37">
        <v>40</v>
      </c>
      <c r="P474" s="86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627"/>
      <c r="R474" s="627"/>
      <c r="S474" s="627"/>
      <c r="T474" s="628"/>
      <c r="U474" s="39" t="s">
        <v>45</v>
      </c>
      <c r="V474" s="39" t="s">
        <v>45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IFERROR(IF(Y474=0,"",ROUNDUP(Y474/H474,0)*0.00902),"")</f>
        <v/>
      </c>
      <c r="AA474" s="68" t="s">
        <v>45</v>
      </c>
      <c r="AB474" s="69" t="s">
        <v>45</v>
      </c>
      <c r="AC474" s="544" t="s">
        <v>739</v>
      </c>
      <c r="AG474" s="78"/>
      <c r="AJ474" s="84" t="s">
        <v>105</v>
      </c>
      <c r="AK474" s="84">
        <v>50.4</v>
      </c>
      <c r="BB474" s="545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633"/>
      <c r="B475" s="633"/>
      <c r="C475" s="633"/>
      <c r="D475" s="633"/>
      <c r="E475" s="633"/>
      <c r="F475" s="633"/>
      <c r="G475" s="633"/>
      <c r="H475" s="633"/>
      <c r="I475" s="633"/>
      <c r="J475" s="633"/>
      <c r="K475" s="633"/>
      <c r="L475" s="633"/>
      <c r="M475" s="633"/>
      <c r="N475" s="633"/>
      <c r="O475" s="634"/>
      <c r="P475" s="630" t="s">
        <v>40</v>
      </c>
      <c r="Q475" s="631"/>
      <c r="R475" s="631"/>
      <c r="S475" s="631"/>
      <c r="T475" s="631"/>
      <c r="U475" s="631"/>
      <c r="V475" s="632"/>
      <c r="W475" s="42" t="s">
        <v>39</v>
      </c>
      <c r="X475" s="43">
        <f>IFERROR(X473/H473,"0")+IFERROR(X474/H474,"0")</f>
        <v>0</v>
      </c>
      <c r="Y475" s="43">
        <f>IFERROR(Y473/H473,"0")+IFERROR(Y474/H474,"0")</f>
        <v>0</v>
      </c>
      <c r="Z475" s="43">
        <f>IFERROR(IF(Z473="",0,Z473),"0")+IFERROR(IF(Z474="",0,Z474),"0")</f>
        <v>0</v>
      </c>
      <c r="AA475" s="67"/>
      <c r="AB475" s="67"/>
      <c r="AC475" s="67"/>
    </row>
    <row r="476" spans="1:68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0</v>
      </c>
      <c r="X476" s="43">
        <f>IFERROR(SUM(X473:X474),"0")</f>
        <v>0</v>
      </c>
      <c r="Y476" s="43">
        <f>IFERROR(SUM(Y473:Y474),"0")</f>
        <v>0</v>
      </c>
      <c r="Z476" s="42"/>
      <c r="AA476" s="67"/>
      <c r="AB476" s="67"/>
      <c r="AC476" s="67"/>
    </row>
    <row r="477" spans="1:68" ht="14.25" customHeight="1" x14ac:dyDescent="0.25">
      <c r="A477" s="624" t="s">
        <v>89</v>
      </c>
      <c r="B477" s="624"/>
      <c r="C477" s="624"/>
      <c r="D477" s="624"/>
      <c r="E477" s="624"/>
      <c r="F477" s="624"/>
      <c r="G477" s="624"/>
      <c r="H477" s="624"/>
      <c r="I477" s="624"/>
      <c r="J477" s="624"/>
      <c r="K477" s="624"/>
      <c r="L477" s="624"/>
      <c r="M477" s="624"/>
      <c r="N477" s="624"/>
      <c r="O477" s="624"/>
      <c r="P477" s="624"/>
      <c r="Q477" s="624"/>
      <c r="R477" s="624"/>
      <c r="S477" s="624"/>
      <c r="T477" s="624"/>
      <c r="U477" s="624"/>
      <c r="V477" s="624"/>
      <c r="W477" s="624"/>
      <c r="X477" s="624"/>
      <c r="Y477" s="624"/>
      <c r="Z477" s="624"/>
      <c r="AA477" s="66"/>
      <c r="AB477" s="66"/>
      <c r="AC477" s="80"/>
    </row>
    <row r="478" spans="1:68" ht="27" customHeight="1" x14ac:dyDescent="0.25">
      <c r="A478" s="63" t="s">
        <v>740</v>
      </c>
      <c r="B478" s="63" t="s">
        <v>741</v>
      </c>
      <c r="C478" s="36">
        <v>4301052046</v>
      </c>
      <c r="D478" s="625">
        <v>4640242180533</v>
      </c>
      <c r="E478" s="625"/>
      <c r="F478" s="62">
        <v>1.5</v>
      </c>
      <c r="G478" s="37">
        <v>6</v>
      </c>
      <c r="H478" s="62">
        <v>9</v>
      </c>
      <c r="I478" s="62">
        <v>9.4939999999999998</v>
      </c>
      <c r="J478" s="37">
        <v>64</v>
      </c>
      <c r="K478" s="37" t="s">
        <v>121</v>
      </c>
      <c r="L478" s="37" t="s">
        <v>122</v>
      </c>
      <c r="M478" s="38" t="s">
        <v>100</v>
      </c>
      <c r="N478" s="38"/>
      <c r="O478" s="37">
        <v>45</v>
      </c>
      <c r="P478" s="8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627"/>
      <c r="R478" s="627"/>
      <c r="S478" s="627"/>
      <c r="T478" s="628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IFERROR(IF(Y478=0,"",ROUNDUP(Y478/H478,0)*0.01898),"")</f>
        <v/>
      </c>
      <c r="AA478" s="68" t="s">
        <v>45</v>
      </c>
      <c r="AB478" s="69" t="s">
        <v>45</v>
      </c>
      <c r="AC478" s="546" t="s">
        <v>742</v>
      </c>
      <c r="AG478" s="78"/>
      <c r="AJ478" s="84" t="s">
        <v>105</v>
      </c>
      <c r="AK478" s="84">
        <v>72</v>
      </c>
      <c r="BB478" s="547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33"/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4"/>
      <c r="P479" s="630" t="s">
        <v>40</v>
      </c>
      <c r="Q479" s="631"/>
      <c r="R479" s="631"/>
      <c r="S479" s="631"/>
      <c r="T479" s="631"/>
      <c r="U479" s="631"/>
      <c r="V479" s="632"/>
      <c r="W479" s="42" t="s">
        <v>39</v>
      </c>
      <c r="X479" s="43">
        <f>IFERROR(X478/H478,"0")</f>
        <v>0</v>
      </c>
      <c r="Y479" s="43">
        <f>IFERROR(Y478/H478,"0")</f>
        <v>0</v>
      </c>
      <c r="Z479" s="43">
        <f>IFERROR(IF(Z478="",0,Z478),"0")</f>
        <v>0</v>
      </c>
      <c r="AA479" s="67"/>
      <c r="AB479" s="67"/>
      <c r="AC479" s="67"/>
    </row>
    <row r="480" spans="1:68" x14ac:dyDescent="0.2">
      <c r="A480" s="633"/>
      <c r="B480" s="633"/>
      <c r="C480" s="633"/>
      <c r="D480" s="633"/>
      <c r="E480" s="633"/>
      <c r="F480" s="633"/>
      <c r="G480" s="633"/>
      <c r="H480" s="633"/>
      <c r="I480" s="633"/>
      <c r="J480" s="633"/>
      <c r="K480" s="633"/>
      <c r="L480" s="633"/>
      <c r="M480" s="633"/>
      <c r="N480" s="633"/>
      <c r="O480" s="634"/>
      <c r="P480" s="630" t="s">
        <v>40</v>
      </c>
      <c r="Q480" s="631"/>
      <c r="R480" s="631"/>
      <c r="S480" s="631"/>
      <c r="T480" s="631"/>
      <c r="U480" s="631"/>
      <c r="V480" s="632"/>
      <c r="W480" s="42" t="s">
        <v>0</v>
      </c>
      <c r="X480" s="43">
        <f>IFERROR(SUM(X478:X478),"0")</f>
        <v>0</v>
      </c>
      <c r="Y480" s="43">
        <f>IFERROR(SUM(Y478:Y478),"0")</f>
        <v>0</v>
      </c>
      <c r="Z480" s="42"/>
      <c r="AA480" s="67"/>
      <c r="AB480" s="67"/>
      <c r="AC480" s="67"/>
    </row>
    <row r="481" spans="1:68" ht="14.25" customHeight="1" x14ac:dyDescent="0.25">
      <c r="A481" s="624" t="s">
        <v>179</v>
      </c>
      <c r="B481" s="624"/>
      <c r="C481" s="624"/>
      <c r="D481" s="624"/>
      <c r="E481" s="624"/>
      <c r="F481" s="624"/>
      <c r="G481" s="624"/>
      <c r="H481" s="624"/>
      <c r="I481" s="624"/>
      <c r="J481" s="624"/>
      <c r="K481" s="624"/>
      <c r="L481" s="624"/>
      <c r="M481" s="624"/>
      <c r="N481" s="624"/>
      <c r="O481" s="624"/>
      <c r="P481" s="624"/>
      <c r="Q481" s="624"/>
      <c r="R481" s="624"/>
      <c r="S481" s="624"/>
      <c r="T481" s="624"/>
      <c r="U481" s="624"/>
      <c r="V481" s="624"/>
      <c r="W481" s="624"/>
      <c r="X481" s="624"/>
      <c r="Y481" s="624"/>
      <c r="Z481" s="624"/>
      <c r="AA481" s="66"/>
      <c r="AB481" s="66"/>
      <c r="AC481" s="80"/>
    </row>
    <row r="482" spans="1:68" ht="27" customHeight="1" x14ac:dyDescent="0.25">
      <c r="A482" s="63" t="s">
        <v>743</v>
      </c>
      <c r="B482" s="63" t="s">
        <v>744</v>
      </c>
      <c r="C482" s="36">
        <v>4301060491</v>
      </c>
      <c r="D482" s="625">
        <v>4640242180120</v>
      </c>
      <c r="E482" s="625"/>
      <c r="F482" s="62">
        <v>1.5</v>
      </c>
      <c r="G482" s="37">
        <v>6</v>
      </c>
      <c r="H482" s="62">
        <v>9</v>
      </c>
      <c r="I482" s="62">
        <v>9.41</v>
      </c>
      <c r="J482" s="37">
        <v>64</v>
      </c>
      <c r="K482" s="37" t="s">
        <v>121</v>
      </c>
      <c r="L482" s="37" t="s">
        <v>45</v>
      </c>
      <c r="M482" s="38" t="s">
        <v>93</v>
      </c>
      <c r="N482" s="38"/>
      <c r="O482" s="37">
        <v>40</v>
      </c>
      <c r="P482" s="8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627"/>
      <c r="R482" s="627"/>
      <c r="S482" s="627"/>
      <c r="T482" s="628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48" t="s">
        <v>745</v>
      </c>
      <c r="AG482" s="78"/>
      <c r="AJ482" s="84" t="s">
        <v>45</v>
      </c>
      <c r="AK482" s="84">
        <v>0</v>
      </c>
      <c r="BB482" s="549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customHeight="1" x14ac:dyDescent="0.25">
      <c r="A483" s="63" t="s">
        <v>746</v>
      </c>
      <c r="B483" s="63" t="s">
        <v>747</v>
      </c>
      <c r="C483" s="36">
        <v>4301060493</v>
      </c>
      <c r="D483" s="625">
        <v>4640242180137</v>
      </c>
      <c r="E483" s="625"/>
      <c r="F483" s="62">
        <v>1.5</v>
      </c>
      <c r="G483" s="37">
        <v>6</v>
      </c>
      <c r="H483" s="62">
        <v>9</v>
      </c>
      <c r="I483" s="62">
        <v>9.41</v>
      </c>
      <c r="J483" s="37">
        <v>64</v>
      </c>
      <c r="K483" s="37" t="s">
        <v>121</v>
      </c>
      <c r="L483" s="37" t="s">
        <v>45</v>
      </c>
      <c r="M483" s="38" t="s">
        <v>93</v>
      </c>
      <c r="N483" s="38"/>
      <c r="O483" s="37">
        <v>40</v>
      </c>
      <c r="P483" s="8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627"/>
      <c r="R483" s="627"/>
      <c r="S483" s="627"/>
      <c r="T483" s="628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50" t="s">
        <v>748</v>
      </c>
      <c r="AG483" s="78"/>
      <c r="AJ483" s="84" t="s">
        <v>45</v>
      </c>
      <c r="AK483" s="84">
        <v>0</v>
      </c>
      <c r="BB483" s="551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33"/>
      <c r="B484" s="633"/>
      <c r="C484" s="633"/>
      <c r="D484" s="633"/>
      <c r="E484" s="633"/>
      <c r="F484" s="633"/>
      <c r="G484" s="633"/>
      <c r="H484" s="633"/>
      <c r="I484" s="633"/>
      <c r="J484" s="633"/>
      <c r="K484" s="633"/>
      <c r="L484" s="633"/>
      <c r="M484" s="633"/>
      <c r="N484" s="633"/>
      <c r="O484" s="634"/>
      <c r="P484" s="630" t="s">
        <v>40</v>
      </c>
      <c r="Q484" s="631"/>
      <c r="R484" s="631"/>
      <c r="S484" s="631"/>
      <c r="T484" s="631"/>
      <c r="U484" s="631"/>
      <c r="V484" s="63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x14ac:dyDescent="0.2">
      <c r="A485" s="633"/>
      <c r="B485" s="633"/>
      <c r="C485" s="633"/>
      <c r="D485" s="633"/>
      <c r="E485" s="633"/>
      <c r="F485" s="633"/>
      <c r="G485" s="633"/>
      <c r="H485" s="633"/>
      <c r="I485" s="633"/>
      <c r="J485" s="633"/>
      <c r="K485" s="633"/>
      <c r="L485" s="633"/>
      <c r="M485" s="633"/>
      <c r="N485" s="633"/>
      <c r="O485" s="634"/>
      <c r="P485" s="630" t="s">
        <v>40</v>
      </c>
      <c r="Q485" s="631"/>
      <c r="R485" s="631"/>
      <c r="S485" s="631"/>
      <c r="T485" s="631"/>
      <c r="U485" s="631"/>
      <c r="V485" s="63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customHeight="1" x14ac:dyDescent="0.25">
      <c r="A486" s="623" t="s">
        <v>749</v>
      </c>
      <c r="B486" s="623"/>
      <c r="C486" s="623"/>
      <c r="D486" s="623"/>
      <c r="E486" s="623"/>
      <c r="F486" s="623"/>
      <c r="G486" s="623"/>
      <c r="H486" s="623"/>
      <c r="I486" s="623"/>
      <c r="J486" s="623"/>
      <c r="K486" s="623"/>
      <c r="L486" s="623"/>
      <c r="M486" s="623"/>
      <c r="N486" s="623"/>
      <c r="O486" s="623"/>
      <c r="P486" s="623"/>
      <c r="Q486" s="623"/>
      <c r="R486" s="623"/>
      <c r="S486" s="623"/>
      <c r="T486" s="623"/>
      <c r="U486" s="623"/>
      <c r="V486" s="623"/>
      <c r="W486" s="623"/>
      <c r="X486" s="623"/>
      <c r="Y486" s="623"/>
      <c r="Z486" s="623"/>
      <c r="AA486" s="65"/>
      <c r="AB486" s="65"/>
      <c r="AC486" s="79"/>
    </row>
    <row r="487" spans="1:68" ht="14.25" customHeight="1" x14ac:dyDescent="0.25">
      <c r="A487" s="624" t="s">
        <v>151</v>
      </c>
      <c r="B487" s="624"/>
      <c r="C487" s="624"/>
      <c r="D487" s="624"/>
      <c r="E487" s="624"/>
      <c r="F487" s="624"/>
      <c r="G487" s="624"/>
      <c r="H487" s="624"/>
      <c r="I487" s="624"/>
      <c r="J487" s="624"/>
      <c r="K487" s="624"/>
      <c r="L487" s="624"/>
      <c r="M487" s="624"/>
      <c r="N487" s="624"/>
      <c r="O487" s="624"/>
      <c r="P487" s="624"/>
      <c r="Q487" s="624"/>
      <c r="R487" s="624"/>
      <c r="S487" s="624"/>
      <c r="T487" s="624"/>
      <c r="U487" s="624"/>
      <c r="V487" s="624"/>
      <c r="W487" s="624"/>
      <c r="X487" s="624"/>
      <c r="Y487" s="624"/>
      <c r="Z487" s="624"/>
      <c r="AA487" s="66"/>
      <c r="AB487" s="66"/>
      <c r="AC487" s="80"/>
    </row>
    <row r="488" spans="1:68" ht="27" customHeight="1" x14ac:dyDescent="0.25">
      <c r="A488" s="63" t="s">
        <v>750</v>
      </c>
      <c r="B488" s="63" t="s">
        <v>751</v>
      </c>
      <c r="C488" s="36">
        <v>4301020314</v>
      </c>
      <c r="D488" s="625">
        <v>4640242180090</v>
      </c>
      <c r="E488" s="625"/>
      <c r="F488" s="62">
        <v>1.5</v>
      </c>
      <c r="G488" s="37">
        <v>8</v>
      </c>
      <c r="H488" s="62">
        <v>12</v>
      </c>
      <c r="I488" s="62">
        <v>12.41</v>
      </c>
      <c r="J488" s="37">
        <v>64</v>
      </c>
      <c r="K488" s="37" t="s">
        <v>121</v>
      </c>
      <c r="L488" s="37" t="s">
        <v>45</v>
      </c>
      <c r="M488" s="38" t="s">
        <v>120</v>
      </c>
      <c r="N488" s="38"/>
      <c r="O488" s="37">
        <v>50</v>
      </c>
      <c r="P488" s="86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627"/>
      <c r="R488" s="627"/>
      <c r="S488" s="627"/>
      <c r="T488" s="628"/>
      <c r="U488" s="39" t="s">
        <v>45</v>
      </c>
      <c r="V488" s="39" t="s">
        <v>45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IFERROR(IF(Y488=0,"",ROUNDUP(Y488/H488,0)*0.01898),"")</f>
        <v/>
      </c>
      <c r="AA488" s="68" t="s">
        <v>45</v>
      </c>
      <c r="AB488" s="69" t="s">
        <v>45</v>
      </c>
      <c r="AC488" s="552" t="s">
        <v>752</v>
      </c>
      <c r="AG488" s="78"/>
      <c r="AJ488" s="84" t="s">
        <v>45</v>
      </c>
      <c r="AK488" s="84">
        <v>0</v>
      </c>
      <c r="BB488" s="55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33"/>
      <c r="B489" s="633"/>
      <c r="C489" s="633"/>
      <c r="D489" s="633"/>
      <c r="E489" s="633"/>
      <c r="F489" s="633"/>
      <c r="G489" s="633"/>
      <c r="H489" s="633"/>
      <c r="I489" s="633"/>
      <c r="J489" s="633"/>
      <c r="K489" s="633"/>
      <c r="L489" s="633"/>
      <c r="M489" s="633"/>
      <c r="N489" s="633"/>
      <c r="O489" s="634"/>
      <c r="P489" s="630" t="s">
        <v>40</v>
      </c>
      <c r="Q489" s="631"/>
      <c r="R489" s="631"/>
      <c r="S489" s="631"/>
      <c r="T489" s="631"/>
      <c r="U489" s="631"/>
      <c r="V489" s="63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x14ac:dyDescent="0.2">
      <c r="A490" s="633"/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4"/>
      <c r="P490" s="630" t="s">
        <v>40</v>
      </c>
      <c r="Q490" s="631"/>
      <c r="R490" s="631"/>
      <c r="S490" s="631"/>
      <c r="T490" s="631"/>
      <c r="U490" s="631"/>
      <c r="V490" s="63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5" customHeight="1" x14ac:dyDescent="0.2">
      <c r="A491" s="633"/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870"/>
      <c r="P491" s="867" t="s">
        <v>33</v>
      </c>
      <c r="Q491" s="868"/>
      <c r="R491" s="868"/>
      <c r="S491" s="868"/>
      <c r="T491" s="868"/>
      <c r="U491" s="868"/>
      <c r="V491" s="869"/>
      <c r="W491" s="42" t="s">
        <v>0</v>
      </c>
      <c r="X491" s="43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0</v>
      </c>
      <c r="Y491" s="43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0</v>
      </c>
      <c r="Z491" s="42"/>
      <c r="AA491" s="67"/>
      <c r="AB491" s="67"/>
      <c r="AC491" s="67"/>
    </row>
    <row r="492" spans="1:68" x14ac:dyDescent="0.2">
      <c r="A492" s="633"/>
      <c r="B492" s="633"/>
      <c r="C492" s="633"/>
      <c r="D492" s="633"/>
      <c r="E492" s="633"/>
      <c r="F492" s="633"/>
      <c r="G492" s="633"/>
      <c r="H492" s="633"/>
      <c r="I492" s="633"/>
      <c r="J492" s="633"/>
      <c r="K492" s="633"/>
      <c r="L492" s="633"/>
      <c r="M492" s="633"/>
      <c r="N492" s="633"/>
      <c r="O492" s="870"/>
      <c r="P492" s="867" t="s">
        <v>34</v>
      </c>
      <c r="Q492" s="868"/>
      <c r="R492" s="868"/>
      <c r="S492" s="868"/>
      <c r="T492" s="868"/>
      <c r="U492" s="868"/>
      <c r="V492" s="869"/>
      <c r="W492" s="42" t="s">
        <v>0</v>
      </c>
      <c r="X492" s="43">
        <f>IFERROR(SUM(BM22:BM488),"0")</f>
        <v>0</v>
      </c>
      <c r="Y492" s="43">
        <f>IFERROR(SUM(BN22:BN488),"0")</f>
        <v>0</v>
      </c>
      <c r="Z492" s="42"/>
      <c r="AA492" s="67"/>
      <c r="AB492" s="67"/>
      <c r="AC492" s="67"/>
    </row>
    <row r="493" spans="1:68" x14ac:dyDescent="0.2">
      <c r="A493" s="633"/>
      <c r="B493" s="633"/>
      <c r="C493" s="633"/>
      <c r="D493" s="633"/>
      <c r="E493" s="633"/>
      <c r="F493" s="633"/>
      <c r="G493" s="633"/>
      <c r="H493" s="633"/>
      <c r="I493" s="633"/>
      <c r="J493" s="633"/>
      <c r="K493" s="633"/>
      <c r="L493" s="633"/>
      <c r="M493" s="633"/>
      <c r="N493" s="633"/>
      <c r="O493" s="870"/>
      <c r="P493" s="867" t="s">
        <v>35</v>
      </c>
      <c r="Q493" s="868"/>
      <c r="R493" s="868"/>
      <c r="S493" s="868"/>
      <c r="T493" s="868"/>
      <c r="U493" s="868"/>
      <c r="V493" s="869"/>
      <c r="W493" s="42" t="s">
        <v>20</v>
      </c>
      <c r="X493" s="44">
        <f>ROUNDUP(SUM(BO22:BO488),0)</f>
        <v>0</v>
      </c>
      <c r="Y493" s="44">
        <f>ROUNDUP(SUM(BP22:BP488),0)</f>
        <v>0</v>
      </c>
      <c r="Z493" s="42"/>
      <c r="AA493" s="67"/>
      <c r="AB493" s="67"/>
      <c r="AC493" s="67"/>
    </row>
    <row r="494" spans="1:68" x14ac:dyDescent="0.2">
      <c r="A494" s="633"/>
      <c r="B494" s="633"/>
      <c r="C494" s="633"/>
      <c r="D494" s="633"/>
      <c r="E494" s="633"/>
      <c r="F494" s="633"/>
      <c r="G494" s="633"/>
      <c r="H494" s="633"/>
      <c r="I494" s="633"/>
      <c r="J494" s="633"/>
      <c r="K494" s="633"/>
      <c r="L494" s="633"/>
      <c r="M494" s="633"/>
      <c r="N494" s="633"/>
      <c r="O494" s="870"/>
      <c r="P494" s="867" t="s">
        <v>36</v>
      </c>
      <c r="Q494" s="868"/>
      <c r="R494" s="868"/>
      <c r="S494" s="868"/>
      <c r="T494" s="868"/>
      <c r="U494" s="868"/>
      <c r="V494" s="869"/>
      <c r="W494" s="42" t="s">
        <v>0</v>
      </c>
      <c r="X494" s="43">
        <f>GrossWeightTotal+PalletQtyTotal*25</f>
        <v>0</v>
      </c>
      <c r="Y494" s="43">
        <f>GrossWeightTotalR+PalletQtyTotalR*25</f>
        <v>0</v>
      </c>
      <c r="Z494" s="42"/>
      <c r="AA494" s="67"/>
      <c r="AB494" s="67"/>
      <c r="AC494" s="67"/>
    </row>
    <row r="495" spans="1:68" x14ac:dyDescent="0.2">
      <c r="A495" s="633"/>
      <c r="B495" s="633"/>
      <c r="C495" s="633"/>
      <c r="D495" s="633"/>
      <c r="E495" s="633"/>
      <c r="F495" s="633"/>
      <c r="G495" s="633"/>
      <c r="H495" s="633"/>
      <c r="I495" s="633"/>
      <c r="J495" s="633"/>
      <c r="K495" s="633"/>
      <c r="L495" s="633"/>
      <c r="M495" s="633"/>
      <c r="N495" s="633"/>
      <c r="O495" s="870"/>
      <c r="P495" s="867" t="s">
        <v>37</v>
      </c>
      <c r="Q495" s="868"/>
      <c r="R495" s="868"/>
      <c r="S495" s="868"/>
      <c r="T495" s="868"/>
      <c r="U495" s="868"/>
      <c r="V495" s="869"/>
      <c r="W495" s="42" t="s">
        <v>20</v>
      </c>
      <c r="X495" s="43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0</v>
      </c>
      <c r="Y495" s="43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0</v>
      </c>
      <c r="Z495" s="42"/>
      <c r="AA495" s="67"/>
      <c r="AB495" s="67"/>
      <c r="AC495" s="67"/>
    </row>
    <row r="496" spans="1:68" ht="14.25" x14ac:dyDescent="0.2">
      <c r="A496" s="633"/>
      <c r="B496" s="633"/>
      <c r="C496" s="633"/>
      <c r="D496" s="633"/>
      <c r="E496" s="633"/>
      <c r="F496" s="633"/>
      <c r="G496" s="633"/>
      <c r="H496" s="633"/>
      <c r="I496" s="633"/>
      <c r="J496" s="633"/>
      <c r="K496" s="633"/>
      <c r="L496" s="633"/>
      <c r="M496" s="633"/>
      <c r="N496" s="633"/>
      <c r="O496" s="870"/>
      <c r="P496" s="867" t="s">
        <v>38</v>
      </c>
      <c r="Q496" s="868"/>
      <c r="R496" s="868"/>
      <c r="S496" s="868"/>
      <c r="T496" s="868"/>
      <c r="U496" s="868"/>
      <c r="V496" s="869"/>
      <c r="W496" s="45" t="s">
        <v>51</v>
      </c>
      <c r="X496" s="42"/>
      <c r="Y496" s="42"/>
      <c r="Z496" s="42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0</v>
      </c>
      <c r="AA496" s="67"/>
      <c r="AB496" s="67"/>
      <c r="AC496" s="67"/>
    </row>
    <row r="497" spans="1:32" ht="13.5" thickBot="1" x14ac:dyDescent="0.25"/>
    <row r="498" spans="1:32" ht="27" thickTop="1" thickBot="1" x14ac:dyDescent="0.25">
      <c r="A498" s="46" t="s">
        <v>9</v>
      </c>
      <c r="B498" s="85" t="s">
        <v>77</v>
      </c>
      <c r="C498" s="873" t="s">
        <v>114</v>
      </c>
      <c r="D498" s="873" t="s">
        <v>114</v>
      </c>
      <c r="E498" s="873" t="s">
        <v>114</v>
      </c>
      <c r="F498" s="873" t="s">
        <v>114</v>
      </c>
      <c r="G498" s="873" t="s">
        <v>114</v>
      </c>
      <c r="H498" s="873" t="s">
        <v>114</v>
      </c>
      <c r="I498" s="873" t="s">
        <v>265</v>
      </c>
      <c r="J498" s="873" t="s">
        <v>265</v>
      </c>
      <c r="K498" s="873" t="s">
        <v>265</v>
      </c>
      <c r="L498" s="873" t="s">
        <v>265</v>
      </c>
      <c r="M498" s="873" t="s">
        <v>265</v>
      </c>
      <c r="N498" s="874"/>
      <c r="O498" s="873" t="s">
        <v>265</v>
      </c>
      <c r="P498" s="873" t="s">
        <v>265</v>
      </c>
      <c r="Q498" s="873" t="s">
        <v>265</v>
      </c>
      <c r="R498" s="873" t="s">
        <v>265</v>
      </c>
      <c r="S498" s="873" t="s">
        <v>545</v>
      </c>
      <c r="T498" s="873" t="s">
        <v>545</v>
      </c>
      <c r="U498" s="873" t="s">
        <v>599</v>
      </c>
      <c r="V498" s="873" t="s">
        <v>599</v>
      </c>
      <c r="W498" s="873" t="s">
        <v>599</v>
      </c>
      <c r="X498" s="85" t="s">
        <v>650</v>
      </c>
      <c r="Y498" s="873" t="s">
        <v>713</v>
      </c>
      <c r="Z498" s="873" t="s">
        <v>713</v>
      </c>
      <c r="AB498" s="60"/>
      <c r="AC498" s="60"/>
      <c r="AF498" s="1"/>
    </row>
    <row r="499" spans="1:32" ht="14.25" customHeight="1" thickTop="1" x14ac:dyDescent="0.2">
      <c r="A499" s="871" t="s">
        <v>10</v>
      </c>
      <c r="B499" s="873" t="s">
        <v>77</v>
      </c>
      <c r="C499" s="873" t="s">
        <v>115</v>
      </c>
      <c r="D499" s="873" t="s">
        <v>132</v>
      </c>
      <c r="E499" s="873" t="s">
        <v>186</v>
      </c>
      <c r="F499" s="873" t="s">
        <v>205</v>
      </c>
      <c r="G499" s="873" t="s">
        <v>235</v>
      </c>
      <c r="H499" s="873" t="s">
        <v>114</v>
      </c>
      <c r="I499" s="873" t="s">
        <v>266</v>
      </c>
      <c r="J499" s="873" t="s">
        <v>310</v>
      </c>
      <c r="K499" s="873" t="s">
        <v>369</v>
      </c>
      <c r="L499" s="873" t="s">
        <v>411</v>
      </c>
      <c r="M499" s="873" t="s">
        <v>427</v>
      </c>
      <c r="N499" s="1"/>
      <c r="O499" s="873" t="s">
        <v>438</v>
      </c>
      <c r="P499" s="873" t="s">
        <v>447</v>
      </c>
      <c r="Q499" s="873" t="s">
        <v>460</v>
      </c>
      <c r="R499" s="873" t="s">
        <v>535</v>
      </c>
      <c r="S499" s="873" t="s">
        <v>546</v>
      </c>
      <c r="T499" s="873" t="s">
        <v>581</v>
      </c>
      <c r="U499" s="873" t="s">
        <v>600</v>
      </c>
      <c r="V499" s="873" t="s">
        <v>631</v>
      </c>
      <c r="W499" s="873" t="s">
        <v>646</v>
      </c>
      <c r="X499" s="873" t="s">
        <v>650</v>
      </c>
      <c r="Y499" s="873" t="s">
        <v>713</v>
      </c>
      <c r="Z499" s="873" t="s">
        <v>749</v>
      </c>
      <c r="AB499" s="60"/>
      <c r="AC499" s="60"/>
      <c r="AF499" s="1"/>
    </row>
    <row r="500" spans="1:32" ht="13.5" thickBot="1" x14ac:dyDescent="0.25">
      <c r="A500" s="872"/>
      <c r="B500" s="873"/>
      <c r="C500" s="873"/>
      <c r="D500" s="873"/>
      <c r="E500" s="873"/>
      <c r="F500" s="873"/>
      <c r="G500" s="873"/>
      <c r="H500" s="873"/>
      <c r="I500" s="873"/>
      <c r="J500" s="873"/>
      <c r="K500" s="873"/>
      <c r="L500" s="873"/>
      <c r="M500" s="873"/>
      <c r="N500" s="1"/>
      <c r="O500" s="873"/>
      <c r="P500" s="873"/>
      <c r="Q500" s="873"/>
      <c r="R500" s="873"/>
      <c r="S500" s="873"/>
      <c r="T500" s="873"/>
      <c r="U500" s="873"/>
      <c r="V500" s="873"/>
      <c r="W500" s="873"/>
      <c r="X500" s="873"/>
      <c r="Y500" s="873"/>
      <c r="Z500" s="873"/>
      <c r="AB500" s="60"/>
      <c r="AC500" s="60"/>
      <c r="AF500" s="1"/>
    </row>
    <row r="501" spans="1:32" ht="18" thickTop="1" thickBot="1" x14ac:dyDescent="0.25">
      <c r="A501" s="46" t="s">
        <v>13</v>
      </c>
      <c r="B501" s="52">
        <f>IFERROR(Y22*1,"0")+IFERROR(Y23*1,"0")+IFERROR(Y27*1,"0")+IFERROR(Y28*1,"0")+IFERROR(Y29*1,"0")+IFERROR(Y30*1,"0")+IFERROR(Y31*1,"0")+IFERROR(Y35*1,"0")</f>
        <v>0</v>
      </c>
      <c r="C501" s="52">
        <f>IFERROR(Y41*1,"0")+IFERROR(Y42*1,"0")+IFERROR(Y43*1,"0")+IFERROR(Y47*1,"0")</f>
        <v>0</v>
      </c>
      <c r="D501" s="52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52">
        <f>IFERROR(Y86*1,"0")+IFERROR(Y87*1,"0")+IFERROR(Y88*1,"0")+IFERROR(Y92*1,"0")+IFERROR(Y93*1,"0")+IFERROR(Y94*1,"0")+IFERROR(Y95*1,"0")</f>
        <v>0</v>
      </c>
      <c r="F501" s="52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1" s="52">
        <f>IFERROR(Y125*1,"0")+IFERROR(Y126*1,"0")+IFERROR(Y130*1,"0")+IFERROR(Y131*1,"0")+IFERROR(Y135*1,"0")+IFERROR(Y136*1,"0")</f>
        <v>0</v>
      </c>
      <c r="H501" s="52">
        <f>IFERROR(Y141*1,"0")+IFERROR(Y142*1,"0")+IFERROR(Y146*1,"0")+IFERROR(Y147*1,"0")+IFERROR(Y148*1,"0")+IFERROR(Y152*1,"0")</f>
        <v>0</v>
      </c>
      <c r="I501" s="52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1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52">
        <f>IFERROR(Y255*1,"0")+IFERROR(Y256*1,"0")+IFERROR(Y257*1,"0")+IFERROR(Y258*1,"0")+IFERROR(Y259*1,"0")</f>
        <v>0</v>
      </c>
      <c r="M501" s="52">
        <f>IFERROR(Y264*1,"0")+IFERROR(Y265*1,"0")+IFERROR(Y266*1,"0")+IFERROR(Y267*1,"0")</f>
        <v>0</v>
      </c>
      <c r="N501" s="1"/>
      <c r="O501" s="52">
        <f>IFERROR(Y272*1,"0")+IFERROR(Y273*1,"0")+IFERROR(Y274*1,"0")</f>
        <v>0</v>
      </c>
      <c r="P501" s="52">
        <f>IFERROR(Y279*1,"0")+IFERROR(Y280*1,"0")+IFERROR(Y284*1,"0")+IFERROR(Y285*1,"0")</f>
        <v>0</v>
      </c>
      <c r="Q501" s="52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501" s="52">
        <f>IFERROR(Y335*1,"0")+IFERROR(Y336*1,"0")+IFERROR(Y337*1,"0")</f>
        <v>0</v>
      </c>
      <c r="S501" s="52">
        <f>IFERROR(Y343*1,"0")+IFERROR(Y344*1,"0")+IFERROR(Y345*1,"0")+IFERROR(Y346*1,"0")+IFERROR(Y347*1,"0")+IFERROR(Y348*1,"0")+IFERROR(Y349*1,"0")+IFERROR(Y353*1,"0")+IFERROR(Y354*1,"0")+IFERROR(Y358*1,"0")+IFERROR(Y359*1,"0")+IFERROR(Y363*1,"0")</f>
        <v>0</v>
      </c>
      <c r="T501" s="52">
        <f>IFERROR(Y368*1,"0")+IFERROR(Y369*1,"0")+IFERROR(Y373*1,"0")+IFERROR(Y374*1,"0")+IFERROR(Y378*1,"0")+IFERROR(Y379*1,"0")+IFERROR(Y380*1,"0")</f>
        <v>0</v>
      </c>
      <c r="U501" s="52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52">
        <f>IFERROR(Y404*1,"0")+IFERROR(Y408*1,"0")+IFERROR(Y409*1,"0")+IFERROR(Y410*1,"0")+IFERROR(Y411*1,"0")</f>
        <v>0</v>
      </c>
      <c r="W501" s="52">
        <f>IFERROR(Y416*1,"0")</f>
        <v>0</v>
      </c>
      <c r="X501" s="52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0</v>
      </c>
      <c r="Y501" s="52">
        <f>IFERROR(Y460*1,"0")+IFERROR(Y461*1,"0")+IFERROR(Y462*1,"0")+IFERROR(Y463*1,"0")+IFERROR(Y467*1,"0")+IFERROR(Y468*1,"0")+IFERROR(Y469*1,"0")+IFERROR(Y473*1,"0")+IFERROR(Y474*1,"0")+IFERROR(Y478*1,"0")+IFERROR(Y482*1,"0")+IFERROR(Y483*1,"0")</f>
        <v>0</v>
      </c>
      <c r="Z501" s="52">
        <f>IFERROR(Y488*1,"0")</f>
        <v>0</v>
      </c>
      <c r="AB501" s="60"/>
      <c r="AC501" s="60"/>
      <c r="AF501" s="1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8">
    <mergeCell ref="U499:U500"/>
    <mergeCell ref="V499:V500"/>
    <mergeCell ref="W499:W500"/>
    <mergeCell ref="X499:X500"/>
    <mergeCell ref="Y499:Y500"/>
    <mergeCell ref="Z499:Z500"/>
    <mergeCell ref="C498:H498"/>
    <mergeCell ref="I498:R498"/>
    <mergeCell ref="S498:T498"/>
    <mergeCell ref="U498:W498"/>
    <mergeCell ref="Y498:Z498"/>
    <mergeCell ref="J499:J500"/>
    <mergeCell ref="K499:K500"/>
    <mergeCell ref="L499:L500"/>
    <mergeCell ref="M499:M500"/>
    <mergeCell ref="O499:O500"/>
    <mergeCell ref="P499:P500"/>
    <mergeCell ref="Q499:Q500"/>
    <mergeCell ref="R499:R500"/>
    <mergeCell ref="S499:S500"/>
    <mergeCell ref="T499:T500"/>
    <mergeCell ref="A499:A500"/>
    <mergeCell ref="B499:B500"/>
    <mergeCell ref="C499:C500"/>
    <mergeCell ref="D499:D500"/>
    <mergeCell ref="E499:E500"/>
    <mergeCell ref="F499:F500"/>
    <mergeCell ref="G499:G500"/>
    <mergeCell ref="H499:H500"/>
    <mergeCell ref="I499:I500"/>
    <mergeCell ref="P489:V489"/>
    <mergeCell ref="A489:O490"/>
    <mergeCell ref="P490:V490"/>
    <mergeCell ref="P491:V491"/>
    <mergeCell ref="A491:O496"/>
    <mergeCell ref="P492:V492"/>
    <mergeCell ref="P493:V493"/>
    <mergeCell ref="P494:V494"/>
    <mergeCell ref="P495:V495"/>
    <mergeCell ref="P496:V496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A477:Z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P470:V470"/>
    <mergeCell ref="A470:O471"/>
    <mergeCell ref="P471:V471"/>
    <mergeCell ref="A472:Z472"/>
    <mergeCell ref="D473:E473"/>
    <mergeCell ref="P473:T473"/>
    <mergeCell ref="D474:E474"/>
    <mergeCell ref="P474:T474"/>
    <mergeCell ref="P475:V475"/>
    <mergeCell ref="A475:O476"/>
    <mergeCell ref="P476:V476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P412:V412"/>
    <mergeCell ref="A412:O413"/>
    <mergeCell ref="P413:V413"/>
    <mergeCell ref="A414:Z414"/>
    <mergeCell ref="A415:Z415"/>
    <mergeCell ref="D416:E416"/>
    <mergeCell ref="P416:T416"/>
    <mergeCell ref="P417:V417"/>
    <mergeCell ref="A417:O418"/>
    <mergeCell ref="P418:V418"/>
    <mergeCell ref="A407:Z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P400:V400"/>
    <mergeCell ref="A400:O401"/>
    <mergeCell ref="P401:V401"/>
    <mergeCell ref="A402:Z402"/>
    <mergeCell ref="A403:Z403"/>
    <mergeCell ref="D404:E404"/>
    <mergeCell ref="P404:T404"/>
    <mergeCell ref="P405:V405"/>
    <mergeCell ref="A405:O406"/>
    <mergeCell ref="P406:V406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A385:Z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294:E294"/>
    <mergeCell ref="P294:T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A289:Z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A283:Z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39:Z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8 X473:X474 X462 X443:X445 X437 X428 X425:X426 X422 X408 X398:X399 X388 X386 X378:X379 X373 X368:X369 X358:X359 X349 X335:X337 X324 X315:X317 X311 X308 X302:X304 X299:X300 X294:X295 X291:X292 X284 X274 X259 X257 X255 X233 X228 X219 X209:X215 X203 X196:X201 X187 X169 X167 X164:X165 X162 X148 X146 X142 X136 X130:X131 X125:X126 X120 X113:X116 X100:X102 X95 X92 X88 X86 X80:X81 X76 X74 X61 X56 X52 X47 X41:X42 X30:X3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9"/>
    </row>
    <row r="3" spans="2:8" x14ac:dyDescent="0.2">
      <c r="B3" s="53" t="s">
        <v>754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755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756</v>
      </c>
      <c r="D6" s="53" t="s">
        <v>757</v>
      </c>
      <c r="E6" s="53" t="s">
        <v>45</v>
      </c>
    </row>
    <row r="8" spans="2:8" x14ac:dyDescent="0.2">
      <c r="B8" s="53" t="s">
        <v>76</v>
      </c>
      <c r="C8" s="53" t="s">
        <v>756</v>
      </c>
      <c r="D8" s="53" t="s">
        <v>45</v>
      </c>
      <c r="E8" s="53" t="s">
        <v>45</v>
      </c>
    </row>
    <row r="10" spans="2:8" x14ac:dyDescent="0.2">
      <c r="B10" s="53" t="s">
        <v>758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759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760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761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762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763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764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765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766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767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768</v>
      </c>
      <c r="C20" s="53" t="s">
        <v>45</v>
      </c>
      <c r="D20" s="53" t="s">
        <v>45</v>
      </c>
      <c r="E20" s="53" t="s">
        <v>45</v>
      </c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978</vt:i4>
      </vt:variant>
    </vt:vector>
  </HeadingPairs>
  <TitlesOfParts>
    <vt:vector size="98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2025-12-04T06:14:34Z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