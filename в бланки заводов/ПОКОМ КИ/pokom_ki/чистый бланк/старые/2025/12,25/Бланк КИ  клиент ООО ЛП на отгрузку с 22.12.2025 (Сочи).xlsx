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6AA3CBF-D08F-4A32-A4A5-DC36B56F0C0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Z503" i="2" s="1"/>
  <c r="P490" i="2"/>
  <c r="X487" i="2"/>
  <c r="X486" i="2"/>
  <c r="BO485" i="2"/>
  <c r="BM485" i="2"/>
  <c r="Y485" i="2"/>
  <c r="BN485" i="2" s="1"/>
  <c r="P485" i="2"/>
  <c r="BO484" i="2"/>
  <c r="BM484" i="2"/>
  <c r="Y484" i="2"/>
  <c r="P484" i="2"/>
  <c r="X482" i="2"/>
  <c r="X481" i="2"/>
  <c r="BO480" i="2"/>
  <c r="BM480" i="2"/>
  <c r="Y480" i="2"/>
  <c r="P480" i="2"/>
  <c r="Y478" i="2"/>
  <c r="X478" i="2"/>
  <c r="X477" i="2"/>
  <c r="BO476" i="2"/>
  <c r="BM476" i="2"/>
  <c r="Y476" i="2"/>
  <c r="Y477" i="2" s="1"/>
  <c r="P476" i="2"/>
  <c r="X474" i="2"/>
  <c r="Y473" i="2"/>
  <c r="X473" i="2"/>
  <c r="BP472" i="2"/>
  <c r="BO472" i="2"/>
  <c r="BM472" i="2"/>
  <c r="Y472" i="2"/>
  <c r="BN472" i="2" s="1"/>
  <c r="P472" i="2"/>
  <c r="BO471" i="2"/>
  <c r="BM471" i="2"/>
  <c r="Y471" i="2"/>
  <c r="Y474" i="2" s="1"/>
  <c r="P471" i="2"/>
  <c r="X469" i="2"/>
  <c r="X468" i="2"/>
  <c r="BO467" i="2"/>
  <c r="BM467" i="2"/>
  <c r="Z467" i="2"/>
  <c r="Y467" i="2"/>
  <c r="BN467" i="2" s="1"/>
  <c r="P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Y503" i="2" s="1"/>
  <c r="P464" i="2"/>
  <c r="Y460" i="2"/>
  <c r="X460" i="2"/>
  <c r="Y459" i="2"/>
  <c r="X459" i="2"/>
  <c r="BP458" i="2"/>
  <c r="BO458" i="2"/>
  <c r="BN458" i="2"/>
  <c r="BM458" i="2"/>
  <c r="Z458" i="2"/>
  <c r="Z459" i="2" s="1"/>
  <c r="Y458" i="2"/>
  <c r="P458" i="2"/>
  <c r="X456" i="2"/>
  <c r="X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Z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P449" i="2"/>
  <c r="Y447" i="2"/>
  <c r="X447" i="2"/>
  <c r="Y446" i="2"/>
  <c r="X446" i="2"/>
  <c r="BO445" i="2"/>
  <c r="BM445" i="2"/>
  <c r="Y445" i="2"/>
  <c r="BP445" i="2" s="1"/>
  <c r="P445" i="2"/>
  <c r="BO444" i="2"/>
  <c r="BM444" i="2"/>
  <c r="Y444" i="2"/>
  <c r="Z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N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Z434" i="2" s="1"/>
  <c r="P434" i="2"/>
  <c r="BO433" i="2"/>
  <c r="BM433" i="2"/>
  <c r="Y433" i="2"/>
  <c r="Z433" i="2" s="1"/>
  <c r="P433" i="2"/>
  <c r="BO432" i="2"/>
  <c r="BN432" i="2"/>
  <c r="BM432" i="2"/>
  <c r="Z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Z430" i="2" s="1"/>
  <c r="P430" i="2"/>
  <c r="BO429" i="2"/>
  <c r="BM429" i="2"/>
  <c r="Y429" i="2"/>
  <c r="P429" i="2"/>
  <c r="BP428" i="2"/>
  <c r="BO428" i="2"/>
  <c r="BN428" i="2"/>
  <c r="BM428" i="2"/>
  <c r="Z428" i="2"/>
  <c r="Y428" i="2"/>
  <c r="P428" i="2"/>
  <c r="X424" i="2"/>
  <c r="X423" i="2"/>
  <c r="BO422" i="2"/>
  <c r="BM422" i="2"/>
  <c r="Y422" i="2"/>
  <c r="Z422" i="2" s="1"/>
  <c r="Z423" i="2" s="1"/>
  <c r="P422" i="2"/>
  <c r="X419" i="2"/>
  <c r="X418" i="2"/>
  <c r="BO417" i="2"/>
  <c r="BM417" i="2"/>
  <c r="Y417" i="2"/>
  <c r="BP417" i="2" s="1"/>
  <c r="P417" i="2"/>
  <c r="BO416" i="2"/>
  <c r="BM416" i="2"/>
  <c r="Y416" i="2"/>
  <c r="BN416" i="2" s="1"/>
  <c r="P416" i="2"/>
  <c r="BO415" i="2"/>
  <c r="BM415" i="2"/>
  <c r="Y415" i="2"/>
  <c r="Z415" i="2" s="1"/>
  <c r="P415" i="2"/>
  <c r="BO414" i="2"/>
  <c r="BM414" i="2"/>
  <c r="Y414" i="2"/>
  <c r="Y419" i="2" s="1"/>
  <c r="P414" i="2"/>
  <c r="X412" i="2"/>
  <c r="X411" i="2"/>
  <c r="BO410" i="2"/>
  <c r="BM410" i="2"/>
  <c r="Y410" i="2"/>
  <c r="P410" i="2"/>
  <c r="X407" i="2"/>
  <c r="X406" i="2"/>
  <c r="BO405" i="2"/>
  <c r="BM405" i="2"/>
  <c r="Y405" i="2"/>
  <c r="BP405" i="2" s="1"/>
  <c r="P405" i="2"/>
  <c r="BO404" i="2"/>
  <c r="BM404" i="2"/>
  <c r="Y404" i="2"/>
  <c r="Z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Z398" i="2" s="1"/>
  <c r="P398" i="2"/>
  <c r="BO397" i="2"/>
  <c r="BM397" i="2"/>
  <c r="Y397" i="2"/>
  <c r="Z397" i="2" s="1"/>
  <c r="P397" i="2"/>
  <c r="BO396" i="2"/>
  <c r="BN396" i="2"/>
  <c r="BM396" i="2"/>
  <c r="Z396" i="2"/>
  <c r="Y396" i="2"/>
  <c r="BP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BP392" i="2"/>
  <c r="BO392" i="2"/>
  <c r="BN392" i="2"/>
  <c r="BM392" i="2"/>
  <c r="Z392" i="2"/>
  <c r="Y392" i="2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N384" i="2"/>
  <c r="BM384" i="2"/>
  <c r="Z384" i="2"/>
  <c r="Z387" i="2" s="1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Y382" i="2" s="1"/>
  <c r="P379" i="2"/>
  <c r="X377" i="2"/>
  <c r="X376" i="2"/>
  <c r="BO375" i="2"/>
  <c r="BM375" i="2"/>
  <c r="Y375" i="2"/>
  <c r="P375" i="2"/>
  <c r="BP374" i="2"/>
  <c r="BO374" i="2"/>
  <c r="BN374" i="2"/>
  <c r="BM374" i="2"/>
  <c r="Z374" i="2"/>
  <c r="Y374" i="2"/>
  <c r="P374" i="2"/>
  <c r="X371" i="2"/>
  <c r="X370" i="2"/>
  <c r="BO369" i="2"/>
  <c r="BM369" i="2"/>
  <c r="Y369" i="2"/>
  <c r="Z369" i="2" s="1"/>
  <c r="Z370" i="2" s="1"/>
  <c r="P369" i="2"/>
  <c r="X367" i="2"/>
  <c r="X366" i="2"/>
  <c r="BO365" i="2"/>
  <c r="BN365" i="2"/>
  <c r="BM365" i="2"/>
  <c r="Z365" i="2"/>
  <c r="Y365" i="2"/>
  <c r="BP365" i="2" s="1"/>
  <c r="P365" i="2"/>
  <c r="BO364" i="2"/>
  <c r="BM364" i="2"/>
  <c r="Y364" i="2"/>
  <c r="BP364" i="2" s="1"/>
  <c r="P364" i="2"/>
  <c r="X362" i="2"/>
  <c r="X361" i="2"/>
  <c r="BO360" i="2"/>
  <c r="BM360" i="2"/>
  <c r="Y360" i="2"/>
  <c r="BP360" i="2" s="1"/>
  <c r="P360" i="2"/>
  <c r="BO359" i="2"/>
  <c r="BM359" i="2"/>
  <c r="Y359" i="2"/>
  <c r="Y361" i="2" s="1"/>
  <c r="P359" i="2"/>
  <c r="X357" i="2"/>
  <c r="X356" i="2"/>
  <c r="BP355" i="2"/>
  <c r="BO355" i="2"/>
  <c r="BN355" i="2"/>
  <c r="BM355" i="2"/>
  <c r="Z355" i="2"/>
  <c r="Y355" i="2"/>
  <c r="P355" i="2"/>
  <c r="BO354" i="2"/>
  <c r="BM354" i="2"/>
  <c r="Z354" i="2"/>
  <c r="Y354" i="2"/>
  <c r="BN354" i="2" s="1"/>
  <c r="P354" i="2"/>
  <c r="BO353" i="2"/>
  <c r="BM353" i="2"/>
  <c r="Z353" i="2"/>
  <c r="Y353" i="2"/>
  <c r="BN353" i="2" s="1"/>
  <c r="P353" i="2"/>
  <c r="BO352" i="2"/>
  <c r="BM352" i="2"/>
  <c r="Y352" i="2"/>
  <c r="P352" i="2"/>
  <c r="BP351" i="2"/>
  <c r="BO351" i="2"/>
  <c r="BN351" i="2"/>
  <c r="BM351" i="2"/>
  <c r="Z351" i="2"/>
  <c r="Y351" i="2"/>
  <c r="P351" i="2"/>
  <c r="BO350" i="2"/>
  <c r="BM350" i="2"/>
  <c r="Y350" i="2"/>
  <c r="BP350" i="2" s="1"/>
  <c r="P350" i="2"/>
  <c r="BO349" i="2"/>
  <c r="BM349" i="2"/>
  <c r="Y349" i="2"/>
  <c r="P349" i="2"/>
  <c r="X345" i="2"/>
  <c r="X344" i="2"/>
  <c r="BO343" i="2"/>
  <c r="BM343" i="2"/>
  <c r="Y343" i="2"/>
  <c r="P343" i="2"/>
  <c r="BP342" i="2"/>
  <c r="BO342" i="2"/>
  <c r="BM342" i="2"/>
  <c r="Y342" i="2"/>
  <c r="P342" i="2"/>
  <c r="BO341" i="2"/>
  <c r="BM341" i="2"/>
  <c r="Y341" i="2"/>
  <c r="P341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Z334" i="2" s="1"/>
  <c r="P334" i="2"/>
  <c r="X332" i="2"/>
  <c r="X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Z327" i="2" s="1"/>
  <c r="P327" i="2"/>
  <c r="X325" i="2"/>
  <c r="X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Y325" i="2" s="1"/>
  <c r="P321" i="2"/>
  <c r="X319" i="2"/>
  <c r="X318" i="2"/>
  <c r="BP317" i="2"/>
  <c r="BO317" i="2"/>
  <c r="BN317" i="2"/>
  <c r="BM317" i="2"/>
  <c r="Z317" i="2"/>
  <c r="Y317" i="2"/>
  <c r="P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Y319" i="2" s="1"/>
  <c r="P314" i="2"/>
  <c r="X312" i="2"/>
  <c r="X311" i="2"/>
  <c r="BP310" i="2"/>
  <c r="BO310" i="2"/>
  <c r="BN310" i="2"/>
  <c r="BM310" i="2"/>
  <c r="Z310" i="2"/>
  <c r="Y310" i="2"/>
  <c r="P310" i="2"/>
  <c r="BO309" i="2"/>
  <c r="BM309" i="2"/>
  <c r="Y309" i="2"/>
  <c r="P309" i="2"/>
  <c r="BO308" i="2"/>
  <c r="BM308" i="2"/>
  <c r="Y308" i="2"/>
  <c r="BN308" i="2" s="1"/>
  <c r="P308" i="2"/>
  <c r="BP307" i="2"/>
  <c r="BO307" i="2"/>
  <c r="BN307" i="2"/>
  <c r="BM307" i="2"/>
  <c r="Z307" i="2"/>
  <c r="Y307" i="2"/>
  <c r="P307" i="2"/>
  <c r="BO306" i="2"/>
  <c r="BM306" i="2"/>
  <c r="Y306" i="2"/>
  <c r="BP306" i="2" s="1"/>
  <c r="P306" i="2"/>
  <c r="BO305" i="2"/>
  <c r="BM305" i="2"/>
  <c r="Y305" i="2"/>
  <c r="Y311" i="2" s="1"/>
  <c r="P305" i="2"/>
  <c r="X303" i="2"/>
  <c r="X302" i="2"/>
  <c r="BO301" i="2"/>
  <c r="BM301" i="2"/>
  <c r="Y301" i="2"/>
  <c r="Z301" i="2" s="1"/>
  <c r="P301" i="2"/>
  <c r="BP300" i="2"/>
  <c r="BO300" i="2"/>
  <c r="BN300" i="2"/>
  <c r="BM300" i="2"/>
  <c r="Z300" i="2"/>
  <c r="Y300" i="2"/>
  <c r="P300" i="2"/>
  <c r="BO299" i="2"/>
  <c r="BM299" i="2"/>
  <c r="Z299" i="2"/>
  <c r="Y299" i="2"/>
  <c r="BN299" i="2" s="1"/>
  <c r="P299" i="2"/>
  <c r="BO298" i="2"/>
  <c r="BM298" i="2"/>
  <c r="Z298" i="2"/>
  <c r="Y298" i="2"/>
  <c r="BN298" i="2" s="1"/>
  <c r="P298" i="2"/>
  <c r="BO297" i="2"/>
  <c r="BM297" i="2"/>
  <c r="Y297" i="2"/>
  <c r="BP297" i="2" s="1"/>
  <c r="P297" i="2"/>
  <c r="BP296" i="2"/>
  <c r="BO296" i="2"/>
  <c r="BN296" i="2"/>
  <c r="BM296" i="2"/>
  <c r="Z296" i="2"/>
  <c r="Y296" i="2"/>
  <c r="P296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Y288" i="2"/>
  <c r="X288" i="2"/>
  <c r="Y287" i="2"/>
  <c r="X287" i="2"/>
  <c r="BO286" i="2"/>
  <c r="BM286" i="2"/>
  <c r="Y286" i="2"/>
  <c r="BP286" i="2" s="1"/>
  <c r="P286" i="2"/>
  <c r="BO285" i="2"/>
  <c r="BM285" i="2"/>
  <c r="Y285" i="2"/>
  <c r="Z285" i="2" s="1"/>
  <c r="P285" i="2"/>
  <c r="X282" i="2"/>
  <c r="X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Y282" i="2" s="1"/>
  <c r="P278" i="2"/>
  <c r="X275" i="2"/>
  <c r="X274" i="2"/>
  <c r="BO273" i="2"/>
  <c r="BM273" i="2"/>
  <c r="Y273" i="2"/>
  <c r="BN273" i="2" s="1"/>
  <c r="P273" i="2"/>
  <c r="BP272" i="2"/>
  <c r="BO272" i="2"/>
  <c r="BN272" i="2"/>
  <c r="BM272" i="2"/>
  <c r="Z272" i="2"/>
  <c r="Y272" i="2"/>
  <c r="P272" i="2"/>
  <c r="BO271" i="2"/>
  <c r="BM271" i="2"/>
  <c r="Y271" i="2"/>
  <c r="BP271" i="2" s="1"/>
  <c r="P271" i="2"/>
  <c r="BO270" i="2"/>
  <c r="BM270" i="2"/>
  <c r="Y270" i="2"/>
  <c r="BP270" i="2" s="1"/>
  <c r="P270" i="2"/>
  <c r="X267" i="2"/>
  <c r="X266" i="2"/>
  <c r="BO265" i="2"/>
  <c r="BM265" i="2"/>
  <c r="Y265" i="2"/>
  <c r="Z265" i="2" s="1"/>
  <c r="P265" i="2"/>
  <c r="BP264" i="2"/>
  <c r="BO264" i="2"/>
  <c r="BN264" i="2"/>
  <c r="BM264" i="2"/>
  <c r="Z264" i="2"/>
  <c r="Y264" i="2"/>
  <c r="P264" i="2"/>
  <c r="BO263" i="2"/>
  <c r="BM263" i="2"/>
  <c r="Y263" i="2"/>
  <c r="BN263" i="2" s="1"/>
  <c r="P263" i="2"/>
  <c r="BO262" i="2"/>
  <c r="BM262" i="2"/>
  <c r="Y262" i="2"/>
  <c r="BN262" i="2" s="1"/>
  <c r="P262" i="2"/>
  <c r="BP261" i="2"/>
  <c r="BO261" i="2"/>
  <c r="BN261" i="2"/>
  <c r="BM261" i="2"/>
  <c r="Z261" i="2"/>
  <c r="Y261" i="2"/>
  <c r="P261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Z254" i="2" s="1"/>
  <c r="P254" i="2"/>
  <c r="BP253" i="2"/>
  <c r="BO253" i="2"/>
  <c r="BN253" i="2"/>
  <c r="BM253" i="2"/>
  <c r="Z253" i="2"/>
  <c r="Y253" i="2"/>
  <c r="P253" i="2"/>
  <c r="BO252" i="2"/>
  <c r="BM252" i="2"/>
  <c r="Y252" i="2"/>
  <c r="BN252" i="2" s="1"/>
  <c r="P252" i="2"/>
  <c r="Y250" i="2"/>
  <c r="X250" i="2"/>
  <c r="Y249" i="2"/>
  <c r="X249" i="2"/>
  <c r="BP248" i="2"/>
  <c r="BO248" i="2"/>
  <c r="BN248" i="2"/>
  <c r="BM248" i="2"/>
  <c r="Z248" i="2"/>
  <c r="Z249" i="2" s="1"/>
  <c r="Y248" i="2"/>
  <c r="P248" i="2"/>
  <c r="X246" i="2"/>
  <c r="X245" i="2"/>
  <c r="BO244" i="2"/>
  <c r="BM244" i="2"/>
  <c r="Y244" i="2"/>
  <c r="BN244" i="2" s="1"/>
  <c r="P244" i="2"/>
  <c r="X242" i="2"/>
  <c r="X241" i="2"/>
  <c r="BO240" i="2"/>
  <c r="BM240" i="2"/>
  <c r="Y240" i="2"/>
  <c r="BN240" i="2" s="1"/>
  <c r="P240" i="2"/>
  <c r="BO239" i="2"/>
  <c r="BM239" i="2"/>
  <c r="Y239" i="2"/>
  <c r="BN239" i="2" s="1"/>
  <c r="P239" i="2"/>
  <c r="BP238" i="2"/>
  <c r="BO238" i="2"/>
  <c r="BN238" i="2"/>
  <c r="BM238" i="2"/>
  <c r="Z238" i="2"/>
  <c r="Y238" i="2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Z233" i="2" s="1"/>
  <c r="P233" i="2"/>
  <c r="BO232" i="2"/>
  <c r="BM232" i="2"/>
  <c r="Y232" i="2"/>
  <c r="P232" i="2"/>
  <c r="X229" i="2"/>
  <c r="X228" i="2"/>
  <c r="BP227" i="2"/>
  <c r="BO227" i="2"/>
  <c r="BN227" i="2"/>
  <c r="BM227" i="2"/>
  <c r="Z227" i="2"/>
  <c r="Y227" i="2"/>
  <c r="P227" i="2"/>
  <c r="BO226" i="2"/>
  <c r="BM226" i="2"/>
  <c r="Y226" i="2"/>
  <c r="BP226" i="2" s="1"/>
  <c r="P226" i="2"/>
  <c r="X224" i="2"/>
  <c r="X223" i="2"/>
  <c r="BP222" i="2"/>
  <c r="BO222" i="2"/>
  <c r="BN222" i="2"/>
  <c r="BM222" i="2"/>
  <c r="Z222" i="2"/>
  <c r="Y222" i="2"/>
  <c r="P222" i="2"/>
  <c r="BO221" i="2"/>
  <c r="BM221" i="2"/>
  <c r="Y221" i="2"/>
  <c r="Z221" i="2" s="1"/>
  <c r="P221" i="2"/>
  <c r="BO220" i="2"/>
  <c r="BM220" i="2"/>
  <c r="Y220" i="2"/>
  <c r="BP220" i="2" s="1"/>
  <c r="P220" i="2"/>
  <c r="BP219" i="2"/>
  <c r="BO219" i="2"/>
  <c r="BM219" i="2"/>
  <c r="Y219" i="2"/>
  <c r="BN219" i="2" s="1"/>
  <c r="P219" i="2"/>
  <c r="BO218" i="2"/>
  <c r="BM218" i="2"/>
  <c r="Z218" i="2"/>
  <c r="Y218" i="2"/>
  <c r="BN218" i="2" s="1"/>
  <c r="P218" i="2"/>
  <c r="BO217" i="2"/>
  <c r="BM217" i="2"/>
  <c r="Y217" i="2"/>
  <c r="BP217" i="2" s="1"/>
  <c r="P217" i="2"/>
  <c r="BP216" i="2"/>
  <c r="BO216" i="2"/>
  <c r="BN216" i="2"/>
  <c r="BM216" i="2"/>
  <c r="Z216" i="2"/>
  <c r="Y216" i="2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BP210" i="2" s="1"/>
  <c r="P210" i="2"/>
  <c r="BP209" i="2"/>
  <c r="BO209" i="2"/>
  <c r="BM209" i="2"/>
  <c r="Y209" i="2"/>
  <c r="BN209" i="2" s="1"/>
  <c r="P209" i="2"/>
  <c r="BO208" i="2"/>
  <c r="BM208" i="2"/>
  <c r="Z208" i="2"/>
  <c r="Y208" i="2"/>
  <c r="BN208" i="2" s="1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BN203" i="2" s="1"/>
  <c r="P203" i="2"/>
  <c r="X201" i="2"/>
  <c r="X200" i="2"/>
  <c r="BP199" i="2"/>
  <c r="BO199" i="2"/>
  <c r="BM199" i="2"/>
  <c r="Y199" i="2"/>
  <c r="BN199" i="2" s="1"/>
  <c r="P199" i="2"/>
  <c r="BO198" i="2"/>
  <c r="BM198" i="2"/>
  <c r="Z198" i="2"/>
  <c r="Y198" i="2"/>
  <c r="BN198" i="2" s="1"/>
  <c r="P198" i="2"/>
  <c r="X196" i="2"/>
  <c r="X195" i="2"/>
  <c r="BO194" i="2"/>
  <c r="BM194" i="2"/>
  <c r="Y194" i="2"/>
  <c r="BP194" i="2" s="1"/>
  <c r="P194" i="2"/>
  <c r="BO193" i="2"/>
  <c r="BM193" i="2"/>
  <c r="Y193" i="2"/>
  <c r="BP193" i="2" s="1"/>
  <c r="P193" i="2"/>
  <c r="X190" i="2"/>
  <c r="X189" i="2"/>
  <c r="BO188" i="2"/>
  <c r="BM188" i="2"/>
  <c r="Y188" i="2"/>
  <c r="BP188" i="2" s="1"/>
  <c r="P188" i="2"/>
  <c r="X186" i="2"/>
  <c r="X185" i="2"/>
  <c r="BP184" i="2"/>
  <c r="BO184" i="2"/>
  <c r="BN184" i="2"/>
  <c r="BM184" i="2"/>
  <c r="Z184" i="2"/>
  <c r="Y184" i="2"/>
  <c r="P184" i="2"/>
  <c r="BO183" i="2"/>
  <c r="BM183" i="2"/>
  <c r="Y183" i="2"/>
  <c r="BP183" i="2" s="1"/>
  <c r="P183" i="2"/>
  <c r="BO182" i="2"/>
  <c r="BM182" i="2"/>
  <c r="Y182" i="2"/>
  <c r="Y186" i="2" s="1"/>
  <c r="P182" i="2"/>
  <c r="X180" i="2"/>
  <c r="X179" i="2"/>
  <c r="BO178" i="2"/>
  <c r="BM178" i="2"/>
  <c r="Y178" i="2"/>
  <c r="Z178" i="2" s="1"/>
  <c r="P178" i="2"/>
  <c r="BO177" i="2"/>
  <c r="BM177" i="2"/>
  <c r="Y177" i="2"/>
  <c r="BP177" i="2" s="1"/>
  <c r="P177" i="2"/>
  <c r="BP176" i="2"/>
  <c r="BO176" i="2"/>
  <c r="BM176" i="2"/>
  <c r="Y176" i="2"/>
  <c r="BN176" i="2" s="1"/>
  <c r="P176" i="2"/>
  <c r="BO175" i="2"/>
  <c r="BM175" i="2"/>
  <c r="Z175" i="2"/>
  <c r="Y175" i="2"/>
  <c r="BN175" i="2" s="1"/>
  <c r="P175" i="2"/>
  <c r="BO174" i="2"/>
  <c r="BM174" i="2"/>
  <c r="Y174" i="2"/>
  <c r="BP174" i="2" s="1"/>
  <c r="P174" i="2"/>
  <c r="BP173" i="2"/>
  <c r="BO173" i="2"/>
  <c r="BN173" i="2"/>
  <c r="BM173" i="2"/>
  <c r="Z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BN169" i="2" s="1"/>
  <c r="P169" i="2"/>
  <c r="BO168" i="2"/>
  <c r="BM168" i="2"/>
  <c r="Y168" i="2"/>
  <c r="BP168" i="2" s="1"/>
  <c r="P168" i="2"/>
  <c r="BO167" i="2"/>
  <c r="BN167" i="2"/>
  <c r="BM167" i="2"/>
  <c r="Z167" i="2"/>
  <c r="Y167" i="2"/>
  <c r="BP167" i="2" s="1"/>
  <c r="P167" i="2"/>
  <c r="X165" i="2"/>
  <c r="Y164" i="2"/>
  <c r="X164" i="2"/>
  <c r="BP163" i="2"/>
  <c r="BO163" i="2"/>
  <c r="BN163" i="2"/>
  <c r="BM163" i="2"/>
  <c r="Z163" i="2"/>
  <c r="Z164" i="2" s="1"/>
  <c r="Y163" i="2"/>
  <c r="P163" i="2"/>
  <c r="X159" i="2"/>
  <c r="Y158" i="2"/>
  <c r="X158" i="2"/>
  <c r="BP157" i="2"/>
  <c r="BO157" i="2"/>
  <c r="BN157" i="2"/>
  <c r="BM157" i="2"/>
  <c r="Z157" i="2"/>
  <c r="Z158" i="2" s="1"/>
  <c r="Y157" i="2"/>
  <c r="Y159" i="2" s="1"/>
  <c r="P157" i="2"/>
  <c r="X155" i="2"/>
  <c r="X154" i="2"/>
  <c r="BO153" i="2"/>
  <c r="BN153" i="2"/>
  <c r="BM153" i="2"/>
  <c r="Z153" i="2"/>
  <c r="Y153" i="2"/>
  <c r="BP153" i="2" s="1"/>
  <c r="P153" i="2"/>
  <c r="BO152" i="2"/>
  <c r="BM152" i="2"/>
  <c r="Y152" i="2"/>
  <c r="Z152" i="2" s="1"/>
  <c r="P152" i="2"/>
  <c r="BO151" i="2"/>
  <c r="BM151" i="2"/>
  <c r="Y151" i="2"/>
  <c r="Z151" i="2" s="1"/>
  <c r="P151" i="2"/>
  <c r="BO150" i="2"/>
  <c r="BM150" i="2"/>
  <c r="Y150" i="2"/>
  <c r="BP150" i="2" s="1"/>
  <c r="BO149" i="2"/>
  <c r="BM149" i="2"/>
  <c r="Y149" i="2"/>
  <c r="Z149" i="2" s="1"/>
  <c r="BO148" i="2"/>
  <c r="BM148" i="2"/>
  <c r="Y148" i="2"/>
  <c r="BN148" i="2" s="1"/>
  <c r="X146" i="2"/>
  <c r="X145" i="2"/>
  <c r="BO144" i="2"/>
  <c r="BM144" i="2"/>
  <c r="Y144" i="2"/>
  <c r="BP144" i="2" s="1"/>
  <c r="P144" i="2"/>
  <c r="BO143" i="2"/>
  <c r="BM143" i="2"/>
  <c r="Y143" i="2"/>
  <c r="BN143" i="2" s="1"/>
  <c r="P143" i="2"/>
  <c r="X140" i="2"/>
  <c r="X139" i="2"/>
  <c r="BO138" i="2"/>
  <c r="BM138" i="2"/>
  <c r="Y138" i="2"/>
  <c r="BN138" i="2" s="1"/>
  <c r="P138" i="2"/>
  <c r="BO137" i="2"/>
  <c r="BM137" i="2"/>
  <c r="Y137" i="2"/>
  <c r="BN137" i="2" s="1"/>
  <c r="P137" i="2"/>
  <c r="X135" i="2"/>
  <c r="X134" i="2"/>
  <c r="BO133" i="2"/>
  <c r="BM133" i="2"/>
  <c r="Z133" i="2"/>
  <c r="Y133" i="2"/>
  <c r="BP133" i="2" s="1"/>
  <c r="P133" i="2"/>
  <c r="BO132" i="2"/>
  <c r="BM132" i="2"/>
  <c r="Y132" i="2"/>
  <c r="BP132" i="2" s="1"/>
  <c r="P132" i="2"/>
  <c r="X130" i="2"/>
  <c r="X129" i="2"/>
  <c r="BO128" i="2"/>
  <c r="BM128" i="2"/>
  <c r="Y128" i="2"/>
  <c r="BP128" i="2" s="1"/>
  <c r="P128" i="2"/>
  <c r="BO127" i="2"/>
  <c r="BN127" i="2"/>
  <c r="BM127" i="2"/>
  <c r="Z127" i="2"/>
  <c r="Y127" i="2"/>
  <c r="P127" i="2"/>
  <c r="X124" i="2"/>
  <c r="Y123" i="2"/>
  <c r="X123" i="2"/>
  <c r="BP122" i="2"/>
  <c r="BO122" i="2"/>
  <c r="BN122" i="2"/>
  <c r="BM122" i="2"/>
  <c r="Z122" i="2"/>
  <c r="Z123" i="2" s="1"/>
  <c r="Y122" i="2"/>
  <c r="Y124" i="2" s="1"/>
  <c r="P122" i="2"/>
  <c r="X120" i="2"/>
  <c r="X119" i="2"/>
  <c r="BO118" i="2"/>
  <c r="BM118" i="2"/>
  <c r="Y118" i="2"/>
  <c r="BP118" i="2" s="1"/>
  <c r="P118" i="2"/>
  <c r="BO117" i="2"/>
  <c r="BM117" i="2"/>
  <c r="Y117" i="2"/>
  <c r="Z117" i="2" s="1"/>
  <c r="P117" i="2"/>
  <c r="BO116" i="2"/>
  <c r="BM116" i="2"/>
  <c r="Z116" i="2"/>
  <c r="Y116" i="2"/>
  <c r="BP116" i="2" s="1"/>
  <c r="P116" i="2"/>
  <c r="BO115" i="2"/>
  <c r="BM115" i="2"/>
  <c r="Y115" i="2"/>
  <c r="Y120" i="2" s="1"/>
  <c r="P115" i="2"/>
  <c r="X113" i="2"/>
  <c r="X112" i="2"/>
  <c r="BP111" i="2"/>
  <c r="BO111" i="2"/>
  <c r="BN111" i="2"/>
  <c r="BM111" i="2"/>
  <c r="Z111" i="2"/>
  <c r="Y111" i="2"/>
  <c r="P111" i="2"/>
  <c r="BO110" i="2"/>
  <c r="BM110" i="2"/>
  <c r="Y110" i="2"/>
  <c r="BP110" i="2" s="1"/>
  <c r="P110" i="2"/>
  <c r="BO109" i="2"/>
  <c r="BM109" i="2"/>
  <c r="Y109" i="2"/>
  <c r="BP109" i="2" s="1"/>
  <c r="P109" i="2"/>
  <c r="BP108" i="2"/>
  <c r="BO108" i="2"/>
  <c r="BN108" i="2"/>
  <c r="BM108" i="2"/>
  <c r="Z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Z102" i="2" s="1"/>
  <c r="P102" i="2"/>
  <c r="BP101" i="2"/>
  <c r="BO101" i="2"/>
  <c r="BN101" i="2"/>
  <c r="BM101" i="2"/>
  <c r="Z101" i="2"/>
  <c r="Y101" i="2"/>
  <c r="P101" i="2"/>
  <c r="BO100" i="2"/>
  <c r="BM100" i="2"/>
  <c r="Y100" i="2"/>
  <c r="F503" i="2" s="1"/>
  <c r="P100" i="2"/>
  <c r="X97" i="2"/>
  <c r="X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Y97" i="2" s="1"/>
  <c r="P92" i="2"/>
  <c r="X90" i="2"/>
  <c r="X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Y85" i="2"/>
  <c r="Y89" i="2" s="1"/>
  <c r="P85" i="2"/>
  <c r="X82" i="2"/>
  <c r="X81" i="2"/>
  <c r="BO80" i="2"/>
  <c r="BM80" i="2"/>
  <c r="Z80" i="2"/>
  <c r="Y80" i="2"/>
  <c r="BN80" i="2" s="1"/>
  <c r="P80" i="2"/>
  <c r="BO79" i="2"/>
  <c r="BM79" i="2"/>
  <c r="Y79" i="2"/>
  <c r="Y82" i="2" s="1"/>
  <c r="P79" i="2"/>
  <c r="X77" i="2"/>
  <c r="X76" i="2"/>
  <c r="BO75" i="2"/>
  <c r="BM75" i="2"/>
  <c r="Y75" i="2"/>
  <c r="BP75" i="2" s="1"/>
  <c r="P75" i="2"/>
  <c r="BP74" i="2"/>
  <c r="BO74" i="2"/>
  <c r="BN74" i="2"/>
  <c r="BM74" i="2"/>
  <c r="Z74" i="2"/>
  <c r="Y74" i="2"/>
  <c r="P74" i="2"/>
  <c r="BO73" i="2"/>
  <c r="BM73" i="2"/>
  <c r="Y73" i="2"/>
  <c r="Z73" i="2" s="1"/>
  <c r="P73" i="2"/>
  <c r="BO72" i="2"/>
  <c r="BM72" i="2"/>
  <c r="Y72" i="2"/>
  <c r="Z72" i="2" s="1"/>
  <c r="P72" i="2"/>
  <c r="X70" i="2"/>
  <c r="X69" i="2"/>
  <c r="BO68" i="2"/>
  <c r="BM68" i="2"/>
  <c r="Y68" i="2"/>
  <c r="Z68" i="2" s="1"/>
  <c r="P68" i="2"/>
  <c r="BO67" i="2"/>
  <c r="BM67" i="2"/>
  <c r="Y67" i="2"/>
  <c r="Y70" i="2" s="1"/>
  <c r="P67" i="2"/>
  <c r="X65" i="2"/>
  <c r="X64" i="2"/>
  <c r="BO63" i="2"/>
  <c r="BM63" i="2"/>
  <c r="Y63" i="2"/>
  <c r="BN63" i="2" s="1"/>
  <c r="P63" i="2"/>
  <c r="BO62" i="2"/>
  <c r="BM62" i="2"/>
  <c r="Y62" i="2"/>
  <c r="BN62" i="2" s="1"/>
  <c r="P62" i="2"/>
  <c r="BO61" i="2"/>
  <c r="BM61" i="2"/>
  <c r="Y61" i="2"/>
  <c r="Y65" i="2" s="1"/>
  <c r="P61" i="2"/>
  <c r="X59" i="2"/>
  <c r="X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Y59" i="2" s="1"/>
  <c r="P52" i="2"/>
  <c r="X49" i="2"/>
  <c r="X48" i="2"/>
  <c r="BO47" i="2"/>
  <c r="BM47" i="2"/>
  <c r="Z47" i="2"/>
  <c r="Z48" i="2" s="1"/>
  <c r="Y47" i="2"/>
  <c r="BN47" i="2" s="1"/>
  <c r="P47" i="2"/>
  <c r="X45" i="2"/>
  <c r="X44" i="2"/>
  <c r="BO43" i="2"/>
  <c r="BM43" i="2"/>
  <c r="Y43" i="2"/>
  <c r="BP43" i="2" s="1"/>
  <c r="P43" i="2"/>
  <c r="BO42" i="2"/>
  <c r="BM42" i="2"/>
  <c r="Y42" i="2"/>
  <c r="BP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BP35" i="2" s="1"/>
  <c r="P35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P22" i="2"/>
  <c r="BO22" i="2"/>
  <c r="BN22" i="2"/>
  <c r="BM22" i="2"/>
  <c r="Z22" i="2"/>
  <c r="Y22" i="2"/>
  <c r="P22" i="2"/>
  <c r="H10" i="2"/>
  <c r="A9" i="2"/>
  <c r="F9" i="2" s="1"/>
  <c r="D7" i="2"/>
  <c r="Q6" i="2"/>
  <c r="P2" i="2"/>
  <c r="Y24" i="2" l="1"/>
  <c r="BP102" i="2"/>
  <c r="BN178" i="2"/>
  <c r="BP178" i="2"/>
  <c r="Y189" i="2"/>
  <c r="Y190" i="2"/>
  <c r="Y228" i="2"/>
  <c r="BP239" i="2"/>
  <c r="BN254" i="2"/>
  <c r="BP254" i="2"/>
  <c r="BP262" i="2"/>
  <c r="BN265" i="2"/>
  <c r="BP265" i="2"/>
  <c r="BP273" i="2"/>
  <c r="BN278" i="2"/>
  <c r="BP278" i="2"/>
  <c r="Y281" i="2"/>
  <c r="BN290" i="2"/>
  <c r="BP290" i="2"/>
  <c r="BN301" i="2"/>
  <c r="BP301" i="2"/>
  <c r="BP308" i="2"/>
  <c r="BN309" i="2"/>
  <c r="BP309" i="2"/>
  <c r="BP316" i="2"/>
  <c r="BN316" i="2"/>
  <c r="Z316" i="2"/>
  <c r="BP330" i="2"/>
  <c r="BN330" i="2"/>
  <c r="Z330" i="2"/>
  <c r="BN334" i="2"/>
  <c r="BP334" i="2"/>
  <c r="BP336" i="2"/>
  <c r="BN336" i="2"/>
  <c r="Z336" i="2"/>
  <c r="Y344" i="2"/>
  <c r="Z341" i="2"/>
  <c r="BP343" i="2"/>
  <c r="BN343" i="2"/>
  <c r="Z343" i="2"/>
  <c r="BN364" i="2"/>
  <c r="BP375" i="2"/>
  <c r="BN375" i="2"/>
  <c r="Z375" i="2"/>
  <c r="Z376" i="2" s="1"/>
  <c r="Y377" i="2"/>
  <c r="BN380" i="2"/>
  <c r="BP380" i="2"/>
  <c r="Y381" i="2"/>
  <c r="Z393" i="2"/>
  <c r="BP393" i="2"/>
  <c r="BP400" i="2"/>
  <c r="BN400" i="2"/>
  <c r="Z400" i="2"/>
  <c r="BN404" i="2"/>
  <c r="BP404" i="2"/>
  <c r="V503" i="2"/>
  <c r="Y411" i="2"/>
  <c r="BP410" i="2"/>
  <c r="BN410" i="2"/>
  <c r="Z410" i="2"/>
  <c r="Z411" i="2" s="1"/>
  <c r="Y412" i="2"/>
  <c r="BN415" i="2"/>
  <c r="BP415" i="2"/>
  <c r="Y418" i="2"/>
  <c r="Z429" i="2"/>
  <c r="BP429" i="2"/>
  <c r="BP436" i="2"/>
  <c r="Z436" i="2"/>
  <c r="Z449" i="2"/>
  <c r="BP449" i="2"/>
  <c r="A10" i="2"/>
  <c r="BP23" i="2"/>
  <c r="Y36" i="2"/>
  <c r="BN92" i="2"/>
  <c r="BP92" i="2"/>
  <c r="BN102" i="2"/>
  <c r="BN103" i="2"/>
  <c r="BP103" i="2"/>
  <c r="Y105" i="2"/>
  <c r="BN117" i="2"/>
  <c r="BP117" i="2"/>
  <c r="BP137" i="2"/>
  <c r="H9" i="2"/>
  <c r="B503" i="2"/>
  <c r="X494" i="2"/>
  <c r="X495" i="2"/>
  <c r="Z23" i="2"/>
  <c r="Z24" i="2" s="1"/>
  <c r="X497" i="2"/>
  <c r="X493" i="2"/>
  <c r="Z35" i="2"/>
  <c r="Z36" i="2" s="1"/>
  <c r="BN35" i="2"/>
  <c r="C503" i="2"/>
  <c r="Z43" i="2"/>
  <c r="BP47" i="2"/>
  <c r="Y48" i="2"/>
  <c r="Z56" i="2"/>
  <c r="BN56" i="2"/>
  <c r="Z67" i="2"/>
  <c r="BN67" i="2"/>
  <c r="BP67" i="2"/>
  <c r="BN68" i="2"/>
  <c r="BP68" i="2"/>
  <c r="Y69" i="2"/>
  <c r="BN73" i="2"/>
  <c r="BP73" i="2"/>
  <c r="Z79" i="2"/>
  <c r="Z81" i="2" s="1"/>
  <c r="BN79" i="2"/>
  <c r="BP79" i="2"/>
  <c r="BP80" i="2"/>
  <c r="Y81" i="2"/>
  <c r="Z93" i="2"/>
  <c r="BN93" i="2"/>
  <c r="Z100" i="2"/>
  <c r="Z104" i="2"/>
  <c r="BN104" i="2"/>
  <c r="Z110" i="2"/>
  <c r="BP115" i="2"/>
  <c r="Z118" i="2"/>
  <c r="BN118" i="2"/>
  <c r="G503" i="2"/>
  <c r="Y129" i="2"/>
  <c r="Y130" i="2"/>
  <c r="Z137" i="2"/>
  <c r="BP138" i="2"/>
  <c r="Y139" i="2"/>
  <c r="Y140" i="2"/>
  <c r="Y145" i="2"/>
  <c r="BP149" i="2"/>
  <c r="Z150" i="2"/>
  <c r="BN150" i="2"/>
  <c r="BN151" i="2"/>
  <c r="BP151" i="2"/>
  <c r="BN152" i="2"/>
  <c r="BP152" i="2"/>
  <c r="I503" i="2"/>
  <c r="Y165" i="2"/>
  <c r="Z174" i="2"/>
  <c r="BN174" i="2"/>
  <c r="BP175" i="2"/>
  <c r="Z177" i="2"/>
  <c r="BN177" i="2"/>
  <c r="Z183" i="2"/>
  <c r="BN183" i="2"/>
  <c r="Z194" i="2"/>
  <c r="BP198" i="2"/>
  <c r="Y201" i="2"/>
  <c r="Z207" i="2"/>
  <c r="BN207" i="2"/>
  <c r="BP208" i="2"/>
  <c r="Z210" i="2"/>
  <c r="BN210" i="2"/>
  <c r="Y224" i="2"/>
  <c r="Y223" i="2"/>
  <c r="Z217" i="2"/>
  <c r="BN217" i="2"/>
  <c r="BP218" i="2"/>
  <c r="Z220" i="2"/>
  <c r="BN220" i="2"/>
  <c r="BN221" i="2"/>
  <c r="BP221" i="2"/>
  <c r="Z226" i="2"/>
  <c r="Z228" i="2" s="1"/>
  <c r="BN226" i="2"/>
  <c r="Y229" i="2"/>
  <c r="Y241" i="2"/>
  <c r="BN233" i="2"/>
  <c r="Z237" i="2"/>
  <c r="BN237" i="2"/>
  <c r="Z239" i="2"/>
  <c r="BP240" i="2"/>
  <c r="BP252" i="2"/>
  <c r="Z255" i="2"/>
  <c r="BN255" i="2"/>
  <c r="Y267" i="2"/>
  <c r="Z262" i="2"/>
  <c r="BP263" i="2"/>
  <c r="Z271" i="2"/>
  <c r="BN271" i="2"/>
  <c r="Z273" i="2"/>
  <c r="BN285" i="2"/>
  <c r="BP285" i="2"/>
  <c r="BN286" i="2"/>
  <c r="Z291" i="2"/>
  <c r="Z292" i="2" s="1"/>
  <c r="BN291" i="2"/>
  <c r="Y292" i="2"/>
  <c r="Y293" i="2"/>
  <c r="Q503" i="2"/>
  <c r="Z297" i="2"/>
  <c r="BN297" i="2"/>
  <c r="BP298" i="2"/>
  <c r="BP299" i="2"/>
  <c r="Z306" i="2"/>
  <c r="BN306" i="2"/>
  <c r="Z308" i="2"/>
  <c r="Z309" i="2"/>
  <c r="BN322" i="2"/>
  <c r="BP341" i="2"/>
  <c r="BN342" i="2"/>
  <c r="Z342" i="2"/>
  <c r="BP352" i="2"/>
  <c r="BN352" i="2"/>
  <c r="Z352" i="2"/>
  <c r="BN453" i="2"/>
  <c r="BP466" i="2"/>
  <c r="Z466" i="2"/>
  <c r="Y482" i="2"/>
  <c r="BN480" i="2"/>
  <c r="Z480" i="2"/>
  <c r="Z481" i="2" s="1"/>
  <c r="BN484" i="2"/>
  <c r="BP484" i="2"/>
  <c r="BN327" i="2"/>
  <c r="BP327" i="2"/>
  <c r="BN328" i="2"/>
  <c r="BP328" i="2"/>
  <c r="BN329" i="2"/>
  <c r="Y356" i="2"/>
  <c r="BP353" i="2"/>
  <c r="BP354" i="2"/>
  <c r="BN369" i="2"/>
  <c r="BP369" i="2"/>
  <c r="Y370" i="2"/>
  <c r="Y371" i="2"/>
  <c r="T503" i="2"/>
  <c r="Y376" i="2"/>
  <c r="BN385" i="2"/>
  <c r="BP385" i="2"/>
  <c r="BN386" i="2"/>
  <c r="BP386" i="2"/>
  <c r="Y387" i="2"/>
  <c r="Y388" i="2"/>
  <c r="U503" i="2"/>
  <c r="BN394" i="2"/>
  <c r="BP394" i="2"/>
  <c r="BN397" i="2"/>
  <c r="BP397" i="2"/>
  <c r="BN398" i="2"/>
  <c r="BP398" i="2"/>
  <c r="BN399" i="2"/>
  <c r="BN422" i="2"/>
  <c r="BP422" i="2"/>
  <c r="Y423" i="2"/>
  <c r="Y424" i="2"/>
  <c r="X503" i="2"/>
  <c r="BN430" i="2"/>
  <c r="BP430" i="2"/>
  <c r="BN433" i="2"/>
  <c r="BP433" i="2"/>
  <c r="BN434" i="2"/>
  <c r="BP434" i="2"/>
  <c r="BN435" i="2"/>
  <c r="BN438" i="2"/>
  <c r="BP438" i="2"/>
  <c r="BN443" i="2"/>
  <c r="BP443" i="2"/>
  <c r="BN444" i="2"/>
  <c r="BP444" i="2"/>
  <c r="BN445" i="2"/>
  <c r="BN450" i="2"/>
  <c r="BP450" i="2"/>
  <c r="BN454" i="2"/>
  <c r="BP454" i="2"/>
  <c r="BP467" i="2"/>
  <c r="X496" i="2"/>
  <c r="Z105" i="2"/>
  <c r="Z69" i="2"/>
  <c r="Z302" i="2"/>
  <c r="BN85" i="2"/>
  <c r="BP85" i="2"/>
  <c r="Y113" i="2"/>
  <c r="Y154" i="2"/>
  <c r="Y331" i="2"/>
  <c r="Y366" i="2"/>
  <c r="Y401" i="2"/>
  <c r="BP480" i="2"/>
  <c r="Y492" i="2"/>
  <c r="H503" i="2"/>
  <c r="Y242" i="2"/>
  <c r="J9" i="2"/>
  <c r="BP28" i="2"/>
  <c r="BP53" i="2"/>
  <c r="Z61" i="2"/>
  <c r="BP63" i="2"/>
  <c r="Y76" i="2"/>
  <c r="BP86" i="2"/>
  <c r="Z94" i="2"/>
  <c r="Z128" i="2"/>
  <c r="Z129" i="2" s="1"/>
  <c r="BP143" i="2"/>
  <c r="BP148" i="2"/>
  <c r="Z168" i="2"/>
  <c r="BP170" i="2"/>
  <c r="Z188" i="2"/>
  <c r="Z189" i="2" s="1"/>
  <c r="BP203" i="2"/>
  <c r="Y212" i="2"/>
  <c r="Z232" i="2"/>
  <c r="BP234" i="2"/>
  <c r="BP244" i="2"/>
  <c r="Y257" i="2"/>
  <c r="BP279" i="2"/>
  <c r="Y312" i="2"/>
  <c r="Z321" i="2"/>
  <c r="BP323" i="2"/>
  <c r="Y345" i="2"/>
  <c r="Y357" i="2"/>
  <c r="Z379" i="2"/>
  <c r="Z381" i="2" s="1"/>
  <c r="BN393" i="2"/>
  <c r="Y406" i="2"/>
  <c r="Z414" i="2"/>
  <c r="BP416" i="2"/>
  <c r="BN429" i="2"/>
  <c r="Z437" i="2"/>
  <c r="BP439" i="2"/>
  <c r="BN449" i="2"/>
  <c r="Z471" i="2"/>
  <c r="BP485" i="2"/>
  <c r="BN116" i="2"/>
  <c r="BP233" i="2"/>
  <c r="Y362" i="2"/>
  <c r="BN466" i="2"/>
  <c r="Z476" i="2"/>
  <c r="Z477" i="2" s="1"/>
  <c r="Y481" i="2"/>
  <c r="J503" i="2"/>
  <c r="BN94" i="2"/>
  <c r="BN128" i="2"/>
  <c r="Y155" i="2"/>
  <c r="BN168" i="2"/>
  <c r="Z176" i="2"/>
  <c r="BN188" i="2"/>
  <c r="Z199" i="2"/>
  <c r="Z200" i="2" s="1"/>
  <c r="Z209" i="2"/>
  <c r="Z219" i="2"/>
  <c r="BN232" i="2"/>
  <c r="Z240" i="2"/>
  <c r="Y245" i="2"/>
  <c r="Z252" i="2"/>
  <c r="Z263" i="2"/>
  <c r="Z266" i="2" s="1"/>
  <c r="BN321" i="2"/>
  <c r="Y324" i="2"/>
  <c r="Y332" i="2"/>
  <c r="Y367" i="2"/>
  <c r="BN379" i="2"/>
  <c r="Y402" i="2"/>
  <c r="BN414" i="2"/>
  <c r="BN437" i="2"/>
  <c r="Y440" i="2"/>
  <c r="BN471" i="2"/>
  <c r="Y486" i="2"/>
  <c r="K503" i="2"/>
  <c r="Y90" i="2"/>
  <c r="Y274" i="2"/>
  <c r="Y64" i="2"/>
  <c r="Y106" i="2"/>
  <c r="Z115" i="2"/>
  <c r="Z119" i="2" s="1"/>
  <c r="Z138" i="2"/>
  <c r="Z139" i="2" s="1"/>
  <c r="Z29" i="2"/>
  <c r="BN110" i="2"/>
  <c r="BN133" i="2"/>
  <c r="Z144" i="2"/>
  <c r="Z171" i="2"/>
  <c r="BN194" i="2"/>
  <c r="Z204" i="2"/>
  <c r="Z214" i="2"/>
  <c r="Z235" i="2"/>
  <c r="Y258" i="2"/>
  <c r="Z280" i="2"/>
  <c r="Z314" i="2"/>
  <c r="Z349" i="2"/>
  <c r="Z359" i="2"/>
  <c r="Y407" i="2"/>
  <c r="Z417" i="2"/>
  <c r="BN452" i="2"/>
  <c r="Y455" i="2"/>
  <c r="Z464" i="2"/>
  <c r="BN476" i="2"/>
  <c r="L503" i="2"/>
  <c r="BP52" i="2"/>
  <c r="BN72" i="2"/>
  <c r="BP169" i="2"/>
  <c r="BN43" i="2"/>
  <c r="Z54" i="2"/>
  <c r="BN100" i="2"/>
  <c r="Y25" i="2"/>
  <c r="Y49" i="2"/>
  <c r="BP61" i="2"/>
  <c r="Z92" i="2"/>
  <c r="BN115" i="2"/>
  <c r="BN149" i="2"/>
  <c r="Y179" i="2"/>
  <c r="BP232" i="2"/>
  <c r="Y266" i="2"/>
  <c r="Y275" i="2"/>
  <c r="Z286" i="2"/>
  <c r="Z287" i="2" s="1"/>
  <c r="Y302" i="2"/>
  <c r="BP321" i="2"/>
  <c r="Z329" i="2"/>
  <c r="Z331" i="2" s="1"/>
  <c r="Z364" i="2"/>
  <c r="Z366" i="2" s="1"/>
  <c r="BP379" i="2"/>
  <c r="Z399" i="2"/>
  <c r="BP414" i="2"/>
  <c r="Z435" i="2"/>
  <c r="Z445" i="2"/>
  <c r="Z446" i="2" s="1"/>
  <c r="BP471" i="2"/>
  <c r="M503" i="2"/>
  <c r="Y33" i="2"/>
  <c r="BP27" i="2"/>
  <c r="BP62" i="2"/>
  <c r="Y119" i="2"/>
  <c r="F10" i="2"/>
  <c r="Y37" i="2"/>
  <c r="BN61" i="2"/>
  <c r="Y77" i="2"/>
  <c r="Z87" i="2"/>
  <c r="BN29" i="2"/>
  <c r="Y32" i="2"/>
  <c r="BN54" i="2"/>
  <c r="BN87" i="2"/>
  <c r="BP100" i="2"/>
  <c r="BN144" i="2"/>
  <c r="BN171" i="2"/>
  <c r="BN204" i="2"/>
  <c r="BN214" i="2"/>
  <c r="BN235" i="2"/>
  <c r="Y246" i="2"/>
  <c r="BN280" i="2"/>
  <c r="BN314" i="2"/>
  <c r="BN349" i="2"/>
  <c r="BN359" i="2"/>
  <c r="BN417" i="2"/>
  <c r="Y441" i="2"/>
  <c r="BN464" i="2"/>
  <c r="BP476" i="2"/>
  <c r="Y487" i="2"/>
  <c r="O503" i="2"/>
  <c r="Y456" i="2"/>
  <c r="P503" i="2"/>
  <c r="Z27" i="2"/>
  <c r="Y44" i="2"/>
  <c r="Z52" i="2"/>
  <c r="Z62" i="2"/>
  <c r="Z85" i="2"/>
  <c r="Z95" i="2"/>
  <c r="Y134" i="2"/>
  <c r="Z169" i="2"/>
  <c r="Y180" i="2"/>
  <c r="Y195" i="2"/>
  <c r="BP214" i="2"/>
  <c r="Z278" i="2"/>
  <c r="Y303" i="2"/>
  <c r="BP314" i="2"/>
  <c r="Z322" i="2"/>
  <c r="Y337" i="2"/>
  <c r="BP349" i="2"/>
  <c r="BP359" i="2"/>
  <c r="BP464" i="2"/>
  <c r="Z472" i="2"/>
  <c r="Z484" i="2"/>
  <c r="Y200" i="2"/>
  <c r="Z453" i="2"/>
  <c r="Z490" i="2"/>
  <c r="Z491" i="2" s="1"/>
  <c r="R503" i="2"/>
  <c r="S503" i="2"/>
  <c r="Z30" i="2"/>
  <c r="Y45" i="2"/>
  <c r="Z55" i="2"/>
  <c r="Z88" i="2"/>
  <c r="Y135" i="2"/>
  <c r="Z172" i="2"/>
  <c r="Z182" i="2"/>
  <c r="Z185" i="2" s="1"/>
  <c r="Y196" i="2"/>
  <c r="Z205" i="2"/>
  <c r="Z215" i="2"/>
  <c r="Z236" i="2"/>
  <c r="Z270" i="2"/>
  <c r="Z274" i="2" s="1"/>
  <c r="Z305" i="2"/>
  <c r="Z311" i="2" s="1"/>
  <c r="Z315" i="2"/>
  <c r="Y338" i="2"/>
  <c r="Z350" i="2"/>
  <c r="Z360" i="2"/>
  <c r="Z465" i="2"/>
  <c r="BN490" i="2"/>
  <c r="BN52" i="2"/>
  <c r="BN95" i="2"/>
  <c r="BN30" i="2"/>
  <c r="Z42" i="2"/>
  <c r="Z44" i="2" s="1"/>
  <c r="BN55" i="2"/>
  <c r="Y58" i="2"/>
  <c r="Z75" i="2"/>
  <c r="Z76" i="2" s="1"/>
  <c r="BN88" i="2"/>
  <c r="Z109" i="2"/>
  <c r="Z112" i="2" s="1"/>
  <c r="Z132" i="2"/>
  <c r="Z134" i="2" s="1"/>
  <c r="Y146" i="2"/>
  <c r="BN172" i="2"/>
  <c r="BN182" i="2"/>
  <c r="Y185" i="2"/>
  <c r="Z193" i="2"/>
  <c r="Z195" i="2" s="1"/>
  <c r="BN205" i="2"/>
  <c r="BN215" i="2"/>
  <c r="BN236" i="2"/>
  <c r="Z256" i="2"/>
  <c r="BN270" i="2"/>
  <c r="BN305" i="2"/>
  <c r="BN315" i="2"/>
  <c r="Y318" i="2"/>
  <c r="Z335" i="2"/>
  <c r="Z337" i="2" s="1"/>
  <c r="BN350" i="2"/>
  <c r="BN360" i="2"/>
  <c r="Z395" i="2"/>
  <c r="Z401" i="2" s="1"/>
  <c r="Z405" i="2"/>
  <c r="Z406" i="2" s="1"/>
  <c r="Z431" i="2"/>
  <c r="Z451" i="2"/>
  <c r="Z455" i="2" s="1"/>
  <c r="BN465" i="2"/>
  <c r="Y468" i="2"/>
  <c r="BP490" i="2"/>
  <c r="BP72" i="2"/>
  <c r="Y96" i="2"/>
  <c r="BN436" i="2"/>
  <c r="D503" i="2"/>
  <c r="W503" i="2"/>
  <c r="BN42" i="2"/>
  <c r="Z53" i="2"/>
  <c r="Z63" i="2"/>
  <c r="BN75" i="2"/>
  <c r="Z86" i="2"/>
  <c r="BN109" i="2"/>
  <c r="Y112" i="2"/>
  <c r="BN132" i="2"/>
  <c r="Z143" i="2"/>
  <c r="Z145" i="2" s="1"/>
  <c r="Z148" i="2"/>
  <c r="Z154" i="2" s="1"/>
  <c r="Z170" i="2"/>
  <c r="BP182" i="2"/>
  <c r="BN193" i="2"/>
  <c r="Z203" i="2"/>
  <c r="Z211" i="2" s="1"/>
  <c r="BP215" i="2"/>
  <c r="Z234" i="2"/>
  <c r="Z244" i="2"/>
  <c r="Z245" i="2" s="1"/>
  <c r="BN256" i="2"/>
  <c r="Z279" i="2"/>
  <c r="BP305" i="2"/>
  <c r="Z323" i="2"/>
  <c r="BN335" i="2"/>
  <c r="BN395" i="2"/>
  <c r="BN405" i="2"/>
  <c r="Z416" i="2"/>
  <c r="BN431" i="2"/>
  <c r="Z439" i="2"/>
  <c r="BN451" i="2"/>
  <c r="Z485" i="2"/>
  <c r="Y491" i="2"/>
  <c r="E503" i="2"/>
  <c r="BP127" i="2"/>
  <c r="Y211" i="2"/>
  <c r="BN341" i="2"/>
  <c r="Y469" i="2"/>
  <c r="Z28" i="2"/>
  <c r="Z440" i="2" l="1"/>
  <c r="Y494" i="2"/>
  <c r="Y497" i="2"/>
  <c r="Y495" i="2"/>
  <c r="Z257" i="2"/>
  <c r="Z344" i="2"/>
  <c r="Z89" i="2"/>
  <c r="Z58" i="2"/>
  <c r="Z473" i="2"/>
  <c r="Z179" i="2"/>
  <c r="Z64" i="2"/>
  <c r="Z241" i="2"/>
  <c r="Z356" i="2"/>
  <c r="Z32" i="2"/>
  <c r="Y493" i="2"/>
  <c r="Z223" i="2"/>
  <c r="Z418" i="2"/>
  <c r="Z486" i="2"/>
  <c r="Z96" i="2"/>
  <c r="Z361" i="2"/>
  <c r="Z318" i="2"/>
  <c r="Z281" i="2"/>
  <c r="Z468" i="2"/>
  <c r="Z324" i="2"/>
  <c r="Y496" i="2" l="1"/>
  <c r="Z498" i="2"/>
</calcChain>
</file>

<file path=xl/sharedStrings.xml><?xml version="1.0" encoding="utf-8"?>
<sst xmlns="http://schemas.openxmlformats.org/spreadsheetml/2006/main" count="3636" uniqueCount="778">
  <si>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</si>
  <si>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</si>
  <si>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</si>
  <si>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</si>
  <si>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</si>
  <si>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</si>
  <si>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</si>
  <si>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</si>
  <si>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</si>
  <si>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</si>
  <si>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</si>
  <si>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</si>
  <si>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</si>
  <si>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</si>
  <si>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</si>
  <si>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</si>
  <si>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</si>
  <si>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</si>
  <si>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</si>
  <si>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</si>
  <si>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</si>
  <si>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</si>
  <si>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</si>
  <si>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</si>
  <si>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</si>
  <si>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</si>
  <si>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</si>
  <si>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</si>
  <si>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</si>
  <si>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</si>
  <si>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</si>
  <si>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</si>
  <si>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</si>
  <si>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</si>
  <si>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</si>
  <si>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</si>
  <si>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</si>
  <si>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</si>
  <si>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</si>
  <si>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</si>
  <si>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</si>
  <si>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</si>
  <si>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</si>
  <si>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</si>
  <si>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</si>
  <si>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</si>
  <si>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</si>
  <si>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</si>
  <si>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</si>
  <si>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</si>
  <si>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</si>
  <si>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</si>
  <si>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</si>
  <si>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</si>
  <si>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</si>
  <si>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</si>
  <si>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</si>
  <si>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</si>
  <si>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</si>
  <si>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</si>
  <si>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</si>
  <si>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</si>
  <si>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</si>
  <si>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</si>
  <si>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</si>
  <si>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</si>
  <si>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</si>
  <si>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22.12.2025</t>
  </si>
  <si>
    <t>17.12.2025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</si>
  <si>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</si>
  <si>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</si>
  <si>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</si>
  <si>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</si>
  <si>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</si>
  <si>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</si>
  <si>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</si>
  <si>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</si>
  <si>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</si>
  <si>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</si>
  <si>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</si>
  <si>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</si>
  <si>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</si>
  <si>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</si>
  <si>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</si>
  <si>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</si>
  <si>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</si>
  <si>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</si>
  <si>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</si>
  <si>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</si>
  <si>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</si>
  <si>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</si>
  <si>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Д-RU.РА08.В.78145/23, ЕАЭС N RU Д-RU.РА10.В.84355/25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</si>
  <si>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</si>
  <si>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</si>
  <si>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</si>
  <si>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</si>
  <si>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</si>
  <si>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</si>
  <si>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</si>
  <si>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</si>
  <si>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</si>
  <si>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</si>
  <si>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Короб, мин. 14</t>
  </si>
  <si>
    <t>Короб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</si>
  <si>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</si>
  <si>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</si>
  <si>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</si>
  <si>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</si>
  <si>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</si>
  <si>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</si>
  <si>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</si>
  <si>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</si>
  <si>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</si>
  <si>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</si>
  <si>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</si>
  <si>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</si>
  <si>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</si>
  <si>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</si>
  <si>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</si>
  <si>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</si>
  <si>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</si>
  <si>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</si>
  <si>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</si>
  <si>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</si>
  <si>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</si>
  <si>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</si>
  <si>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</si>
  <si>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</si>
  <si>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</si>
  <si>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</si>
  <si>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</si>
  <si>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</si>
  <si>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</si>
  <si>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</si>
  <si>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</si>
  <si>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</si>
  <si>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</si>
  <si>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</si>
  <si>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</si>
  <si>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</si>
  <si>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</si>
  <si>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</si>
  <si>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</si>
  <si>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</si>
  <si>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</si>
  <si>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</si>
  <si>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</si>
  <si>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</si>
  <si>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</si>
  <si>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</si>
  <si>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</si>
  <si>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</si>
  <si>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</si>
  <si>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</si>
  <si>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</si>
  <si>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</si>
  <si>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</si>
  <si>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</si>
  <si>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</si>
  <si>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</si>
  <si>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</si>
  <si>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</si>
  <si>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</si>
  <si>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</si>
  <si>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</si>
  <si>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</si>
  <si>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</si>
  <si>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</si>
  <si>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</si>
  <si>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</si>
  <si>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</si>
  <si>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</si>
  <si>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</si>
  <si>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</si>
  <si>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</si>
  <si>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</si>
  <si>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</si>
  <si>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</si>
  <si>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</si>
  <si>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</si>
  <si>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</si>
  <si>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</si>
  <si>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</si>
  <si>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</si>
  <si>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</si>
  <si>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</si>
  <si>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</si>
  <si>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</si>
  <si>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</si>
  <si>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</si>
  <si>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</si>
  <si>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</si>
  <si>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</si>
  <si>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</si>
  <si>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</si>
  <si>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</si>
  <si>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</si>
  <si>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</si>
  <si>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</si>
  <si>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</si>
  <si>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</si>
  <si>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</si>
  <si>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</si>
  <si>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</si>
  <si>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</si>
  <si>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</si>
  <si>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</si>
  <si>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</si>
  <si>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</si>
  <si>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</si>
  <si>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</si>
  <si>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</si>
  <si>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</si>
  <si>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</si>
  <si>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</si>
  <si>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</si>
  <si>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</si>
  <si>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</si>
  <si>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</si>
  <si>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</si>
  <si>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</si>
  <si>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</si>
  <si>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</si>
  <si>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</si>
  <si>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</si>
  <si>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</si>
  <si>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</si>
  <si>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</si>
  <si>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</si>
  <si>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</si>
  <si>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</si>
  <si>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</si>
  <si>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</si>
  <si>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</si>
  <si>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</si>
  <si>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</si>
  <si>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</si>
  <si>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</si>
  <si>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</si>
  <si>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</si>
  <si>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</si>
  <si>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</si>
  <si>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</si>
  <si>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</si>
  <si>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</si>
  <si>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</si>
  <si>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</si>
  <si>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</si>
  <si>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</si>
  <si>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</si>
  <si>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</si>
  <si>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</si>
  <si>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</si>
  <si>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</si>
  <si>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</si>
  <si>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</si>
  <si>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</si>
  <si>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</si>
  <si>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</si>
  <si>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</si>
  <si>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</si>
  <si>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</si>
  <si>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ЕАЭС N RU Д-RU.РА11.В.18556/25</t>
  </si>
  <si>
    <t>Новинка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</si>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</sst>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8" t="s">
        <v>26</v>
      </c>
      <c r="E1" s="558"/>
      <c r="F1" s="558"/>
      <c r="G1" s="14" t="s">
        <v>66</v>
      </c>
      <c r="H1" s="558" t="s">
        <v>46</v>
      </c>
      <c r="I1" s="558"/>
      <c r="J1" s="558"/>
      <c r="K1" s="558"/>
      <c r="L1" s="558"/>
      <c r="M1" s="558"/>
      <c r="N1" s="558"/>
      <c r="O1" s="558"/>
      <c r="P1" s="558"/>
      <c r="Q1" s="558"/>
      <c r="R1" s="559" t="s">
        <v>67</v>
      </c>
      <c r="S1" s="560"/>
      <c r="T1" s="5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1"/>
      <c r="Q3" s="561"/>
      <c r="R3" s="561"/>
      <c r="S3" s="561"/>
      <c r="T3" s="561"/>
      <c r="U3" s="561"/>
      <c r="V3" s="561"/>
      <c r="W3" s="5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2" t="s">
        <v>8</v>
      </c>
      <c r="B5" s="562"/>
      <c r="C5" s="562"/>
      <c r="D5" s="563"/>
      <c r="E5" s="563"/>
      <c r="F5" s="564" t="s">
        <v>14</v>
      </c>
      <c r="G5" s="564"/>
      <c r="H5" s="563"/>
      <c r="I5" s="563"/>
      <c r="J5" s="563"/>
      <c r="K5" s="563"/>
      <c r="L5" s="563"/>
      <c r="M5" s="563"/>
      <c r="N5" s="72"/>
      <c r="P5" s="27" t="s">
        <v>4</v>
      </c>
      <c r="Q5" s="565">
        <v>46016</v>
      </c>
      <c r="R5" s="565"/>
      <c r="T5" s="566" t="s">
        <v>3</v>
      </c>
      <c r="U5" s="567"/>
      <c r="V5" s="568" t="s">
        <v>764</v>
      </c>
      <c r="W5" s="569"/>
      <c r="AB5" s="59"/>
      <c r="AC5" s="59"/>
      <c r="AD5" s="59"/>
      <c r="AE5" s="59"/>
    </row>
    <row r="6" spans="1:32" s="17" customFormat="1" ht="24" customHeight="1" x14ac:dyDescent="0.2">
      <c r="A6" s="562" t="s">
        <v>1</v>
      </c>
      <c r="B6" s="562"/>
      <c r="C6" s="562"/>
      <c r="D6" s="570" t="s">
        <v>75</v>
      </c>
      <c r="E6" s="570"/>
      <c r="F6" s="570"/>
      <c r="G6" s="570"/>
      <c r="H6" s="570"/>
      <c r="I6" s="570"/>
      <c r="J6" s="570"/>
      <c r="K6" s="570"/>
      <c r="L6" s="570"/>
      <c r="M6" s="570"/>
      <c r="N6" s="73"/>
      <c r="P6" s="27" t="s">
        <v>27</v>
      </c>
      <c r="Q6" s="571" t="str">
        <f>IF(Q5=0," ",CHOOSE(WEEKDAY(Q5,2),"Понедельник","Вторник","Среда","Четверг","Пятница","Суббота","Воскресенье"))</f>
        <v>Четверг</v>
      </c>
      <c r="R6" s="571"/>
      <c r="T6" s="572" t="s">
        <v>5</v>
      </c>
      <c r="U6" s="573"/>
      <c r="V6" s="574" t="s">
        <v>69</v>
      </c>
      <c r="W6" s="5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0" t="str">
        <f>IFERROR(VLOOKUP(DeliveryAddress,Table,3,0),1)</f>
        <v>1</v>
      </c>
      <c r="E7" s="581"/>
      <c r="F7" s="581"/>
      <c r="G7" s="581"/>
      <c r="H7" s="581"/>
      <c r="I7" s="581"/>
      <c r="J7" s="581"/>
      <c r="K7" s="581"/>
      <c r="L7" s="581"/>
      <c r="M7" s="582"/>
      <c r="N7" s="74"/>
      <c r="P7" s="29"/>
      <c r="Q7" s="48"/>
      <c r="R7" s="48"/>
      <c r="T7" s="572"/>
      <c r="U7" s="573"/>
      <c r="V7" s="576"/>
      <c r="W7" s="577"/>
      <c r="AB7" s="59"/>
      <c r="AC7" s="59"/>
      <c r="AD7" s="59"/>
      <c r="AE7" s="59"/>
    </row>
    <row r="8" spans="1:32" s="17" customFormat="1" ht="25.5" customHeight="1" x14ac:dyDescent="0.2">
      <c r="A8" s="583" t="s">
        <v>57</v>
      </c>
      <c r="B8" s="583"/>
      <c r="C8" s="583"/>
      <c r="D8" s="584" t="s">
        <v>76</v>
      </c>
      <c r="E8" s="584"/>
      <c r="F8" s="584"/>
      <c r="G8" s="584"/>
      <c r="H8" s="584"/>
      <c r="I8" s="584"/>
      <c r="J8" s="584"/>
      <c r="K8" s="584"/>
      <c r="L8" s="584"/>
      <c r="M8" s="584"/>
      <c r="N8" s="75"/>
      <c r="P8" s="27" t="s">
        <v>11</v>
      </c>
      <c r="Q8" s="585">
        <v>0.41666666666666669</v>
      </c>
      <c r="R8" s="585"/>
      <c r="T8" s="572"/>
      <c r="U8" s="573"/>
      <c r="V8" s="576"/>
      <c r="W8" s="577"/>
      <c r="AB8" s="59"/>
      <c r="AC8" s="59"/>
      <c r="AD8" s="59"/>
      <c r="AE8" s="59"/>
    </row>
    <row r="9" spans="1:32" s="17" customFormat="1" ht="39.950000000000003" customHeight="1" x14ac:dyDescent="0.2">
      <c r="A9" s="5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6"/>
      <c r="C9" s="586"/>
      <c r="D9" s="587" t="s">
        <v>45</v>
      </c>
      <c r="E9" s="588"/>
      <c r="F9" s="5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6"/>
      <c r="H9" s="589" t="str">
        <f>IF(AND($A$9="Тип доверенности/получателя при получении в адресе перегруза:",$D$9="Разовая доверенность"),"Введите ФИО","")</f>
        <v/>
      </c>
      <c r="I9" s="589"/>
      <c r="J9" s="5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9"/>
      <c r="L9" s="589"/>
      <c r="M9" s="589"/>
      <c r="N9" s="70"/>
      <c r="P9" s="31" t="s">
        <v>15</v>
      </c>
      <c r="Q9" s="590"/>
      <c r="R9" s="590"/>
      <c r="T9" s="572"/>
      <c r="U9" s="573"/>
      <c r="V9" s="578"/>
      <c r="W9" s="5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6"/>
      <c r="C10" s="586"/>
      <c r="D10" s="587"/>
      <c r="E10" s="588"/>
      <c r="F10" s="5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6"/>
      <c r="H10" s="591" t="str">
        <f>IFERROR(VLOOKUP($D$10,Proxy,2,FALSE),"")</f>
        <v/>
      </c>
      <c r="I10" s="591"/>
      <c r="J10" s="591"/>
      <c r="K10" s="591"/>
      <c r="L10" s="591"/>
      <c r="M10" s="591"/>
      <c r="N10" s="71"/>
      <c r="P10" s="31" t="s">
        <v>32</v>
      </c>
      <c r="Q10" s="592"/>
      <c r="R10" s="592"/>
      <c r="U10" s="29" t="s">
        <v>12</v>
      </c>
      <c r="V10" s="593" t="s">
        <v>70</v>
      </c>
      <c r="W10" s="59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5"/>
      <c r="R11" s="595"/>
      <c r="U11" s="29" t="s">
        <v>28</v>
      </c>
      <c r="V11" s="596" t="s">
        <v>54</v>
      </c>
      <c r="W11" s="59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7" t="s">
        <v>71</v>
      </c>
      <c r="B12" s="597"/>
      <c r="C12" s="597"/>
      <c r="D12" s="597"/>
      <c r="E12" s="597"/>
      <c r="F12" s="597"/>
      <c r="G12" s="597"/>
      <c r="H12" s="597"/>
      <c r="I12" s="597"/>
      <c r="J12" s="597"/>
      <c r="K12" s="597"/>
      <c r="L12" s="597"/>
      <c r="M12" s="597"/>
      <c r="N12" s="76"/>
      <c r="P12" s="27" t="s">
        <v>30</v>
      </c>
      <c r="Q12" s="585"/>
      <c r="R12" s="585"/>
      <c r="S12" s="28"/>
      <c r="T12"/>
      <c r="U12" s="29" t="s">
        <v>45</v>
      </c>
      <c r="V12" s="598"/>
      <c r="W12" s="598"/>
      <c r="X12"/>
      <c r="AB12" s="59"/>
      <c r="AC12" s="59"/>
      <c r="AD12" s="59"/>
      <c r="AE12" s="59"/>
    </row>
    <row r="13" spans="1:32" s="17" customFormat="1" ht="23.25" customHeight="1" x14ac:dyDescent="0.2">
      <c r="A13" s="597" t="s">
        <v>72</v>
      </c>
      <c r="B13" s="597"/>
      <c r="C13" s="597"/>
      <c r="D13" s="597"/>
      <c r="E13" s="597"/>
      <c r="F13" s="597"/>
      <c r="G13" s="597"/>
      <c r="H13" s="597"/>
      <c r="I13" s="597"/>
      <c r="J13" s="597"/>
      <c r="K13" s="597"/>
      <c r="L13" s="597"/>
      <c r="M13" s="597"/>
      <c r="N13" s="76"/>
      <c r="O13" s="31"/>
      <c r="P13" s="31" t="s">
        <v>31</v>
      </c>
      <c r="Q13" s="596"/>
      <c r="R13" s="59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7" t="s">
        <v>73</v>
      </c>
      <c r="B14" s="597"/>
      <c r="C14" s="597"/>
      <c r="D14" s="597"/>
      <c r="E14" s="597"/>
      <c r="F14" s="597"/>
      <c r="G14" s="597"/>
      <c r="H14" s="597"/>
      <c r="I14" s="597"/>
      <c r="J14" s="597"/>
      <c r="K14" s="597"/>
      <c r="L14" s="597"/>
      <c r="M14" s="59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9" t="s">
        <v>74</v>
      </c>
      <c r="B15" s="599"/>
      <c r="C15" s="599"/>
      <c r="D15" s="599"/>
      <c r="E15" s="599"/>
      <c r="F15" s="599"/>
      <c r="G15" s="599"/>
      <c r="H15" s="599"/>
      <c r="I15" s="599"/>
      <c r="J15" s="599"/>
      <c r="K15" s="599"/>
      <c r="L15" s="599"/>
      <c r="M15" s="599"/>
      <c r="N15" s="77"/>
      <c r="O15"/>
      <c r="P15" s="600" t="s">
        <v>60</v>
      </c>
      <c r="Q15" s="600"/>
      <c r="R15" s="600"/>
      <c r="S15" s="600"/>
      <c r="T15" s="60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1"/>
      <c r="Q16" s="601"/>
      <c r="R16" s="601"/>
      <c r="S16" s="601"/>
      <c r="T16" s="60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4" t="s">
        <v>58</v>
      </c>
      <c r="B17" s="604" t="s">
        <v>48</v>
      </c>
      <c r="C17" s="606" t="s">
        <v>47</v>
      </c>
      <c r="D17" s="608" t="s">
        <v>49</v>
      </c>
      <c r="E17" s="609"/>
      <c r="F17" s="604" t="s">
        <v>21</v>
      </c>
      <c r="G17" s="604" t="s">
        <v>24</v>
      </c>
      <c r="H17" s="604" t="s">
        <v>22</v>
      </c>
      <c r="I17" s="604" t="s">
        <v>23</v>
      </c>
      <c r="J17" s="604" t="s">
        <v>16</v>
      </c>
      <c r="K17" s="604" t="s">
        <v>65</v>
      </c>
      <c r="L17" s="604" t="s">
        <v>63</v>
      </c>
      <c r="M17" s="604" t="s">
        <v>2</v>
      </c>
      <c r="N17" s="604" t="s">
        <v>62</v>
      </c>
      <c r="O17" s="604" t="s">
        <v>25</v>
      </c>
      <c r="P17" s="608" t="s">
        <v>17</v>
      </c>
      <c r="Q17" s="612"/>
      <c r="R17" s="612"/>
      <c r="S17" s="612"/>
      <c r="T17" s="609"/>
      <c r="U17" s="602" t="s">
        <v>55</v>
      </c>
      <c r="V17" s="603"/>
      <c r="W17" s="604" t="s">
        <v>6</v>
      </c>
      <c r="X17" s="604" t="s">
        <v>41</v>
      </c>
      <c r="Y17" s="614" t="s">
        <v>53</v>
      </c>
      <c r="Z17" s="616" t="s">
        <v>18</v>
      </c>
      <c r="AA17" s="618" t="s">
        <v>59</v>
      </c>
      <c r="AB17" s="618" t="s">
        <v>19</v>
      </c>
      <c r="AC17" s="618" t="s">
        <v>64</v>
      </c>
      <c r="AD17" s="620" t="s">
        <v>56</v>
      </c>
      <c r="AE17" s="621"/>
      <c r="AF17" s="622"/>
      <c r="AG17" s="82"/>
      <c r="BD17" s="81" t="s">
        <v>61</v>
      </c>
    </row>
    <row r="18" spans="1:68" ht="14.25" customHeight="1" x14ac:dyDescent="0.2">
      <c r="A18" s="605"/>
      <c r="B18" s="605"/>
      <c r="C18" s="607"/>
      <c r="D18" s="610"/>
      <c r="E18" s="611"/>
      <c r="F18" s="605"/>
      <c r="G18" s="605"/>
      <c r="H18" s="605"/>
      <c r="I18" s="605"/>
      <c r="J18" s="605"/>
      <c r="K18" s="605"/>
      <c r="L18" s="605"/>
      <c r="M18" s="605"/>
      <c r="N18" s="605"/>
      <c r="O18" s="605"/>
      <c r="P18" s="610"/>
      <c r="Q18" s="613"/>
      <c r="R18" s="613"/>
      <c r="S18" s="613"/>
      <c r="T18" s="611"/>
      <c r="U18" s="83" t="s">
        <v>44</v>
      </c>
      <c r="V18" s="83" t="s">
        <v>43</v>
      </c>
      <c r="W18" s="605"/>
      <c r="X18" s="605"/>
      <c r="Y18" s="615"/>
      <c r="Z18" s="617"/>
      <c r="AA18" s="619"/>
      <c r="AB18" s="619"/>
      <c r="AC18" s="619"/>
      <c r="AD18" s="623"/>
      <c r="AE18" s="624"/>
      <c r="AF18" s="625"/>
      <c r="AG18" s="82"/>
      <c r="BD18" s="81"/>
    </row>
    <row r="19" spans="1:68" ht="27.75" customHeight="1" x14ac:dyDescent="0.2">
      <c r="A19" s="626" t="s">
        <v>77</v>
      </c>
      <c r="B19" s="626"/>
      <c r="C19" s="626"/>
      <c r="D19" s="626"/>
      <c r="E19" s="626"/>
      <c r="F19" s="626"/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6"/>
      <c r="R19" s="626"/>
      <c r="S19" s="626"/>
      <c r="T19" s="626"/>
      <c r="U19" s="626"/>
      <c r="V19" s="626"/>
      <c r="W19" s="626"/>
      <c r="X19" s="626"/>
      <c r="Y19" s="626"/>
      <c r="Z19" s="626"/>
      <c r="AA19" s="54"/>
      <c r="AB19" s="54"/>
      <c r="AC19" s="54"/>
    </row>
    <row r="20" spans="1:68" ht="16.5" customHeight="1" x14ac:dyDescent="0.25">
      <c r="A20" s="627" t="s">
        <v>77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5"/>
      <c r="AB20" s="65"/>
      <c r="AC20" s="79"/>
    </row>
    <row r="21" spans="1:68" ht="14.25" customHeight="1" x14ac:dyDescent="0.25">
      <c r="A21" s="628" t="s">
        <v>78</v>
      </c>
      <c r="B21" s="628"/>
      <c r="C21" s="628"/>
      <c r="D21" s="628"/>
      <c r="E21" s="628"/>
      <c r="F21" s="628"/>
      <c r="G21" s="628"/>
      <c r="H21" s="628"/>
      <c r="I21" s="628"/>
      <c r="J21" s="628"/>
      <c r="K21" s="628"/>
      <c r="L21" s="628"/>
      <c r="M21" s="628"/>
      <c r="N21" s="628"/>
      <c r="O21" s="628"/>
      <c r="P21" s="628"/>
      <c r="Q21" s="628"/>
      <c r="R21" s="628"/>
      <c r="S21" s="628"/>
      <c r="T21" s="628"/>
      <c r="U21" s="628"/>
      <c r="V21" s="628"/>
      <c r="W21" s="628"/>
      <c r="X21" s="628"/>
      <c r="Y21" s="628"/>
      <c r="Z21" s="628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9">
        <v>4680115887510</v>
      </c>
      <c r="E22" s="629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1"/>
      <c r="R22" s="631"/>
      <c r="S22" s="631"/>
      <c r="T22" s="63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9">
        <v>4680115886643</v>
      </c>
      <c r="E23" s="629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1"/>
      <c r="R23" s="631"/>
      <c r="S23" s="631"/>
      <c r="T23" s="632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7"/>
      <c r="B24" s="637"/>
      <c r="C24" s="637"/>
      <c r="D24" s="637"/>
      <c r="E24" s="637"/>
      <c r="F24" s="637"/>
      <c r="G24" s="637"/>
      <c r="H24" s="637"/>
      <c r="I24" s="637"/>
      <c r="J24" s="637"/>
      <c r="K24" s="637"/>
      <c r="L24" s="637"/>
      <c r="M24" s="637"/>
      <c r="N24" s="637"/>
      <c r="O24" s="638"/>
      <c r="P24" s="634" t="s">
        <v>40</v>
      </c>
      <c r="Q24" s="635"/>
      <c r="R24" s="635"/>
      <c r="S24" s="635"/>
      <c r="T24" s="635"/>
      <c r="U24" s="635"/>
      <c r="V24" s="63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7"/>
      <c r="B25" s="637"/>
      <c r="C25" s="637"/>
      <c r="D25" s="637"/>
      <c r="E25" s="637"/>
      <c r="F25" s="637"/>
      <c r="G25" s="637"/>
      <c r="H25" s="637"/>
      <c r="I25" s="637"/>
      <c r="J25" s="637"/>
      <c r="K25" s="637"/>
      <c r="L25" s="637"/>
      <c r="M25" s="637"/>
      <c r="N25" s="637"/>
      <c r="O25" s="638"/>
      <c r="P25" s="634" t="s">
        <v>40</v>
      </c>
      <c r="Q25" s="635"/>
      <c r="R25" s="635"/>
      <c r="S25" s="635"/>
      <c r="T25" s="635"/>
      <c r="U25" s="635"/>
      <c r="V25" s="63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8" t="s">
        <v>88</v>
      </c>
      <c r="B26" s="628"/>
      <c r="C26" s="628"/>
      <c r="D26" s="628"/>
      <c r="E26" s="628"/>
      <c r="F26" s="628"/>
      <c r="G26" s="628"/>
      <c r="H26" s="628"/>
      <c r="I26" s="628"/>
      <c r="J26" s="628"/>
      <c r="K26" s="628"/>
      <c r="L26" s="628"/>
      <c r="M26" s="628"/>
      <c r="N26" s="628"/>
      <c r="O26" s="628"/>
      <c r="P26" s="628"/>
      <c r="Q26" s="628"/>
      <c r="R26" s="628"/>
      <c r="S26" s="628"/>
      <c r="T26" s="628"/>
      <c r="U26" s="628"/>
      <c r="V26" s="628"/>
      <c r="W26" s="628"/>
      <c r="X26" s="628"/>
      <c r="Y26" s="628"/>
      <c r="Z26" s="628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9">
        <v>4680115885912</v>
      </c>
      <c r="E27" s="62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1"/>
      <c r="R27" s="631"/>
      <c r="S27" s="631"/>
      <c r="T27" s="63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9">
        <v>4607091388237</v>
      </c>
      <c r="E28" s="62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1"/>
      <c r="R28" s="631"/>
      <c r="S28" s="631"/>
      <c r="T28" s="63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9">
        <v>4680115887350</v>
      </c>
      <c r="E29" s="62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1"/>
      <c r="R29" s="631"/>
      <c r="S29" s="631"/>
      <c r="T29" s="63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9">
        <v>4680115885905</v>
      </c>
      <c r="E30" s="62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102</v>
      </c>
      <c r="M30" s="38" t="s">
        <v>98</v>
      </c>
      <c r="N30" s="38"/>
      <c r="O30" s="37">
        <v>40</v>
      </c>
      <c r="P30" s="6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1"/>
      <c r="R30" s="631"/>
      <c r="S30" s="631"/>
      <c r="T30" s="63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103</v>
      </c>
      <c r="AK30" s="84">
        <v>25.2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104</v>
      </c>
      <c r="B31" s="63" t="s">
        <v>105</v>
      </c>
      <c r="C31" s="36">
        <v>4301051851</v>
      </c>
      <c r="D31" s="629">
        <v>4607091388244</v>
      </c>
      <c r="E31" s="629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102</v>
      </c>
      <c r="M31" s="38" t="s">
        <v>98</v>
      </c>
      <c r="N31" s="38"/>
      <c r="O31" s="37">
        <v>40</v>
      </c>
      <c r="P31" s="64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31"/>
      <c r="R31" s="631"/>
      <c r="S31" s="631"/>
      <c r="T31" s="632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103</v>
      </c>
      <c r="AK31" s="84">
        <v>35.28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7"/>
      <c r="B32" s="637"/>
      <c r="C32" s="637"/>
      <c r="D32" s="637"/>
      <c r="E32" s="637"/>
      <c r="F32" s="637"/>
      <c r="G32" s="637"/>
      <c r="H32" s="637"/>
      <c r="I32" s="637"/>
      <c r="J32" s="637"/>
      <c r="K32" s="637"/>
      <c r="L32" s="637"/>
      <c r="M32" s="637"/>
      <c r="N32" s="637"/>
      <c r="O32" s="638"/>
      <c r="P32" s="634" t="s">
        <v>40</v>
      </c>
      <c r="Q32" s="635"/>
      <c r="R32" s="635"/>
      <c r="S32" s="635"/>
      <c r="T32" s="635"/>
      <c r="U32" s="635"/>
      <c r="V32" s="63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7"/>
      <c r="B33" s="637"/>
      <c r="C33" s="637"/>
      <c r="D33" s="637"/>
      <c r="E33" s="637"/>
      <c r="F33" s="637"/>
      <c r="G33" s="637"/>
      <c r="H33" s="637"/>
      <c r="I33" s="637"/>
      <c r="J33" s="637"/>
      <c r="K33" s="637"/>
      <c r="L33" s="637"/>
      <c r="M33" s="637"/>
      <c r="N33" s="637"/>
      <c r="O33" s="638"/>
      <c r="P33" s="634" t="s">
        <v>40</v>
      </c>
      <c r="Q33" s="635"/>
      <c r="R33" s="635"/>
      <c r="S33" s="635"/>
      <c r="T33" s="635"/>
      <c r="U33" s="635"/>
      <c r="V33" s="63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8" t="s">
        <v>106</v>
      </c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8"/>
      <c r="P34" s="628"/>
      <c r="Q34" s="628"/>
      <c r="R34" s="628"/>
      <c r="S34" s="628"/>
      <c r="T34" s="628"/>
      <c r="U34" s="628"/>
      <c r="V34" s="628"/>
      <c r="W34" s="628"/>
      <c r="X34" s="628"/>
      <c r="Y34" s="628"/>
      <c r="Z34" s="628"/>
      <c r="AA34" s="66"/>
      <c r="AB34" s="66"/>
      <c r="AC34" s="80"/>
    </row>
    <row r="35" spans="1:68" ht="27" customHeight="1" x14ac:dyDescent="0.25">
      <c r="A35" s="63" t="s">
        <v>107</v>
      </c>
      <c r="B35" s="63" t="s">
        <v>108</v>
      </c>
      <c r="C35" s="36">
        <v>4301032013</v>
      </c>
      <c r="D35" s="629">
        <v>4607091388503</v>
      </c>
      <c r="E35" s="62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111</v>
      </c>
      <c r="N35" s="38"/>
      <c r="O35" s="37">
        <v>120</v>
      </c>
      <c r="P35" s="64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1"/>
      <c r="R35" s="631"/>
      <c r="S35" s="631"/>
      <c r="T35" s="632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109</v>
      </c>
      <c r="AG35" s="78"/>
      <c r="AJ35" s="84" t="s">
        <v>45</v>
      </c>
      <c r="AK35" s="84">
        <v>0</v>
      </c>
      <c r="BB35" s="101" t="s">
        <v>110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7"/>
      <c r="B36" s="637"/>
      <c r="C36" s="637"/>
      <c r="D36" s="637"/>
      <c r="E36" s="637"/>
      <c r="F36" s="637"/>
      <c r="G36" s="637"/>
      <c r="H36" s="637"/>
      <c r="I36" s="637"/>
      <c r="J36" s="637"/>
      <c r="K36" s="637"/>
      <c r="L36" s="637"/>
      <c r="M36" s="637"/>
      <c r="N36" s="637"/>
      <c r="O36" s="638"/>
      <c r="P36" s="634" t="s">
        <v>40</v>
      </c>
      <c r="Q36" s="635"/>
      <c r="R36" s="635"/>
      <c r="S36" s="635"/>
      <c r="T36" s="635"/>
      <c r="U36" s="635"/>
      <c r="V36" s="63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7"/>
      <c r="B37" s="637"/>
      <c r="C37" s="637"/>
      <c r="D37" s="637"/>
      <c r="E37" s="637"/>
      <c r="F37" s="637"/>
      <c r="G37" s="637"/>
      <c r="H37" s="637"/>
      <c r="I37" s="637"/>
      <c r="J37" s="637"/>
      <c r="K37" s="637"/>
      <c r="L37" s="637"/>
      <c r="M37" s="637"/>
      <c r="N37" s="637"/>
      <c r="O37" s="638"/>
      <c r="P37" s="634" t="s">
        <v>40</v>
      </c>
      <c r="Q37" s="635"/>
      <c r="R37" s="635"/>
      <c r="S37" s="635"/>
      <c r="T37" s="635"/>
      <c r="U37" s="635"/>
      <c r="V37" s="63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6" t="s">
        <v>112</v>
      </c>
      <c r="B38" s="626"/>
      <c r="C38" s="626"/>
      <c r="D38" s="626"/>
      <c r="E38" s="626"/>
      <c r="F38" s="626"/>
      <c r="G38" s="626"/>
      <c r="H38" s="626"/>
      <c r="I38" s="626"/>
      <c r="J38" s="626"/>
      <c r="K38" s="626"/>
      <c r="L38" s="626"/>
      <c r="M38" s="626"/>
      <c r="N38" s="626"/>
      <c r="O38" s="626"/>
      <c r="P38" s="626"/>
      <c r="Q38" s="626"/>
      <c r="R38" s="626"/>
      <c r="S38" s="626"/>
      <c r="T38" s="626"/>
      <c r="U38" s="626"/>
      <c r="V38" s="626"/>
      <c r="W38" s="626"/>
      <c r="X38" s="626"/>
      <c r="Y38" s="626"/>
      <c r="Z38" s="626"/>
      <c r="AA38" s="54"/>
      <c r="AB38" s="54"/>
      <c r="AC38" s="54"/>
    </row>
    <row r="39" spans="1:68" ht="16.5" customHeight="1" x14ac:dyDescent="0.25">
      <c r="A39" s="627" t="s">
        <v>113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5"/>
      <c r="AB39" s="65"/>
      <c r="AC39" s="79"/>
    </row>
    <row r="40" spans="1:68" ht="14.25" customHeight="1" x14ac:dyDescent="0.25">
      <c r="A40" s="628" t="s">
        <v>114</v>
      </c>
      <c r="B40" s="628"/>
      <c r="C40" s="628"/>
      <c r="D40" s="628"/>
      <c r="E40" s="628"/>
      <c r="F40" s="628"/>
      <c r="G40" s="628"/>
      <c r="H40" s="628"/>
      <c r="I40" s="628"/>
      <c r="J40" s="628"/>
      <c r="K40" s="628"/>
      <c r="L40" s="628"/>
      <c r="M40" s="628"/>
      <c r="N40" s="628"/>
      <c r="O40" s="628"/>
      <c r="P40" s="628"/>
      <c r="Q40" s="628"/>
      <c r="R40" s="628"/>
      <c r="S40" s="628"/>
      <c r="T40" s="628"/>
      <c r="U40" s="628"/>
      <c r="V40" s="628"/>
      <c r="W40" s="628"/>
      <c r="X40" s="628"/>
      <c r="Y40" s="628"/>
      <c r="Z40" s="628"/>
      <c r="AA40" s="66"/>
      <c r="AB40" s="66"/>
      <c r="AC40" s="80"/>
    </row>
    <row r="41" spans="1:68" ht="16.5" customHeight="1" x14ac:dyDescent="0.25">
      <c r="A41" s="63" t="s">
        <v>115</v>
      </c>
      <c r="B41" s="63" t="s">
        <v>116</v>
      </c>
      <c r="C41" s="36">
        <v>4301011380</v>
      </c>
      <c r="D41" s="629">
        <v>4607091385670</v>
      </c>
      <c r="E41" s="629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119</v>
      </c>
      <c r="L41" s="37" t="s">
        <v>120</v>
      </c>
      <c r="M41" s="38" t="s">
        <v>118</v>
      </c>
      <c r="N41" s="38"/>
      <c r="O41" s="37">
        <v>50</v>
      </c>
      <c r="P41" s="6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31"/>
      <c r="R41" s="631"/>
      <c r="S41" s="631"/>
      <c r="T41" s="63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117</v>
      </c>
      <c r="AG41" s="78"/>
      <c r="AJ41" s="84" t="s">
        <v>103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29">
        <v>4680115882539</v>
      </c>
      <c r="E42" s="62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123</v>
      </c>
      <c r="L42" s="37" t="s">
        <v>45</v>
      </c>
      <c r="M42" s="38" t="s">
        <v>92</v>
      </c>
      <c r="N42" s="38"/>
      <c r="O42" s="37">
        <v>50</v>
      </c>
      <c r="P42" s="6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31"/>
      <c r="R42" s="631"/>
      <c r="S42" s="631"/>
      <c r="T42" s="63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124</v>
      </c>
      <c r="B43" s="63" t="s">
        <v>125</v>
      </c>
      <c r="C43" s="36">
        <v>4301011382</v>
      </c>
      <c r="D43" s="629">
        <v>4607091385687</v>
      </c>
      <c r="E43" s="629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123</v>
      </c>
      <c r="L43" s="37" t="s">
        <v>126</v>
      </c>
      <c r="M43" s="38" t="s">
        <v>92</v>
      </c>
      <c r="N43" s="38"/>
      <c r="O43" s="37">
        <v>50</v>
      </c>
      <c r="P43" s="6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31"/>
      <c r="R43" s="631"/>
      <c r="S43" s="631"/>
      <c r="T43" s="632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103</v>
      </c>
      <c r="AK43" s="84">
        <v>48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7"/>
      <c r="B44" s="637"/>
      <c r="C44" s="637"/>
      <c r="D44" s="637"/>
      <c r="E44" s="637"/>
      <c r="F44" s="637"/>
      <c r="G44" s="637"/>
      <c r="H44" s="637"/>
      <c r="I44" s="637"/>
      <c r="J44" s="637"/>
      <c r="K44" s="637"/>
      <c r="L44" s="637"/>
      <c r="M44" s="637"/>
      <c r="N44" s="637"/>
      <c r="O44" s="638"/>
      <c r="P44" s="634" t="s">
        <v>40</v>
      </c>
      <c r="Q44" s="635"/>
      <c r="R44" s="635"/>
      <c r="S44" s="635"/>
      <c r="T44" s="635"/>
      <c r="U44" s="635"/>
      <c r="V44" s="636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7"/>
      <c r="B45" s="637"/>
      <c r="C45" s="637"/>
      <c r="D45" s="637"/>
      <c r="E45" s="637"/>
      <c r="F45" s="637"/>
      <c r="G45" s="637"/>
      <c r="H45" s="637"/>
      <c r="I45" s="637"/>
      <c r="J45" s="637"/>
      <c r="K45" s="637"/>
      <c r="L45" s="637"/>
      <c r="M45" s="637"/>
      <c r="N45" s="637"/>
      <c r="O45" s="638"/>
      <c r="P45" s="634" t="s">
        <v>40</v>
      </c>
      <c r="Q45" s="635"/>
      <c r="R45" s="635"/>
      <c r="S45" s="635"/>
      <c r="T45" s="635"/>
      <c r="U45" s="635"/>
      <c r="V45" s="636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8" t="s">
        <v>88</v>
      </c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8"/>
      <c r="P46" s="628"/>
      <c r="Q46" s="628"/>
      <c r="R46" s="628"/>
      <c r="S46" s="628"/>
      <c r="T46" s="628"/>
      <c r="U46" s="628"/>
      <c r="V46" s="628"/>
      <c r="W46" s="628"/>
      <c r="X46" s="628"/>
      <c r="Y46" s="628"/>
      <c r="Z46" s="628"/>
      <c r="AA46" s="66"/>
      <c r="AB46" s="66"/>
      <c r="AC46" s="80"/>
    </row>
    <row r="47" spans="1:68" ht="16.5" customHeight="1" x14ac:dyDescent="0.25">
      <c r="A47" s="63" t="s">
        <v>127</v>
      </c>
      <c r="B47" s="63" t="s">
        <v>128</v>
      </c>
      <c r="C47" s="36">
        <v>4301051820</v>
      </c>
      <c r="D47" s="629">
        <v>4680115884915</v>
      </c>
      <c r="E47" s="629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102</v>
      </c>
      <c r="M47" s="38" t="s">
        <v>92</v>
      </c>
      <c r="N47" s="38"/>
      <c r="O47" s="37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31"/>
      <c r="R47" s="631"/>
      <c r="S47" s="631"/>
      <c r="T47" s="632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129</v>
      </c>
      <c r="AG47" s="78"/>
      <c r="AJ47" s="84" t="s">
        <v>103</v>
      </c>
      <c r="AK47" s="84">
        <v>25.2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7"/>
      <c r="B48" s="637"/>
      <c r="C48" s="637"/>
      <c r="D48" s="637"/>
      <c r="E48" s="637"/>
      <c r="F48" s="637"/>
      <c r="G48" s="637"/>
      <c r="H48" s="637"/>
      <c r="I48" s="637"/>
      <c r="J48" s="637"/>
      <c r="K48" s="637"/>
      <c r="L48" s="637"/>
      <c r="M48" s="637"/>
      <c r="N48" s="637"/>
      <c r="O48" s="638"/>
      <c r="P48" s="634" t="s">
        <v>40</v>
      </c>
      <c r="Q48" s="635"/>
      <c r="R48" s="635"/>
      <c r="S48" s="635"/>
      <c r="T48" s="635"/>
      <c r="U48" s="635"/>
      <c r="V48" s="636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7"/>
      <c r="B49" s="637"/>
      <c r="C49" s="637"/>
      <c r="D49" s="637"/>
      <c r="E49" s="637"/>
      <c r="F49" s="637"/>
      <c r="G49" s="637"/>
      <c r="H49" s="637"/>
      <c r="I49" s="637"/>
      <c r="J49" s="637"/>
      <c r="K49" s="637"/>
      <c r="L49" s="637"/>
      <c r="M49" s="637"/>
      <c r="N49" s="637"/>
      <c r="O49" s="638"/>
      <c r="P49" s="634" t="s">
        <v>40</v>
      </c>
      <c r="Q49" s="635"/>
      <c r="R49" s="635"/>
      <c r="S49" s="635"/>
      <c r="T49" s="635"/>
      <c r="U49" s="635"/>
      <c r="V49" s="636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7" t="s">
        <v>130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5"/>
      <c r="AB50" s="65"/>
      <c r="AC50" s="79"/>
    </row>
    <row r="51" spans="1:68" ht="14.25" customHeight="1" x14ac:dyDescent="0.25">
      <c r="A51" s="628" t="s">
        <v>114</v>
      </c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8"/>
      <c r="P51" s="628"/>
      <c r="Q51" s="628"/>
      <c r="R51" s="628"/>
      <c r="S51" s="628"/>
      <c r="T51" s="628"/>
      <c r="U51" s="628"/>
      <c r="V51" s="628"/>
      <c r="W51" s="628"/>
      <c r="X51" s="628"/>
      <c r="Y51" s="628"/>
      <c r="Z51" s="628"/>
      <c r="AA51" s="66"/>
      <c r="AB51" s="66"/>
      <c r="AC51" s="80"/>
    </row>
    <row r="52" spans="1:68" ht="27" customHeight="1" x14ac:dyDescent="0.25">
      <c r="A52" s="63" t="s">
        <v>131</v>
      </c>
      <c r="B52" s="63" t="s">
        <v>132</v>
      </c>
      <c r="C52" s="36">
        <v>4301012030</v>
      </c>
      <c r="D52" s="629">
        <v>4680115885882</v>
      </c>
      <c r="E52" s="629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119</v>
      </c>
      <c r="L52" s="37" t="s">
        <v>120</v>
      </c>
      <c r="M52" s="38" t="s">
        <v>92</v>
      </c>
      <c r="N52" s="38"/>
      <c r="O52" s="37">
        <v>50</v>
      </c>
      <c r="P52" s="64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31"/>
      <c r="R52" s="631"/>
      <c r="S52" s="631"/>
      <c r="T52" s="63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103</v>
      </c>
      <c r="AK52" s="84">
        <v>89.6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4301011816</v>
      </c>
      <c r="D53" s="629">
        <v>4680115881426</v>
      </c>
      <c r="E53" s="629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119</v>
      </c>
      <c r="L53" s="37" t="s">
        <v>45</v>
      </c>
      <c r="M53" s="38" t="s">
        <v>118</v>
      </c>
      <c r="N53" s="38"/>
      <c r="O53" s="37">
        <v>50</v>
      </c>
      <c r="P53" s="6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31"/>
      <c r="R53" s="631"/>
      <c r="S53" s="631"/>
      <c r="T53" s="63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4301011386</v>
      </c>
      <c r="D54" s="629">
        <v>4680115880283</v>
      </c>
      <c r="E54" s="629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123</v>
      </c>
      <c r="L54" s="37" t="s">
        <v>45</v>
      </c>
      <c r="M54" s="38" t="s">
        <v>118</v>
      </c>
      <c r="N54" s="38"/>
      <c r="O54" s="37">
        <v>45</v>
      </c>
      <c r="P54" s="6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31"/>
      <c r="R54" s="631"/>
      <c r="S54" s="631"/>
      <c r="T54" s="63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140</v>
      </c>
      <c r="B55" s="63" t="s">
        <v>141</v>
      </c>
      <c r="C55" s="36">
        <v>4301011806</v>
      </c>
      <c r="D55" s="629">
        <v>4680115881525</v>
      </c>
      <c r="E55" s="629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123</v>
      </c>
      <c r="L55" s="37" t="s">
        <v>45</v>
      </c>
      <c r="M55" s="38" t="s">
        <v>118</v>
      </c>
      <c r="N55" s="38"/>
      <c r="O55" s="37">
        <v>50</v>
      </c>
      <c r="P55" s="6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31"/>
      <c r="R55" s="631"/>
      <c r="S55" s="631"/>
      <c r="T55" s="63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4301011589</v>
      </c>
      <c r="D56" s="629">
        <v>4680115885899</v>
      </c>
      <c r="E56" s="629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102</v>
      </c>
      <c r="M56" s="38" t="s">
        <v>98</v>
      </c>
      <c r="N56" s="38"/>
      <c r="O56" s="37">
        <v>50</v>
      </c>
      <c r="P56" s="65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31"/>
      <c r="R56" s="631"/>
      <c r="S56" s="631"/>
      <c r="T56" s="63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103</v>
      </c>
      <c r="AK56" s="84">
        <v>29.4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146</v>
      </c>
      <c r="B57" s="63" t="s">
        <v>147</v>
      </c>
      <c r="C57" s="36">
        <v>4301011801</v>
      </c>
      <c r="D57" s="629">
        <v>4680115881419</v>
      </c>
      <c r="E57" s="629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123</v>
      </c>
      <c r="L57" s="37" t="s">
        <v>45</v>
      </c>
      <c r="M57" s="38" t="s">
        <v>118</v>
      </c>
      <c r="N57" s="38"/>
      <c r="O57" s="37">
        <v>50</v>
      </c>
      <c r="P57" s="6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31"/>
      <c r="R57" s="631"/>
      <c r="S57" s="631"/>
      <c r="T57" s="632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148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7"/>
      <c r="B58" s="637"/>
      <c r="C58" s="637"/>
      <c r="D58" s="637"/>
      <c r="E58" s="637"/>
      <c r="F58" s="637"/>
      <c r="G58" s="637"/>
      <c r="H58" s="637"/>
      <c r="I58" s="637"/>
      <c r="J58" s="637"/>
      <c r="K58" s="637"/>
      <c r="L58" s="637"/>
      <c r="M58" s="637"/>
      <c r="N58" s="637"/>
      <c r="O58" s="638"/>
      <c r="P58" s="634" t="s">
        <v>40</v>
      </c>
      <c r="Q58" s="635"/>
      <c r="R58" s="635"/>
      <c r="S58" s="635"/>
      <c r="T58" s="635"/>
      <c r="U58" s="635"/>
      <c r="V58" s="636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7"/>
      <c r="B59" s="637"/>
      <c r="C59" s="637"/>
      <c r="D59" s="637"/>
      <c r="E59" s="637"/>
      <c r="F59" s="637"/>
      <c r="G59" s="637"/>
      <c r="H59" s="637"/>
      <c r="I59" s="637"/>
      <c r="J59" s="637"/>
      <c r="K59" s="637"/>
      <c r="L59" s="637"/>
      <c r="M59" s="637"/>
      <c r="N59" s="637"/>
      <c r="O59" s="638"/>
      <c r="P59" s="634" t="s">
        <v>40</v>
      </c>
      <c r="Q59" s="635"/>
      <c r="R59" s="635"/>
      <c r="S59" s="635"/>
      <c r="T59" s="635"/>
      <c r="U59" s="635"/>
      <c r="V59" s="636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8" t="s">
        <v>149</v>
      </c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8"/>
      <c r="P60" s="628"/>
      <c r="Q60" s="628"/>
      <c r="R60" s="628"/>
      <c r="S60" s="628"/>
      <c r="T60" s="628"/>
      <c r="U60" s="628"/>
      <c r="V60" s="628"/>
      <c r="W60" s="628"/>
      <c r="X60" s="628"/>
      <c r="Y60" s="628"/>
      <c r="Z60" s="628"/>
      <c r="AA60" s="66"/>
      <c r="AB60" s="66"/>
      <c r="AC60" s="80"/>
    </row>
    <row r="61" spans="1:68" ht="16.5" customHeight="1" x14ac:dyDescent="0.25">
      <c r="A61" s="63" t="s">
        <v>150</v>
      </c>
      <c r="B61" s="63" t="s">
        <v>151</v>
      </c>
      <c r="C61" s="36">
        <v>4301020298</v>
      </c>
      <c r="D61" s="629">
        <v>4680115881440</v>
      </c>
      <c r="E61" s="62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119</v>
      </c>
      <c r="L61" s="37" t="s">
        <v>120</v>
      </c>
      <c r="M61" s="38" t="s">
        <v>118</v>
      </c>
      <c r="N61" s="38"/>
      <c r="O61" s="37">
        <v>50</v>
      </c>
      <c r="P61" s="6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31"/>
      <c r="R61" s="631"/>
      <c r="S61" s="631"/>
      <c r="T61" s="63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152</v>
      </c>
      <c r="AG61" s="78"/>
      <c r="AJ61" s="84" t="s">
        <v>103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153</v>
      </c>
      <c r="B62" s="63" t="s">
        <v>154</v>
      </c>
      <c r="C62" s="36">
        <v>4301020358</v>
      </c>
      <c r="D62" s="629">
        <v>4680115885950</v>
      </c>
      <c r="E62" s="629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31"/>
      <c r="R62" s="631"/>
      <c r="S62" s="631"/>
      <c r="T62" s="63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152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4301020296</v>
      </c>
      <c r="D63" s="629">
        <v>4680115881433</v>
      </c>
      <c r="E63" s="629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118</v>
      </c>
      <c r="N63" s="38"/>
      <c r="O63" s="37">
        <v>50</v>
      </c>
      <c r="P63" s="6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31"/>
      <c r="R63" s="631"/>
      <c r="S63" s="631"/>
      <c r="T63" s="632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152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7"/>
      <c r="B64" s="637"/>
      <c r="C64" s="637"/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8"/>
      <c r="P64" s="634" t="s">
        <v>40</v>
      </c>
      <c r="Q64" s="635"/>
      <c r="R64" s="635"/>
      <c r="S64" s="635"/>
      <c r="T64" s="635"/>
      <c r="U64" s="635"/>
      <c r="V64" s="636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7"/>
      <c r="B65" s="637"/>
      <c r="C65" s="637"/>
      <c r="D65" s="637"/>
      <c r="E65" s="637"/>
      <c r="F65" s="637"/>
      <c r="G65" s="637"/>
      <c r="H65" s="637"/>
      <c r="I65" s="637"/>
      <c r="J65" s="637"/>
      <c r="K65" s="637"/>
      <c r="L65" s="637"/>
      <c r="M65" s="637"/>
      <c r="N65" s="637"/>
      <c r="O65" s="638"/>
      <c r="P65" s="634" t="s">
        <v>40</v>
      </c>
      <c r="Q65" s="635"/>
      <c r="R65" s="635"/>
      <c r="S65" s="635"/>
      <c r="T65" s="635"/>
      <c r="U65" s="635"/>
      <c r="V65" s="636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8" t="s">
        <v>78</v>
      </c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8"/>
      <c r="P66" s="628"/>
      <c r="Q66" s="628"/>
      <c r="R66" s="628"/>
      <c r="S66" s="628"/>
      <c r="T66" s="628"/>
      <c r="U66" s="628"/>
      <c r="V66" s="628"/>
      <c r="W66" s="628"/>
      <c r="X66" s="628"/>
      <c r="Y66" s="628"/>
      <c r="Z66" s="628"/>
      <c r="AA66" s="66"/>
      <c r="AB66" s="66"/>
      <c r="AC66" s="80"/>
    </row>
    <row r="67" spans="1:68" ht="27" customHeight="1" x14ac:dyDescent="0.25">
      <c r="A67" s="63" t="s">
        <v>157</v>
      </c>
      <c r="B67" s="63" t="s">
        <v>158</v>
      </c>
      <c r="C67" s="36">
        <v>4301031243</v>
      </c>
      <c r="D67" s="629">
        <v>4680115885073</v>
      </c>
      <c r="E67" s="62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31"/>
      <c r="R67" s="631"/>
      <c r="S67" s="631"/>
      <c r="T67" s="63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29">
        <v>4680115885097</v>
      </c>
      <c r="E68" s="62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31"/>
      <c r="R68" s="631"/>
      <c r="S68" s="631"/>
      <c r="T68" s="63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7"/>
      <c r="B69" s="637"/>
      <c r="C69" s="637"/>
      <c r="D69" s="637"/>
      <c r="E69" s="637"/>
      <c r="F69" s="637"/>
      <c r="G69" s="637"/>
      <c r="H69" s="637"/>
      <c r="I69" s="637"/>
      <c r="J69" s="637"/>
      <c r="K69" s="637"/>
      <c r="L69" s="637"/>
      <c r="M69" s="637"/>
      <c r="N69" s="637"/>
      <c r="O69" s="638"/>
      <c r="P69" s="634" t="s">
        <v>40</v>
      </c>
      <c r="Q69" s="635"/>
      <c r="R69" s="635"/>
      <c r="S69" s="635"/>
      <c r="T69" s="635"/>
      <c r="U69" s="635"/>
      <c r="V69" s="636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37"/>
      <c r="B70" s="637"/>
      <c r="C70" s="637"/>
      <c r="D70" s="637"/>
      <c r="E70" s="637"/>
      <c r="F70" s="637"/>
      <c r="G70" s="637"/>
      <c r="H70" s="637"/>
      <c r="I70" s="637"/>
      <c r="J70" s="637"/>
      <c r="K70" s="637"/>
      <c r="L70" s="637"/>
      <c r="M70" s="637"/>
      <c r="N70" s="637"/>
      <c r="O70" s="638"/>
      <c r="P70" s="634" t="s">
        <v>40</v>
      </c>
      <c r="Q70" s="635"/>
      <c r="R70" s="635"/>
      <c r="S70" s="635"/>
      <c r="T70" s="635"/>
      <c r="U70" s="635"/>
      <c r="V70" s="636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28" t="s">
        <v>88</v>
      </c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8"/>
      <c r="P71" s="628"/>
      <c r="Q71" s="628"/>
      <c r="R71" s="628"/>
      <c r="S71" s="628"/>
      <c r="T71" s="628"/>
      <c r="U71" s="628"/>
      <c r="V71" s="628"/>
      <c r="W71" s="628"/>
      <c r="X71" s="628"/>
      <c r="Y71" s="628"/>
      <c r="Z71" s="628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29">
        <v>4680115885769</v>
      </c>
      <c r="E72" s="62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119</v>
      </c>
      <c r="L72" s="37" t="s">
        <v>45</v>
      </c>
      <c r="M72" s="38" t="s">
        <v>92</v>
      </c>
      <c r="N72" s="38"/>
      <c r="O72" s="37">
        <v>45</v>
      </c>
      <c r="P72" s="6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31"/>
      <c r="R72" s="631"/>
      <c r="S72" s="631"/>
      <c r="T72" s="63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29">
        <v>4680115884311</v>
      </c>
      <c r="E73" s="62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102</v>
      </c>
      <c r="M73" s="38" t="s">
        <v>92</v>
      </c>
      <c r="N73" s="38"/>
      <c r="O73" s="37">
        <v>40</v>
      </c>
      <c r="P73" s="6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1"/>
      <c r="R73" s="631"/>
      <c r="S73" s="631"/>
      <c r="T73" s="63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103</v>
      </c>
      <c r="AK73" s="84">
        <v>25.2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29">
        <v>4680115885929</v>
      </c>
      <c r="E74" s="62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31"/>
      <c r="R74" s="631"/>
      <c r="S74" s="631"/>
      <c r="T74" s="63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29">
        <v>4680115884403</v>
      </c>
      <c r="E75" s="62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102</v>
      </c>
      <c r="M75" s="38" t="s">
        <v>92</v>
      </c>
      <c r="N75" s="38"/>
      <c r="O75" s="37">
        <v>40</v>
      </c>
      <c r="P75" s="66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31"/>
      <c r="R75" s="631"/>
      <c r="S75" s="631"/>
      <c r="T75" s="63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103</v>
      </c>
      <c r="AK75" s="84">
        <v>25.2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7"/>
      <c r="B76" s="637"/>
      <c r="C76" s="637"/>
      <c r="D76" s="637"/>
      <c r="E76" s="637"/>
      <c r="F76" s="637"/>
      <c r="G76" s="637"/>
      <c r="H76" s="637"/>
      <c r="I76" s="637"/>
      <c r="J76" s="637"/>
      <c r="K76" s="637"/>
      <c r="L76" s="637"/>
      <c r="M76" s="637"/>
      <c r="N76" s="637"/>
      <c r="O76" s="638"/>
      <c r="P76" s="634" t="s">
        <v>40</v>
      </c>
      <c r="Q76" s="635"/>
      <c r="R76" s="635"/>
      <c r="S76" s="635"/>
      <c r="T76" s="635"/>
      <c r="U76" s="635"/>
      <c r="V76" s="636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7"/>
      <c r="B77" s="637"/>
      <c r="C77" s="637"/>
      <c r="D77" s="637"/>
      <c r="E77" s="637"/>
      <c r="F77" s="637"/>
      <c r="G77" s="637"/>
      <c r="H77" s="637"/>
      <c r="I77" s="637"/>
      <c r="J77" s="637"/>
      <c r="K77" s="637"/>
      <c r="L77" s="637"/>
      <c r="M77" s="637"/>
      <c r="N77" s="637"/>
      <c r="O77" s="638"/>
      <c r="P77" s="634" t="s">
        <v>40</v>
      </c>
      <c r="Q77" s="635"/>
      <c r="R77" s="635"/>
      <c r="S77" s="635"/>
      <c r="T77" s="635"/>
      <c r="U77" s="635"/>
      <c r="V77" s="636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8" t="s">
        <v>174</v>
      </c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8"/>
      <c r="P78" s="628"/>
      <c r="Q78" s="628"/>
      <c r="R78" s="628"/>
      <c r="S78" s="628"/>
      <c r="T78" s="628"/>
      <c r="U78" s="628"/>
      <c r="V78" s="628"/>
      <c r="W78" s="628"/>
      <c r="X78" s="628"/>
      <c r="Y78" s="628"/>
      <c r="Z78" s="628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29">
        <v>4680115881532</v>
      </c>
      <c r="E79" s="62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119</v>
      </c>
      <c r="L79" s="37" t="s">
        <v>120</v>
      </c>
      <c r="M79" s="38" t="s">
        <v>98</v>
      </c>
      <c r="N79" s="38"/>
      <c r="O79" s="37">
        <v>30</v>
      </c>
      <c r="P79" s="6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31"/>
      <c r="R79" s="631"/>
      <c r="S79" s="631"/>
      <c r="T79" s="63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103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29">
        <v>4680115881464</v>
      </c>
      <c r="E80" s="62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123</v>
      </c>
      <c r="L80" s="37" t="s">
        <v>126</v>
      </c>
      <c r="M80" s="38" t="s">
        <v>92</v>
      </c>
      <c r="N80" s="38"/>
      <c r="O80" s="37">
        <v>30</v>
      </c>
      <c r="P80" s="6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31"/>
      <c r="R80" s="631"/>
      <c r="S80" s="631"/>
      <c r="T80" s="63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103</v>
      </c>
      <c r="AK80" s="84">
        <v>28.8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7"/>
      <c r="B81" s="637"/>
      <c r="C81" s="637"/>
      <c r="D81" s="637"/>
      <c r="E81" s="637"/>
      <c r="F81" s="637"/>
      <c r="G81" s="637"/>
      <c r="H81" s="637"/>
      <c r="I81" s="637"/>
      <c r="J81" s="637"/>
      <c r="K81" s="637"/>
      <c r="L81" s="637"/>
      <c r="M81" s="637"/>
      <c r="N81" s="637"/>
      <c r="O81" s="638"/>
      <c r="P81" s="634" t="s">
        <v>40</v>
      </c>
      <c r="Q81" s="635"/>
      <c r="R81" s="635"/>
      <c r="S81" s="635"/>
      <c r="T81" s="635"/>
      <c r="U81" s="635"/>
      <c r="V81" s="636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7"/>
      <c r="B82" s="637"/>
      <c r="C82" s="637"/>
      <c r="D82" s="637"/>
      <c r="E82" s="637"/>
      <c r="F82" s="637"/>
      <c r="G82" s="637"/>
      <c r="H82" s="637"/>
      <c r="I82" s="637"/>
      <c r="J82" s="637"/>
      <c r="K82" s="637"/>
      <c r="L82" s="637"/>
      <c r="M82" s="637"/>
      <c r="N82" s="637"/>
      <c r="O82" s="638"/>
      <c r="P82" s="634" t="s">
        <v>40</v>
      </c>
      <c r="Q82" s="635"/>
      <c r="R82" s="635"/>
      <c r="S82" s="635"/>
      <c r="T82" s="635"/>
      <c r="U82" s="635"/>
      <c r="V82" s="636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7" t="s">
        <v>181</v>
      </c>
      <c r="B83" s="627"/>
      <c r="C83" s="627"/>
      <c r="D83" s="627"/>
      <c r="E83" s="627"/>
      <c r="F83" s="627"/>
      <c r="G83" s="627"/>
      <c r="H83" s="627"/>
      <c r="I83" s="627"/>
      <c r="J83" s="627"/>
      <c r="K83" s="627"/>
      <c r="L83" s="627"/>
      <c r="M83" s="627"/>
      <c r="N83" s="627"/>
      <c r="O83" s="627"/>
      <c r="P83" s="627"/>
      <c r="Q83" s="627"/>
      <c r="R83" s="627"/>
      <c r="S83" s="627"/>
      <c r="T83" s="627"/>
      <c r="U83" s="627"/>
      <c r="V83" s="627"/>
      <c r="W83" s="627"/>
      <c r="X83" s="627"/>
      <c r="Y83" s="627"/>
      <c r="Z83" s="627"/>
      <c r="AA83" s="65"/>
      <c r="AB83" s="65"/>
      <c r="AC83" s="79"/>
    </row>
    <row r="84" spans="1:68" ht="14.25" customHeight="1" x14ac:dyDescent="0.25">
      <c r="A84" s="628" t="s">
        <v>114</v>
      </c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8"/>
      <c r="P84" s="628"/>
      <c r="Q84" s="628"/>
      <c r="R84" s="628"/>
      <c r="S84" s="628"/>
      <c r="T84" s="628"/>
      <c r="U84" s="628"/>
      <c r="V84" s="628"/>
      <c r="W84" s="628"/>
      <c r="X84" s="628"/>
      <c r="Y84" s="628"/>
      <c r="Z84" s="628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29">
        <v>4680115881327</v>
      </c>
      <c r="E85" s="62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119</v>
      </c>
      <c r="L85" s="37" t="s">
        <v>120</v>
      </c>
      <c r="M85" s="38" t="s">
        <v>98</v>
      </c>
      <c r="N85" s="38"/>
      <c r="O85" s="37">
        <v>50</v>
      </c>
      <c r="P85" s="6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31"/>
      <c r="R85" s="631"/>
      <c r="S85" s="631"/>
      <c r="T85" s="63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103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4301011261</v>
      </c>
      <c r="D86" s="629">
        <v>4680115887732</v>
      </c>
      <c r="E86" s="62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188</v>
      </c>
      <c r="L86" s="37" t="s">
        <v>45</v>
      </c>
      <c r="M86" s="38" t="s">
        <v>82</v>
      </c>
      <c r="N86" s="38"/>
      <c r="O86" s="37">
        <v>30</v>
      </c>
      <c r="P86" s="6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1"/>
      <c r="R86" s="631"/>
      <c r="S86" s="631"/>
      <c r="T86" s="63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187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4301011476</v>
      </c>
      <c r="D87" s="629">
        <v>4680115881518</v>
      </c>
      <c r="E87" s="629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123</v>
      </c>
      <c r="L87" s="37" t="s">
        <v>45</v>
      </c>
      <c r="M87" s="38" t="s">
        <v>92</v>
      </c>
      <c r="N87" s="38"/>
      <c r="O87" s="37">
        <v>50</v>
      </c>
      <c r="P87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1"/>
      <c r="R87" s="631"/>
      <c r="S87" s="631"/>
      <c r="T87" s="63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4301011443</v>
      </c>
      <c r="D88" s="629">
        <v>4680115881303</v>
      </c>
      <c r="E88" s="629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123</v>
      </c>
      <c r="L88" s="37" t="s">
        <v>126</v>
      </c>
      <c r="M88" s="38" t="s">
        <v>98</v>
      </c>
      <c r="N88" s="38"/>
      <c r="O88" s="37">
        <v>50</v>
      </c>
      <c r="P88" s="6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31"/>
      <c r="R88" s="631"/>
      <c r="S88" s="631"/>
      <c r="T88" s="632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184</v>
      </c>
      <c r="AG88" s="78"/>
      <c r="AJ88" s="84" t="s">
        <v>103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7"/>
      <c r="B89" s="637"/>
      <c r="C89" s="637"/>
      <c r="D89" s="637"/>
      <c r="E89" s="637"/>
      <c r="F89" s="637"/>
      <c r="G89" s="637"/>
      <c r="H89" s="637"/>
      <c r="I89" s="637"/>
      <c r="J89" s="637"/>
      <c r="K89" s="637"/>
      <c r="L89" s="637"/>
      <c r="M89" s="637"/>
      <c r="N89" s="637"/>
      <c r="O89" s="638"/>
      <c r="P89" s="634" t="s">
        <v>40</v>
      </c>
      <c r="Q89" s="635"/>
      <c r="R89" s="635"/>
      <c r="S89" s="635"/>
      <c r="T89" s="635"/>
      <c r="U89" s="635"/>
      <c r="V89" s="636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7"/>
      <c r="B90" s="637"/>
      <c r="C90" s="637"/>
      <c r="D90" s="637"/>
      <c r="E90" s="637"/>
      <c r="F90" s="637"/>
      <c r="G90" s="637"/>
      <c r="H90" s="637"/>
      <c r="I90" s="637"/>
      <c r="J90" s="637"/>
      <c r="K90" s="637"/>
      <c r="L90" s="637"/>
      <c r="M90" s="637"/>
      <c r="N90" s="637"/>
      <c r="O90" s="638"/>
      <c r="P90" s="634" t="s">
        <v>40</v>
      </c>
      <c r="Q90" s="635"/>
      <c r="R90" s="635"/>
      <c r="S90" s="635"/>
      <c r="T90" s="635"/>
      <c r="U90" s="635"/>
      <c r="V90" s="636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28" t="s">
        <v>88</v>
      </c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8"/>
      <c r="P91" s="628"/>
      <c r="Q91" s="628"/>
      <c r="R91" s="628"/>
      <c r="S91" s="628"/>
      <c r="T91" s="628"/>
      <c r="U91" s="628"/>
      <c r="V91" s="628"/>
      <c r="W91" s="628"/>
      <c r="X91" s="628"/>
      <c r="Y91" s="628"/>
      <c r="Z91" s="628"/>
      <c r="AA91" s="66"/>
      <c r="AB91" s="66"/>
      <c r="AC91" s="80"/>
    </row>
    <row r="92" spans="1:68" ht="27" customHeight="1" x14ac:dyDescent="0.25">
      <c r="A92" s="63" t="s">
        <v>193</v>
      </c>
      <c r="B92" s="63" t="s">
        <v>194</v>
      </c>
      <c r="C92" s="36">
        <v>4301051712</v>
      </c>
      <c r="D92" s="629">
        <v>4607091386967</v>
      </c>
      <c r="E92" s="629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119</v>
      </c>
      <c r="L92" s="37" t="s">
        <v>120</v>
      </c>
      <c r="M92" s="38" t="s">
        <v>98</v>
      </c>
      <c r="N92" s="38"/>
      <c r="O92" s="37">
        <v>45</v>
      </c>
      <c r="P92" s="6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31"/>
      <c r="R92" s="631"/>
      <c r="S92" s="631"/>
      <c r="T92" s="63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103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4301051788</v>
      </c>
      <c r="D93" s="629">
        <v>4680115884953</v>
      </c>
      <c r="E93" s="629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31"/>
      <c r="R93" s="631"/>
      <c r="S93" s="631"/>
      <c r="T93" s="63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198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199</v>
      </c>
      <c r="B94" s="63" t="s">
        <v>200</v>
      </c>
      <c r="C94" s="36">
        <v>4301051718</v>
      </c>
      <c r="D94" s="629">
        <v>4607091385731</v>
      </c>
      <c r="E94" s="629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98</v>
      </c>
      <c r="N94" s="38"/>
      <c r="O94" s="37">
        <v>45</v>
      </c>
      <c r="P94" s="6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31"/>
      <c r="R94" s="631"/>
      <c r="S94" s="631"/>
      <c r="T94" s="63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195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201</v>
      </c>
      <c r="B95" s="63" t="s">
        <v>202</v>
      </c>
      <c r="C95" s="36">
        <v>4301051438</v>
      </c>
      <c r="D95" s="629">
        <v>4680115880894</v>
      </c>
      <c r="E95" s="629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102</v>
      </c>
      <c r="M95" s="38" t="s">
        <v>92</v>
      </c>
      <c r="N95" s="38"/>
      <c r="O95" s="37">
        <v>45</v>
      </c>
      <c r="P95" s="67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31"/>
      <c r="R95" s="631"/>
      <c r="S95" s="631"/>
      <c r="T95" s="632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203</v>
      </c>
      <c r="AG95" s="78"/>
      <c r="AJ95" s="84" t="s">
        <v>103</v>
      </c>
      <c r="AK95" s="84">
        <v>27.72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7"/>
      <c r="B96" s="637"/>
      <c r="C96" s="637"/>
      <c r="D96" s="637"/>
      <c r="E96" s="637"/>
      <c r="F96" s="637"/>
      <c r="G96" s="637"/>
      <c r="H96" s="637"/>
      <c r="I96" s="637"/>
      <c r="J96" s="637"/>
      <c r="K96" s="637"/>
      <c r="L96" s="637"/>
      <c r="M96" s="637"/>
      <c r="N96" s="637"/>
      <c r="O96" s="638"/>
      <c r="P96" s="634" t="s">
        <v>40</v>
      </c>
      <c r="Q96" s="635"/>
      <c r="R96" s="635"/>
      <c r="S96" s="635"/>
      <c r="T96" s="635"/>
      <c r="U96" s="635"/>
      <c r="V96" s="636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7"/>
      <c r="B97" s="637"/>
      <c r="C97" s="637"/>
      <c r="D97" s="637"/>
      <c r="E97" s="637"/>
      <c r="F97" s="637"/>
      <c r="G97" s="637"/>
      <c r="H97" s="637"/>
      <c r="I97" s="637"/>
      <c r="J97" s="637"/>
      <c r="K97" s="637"/>
      <c r="L97" s="637"/>
      <c r="M97" s="637"/>
      <c r="N97" s="637"/>
      <c r="O97" s="638"/>
      <c r="P97" s="634" t="s">
        <v>40</v>
      </c>
      <c r="Q97" s="635"/>
      <c r="R97" s="635"/>
      <c r="S97" s="635"/>
      <c r="T97" s="635"/>
      <c r="U97" s="635"/>
      <c r="V97" s="636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7" t="s">
        <v>204</v>
      </c>
      <c r="B98" s="627"/>
      <c r="C98" s="627"/>
      <c r="D98" s="627"/>
      <c r="E98" s="627"/>
      <c r="F98" s="627"/>
      <c r="G98" s="627"/>
      <c r="H98" s="627"/>
      <c r="I98" s="627"/>
      <c r="J98" s="627"/>
      <c r="K98" s="627"/>
      <c r="L98" s="627"/>
      <c r="M98" s="627"/>
      <c r="N98" s="627"/>
      <c r="O98" s="627"/>
      <c r="P98" s="627"/>
      <c r="Q98" s="627"/>
      <c r="R98" s="627"/>
      <c r="S98" s="627"/>
      <c r="T98" s="627"/>
      <c r="U98" s="627"/>
      <c r="V98" s="627"/>
      <c r="W98" s="627"/>
      <c r="X98" s="627"/>
      <c r="Y98" s="627"/>
      <c r="Z98" s="627"/>
      <c r="AA98" s="65"/>
      <c r="AB98" s="65"/>
      <c r="AC98" s="79"/>
    </row>
    <row r="99" spans="1:68" ht="14.25" customHeight="1" x14ac:dyDescent="0.25">
      <c r="A99" s="628" t="s">
        <v>114</v>
      </c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8"/>
      <c r="P99" s="628"/>
      <c r="Q99" s="628"/>
      <c r="R99" s="628"/>
      <c r="S99" s="628"/>
      <c r="T99" s="628"/>
      <c r="U99" s="628"/>
      <c r="V99" s="628"/>
      <c r="W99" s="628"/>
      <c r="X99" s="628"/>
      <c r="Y99" s="628"/>
      <c r="Z99" s="628"/>
      <c r="AA99" s="66"/>
      <c r="AB99" s="66"/>
      <c r="AC99" s="80"/>
    </row>
    <row r="100" spans="1:68" ht="37.5" customHeight="1" x14ac:dyDescent="0.25">
      <c r="A100" s="63" t="s">
        <v>205</v>
      </c>
      <c r="B100" s="63" t="s">
        <v>206</v>
      </c>
      <c r="C100" s="36">
        <v>4301011514</v>
      </c>
      <c r="D100" s="629">
        <v>4680115882133</v>
      </c>
      <c r="E100" s="629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119</v>
      </c>
      <c r="L100" s="37" t="s">
        <v>120</v>
      </c>
      <c r="M100" s="38" t="s">
        <v>118</v>
      </c>
      <c r="N100" s="38"/>
      <c r="O100" s="37">
        <v>50</v>
      </c>
      <c r="P100" s="6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31"/>
      <c r="R100" s="631"/>
      <c r="S100" s="631"/>
      <c r="T100" s="63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103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208</v>
      </c>
      <c r="B101" s="63" t="s">
        <v>209</v>
      </c>
      <c r="C101" s="36">
        <v>4301012051</v>
      </c>
      <c r="D101" s="629">
        <v>4680115887718</v>
      </c>
      <c r="E101" s="629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188</v>
      </c>
      <c r="L101" s="37" t="s">
        <v>45</v>
      </c>
      <c r="M101" s="38" t="s">
        <v>82</v>
      </c>
      <c r="N101" s="38"/>
      <c r="O101" s="37">
        <v>30</v>
      </c>
      <c r="P101" s="67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1"/>
      <c r="R101" s="631"/>
      <c r="S101" s="631"/>
      <c r="T101" s="63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210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211</v>
      </c>
      <c r="B102" s="63" t="s">
        <v>212</v>
      </c>
      <c r="C102" s="36">
        <v>4301011417</v>
      </c>
      <c r="D102" s="629">
        <v>4680115880269</v>
      </c>
      <c r="E102" s="629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123</v>
      </c>
      <c r="L102" s="37" t="s">
        <v>126</v>
      </c>
      <c r="M102" s="38" t="s">
        <v>92</v>
      </c>
      <c r="N102" s="38"/>
      <c r="O102" s="37">
        <v>50</v>
      </c>
      <c r="P102" s="6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1"/>
      <c r="R102" s="631"/>
      <c r="S102" s="631"/>
      <c r="T102" s="63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103</v>
      </c>
      <c r="AK102" s="84">
        <v>45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213</v>
      </c>
      <c r="B103" s="63" t="s">
        <v>214</v>
      </c>
      <c r="C103" s="36">
        <v>4301011415</v>
      </c>
      <c r="D103" s="629">
        <v>4680115880429</v>
      </c>
      <c r="E103" s="629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123</v>
      </c>
      <c r="L103" s="37" t="s">
        <v>126</v>
      </c>
      <c r="M103" s="38" t="s">
        <v>92</v>
      </c>
      <c r="N103" s="38"/>
      <c r="O103" s="37">
        <v>50</v>
      </c>
      <c r="P103" s="6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1"/>
      <c r="R103" s="631"/>
      <c r="S103" s="631"/>
      <c r="T103" s="632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207</v>
      </c>
      <c r="AG103" s="78"/>
      <c r="AJ103" s="84" t="s">
        <v>103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215</v>
      </c>
      <c r="B104" s="63" t="s">
        <v>216</v>
      </c>
      <c r="C104" s="36">
        <v>4301011462</v>
      </c>
      <c r="D104" s="629">
        <v>4680115881457</v>
      </c>
      <c r="E104" s="629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123</v>
      </c>
      <c r="L104" s="37" t="s">
        <v>45</v>
      </c>
      <c r="M104" s="38" t="s">
        <v>92</v>
      </c>
      <c r="N104" s="38"/>
      <c r="O104" s="37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1"/>
      <c r="R104" s="631"/>
      <c r="S104" s="631"/>
      <c r="T104" s="632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207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37"/>
      <c r="B105" s="637"/>
      <c r="C105" s="637"/>
      <c r="D105" s="637"/>
      <c r="E105" s="637"/>
      <c r="F105" s="637"/>
      <c r="G105" s="637"/>
      <c r="H105" s="637"/>
      <c r="I105" s="637"/>
      <c r="J105" s="637"/>
      <c r="K105" s="637"/>
      <c r="L105" s="637"/>
      <c r="M105" s="637"/>
      <c r="N105" s="637"/>
      <c r="O105" s="638"/>
      <c r="P105" s="634" t="s">
        <v>40</v>
      </c>
      <c r="Q105" s="635"/>
      <c r="R105" s="635"/>
      <c r="S105" s="635"/>
      <c r="T105" s="635"/>
      <c r="U105" s="635"/>
      <c r="V105" s="636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37"/>
      <c r="B106" s="637"/>
      <c r="C106" s="637"/>
      <c r="D106" s="637"/>
      <c r="E106" s="637"/>
      <c r="F106" s="637"/>
      <c r="G106" s="637"/>
      <c r="H106" s="637"/>
      <c r="I106" s="637"/>
      <c r="J106" s="637"/>
      <c r="K106" s="637"/>
      <c r="L106" s="637"/>
      <c r="M106" s="637"/>
      <c r="N106" s="637"/>
      <c r="O106" s="638"/>
      <c r="P106" s="634" t="s">
        <v>40</v>
      </c>
      <c r="Q106" s="635"/>
      <c r="R106" s="635"/>
      <c r="S106" s="635"/>
      <c r="T106" s="635"/>
      <c r="U106" s="635"/>
      <c r="V106" s="636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28" t="s">
        <v>149</v>
      </c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8"/>
      <c r="P107" s="628"/>
      <c r="Q107" s="628"/>
      <c r="R107" s="628"/>
      <c r="S107" s="628"/>
      <c r="T107" s="628"/>
      <c r="U107" s="628"/>
      <c r="V107" s="628"/>
      <c r="W107" s="628"/>
      <c r="X107" s="628"/>
      <c r="Y107" s="628"/>
      <c r="Z107" s="628"/>
      <c r="AA107" s="66"/>
      <c r="AB107" s="66"/>
      <c r="AC107" s="80"/>
    </row>
    <row r="108" spans="1:68" ht="16.5" customHeight="1" x14ac:dyDescent="0.25">
      <c r="A108" s="63" t="s">
        <v>217</v>
      </c>
      <c r="B108" s="63" t="s">
        <v>218</v>
      </c>
      <c r="C108" s="36">
        <v>4301020345</v>
      </c>
      <c r="D108" s="629">
        <v>4680115881488</v>
      </c>
      <c r="E108" s="629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119</v>
      </c>
      <c r="L108" s="37" t="s">
        <v>45</v>
      </c>
      <c r="M108" s="38" t="s">
        <v>118</v>
      </c>
      <c r="N108" s="38"/>
      <c r="O108" s="37">
        <v>55</v>
      </c>
      <c r="P108" s="67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31"/>
      <c r="R108" s="631"/>
      <c r="S108" s="631"/>
      <c r="T108" s="63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220</v>
      </c>
      <c r="B109" s="63" t="s">
        <v>221</v>
      </c>
      <c r="C109" s="36">
        <v>4301020186</v>
      </c>
      <c r="D109" s="629">
        <v>4680115887664</v>
      </c>
      <c r="E109" s="629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223</v>
      </c>
      <c r="L109" s="37" t="s">
        <v>45</v>
      </c>
      <c r="M109" s="38" t="s">
        <v>82</v>
      </c>
      <c r="N109" s="38"/>
      <c r="O109" s="37">
        <v>30</v>
      </c>
      <c r="P109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1"/>
      <c r="R109" s="631"/>
      <c r="S109" s="631"/>
      <c r="T109" s="632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222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224</v>
      </c>
      <c r="B110" s="63" t="s">
        <v>225</v>
      </c>
      <c r="C110" s="36">
        <v>4301020346</v>
      </c>
      <c r="D110" s="629">
        <v>4680115882775</v>
      </c>
      <c r="E110" s="629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118</v>
      </c>
      <c r="N110" s="38"/>
      <c r="O110" s="37">
        <v>55</v>
      </c>
      <c r="P110" s="6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31"/>
      <c r="R110" s="631"/>
      <c r="S110" s="631"/>
      <c r="T110" s="632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226</v>
      </c>
      <c r="B111" s="63" t="s">
        <v>227</v>
      </c>
      <c r="C111" s="36">
        <v>4301020344</v>
      </c>
      <c r="D111" s="629">
        <v>4680115880658</v>
      </c>
      <c r="E111" s="629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118</v>
      </c>
      <c r="N111" s="38"/>
      <c r="O111" s="37">
        <v>55</v>
      </c>
      <c r="P111" s="6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31"/>
      <c r="R111" s="631"/>
      <c r="S111" s="631"/>
      <c r="T111" s="632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219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37"/>
      <c r="B112" s="637"/>
      <c r="C112" s="637"/>
      <c r="D112" s="637"/>
      <c r="E112" s="637"/>
      <c r="F112" s="637"/>
      <c r="G112" s="637"/>
      <c r="H112" s="637"/>
      <c r="I112" s="637"/>
      <c r="J112" s="637"/>
      <c r="K112" s="637"/>
      <c r="L112" s="637"/>
      <c r="M112" s="637"/>
      <c r="N112" s="637"/>
      <c r="O112" s="638"/>
      <c r="P112" s="634" t="s">
        <v>40</v>
      </c>
      <c r="Q112" s="635"/>
      <c r="R112" s="635"/>
      <c r="S112" s="635"/>
      <c r="T112" s="635"/>
      <c r="U112" s="635"/>
      <c r="V112" s="636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37"/>
      <c r="B113" s="637"/>
      <c r="C113" s="637"/>
      <c r="D113" s="637"/>
      <c r="E113" s="637"/>
      <c r="F113" s="637"/>
      <c r="G113" s="637"/>
      <c r="H113" s="637"/>
      <c r="I113" s="637"/>
      <c r="J113" s="637"/>
      <c r="K113" s="637"/>
      <c r="L113" s="637"/>
      <c r="M113" s="637"/>
      <c r="N113" s="637"/>
      <c r="O113" s="638"/>
      <c r="P113" s="634" t="s">
        <v>40</v>
      </c>
      <c r="Q113" s="635"/>
      <c r="R113" s="635"/>
      <c r="S113" s="635"/>
      <c r="T113" s="635"/>
      <c r="U113" s="635"/>
      <c r="V113" s="636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28" t="s">
        <v>88</v>
      </c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8"/>
      <c r="P114" s="628"/>
      <c r="Q114" s="628"/>
      <c r="R114" s="628"/>
      <c r="S114" s="628"/>
      <c r="T114" s="628"/>
      <c r="U114" s="628"/>
      <c r="V114" s="628"/>
      <c r="W114" s="628"/>
      <c r="X114" s="628"/>
      <c r="Y114" s="628"/>
      <c r="Z114" s="628"/>
      <c r="AA114" s="66"/>
      <c r="AB114" s="66"/>
      <c r="AC114" s="80"/>
    </row>
    <row r="115" spans="1:68" ht="27" customHeight="1" x14ac:dyDescent="0.25">
      <c r="A115" s="63" t="s">
        <v>228</v>
      </c>
      <c r="B115" s="63" t="s">
        <v>229</v>
      </c>
      <c r="C115" s="36">
        <v>4301051724</v>
      </c>
      <c r="D115" s="629">
        <v>4607091385168</v>
      </c>
      <c r="E115" s="629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119</v>
      </c>
      <c r="L115" s="37" t="s">
        <v>120</v>
      </c>
      <c r="M115" s="38" t="s">
        <v>98</v>
      </c>
      <c r="N115" s="38"/>
      <c r="O115" s="37">
        <v>45</v>
      </c>
      <c r="P115" s="68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31"/>
      <c r="R115" s="631"/>
      <c r="S115" s="631"/>
      <c r="T115" s="63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230</v>
      </c>
      <c r="AG115" s="78"/>
      <c r="AJ115" s="84" t="s">
        <v>103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231</v>
      </c>
      <c r="B116" s="63" t="s">
        <v>232</v>
      </c>
      <c r="C116" s="36">
        <v>4301051730</v>
      </c>
      <c r="D116" s="629">
        <v>4607091383256</v>
      </c>
      <c r="E116" s="629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102</v>
      </c>
      <c r="M116" s="38" t="s">
        <v>98</v>
      </c>
      <c r="N116" s="38"/>
      <c r="O116" s="37">
        <v>45</v>
      </c>
      <c r="P116" s="68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31"/>
      <c r="R116" s="631"/>
      <c r="S116" s="631"/>
      <c r="T116" s="632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230</v>
      </c>
      <c r="AG116" s="78"/>
      <c r="AJ116" s="84" t="s">
        <v>103</v>
      </c>
      <c r="AK116" s="84">
        <v>27.72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4301051721</v>
      </c>
      <c r="D117" s="629">
        <v>4607091385748</v>
      </c>
      <c r="E117" s="629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102</v>
      </c>
      <c r="M117" s="38" t="s">
        <v>98</v>
      </c>
      <c r="N117" s="38"/>
      <c r="O117" s="37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31"/>
      <c r="R117" s="631"/>
      <c r="S117" s="631"/>
      <c r="T117" s="632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230</v>
      </c>
      <c r="AG117" s="78"/>
      <c r="AJ117" s="84" t="s">
        <v>103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235</v>
      </c>
      <c r="B118" s="63" t="s">
        <v>236</v>
      </c>
      <c r="C118" s="36">
        <v>4301051740</v>
      </c>
      <c r="D118" s="629">
        <v>4680115884533</v>
      </c>
      <c r="E118" s="629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102</v>
      </c>
      <c r="M118" s="38" t="s">
        <v>92</v>
      </c>
      <c r="N118" s="38"/>
      <c r="O118" s="37">
        <v>45</v>
      </c>
      <c r="P118" s="68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31"/>
      <c r="R118" s="631"/>
      <c r="S118" s="631"/>
      <c r="T118" s="632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237</v>
      </c>
      <c r="AG118" s="78"/>
      <c r="AJ118" s="84" t="s">
        <v>103</v>
      </c>
      <c r="AK118" s="84">
        <v>25.2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37"/>
      <c r="B119" s="637"/>
      <c r="C119" s="637"/>
      <c r="D119" s="637"/>
      <c r="E119" s="637"/>
      <c r="F119" s="637"/>
      <c r="G119" s="637"/>
      <c r="H119" s="637"/>
      <c r="I119" s="637"/>
      <c r="J119" s="637"/>
      <c r="K119" s="637"/>
      <c r="L119" s="637"/>
      <c r="M119" s="637"/>
      <c r="N119" s="637"/>
      <c r="O119" s="638"/>
      <c r="P119" s="634" t="s">
        <v>40</v>
      </c>
      <c r="Q119" s="635"/>
      <c r="R119" s="635"/>
      <c r="S119" s="635"/>
      <c r="T119" s="635"/>
      <c r="U119" s="635"/>
      <c r="V119" s="636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37"/>
      <c r="B120" s="637"/>
      <c r="C120" s="637"/>
      <c r="D120" s="637"/>
      <c r="E120" s="637"/>
      <c r="F120" s="637"/>
      <c r="G120" s="637"/>
      <c r="H120" s="637"/>
      <c r="I120" s="637"/>
      <c r="J120" s="637"/>
      <c r="K120" s="637"/>
      <c r="L120" s="637"/>
      <c r="M120" s="637"/>
      <c r="N120" s="637"/>
      <c r="O120" s="638"/>
      <c r="P120" s="634" t="s">
        <v>40</v>
      </c>
      <c r="Q120" s="635"/>
      <c r="R120" s="635"/>
      <c r="S120" s="635"/>
      <c r="T120" s="635"/>
      <c r="U120" s="635"/>
      <c r="V120" s="636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28" t="s">
        <v>174</v>
      </c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8"/>
      <c r="P121" s="628"/>
      <c r="Q121" s="628"/>
      <c r="R121" s="628"/>
      <c r="S121" s="628"/>
      <c r="T121" s="628"/>
      <c r="U121" s="628"/>
      <c r="V121" s="628"/>
      <c r="W121" s="628"/>
      <c r="X121" s="628"/>
      <c r="Y121" s="628"/>
      <c r="Z121" s="628"/>
      <c r="AA121" s="66"/>
      <c r="AB121" s="66"/>
      <c r="AC121" s="80"/>
    </row>
    <row r="122" spans="1:68" ht="16.5" customHeight="1" x14ac:dyDescent="0.25">
      <c r="A122" s="63" t="s">
        <v>238</v>
      </c>
      <c r="B122" s="63" t="s">
        <v>239</v>
      </c>
      <c r="C122" s="36">
        <v>4301060317</v>
      </c>
      <c r="D122" s="629">
        <v>4680115880238</v>
      </c>
      <c r="E122" s="629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102</v>
      </c>
      <c r="M122" s="38" t="s">
        <v>92</v>
      </c>
      <c r="N122" s="38"/>
      <c r="O122" s="37">
        <v>40</v>
      </c>
      <c r="P122" s="68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31"/>
      <c r="R122" s="631"/>
      <c r="S122" s="631"/>
      <c r="T122" s="632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240</v>
      </c>
      <c r="AG122" s="78"/>
      <c r="AJ122" s="84" t="s">
        <v>103</v>
      </c>
      <c r="AK122" s="84">
        <v>27.72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37"/>
      <c r="B123" s="637"/>
      <c r="C123" s="637"/>
      <c r="D123" s="637"/>
      <c r="E123" s="637"/>
      <c r="F123" s="637"/>
      <c r="G123" s="637"/>
      <c r="H123" s="637"/>
      <c r="I123" s="637"/>
      <c r="J123" s="637"/>
      <c r="K123" s="637"/>
      <c r="L123" s="637"/>
      <c r="M123" s="637"/>
      <c r="N123" s="637"/>
      <c r="O123" s="638"/>
      <c r="P123" s="634" t="s">
        <v>40</v>
      </c>
      <c r="Q123" s="635"/>
      <c r="R123" s="635"/>
      <c r="S123" s="635"/>
      <c r="T123" s="635"/>
      <c r="U123" s="635"/>
      <c r="V123" s="636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37"/>
      <c r="B124" s="637"/>
      <c r="C124" s="637"/>
      <c r="D124" s="637"/>
      <c r="E124" s="637"/>
      <c r="F124" s="637"/>
      <c r="G124" s="637"/>
      <c r="H124" s="637"/>
      <c r="I124" s="637"/>
      <c r="J124" s="637"/>
      <c r="K124" s="637"/>
      <c r="L124" s="637"/>
      <c r="M124" s="637"/>
      <c r="N124" s="637"/>
      <c r="O124" s="638"/>
      <c r="P124" s="634" t="s">
        <v>40</v>
      </c>
      <c r="Q124" s="635"/>
      <c r="R124" s="635"/>
      <c r="S124" s="635"/>
      <c r="T124" s="635"/>
      <c r="U124" s="635"/>
      <c r="V124" s="636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27" t="s">
        <v>241</v>
      </c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7"/>
      <c r="P125" s="627"/>
      <c r="Q125" s="627"/>
      <c r="R125" s="627"/>
      <c r="S125" s="627"/>
      <c r="T125" s="627"/>
      <c r="U125" s="627"/>
      <c r="V125" s="627"/>
      <c r="W125" s="627"/>
      <c r="X125" s="627"/>
      <c r="Y125" s="627"/>
      <c r="Z125" s="627"/>
      <c r="AA125" s="65"/>
      <c r="AB125" s="65"/>
      <c r="AC125" s="79"/>
    </row>
    <row r="126" spans="1:68" ht="14.25" customHeight="1" x14ac:dyDescent="0.25">
      <c r="A126" s="628" t="s">
        <v>114</v>
      </c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8"/>
      <c r="P126" s="628"/>
      <c r="Q126" s="628"/>
      <c r="R126" s="628"/>
      <c r="S126" s="628"/>
      <c r="T126" s="628"/>
      <c r="U126" s="628"/>
      <c r="V126" s="628"/>
      <c r="W126" s="628"/>
      <c r="X126" s="628"/>
      <c r="Y126" s="628"/>
      <c r="Z126" s="628"/>
      <c r="AA126" s="66"/>
      <c r="AB126" s="66"/>
      <c r="AC126" s="80"/>
    </row>
    <row r="127" spans="1:68" ht="27" customHeight="1" x14ac:dyDescent="0.25">
      <c r="A127" s="63" t="s">
        <v>242</v>
      </c>
      <c r="B127" s="63" t="s">
        <v>243</v>
      </c>
      <c r="C127" s="36">
        <v>4301011562</v>
      </c>
      <c r="D127" s="629">
        <v>4680115882577</v>
      </c>
      <c r="E127" s="629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102</v>
      </c>
      <c r="M127" s="38" t="s">
        <v>111</v>
      </c>
      <c r="N127" s="38"/>
      <c r="O127" s="37">
        <v>90</v>
      </c>
      <c r="P127" s="6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1"/>
      <c r="R127" s="631"/>
      <c r="S127" s="631"/>
      <c r="T127" s="632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244</v>
      </c>
      <c r="AG127" s="78"/>
      <c r="AJ127" s="84" t="s">
        <v>103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242</v>
      </c>
      <c r="B128" s="63" t="s">
        <v>245</v>
      </c>
      <c r="C128" s="36">
        <v>4301011564</v>
      </c>
      <c r="D128" s="629">
        <v>4680115882577</v>
      </c>
      <c r="E128" s="629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102</v>
      </c>
      <c r="M128" s="38" t="s">
        <v>111</v>
      </c>
      <c r="N128" s="38"/>
      <c r="O128" s="37">
        <v>90</v>
      </c>
      <c r="P128" s="6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31"/>
      <c r="R128" s="631"/>
      <c r="S128" s="631"/>
      <c r="T128" s="632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244</v>
      </c>
      <c r="AG128" s="78"/>
      <c r="AJ128" s="84" t="s">
        <v>103</v>
      </c>
      <c r="AK128" s="84">
        <v>44.8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37"/>
      <c r="B129" s="637"/>
      <c r="C129" s="637"/>
      <c r="D129" s="637"/>
      <c r="E129" s="637"/>
      <c r="F129" s="637"/>
      <c r="G129" s="637"/>
      <c r="H129" s="637"/>
      <c r="I129" s="637"/>
      <c r="J129" s="637"/>
      <c r="K129" s="637"/>
      <c r="L129" s="637"/>
      <c r="M129" s="637"/>
      <c r="N129" s="637"/>
      <c r="O129" s="638"/>
      <c r="P129" s="634" t="s">
        <v>40</v>
      </c>
      <c r="Q129" s="635"/>
      <c r="R129" s="635"/>
      <c r="S129" s="635"/>
      <c r="T129" s="635"/>
      <c r="U129" s="635"/>
      <c r="V129" s="636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37"/>
      <c r="B130" s="637"/>
      <c r="C130" s="637"/>
      <c r="D130" s="637"/>
      <c r="E130" s="637"/>
      <c r="F130" s="637"/>
      <c r="G130" s="637"/>
      <c r="H130" s="637"/>
      <c r="I130" s="637"/>
      <c r="J130" s="637"/>
      <c r="K130" s="637"/>
      <c r="L130" s="637"/>
      <c r="M130" s="637"/>
      <c r="N130" s="637"/>
      <c r="O130" s="638"/>
      <c r="P130" s="634" t="s">
        <v>40</v>
      </c>
      <c r="Q130" s="635"/>
      <c r="R130" s="635"/>
      <c r="S130" s="635"/>
      <c r="T130" s="635"/>
      <c r="U130" s="635"/>
      <c r="V130" s="636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28" t="s">
        <v>78</v>
      </c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8"/>
      <c r="P131" s="628"/>
      <c r="Q131" s="628"/>
      <c r="R131" s="628"/>
      <c r="S131" s="628"/>
      <c r="T131" s="628"/>
      <c r="U131" s="628"/>
      <c r="V131" s="628"/>
      <c r="W131" s="628"/>
      <c r="X131" s="628"/>
      <c r="Y131" s="628"/>
      <c r="Z131" s="628"/>
      <c r="AA131" s="66"/>
      <c r="AB131" s="66"/>
      <c r="AC131" s="80"/>
    </row>
    <row r="132" spans="1:68" ht="27" customHeight="1" x14ac:dyDescent="0.25">
      <c r="A132" s="63" t="s">
        <v>246</v>
      </c>
      <c r="B132" s="63" t="s">
        <v>247</v>
      </c>
      <c r="C132" s="36">
        <v>4301031235</v>
      </c>
      <c r="D132" s="629">
        <v>4680115883444</v>
      </c>
      <c r="E132" s="629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102</v>
      </c>
      <c r="M132" s="38" t="s">
        <v>111</v>
      </c>
      <c r="N132" s="38"/>
      <c r="O132" s="37">
        <v>90</v>
      </c>
      <c r="P132" s="6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1"/>
      <c r="R132" s="631"/>
      <c r="S132" s="631"/>
      <c r="T132" s="632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248</v>
      </c>
      <c r="AG132" s="78"/>
      <c r="AJ132" s="84" t="s">
        <v>103</v>
      </c>
      <c r="AK132" s="84">
        <v>39.200000000000003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246</v>
      </c>
      <c r="B133" s="63" t="s">
        <v>249</v>
      </c>
      <c r="C133" s="36">
        <v>4301031234</v>
      </c>
      <c r="D133" s="629">
        <v>4680115883444</v>
      </c>
      <c r="E133" s="629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102</v>
      </c>
      <c r="M133" s="38" t="s">
        <v>111</v>
      </c>
      <c r="N133" s="38"/>
      <c r="O133" s="37">
        <v>90</v>
      </c>
      <c r="P133" s="6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31"/>
      <c r="R133" s="631"/>
      <c r="S133" s="631"/>
      <c r="T133" s="632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248</v>
      </c>
      <c r="AG133" s="78"/>
      <c r="AJ133" s="84" t="s">
        <v>103</v>
      </c>
      <c r="AK133" s="84">
        <v>39.200000000000003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37"/>
      <c r="B134" s="637"/>
      <c r="C134" s="637"/>
      <c r="D134" s="637"/>
      <c r="E134" s="637"/>
      <c r="F134" s="637"/>
      <c r="G134" s="637"/>
      <c r="H134" s="637"/>
      <c r="I134" s="637"/>
      <c r="J134" s="637"/>
      <c r="K134" s="637"/>
      <c r="L134" s="637"/>
      <c r="M134" s="637"/>
      <c r="N134" s="637"/>
      <c r="O134" s="638"/>
      <c r="P134" s="634" t="s">
        <v>40</v>
      </c>
      <c r="Q134" s="635"/>
      <c r="R134" s="635"/>
      <c r="S134" s="635"/>
      <c r="T134" s="635"/>
      <c r="U134" s="635"/>
      <c r="V134" s="63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37"/>
      <c r="B135" s="637"/>
      <c r="C135" s="637"/>
      <c r="D135" s="637"/>
      <c r="E135" s="637"/>
      <c r="F135" s="637"/>
      <c r="G135" s="637"/>
      <c r="H135" s="637"/>
      <c r="I135" s="637"/>
      <c r="J135" s="637"/>
      <c r="K135" s="637"/>
      <c r="L135" s="637"/>
      <c r="M135" s="637"/>
      <c r="N135" s="637"/>
      <c r="O135" s="638"/>
      <c r="P135" s="634" t="s">
        <v>40</v>
      </c>
      <c r="Q135" s="635"/>
      <c r="R135" s="635"/>
      <c r="S135" s="635"/>
      <c r="T135" s="635"/>
      <c r="U135" s="635"/>
      <c r="V135" s="63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28" t="s">
        <v>88</v>
      </c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8"/>
      <c r="P136" s="628"/>
      <c r="Q136" s="628"/>
      <c r="R136" s="628"/>
      <c r="S136" s="628"/>
      <c r="T136" s="628"/>
      <c r="U136" s="628"/>
      <c r="V136" s="628"/>
      <c r="W136" s="628"/>
      <c r="X136" s="628"/>
      <c r="Y136" s="628"/>
      <c r="Z136" s="628"/>
      <c r="AA136" s="66"/>
      <c r="AB136" s="66"/>
      <c r="AC136" s="80"/>
    </row>
    <row r="137" spans="1:68" ht="16.5" customHeight="1" x14ac:dyDescent="0.25">
      <c r="A137" s="63" t="s">
        <v>250</v>
      </c>
      <c r="B137" s="63" t="s">
        <v>251</v>
      </c>
      <c r="C137" s="36">
        <v>4301051477</v>
      </c>
      <c r="D137" s="629">
        <v>4680115882584</v>
      </c>
      <c r="E137" s="629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111</v>
      </c>
      <c r="N137" s="38"/>
      <c r="O137" s="37">
        <v>60</v>
      </c>
      <c r="P137" s="6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31"/>
      <c r="R137" s="631"/>
      <c r="S137" s="631"/>
      <c r="T137" s="632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244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250</v>
      </c>
      <c r="B138" s="63" t="s">
        <v>252</v>
      </c>
      <c r="C138" s="36">
        <v>4301051476</v>
      </c>
      <c r="D138" s="629">
        <v>4680115882584</v>
      </c>
      <c r="E138" s="629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102</v>
      </c>
      <c r="M138" s="38" t="s">
        <v>111</v>
      </c>
      <c r="N138" s="38"/>
      <c r="O138" s="37">
        <v>60</v>
      </c>
      <c r="P138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31"/>
      <c r="R138" s="631"/>
      <c r="S138" s="631"/>
      <c r="T138" s="632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244</v>
      </c>
      <c r="AG138" s="78"/>
      <c r="AJ138" s="84" t="s">
        <v>103</v>
      </c>
      <c r="AK138" s="84">
        <v>36.96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37"/>
      <c r="B139" s="637"/>
      <c r="C139" s="637"/>
      <c r="D139" s="637"/>
      <c r="E139" s="637"/>
      <c r="F139" s="637"/>
      <c r="G139" s="637"/>
      <c r="H139" s="637"/>
      <c r="I139" s="637"/>
      <c r="J139" s="637"/>
      <c r="K139" s="637"/>
      <c r="L139" s="637"/>
      <c r="M139" s="637"/>
      <c r="N139" s="637"/>
      <c r="O139" s="638"/>
      <c r="P139" s="634" t="s">
        <v>40</v>
      </c>
      <c r="Q139" s="635"/>
      <c r="R139" s="635"/>
      <c r="S139" s="635"/>
      <c r="T139" s="635"/>
      <c r="U139" s="635"/>
      <c r="V139" s="63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37"/>
      <c r="B140" s="637"/>
      <c r="C140" s="637"/>
      <c r="D140" s="637"/>
      <c r="E140" s="637"/>
      <c r="F140" s="637"/>
      <c r="G140" s="637"/>
      <c r="H140" s="637"/>
      <c r="I140" s="637"/>
      <c r="J140" s="637"/>
      <c r="K140" s="637"/>
      <c r="L140" s="637"/>
      <c r="M140" s="637"/>
      <c r="N140" s="637"/>
      <c r="O140" s="638"/>
      <c r="P140" s="634" t="s">
        <v>40</v>
      </c>
      <c r="Q140" s="635"/>
      <c r="R140" s="635"/>
      <c r="S140" s="635"/>
      <c r="T140" s="635"/>
      <c r="U140" s="635"/>
      <c r="V140" s="63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27" t="s">
        <v>112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5"/>
      <c r="AB141" s="65"/>
      <c r="AC141" s="79"/>
    </row>
    <row r="142" spans="1:68" ht="14.25" customHeight="1" x14ac:dyDescent="0.25">
      <c r="A142" s="628" t="s">
        <v>114</v>
      </c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8"/>
      <c r="P142" s="628"/>
      <c r="Q142" s="628"/>
      <c r="R142" s="628"/>
      <c r="S142" s="628"/>
      <c r="T142" s="628"/>
      <c r="U142" s="628"/>
      <c r="V142" s="628"/>
      <c r="W142" s="628"/>
      <c r="X142" s="628"/>
      <c r="Y142" s="628"/>
      <c r="Z142" s="628"/>
      <c r="AA142" s="66"/>
      <c r="AB142" s="66"/>
      <c r="AC142" s="80"/>
    </row>
    <row r="143" spans="1:68" ht="27" customHeight="1" x14ac:dyDescent="0.25">
      <c r="A143" s="63" t="s">
        <v>253</v>
      </c>
      <c r="B143" s="63" t="s">
        <v>254</v>
      </c>
      <c r="C143" s="36">
        <v>4301012244</v>
      </c>
      <c r="D143" s="629">
        <v>4680115887374</v>
      </c>
      <c r="E143" s="629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119</v>
      </c>
      <c r="L143" s="37" t="s">
        <v>45</v>
      </c>
      <c r="M143" s="38" t="s">
        <v>118</v>
      </c>
      <c r="N143" s="38"/>
      <c r="O143" s="37">
        <v>55</v>
      </c>
      <c r="P143" s="69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31"/>
      <c r="R143" s="631"/>
      <c r="S143" s="631"/>
      <c r="T143" s="632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256</v>
      </c>
      <c r="B144" s="63" t="s">
        <v>257</v>
      </c>
      <c r="C144" s="36">
        <v>4301011705</v>
      </c>
      <c r="D144" s="629">
        <v>4607091384604</v>
      </c>
      <c r="E144" s="629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123</v>
      </c>
      <c r="L144" s="37" t="s">
        <v>126</v>
      </c>
      <c r="M144" s="38" t="s">
        <v>118</v>
      </c>
      <c r="N144" s="38"/>
      <c r="O144" s="37">
        <v>50</v>
      </c>
      <c r="P144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31"/>
      <c r="R144" s="631"/>
      <c r="S144" s="631"/>
      <c r="T144" s="632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258</v>
      </c>
      <c r="AG144" s="78"/>
      <c r="AJ144" s="84" t="s">
        <v>103</v>
      </c>
      <c r="AK144" s="84">
        <v>48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37"/>
      <c r="B145" s="637"/>
      <c r="C145" s="637"/>
      <c r="D145" s="637"/>
      <c r="E145" s="637"/>
      <c r="F145" s="637"/>
      <c r="G145" s="637"/>
      <c r="H145" s="637"/>
      <c r="I145" s="637"/>
      <c r="J145" s="637"/>
      <c r="K145" s="637"/>
      <c r="L145" s="637"/>
      <c r="M145" s="637"/>
      <c r="N145" s="637"/>
      <c r="O145" s="638"/>
      <c r="P145" s="634" t="s">
        <v>40</v>
      </c>
      <c r="Q145" s="635"/>
      <c r="R145" s="635"/>
      <c r="S145" s="635"/>
      <c r="T145" s="635"/>
      <c r="U145" s="635"/>
      <c r="V145" s="636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37"/>
      <c r="B146" s="637"/>
      <c r="C146" s="637"/>
      <c r="D146" s="637"/>
      <c r="E146" s="637"/>
      <c r="F146" s="637"/>
      <c r="G146" s="637"/>
      <c r="H146" s="637"/>
      <c r="I146" s="637"/>
      <c r="J146" s="637"/>
      <c r="K146" s="637"/>
      <c r="L146" s="637"/>
      <c r="M146" s="637"/>
      <c r="N146" s="637"/>
      <c r="O146" s="638"/>
      <c r="P146" s="634" t="s">
        <v>40</v>
      </c>
      <c r="Q146" s="635"/>
      <c r="R146" s="635"/>
      <c r="S146" s="635"/>
      <c r="T146" s="635"/>
      <c r="U146" s="635"/>
      <c r="V146" s="636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28" t="s">
        <v>78</v>
      </c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8"/>
      <c r="P147" s="628"/>
      <c r="Q147" s="628"/>
      <c r="R147" s="628"/>
      <c r="S147" s="628"/>
      <c r="T147" s="628"/>
      <c r="U147" s="628"/>
      <c r="V147" s="628"/>
      <c r="W147" s="628"/>
      <c r="X147" s="628"/>
      <c r="Y147" s="628"/>
      <c r="Z147" s="628"/>
      <c r="AA147" s="66"/>
      <c r="AB147" s="66"/>
      <c r="AC147" s="80"/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629">
        <v>4680115887428</v>
      </c>
      <c r="E148" s="629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123</v>
      </c>
      <c r="L148" s="37" t="s">
        <v>45</v>
      </c>
      <c r="M148" s="38" t="s">
        <v>82</v>
      </c>
      <c r="N148" s="38"/>
      <c r="O148" s="37">
        <v>40</v>
      </c>
      <c r="P148" s="696" t="s">
        <v>261</v>
      </c>
      <c r="Q148" s="631"/>
      <c r="R148" s="631"/>
      <c r="S148" s="631"/>
      <c r="T148" s="632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263</v>
      </c>
      <c r="AC148" s="204" t="s">
        <v>262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4301031453</v>
      </c>
      <c r="D149" s="629">
        <v>4680115887336</v>
      </c>
      <c r="E149" s="629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123</v>
      </c>
      <c r="L149" s="37" t="s">
        <v>45</v>
      </c>
      <c r="M149" s="38" t="s">
        <v>82</v>
      </c>
      <c r="N149" s="38"/>
      <c r="O149" s="37">
        <v>40</v>
      </c>
      <c r="P149" s="697" t="s">
        <v>266</v>
      </c>
      <c r="Q149" s="631"/>
      <c r="R149" s="631"/>
      <c r="S149" s="631"/>
      <c r="T149" s="632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263</v>
      </c>
      <c r="AC149" s="206" t="s">
        <v>267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268</v>
      </c>
      <c r="B150" s="63" t="s">
        <v>269</v>
      </c>
      <c r="C150" s="36">
        <v>4301031456</v>
      </c>
      <c r="D150" s="629">
        <v>4680115887398</v>
      </c>
      <c r="E150" s="629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123</v>
      </c>
      <c r="L150" s="37" t="s">
        <v>45</v>
      </c>
      <c r="M150" s="38" t="s">
        <v>82</v>
      </c>
      <c r="N150" s="38"/>
      <c r="O150" s="37">
        <v>40</v>
      </c>
      <c r="P150" s="698" t="s">
        <v>270</v>
      </c>
      <c r="Q150" s="631"/>
      <c r="R150" s="631"/>
      <c r="S150" s="631"/>
      <c r="T150" s="632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263</v>
      </c>
      <c r="AC150" s="208" t="s">
        <v>271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16.5" customHeight="1" x14ac:dyDescent="0.25">
      <c r="A151" s="63" t="s">
        <v>272</v>
      </c>
      <c r="B151" s="63" t="s">
        <v>273</v>
      </c>
      <c r="C151" s="36">
        <v>4301030895</v>
      </c>
      <c r="D151" s="629">
        <v>4607091387667</v>
      </c>
      <c r="E151" s="629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120</v>
      </c>
      <c r="M151" s="38" t="s">
        <v>118</v>
      </c>
      <c r="N151" s="38"/>
      <c r="O151" s="37">
        <v>40</v>
      </c>
      <c r="P151" s="69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631"/>
      <c r="R151" s="631"/>
      <c r="S151" s="631"/>
      <c r="T151" s="632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274</v>
      </c>
      <c r="AG151" s="78"/>
      <c r="AJ151" s="84" t="s">
        <v>103</v>
      </c>
      <c r="AK151" s="84">
        <v>72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16.5" customHeight="1" x14ac:dyDescent="0.25">
      <c r="A152" s="63" t="s">
        <v>275</v>
      </c>
      <c r="B152" s="63" t="s">
        <v>276</v>
      </c>
      <c r="C152" s="36">
        <v>4301030961</v>
      </c>
      <c r="D152" s="629">
        <v>4607091387636</v>
      </c>
      <c r="E152" s="629"/>
      <c r="F152" s="62">
        <v>0.7</v>
      </c>
      <c r="G152" s="37">
        <v>6</v>
      </c>
      <c r="H152" s="62">
        <v>4.2</v>
      </c>
      <c r="I152" s="62">
        <v>4.47</v>
      </c>
      <c r="J152" s="37">
        <v>182</v>
      </c>
      <c r="K152" s="37" t="s">
        <v>83</v>
      </c>
      <c r="L152" s="37" t="s">
        <v>45</v>
      </c>
      <c r="M152" s="38" t="s">
        <v>82</v>
      </c>
      <c r="N152" s="38"/>
      <c r="O152" s="37">
        <v>40</v>
      </c>
      <c r="P152" s="70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631"/>
      <c r="R152" s="631"/>
      <c r="S152" s="631"/>
      <c r="T152" s="632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12" t="s">
        <v>277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278</v>
      </c>
      <c r="B153" s="63" t="s">
        <v>279</v>
      </c>
      <c r="C153" s="36">
        <v>4301030963</v>
      </c>
      <c r="D153" s="629">
        <v>4607091382426</v>
      </c>
      <c r="E153" s="629"/>
      <c r="F153" s="62">
        <v>0.9</v>
      </c>
      <c r="G153" s="37">
        <v>10</v>
      </c>
      <c r="H153" s="62">
        <v>9</v>
      </c>
      <c r="I153" s="62">
        <v>9.56</v>
      </c>
      <c r="J153" s="37">
        <v>64</v>
      </c>
      <c r="K153" s="37" t="s">
        <v>119</v>
      </c>
      <c r="L153" s="37" t="s">
        <v>120</v>
      </c>
      <c r="M153" s="38" t="s">
        <v>82</v>
      </c>
      <c r="N153" s="38"/>
      <c r="O153" s="37">
        <v>40</v>
      </c>
      <c r="P153" s="70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631"/>
      <c r="R153" s="631"/>
      <c r="S153" s="631"/>
      <c r="T153" s="632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IFERROR(IF(Y153=0,"",ROUNDUP(Y153/H153,0)*0.01898),"")</f>
        <v/>
      </c>
      <c r="AA153" s="68" t="s">
        <v>45</v>
      </c>
      <c r="AB153" s="69" t="s">
        <v>45</v>
      </c>
      <c r="AC153" s="214" t="s">
        <v>280</v>
      </c>
      <c r="AG153" s="78"/>
      <c r="AJ153" s="84" t="s">
        <v>103</v>
      </c>
      <c r="AK153" s="84">
        <v>72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37"/>
      <c r="B154" s="637"/>
      <c r="C154" s="637"/>
      <c r="D154" s="637"/>
      <c r="E154" s="637"/>
      <c r="F154" s="637"/>
      <c r="G154" s="637"/>
      <c r="H154" s="637"/>
      <c r="I154" s="637"/>
      <c r="J154" s="637"/>
      <c r="K154" s="637"/>
      <c r="L154" s="637"/>
      <c r="M154" s="637"/>
      <c r="N154" s="637"/>
      <c r="O154" s="638"/>
      <c r="P154" s="634" t="s">
        <v>40</v>
      </c>
      <c r="Q154" s="635"/>
      <c r="R154" s="635"/>
      <c r="S154" s="635"/>
      <c r="T154" s="635"/>
      <c r="U154" s="635"/>
      <c r="V154" s="63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7"/>
      <c r="B155" s="637"/>
      <c r="C155" s="637"/>
      <c r="D155" s="637"/>
      <c r="E155" s="637"/>
      <c r="F155" s="637"/>
      <c r="G155" s="637"/>
      <c r="H155" s="637"/>
      <c r="I155" s="637"/>
      <c r="J155" s="637"/>
      <c r="K155" s="637"/>
      <c r="L155" s="637"/>
      <c r="M155" s="637"/>
      <c r="N155" s="637"/>
      <c r="O155" s="638"/>
      <c r="P155" s="634" t="s">
        <v>40</v>
      </c>
      <c r="Q155" s="635"/>
      <c r="R155" s="635"/>
      <c r="S155" s="635"/>
      <c r="T155" s="635"/>
      <c r="U155" s="635"/>
      <c r="V155" s="63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28" t="s">
        <v>88</v>
      </c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8"/>
      <c r="P156" s="628"/>
      <c r="Q156" s="628"/>
      <c r="R156" s="628"/>
      <c r="S156" s="628"/>
      <c r="T156" s="628"/>
      <c r="U156" s="628"/>
      <c r="V156" s="628"/>
      <c r="W156" s="628"/>
      <c r="X156" s="628"/>
      <c r="Y156" s="628"/>
      <c r="Z156" s="628"/>
      <c r="AA156" s="66"/>
      <c r="AB156" s="66"/>
      <c r="AC156" s="80"/>
    </row>
    <row r="157" spans="1:68" ht="27" customHeight="1" x14ac:dyDescent="0.25">
      <c r="A157" s="63" t="s">
        <v>281</v>
      </c>
      <c r="B157" s="63" t="s">
        <v>282</v>
      </c>
      <c r="C157" s="36">
        <v>4301052064</v>
      </c>
      <c r="D157" s="629">
        <v>4680115887459</v>
      </c>
      <c r="E157" s="629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31"/>
      <c r="R157" s="631"/>
      <c r="S157" s="631"/>
      <c r="T157" s="632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283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7"/>
      <c r="B158" s="637"/>
      <c r="C158" s="637"/>
      <c r="D158" s="637"/>
      <c r="E158" s="637"/>
      <c r="F158" s="637"/>
      <c r="G158" s="637"/>
      <c r="H158" s="637"/>
      <c r="I158" s="637"/>
      <c r="J158" s="637"/>
      <c r="K158" s="637"/>
      <c r="L158" s="637"/>
      <c r="M158" s="637"/>
      <c r="N158" s="637"/>
      <c r="O158" s="638"/>
      <c r="P158" s="634" t="s">
        <v>40</v>
      </c>
      <c r="Q158" s="635"/>
      <c r="R158" s="635"/>
      <c r="S158" s="635"/>
      <c r="T158" s="635"/>
      <c r="U158" s="635"/>
      <c r="V158" s="63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7"/>
      <c r="B159" s="637"/>
      <c r="C159" s="637"/>
      <c r="D159" s="637"/>
      <c r="E159" s="637"/>
      <c r="F159" s="637"/>
      <c r="G159" s="637"/>
      <c r="H159" s="637"/>
      <c r="I159" s="637"/>
      <c r="J159" s="637"/>
      <c r="K159" s="637"/>
      <c r="L159" s="637"/>
      <c r="M159" s="637"/>
      <c r="N159" s="637"/>
      <c r="O159" s="638"/>
      <c r="P159" s="634" t="s">
        <v>40</v>
      </c>
      <c r="Q159" s="635"/>
      <c r="R159" s="635"/>
      <c r="S159" s="635"/>
      <c r="T159" s="635"/>
      <c r="U159" s="635"/>
      <c r="V159" s="63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6" t="s">
        <v>284</v>
      </c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6"/>
      <c r="P160" s="626"/>
      <c r="Q160" s="626"/>
      <c r="R160" s="626"/>
      <c r="S160" s="626"/>
      <c r="T160" s="626"/>
      <c r="U160" s="626"/>
      <c r="V160" s="626"/>
      <c r="W160" s="626"/>
      <c r="X160" s="626"/>
      <c r="Y160" s="626"/>
      <c r="Z160" s="626"/>
      <c r="AA160" s="54"/>
      <c r="AB160" s="54"/>
      <c r="AC160" s="54"/>
    </row>
    <row r="161" spans="1:68" ht="16.5" customHeight="1" x14ac:dyDescent="0.25">
      <c r="A161" s="627" t="s">
        <v>285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5"/>
      <c r="AB161" s="65"/>
      <c r="AC161" s="79"/>
    </row>
    <row r="162" spans="1:68" ht="14.25" customHeight="1" x14ac:dyDescent="0.25">
      <c r="A162" s="628" t="s">
        <v>149</v>
      </c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8"/>
      <c r="P162" s="628"/>
      <c r="Q162" s="628"/>
      <c r="R162" s="628"/>
      <c r="S162" s="628"/>
      <c r="T162" s="628"/>
      <c r="U162" s="628"/>
      <c r="V162" s="628"/>
      <c r="W162" s="628"/>
      <c r="X162" s="628"/>
      <c r="Y162" s="628"/>
      <c r="Z162" s="628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4301020323</v>
      </c>
      <c r="D163" s="629">
        <v>4680115886223</v>
      </c>
      <c r="E163" s="629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31"/>
      <c r="R163" s="631"/>
      <c r="S163" s="631"/>
      <c r="T163" s="632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288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7"/>
      <c r="B164" s="637"/>
      <c r="C164" s="637"/>
      <c r="D164" s="637"/>
      <c r="E164" s="637"/>
      <c r="F164" s="637"/>
      <c r="G164" s="637"/>
      <c r="H164" s="637"/>
      <c r="I164" s="637"/>
      <c r="J164" s="637"/>
      <c r="K164" s="637"/>
      <c r="L164" s="637"/>
      <c r="M164" s="637"/>
      <c r="N164" s="637"/>
      <c r="O164" s="638"/>
      <c r="P164" s="634" t="s">
        <v>40</v>
      </c>
      <c r="Q164" s="635"/>
      <c r="R164" s="635"/>
      <c r="S164" s="635"/>
      <c r="T164" s="635"/>
      <c r="U164" s="635"/>
      <c r="V164" s="63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7"/>
      <c r="B165" s="637"/>
      <c r="C165" s="637"/>
      <c r="D165" s="637"/>
      <c r="E165" s="637"/>
      <c r="F165" s="637"/>
      <c r="G165" s="637"/>
      <c r="H165" s="637"/>
      <c r="I165" s="637"/>
      <c r="J165" s="637"/>
      <c r="K165" s="637"/>
      <c r="L165" s="637"/>
      <c r="M165" s="637"/>
      <c r="N165" s="637"/>
      <c r="O165" s="638"/>
      <c r="P165" s="634" t="s">
        <v>40</v>
      </c>
      <c r="Q165" s="635"/>
      <c r="R165" s="635"/>
      <c r="S165" s="635"/>
      <c r="T165" s="635"/>
      <c r="U165" s="635"/>
      <c r="V165" s="63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8" t="s">
        <v>78</v>
      </c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8"/>
      <c r="P166" s="628"/>
      <c r="Q166" s="628"/>
      <c r="R166" s="628"/>
      <c r="S166" s="628"/>
      <c r="T166" s="628"/>
      <c r="U166" s="628"/>
      <c r="V166" s="628"/>
      <c r="W166" s="628"/>
      <c r="X166" s="628"/>
      <c r="Y166" s="628"/>
      <c r="Z166" s="628"/>
      <c r="AA166" s="66"/>
      <c r="AB166" s="66"/>
      <c r="AC166" s="80"/>
    </row>
    <row r="167" spans="1:68" ht="27" customHeight="1" x14ac:dyDescent="0.25">
      <c r="A167" s="63" t="s">
        <v>289</v>
      </c>
      <c r="B167" s="63" t="s">
        <v>290</v>
      </c>
      <c r="C167" s="36">
        <v>4301031191</v>
      </c>
      <c r="D167" s="629">
        <v>4680115880993</v>
      </c>
      <c r="E167" s="629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123</v>
      </c>
      <c r="L167" s="37" t="s">
        <v>126</v>
      </c>
      <c r="M167" s="38" t="s">
        <v>82</v>
      </c>
      <c r="N167" s="38"/>
      <c r="O167" s="37">
        <v>40</v>
      </c>
      <c r="P167" s="7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31"/>
      <c r="R167" s="631"/>
      <c r="S167" s="631"/>
      <c r="T167" s="63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78" si="10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291</v>
      </c>
      <c r="AG167" s="78"/>
      <c r="AJ167" s="84" t="s">
        <v>103</v>
      </c>
      <c r="AK167" s="84">
        <v>50.4</v>
      </c>
      <c r="BB167" s="221" t="s">
        <v>66</v>
      </c>
      <c r="BM167" s="78">
        <f t="shared" ref="BM167:BM178" si="11">IFERROR(X167*I167/H167,"0")</f>
        <v>0</v>
      </c>
      <c r="BN167" s="78">
        <f t="shared" ref="BN167:BN178" si="12">IFERROR(Y167*I167/H167,"0")</f>
        <v>0</v>
      </c>
      <c r="BO167" s="78">
        <f t="shared" ref="BO167:BO178" si="13">IFERROR(1/J167*(X167/H167),"0")</f>
        <v>0</v>
      </c>
      <c r="BP167" s="78">
        <f t="shared" ref="BP167:BP178" si="14">IFERROR(1/J167*(Y167/H167),"0")</f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4301031204</v>
      </c>
      <c r="D168" s="629">
        <v>4680115881761</v>
      </c>
      <c r="E168" s="629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123</v>
      </c>
      <c r="L168" s="37" t="s">
        <v>45</v>
      </c>
      <c r="M168" s="38" t="s">
        <v>82</v>
      </c>
      <c r="N168" s="38"/>
      <c r="O168" s="37">
        <v>40</v>
      </c>
      <c r="P168" s="7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31"/>
      <c r="R168" s="631"/>
      <c r="S168" s="631"/>
      <c r="T168" s="63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294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4301031201</v>
      </c>
      <c r="D169" s="629">
        <v>4680115881563</v>
      </c>
      <c r="E169" s="629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123</v>
      </c>
      <c r="L169" s="37" t="s">
        <v>126</v>
      </c>
      <c r="M169" s="38" t="s">
        <v>82</v>
      </c>
      <c r="N169" s="38"/>
      <c r="O169" s="37">
        <v>40</v>
      </c>
      <c r="P169" s="7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31"/>
      <c r="R169" s="631"/>
      <c r="S169" s="631"/>
      <c r="T169" s="63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297</v>
      </c>
      <c r="AG169" s="78"/>
      <c r="AJ169" s="84" t="s">
        <v>103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37.5" customHeight="1" x14ac:dyDescent="0.25">
      <c r="A170" s="63" t="s">
        <v>298</v>
      </c>
      <c r="B170" s="63" t="s">
        <v>299</v>
      </c>
      <c r="C170" s="36">
        <v>4301031447</v>
      </c>
      <c r="D170" s="629">
        <v>4680115887565</v>
      </c>
      <c r="E170" s="629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31"/>
      <c r="R170" s="631"/>
      <c r="S170" s="631"/>
      <c r="T170" s="63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300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4301031199</v>
      </c>
      <c r="D171" s="629">
        <v>4680115880986</v>
      </c>
      <c r="E171" s="629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303</v>
      </c>
      <c r="M171" s="38" t="s">
        <v>82</v>
      </c>
      <c r="N171" s="38"/>
      <c r="O171" s="37">
        <v>40</v>
      </c>
      <c r="P171" s="7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31"/>
      <c r="R171" s="631"/>
      <c r="S171" s="631"/>
      <c r="T171" s="632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291</v>
      </c>
      <c r="AG171" s="78"/>
      <c r="AJ171" s="84" t="s">
        <v>103</v>
      </c>
      <c r="AK171" s="84">
        <v>37.799999999999997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4301031443</v>
      </c>
      <c r="D172" s="629">
        <v>4680115887213</v>
      </c>
      <c r="E172" s="629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31"/>
      <c r="R172" s="631"/>
      <c r="S172" s="631"/>
      <c r="T172" s="632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306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307</v>
      </c>
      <c r="B173" s="63" t="s">
        <v>308</v>
      </c>
      <c r="C173" s="36">
        <v>4301031205</v>
      </c>
      <c r="D173" s="629">
        <v>4680115881785</v>
      </c>
      <c r="E173" s="629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303</v>
      </c>
      <c r="M173" s="38" t="s">
        <v>82</v>
      </c>
      <c r="N173" s="38"/>
      <c r="O173" s="37">
        <v>40</v>
      </c>
      <c r="P173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31"/>
      <c r="R173" s="631"/>
      <c r="S173" s="631"/>
      <c r="T173" s="632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294</v>
      </c>
      <c r="AG173" s="78"/>
      <c r="AJ173" s="84" t="s">
        <v>103</v>
      </c>
      <c r="AK173" s="84">
        <v>37.799999999999997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309</v>
      </c>
      <c r="B174" s="63" t="s">
        <v>310</v>
      </c>
      <c r="C174" s="36">
        <v>4301031399</v>
      </c>
      <c r="D174" s="629">
        <v>4680115886537</v>
      </c>
      <c r="E174" s="629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31"/>
      <c r="R174" s="631"/>
      <c r="S174" s="631"/>
      <c r="T174" s="632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311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4301031279</v>
      </c>
      <c r="D175" s="629">
        <v>4680115887596</v>
      </c>
      <c r="E175" s="629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188</v>
      </c>
      <c r="L175" s="37" t="s">
        <v>45</v>
      </c>
      <c r="M175" s="38" t="s">
        <v>82</v>
      </c>
      <c r="N175" s="38"/>
      <c r="O175" s="37">
        <v>45</v>
      </c>
      <c r="P175" s="7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31"/>
      <c r="R175" s="631"/>
      <c r="S175" s="631"/>
      <c r="T175" s="632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314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37.5" customHeight="1" x14ac:dyDescent="0.25">
      <c r="A176" s="63" t="s">
        <v>315</v>
      </c>
      <c r="B176" s="63" t="s">
        <v>316</v>
      </c>
      <c r="C176" s="36">
        <v>4301031202</v>
      </c>
      <c r="D176" s="629">
        <v>4680115881679</v>
      </c>
      <c r="E176" s="629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303</v>
      </c>
      <c r="M176" s="38" t="s">
        <v>82</v>
      </c>
      <c r="N176" s="38"/>
      <c r="O176" s="37">
        <v>40</v>
      </c>
      <c r="P176" s="7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31"/>
      <c r="R176" s="631"/>
      <c r="S176" s="631"/>
      <c r="T176" s="632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297</v>
      </c>
      <c r="AG176" s="78"/>
      <c r="AJ176" s="84" t="s">
        <v>103</v>
      </c>
      <c r="AK176" s="84">
        <v>37.799999999999997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4301031158</v>
      </c>
      <c r="D177" s="629">
        <v>4680115880191</v>
      </c>
      <c r="E177" s="629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31"/>
      <c r="R177" s="631"/>
      <c r="S177" s="631"/>
      <c r="T177" s="632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297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319</v>
      </c>
      <c r="B178" s="63" t="s">
        <v>320</v>
      </c>
      <c r="C178" s="36">
        <v>4301031245</v>
      </c>
      <c r="D178" s="629">
        <v>4680115883963</v>
      </c>
      <c r="E178" s="62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31"/>
      <c r="R178" s="631"/>
      <c r="S178" s="631"/>
      <c r="T178" s="632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321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x14ac:dyDescent="0.2">
      <c r="A179" s="637"/>
      <c r="B179" s="637"/>
      <c r="C179" s="637"/>
      <c r="D179" s="637"/>
      <c r="E179" s="637"/>
      <c r="F179" s="637"/>
      <c r="G179" s="637"/>
      <c r="H179" s="637"/>
      <c r="I179" s="637"/>
      <c r="J179" s="637"/>
      <c r="K179" s="637"/>
      <c r="L179" s="637"/>
      <c r="M179" s="637"/>
      <c r="N179" s="637"/>
      <c r="O179" s="638"/>
      <c r="P179" s="634" t="s">
        <v>40</v>
      </c>
      <c r="Q179" s="635"/>
      <c r="R179" s="635"/>
      <c r="S179" s="635"/>
      <c r="T179" s="635"/>
      <c r="U179" s="635"/>
      <c r="V179" s="636"/>
      <c r="W179" s="42" t="s">
        <v>39</v>
      </c>
      <c r="X179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7"/>
      <c r="B180" s="637"/>
      <c r="C180" s="637"/>
      <c r="D180" s="637"/>
      <c r="E180" s="637"/>
      <c r="F180" s="637"/>
      <c r="G180" s="637"/>
      <c r="H180" s="637"/>
      <c r="I180" s="637"/>
      <c r="J180" s="637"/>
      <c r="K180" s="637"/>
      <c r="L180" s="637"/>
      <c r="M180" s="637"/>
      <c r="N180" s="637"/>
      <c r="O180" s="638"/>
      <c r="P180" s="634" t="s">
        <v>40</v>
      </c>
      <c r="Q180" s="635"/>
      <c r="R180" s="635"/>
      <c r="S180" s="635"/>
      <c r="T180" s="635"/>
      <c r="U180" s="635"/>
      <c r="V180" s="636"/>
      <c r="W180" s="42" t="s">
        <v>0</v>
      </c>
      <c r="X180" s="43">
        <f>IFERROR(SUM(X167:X178),"0")</f>
        <v>0</v>
      </c>
      <c r="Y180" s="43">
        <f>IFERROR(SUM(Y167:Y178),"0")</f>
        <v>0</v>
      </c>
      <c r="Z180" s="42"/>
      <c r="AA180" s="67"/>
      <c r="AB180" s="67"/>
      <c r="AC180" s="67"/>
    </row>
    <row r="181" spans="1:68" ht="14.25" customHeight="1" x14ac:dyDescent="0.25">
      <c r="A181" s="628" t="s">
        <v>106</v>
      </c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8"/>
      <c r="P181" s="628"/>
      <c r="Q181" s="628"/>
      <c r="R181" s="628"/>
      <c r="S181" s="628"/>
      <c r="T181" s="628"/>
      <c r="U181" s="628"/>
      <c r="V181" s="628"/>
      <c r="W181" s="628"/>
      <c r="X181" s="628"/>
      <c r="Y181" s="628"/>
      <c r="Z181" s="628"/>
      <c r="AA181" s="66"/>
      <c r="AB181" s="66"/>
      <c r="AC181" s="80"/>
    </row>
    <row r="182" spans="1:68" ht="27" customHeight="1" x14ac:dyDescent="0.25">
      <c r="A182" s="63" t="s">
        <v>322</v>
      </c>
      <c r="B182" s="63" t="s">
        <v>323</v>
      </c>
      <c r="C182" s="36">
        <v>4301032053</v>
      </c>
      <c r="D182" s="629">
        <v>4680115886780</v>
      </c>
      <c r="E182" s="629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326</v>
      </c>
      <c r="L182" s="37" t="s">
        <v>45</v>
      </c>
      <c r="M182" s="38" t="s">
        <v>325</v>
      </c>
      <c r="N182" s="38"/>
      <c r="O182" s="37">
        <v>60</v>
      </c>
      <c r="P182" s="7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31"/>
      <c r="R182" s="631"/>
      <c r="S182" s="631"/>
      <c r="T182" s="632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324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4301032051</v>
      </c>
      <c r="D183" s="629">
        <v>4680115886742</v>
      </c>
      <c r="E183" s="629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326</v>
      </c>
      <c r="L183" s="37" t="s">
        <v>45</v>
      </c>
      <c r="M183" s="38" t="s">
        <v>325</v>
      </c>
      <c r="N183" s="38"/>
      <c r="O183" s="37">
        <v>90</v>
      </c>
      <c r="P183" s="7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31"/>
      <c r="R183" s="631"/>
      <c r="S183" s="631"/>
      <c r="T183" s="632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329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330</v>
      </c>
      <c r="B184" s="63" t="s">
        <v>331</v>
      </c>
      <c r="C184" s="36">
        <v>4301032052</v>
      </c>
      <c r="D184" s="629">
        <v>4680115886766</v>
      </c>
      <c r="E184" s="629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326</v>
      </c>
      <c r="L184" s="37" t="s">
        <v>45</v>
      </c>
      <c r="M184" s="38" t="s">
        <v>325</v>
      </c>
      <c r="N184" s="38"/>
      <c r="O184" s="37">
        <v>90</v>
      </c>
      <c r="P184" s="7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31"/>
      <c r="R184" s="631"/>
      <c r="S184" s="631"/>
      <c r="T184" s="632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329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7"/>
      <c r="B185" s="637"/>
      <c r="C185" s="637"/>
      <c r="D185" s="637"/>
      <c r="E185" s="637"/>
      <c r="F185" s="637"/>
      <c r="G185" s="637"/>
      <c r="H185" s="637"/>
      <c r="I185" s="637"/>
      <c r="J185" s="637"/>
      <c r="K185" s="637"/>
      <c r="L185" s="637"/>
      <c r="M185" s="637"/>
      <c r="N185" s="637"/>
      <c r="O185" s="638"/>
      <c r="P185" s="634" t="s">
        <v>40</v>
      </c>
      <c r="Q185" s="635"/>
      <c r="R185" s="635"/>
      <c r="S185" s="635"/>
      <c r="T185" s="635"/>
      <c r="U185" s="635"/>
      <c r="V185" s="636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7"/>
      <c r="B186" s="637"/>
      <c r="C186" s="637"/>
      <c r="D186" s="637"/>
      <c r="E186" s="637"/>
      <c r="F186" s="637"/>
      <c r="G186" s="637"/>
      <c r="H186" s="637"/>
      <c r="I186" s="637"/>
      <c r="J186" s="637"/>
      <c r="K186" s="637"/>
      <c r="L186" s="637"/>
      <c r="M186" s="637"/>
      <c r="N186" s="637"/>
      <c r="O186" s="638"/>
      <c r="P186" s="634" t="s">
        <v>40</v>
      </c>
      <c r="Q186" s="635"/>
      <c r="R186" s="635"/>
      <c r="S186" s="635"/>
      <c r="T186" s="635"/>
      <c r="U186" s="635"/>
      <c r="V186" s="636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8" t="s">
        <v>332</v>
      </c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8"/>
      <c r="P187" s="628"/>
      <c r="Q187" s="628"/>
      <c r="R187" s="628"/>
      <c r="S187" s="628"/>
      <c r="T187" s="628"/>
      <c r="U187" s="628"/>
      <c r="V187" s="628"/>
      <c r="W187" s="628"/>
      <c r="X187" s="628"/>
      <c r="Y187" s="628"/>
      <c r="Z187" s="628"/>
      <c r="AA187" s="66"/>
      <c r="AB187" s="66"/>
      <c r="AC187" s="80"/>
    </row>
    <row r="188" spans="1:68" ht="27" customHeight="1" x14ac:dyDescent="0.25">
      <c r="A188" s="63" t="s">
        <v>333</v>
      </c>
      <c r="B188" s="63" t="s">
        <v>334</v>
      </c>
      <c r="C188" s="36">
        <v>4301170013</v>
      </c>
      <c r="D188" s="629">
        <v>4680115886797</v>
      </c>
      <c r="E188" s="629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326</v>
      </c>
      <c r="L188" s="37" t="s">
        <v>45</v>
      </c>
      <c r="M188" s="38" t="s">
        <v>325</v>
      </c>
      <c r="N188" s="38"/>
      <c r="O188" s="37">
        <v>90</v>
      </c>
      <c r="P188" s="71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31"/>
      <c r="R188" s="631"/>
      <c r="S188" s="631"/>
      <c r="T188" s="632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329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7"/>
      <c r="B189" s="637"/>
      <c r="C189" s="637"/>
      <c r="D189" s="637"/>
      <c r="E189" s="637"/>
      <c r="F189" s="637"/>
      <c r="G189" s="637"/>
      <c r="H189" s="637"/>
      <c r="I189" s="637"/>
      <c r="J189" s="637"/>
      <c r="K189" s="637"/>
      <c r="L189" s="637"/>
      <c r="M189" s="637"/>
      <c r="N189" s="637"/>
      <c r="O189" s="638"/>
      <c r="P189" s="634" t="s">
        <v>40</v>
      </c>
      <c r="Q189" s="635"/>
      <c r="R189" s="635"/>
      <c r="S189" s="635"/>
      <c r="T189" s="635"/>
      <c r="U189" s="635"/>
      <c r="V189" s="636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7"/>
      <c r="B190" s="637"/>
      <c r="C190" s="637"/>
      <c r="D190" s="637"/>
      <c r="E190" s="637"/>
      <c r="F190" s="637"/>
      <c r="G190" s="637"/>
      <c r="H190" s="637"/>
      <c r="I190" s="637"/>
      <c r="J190" s="637"/>
      <c r="K190" s="637"/>
      <c r="L190" s="637"/>
      <c r="M190" s="637"/>
      <c r="N190" s="637"/>
      <c r="O190" s="638"/>
      <c r="P190" s="634" t="s">
        <v>40</v>
      </c>
      <c r="Q190" s="635"/>
      <c r="R190" s="635"/>
      <c r="S190" s="635"/>
      <c r="T190" s="635"/>
      <c r="U190" s="635"/>
      <c r="V190" s="636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7" t="s">
        <v>335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5"/>
      <c r="AB191" s="65"/>
      <c r="AC191" s="79"/>
    </row>
    <row r="192" spans="1:68" ht="14.25" customHeight="1" x14ac:dyDescent="0.25">
      <c r="A192" s="628" t="s">
        <v>114</v>
      </c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8"/>
      <c r="P192" s="628"/>
      <c r="Q192" s="628"/>
      <c r="R192" s="628"/>
      <c r="S192" s="628"/>
      <c r="T192" s="628"/>
      <c r="U192" s="628"/>
      <c r="V192" s="628"/>
      <c r="W192" s="628"/>
      <c r="X192" s="628"/>
      <c r="Y192" s="628"/>
      <c r="Z192" s="628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4301011450</v>
      </c>
      <c r="D193" s="629">
        <v>4680115881402</v>
      </c>
      <c r="E193" s="629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119</v>
      </c>
      <c r="L193" s="37" t="s">
        <v>45</v>
      </c>
      <c r="M193" s="38" t="s">
        <v>118</v>
      </c>
      <c r="N193" s="38"/>
      <c r="O193" s="37">
        <v>55</v>
      </c>
      <c r="P193" s="7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31"/>
      <c r="R193" s="631"/>
      <c r="S193" s="631"/>
      <c r="T193" s="632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338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339</v>
      </c>
      <c r="B194" s="63" t="s">
        <v>340</v>
      </c>
      <c r="C194" s="36">
        <v>4301011768</v>
      </c>
      <c r="D194" s="629">
        <v>4680115881396</v>
      </c>
      <c r="E194" s="629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102</v>
      </c>
      <c r="M194" s="38" t="s">
        <v>118</v>
      </c>
      <c r="N194" s="38"/>
      <c r="O194" s="37">
        <v>55</v>
      </c>
      <c r="P194" s="7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31"/>
      <c r="R194" s="631"/>
      <c r="S194" s="631"/>
      <c r="T194" s="632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338</v>
      </c>
      <c r="AG194" s="78"/>
      <c r="AJ194" s="84" t="s">
        <v>103</v>
      </c>
      <c r="AK194" s="84">
        <v>37.799999999999997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7"/>
      <c r="B195" s="637"/>
      <c r="C195" s="637"/>
      <c r="D195" s="637"/>
      <c r="E195" s="637"/>
      <c r="F195" s="637"/>
      <c r="G195" s="637"/>
      <c r="H195" s="637"/>
      <c r="I195" s="637"/>
      <c r="J195" s="637"/>
      <c r="K195" s="637"/>
      <c r="L195" s="637"/>
      <c r="M195" s="637"/>
      <c r="N195" s="637"/>
      <c r="O195" s="638"/>
      <c r="P195" s="634" t="s">
        <v>40</v>
      </c>
      <c r="Q195" s="635"/>
      <c r="R195" s="635"/>
      <c r="S195" s="635"/>
      <c r="T195" s="635"/>
      <c r="U195" s="635"/>
      <c r="V195" s="636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7"/>
      <c r="B196" s="637"/>
      <c r="C196" s="637"/>
      <c r="D196" s="637"/>
      <c r="E196" s="637"/>
      <c r="F196" s="637"/>
      <c r="G196" s="637"/>
      <c r="H196" s="637"/>
      <c r="I196" s="637"/>
      <c r="J196" s="637"/>
      <c r="K196" s="637"/>
      <c r="L196" s="637"/>
      <c r="M196" s="637"/>
      <c r="N196" s="637"/>
      <c r="O196" s="638"/>
      <c r="P196" s="634" t="s">
        <v>40</v>
      </c>
      <c r="Q196" s="635"/>
      <c r="R196" s="635"/>
      <c r="S196" s="635"/>
      <c r="T196" s="635"/>
      <c r="U196" s="635"/>
      <c r="V196" s="636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8" t="s">
        <v>149</v>
      </c>
      <c r="B197" s="628"/>
      <c r="C197" s="628"/>
      <c r="D197" s="628"/>
      <c r="E197" s="628"/>
      <c r="F197" s="628"/>
      <c r="G197" s="628"/>
      <c r="H197" s="628"/>
      <c r="I197" s="628"/>
      <c r="J197" s="628"/>
      <c r="K197" s="628"/>
      <c r="L197" s="628"/>
      <c r="M197" s="628"/>
      <c r="N197" s="628"/>
      <c r="O197" s="628"/>
      <c r="P197" s="628"/>
      <c r="Q197" s="628"/>
      <c r="R197" s="628"/>
      <c r="S197" s="628"/>
      <c r="T197" s="628"/>
      <c r="U197" s="628"/>
      <c r="V197" s="628"/>
      <c r="W197" s="628"/>
      <c r="X197" s="628"/>
      <c r="Y197" s="628"/>
      <c r="Z197" s="628"/>
      <c r="AA197" s="66"/>
      <c r="AB197" s="66"/>
      <c r="AC197" s="80"/>
    </row>
    <row r="198" spans="1:68" ht="16.5" customHeight="1" x14ac:dyDescent="0.25">
      <c r="A198" s="63" t="s">
        <v>341</v>
      </c>
      <c r="B198" s="63" t="s">
        <v>342</v>
      </c>
      <c r="C198" s="36">
        <v>4301020261</v>
      </c>
      <c r="D198" s="629">
        <v>4680115882935</v>
      </c>
      <c r="E198" s="629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119</v>
      </c>
      <c r="L198" s="37" t="s">
        <v>45</v>
      </c>
      <c r="M198" s="38" t="s">
        <v>118</v>
      </c>
      <c r="N198" s="38"/>
      <c r="O198" s="37">
        <v>50</v>
      </c>
      <c r="P198" s="7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31"/>
      <c r="R198" s="631"/>
      <c r="S198" s="631"/>
      <c r="T198" s="632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343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344</v>
      </c>
      <c r="B199" s="63" t="s">
        <v>345</v>
      </c>
      <c r="C199" s="36">
        <v>4301020220</v>
      </c>
      <c r="D199" s="629">
        <v>4680115880764</v>
      </c>
      <c r="E199" s="629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45</v>
      </c>
      <c r="M199" s="38" t="s">
        <v>118</v>
      </c>
      <c r="N199" s="38"/>
      <c r="O199" s="37">
        <v>50</v>
      </c>
      <c r="P199" s="7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31"/>
      <c r="R199" s="631"/>
      <c r="S199" s="631"/>
      <c r="T199" s="632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343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7"/>
      <c r="B200" s="637"/>
      <c r="C200" s="637"/>
      <c r="D200" s="637"/>
      <c r="E200" s="637"/>
      <c r="F200" s="637"/>
      <c r="G200" s="637"/>
      <c r="H200" s="637"/>
      <c r="I200" s="637"/>
      <c r="J200" s="637"/>
      <c r="K200" s="637"/>
      <c r="L200" s="637"/>
      <c r="M200" s="637"/>
      <c r="N200" s="637"/>
      <c r="O200" s="638"/>
      <c r="P200" s="634" t="s">
        <v>40</v>
      </c>
      <c r="Q200" s="635"/>
      <c r="R200" s="635"/>
      <c r="S200" s="635"/>
      <c r="T200" s="635"/>
      <c r="U200" s="635"/>
      <c r="V200" s="636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7"/>
      <c r="B201" s="637"/>
      <c r="C201" s="637"/>
      <c r="D201" s="637"/>
      <c r="E201" s="637"/>
      <c r="F201" s="637"/>
      <c r="G201" s="637"/>
      <c r="H201" s="637"/>
      <c r="I201" s="637"/>
      <c r="J201" s="637"/>
      <c r="K201" s="637"/>
      <c r="L201" s="637"/>
      <c r="M201" s="637"/>
      <c r="N201" s="637"/>
      <c r="O201" s="638"/>
      <c r="P201" s="634" t="s">
        <v>40</v>
      </c>
      <c r="Q201" s="635"/>
      <c r="R201" s="635"/>
      <c r="S201" s="635"/>
      <c r="T201" s="635"/>
      <c r="U201" s="635"/>
      <c r="V201" s="636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8" t="s">
        <v>78</v>
      </c>
      <c r="B202" s="628"/>
      <c r="C202" s="628"/>
      <c r="D202" s="628"/>
      <c r="E202" s="628"/>
      <c r="F202" s="628"/>
      <c r="G202" s="628"/>
      <c r="H202" s="628"/>
      <c r="I202" s="628"/>
      <c r="J202" s="628"/>
      <c r="K202" s="628"/>
      <c r="L202" s="628"/>
      <c r="M202" s="628"/>
      <c r="N202" s="628"/>
      <c r="O202" s="628"/>
      <c r="P202" s="628"/>
      <c r="Q202" s="628"/>
      <c r="R202" s="628"/>
      <c r="S202" s="628"/>
      <c r="T202" s="628"/>
      <c r="U202" s="628"/>
      <c r="V202" s="628"/>
      <c r="W202" s="628"/>
      <c r="X202" s="628"/>
      <c r="Y202" s="628"/>
      <c r="Z202" s="628"/>
      <c r="AA202" s="66"/>
      <c r="AB202" s="66"/>
      <c r="AC202" s="80"/>
    </row>
    <row r="203" spans="1:68" ht="27" customHeight="1" x14ac:dyDescent="0.25">
      <c r="A203" s="63" t="s">
        <v>346</v>
      </c>
      <c r="B203" s="63" t="s">
        <v>347</v>
      </c>
      <c r="C203" s="36">
        <v>4301031224</v>
      </c>
      <c r="D203" s="629">
        <v>4680115882683</v>
      </c>
      <c r="E203" s="629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123</v>
      </c>
      <c r="L203" s="37" t="s">
        <v>126</v>
      </c>
      <c r="M203" s="38" t="s">
        <v>82</v>
      </c>
      <c r="N203" s="38"/>
      <c r="O203" s="37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31"/>
      <c r="R203" s="631"/>
      <c r="S203" s="631"/>
      <c r="T203" s="632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5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348</v>
      </c>
      <c r="AG203" s="78"/>
      <c r="AJ203" s="84" t="s">
        <v>103</v>
      </c>
      <c r="AK203" s="84">
        <v>64.8</v>
      </c>
      <c r="BB203" s="261" t="s">
        <v>66</v>
      </c>
      <c r="BM203" s="78">
        <f t="shared" ref="BM203:BM210" si="16">IFERROR(X203*I203/H203,"0")</f>
        <v>0</v>
      </c>
      <c r="BN203" s="78">
        <f t="shared" ref="BN203:BN210" si="17">IFERROR(Y203*I203/H203,"0")</f>
        <v>0</v>
      </c>
      <c r="BO203" s="78">
        <f t="shared" ref="BO203:BO210" si="18">IFERROR(1/J203*(X203/H203),"0")</f>
        <v>0</v>
      </c>
      <c r="BP203" s="78">
        <f t="shared" ref="BP203:BP210" si="19">IFERROR(1/J203*(Y203/H203),"0")</f>
        <v>0</v>
      </c>
    </row>
    <row r="204" spans="1:68" ht="27" customHeight="1" x14ac:dyDescent="0.25">
      <c r="A204" s="63" t="s">
        <v>349</v>
      </c>
      <c r="B204" s="63" t="s">
        <v>350</v>
      </c>
      <c r="C204" s="36">
        <v>4301031230</v>
      </c>
      <c r="D204" s="629">
        <v>4680115882690</v>
      </c>
      <c r="E204" s="629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123</v>
      </c>
      <c r="L204" s="37" t="s">
        <v>126</v>
      </c>
      <c r="M204" s="38" t="s">
        <v>82</v>
      </c>
      <c r="N204" s="38"/>
      <c r="O204" s="37">
        <v>40</v>
      </c>
      <c r="P204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31"/>
      <c r="R204" s="631"/>
      <c r="S204" s="631"/>
      <c r="T204" s="632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5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351</v>
      </c>
      <c r="AG204" s="78"/>
      <c r="AJ204" s="84" t="s">
        <v>103</v>
      </c>
      <c r="AK204" s="84">
        <v>64.8</v>
      </c>
      <c r="BB204" s="263" t="s">
        <v>66</v>
      </c>
      <c r="BM204" s="78">
        <f t="shared" si="16"/>
        <v>0</v>
      </c>
      <c r="BN204" s="78">
        <f t="shared" si="17"/>
        <v>0</v>
      </c>
      <c r="BO204" s="78">
        <f t="shared" si="18"/>
        <v>0</v>
      </c>
      <c r="BP204" s="78">
        <f t="shared" si="19"/>
        <v>0</v>
      </c>
    </row>
    <row r="205" spans="1:68" ht="27" customHeight="1" x14ac:dyDescent="0.25">
      <c r="A205" s="63" t="s">
        <v>352</v>
      </c>
      <c r="B205" s="63" t="s">
        <v>353</v>
      </c>
      <c r="C205" s="36">
        <v>4301031220</v>
      </c>
      <c r="D205" s="629">
        <v>4680115882669</v>
      </c>
      <c r="E205" s="629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123</v>
      </c>
      <c r="L205" s="37" t="s">
        <v>126</v>
      </c>
      <c r="M205" s="38" t="s">
        <v>82</v>
      </c>
      <c r="N205" s="38"/>
      <c r="O205" s="37">
        <v>40</v>
      </c>
      <c r="P205" s="7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31"/>
      <c r="R205" s="631"/>
      <c r="S205" s="631"/>
      <c r="T205" s="632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354</v>
      </c>
      <c r="AG205" s="78"/>
      <c r="AJ205" s="84" t="s">
        <v>103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355</v>
      </c>
      <c r="B206" s="63" t="s">
        <v>356</v>
      </c>
      <c r="C206" s="36">
        <v>4301031221</v>
      </c>
      <c r="D206" s="629">
        <v>4680115882676</v>
      </c>
      <c r="E206" s="629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123</v>
      </c>
      <c r="L206" s="37" t="s">
        <v>126</v>
      </c>
      <c r="M206" s="38" t="s">
        <v>82</v>
      </c>
      <c r="N206" s="38"/>
      <c r="O206" s="37">
        <v>40</v>
      </c>
      <c r="P206" s="7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31"/>
      <c r="R206" s="631"/>
      <c r="S206" s="631"/>
      <c r="T206" s="63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357</v>
      </c>
      <c r="AG206" s="78"/>
      <c r="AJ206" s="84" t="s">
        <v>103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358</v>
      </c>
      <c r="B207" s="63" t="s">
        <v>359</v>
      </c>
      <c r="C207" s="36">
        <v>4301031223</v>
      </c>
      <c r="D207" s="629">
        <v>4680115884014</v>
      </c>
      <c r="E207" s="629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303</v>
      </c>
      <c r="M207" s="38" t="s">
        <v>82</v>
      </c>
      <c r="N207" s="38"/>
      <c r="O207" s="37">
        <v>40</v>
      </c>
      <c r="P207" s="7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31"/>
      <c r="R207" s="631"/>
      <c r="S207" s="631"/>
      <c r="T207" s="63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348</v>
      </c>
      <c r="AG207" s="78"/>
      <c r="AJ207" s="84" t="s">
        <v>103</v>
      </c>
      <c r="AK207" s="84">
        <v>32.4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4301031222</v>
      </c>
      <c r="D208" s="629">
        <v>4680115884007</v>
      </c>
      <c r="E208" s="629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303</v>
      </c>
      <c r="M208" s="38" t="s">
        <v>82</v>
      </c>
      <c r="N208" s="38"/>
      <c r="O208" s="37">
        <v>40</v>
      </c>
      <c r="P208" s="72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31"/>
      <c r="R208" s="631"/>
      <c r="S208" s="631"/>
      <c r="T208" s="63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351</v>
      </c>
      <c r="AG208" s="78"/>
      <c r="AJ208" s="84" t="s">
        <v>103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4301031229</v>
      </c>
      <c r="D209" s="629">
        <v>4680115884038</v>
      </c>
      <c r="E209" s="629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31"/>
      <c r="R209" s="631"/>
      <c r="S209" s="631"/>
      <c r="T209" s="63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354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364</v>
      </c>
      <c r="B210" s="63" t="s">
        <v>365</v>
      </c>
      <c r="C210" s="36">
        <v>4301031225</v>
      </c>
      <c r="D210" s="629">
        <v>4680115884021</v>
      </c>
      <c r="E210" s="629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303</v>
      </c>
      <c r="M210" s="38" t="s">
        <v>82</v>
      </c>
      <c r="N210" s="38"/>
      <c r="O210" s="37">
        <v>40</v>
      </c>
      <c r="P210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31"/>
      <c r="R210" s="631"/>
      <c r="S210" s="631"/>
      <c r="T210" s="63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357</v>
      </c>
      <c r="AG210" s="78"/>
      <c r="AJ210" s="84" t="s">
        <v>103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x14ac:dyDescent="0.2">
      <c r="A211" s="637"/>
      <c r="B211" s="637"/>
      <c r="C211" s="637"/>
      <c r="D211" s="637"/>
      <c r="E211" s="637"/>
      <c r="F211" s="637"/>
      <c r="G211" s="637"/>
      <c r="H211" s="637"/>
      <c r="I211" s="637"/>
      <c r="J211" s="637"/>
      <c r="K211" s="637"/>
      <c r="L211" s="637"/>
      <c r="M211" s="637"/>
      <c r="N211" s="637"/>
      <c r="O211" s="638"/>
      <c r="P211" s="634" t="s">
        <v>40</v>
      </c>
      <c r="Q211" s="635"/>
      <c r="R211" s="635"/>
      <c r="S211" s="635"/>
      <c r="T211" s="635"/>
      <c r="U211" s="635"/>
      <c r="V211" s="636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7"/>
      <c r="B212" s="637"/>
      <c r="C212" s="637"/>
      <c r="D212" s="637"/>
      <c r="E212" s="637"/>
      <c r="F212" s="637"/>
      <c r="G212" s="637"/>
      <c r="H212" s="637"/>
      <c r="I212" s="637"/>
      <c r="J212" s="637"/>
      <c r="K212" s="637"/>
      <c r="L212" s="637"/>
      <c r="M212" s="637"/>
      <c r="N212" s="637"/>
      <c r="O212" s="638"/>
      <c r="P212" s="634" t="s">
        <v>40</v>
      </c>
      <c r="Q212" s="635"/>
      <c r="R212" s="635"/>
      <c r="S212" s="635"/>
      <c r="T212" s="635"/>
      <c r="U212" s="635"/>
      <c r="V212" s="636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8" t="s">
        <v>88</v>
      </c>
      <c r="B213" s="628"/>
      <c r="C213" s="628"/>
      <c r="D213" s="628"/>
      <c r="E213" s="628"/>
      <c r="F213" s="628"/>
      <c r="G213" s="628"/>
      <c r="H213" s="628"/>
      <c r="I213" s="628"/>
      <c r="J213" s="628"/>
      <c r="K213" s="628"/>
      <c r="L213" s="628"/>
      <c r="M213" s="628"/>
      <c r="N213" s="628"/>
      <c r="O213" s="628"/>
      <c r="P213" s="628"/>
      <c r="Q213" s="628"/>
      <c r="R213" s="628"/>
      <c r="S213" s="628"/>
      <c r="T213" s="628"/>
      <c r="U213" s="628"/>
      <c r="V213" s="628"/>
      <c r="W213" s="628"/>
      <c r="X213" s="628"/>
      <c r="Y213" s="628"/>
      <c r="Z213" s="628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4301051408</v>
      </c>
      <c r="D214" s="629">
        <v>4680115881594</v>
      </c>
      <c r="E214" s="629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119</v>
      </c>
      <c r="L214" s="37" t="s">
        <v>45</v>
      </c>
      <c r="M214" s="38" t="s">
        <v>92</v>
      </c>
      <c r="N214" s="38"/>
      <c r="O214" s="37">
        <v>40</v>
      </c>
      <c r="P214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31"/>
      <c r="R214" s="631"/>
      <c r="S214" s="631"/>
      <c r="T214" s="63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20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368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21">IFERROR(X214*I214/H214,"0")</f>
        <v>0</v>
      </c>
      <c r="BN214" s="78">
        <f t="shared" ref="BN214:BN222" si="22">IFERROR(Y214*I214/H214,"0")</f>
        <v>0</v>
      </c>
      <c r="BO214" s="78">
        <f t="shared" ref="BO214:BO222" si="23">IFERROR(1/J214*(X214/H214),"0")</f>
        <v>0</v>
      </c>
      <c r="BP214" s="78">
        <f t="shared" ref="BP214:BP222" si="24">IFERROR(1/J214*(Y214/H214),"0")</f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4301051411</v>
      </c>
      <c r="D215" s="629">
        <v>4680115881617</v>
      </c>
      <c r="E215" s="629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119</v>
      </c>
      <c r="L215" s="37" t="s">
        <v>45</v>
      </c>
      <c r="M215" s="38" t="s">
        <v>92</v>
      </c>
      <c r="N215" s="38"/>
      <c r="O215" s="37">
        <v>40</v>
      </c>
      <c r="P215" s="7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31"/>
      <c r="R215" s="631"/>
      <c r="S215" s="631"/>
      <c r="T215" s="632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0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371</v>
      </c>
      <c r="AG215" s="78"/>
      <c r="AJ215" s="84" t="s">
        <v>45</v>
      </c>
      <c r="AK215" s="84">
        <v>0</v>
      </c>
      <c r="BB215" s="279" t="s">
        <v>66</v>
      </c>
      <c r="BM215" s="78">
        <f t="shared" si="21"/>
        <v>0</v>
      </c>
      <c r="BN215" s="78">
        <f t="shared" si="22"/>
        <v>0</v>
      </c>
      <c r="BO215" s="78">
        <f t="shared" si="23"/>
        <v>0</v>
      </c>
      <c r="BP215" s="78">
        <f t="shared" si="24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4301051656</v>
      </c>
      <c r="D216" s="629">
        <v>4680115880573</v>
      </c>
      <c r="E216" s="629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119</v>
      </c>
      <c r="L216" s="37" t="s">
        <v>120</v>
      </c>
      <c r="M216" s="38" t="s">
        <v>92</v>
      </c>
      <c r="N216" s="38"/>
      <c r="O216" s="37">
        <v>45</v>
      </c>
      <c r="P216" s="7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31"/>
      <c r="R216" s="631"/>
      <c r="S216" s="631"/>
      <c r="T216" s="632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374</v>
      </c>
      <c r="AG216" s="78"/>
      <c r="AJ216" s="84" t="s">
        <v>103</v>
      </c>
      <c r="AK216" s="84">
        <v>69.599999999999994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4301051407</v>
      </c>
      <c r="D217" s="629">
        <v>4680115882195</v>
      </c>
      <c r="E217" s="629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102</v>
      </c>
      <c r="M217" s="38" t="s">
        <v>92</v>
      </c>
      <c r="N217" s="38"/>
      <c r="O217" s="37">
        <v>40</v>
      </c>
      <c r="P217" s="7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31"/>
      <c r="R217" s="631"/>
      <c r="S217" s="631"/>
      <c r="T217" s="632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 t="shared" ref="Z217:Z222" si="25">IFERROR(IF(Y217=0,"",ROUNDUP(Y217/H217,0)*0.00651),"")</f>
        <v/>
      </c>
      <c r="AA217" s="68" t="s">
        <v>45</v>
      </c>
      <c r="AB217" s="69" t="s">
        <v>45</v>
      </c>
      <c r="AC217" s="282" t="s">
        <v>368</v>
      </c>
      <c r="AG217" s="78"/>
      <c r="AJ217" s="84" t="s">
        <v>103</v>
      </c>
      <c r="AK217" s="84">
        <v>33.6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4301051752</v>
      </c>
      <c r="D218" s="629">
        <v>4680115882607</v>
      </c>
      <c r="E218" s="629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102</v>
      </c>
      <c r="M218" s="38" t="s">
        <v>98</v>
      </c>
      <c r="N218" s="38"/>
      <c r="O218" s="37">
        <v>45</v>
      </c>
      <c r="P218" s="7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31"/>
      <c r="R218" s="631"/>
      <c r="S218" s="631"/>
      <c r="T218" s="632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si="25"/>
        <v/>
      </c>
      <c r="AA218" s="68" t="s">
        <v>45</v>
      </c>
      <c r="AB218" s="69" t="s">
        <v>45</v>
      </c>
      <c r="AC218" s="284" t="s">
        <v>374</v>
      </c>
      <c r="AG218" s="78"/>
      <c r="AJ218" s="84" t="s">
        <v>103</v>
      </c>
      <c r="AK218" s="84">
        <v>25.2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4301051666</v>
      </c>
      <c r="D219" s="629">
        <v>4680115880092</v>
      </c>
      <c r="E219" s="62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102</v>
      </c>
      <c r="M219" s="38" t="s">
        <v>92</v>
      </c>
      <c r="N219" s="38"/>
      <c r="O219" s="37">
        <v>45</v>
      </c>
      <c r="P219" s="73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31"/>
      <c r="R219" s="631"/>
      <c r="S219" s="631"/>
      <c r="T219" s="632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374</v>
      </c>
      <c r="AG219" s="78"/>
      <c r="AJ219" s="84" t="s">
        <v>103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4301051668</v>
      </c>
      <c r="D220" s="629">
        <v>4680115880221</v>
      </c>
      <c r="E220" s="629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102</v>
      </c>
      <c r="M220" s="38" t="s">
        <v>92</v>
      </c>
      <c r="N220" s="38"/>
      <c r="O220" s="37">
        <v>45</v>
      </c>
      <c r="P220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31"/>
      <c r="R220" s="631"/>
      <c r="S220" s="631"/>
      <c r="T220" s="632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374</v>
      </c>
      <c r="AG220" s="78"/>
      <c r="AJ220" s="84" t="s">
        <v>103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4301051945</v>
      </c>
      <c r="D221" s="629">
        <v>4680115880504</v>
      </c>
      <c r="E221" s="629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102</v>
      </c>
      <c r="M221" s="38" t="s">
        <v>98</v>
      </c>
      <c r="N221" s="38"/>
      <c r="O221" s="37">
        <v>40</v>
      </c>
      <c r="P221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31"/>
      <c r="R221" s="631"/>
      <c r="S221" s="631"/>
      <c r="T221" s="632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385</v>
      </c>
      <c r="AG221" s="78"/>
      <c r="AJ221" s="84" t="s">
        <v>103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386</v>
      </c>
      <c r="B222" s="63" t="s">
        <v>387</v>
      </c>
      <c r="C222" s="36">
        <v>4301051410</v>
      </c>
      <c r="D222" s="629">
        <v>4680115882164</v>
      </c>
      <c r="E222" s="629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102</v>
      </c>
      <c r="M222" s="38" t="s">
        <v>92</v>
      </c>
      <c r="N222" s="38"/>
      <c r="O222" s="37">
        <v>40</v>
      </c>
      <c r="P222" s="7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31"/>
      <c r="R222" s="631"/>
      <c r="S222" s="631"/>
      <c r="T222" s="632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371</v>
      </c>
      <c r="AG222" s="78"/>
      <c r="AJ222" s="84" t="s">
        <v>103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x14ac:dyDescent="0.2">
      <c r="A223" s="637"/>
      <c r="B223" s="637"/>
      <c r="C223" s="637"/>
      <c r="D223" s="637"/>
      <c r="E223" s="637"/>
      <c r="F223" s="637"/>
      <c r="G223" s="637"/>
      <c r="H223" s="637"/>
      <c r="I223" s="637"/>
      <c r="J223" s="637"/>
      <c r="K223" s="637"/>
      <c r="L223" s="637"/>
      <c r="M223" s="637"/>
      <c r="N223" s="637"/>
      <c r="O223" s="638"/>
      <c r="P223" s="634" t="s">
        <v>40</v>
      </c>
      <c r="Q223" s="635"/>
      <c r="R223" s="635"/>
      <c r="S223" s="635"/>
      <c r="T223" s="635"/>
      <c r="U223" s="635"/>
      <c r="V223" s="636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7"/>
      <c r="B224" s="637"/>
      <c r="C224" s="637"/>
      <c r="D224" s="637"/>
      <c r="E224" s="637"/>
      <c r="F224" s="637"/>
      <c r="G224" s="637"/>
      <c r="H224" s="637"/>
      <c r="I224" s="637"/>
      <c r="J224" s="637"/>
      <c r="K224" s="637"/>
      <c r="L224" s="637"/>
      <c r="M224" s="637"/>
      <c r="N224" s="637"/>
      <c r="O224" s="638"/>
      <c r="P224" s="634" t="s">
        <v>40</v>
      </c>
      <c r="Q224" s="635"/>
      <c r="R224" s="635"/>
      <c r="S224" s="635"/>
      <c r="T224" s="635"/>
      <c r="U224" s="635"/>
      <c r="V224" s="636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8" t="s">
        <v>174</v>
      </c>
      <c r="B225" s="628"/>
      <c r="C225" s="628"/>
      <c r="D225" s="628"/>
      <c r="E225" s="628"/>
      <c r="F225" s="628"/>
      <c r="G225" s="628"/>
      <c r="H225" s="628"/>
      <c r="I225" s="628"/>
      <c r="J225" s="628"/>
      <c r="K225" s="628"/>
      <c r="L225" s="628"/>
      <c r="M225" s="628"/>
      <c r="N225" s="628"/>
      <c r="O225" s="628"/>
      <c r="P225" s="628"/>
      <c r="Q225" s="628"/>
      <c r="R225" s="628"/>
      <c r="S225" s="628"/>
      <c r="T225" s="628"/>
      <c r="U225" s="628"/>
      <c r="V225" s="628"/>
      <c r="W225" s="628"/>
      <c r="X225" s="628"/>
      <c r="Y225" s="628"/>
      <c r="Z225" s="628"/>
      <c r="AA225" s="66"/>
      <c r="AB225" s="66"/>
      <c r="AC225" s="80"/>
    </row>
    <row r="226" spans="1:68" ht="27" customHeight="1" x14ac:dyDescent="0.25">
      <c r="A226" s="63" t="s">
        <v>388</v>
      </c>
      <c r="B226" s="63" t="s">
        <v>389</v>
      </c>
      <c r="C226" s="36">
        <v>4301060463</v>
      </c>
      <c r="D226" s="629">
        <v>4680115880818</v>
      </c>
      <c r="E226" s="629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102</v>
      </c>
      <c r="M226" s="38" t="s">
        <v>98</v>
      </c>
      <c r="N226" s="38"/>
      <c r="O226" s="37">
        <v>40</v>
      </c>
      <c r="P226" s="74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31"/>
      <c r="R226" s="631"/>
      <c r="S226" s="631"/>
      <c r="T226" s="632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390</v>
      </c>
      <c r="AG226" s="78"/>
      <c r="AJ226" s="84" t="s">
        <v>103</v>
      </c>
      <c r="AK226" s="84">
        <v>33.6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391</v>
      </c>
      <c r="B227" s="63" t="s">
        <v>392</v>
      </c>
      <c r="C227" s="36">
        <v>4301060389</v>
      </c>
      <c r="D227" s="629">
        <v>4680115880801</v>
      </c>
      <c r="E227" s="629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92</v>
      </c>
      <c r="N227" s="38"/>
      <c r="O227" s="37">
        <v>40</v>
      </c>
      <c r="P227" s="74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31"/>
      <c r="R227" s="631"/>
      <c r="S227" s="631"/>
      <c r="T227" s="632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393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7"/>
      <c r="B228" s="637"/>
      <c r="C228" s="637"/>
      <c r="D228" s="637"/>
      <c r="E228" s="637"/>
      <c r="F228" s="637"/>
      <c r="G228" s="637"/>
      <c r="H228" s="637"/>
      <c r="I228" s="637"/>
      <c r="J228" s="637"/>
      <c r="K228" s="637"/>
      <c r="L228" s="637"/>
      <c r="M228" s="637"/>
      <c r="N228" s="637"/>
      <c r="O228" s="638"/>
      <c r="P228" s="634" t="s">
        <v>40</v>
      </c>
      <c r="Q228" s="635"/>
      <c r="R228" s="635"/>
      <c r="S228" s="635"/>
      <c r="T228" s="635"/>
      <c r="U228" s="635"/>
      <c r="V228" s="636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7"/>
      <c r="B229" s="637"/>
      <c r="C229" s="637"/>
      <c r="D229" s="637"/>
      <c r="E229" s="637"/>
      <c r="F229" s="637"/>
      <c r="G229" s="637"/>
      <c r="H229" s="637"/>
      <c r="I229" s="637"/>
      <c r="J229" s="637"/>
      <c r="K229" s="637"/>
      <c r="L229" s="637"/>
      <c r="M229" s="637"/>
      <c r="N229" s="637"/>
      <c r="O229" s="638"/>
      <c r="P229" s="634" t="s">
        <v>40</v>
      </c>
      <c r="Q229" s="635"/>
      <c r="R229" s="635"/>
      <c r="S229" s="635"/>
      <c r="T229" s="635"/>
      <c r="U229" s="635"/>
      <c r="V229" s="636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7" t="s">
        <v>394</v>
      </c>
      <c r="B230" s="627"/>
      <c r="C230" s="627"/>
      <c r="D230" s="627"/>
      <c r="E230" s="627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R230" s="627"/>
      <c r="S230" s="627"/>
      <c r="T230" s="627"/>
      <c r="U230" s="627"/>
      <c r="V230" s="627"/>
      <c r="W230" s="627"/>
      <c r="X230" s="627"/>
      <c r="Y230" s="627"/>
      <c r="Z230" s="627"/>
      <c r="AA230" s="65"/>
      <c r="AB230" s="65"/>
      <c r="AC230" s="79"/>
    </row>
    <row r="231" spans="1:68" ht="14.25" customHeight="1" x14ac:dyDescent="0.25">
      <c r="A231" s="628" t="s">
        <v>114</v>
      </c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8"/>
      <c r="P231" s="628"/>
      <c r="Q231" s="628"/>
      <c r="R231" s="628"/>
      <c r="S231" s="628"/>
      <c r="T231" s="628"/>
      <c r="U231" s="628"/>
      <c r="V231" s="628"/>
      <c r="W231" s="628"/>
      <c r="X231" s="628"/>
      <c r="Y231" s="628"/>
      <c r="Z231" s="628"/>
      <c r="AA231" s="66"/>
      <c r="AB231" s="66"/>
      <c r="AC231" s="80"/>
    </row>
    <row r="232" spans="1:68" ht="27" customHeight="1" x14ac:dyDescent="0.25">
      <c r="A232" s="63" t="s">
        <v>395</v>
      </c>
      <c r="B232" s="63" t="s">
        <v>396</v>
      </c>
      <c r="C232" s="36">
        <v>4301011826</v>
      </c>
      <c r="D232" s="629">
        <v>4680115884137</v>
      </c>
      <c r="E232" s="629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119</v>
      </c>
      <c r="L232" s="37" t="s">
        <v>45</v>
      </c>
      <c r="M232" s="38" t="s">
        <v>118</v>
      </c>
      <c r="N232" s="38"/>
      <c r="O232" s="37">
        <v>55</v>
      </c>
      <c r="P232" s="74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31"/>
      <c r="R232" s="631"/>
      <c r="S232" s="631"/>
      <c r="T232" s="63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6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397</v>
      </c>
      <c r="AG232" s="78"/>
      <c r="AJ232" s="84" t="s">
        <v>45</v>
      </c>
      <c r="AK232" s="84">
        <v>0</v>
      </c>
      <c r="BB232" s="299" t="s">
        <v>66</v>
      </c>
      <c r="BM232" s="78">
        <f t="shared" ref="BM232:BM240" si="27">IFERROR(X232*I232/H232,"0")</f>
        <v>0</v>
      </c>
      <c r="BN232" s="78">
        <f t="shared" ref="BN232:BN240" si="28">IFERROR(Y232*I232/H232,"0")</f>
        <v>0</v>
      </c>
      <c r="BO232" s="78">
        <f t="shared" ref="BO232:BO240" si="29">IFERROR(1/J232*(X232/H232),"0")</f>
        <v>0</v>
      </c>
      <c r="BP232" s="78">
        <f t="shared" ref="BP232:BP240" si="30">IFERROR(1/J232*(Y232/H232),"0")</f>
        <v>0</v>
      </c>
    </row>
    <row r="233" spans="1:68" ht="27" customHeight="1" x14ac:dyDescent="0.25">
      <c r="A233" s="63" t="s">
        <v>398</v>
      </c>
      <c r="B233" s="63" t="s">
        <v>399</v>
      </c>
      <c r="C233" s="36">
        <v>4301011724</v>
      </c>
      <c r="D233" s="629">
        <v>4680115884236</v>
      </c>
      <c r="E233" s="629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119</v>
      </c>
      <c r="L233" s="37" t="s">
        <v>45</v>
      </c>
      <c r="M233" s="38" t="s">
        <v>118</v>
      </c>
      <c r="N233" s="38"/>
      <c r="O233" s="37">
        <v>55</v>
      </c>
      <c r="P233" s="74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31"/>
      <c r="R233" s="631"/>
      <c r="S233" s="631"/>
      <c r="T233" s="63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6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400</v>
      </c>
      <c r="AG233" s="78"/>
      <c r="AJ233" s="84" t="s">
        <v>45</v>
      </c>
      <c r="AK233" s="84">
        <v>0</v>
      </c>
      <c r="BB233" s="301" t="s">
        <v>66</v>
      </c>
      <c r="BM233" s="78">
        <f t="shared" si="27"/>
        <v>0</v>
      </c>
      <c r="BN233" s="78">
        <f t="shared" si="28"/>
        <v>0</v>
      </c>
      <c r="BO233" s="78">
        <f t="shared" si="29"/>
        <v>0</v>
      </c>
      <c r="BP233" s="78">
        <f t="shared" si="30"/>
        <v>0</v>
      </c>
    </row>
    <row r="234" spans="1:68" ht="27" customHeight="1" x14ac:dyDescent="0.25">
      <c r="A234" s="63" t="s">
        <v>401</v>
      </c>
      <c r="B234" s="63" t="s">
        <v>402</v>
      </c>
      <c r="C234" s="36">
        <v>4301011721</v>
      </c>
      <c r="D234" s="629">
        <v>4680115884175</v>
      </c>
      <c r="E234" s="629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119</v>
      </c>
      <c r="L234" s="37" t="s">
        <v>45</v>
      </c>
      <c r="M234" s="38" t="s">
        <v>118</v>
      </c>
      <c r="N234" s="38"/>
      <c r="O234" s="37">
        <v>55</v>
      </c>
      <c r="P234" s="74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31"/>
      <c r="R234" s="631"/>
      <c r="S234" s="631"/>
      <c r="T234" s="632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403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4301011824</v>
      </c>
      <c r="D235" s="629">
        <v>4680115884144</v>
      </c>
      <c r="E235" s="629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123</v>
      </c>
      <c r="L235" s="37" t="s">
        <v>126</v>
      </c>
      <c r="M235" s="38" t="s">
        <v>118</v>
      </c>
      <c r="N235" s="38"/>
      <c r="O235" s="37">
        <v>55</v>
      </c>
      <c r="P235" s="7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31"/>
      <c r="R235" s="631"/>
      <c r="S235" s="631"/>
      <c r="T235" s="632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397</v>
      </c>
      <c r="AG235" s="78"/>
      <c r="AJ235" s="84" t="s">
        <v>103</v>
      </c>
      <c r="AK235" s="84">
        <v>48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404</v>
      </c>
      <c r="B236" s="63" t="s">
        <v>406</v>
      </c>
      <c r="C236" s="36">
        <v>4301012196</v>
      </c>
      <c r="D236" s="629">
        <v>4680115884144</v>
      </c>
      <c r="E236" s="629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123</v>
      </c>
      <c r="L236" s="37" t="s">
        <v>45</v>
      </c>
      <c r="M236" s="38" t="s">
        <v>118</v>
      </c>
      <c r="N236" s="38"/>
      <c r="O236" s="37">
        <v>55</v>
      </c>
      <c r="P236" s="7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31"/>
      <c r="R236" s="631"/>
      <c r="S236" s="631"/>
      <c r="T236" s="632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397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407</v>
      </c>
      <c r="B237" s="63" t="s">
        <v>408</v>
      </c>
      <c r="C237" s="36">
        <v>4301012149</v>
      </c>
      <c r="D237" s="629">
        <v>4680115886551</v>
      </c>
      <c r="E237" s="629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123</v>
      </c>
      <c r="L237" s="37" t="s">
        <v>45</v>
      </c>
      <c r="M237" s="38" t="s">
        <v>118</v>
      </c>
      <c r="N237" s="38"/>
      <c r="O237" s="37">
        <v>55</v>
      </c>
      <c r="P237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31"/>
      <c r="R237" s="631"/>
      <c r="S237" s="631"/>
      <c r="T237" s="632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409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410</v>
      </c>
      <c r="B238" s="63" t="s">
        <v>411</v>
      </c>
      <c r="C238" s="36">
        <v>4301012228</v>
      </c>
      <c r="D238" s="629">
        <v>4680115887282</v>
      </c>
      <c r="E238" s="629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118</v>
      </c>
      <c r="N238" s="38"/>
      <c r="O238" s="37">
        <v>55</v>
      </c>
      <c r="P238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31"/>
      <c r="R238" s="631"/>
      <c r="S238" s="631"/>
      <c r="T238" s="632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412</v>
      </c>
      <c r="B239" s="63" t="s">
        <v>413</v>
      </c>
      <c r="C239" s="36">
        <v>4301011722</v>
      </c>
      <c r="D239" s="629">
        <v>4680115884205</v>
      </c>
      <c r="E239" s="629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123</v>
      </c>
      <c r="L239" s="37" t="s">
        <v>126</v>
      </c>
      <c r="M239" s="38" t="s">
        <v>118</v>
      </c>
      <c r="N239" s="38"/>
      <c r="O239" s="37">
        <v>55</v>
      </c>
      <c r="P239" s="7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631"/>
      <c r="R239" s="631"/>
      <c r="S239" s="631"/>
      <c r="T239" s="632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403</v>
      </c>
      <c r="AG239" s="78"/>
      <c r="AJ239" s="84" t="s">
        <v>103</v>
      </c>
      <c r="AK239" s="84">
        <v>48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414</v>
      </c>
      <c r="C240" s="36">
        <v>4301012195</v>
      </c>
      <c r="D240" s="629">
        <v>4680115884205</v>
      </c>
      <c r="E240" s="629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123</v>
      </c>
      <c r="L240" s="37" t="s">
        <v>45</v>
      </c>
      <c r="M240" s="38" t="s">
        <v>118</v>
      </c>
      <c r="N240" s="38"/>
      <c r="O240" s="37">
        <v>55</v>
      </c>
      <c r="P240" s="75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31"/>
      <c r="R240" s="631"/>
      <c r="S240" s="631"/>
      <c r="T240" s="632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403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x14ac:dyDescent="0.2">
      <c r="A241" s="637"/>
      <c r="B241" s="637"/>
      <c r="C241" s="637"/>
      <c r="D241" s="637"/>
      <c r="E241" s="637"/>
      <c r="F241" s="637"/>
      <c r="G241" s="637"/>
      <c r="H241" s="637"/>
      <c r="I241" s="637"/>
      <c r="J241" s="637"/>
      <c r="K241" s="637"/>
      <c r="L241" s="637"/>
      <c r="M241" s="637"/>
      <c r="N241" s="637"/>
      <c r="O241" s="638"/>
      <c r="P241" s="634" t="s">
        <v>40</v>
      </c>
      <c r="Q241" s="635"/>
      <c r="R241" s="635"/>
      <c r="S241" s="635"/>
      <c r="T241" s="635"/>
      <c r="U241" s="635"/>
      <c r="V241" s="636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7"/>
      <c r="B242" s="637"/>
      <c r="C242" s="637"/>
      <c r="D242" s="637"/>
      <c r="E242" s="637"/>
      <c r="F242" s="637"/>
      <c r="G242" s="637"/>
      <c r="H242" s="637"/>
      <c r="I242" s="637"/>
      <c r="J242" s="637"/>
      <c r="K242" s="637"/>
      <c r="L242" s="637"/>
      <c r="M242" s="637"/>
      <c r="N242" s="637"/>
      <c r="O242" s="638"/>
      <c r="P242" s="634" t="s">
        <v>40</v>
      </c>
      <c r="Q242" s="635"/>
      <c r="R242" s="635"/>
      <c r="S242" s="635"/>
      <c r="T242" s="635"/>
      <c r="U242" s="635"/>
      <c r="V242" s="636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8" t="s">
        <v>149</v>
      </c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8"/>
      <c r="P243" s="628"/>
      <c r="Q243" s="628"/>
      <c r="R243" s="628"/>
      <c r="S243" s="628"/>
      <c r="T243" s="628"/>
      <c r="U243" s="628"/>
      <c r="V243" s="628"/>
      <c r="W243" s="628"/>
      <c r="X243" s="628"/>
      <c r="Y243" s="628"/>
      <c r="Z243" s="628"/>
      <c r="AA243" s="66"/>
      <c r="AB243" s="66"/>
      <c r="AC243" s="80"/>
    </row>
    <row r="244" spans="1:68" ht="27" customHeight="1" x14ac:dyDescent="0.25">
      <c r="A244" s="63" t="s">
        <v>415</v>
      </c>
      <c r="B244" s="63" t="s">
        <v>416</v>
      </c>
      <c r="C244" s="36">
        <v>4301020377</v>
      </c>
      <c r="D244" s="629">
        <v>4680115885981</v>
      </c>
      <c r="E244" s="629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5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31"/>
      <c r="R244" s="631"/>
      <c r="S244" s="631"/>
      <c r="T244" s="632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417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7"/>
      <c r="B245" s="637"/>
      <c r="C245" s="637"/>
      <c r="D245" s="637"/>
      <c r="E245" s="637"/>
      <c r="F245" s="637"/>
      <c r="G245" s="637"/>
      <c r="H245" s="637"/>
      <c r="I245" s="637"/>
      <c r="J245" s="637"/>
      <c r="K245" s="637"/>
      <c r="L245" s="637"/>
      <c r="M245" s="637"/>
      <c r="N245" s="637"/>
      <c r="O245" s="638"/>
      <c r="P245" s="634" t="s">
        <v>40</v>
      </c>
      <c r="Q245" s="635"/>
      <c r="R245" s="635"/>
      <c r="S245" s="635"/>
      <c r="T245" s="635"/>
      <c r="U245" s="635"/>
      <c r="V245" s="636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7"/>
      <c r="B246" s="637"/>
      <c r="C246" s="637"/>
      <c r="D246" s="637"/>
      <c r="E246" s="637"/>
      <c r="F246" s="637"/>
      <c r="G246" s="637"/>
      <c r="H246" s="637"/>
      <c r="I246" s="637"/>
      <c r="J246" s="637"/>
      <c r="K246" s="637"/>
      <c r="L246" s="637"/>
      <c r="M246" s="637"/>
      <c r="N246" s="637"/>
      <c r="O246" s="638"/>
      <c r="P246" s="634" t="s">
        <v>40</v>
      </c>
      <c r="Q246" s="635"/>
      <c r="R246" s="635"/>
      <c r="S246" s="635"/>
      <c r="T246" s="635"/>
      <c r="U246" s="635"/>
      <c r="V246" s="636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8" t="s">
        <v>418</v>
      </c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8"/>
      <c r="P247" s="628"/>
      <c r="Q247" s="628"/>
      <c r="R247" s="628"/>
      <c r="S247" s="628"/>
      <c r="T247" s="628"/>
      <c r="U247" s="628"/>
      <c r="V247" s="628"/>
      <c r="W247" s="628"/>
      <c r="X247" s="628"/>
      <c r="Y247" s="628"/>
      <c r="Z247" s="628"/>
      <c r="AA247" s="66"/>
      <c r="AB247" s="66"/>
      <c r="AC247" s="80"/>
    </row>
    <row r="248" spans="1:68" ht="27" customHeight="1" x14ac:dyDescent="0.25">
      <c r="A248" s="63" t="s">
        <v>419</v>
      </c>
      <c r="B248" s="63" t="s">
        <v>420</v>
      </c>
      <c r="C248" s="36">
        <v>4301040362</v>
      </c>
      <c r="D248" s="629">
        <v>4680115886803</v>
      </c>
      <c r="E248" s="629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326</v>
      </c>
      <c r="L248" s="37" t="s">
        <v>45</v>
      </c>
      <c r="M248" s="38" t="s">
        <v>325</v>
      </c>
      <c r="N248" s="38"/>
      <c r="O248" s="37">
        <v>45</v>
      </c>
      <c r="P248" s="75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31"/>
      <c r="R248" s="631"/>
      <c r="S248" s="631"/>
      <c r="T248" s="63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421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7"/>
      <c r="B249" s="637"/>
      <c r="C249" s="637"/>
      <c r="D249" s="637"/>
      <c r="E249" s="637"/>
      <c r="F249" s="637"/>
      <c r="G249" s="637"/>
      <c r="H249" s="637"/>
      <c r="I249" s="637"/>
      <c r="J249" s="637"/>
      <c r="K249" s="637"/>
      <c r="L249" s="637"/>
      <c r="M249" s="637"/>
      <c r="N249" s="637"/>
      <c r="O249" s="638"/>
      <c r="P249" s="634" t="s">
        <v>40</v>
      </c>
      <c r="Q249" s="635"/>
      <c r="R249" s="635"/>
      <c r="S249" s="635"/>
      <c r="T249" s="635"/>
      <c r="U249" s="635"/>
      <c r="V249" s="636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7"/>
      <c r="B250" s="637"/>
      <c r="C250" s="637"/>
      <c r="D250" s="637"/>
      <c r="E250" s="637"/>
      <c r="F250" s="637"/>
      <c r="G250" s="637"/>
      <c r="H250" s="637"/>
      <c r="I250" s="637"/>
      <c r="J250" s="637"/>
      <c r="K250" s="637"/>
      <c r="L250" s="637"/>
      <c r="M250" s="637"/>
      <c r="N250" s="637"/>
      <c r="O250" s="638"/>
      <c r="P250" s="634" t="s">
        <v>40</v>
      </c>
      <c r="Q250" s="635"/>
      <c r="R250" s="635"/>
      <c r="S250" s="635"/>
      <c r="T250" s="635"/>
      <c r="U250" s="635"/>
      <c r="V250" s="636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8" t="s">
        <v>422</v>
      </c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8"/>
      <c r="P251" s="628"/>
      <c r="Q251" s="628"/>
      <c r="R251" s="628"/>
      <c r="S251" s="628"/>
      <c r="T251" s="628"/>
      <c r="U251" s="628"/>
      <c r="V251" s="628"/>
      <c r="W251" s="628"/>
      <c r="X251" s="628"/>
      <c r="Y251" s="628"/>
      <c r="Z251" s="628"/>
      <c r="AA251" s="66"/>
      <c r="AB251" s="66"/>
      <c r="AC251" s="80"/>
    </row>
    <row r="252" spans="1:68" ht="27" customHeight="1" x14ac:dyDescent="0.25">
      <c r="A252" s="63" t="s">
        <v>423</v>
      </c>
      <c r="B252" s="63" t="s">
        <v>424</v>
      </c>
      <c r="C252" s="36">
        <v>4301041004</v>
      </c>
      <c r="D252" s="629">
        <v>4680115886704</v>
      </c>
      <c r="E252" s="629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326</v>
      </c>
      <c r="L252" s="37" t="s">
        <v>45</v>
      </c>
      <c r="M252" s="38" t="s">
        <v>325</v>
      </c>
      <c r="N252" s="38"/>
      <c r="O252" s="37">
        <v>90</v>
      </c>
      <c r="P252" s="7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31"/>
      <c r="R252" s="631"/>
      <c r="S252" s="631"/>
      <c r="T252" s="632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425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426</v>
      </c>
      <c r="B253" s="63" t="s">
        <v>427</v>
      </c>
      <c r="C253" s="36">
        <v>4301041008</v>
      </c>
      <c r="D253" s="629">
        <v>4680115886681</v>
      </c>
      <c r="E253" s="629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326</v>
      </c>
      <c r="L253" s="37" t="s">
        <v>45</v>
      </c>
      <c r="M253" s="38" t="s">
        <v>325</v>
      </c>
      <c r="N253" s="38"/>
      <c r="O253" s="37">
        <v>90</v>
      </c>
      <c r="P253" s="7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31"/>
      <c r="R253" s="631"/>
      <c r="S253" s="631"/>
      <c r="T253" s="632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428</v>
      </c>
      <c r="B254" s="63" t="s">
        <v>429</v>
      </c>
      <c r="C254" s="36">
        <v>4301041007</v>
      </c>
      <c r="D254" s="629">
        <v>4680115886735</v>
      </c>
      <c r="E254" s="629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326</v>
      </c>
      <c r="L254" s="37" t="s">
        <v>45</v>
      </c>
      <c r="M254" s="38" t="s">
        <v>325</v>
      </c>
      <c r="N254" s="38"/>
      <c r="O254" s="37">
        <v>90</v>
      </c>
      <c r="P254" s="75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31"/>
      <c r="R254" s="631"/>
      <c r="S254" s="631"/>
      <c r="T254" s="63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4301041006</v>
      </c>
      <c r="D255" s="629">
        <v>4680115886728</v>
      </c>
      <c r="E255" s="629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326</v>
      </c>
      <c r="L255" s="37" t="s">
        <v>45</v>
      </c>
      <c r="M255" s="38" t="s">
        <v>325</v>
      </c>
      <c r="N255" s="38"/>
      <c r="O255" s="37">
        <v>90</v>
      </c>
      <c r="P255" s="75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31"/>
      <c r="R255" s="631"/>
      <c r="S255" s="631"/>
      <c r="T255" s="63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432</v>
      </c>
      <c r="B256" s="63" t="s">
        <v>433</v>
      </c>
      <c r="C256" s="36">
        <v>4301041005</v>
      </c>
      <c r="D256" s="629">
        <v>4680115886711</v>
      </c>
      <c r="E256" s="629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326</v>
      </c>
      <c r="L256" s="37" t="s">
        <v>45</v>
      </c>
      <c r="M256" s="38" t="s">
        <v>325</v>
      </c>
      <c r="N256" s="38"/>
      <c r="O256" s="37">
        <v>90</v>
      </c>
      <c r="P256" s="75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31"/>
      <c r="R256" s="631"/>
      <c r="S256" s="631"/>
      <c r="T256" s="63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7"/>
      <c r="B257" s="637"/>
      <c r="C257" s="637"/>
      <c r="D257" s="637"/>
      <c r="E257" s="637"/>
      <c r="F257" s="637"/>
      <c r="G257" s="637"/>
      <c r="H257" s="637"/>
      <c r="I257" s="637"/>
      <c r="J257" s="637"/>
      <c r="K257" s="637"/>
      <c r="L257" s="637"/>
      <c r="M257" s="637"/>
      <c r="N257" s="637"/>
      <c r="O257" s="638"/>
      <c r="P257" s="634" t="s">
        <v>40</v>
      </c>
      <c r="Q257" s="635"/>
      <c r="R257" s="635"/>
      <c r="S257" s="635"/>
      <c r="T257" s="635"/>
      <c r="U257" s="635"/>
      <c r="V257" s="636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7"/>
      <c r="B258" s="637"/>
      <c r="C258" s="637"/>
      <c r="D258" s="637"/>
      <c r="E258" s="637"/>
      <c r="F258" s="637"/>
      <c r="G258" s="637"/>
      <c r="H258" s="637"/>
      <c r="I258" s="637"/>
      <c r="J258" s="637"/>
      <c r="K258" s="637"/>
      <c r="L258" s="637"/>
      <c r="M258" s="637"/>
      <c r="N258" s="637"/>
      <c r="O258" s="638"/>
      <c r="P258" s="634" t="s">
        <v>40</v>
      </c>
      <c r="Q258" s="635"/>
      <c r="R258" s="635"/>
      <c r="S258" s="635"/>
      <c r="T258" s="635"/>
      <c r="U258" s="635"/>
      <c r="V258" s="636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7" t="s">
        <v>434</v>
      </c>
      <c r="B259" s="627"/>
      <c r="C259" s="627"/>
      <c r="D259" s="627"/>
      <c r="E259" s="627"/>
      <c r="F259" s="627"/>
      <c r="G259" s="627"/>
      <c r="H259" s="627"/>
      <c r="I259" s="627"/>
      <c r="J259" s="627"/>
      <c r="K259" s="627"/>
      <c r="L259" s="627"/>
      <c r="M259" s="627"/>
      <c r="N259" s="627"/>
      <c r="O259" s="627"/>
      <c r="P259" s="627"/>
      <c r="Q259" s="627"/>
      <c r="R259" s="627"/>
      <c r="S259" s="627"/>
      <c r="T259" s="627"/>
      <c r="U259" s="627"/>
      <c r="V259" s="627"/>
      <c r="W259" s="627"/>
      <c r="X259" s="627"/>
      <c r="Y259" s="627"/>
      <c r="Z259" s="627"/>
      <c r="AA259" s="65"/>
      <c r="AB259" s="65"/>
      <c r="AC259" s="79"/>
    </row>
    <row r="260" spans="1:68" ht="14.25" customHeight="1" x14ac:dyDescent="0.25">
      <c r="A260" s="628" t="s">
        <v>114</v>
      </c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8"/>
      <c r="P260" s="628"/>
      <c r="Q260" s="628"/>
      <c r="R260" s="628"/>
      <c r="S260" s="628"/>
      <c r="T260" s="628"/>
      <c r="U260" s="628"/>
      <c r="V260" s="628"/>
      <c r="W260" s="628"/>
      <c r="X260" s="628"/>
      <c r="Y260" s="628"/>
      <c r="Z260" s="628"/>
      <c r="AA260" s="66"/>
      <c r="AB260" s="66"/>
      <c r="AC260" s="80"/>
    </row>
    <row r="261" spans="1:68" ht="27" customHeight="1" x14ac:dyDescent="0.25">
      <c r="A261" s="63" t="s">
        <v>435</v>
      </c>
      <c r="B261" s="63" t="s">
        <v>436</v>
      </c>
      <c r="C261" s="36">
        <v>4301011855</v>
      </c>
      <c r="D261" s="629">
        <v>4680115885837</v>
      </c>
      <c r="E261" s="62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119</v>
      </c>
      <c r="L261" s="37" t="s">
        <v>120</v>
      </c>
      <c r="M261" s="38" t="s">
        <v>118</v>
      </c>
      <c r="N261" s="38"/>
      <c r="O261" s="37">
        <v>55</v>
      </c>
      <c r="P261" s="75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31"/>
      <c r="R261" s="631"/>
      <c r="S261" s="631"/>
      <c r="T261" s="632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437</v>
      </c>
      <c r="AG261" s="78"/>
      <c r="AJ261" s="84" t="s">
        <v>103</v>
      </c>
      <c r="AK261" s="84">
        <v>86.4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438</v>
      </c>
      <c r="B262" s="63" t="s">
        <v>439</v>
      </c>
      <c r="C262" s="36">
        <v>4301011853</v>
      </c>
      <c r="D262" s="629">
        <v>4680115885851</v>
      </c>
      <c r="E262" s="629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76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31"/>
      <c r="R262" s="631"/>
      <c r="S262" s="631"/>
      <c r="T262" s="632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440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441</v>
      </c>
      <c r="B263" s="63" t="s">
        <v>442</v>
      </c>
      <c r="C263" s="36">
        <v>4301011850</v>
      </c>
      <c r="D263" s="629">
        <v>4680115885806</v>
      </c>
      <c r="E263" s="629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120</v>
      </c>
      <c r="M263" s="38" t="s">
        <v>118</v>
      </c>
      <c r="N263" s="38"/>
      <c r="O263" s="37">
        <v>55</v>
      </c>
      <c r="P263" s="7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31"/>
      <c r="R263" s="631"/>
      <c r="S263" s="631"/>
      <c r="T263" s="63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443</v>
      </c>
      <c r="AG263" s="78"/>
      <c r="AJ263" s="84" t="s">
        <v>103</v>
      </c>
      <c r="AK263" s="84">
        <v>86.4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444</v>
      </c>
      <c r="B264" s="63" t="s">
        <v>445</v>
      </c>
      <c r="C264" s="36">
        <v>4301011852</v>
      </c>
      <c r="D264" s="629">
        <v>4680115885844</v>
      </c>
      <c r="E264" s="629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123</v>
      </c>
      <c r="L264" s="37" t="s">
        <v>45</v>
      </c>
      <c r="M264" s="38" t="s">
        <v>118</v>
      </c>
      <c r="N264" s="38"/>
      <c r="O264" s="37">
        <v>55</v>
      </c>
      <c r="P264" s="7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31"/>
      <c r="R264" s="631"/>
      <c r="S264" s="631"/>
      <c r="T264" s="63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446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447</v>
      </c>
      <c r="B265" s="63" t="s">
        <v>448</v>
      </c>
      <c r="C265" s="36">
        <v>4301011851</v>
      </c>
      <c r="D265" s="629">
        <v>4680115885820</v>
      </c>
      <c r="E265" s="629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123</v>
      </c>
      <c r="L265" s="37" t="s">
        <v>126</v>
      </c>
      <c r="M265" s="38" t="s">
        <v>118</v>
      </c>
      <c r="N265" s="38"/>
      <c r="O265" s="37">
        <v>55</v>
      </c>
      <c r="P265" s="76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31"/>
      <c r="R265" s="631"/>
      <c r="S265" s="631"/>
      <c r="T265" s="63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449</v>
      </c>
      <c r="AG265" s="78"/>
      <c r="AJ265" s="84" t="s">
        <v>103</v>
      </c>
      <c r="AK265" s="84">
        <v>48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7"/>
      <c r="B266" s="637"/>
      <c r="C266" s="637"/>
      <c r="D266" s="637"/>
      <c r="E266" s="637"/>
      <c r="F266" s="637"/>
      <c r="G266" s="637"/>
      <c r="H266" s="637"/>
      <c r="I266" s="637"/>
      <c r="J266" s="637"/>
      <c r="K266" s="637"/>
      <c r="L266" s="637"/>
      <c r="M266" s="637"/>
      <c r="N266" s="637"/>
      <c r="O266" s="638"/>
      <c r="P266" s="634" t="s">
        <v>40</v>
      </c>
      <c r="Q266" s="635"/>
      <c r="R266" s="635"/>
      <c r="S266" s="635"/>
      <c r="T266" s="635"/>
      <c r="U266" s="635"/>
      <c r="V266" s="636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7"/>
      <c r="B267" s="637"/>
      <c r="C267" s="637"/>
      <c r="D267" s="637"/>
      <c r="E267" s="637"/>
      <c r="F267" s="637"/>
      <c r="G267" s="637"/>
      <c r="H267" s="637"/>
      <c r="I267" s="637"/>
      <c r="J267" s="637"/>
      <c r="K267" s="637"/>
      <c r="L267" s="637"/>
      <c r="M267" s="637"/>
      <c r="N267" s="637"/>
      <c r="O267" s="638"/>
      <c r="P267" s="634" t="s">
        <v>40</v>
      </c>
      <c r="Q267" s="635"/>
      <c r="R267" s="635"/>
      <c r="S267" s="635"/>
      <c r="T267" s="635"/>
      <c r="U267" s="635"/>
      <c r="V267" s="636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7" t="s">
        <v>450</v>
      </c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7"/>
      <c r="P268" s="627"/>
      <c r="Q268" s="627"/>
      <c r="R268" s="627"/>
      <c r="S268" s="627"/>
      <c r="T268" s="627"/>
      <c r="U268" s="627"/>
      <c r="V268" s="627"/>
      <c r="W268" s="627"/>
      <c r="X268" s="627"/>
      <c r="Y268" s="627"/>
      <c r="Z268" s="627"/>
      <c r="AA268" s="65"/>
      <c r="AB268" s="65"/>
      <c r="AC268" s="79"/>
    </row>
    <row r="269" spans="1:68" ht="14.25" customHeight="1" x14ac:dyDescent="0.25">
      <c r="A269" s="628" t="s">
        <v>114</v>
      </c>
      <c r="B269" s="628"/>
      <c r="C269" s="628"/>
      <c r="D269" s="628"/>
      <c r="E269" s="628"/>
      <c r="F269" s="628"/>
      <c r="G269" s="628"/>
      <c r="H269" s="628"/>
      <c r="I269" s="628"/>
      <c r="J269" s="628"/>
      <c r="K269" s="628"/>
      <c r="L269" s="628"/>
      <c r="M269" s="628"/>
      <c r="N269" s="628"/>
      <c r="O269" s="628"/>
      <c r="P269" s="628"/>
      <c r="Q269" s="628"/>
      <c r="R269" s="628"/>
      <c r="S269" s="628"/>
      <c r="T269" s="628"/>
      <c r="U269" s="628"/>
      <c r="V269" s="628"/>
      <c r="W269" s="628"/>
      <c r="X269" s="628"/>
      <c r="Y269" s="628"/>
      <c r="Z269" s="628"/>
      <c r="AA269" s="66"/>
      <c r="AB269" s="66"/>
      <c r="AC269" s="80"/>
    </row>
    <row r="270" spans="1:68" ht="27" customHeight="1" x14ac:dyDescent="0.25">
      <c r="A270" s="63" t="s">
        <v>451</v>
      </c>
      <c r="B270" s="63" t="s">
        <v>452</v>
      </c>
      <c r="C270" s="36">
        <v>4301011223</v>
      </c>
      <c r="D270" s="629">
        <v>4607091383423</v>
      </c>
      <c r="E270" s="629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119</v>
      </c>
      <c r="L270" s="37" t="s">
        <v>45</v>
      </c>
      <c r="M270" s="38" t="s">
        <v>92</v>
      </c>
      <c r="N270" s="38"/>
      <c r="O270" s="37">
        <v>35</v>
      </c>
      <c r="P270" s="7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31"/>
      <c r="R270" s="631"/>
      <c r="S270" s="631"/>
      <c r="T270" s="632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117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453</v>
      </c>
      <c r="B271" s="63" t="s">
        <v>454</v>
      </c>
      <c r="C271" s="36">
        <v>4301012199</v>
      </c>
      <c r="D271" s="629">
        <v>4680115886957</v>
      </c>
      <c r="E271" s="629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119</v>
      </c>
      <c r="L271" s="37" t="s">
        <v>45</v>
      </c>
      <c r="M271" s="38" t="s">
        <v>92</v>
      </c>
      <c r="N271" s="38"/>
      <c r="O271" s="37">
        <v>30</v>
      </c>
      <c r="P271" s="76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31"/>
      <c r="R271" s="631"/>
      <c r="S271" s="631"/>
      <c r="T271" s="63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455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456</v>
      </c>
      <c r="B272" s="63" t="s">
        <v>457</v>
      </c>
      <c r="C272" s="36">
        <v>4301012098</v>
      </c>
      <c r="D272" s="629">
        <v>4680115885660</v>
      </c>
      <c r="E272" s="629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92</v>
      </c>
      <c r="N272" s="38"/>
      <c r="O272" s="37">
        <v>35</v>
      </c>
      <c r="P272" s="76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31"/>
      <c r="R272" s="631"/>
      <c r="S272" s="631"/>
      <c r="T272" s="63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403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4301012176</v>
      </c>
      <c r="D273" s="629">
        <v>4680115886773</v>
      </c>
      <c r="E273" s="629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119</v>
      </c>
      <c r="L273" s="37" t="s">
        <v>45</v>
      </c>
      <c r="M273" s="38" t="s">
        <v>118</v>
      </c>
      <c r="N273" s="38"/>
      <c r="O273" s="37">
        <v>31</v>
      </c>
      <c r="P273" s="76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31"/>
      <c r="R273" s="631"/>
      <c r="S273" s="631"/>
      <c r="T273" s="63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7"/>
      <c r="B274" s="637"/>
      <c r="C274" s="637"/>
      <c r="D274" s="637"/>
      <c r="E274" s="637"/>
      <c r="F274" s="637"/>
      <c r="G274" s="637"/>
      <c r="H274" s="637"/>
      <c r="I274" s="637"/>
      <c r="J274" s="637"/>
      <c r="K274" s="637"/>
      <c r="L274" s="637"/>
      <c r="M274" s="637"/>
      <c r="N274" s="637"/>
      <c r="O274" s="638"/>
      <c r="P274" s="634" t="s">
        <v>40</v>
      </c>
      <c r="Q274" s="635"/>
      <c r="R274" s="635"/>
      <c r="S274" s="635"/>
      <c r="T274" s="635"/>
      <c r="U274" s="635"/>
      <c r="V274" s="636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7"/>
      <c r="B275" s="637"/>
      <c r="C275" s="637"/>
      <c r="D275" s="637"/>
      <c r="E275" s="637"/>
      <c r="F275" s="637"/>
      <c r="G275" s="637"/>
      <c r="H275" s="637"/>
      <c r="I275" s="637"/>
      <c r="J275" s="637"/>
      <c r="K275" s="637"/>
      <c r="L275" s="637"/>
      <c r="M275" s="637"/>
      <c r="N275" s="637"/>
      <c r="O275" s="638"/>
      <c r="P275" s="634" t="s">
        <v>40</v>
      </c>
      <c r="Q275" s="635"/>
      <c r="R275" s="635"/>
      <c r="S275" s="635"/>
      <c r="T275" s="635"/>
      <c r="U275" s="635"/>
      <c r="V275" s="636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7" t="s">
        <v>461</v>
      </c>
      <c r="B276" s="627"/>
      <c r="C276" s="627"/>
      <c r="D276" s="627"/>
      <c r="E276" s="627"/>
      <c r="F276" s="627"/>
      <c r="G276" s="627"/>
      <c r="H276" s="627"/>
      <c r="I276" s="627"/>
      <c r="J276" s="627"/>
      <c r="K276" s="627"/>
      <c r="L276" s="627"/>
      <c r="M276" s="627"/>
      <c r="N276" s="627"/>
      <c r="O276" s="627"/>
      <c r="P276" s="627"/>
      <c r="Q276" s="627"/>
      <c r="R276" s="627"/>
      <c r="S276" s="627"/>
      <c r="T276" s="627"/>
      <c r="U276" s="627"/>
      <c r="V276" s="627"/>
      <c r="W276" s="627"/>
      <c r="X276" s="627"/>
      <c r="Y276" s="627"/>
      <c r="Z276" s="627"/>
      <c r="AA276" s="65"/>
      <c r="AB276" s="65"/>
      <c r="AC276" s="79"/>
    </row>
    <row r="277" spans="1:68" ht="14.25" customHeight="1" x14ac:dyDescent="0.25">
      <c r="A277" s="628" t="s">
        <v>88</v>
      </c>
      <c r="B277" s="628"/>
      <c r="C277" s="628"/>
      <c r="D277" s="628"/>
      <c r="E277" s="628"/>
      <c r="F277" s="628"/>
      <c r="G277" s="628"/>
      <c r="H277" s="628"/>
      <c r="I277" s="628"/>
      <c r="J277" s="628"/>
      <c r="K277" s="628"/>
      <c r="L277" s="628"/>
      <c r="M277" s="628"/>
      <c r="N277" s="628"/>
      <c r="O277" s="628"/>
      <c r="P277" s="628"/>
      <c r="Q277" s="628"/>
      <c r="R277" s="628"/>
      <c r="S277" s="628"/>
      <c r="T277" s="628"/>
      <c r="U277" s="628"/>
      <c r="V277" s="628"/>
      <c r="W277" s="628"/>
      <c r="X277" s="628"/>
      <c r="Y277" s="628"/>
      <c r="Z277" s="628"/>
      <c r="AA277" s="66"/>
      <c r="AB277" s="66"/>
      <c r="AC277" s="80"/>
    </row>
    <row r="278" spans="1:68" ht="27" customHeight="1" x14ac:dyDescent="0.25">
      <c r="A278" s="63" t="s">
        <v>462</v>
      </c>
      <c r="B278" s="63" t="s">
        <v>463</v>
      </c>
      <c r="C278" s="36">
        <v>4301051893</v>
      </c>
      <c r="D278" s="629">
        <v>4680115886186</v>
      </c>
      <c r="E278" s="629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31"/>
      <c r="R278" s="631"/>
      <c r="S278" s="631"/>
      <c r="T278" s="63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464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465</v>
      </c>
      <c r="B279" s="63" t="s">
        <v>466</v>
      </c>
      <c r="C279" s="36">
        <v>4301051795</v>
      </c>
      <c r="D279" s="629">
        <v>4680115881228</v>
      </c>
      <c r="E279" s="62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45</v>
      </c>
      <c r="M279" s="38" t="s">
        <v>98</v>
      </c>
      <c r="N279" s="38"/>
      <c r="O279" s="37">
        <v>40</v>
      </c>
      <c r="P279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31"/>
      <c r="R279" s="631"/>
      <c r="S279" s="631"/>
      <c r="T279" s="63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467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468</v>
      </c>
      <c r="B280" s="63" t="s">
        <v>469</v>
      </c>
      <c r="C280" s="36">
        <v>4301051388</v>
      </c>
      <c r="D280" s="629">
        <v>4680115881211</v>
      </c>
      <c r="E280" s="629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102</v>
      </c>
      <c r="M280" s="38" t="s">
        <v>92</v>
      </c>
      <c r="N280" s="38"/>
      <c r="O280" s="37">
        <v>45</v>
      </c>
      <c r="P280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31"/>
      <c r="R280" s="631"/>
      <c r="S280" s="631"/>
      <c r="T280" s="632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464</v>
      </c>
      <c r="AG280" s="78"/>
      <c r="AJ280" s="84" t="s">
        <v>103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7"/>
      <c r="B281" s="637"/>
      <c r="C281" s="637"/>
      <c r="D281" s="637"/>
      <c r="E281" s="637"/>
      <c r="F281" s="637"/>
      <c r="G281" s="637"/>
      <c r="H281" s="637"/>
      <c r="I281" s="637"/>
      <c r="J281" s="637"/>
      <c r="K281" s="637"/>
      <c r="L281" s="637"/>
      <c r="M281" s="637"/>
      <c r="N281" s="637"/>
      <c r="O281" s="638"/>
      <c r="P281" s="634" t="s">
        <v>40</v>
      </c>
      <c r="Q281" s="635"/>
      <c r="R281" s="635"/>
      <c r="S281" s="635"/>
      <c r="T281" s="635"/>
      <c r="U281" s="635"/>
      <c r="V281" s="636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7"/>
      <c r="B282" s="637"/>
      <c r="C282" s="637"/>
      <c r="D282" s="637"/>
      <c r="E282" s="637"/>
      <c r="F282" s="637"/>
      <c r="G282" s="637"/>
      <c r="H282" s="637"/>
      <c r="I282" s="637"/>
      <c r="J282" s="637"/>
      <c r="K282" s="637"/>
      <c r="L282" s="637"/>
      <c r="M282" s="637"/>
      <c r="N282" s="637"/>
      <c r="O282" s="638"/>
      <c r="P282" s="634" t="s">
        <v>40</v>
      </c>
      <c r="Q282" s="635"/>
      <c r="R282" s="635"/>
      <c r="S282" s="635"/>
      <c r="T282" s="635"/>
      <c r="U282" s="635"/>
      <c r="V282" s="636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7" t="s">
        <v>470</v>
      </c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7"/>
      <c r="P283" s="627"/>
      <c r="Q283" s="627"/>
      <c r="R283" s="627"/>
      <c r="S283" s="627"/>
      <c r="T283" s="627"/>
      <c r="U283" s="627"/>
      <c r="V283" s="627"/>
      <c r="W283" s="627"/>
      <c r="X283" s="627"/>
      <c r="Y283" s="627"/>
      <c r="Z283" s="627"/>
      <c r="AA283" s="65"/>
      <c r="AB283" s="65"/>
      <c r="AC283" s="79"/>
    </row>
    <row r="284" spans="1:68" ht="14.25" customHeight="1" x14ac:dyDescent="0.25">
      <c r="A284" s="628" t="s">
        <v>78</v>
      </c>
      <c r="B284" s="628"/>
      <c r="C284" s="628"/>
      <c r="D284" s="628"/>
      <c r="E284" s="628"/>
      <c r="F284" s="628"/>
      <c r="G284" s="628"/>
      <c r="H284" s="628"/>
      <c r="I284" s="628"/>
      <c r="J284" s="628"/>
      <c r="K284" s="628"/>
      <c r="L284" s="628"/>
      <c r="M284" s="628"/>
      <c r="N284" s="628"/>
      <c r="O284" s="628"/>
      <c r="P284" s="628"/>
      <c r="Q284" s="628"/>
      <c r="R284" s="628"/>
      <c r="S284" s="628"/>
      <c r="T284" s="628"/>
      <c r="U284" s="628"/>
      <c r="V284" s="628"/>
      <c r="W284" s="628"/>
      <c r="X284" s="628"/>
      <c r="Y284" s="628"/>
      <c r="Z284" s="628"/>
      <c r="AA284" s="66"/>
      <c r="AB284" s="66"/>
      <c r="AC284" s="80"/>
    </row>
    <row r="285" spans="1:68" ht="27" customHeight="1" x14ac:dyDescent="0.25">
      <c r="A285" s="63" t="s">
        <v>471</v>
      </c>
      <c r="B285" s="63" t="s">
        <v>472</v>
      </c>
      <c r="C285" s="36">
        <v>4301031307</v>
      </c>
      <c r="D285" s="629">
        <v>4680115880344</v>
      </c>
      <c r="E285" s="629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31"/>
      <c r="R285" s="631"/>
      <c r="S285" s="631"/>
      <c r="T285" s="632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473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474</v>
      </c>
      <c r="B286" s="63" t="s">
        <v>475</v>
      </c>
      <c r="C286" s="36">
        <v>4301031429</v>
      </c>
      <c r="D286" s="629">
        <v>4680115886919</v>
      </c>
      <c r="E286" s="629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7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31"/>
      <c r="R286" s="631"/>
      <c r="S286" s="631"/>
      <c r="T286" s="632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476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7"/>
      <c r="B287" s="637"/>
      <c r="C287" s="637"/>
      <c r="D287" s="637"/>
      <c r="E287" s="637"/>
      <c r="F287" s="637"/>
      <c r="G287" s="637"/>
      <c r="H287" s="637"/>
      <c r="I287" s="637"/>
      <c r="J287" s="637"/>
      <c r="K287" s="637"/>
      <c r="L287" s="637"/>
      <c r="M287" s="637"/>
      <c r="N287" s="637"/>
      <c r="O287" s="638"/>
      <c r="P287" s="634" t="s">
        <v>40</v>
      </c>
      <c r="Q287" s="635"/>
      <c r="R287" s="635"/>
      <c r="S287" s="635"/>
      <c r="T287" s="635"/>
      <c r="U287" s="635"/>
      <c r="V287" s="636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7"/>
      <c r="B288" s="637"/>
      <c r="C288" s="637"/>
      <c r="D288" s="637"/>
      <c r="E288" s="637"/>
      <c r="F288" s="637"/>
      <c r="G288" s="637"/>
      <c r="H288" s="637"/>
      <c r="I288" s="637"/>
      <c r="J288" s="637"/>
      <c r="K288" s="637"/>
      <c r="L288" s="637"/>
      <c r="M288" s="637"/>
      <c r="N288" s="637"/>
      <c r="O288" s="638"/>
      <c r="P288" s="634" t="s">
        <v>40</v>
      </c>
      <c r="Q288" s="635"/>
      <c r="R288" s="635"/>
      <c r="S288" s="635"/>
      <c r="T288" s="635"/>
      <c r="U288" s="635"/>
      <c r="V288" s="636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8" t="s">
        <v>88</v>
      </c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8"/>
      <c r="P289" s="628"/>
      <c r="Q289" s="628"/>
      <c r="R289" s="628"/>
      <c r="S289" s="628"/>
      <c r="T289" s="628"/>
      <c r="U289" s="628"/>
      <c r="V289" s="628"/>
      <c r="W289" s="628"/>
      <c r="X289" s="628"/>
      <c r="Y289" s="628"/>
      <c r="Z289" s="628"/>
      <c r="AA289" s="66"/>
      <c r="AB289" s="66"/>
      <c r="AC289" s="80"/>
    </row>
    <row r="290" spans="1:68" ht="37.5" customHeight="1" x14ac:dyDescent="0.25">
      <c r="A290" s="63" t="s">
        <v>477</v>
      </c>
      <c r="B290" s="63" t="s">
        <v>478</v>
      </c>
      <c r="C290" s="36">
        <v>4301051782</v>
      </c>
      <c r="D290" s="629">
        <v>4680115884618</v>
      </c>
      <c r="E290" s="629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123</v>
      </c>
      <c r="L290" s="37" t="s">
        <v>126</v>
      </c>
      <c r="M290" s="38" t="s">
        <v>92</v>
      </c>
      <c r="N290" s="38"/>
      <c r="O290" s="37">
        <v>45</v>
      </c>
      <c r="P290" s="77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31"/>
      <c r="R290" s="631"/>
      <c r="S290" s="631"/>
      <c r="T290" s="63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479</v>
      </c>
      <c r="AG290" s="78"/>
      <c r="AJ290" s="84" t="s">
        <v>103</v>
      </c>
      <c r="AK290" s="84">
        <v>43.2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480</v>
      </c>
      <c r="B291" s="63" t="s">
        <v>481</v>
      </c>
      <c r="C291" s="36">
        <v>4301052057</v>
      </c>
      <c r="D291" s="629">
        <v>4680115887114</v>
      </c>
      <c r="E291" s="629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123</v>
      </c>
      <c r="L291" s="37" t="s">
        <v>45</v>
      </c>
      <c r="M291" s="38" t="s">
        <v>92</v>
      </c>
      <c r="N291" s="38"/>
      <c r="O291" s="37">
        <v>45</v>
      </c>
      <c r="P291" s="77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31"/>
      <c r="R291" s="631"/>
      <c r="S291" s="631"/>
      <c r="T291" s="63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482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7"/>
      <c r="B292" s="637"/>
      <c r="C292" s="637"/>
      <c r="D292" s="637"/>
      <c r="E292" s="637"/>
      <c r="F292" s="637"/>
      <c r="G292" s="637"/>
      <c r="H292" s="637"/>
      <c r="I292" s="637"/>
      <c r="J292" s="637"/>
      <c r="K292" s="637"/>
      <c r="L292" s="637"/>
      <c r="M292" s="637"/>
      <c r="N292" s="637"/>
      <c r="O292" s="638"/>
      <c r="P292" s="634" t="s">
        <v>40</v>
      </c>
      <c r="Q292" s="635"/>
      <c r="R292" s="635"/>
      <c r="S292" s="635"/>
      <c r="T292" s="635"/>
      <c r="U292" s="635"/>
      <c r="V292" s="636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7"/>
      <c r="B293" s="637"/>
      <c r="C293" s="637"/>
      <c r="D293" s="637"/>
      <c r="E293" s="637"/>
      <c r="F293" s="637"/>
      <c r="G293" s="637"/>
      <c r="H293" s="637"/>
      <c r="I293" s="637"/>
      <c r="J293" s="637"/>
      <c r="K293" s="637"/>
      <c r="L293" s="637"/>
      <c r="M293" s="637"/>
      <c r="N293" s="637"/>
      <c r="O293" s="638"/>
      <c r="P293" s="634" t="s">
        <v>40</v>
      </c>
      <c r="Q293" s="635"/>
      <c r="R293" s="635"/>
      <c r="S293" s="635"/>
      <c r="T293" s="635"/>
      <c r="U293" s="635"/>
      <c r="V293" s="636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7" t="s">
        <v>483</v>
      </c>
      <c r="B294" s="627"/>
      <c r="C294" s="627"/>
      <c r="D294" s="627"/>
      <c r="E294" s="627"/>
      <c r="F294" s="627"/>
      <c r="G294" s="627"/>
      <c r="H294" s="627"/>
      <c r="I294" s="627"/>
      <c r="J294" s="627"/>
      <c r="K294" s="627"/>
      <c r="L294" s="627"/>
      <c r="M294" s="627"/>
      <c r="N294" s="627"/>
      <c r="O294" s="627"/>
      <c r="P294" s="627"/>
      <c r="Q294" s="627"/>
      <c r="R294" s="627"/>
      <c r="S294" s="627"/>
      <c r="T294" s="627"/>
      <c r="U294" s="627"/>
      <c r="V294" s="627"/>
      <c r="W294" s="627"/>
      <c r="X294" s="627"/>
      <c r="Y294" s="627"/>
      <c r="Z294" s="627"/>
      <c r="AA294" s="65"/>
      <c r="AB294" s="65"/>
      <c r="AC294" s="79"/>
    </row>
    <row r="295" spans="1:68" ht="14.25" customHeight="1" x14ac:dyDescent="0.25">
      <c r="A295" s="628" t="s">
        <v>114</v>
      </c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8"/>
      <c r="P295" s="628"/>
      <c r="Q295" s="628"/>
      <c r="R295" s="628"/>
      <c r="S295" s="628"/>
      <c r="T295" s="628"/>
      <c r="U295" s="628"/>
      <c r="V295" s="628"/>
      <c r="W295" s="628"/>
      <c r="X295" s="628"/>
      <c r="Y295" s="628"/>
      <c r="Z295" s="628"/>
      <c r="AA295" s="66"/>
      <c r="AB295" s="66"/>
      <c r="AC295" s="80"/>
    </row>
    <row r="296" spans="1:68" ht="27" customHeight="1" x14ac:dyDescent="0.25">
      <c r="A296" s="63" t="s">
        <v>484</v>
      </c>
      <c r="B296" s="63" t="s">
        <v>485</v>
      </c>
      <c r="C296" s="36">
        <v>4301012126</v>
      </c>
      <c r="D296" s="629">
        <v>4607091386004</v>
      </c>
      <c r="E296" s="629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119</v>
      </c>
      <c r="L296" s="37" t="s">
        <v>45</v>
      </c>
      <c r="M296" s="38" t="s">
        <v>118</v>
      </c>
      <c r="N296" s="38"/>
      <c r="O296" s="37">
        <v>55</v>
      </c>
      <c r="P296" s="77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631"/>
      <c r="R296" s="631"/>
      <c r="S296" s="631"/>
      <c r="T296" s="632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ref="Y296:Y301" si="31"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486</v>
      </c>
      <c r="AG296" s="78"/>
      <c r="AJ296" s="84" t="s">
        <v>45</v>
      </c>
      <c r="AK296" s="84">
        <v>0</v>
      </c>
      <c r="BB296" s="363" t="s">
        <v>66</v>
      </c>
      <c r="BM296" s="78">
        <f t="shared" ref="BM296:BM301" si="32">IFERROR(X296*I296/H296,"0")</f>
        <v>0</v>
      </c>
      <c r="BN296" s="78">
        <f t="shared" ref="BN296:BN301" si="33">IFERROR(Y296*I296/H296,"0")</f>
        <v>0</v>
      </c>
      <c r="BO296" s="78">
        <f t="shared" ref="BO296:BO301" si="34">IFERROR(1/J296*(X296/H296),"0")</f>
        <v>0</v>
      </c>
      <c r="BP296" s="78">
        <f t="shared" ref="BP296:BP301" si="35">IFERROR(1/J296*(Y296/H296),"0")</f>
        <v>0</v>
      </c>
    </row>
    <row r="297" spans="1:68" ht="27" customHeight="1" x14ac:dyDescent="0.25">
      <c r="A297" s="63" t="s">
        <v>487</v>
      </c>
      <c r="B297" s="63" t="s">
        <v>488</v>
      </c>
      <c r="C297" s="36">
        <v>4301012024</v>
      </c>
      <c r="D297" s="629">
        <v>4680115885615</v>
      </c>
      <c r="E297" s="629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120</v>
      </c>
      <c r="M297" s="38" t="s">
        <v>92</v>
      </c>
      <c r="N297" s="38"/>
      <c r="O297" s="37">
        <v>55</v>
      </c>
      <c r="P297" s="77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31"/>
      <c r="R297" s="631"/>
      <c r="S297" s="631"/>
      <c r="T297" s="632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31"/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489</v>
      </c>
      <c r="AG297" s="78"/>
      <c r="AJ297" s="84" t="s">
        <v>103</v>
      </c>
      <c r="AK297" s="84">
        <v>86.4</v>
      </c>
      <c r="BB297" s="365" t="s">
        <v>66</v>
      </c>
      <c r="BM297" s="78">
        <f t="shared" si="32"/>
        <v>0</v>
      </c>
      <c r="BN297" s="78">
        <f t="shared" si="33"/>
        <v>0</v>
      </c>
      <c r="BO297" s="78">
        <f t="shared" si="34"/>
        <v>0</v>
      </c>
      <c r="BP297" s="78">
        <f t="shared" si="35"/>
        <v>0</v>
      </c>
    </row>
    <row r="298" spans="1:68" ht="37.5" customHeight="1" x14ac:dyDescent="0.25">
      <c r="A298" s="63" t="s">
        <v>490</v>
      </c>
      <c r="B298" s="63" t="s">
        <v>491</v>
      </c>
      <c r="C298" s="36">
        <v>4301011858</v>
      </c>
      <c r="D298" s="629">
        <v>4680115885646</v>
      </c>
      <c r="E298" s="629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120</v>
      </c>
      <c r="M298" s="38" t="s">
        <v>118</v>
      </c>
      <c r="N298" s="38"/>
      <c r="O298" s="37">
        <v>55</v>
      </c>
      <c r="P298" s="77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31"/>
      <c r="R298" s="631"/>
      <c r="S298" s="631"/>
      <c r="T298" s="632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31"/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492</v>
      </c>
      <c r="AG298" s="78"/>
      <c r="AJ298" s="84" t="s">
        <v>103</v>
      </c>
      <c r="AK298" s="84">
        <v>86.4</v>
      </c>
      <c r="BB298" s="367" t="s">
        <v>66</v>
      </c>
      <c r="BM298" s="78">
        <f t="shared" si="32"/>
        <v>0</v>
      </c>
      <c r="BN298" s="78">
        <f t="shared" si="33"/>
        <v>0</v>
      </c>
      <c r="BO298" s="78">
        <f t="shared" si="34"/>
        <v>0</v>
      </c>
      <c r="BP298" s="78">
        <f t="shared" si="35"/>
        <v>0</v>
      </c>
    </row>
    <row r="299" spans="1:68" ht="27" customHeight="1" x14ac:dyDescent="0.25">
      <c r="A299" s="63" t="s">
        <v>493</v>
      </c>
      <c r="B299" s="63" t="s">
        <v>494</v>
      </c>
      <c r="C299" s="36">
        <v>4301012016</v>
      </c>
      <c r="D299" s="629">
        <v>4680115885554</v>
      </c>
      <c r="E299" s="629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92</v>
      </c>
      <c r="N299" s="38"/>
      <c r="O299" s="37">
        <v>55</v>
      </c>
      <c r="P299" s="77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31"/>
      <c r="R299" s="631"/>
      <c r="S299" s="631"/>
      <c r="T299" s="632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495</v>
      </c>
      <c r="AG299" s="78"/>
      <c r="AJ299" s="84" t="s">
        <v>45</v>
      </c>
      <c r="AK299" s="84">
        <v>0</v>
      </c>
      <c r="BB299" s="369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496</v>
      </c>
      <c r="B300" s="63" t="s">
        <v>497</v>
      </c>
      <c r="C300" s="36">
        <v>4301011857</v>
      </c>
      <c r="D300" s="629">
        <v>4680115885622</v>
      </c>
      <c r="E300" s="629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123</v>
      </c>
      <c r="L300" s="37" t="s">
        <v>126</v>
      </c>
      <c r="M300" s="38" t="s">
        <v>118</v>
      </c>
      <c r="N300" s="38"/>
      <c r="O300" s="37">
        <v>55</v>
      </c>
      <c r="P300" s="77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31"/>
      <c r="R300" s="631"/>
      <c r="S300" s="631"/>
      <c r="T300" s="632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489</v>
      </c>
      <c r="AG300" s="78"/>
      <c r="AJ300" s="84" t="s">
        <v>103</v>
      </c>
      <c r="AK300" s="84">
        <v>48</v>
      </c>
      <c r="BB300" s="371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498</v>
      </c>
      <c r="B301" s="63" t="s">
        <v>499</v>
      </c>
      <c r="C301" s="36">
        <v>4301011859</v>
      </c>
      <c r="D301" s="629">
        <v>4680115885608</v>
      </c>
      <c r="E301" s="62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123</v>
      </c>
      <c r="L301" s="37" t="s">
        <v>126</v>
      </c>
      <c r="M301" s="38" t="s">
        <v>118</v>
      </c>
      <c r="N301" s="38"/>
      <c r="O301" s="37">
        <v>55</v>
      </c>
      <c r="P301" s="78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31"/>
      <c r="R301" s="631"/>
      <c r="S301" s="631"/>
      <c r="T301" s="632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500</v>
      </c>
      <c r="AG301" s="78"/>
      <c r="AJ301" s="84" t="s">
        <v>103</v>
      </c>
      <c r="AK301" s="84">
        <v>48</v>
      </c>
      <c r="BB301" s="373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x14ac:dyDescent="0.2">
      <c r="A302" s="637"/>
      <c r="B302" s="637"/>
      <c r="C302" s="637"/>
      <c r="D302" s="637"/>
      <c r="E302" s="637"/>
      <c r="F302" s="637"/>
      <c r="G302" s="637"/>
      <c r="H302" s="637"/>
      <c r="I302" s="637"/>
      <c r="J302" s="637"/>
      <c r="K302" s="637"/>
      <c r="L302" s="637"/>
      <c r="M302" s="637"/>
      <c r="N302" s="637"/>
      <c r="O302" s="638"/>
      <c r="P302" s="634" t="s">
        <v>40</v>
      </c>
      <c r="Q302" s="635"/>
      <c r="R302" s="635"/>
      <c r="S302" s="635"/>
      <c r="T302" s="635"/>
      <c r="U302" s="635"/>
      <c r="V302" s="636"/>
      <c r="W302" s="42" t="s">
        <v>39</v>
      </c>
      <c r="X302" s="43">
        <f>IFERROR(X296/H296,"0")+IFERROR(X297/H297,"0")+IFERROR(X298/H298,"0")+IFERROR(X299/H299,"0")+IFERROR(X300/H300,"0")+IFERROR(X301/H301,"0")</f>
        <v>0</v>
      </c>
      <c r="Y302" s="43">
        <f>IFERROR(Y296/H296,"0")+IFERROR(Y297/H297,"0")+IFERROR(Y298/H298,"0")+IFERROR(Y299/H299,"0")+IFERROR(Y300/H300,"0")+IFERROR(Y301/H301,"0")</f>
        <v>0</v>
      </c>
      <c r="Z302" s="43">
        <f>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37"/>
      <c r="B303" s="637"/>
      <c r="C303" s="637"/>
      <c r="D303" s="637"/>
      <c r="E303" s="637"/>
      <c r="F303" s="637"/>
      <c r="G303" s="637"/>
      <c r="H303" s="637"/>
      <c r="I303" s="637"/>
      <c r="J303" s="637"/>
      <c r="K303" s="637"/>
      <c r="L303" s="637"/>
      <c r="M303" s="637"/>
      <c r="N303" s="637"/>
      <c r="O303" s="638"/>
      <c r="P303" s="634" t="s">
        <v>40</v>
      </c>
      <c r="Q303" s="635"/>
      <c r="R303" s="635"/>
      <c r="S303" s="635"/>
      <c r="T303" s="635"/>
      <c r="U303" s="635"/>
      <c r="V303" s="636"/>
      <c r="W303" s="42" t="s">
        <v>0</v>
      </c>
      <c r="X303" s="43">
        <f>IFERROR(SUM(X296:X301),"0")</f>
        <v>0</v>
      </c>
      <c r="Y303" s="43">
        <f>IFERROR(SUM(Y296:Y301),"0")</f>
        <v>0</v>
      </c>
      <c r="Z303" s="42"/>
      <c r="AA303" s="67"/>
      <c r="AB303" s="67"/>
      <c r="AC303" s="67"/>
    </row>
    <row r="304" spans="1:68" ht="14.25" customHeight="1" x14ac:dyDescent="0.25">
      <c r="A304" s="628" t="s">
        <v>78</v>
      </c>
      <c r="B304" s="628"/>
      <c r="C304" s="628"/>
      <c r="D304" s="628"/>
      <c r="E304" s="628"/>
      <c r="F304" s="628"/>
      <c r="G304" s="628"/>
      <c r="H304" s="628"/>
      <c r="I304" s="628"/>
      <c r="J304" s="628"/>
      <c r="K304" s="628"/>
      <c r="L304" s="628"/>
      <c r="M304" s="628"/>
      <c r="N304" s="628"/>
      <c r="O304" s="628"/>
      <c r="P304" s="628"/>
      <c r="Q304" s="628"/>
      <c r="R304" s="628"/>
      <c r="S304" s="628"/>
      <c r="T304" s="628"/>
      <c r="U304" s="628"/>
      <c r="V304" s="628"/>
      <c r="W304" s="628"/>
      <c r="X304" s="628"/>
      <c r="Y304" s="628"/>
      <c r="Z304" s="628"/>
      <c r="AA304" s="66"/>
      <c r="AB304" s="66"/>
      <c r="AC304" s="80"/>
    </row>
    <row r="305" spans="1:68" ht="27" customHeight="1" x14ac:dyDescent="0.25">
      <c r="A305" s="63" t="s">
        <v>501</v>
      </c>
      <c r="B305" s="63" t="s">
        <v>502</v>
      </c>
      <c r="C305" s="36">
        <v>4301030878</v>
      </c>
      <c r="D305" s="629">
        <v>4607091387193</v>
      </c>
      <c r="E305" s="629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123</v>
      </c>
      <c r="L305" s="37" t="s">
        <v>126</v>
      </c>
      <c r="M305" s="38" t="s">
        <v>82</v>
      </c>
      <c r="N305" s="38"/>
      <c r="O305" s="37">
        <v>35</v>
      </c>
      <c r="P305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31"/>
      <c r="R305" s="631"/>
      <c r="S305" s="631"/>
      <c r="T305" s="632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6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503</v>
      </c>
      <c r="AG305" s="78"/>
      <c r="AJ305" s="84" t="s">
        <v>103</v>
      </c>
      <c r="AK305" s="84">
        <v>50.4</v>
      </c>
      <c r="BB305" s="375" t="s">
        <v>66</v>
      </c>
      <c r="BM305" s="78">
        <f t="shared" ref="BM305:BM310" si="37">IFERROR(X305*I305/H305,"0")</f>
        <v>0</v>
      </c>
      <c r="BN305" s="78">
        <f t="shared" ref="BN305:BN310" si="38">IFERROR(Y305*I305/H305,"0")</f>
        <v>0</v>
      </c>
      <c r="BO305" s="78">
        <f t="shared" ref="BO305:BO310" si="39">IFERROR(1/J305*(X305/H305),"0")</f>
        <v>0</v>
      </c>
      <c r="BP305" s="78">
        <f t="shared" ref="BP305:BP310" si="40">IFERROR(1/J305*(Y305/H305),"0")</f>
        <v>0</v>
      </c>
    </row>
    <row r="306" spans="1:68" ht="27" customHeight="1" x14ac:dyDescent="0.25">
      <c r="A306" s="63" t="s">
        <v>504</v>
      </c>
      <c r="B306" s="63" t="s">
        <v>505</v>
      </c>
      <c r="C306" s="36">
        <v>4301031153</v>
      </c>
      <c r="D306" s="629">
        <v>4607091387230</v>
      </c>
      <c r="E306" s="629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123</v>
      </c>
      <c r="L306" s="37" t="s">
        <v>126</v>
      </c>
      <c r="M306" s="38" t="s">
        <v>82</v>
      </c>
      <c r="N306" s="38"/>
      <c r="O306" s="37">
        <v>40</v>
      </c>
      <c r="P306" s="7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31"/>
      <c r="R306" s="631"/>
      <c r="S306" s="631"/>
      <c r="T306" s="632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6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506</v>
      </c>
      <c r="AG306" s="78"/>
      <c r="AJ306" s="84" t="s">
        <v>103</v>
      </c>
      <c r="AK306" s="84">
        <v>50.4</v>
      </c>
      <c r="BB306" s="377" t="s">
        <v>66</v>
      </c>
      <c r="BM306" s="78">
        <f t="shared" si="37"/>
        <v>0</v>
      </c>
      <c r="BN306" s="78">
        <f t="shared" si="38"/>
        <v>0</v>
      </c>
      <c r="BO306" s="78">
        <f t="shared" si="39"/>
        <v>0</v>
      </c>
      <c r="BP306" s="78">
        <f t="shared" si="40"/>
        <v>0</v>
      </c>
    </row>
    <row r="307" spans="1:68" ht="27" customHeight="1" x14ac:dyDescent="0.25">
      <c r="A307" s="63" t="s">
        <v>507</v>
      </c>
      <c r="B307" s="63" t="s">
        <v>508</v>
      </c>
      <c r="C307" s="36">
        <v>4301031154</v>
      </c>
      <c r="D307" s="629">
        <v>4607091387292</v>
      </c>
      <c r="E307" s="629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123</v>
      </c>
      <c r="L307" s="37" t="s">
        <v>45</v>
      </c>
      <c r="M307" s="38" t="s">
        <v>82</v>
      </c>
      <c r="N307" s="38"/>
      <c r="O307" s="37">
        <v>45</v>
      </c>
      <c r="P307" s="78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31"/>
      <c r="R307" s="631"/>
      <c r="S307" s="631"/>
      <c r="T307" s="632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6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509</v>
      </c>
      <c r="AG307" s="78"/>
      <c r="AJ307" s="84" t="s">
        <v>45</v>
      </c>
      <c r="AK307" s="84">
        <v>0</v>
      </c>
      <c r="BB307" s="379" t="s">
        <v>66</v>
      </c>
      <c r="BM307" s="78">
        <f t="shared" si="37"/>
        <v>0</v>
      </c>
      <c r="BN307" s="78">
        <f t="shared" si="38"/>
        <v>0</v>
      </c>
      <c r="BO307" s="78">
        <f t="shared" si="39"/>
        <v>0</v>
      </c>
      <c r="BP307" s="78">
        <f t="shared" si="40"/>
        <v>0</v>
      </c>
    </row>
    <row r="308" spans="1:68" ht="27" customHeight="1" x14ac:dyDescent="0.25">
      <c r="A308" s="63" t="s">
        <v>510</v>
      </c>
      <c r="B308" s="63" t="s">
        <v>511</v>
      </c>
      <c r="C308" s="36">
        <v>4301031152</v>
      </c>
      <c r="D308" s="629">
        <v>4607091387285</v>
      </c>
      <c r="E308" s="629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303</v>
      </c>
      <c r="M308" s="38" t="s">
        <v>82</v>
      </c>
      <c r="N308" s="38"/>
      <c r="O308" s="37">
        <v>40</v>
      </c>
      <c r="P308" s="78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31"/>
      <c r="R308" s="631"/>
      <c r="S308" s="631"/>
      <c r="T308" s="632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6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506</v>
      </c>
      <c r="AG308" s="78"/>
      <c r="AJ308" s="84" t="s">
        <v>103</v>
      </c>
      <c r="AK308" s="84">
        <v>37.799999999999997</v>
      </c>
      <c r="BB308" s="381" t="s">
        <v>66</v>
      </c>
      <c r="BM308" s="78">
        <f t="shared" si="37"/>
        <v>0</v>
      </c>
      <c r="BN308" s="78">
        <f t="shared" si="38"/>
        <v>0</v>
      </c>
      <c r="BO308" s="78">
        <f t="shared" si="39"/>
        <v>0</v>
      </c>
      <c r="BP308" s="78">
        <f t="shared" si="40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4301031305</v>
      </c>
      <c r="D309" s="629">
        <v>4607091389845</v>
      </c>
      <c r="E309" s="629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303</v>
      </c>
      <c r="M309" s="38" t="s">
        <v>82</v>
      </c>
      <c r="N309" s="38"/>
      <c r="O309" s="37">
        <v>40</v>
      </c>
      <c r="P309" s="7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31"/>
      <c r="R309" s="631"/>
      <c r="S309" s="631"/>
      <c r="T309" s="632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6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514</v>
      </c>
      <c r="AG309" s="78"/>
      <c r="AJ309" s="84" t="s">
        <v>103</v>
      </c>
      <c r="AK309" s="84">
        <v>37.799999999999997</v>
      </c>
      <c r="BB309" s="383" t="s">
        <v>66</v>
      </c>
      <c r="BM309" s="78">
        <f t="shared" si="37"/>
        <v>0</v>
      </c>
      <c r="BN309" s="78">
        <f t="shared" si="38"/>
        <v>0</v>
      </c>
      <c r="BO309" s="78">
        <f t="shared" si="39"/>
        <v>0</v>
      </c>
      <c r="BP309" s="78">
        <f t="shared" si="40"/>
        <v>0</v>
      </c>
    </row>
    <row r="310" spans="1:68" ht="27" customHeight="1" x14ac:dyDescent="0.25">
      <c r="A310" s="63" t="s">
        <v>515</v>
      </c>
      <c r="B310" s="63" t="s">
        <v>516</v>
      </c>
      <c r="C310" s="36">
        <v>4301031066</v>
      </c>
      <c r="D310" s="629">
        <v>4607091383836</v>
      </c>
      <c r="E310" s="629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102</v>
      </c>
      <c r="M310" s="38" t="s">
        <v>82</v>
      </c>
      <c r="N310" s="38"/>
      <c r="O310" s="37">
        <v>40</v>
      </c>
      <c r="P310" s="78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631"/>
      <c r="R310" s="631"/>
      <c r="S310" s="631"/>
      <c r="T310" s="632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6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517</v>
      </c>
      <c r="AG310" s="78"/>
      <c r="AJ310" s="84" t="s">
        <v>103</v>
      </c>
      <c r="AK310" s="84">
        <v>25.2</v>
      </c>
      <c r="BB310" s="385" t="s">
        <v>66</v>
      </c>
      <c r="BM310" s="78">
        <f t="shared" si="37"/>
        <v>0</v>
      </c>
      <c r="BN310" s="78">
        <f t="shared" si="38"/>
        <v>0</v>
      </c>
      <c r="BO310" s="78">
        <f t="shared" si="39"/>
        <v>0</v>
      </c>
      <c r="BP310" s="78">
        <f t="shared" si="40"/>
        <v>0</v>
      </c>
    </row>
    <row r="311" spans="1:68" x14ac:dyDescent="0.2">
      <c r="A311" s="637"/>
      <c r="B311" s="637"/>
      <c r="C311" s="637"/>
      <c r="D311" s="637"/>
      <c r="E311" s="637"/>
      <c r="F311" s="637"/>
      <c r="G311" s="637"/>
      <c r="H311" s="637"/>
      <c r="I311" s="637"/>
      <c r="J311" s="637"/>
      <c r="K311" s="637"/>
      <c r="L311" s="637"/>
      <c r="M311" s="637"/>
      <c r="N311" s="637"/>
      <c r="O311" s="638"/>
      <c r="P311" s="634" t="s">
        <v>40</v>
      </c>
      <c r="Q311" s="635"/>
      <c r="R311" s="635"/>
      <c r="S311" s="635"/>
      <c r="T311" s="635"/>
      <c r="U311" s="635"/>
      <c r="V311" s="636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7"/>
      <c r="B312" s="637"/>
      <c r="C312" s="637"/>
      <c r="D312" s="637"/>
      <c r="E312" s="637"/>
      <c r="F312" s="637"/>
      <c r="G312" s="637"/>
      <c r="H312" s="637"/>
      <c r="I312" s="637"/>
      <c r="J312" s="637"/>
      <c r="K312" s="637"/>
      <c r="L312" s="637"/>
      <c r="M312" s="637"/>
      <c r="N312" s="637"/>
      <c r="O312" s="638"/>
      <c r="P312" s="634" t="s">
        <v>40</v>
      </c>
      <c r="Q312" s="635"/>
      <c r="R312" s="635"/>
      <c r="S312" s="635"/>
      <c r="T312" s="635"/>
      <c r="U312" s="635"/>
      <c r="V312" s="636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628" t="s">
        <v>88</v>
      </c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8"/>
      <c r="P313" s="628"/>
      <c r="Q313" s="628"/>
      <c r="R313" s="628"/>
      <c r="S313" s="628"/>
      <c r="T313" s="628"/>
      <c r="U313" s="628"/>
      <c r="V313" s="628"/>
      <c r="W313" s="628"/>
      <c r="X313" s="628"/>
      <c r="Y313" s="628"/>
      <c r="Z313" s="628"/>
      <c r="AA313" s="66"/>
      <c r="AB313" s="66"/>
      <c r="AC313" s="80"/>
    </row>
    <row r="314" spans="1:68" ht="27" customHeight="1" x14ac:dyDescent="0.25">
      <c r="A314" s="63" t="s">
        <v>518</v>
      </c>
      <c r="B314" s="63" t="s">
        <v>519</v>
      </c>
      <c r="C314" s="36">
        <v>4301051100</v>
      </c>
      <c r="D314" s="629">
        <v>4607091387766</v>
      </c>
      <c r="E314" s="629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119</v>
      </c>
      <c r="L314" s="37" t="s">
        <v>120</v>
      </c>
      <c r="M314" s="38" t="s">
        <v>92</v>
      </c>
      <c r="N314" s="38"/>
      <c r="O314" s="37">
        <v>40</v>
      </c>
      <c r="P314" s="78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631"/>
      <c r="R314" s="631"/>
      <c r="S314" s="631"/>
      <c r="T314" s="63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520</v>
      </c>
      <c r="AG314" s="78"/>
      <c r="AJ314" s="84" t="s">
        <v>103</v>
      </c>
      <c r="AK314" s="84">
        <v>62.4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521</v>
      </c>
      <c r="B315" s="63" t="s">
        <v>522</v>
      </c>
      <c r="C315" s="36">
        <v>4301051818</v>
      </c>
      <c r="D315" s="629">
        <v>4607091387957</v>
      </c>
      <c r="E315" s="62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119</v>
      </c>
      <c r="L315" s="37" t="s">
        <v>45</v>
      </c>
      <c r="M315" s="38" t="s">
        <v>92</v>
      </c>
      <c r="N315" s="38"/>
      <c r="O315" s="37">
        <v>40</v>
      </c>
      <c r="P315" s="7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631"/>
      <c r="R315" s="631"/>
      <c r="S315" s="631"/>
      <c r="T315" s="63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523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524</v>
      </c>
      <c r="B316" s="63" t="s">
        <v>525</v>
      </c>
      <c r="C316" s="36">
        <v>4301051819</v>
      </c>
      <c r="D316" s="629">
        <v>4607091387964</v>
      </c>
      <c r="E316" s="629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119</v>
      </c>
      <c r="L316" s="37" t="s">
        <v>45</v>
      </c>
      <c r="M316" s="38" t="s">
        <v>92</v>
      </c>
      <c r="N316" s="38"/>
      <c r="O316" s="37">
        <v>40</v>
      </c>
      <c r="P316" s="78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631"/>
      <c r="R316" s="631"/>
      <c r="S316" s="631"/>
      <c r="T316" s="63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526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527</v>
      </c>
      <c r="B317" s="63" t="s">
        <v>528</v>
      </c>
      <c r="C317" s="36">
        <v>4301051734</v>
      </c>
      <c r="D317" s="629">
        <v>4680115884588</v>
      </c>
      <c r="E317" s="629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102</v>
      </c>
      <c r="M317" s="38" t="s">
        <v>92</v>
      </c>
      <c r="N317" s="38"/>
      <c r="O317" s="37">
        <v>40</v>
      </c>
      <c r="P317" s="79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631"/>
      <c r="R317" s="631"/>
      <c r="S317" s="631"/>
      <c r="T317" s="632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529</v>
      </c>
      <c r="AG317" s="78"/>
      <c r="AJ317" s="84" t="s">
        <v>103</v>
      </c>
      <c r="AK317" s="84">
        <v>42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37"/>
      <c r="B318" s="637"/>
      <c r="C318" s="637"/>
      <c r="D318" s="637"/>
      <c r="E318" s="637"/>
      <c r="F318" s="637"/>
      <c r="G318" s="637"/>
      <c r="H318" s="637"/>
      <c r="I318" s="637"/>
      <c r="J318" s="637"/>
      <c r="K318" s="637"/>
      <c r="L318" s="637"/>
      <c r="M318" s="637"/>
      <c r="N318" s="637"/>
      <c r="O318" s="638"/>
      <c r="P318" s="634" t="s">
        <v>40</v>
      </c>
      <c r="Q318" s="635"/>
      <c r="R318" s="635"/>
      <c r="S318" s="635"/>
      <c r="T318" s="635"/>
      <c r="U318" s="635"/>
      <c r="V318" s="636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37"/>
      <c r="B319" s="637"/>
      <c r="C319" s="637"/>
      <c r="D319" s="637"/>
      <c r="E319" s="637"/>
      <c r="F319" s="637"/>
      <c r="G319" s="637"/>
      <c r="H319" s="637"/>
      <c r="I319" s="637"/>
      <c r="J319" s="637"/>
      <c r="K319" s="637"/>
      <c r="L319" s="637"/>
      <c r="M319" s="637"/>
      <c r="N319" s="637"/>
      <c r="O319" s="638"/>
      <c r="P319" s="634" t="s">
        <v>40</v>
      </c>
      <c r="Q319" s="635"/>
      <c r="R319" s="635"/>
      <c r="S319" s="635"/>
      <c r="T319" s="635"/>
      <c r="U319" s="635"/>
      <c r="V319" s="636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628" t="s">
        <v>174</v>
      </c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8"/>
      <c r="P320" s="628"/>
      <c r="Q320" s="628"/>
      <c r="R320" s="628"/>
      <c r="S320" s="628"/>
      <c r="T320" s="628"/>
      <c r="U320" s="628"/>
      <c r="V320" s="628"/>
      <c r="W320" s="628"/>
      <c r="X320" s="628"/>
      <c r="Y320" s="628"/>
      <c r="Z320" s="628"/>
      <c r="AA320" s="66"/>
      <c r="AB320" s="66"/>
      <c r="AC320" s="80"/>
    </row>
    <row r="321" spans="1:68" ht="27" customHeight="1" x14ac:dyDescent="0.25">
      <c r="A321" s="63" t="s">
        <v>530</v>
      </c>
      <c r="B321" s="63" t="s">
        <v>531</v>
      </c>
      <c r="C321" s="36">
        <v>4301060387</v>
      </c>
      <c r="D321" s="629">
        <v>4607091380880</v>
      </c>
      <c r="E321" s="629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119</v>
      </c>
      <c r="L321" s="37" t="s">
        <v>120</v>
      </c>
      <c r="M321" s="38" t="s">
        <v>92</v>
      </c>
      <c r="N321" s="38"/>
      <c r="O321" s="37">
        <v>30</v>
      </c>
      <c r="P321" s="7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631"/>
      <c r="R321" s="631"/>
      <c r="S321" s="631"/>
      <c r="T321" s="63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532</v>
      </c>
      <c r="AG321" s="78"/>
      <c r="AJ321" s="84" t="s">
        <v>103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533</v>
      </c>
      <c r="B322" s="63" t="s">
        <v>534</v>
      </c>
      <c r="C322" s="36">
        <v>4301060406</v>
      </c>
      <c r="D322" s="629">
        <v>4607091384482</v>
      </c>
      <c r="E322" s="629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119</v>
      </c>
      <c r="L322" s="37" t="s">
        <v>120</v>
      </c>
      <c r="M322" s="38" t="s">
        <v>92</v>
      </c>
      <c r="N322" s="38"/>
      <c r="O322" s="37">
        <v>30</v>
      </c>
      <c r="P322" s="7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631"/>
      <c r="R322" s="631"/>
      <c r="S322" s="631"/>
      <c r="T322" s="63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535</v>
      </c>
      <c r="AG322" s="78"/>
      <c r="AJ322" s="84" t="s">
        <v>103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536</v>
      </c>
      <c r="B323" s="63" t="s">
        <v>537</v>
      </c>
      <c r="C323" s="36">
        <v>4301060484</v>
      </c>
      <c r="D323" s="629">
        <v>4607091380897</v>
      </c>
      <c r="E323" s="629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119</v>
      </c>
      <c r="L323" s="37" t="s">
        <v>120</v>
      </c>
      <c r="M323" s="38" t="s">
        <v>98</v>
      </c>
      <c r="N323" s="38"/>
      <c r="O323" s="37">
        <v>30</v>
      </c>
      <c r="P323" s="79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631"/>
      <c r="R323" s="631"/>
      <c r="S323" s="631"/>
      <c r="T323" s="63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538</v>
      </c>
      <c r="AG323" s="78"/>
      <c r="AJ323" s="84" t="s">
        <v>103</v>
      </c>
      <c r="AK323" s="84">
        <v>67.2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7"/>
      <c r="B324" s="637"/>
      <c r="C324" s="637"/>
      <c r="D324" s="637"/>
      <c r="E324" s="637"/>
      <c r="F324" s="637"/>
      <c r="G324" s="637"/>
      <c r="H324" s="637"/>
      <c r="I324" s="637"/>
      <c r="J324" s="637"/>
      <c r="K324" s="637"/>
      <c r="L324" s="637"/>
      <c r="M324" s="637"/>
      <c r="N324" s="637"/>
      <c r="O324" s="638"/>
      <c r="P324" s="634" t="s">
        <v>40</v>
      </c>
      <c r="Q324" s="635"/>
      <c r="R324" s="635"/>
      <c r="S324" s="635"/>
      <c r="T324" s="635"/>
      <c r="U324" s="635"/>
      <c r="V324" s="636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7"/>
      <c r="B325" s="637"/>
      <c r="C325" s="637"/>
      <c r="D325" s="637"/>
      <c r="E325" s="637"/>
      <c r="F325" s="637"/>
      <c r="G325" s="637"/>
      <c r="H325" s="637"/>
      <c r="I325" s="637"/>
      <c r="J325" s="637"/>
      <c r="K325" s="637"/>
      <c r="L325" s="637"/>
      <c r="M325" s="637"/>
      <c r="N325" s="637"/>
      <c r="O325" s="638"/>
      <c r="P325" s="634" t="s">
        <v>40</v>
      </c>
      <c r="Q325" s="635"/>
      <c r="R325" s="635"/>
      <c r="S325" s="635"/>
      <c r="T325" s="635"/>
      <c r="U325" s="635"/>
      <c r="V325" s="636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628" t="s">
        <v>106</v>
      </c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8"/>
      <c r="P326" s="628"/>
      <c r="Q326" s="628"/>
      <c r="R326" s="628"/>
      <c r="S326" s="628"/>
      <c r="T326" s="628"/>
      <c r="U326" s="628"/>
      <c r="V326" s="628"/>
      <c r="W326" s="628"/>
      <c r="X326" s="628"/>
      <c r="Y326" s="628"/>
      <c r="Z326" s="628"/>
      <c r="AA326" s="66"/>
      <c r="AB326" s="66"/>
      <c r="AC326" s="80"/>
    </row>
    <row r="327" spans="1:68" ht="27" customHeight="1" x14ac:dyDescent="0.25">
      <c r="A327" s="63" t="s">
        <v>539</v>
      </c>
      <c r="B327" s="63" t="s">
        <v>540</v>
      </c>
      <c r="C327" s="36">
        <v>4301030235</v>
      </c>
      <c r="D327" s="629">
        <v>4607091388381</v>
      </c>
      <c r="E327" s="629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123</v>
      </c>
      <c r="L327" s="37" t="s">
        <v>45</v>
      </c>
      <c r="M327" s="38" t="s">
        <v>111</v>
      </c>
      <c r="N327" s="38"/>
      <c r="O327" s="37">
        <v>180</v>
      </c>
      <c r="P327" s="79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631"/>
      <c r="R327" s="631"/>
      <c r="S327" s="631"/>
      <c r="T327" s="63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541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542</v>
      </c>
      <c r="B328" s="63" t="s">
        <v>543</v>
      </c>
      <c r="C328" s="36">
        <v>4301030232</v>
      </c>
      <c r="D328" s="629">
        <v>4607091388374</v>
      </c>
      <c r="E328" s="629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123</v>
      </c>
      <c r="L328" s="37" t="s">
        <v>45</v>
      </c>
      <c r="M328" s="38" t="s">
        <v>111</v>
      </c>
      <c r="N328" s="38"/>
      <c r="O328" s="37">
        <v>180</v>
      </c>
      <c r="P328" s="79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631"/>
      <c r="R328" s="631"/>
      <c r="S328" s="631"/>
      <c r="T328" s="63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541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4301032015</v>
      </c>
      <c r="D329" s="629">
        <v>4607091383102</v>
      </c>
      <c r="E329" s="629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45</v>
      </c>
      <c r="M329" s="38" t="s">
        <v>111</v>
      </c>
      <c r="N329" s="38"/>
      <c r="O329" s="37">
        <v>180</v>
      </c>
      <c r="P329" s="79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631"/>
      <c r="R329" s="631"/>
      <c r="S329" s="631"/>
      <c r="T329" s="63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546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547</v>
      </c>
      <c r="B330" s="63" t="s">
        <v>548</v>
      </c>
      <c r="C330" s="36">
        <v>4301030233</v>
      </c>
      <c r="D330" s="629">
        <v>4607091388404</v>
      </c>
      <c r="E330" s="629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102</v>
      </c>
      <c r="M330" s="38" t="s">
        <v>111</v>
      </c>
      <c r="N330" s="38"/>
      <c r="O330" s="37">
        <v>180</v>
      </c>
      <c r="P330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631"/>
      <c r="R330" s="631"/>
      <c r="S330" s="631"/>
      <c r="T330" s="632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541</v>
      </c>
      <c r="AG330" s="78"/>
      <c r="AJ330" s="84" t="s">
        <v>103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37"/>
      <c r="B331" s="637"/>
      <c r="C331" s="637"/>
      <c r="D331" s="637"/>
      <c r="E331" s="637"/>
      <c r="F331" s="637"/>
      <c r="G331" s="637"/>
      <c r="H331" s="637"/>
      <c r="I331" s="637"/>
      <c r="J331" s="637"/>
      <c r="K331" s="637"/>
      <c r="L331" s="637"/>
      <c r="M331" s="637"/>
      <c r="N331" s="637"/>
      <c r="O331" s="638"/>
      <c r="P331" s="634" t="s">
        <v>40</v>
      </c>
      <c r="Q331" s="635"/>
      <c r="R331" s="635"/>
      <c r="S331" s="635"/>
      <c r="T331" s="635"/>
      <c r="U331" s="635"/>
      <c r="V331" s="636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37"/>
      <c r="B332" s="637"/>
      <c r="C332" s="637"/>
      <c r="D332" s="637"/>
      <c r="E332" s="637"/>
      <c r="F332" s="637"/>
      <c r="G332" s="637"/>
      <c r="H332" s="637"/>
      <c r="I332" s="637"/>
      <c r="J332" s="637"/>
      <c r="K332" s="637"/>
      <c r="L332" s="637"/>
      <c r="M332" s="637"/>
      <c r="N332" s="637"/>
      <c r="O332" s="638"/>
      <c r="P332" s="634" t="s">
        <v>40</v>
      </c>
      <c r="Q332" s="635"/>
      <c r="R332" s="635"/>
      <c r="S332" s="635"/>
      <c r="T332" s="635"/>
      <c r="U332" s="635"/>
      <c r="V332" s="636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628" t="s">
        <v>549</v>
      </c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8"/>
      <c r="P333" s="628"/>
      <c r="Q333" s="628"/>
      <c r="R333" s="628"/>
      <c r="S333" s="628"/>
      <c r="T333" s="628"/>
      <c r="U333" s="628"/>
      <c r="V333" s="628"/>
      <c r="W333" s="628"/>
      <c r="X333" s="628"/>
      <c r="Y333" s="628"/>
      <c r="Z333" s="628"/>
      <c r="AA333" s="66"/>
      <c r="AB333" s="66"/>
      <c r="AC333" s="80"/>
    </row>
    <row r="334" spans="1:68" ht="16.5" customHeight="1" x14ac:dyDescent="0.25">
      <c r="A334" s="63" t="s">
        <v>550</v>
      </c>
      <c r="B334" s="63" t="s">
        <v>551</v>
      </c>
      <c r="C334" s="36">
        <v>4301180007</v>
      </c>
      <c r="D334" s="629">
        <v>4680115881808</v>
      </c>
      <c r="E334" s="629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553</v>
      </c>
      <c r="N334" s="38"/>
      <c r="O334" s="37">
        <v>730</v>
      </c>
      <c r="P334" s="7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631"/>
      <c r="R334" s="631"/>
      <c r="S334" s="631"/>
      <c r="T334" s="63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552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554</v>
      </c>
      <c r="B335" s="63" t="s">
        <v>555</v>
      </c>
      <c r="C335" s="36">
        <v>4301180006</v>
      </c>
      <c r="D335" s="629">
        <v>4680115881822</v>
      </c>
      <c r="E335" s="629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553</v>
      </c>
      <c r="N335" s="38"/>
      <c r="O335" s="37">
        <v>730</v>
      </c>
      <c r="P335" s="79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631"/>
      <c r="R335" s="631"/>
      <c r="S335" s="631"/>
      <c r="T335" s="63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552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556</v>
      </c>
      <c r="B336" s="63" t="s">
        <v>557</v>
      </c>
      <c r="C336" s="36">
        <v>4301180001</v>
      </c>
      <c r="D336" s="629">
        <v>4680115880016</v>
      </c>
      <c r="E336" s="629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553</v>
      </c>
      <c r="N336" s="38"/>
      <c r="O336" s="37">
        <v>730</v>
      </c>
      <c r="P336" s="80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631"/>
      <c r="R336" s="631"/>
      <c r="S336" s="631"/>
      <c r="T336" s="63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552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7"/>
      <c r="B337" s="637"/>
      <c r="C337" s="637"/>
      <c r="D337" s="637"/>
      <c r="E337" s="637"/>
      <c r="F337" s="637"/>
      <c r="G337" s="637"/>
      <c r="H337" s="637"/>
      <c r="I337" s="637"/>
      <c r="J337" s="637"/>
      <c r="K337" s="637"/>
      <c r="L337" s="637"/>
      <c r="M337" s="637"/>
      <c r="N337" s="637"/>
      <c r="O337" s="638"/>
      <c r="P337" s="634" t="s">
        <v>40</v>
      </c>
      <c r="Q337" s="635"/>
      <c r="R337" s="635"/>
      <c r="S337" s="635"/>
      <c r="T337" s="635"/>
      <c r="U337" s="635"/>
      <c r="V337" s="636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7"/>
      <c r="B338" s="637"/>
      <c r="C338" s="637"/>
      <c r="D338" s="637"/>
      <c r="E338" s="637"/>
      <c r="F338" s="637"/>
      <c r="G338" s="637"/>
      <c r="H338" s="637"/>
      <c r="I338" s="637"/>
      <c r="J338" s="637"/>
      <c r="K338" s="637"/>
      <c r="L338" s="637"/>
      <c r="M338" s="637"/>
      <c r="N338" s="637"/>
      <c r="O338" s="638"/>
      <c r="P338" s="634" t="s">
        <v>40</v>
      </c>
      <c r="Q338" s="635"/>
      <c r="R338" s="635"/>
      <c r="S338" s="635"/>
      <c r="T338" s="635"/>
      <c r="U338" s="635"/>
      <c r="V338" s="636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627" t="s">
        <v>558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5"/>
      <c r="AB339" s="65"/>
      <c r="AC339" s="79"/>
    </row>
    <row r="340" spans="1:68" ht="14.25" customHeight="1" x14ac:dyDescent="0.25">
      <c r="A340" s="628" t="s">
        <v>88</v>
      </c>
      <c r="B340" s="628"/>
      <c r="C340" s="628"/>
      <c r="D340" s="628"/>
      <c r="E340" s="628"/>
      <c r="F340" s="628"/>
      <c r="G340" s="628"/>
      <c r="H340" s="628"/>
      <c r="I340" s="628"/>
      <c r="J340" s="628"/>
      <c r="K340" s="628"/>
      <c r="L340" s="628"/>
      <c r="M340" s="628"/>
      <c r="N340" s="628"/>
      <c r="O340" s="628"/>
      <c r="P340" s="628"/>
      <c r="Q340" s="628"/>
      <c r="R340" s="628"/>
      <c r="S340" s="628"/>
      <c r="T340" s="628"/>
      <c r="U340" s="628"/>
      <c r="V340" s="628"/>
      <c r="W340" s="628"/>
      <c r="X340" s="628"/>
      <c r="Y340" s="628"/>
      <c r="Z340" s="628"/>
      <c r="AA340" s="66"/>
      <c r="AB340" s="66"/>
      <c r="AC340" s="80"/>
    </row>
    <row r="341" spans="1:68" ht="27" customHeight="1" x14ac:dyDescent="0.25">
      <c r="A341" s="63" t="s">
        <v>559</v>
      </c>
      <c r="B341" s="63" t="s">
        <v>560</v>
      </c>
      <c r="C341" s="36">
        <v>4301051489</v>
      </c>
      <c r="D341" s="629">
        <v>4607091387919</v>
      </c>
      <c r="E341" s="629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119</v>
      </c>
      <c r="L341" s="37" t="s">
        <v>120</v>
      </c>
      <c r="M341" s="38" t="s">
        <v>98</v>
      </c>
      <c r="N341" s="38"/>
      <c r="O341" s="37">
        <v>45</v>
      </c>
      <c r="P341" s="8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631"/>
      <c r="R341" s="631"/>
      <c r="S341" s="631"/>
      <c r="T341" s="632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561</v>
      </c>
      <c r="AG341" s="78"/>
      <c r="AJ341" s="84" t="s">
        <v>103</v>
      </c>
      <c r="AK341" s="84">
        <v>64.8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562</v>
      </c>
      <c r="B342" s="63" t="s">
        <v>563</v>
      </c>
      <c r="C342" s="36">
        <v>4301051461</v>
      </c>
      <c r="D342" s="629">
        <v>4680115883604</v>
      </c>
      <c r="E342" s="629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102</v>
      </c>
      <c r="M342" s="38" t="s">
        <v>92</v>
      </c>
      <c r="N342" s="38"/>
      <c r="O342" s="37">
        <v>45</v>
      </c>
      <c r="P342" s="80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631"/>
      <c r="R342" s="631"/>
      <c r="S342" s="631"/>
      <c r="T342" s="632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564</v>
      </c>
      <c r="AG342" s="78"/>
      <c r="AJ342" s="84" t="s">
        <v>103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565</v>
      </c>
      <c r="B343" s="63" t="s">
        <v>566</v>
      </c>
      <c r="C343" s="36">
        <v>4301051864</v>
      </c>
      <c r="D343" s="629">
        <v>4680115883567</v>
      </c>
      <c r="E343" s="629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102</v>
      </c>
      <c r="M343" s="38" t="s">
        <v>98</v>
      </c>
      <c r="N343" s="38"/>
      <c r="O343" s="37">
        <v>40</v>
      </c>
      <c r="P343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631"/>
      <c r="R343" s="631"/>
      <c r="S343" s="631"/>
      <c r="T343" s="632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567</v>
      </c>
      <c r="AG343" s="78"/>
      <c r="AJ343" s="84" t="s">
        <v>103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637"/>
      <c r="B344" s="637"/>
      <c r="C344" s="637"/>
      <c r="D344" s="637"/>
      <c r="E344" s="637"/>
      <c r="F344" s="637"/>
      <c r="G344" s="637"/>
      <c r="H344" s="637"/>
      <c r="I344" s="637"/>
      <c r="J344" s="637"/>
      <c r="K344" s="637"/>
      <c r="L344" s="637"/>
      <c r="M344" s="637"/>
      <c r="N344" s="637"/>
      <c r="O344" s="638"/>
      <c r="P344" s="634" t="s">
        <v>40</v>
      </c>
      <c r="Q344" s="635"/>
      <c r="R344" s="635"/>
      <c r="S344" s="635"/>
      <c r="T344" s="635"/>
      <c r="U344" s="635"/>
      <c r="V344" s="636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637"/>
      <c r="B345" s="637"/>
      <c r="C345" s="637"/>
      <c r="D345" s="637"/>
      <c r="E345" s="637"/>
      <c r="F345" s="637"/>
      <c r="G345" s="637"/>
      <c r="H345" s="637"/>
      <c r="I345" s="637"/>
      <c r="J345" s="637"/>
      <c r="K345" s="637"/>
      <c r="L345" s="637"/>
      <c r="M345" s="637"/>
      <c r="N345" s="637"/>
      <c r="O345" s="638"/>
      <c r="P345" s="634" t="s">
        <v>40</v>
      </c>
      <c r="Q345" s="635"/>
      <c r="R345" s="635"/>
      <c r="S345" s="635"/>
      <c r="T345" s="635"/>
      <c r="U345" s="635"/>
      <c r="V345" s="636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626" t="s">
        <v>568</v>
      </c>
      <c r="B346" s="626"/>
      <c r="C346" s="626"/>
      <c r="D346" s="626"/>
      <c r="E346" s="626"/>
      <c r="F346" s="626"/>
      <c r="G346" s="626"/>
      <c r="H346" s="626"/>
      <c r="I346" s="626"/>
      <c r="J346" s="626"/>
      <c r="K346" s="626"/>
      <c r="L346" s="626"/>
      <c r="M346" s="626"/>
      <c r="N346" s="626"/>
      <c r="O346" s="626"/>
      <c r="P346" s="626"/>
      <c r="Q346" s="626"/>
      <c r="R346" s="626"/>
      <c r="S346" s="626"/>
      <c r="T346" s="626"/>
      <c r="U346" s="626"/>
      <c r="V346" s="626"/>
      <c r="W346" s="626"/>
      <c r="X346" s="626"/>
      <c r="Y346" s="626"/>
      <c r="Z346" s="626"/>
      <c r="AA346" s="54"/>
      <c r="AB346" s="54"/>
      <c r="AC346" s="54"/>
    </row>
    <row r="347" spans="1:68" ht="16.5" customHeight="1" x14ac:dyDescent="0.25">
      <c r="A347" s="627" t="s">
        <v>569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65"/>
      <c r="AB347" s="65"/>
      <c r="AC347" s="79"/>
    </row>
    <row r="348" spans="1:68" ht="14.25" customHeight="1" x14ac:dyDescent="0.25">
      <c r="A348" s="628" t="s">
        <v>114</v>
      </c>
      <c r="B348" s="628"/>
      <c r="C348" s="628"/>
      <c r="D348" s="628"/>
      <c r="E348" s="628"/>
      <c r="F348" s="628"/>
      <c r="G348" s="628"/>
      <c r="H348" s="628"/>
      <c r="I348" s="628"/>
      <c r="J348" s="628"/>
      <c r="K348" s="628"/>
      <c r="L348" s="628"/>
      <c r="M348" s="628"/>
      <c r="N348" s="628"/>
      <c r="O348" s="628"/>
      <c r="P348" s="628"/>
      <c r="Q348" s="628"/>
      <c r="R348" s="628"/>
      <c r="S348" s="628"/>
      <c r="T348" s="628"/>
      <c r="U348" s="628"/>
      <c r="V348" s="628"/>
      <c r="W348" s="628"/>
      <c r="X348" s="628"/>
      <c r="Y348" s="628"/>
      <c r="Z348" s="628"/>
      <c r="AA348" s="66"/>
      <c r="AB348" s="66"/>
      <c r="AC348" s="80"/>
    </row>
    <row r="349" spans="1:68" ht="37.5" customHeight="1" x14ac:dyDescent="0.25">
      <c r="A349" s="63" t="s">
        <v>570</v>
      </c>
      <c r="B349" s="63" t="s">
        <v>571</v>
      </c>
      <c r="C349" s="36">
        <v>4301011869</v>
      </c>
      <c r="D349" s="629">
        <v>4680115884847</v>
      </c>
      <c r="E349" s="629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119</v>
      </c>
      <c r="L349" s="37" t="s">
        <v>45</v>
      </c>
      <c r="M349" s="38" t="s">
        <v>82</v>
      </c>
      <c r="N349" s="38"/>
      <c r="O349" s="37">
        <v>60</v>
      </c>
      <c r="P349" s="8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631"/>
      <c r="R349" s="631"/>
      <c r="S349" s="631"/>
      <c r="T349" s="632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41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572</v>
      </c>
      <c r="AG349" s="78"/>
      <c r="AJ349" s="84" t="s">
        <v>45</v>
      </c>
      <c r="AK349" s="84">
        <v>0</v>
      </c>
      <c r="BB349" s="421" t="s">
        <v>66</v>
      </c>
      <c r="BM349" s="78">
        <f t="shared" ref="BM349:BM355" si="42">IFERROR(X349*I349/H349,"0")</f>
        <v>0</v>
      </c>
      <c r="BN349" s="78">
        <f t="shared" ref="BN349:BN355" si="43">IFERROR(Y349*I349/H349,"0")</f>
        <v>0</v>
      </c>
      <c r="BO349" s="78">
        <f t="shared" ref="BO349:BO355" si="44">IFERROR(1/J349*(X349/H349),"0")</f>
        <v>0</v>
      </c>
      <c r="BP349" s="78">
        <f t="shared" ref="BP349:BP355" si="45">IFERROR(1/J349*(Y349/H349),"0")</f>
        <v>0</v>
      </c>
    </row>
    <row r="350" spans="1:68" ht="27" customHeight="1" x14ac:dyDescent="0.25">
      <c r="A350" s="63" t="s">
        <v>573</v>
      </c>
      <c r="B350" s="63" t="s">
        <v>574</v>
      </c>
      <c r="C350" s="36">
        <v>4301011870</v>
      </c>
      <c r="D350" s="629">
        <v>4680115884854</v>
      </c>
      <c r="E350" s="629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82</v>
      </c>
      <c r="N350" s="38"/>
      <c r="O350" s="37">
        <v>60</v>
      </c>
      <c r="P350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631"/>
      <c r="R350" s="631"/>
      <c r="S350" s="631"/>
      <c r="T350" s="632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4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575</v>
      </c>
      <c r="AG350" s="78"/>
      <c r="AJ350" s="84" t="s">
        <v>45</v>
      </c>
      <c r="AK350" s="84">
        <v>0</v>
      </c>
      <c r="BB350" s="423" t="s">
        <v>66</v>
      </c>
      <c r="BM350" s="78">
        <f t="shared" si="42"/>
        <v>0</v>
      </c>
      <c r="BN350" s="78">
        <f t="shared" si="43"/>
        <v>0</v>
      </c>
      <c r="BO350" s="78">
        <f t="shared" si="44"/>
        <v>0</v>
      </c>
      <c r="BP350" s="78">
        <f t="shared" si="45"/>
        <v>0</v>
      </c>
    </row>
    <row r="351" spans="1:68" ht="27" customHeight="1" x14ac:dyDescent="0.25">
      <c r="A351" s="63" t="s">
        <v>576</v>
      </c>
      <c r="B351" s="63" t="s">
        <v>577</v>
      </c>
      <c r="C351" s="36">
        <v>4301012215</v>
      </c>
      <c r="D351" s="629">
        <v>4680115887046</v>
      </c>
      <c r="E351" s="629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98</v>
      </c>
      <c r="N351" s="38"/>
      <c r="O351" s="37">
        <v>60</v>
      </c>
      <c r="P351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31"/>
      <c r="R351" s="631"/>
      <c r="S351" s="631"/>
      <c r="T351" s="632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41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578</v>
      </c>
      <c r="AG351" s="78"/>
      <c r="AJ351" s="84" t="s">
        <v>45</v>
      </c>
      <c r="AK351" s="84">
        <v>0</v>
      </c>
      <c r="BB351" s="425" t="s">
        <v>66</v>
      </c>
      <c r="BM351" s="78">
        <f t="shared" si="42"/>
        <v>0</v>
      </c>
      <c r="BN351" s="78">
        <f t="shared" si="43"/>
        <v>0</v>
      </c>
      <c r="BO351" s="78">
        <f t="shared" si="44"/>
        <v>0</v>
      </c>
      <c r="BP351" s="78">
        <f t="shared" si="45"/>
        <v>0</v>
      </c>
    </row>
    <row r="352" spans="1:68" ht="37.5" customHeight="1" x14ac:dyDescent="0.25">
      <c r="A352" s="63" t="s">
        <v>579</v>
      </c>
      <c r="B352" s="63" t="s">
        <v>580</v>
      </c>
      <c r="C352" s="36">
        <v>4301011867</v>
      </c>
      <c r="D352" s="629">
        <v>4680115884830</v>
      </c>
      <c r="E352" s="62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82</v>
      </c>
      <c r="N352" s="38"/>
      <c r="O352" s="37">
        <v>60</v>
      </c>
      <c r="P352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31"/>
      <c r="R352" s="631"/>
      <c r="S352" s="631"/>
      <c r="T352" s="632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41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581</v>
      </c>
      <c r="AG352" s="78"/>
      <c r="AJ352" s="84" t="s">
        <v>45</v>
      </c>
      <c r="AK352" s="84">
        <v>0</v>
      </c>
      <c r="BB352" s="427" t="s">
        <v>66</v>
      </c>
      <c r="BM352" s="78">
        <f t="shared" si="42"/>
        <v>0</v>
      </c>
      <c r="BN352" s="78">
        <f t="shared" si="43"/>
        <v>0</v>
      </c>
      <c r="BO352" s="78">
        <f t="shared" si="44"/>
        <v>0</v>
      </c>
      <c r="BP352" s="78">
        <f t="shared" si="45"/>
        <v>0</v>
      </c>
    </row>
    <row r="353" spans="1:68" ht="27" customHeight="1" x14ac:dyDescent="0.25">
      <c r="A353" s="63" t="s">
        <v>582</v>
      </c>
      <c r="B353" s="63" t="s">
        <v>583</v>
      </c>
      <c r="C353" s="36">
        <v>4301011433</v>
      </c>
      <c r="D353" s="629">
        <v>4680115882638</v>
      </c>
      <c r="E353" s="62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123</v>
      </c>
      <c r="L353" s="37" t="s">
        <v>45</v>
      </c>
      <c r="M353" s="38" t="s">
        <v>118</v>
      </c>
      <c r="N353" s="38"/>
      <c r="O353" s="37">
        <v>90</v>
      </c>
      <c r="P353" s="80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631"/>
      <c r="R353" s="631"/>
      <c r="S353" s="631"/>
      <c r="T353" s="632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4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584</v>
      </c>
      <c r="AG353" s="78"/>
      <c r="AJ353" s="84" t="s">
        <v>45</v>
      </c>
      <c r="AK353" s="84">
        <v>0</v>
      </c>
      <c r="BB353" s="429" t="s">
        <v>66</v>
      </c>
      <c r="BM353" s="78">
        <f t="shared" si="42"/>
        <v>0</v>
      </c>
      <c r="BN353" s="78">
        <f t="shared" si="43"/>
        <v>0</v>
      </c>
      <c r="BO353" s="78">
        <f t="shared" si="44"/>
        <v>0</v>
      </c>
      <c r="BP353" s="78">
        <f t="shared" si="45"/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4301011952</v>
      </c>
      <c r="D354" s="629">
        <v>4680115884922</v>
      </c>
      <c r="E354" s="629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123</v>
      </c>
      <c r="L354" s="37" t="s">
        <v>45</v>
      </c>
      <c r="M354" s="38" t="s">
        <v>82</v>
      </c>
      <c r="N354" s="38"/>
      <c r="O354" s="37">
        <v>60</v>
      </c>
      <c r="P354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631"/>
      <c r="R354" s="631"/>
      <c r="S354" s="631"/>
      <c r="T354" s="632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41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575</v>
      </c>
      <c r="AG354" s="78"/>
      <c r="AJ354" s="84" t="s">
        <v>45</v>
      </c>
      <c r="AK354" s="84">
        <v>0</v>
      </c>
      <c r="BB354" s="431" t="s">
        <v>66</v>
      </c>
      <c r="BM354" s="78">
        <f t="shared" si="42"/>
        <v>0</v>
      </c>
      <c r="BN354" s="78">
        <f t="shared" si="43"/>
        <v>0</v>
      </c>
      <c r="BO354" s="78">
        <f t="shared" si="44"/>
        <v>0</v>
      </c>
      <c r="BP354" s="78">
        <f t="shared" si="45"/>
        <v>0</v>
      </c>
    </row>
    <row r="355" spans="1:68" ht="37.5" customHeight="1" x14ac:dyDescent="0.25">
      <c r="A355" s="63" t="s">
        <v>587</v>
      </c>
      <c r="B355" s="63" t="s">
        <v>588</v>
      </c>
      <c r="C355" s="36">
        <v>4301011868</v>
      </c>
      <c r="D355" s="629">
        <v>4680115884861</v>
      </c>
      <c r="E355" s="629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123</v>
      </c>
      <c r="L355" s="37" t="s">
        <v>126</v>
      </c>
      <c r="M355" s="38" t="s">
        <v>82</v>
      </c>
      <c r="N355" s="38"/>
      <c r="O355" s="37">
        <v>60</v>
      </c>
      <c r="P355" s="81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631"/>
      <c r="R355" s="631"/>
      <c r="S355" s="631"/>
      <c r="T355" s="632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41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581</v>
      </c>
      <c r="AG355" s="78"/>
      <c r="AJ355" s="84" t="s">
        <v>103</v>
      </c>
      <c r="AK355" s="84">
        <v>60</v>
      </c>
      <c r="BB355" s="433" t="s">
        <v>66</v>
      </c>
      <c r="BM355" s="78">
        <f t="shared" si="42"/>
        <v>0</v>
      </c>
      <c r="BN355" s="78">
        <f t="shared" si="43"/>
        <v>0</v>
      </c>
      <c r="BO355" s="78">
        <f t="shared" si="44"/>
        <v>0</v>
      </c>
      <c r="BP355" s="78">
        <f t="shared" si="45"/>
        <v>0</v>
      </c>
    </row>
    <row r="356" spans="1:68" x14ac:dyDescent="0.2">
      <c r="A356" s="637"/>
      <c r="B356" s="637"/>
      <c r="C356" s="637"/>
      <c r="D356" s="637"/>
      <c r="E356" s="637"/>
      <c r="F356" s="637"/>
      <c r="G356" s="637"/>
      <c r="H356" s="637"/>
      <c r="I356" s="637"/>
      <c r="J356" s="637"/>
      <c r="K356" s="637"/>
      <c r="L356" s="637"/>
      <c r="M356" s="637"/>
      <c r="N356" s="637"/>
      <c r="O356" s="638"/>
      <c r="P356" s="634" t="s">
        <v>40</v>
      </c>
      <c r="Q356" s="635"/>
      <c r="R356" s="635"/>
      <c r="S356" s="635"/>
      <c r="T356" s="635"/>
      <c r="U356" s="635"/>
      <c r="V356" s="636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637"/>
      <c r="B357" s="637"/>
      <c r="C357" s="637"/>
      <c r="D357" s="637"/>
      <c r="E357" s="637"/>
      <c r="F357" s="637"/>
      <c r="G357" s="637"/>
      <c r="H357" s="637"/>
      <c r="I357" s="637"/>
      <c r="J357" s="637"/>
      <c r="K357" s="637"/>
      <c r="L357" s="637"/>
      <c r="M357" s="637"/>
      <c r="N357" s="637"/>
      <c r="O357" s="638"/>
      <c r="P357" s="634" t="s">
        <v>40</v>
      </c>
      <c r="Q357" s="635"/>
      <c r="R357" s="635"/>
      <c r="S357" s="635"/>
      <c r="T357" s="635"/>
      <c r="U357" s="635"/>
      <c r="V357" s="636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628" t="s">
        <v>149</v>
      </c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8"/>
      <c r="P358" s="628"/>
      <c r="Q358" s="628"/>
      <c r="R358" s="628"/>
      <c r="S358" s="628"/>
      <c r="T358" s="628"/>
      <c r="U358" s="628"/>
      <c r="V358" s="628"/>
      <c r="W358" s="628"/>
      <c r="X358" s="628"/>
      <c r="Y358" s="628"/>
      <c r="Z358" s="628"/>
      <c r="AA358" s="66"/>
      <c r="AB358" s="66"/>
      <c r="AC358" s="80"/>
    </row>
    <row r="359" spans="1:68" ht="27" customHeight="1" x14ac:dyDescent="0.25">
      <c r="A359" s="63" t="s">
        <v>589</v>
      </c>
      <c r="B359" s="63" t="s">
        <v>590</v>
      </c>
      <c r="C359" s="36">
        <v>4301020178</v>
      </c>
      <c r="D359" s="629">
        <v>4607091383980</v>
      </c>
      <c r="E359" s="629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119</v>
      </c>
      <c r="L359" s="37" t="s">
        <v>45</v>
      </c>
      <c r="M359" s="38" t="s">
        <v>118</v>
      </c>
      <c r="N359" s="38"/>
      <c r="O359" s="37">
        <v>50</v>
      </c>
      <c r="P359" s="8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631"/>
      <c r="R359" s="631"/>
      <c r="S359" s="631"/>
      <c r="T359" s="632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591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592</v>
      </c>
      <c r="B360" s="63" t="s">
        <v>593</v>
      </c>
      <c r="C360" s="36">
        <v>4301020179</v>
      </c>
      <c r="D360" s="629">
        <v>4607091384178</v>
      </c>
      <c r="E360" s="629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123</v>
      </c>
      <c r="L360" s="37" t="s">
        <v>45</v>
      </c>
      <c r="M360" s="38" t="s">
        <v>118</v>
      </c>
      <c r="N360" s="38"/>
      <c r="O360" s="37">
        <v>50</v>
      </c>
      <c r="P360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631"/>
      <c r="R360" s="631"/>
      <c r="S360" s="631"/>
      <c r="T360" s="632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594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637"/>
      <c r="B361" s="637"/>
      <c r="C361" s="637"/>
      <c r="D361" s="637"/>
      <c r="E361" s="637"/>
      <c r="F361" s="637"/>
      <c r="G361" s="637"/>
      <c r="H361" s="637"/>
      <c r="I361" s="637"/>
      <c r="J361" s="637"/>
      <c r="K361" s="637"/>
      <c r="L361" s="637"/>
      <c r="M361" s="637"/>
      <c r="N361" s="637"/>
      <c r="O361" s="638"/>
      <c r="P361" s="634" t="s">
        <v>40</v>
      </c>
      <c r="Q361" s="635"/>
      <c r="R361" s="635"/>
      <c r="S361" s="635"/>
      <c r="T361" s="635"/>
      <c r="U361" s="635"/>
      <c r="V361" s="636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637"/>
      <c r="B362" s="637"/>
      <c r="C362" s="637"/>
      <c r="D362" s="637"/>
      <c r="E362" s="637"/>
      <c r="F362" s="637"/>
      <c r="G362" s="637"/>
      <c r="H362" s="637"/>
      <c r="I362" s="637"/>
      <c r="J362" s="637"/>
      <c r="K362" s="637"/>
      <c r="L362" s="637"/>
      <c r="M362" s="637"/>
      <c r="N362" s="637"/>
      <c r="O362" s="638"/>
      <c r="P362" s="634" t="s">
        <v>40</v>
      </c>
      <c r="Q362" s="635"/>
      <c r="R362" s="635"/>
      <c r="S362" s="635"/>
      <c r="T362" s="635"/>
      <c r="U362" s="635"/>
      <c r="V362" s="636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628" t="s">
        <v>88</v>
      </c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8"/>
      <c r="P363" s="628"/>
      <c r="Q363" s="628"/>
      <c r="R363" s="628"/>
      <c r="S363" s="628"/>
      <c r="T363" s="628"/>
      <c r="U363" s="628"/>
      <c r="V363" s="628"/>
      <c r="W363" s="628"/>
      <c r="X363" s="628"/>
      <c r="Y363" s="628"/>
      <c r="Z363" s="628"/>
      <c r="AA363" s="66"/>
      <c r="AB363" s="66"/>
      <c r="AC363" s="80"/>
    </row>
    <row r="364" spans="1:68" ht="27" customHeight="1" x14ac:dyDescent="0.25">
      <c r="A364" s="63" t="s">
        <v>595</v>
      </c>
      <c r="B364" s="63" t="s">
        <v>596</v>
      </c>
      <c r="C364" s="36">
        <v>4301051903</v>
      </c>
      <c r="D364" s="629">
        <v>4607091383928</v>
      </c>
      <c r="E364" s="629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119</v>
      </c>
      <c r="L364" s="37" t="s">
        <v>120</v>
      </c>
      <c r="M364" s="38" t="s">
        <v>92</v>
      </c>
      <c r="N364" s="38"/>
      <c r="O364" s="37">
        <v>40</v>
      </c>
      <c r="P364" s="8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631"/>
      <c r="R364" s="631"/>
      <c r="S364" s="631"/>
      <c r="T364" s="632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597</v>
      </c>
      <c r="AG364" s="78"/>
      <c r="AJ364" s="84" t="s">
        <v>103</v>
      </c>
      <c r="AK364" s="84">
        <v>72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598</v>
      </c>
      <c r="B365" s="63" t="s">
        <v>599</v>
      </c>
      <c r="C365" s="36">
        <v>4301051897</v>
      </c>
      <c r="D365" s="629">
        <v>4607091384260</v>
      </c>
      <c r="E365" s="629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119</v>
      </c>
      <c r="L365" s="37" t="s">
        <v>120</v>
      </c>
      <c r="M365" s="38" t="s">
        <v>92</v>
      </c>
      <c r="N365" s="38"/>
      <c r="O365" s="37">
        <v>40</v>
      </c>
      <c r="P365" s="8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631"/>
      <c r="R365" s="631"/>
      <c r="S365" s="631"/>
      <c r="T365" s="632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600</v>
      </c>
      <c r="AG365" s="78"/>
      <c r="AJ365" s="84" t="s">
        <v>103</v>
      </c>
      <c r="AK365" s="84">
        <v>72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37"/>
      <c r="B366" s="637"/>
      <c r="C366" s="637"/>
      <c r="D366" s="637"/>
      <c r="E366" s="637"/>
      <c r="F366" s="637"/>
      <c r="G366" s="637"/>
      <c r="H366" s="637"/>
      <c r="I366" s="637"/>
      <c r="J366" s="637"/>
      <c r="K366" s="637"/>
      <c r="L366" s="637"/>
      <c r="M366" s="637"/>
      <c r="N366" s="637"/>
      <c r="O366" s="638"/>
      <c r="P366" s="634" t="s">
        <v>40</v>
      </c>
      <c r="Q366" s="635"/>
      <c r="R366" s="635"/>
      <c r="S366" s="635"/>
      <c r="T366" s="635"/>
      <c r="U366" s="635"/>
      <c r="V366" s="636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637"/>
      <c r="B367" s="637"/>
      <c r="C367" s="637"/>
      <c r="D367" s="637"/>
      <c r="E367" s="637"/>
      <c r="F367" s="637"/>
      <c r="G367" s="637"/>
      <c r="H367" s="637"/>
      <c r="I367" s="637"/>
      <c r="J367" s="637"/>
      <c r="K367" s="637"/>
      <c r="L367" s="637"/>
      <c r="M367" s="637"/>
      <c r="N367" s="637"/>
      <c r="O367" s="638"/>
      <c r="P367" s="634" t="s">
        <v>40</v>
      </c>
      <c r="Q367" s="635"/>
      <c r="R367" s="635"/>
      <c r="S367" s="635"/>
      <c r="T367" s="635"/>
      <c r="U367" s="635"/>
      <c r="V367" s="636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628" t="s">
        <v>174</v>
      </c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8"/>
      <c r="P368" s="628"/>
      <c r="Q368" s="628"/>
      <c r="R368" s="628"/>
      <c r="S368" s="628"/>
      <c r="T368" s="628"/>
      <c r="U368" s="628"/>
      <c r="V368" s="628"/>
      <c r="W368" s="628"/>
      <c r="X368" s="628"/>
      <c r="Y368" s="628"/>
      <c r="Z368" s="628"/>
      <c r="AA368" s="66"/>
      <c r="AB368" s="66"/>
      <c r="AC368" s="80"/>
    </row>
    <row r="369" spans="1:68" ht="16.5" customHeight="1" x14ac:dyDescent="0.25">
      <c r="A369" s="63" t="s">
        <v>601</v>
      </c>
      <c r="B369" s="63" t="s">
        <v>602</v>
      </c>
      <c r="C369" s="36">
        <v>4301060524</v>
      </c>
      <c r="D369" s="629">
        <v>4607091384673</v>
      </c>
      <c r="E369" s="629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119</v>
      </c>
      <c r="L369" s="37" t="s">
        <v>45</v>
      </c>
      <c r="M369" s="38" t="s">
        <v>92</v>
      </c>
      <c r="N369" s="38"/>
      <c r="O369" s="37">
        <v>40</v>
      </c>
      <c r="P369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631"/>
      <c r="R369" s="631"/>
      <c r="S369" s="631"/>
      <c r="T369" s="632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603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37"/>
      <c r="B370" s="637"/>
      <c r="C370" s="637"/>
      <c r="D370" s="637"/>
      <c r="E370" s="637"/>
      <c r="F370" s="637"/>
      <c r="G370" s="637"/>
      <c r="H370" s="637"/>
      <c r="I370" s="637"/>
      <c r="J370" s="637"/>
      <c r="K370" s="637"/>
      <c r="L370" s="637"/>
      <c r="M370" s="637"/>
      <c r="N370" s="637"/>
      <c r="O370" s="638"/>
      <c r="P370" s="634" t="s">
        <v>40</v>
      </c>
      <c r="Q370" s="635"/>
      <c r="R370" s="635"/>
      <c r="S370" s="635"/>
      <c r="T370" s="635"/>
      <c r="U370" s="635"/>
      <c r="V370" s="636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637"/>
      <c r="B371" s="637"/>
      <c r="C371" s="637"/>
      <c r="D371" s="637"/>
      <c r="E371" s="637"/>
      <c r="F371" s="637"/>
      <c r="G371" s="637"/>
      <c r="H371" s="637"/>
      <c r="I371" s="637"/>
      <c r="J371" s="637"/>
      <c r="K371" s="637"/>
      <c r="L371" s="637"/>
      <c r="M371" s="637"/>
      <c r="N371" s="637"/>
      <c r="O371" s="638"/>
      <c r="P371" s="634" t="s">
        <v>40</v>
      </c>
      <c r="Q371" s="635"/>
      <c r="R371" s="635"/>
      <c r="S371" s="635"/>
      <c r="T371" s="635"/>
      <c r="U371" s="635"/>
      <c r="V371" s="636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627" t="s">
        <v>604</v>
      </c>
      <c r="B372" s="627"/>
      <c r="C372" s="627"/>
      <c r="D372" s="627"/>
      <c r="E372" s="627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S372" s="627"/>
      <c r="T372" s="627"/>
      <c r="U372" s="627"/>
      <c r="V372" s="627"/>
      <c r="W372" s="627"/>
      <c r="X372" s="627"/>
      <c r="Y372" s="627"/>
      <c r="Z372" s="627"/>
      <c r="AA372" s="65"/>
      <c r="AB372" s="65"/>
      <c r="AC372" s="79"/>
    </row>
    <row r="373" spans="1:68" ht="14.25" customHeight="1" x14ac:dyDescent="0.25">
      <c r="A373" s="628" t="s">
        <v>114</v>
      </c>
      <c r="B373" s="628"/>
      <c r="C373" s="628"/>
      <c r="D373" s="628"/>
      <c r="E373" s="628"/>
      <c r="F373" s="628"/>
      <c r="G373" s="628"/>
      <c r="H373" s="628"/>
      <c r="I373" s="628"/>
      <c r="J373" s="628"/>
      <c r="K373" s="628"/>
      <c r="L373" s="628"/>
      <c r="M373" s="628"/>
      <c r="N373" s="628"/>
      <c r="O373" s="628"/>
      <c r="P373" s="628"/>
      <c r="Q373" s="628"/>
      <c r="R373" s="628"/>
      <c r="S373" s="628"/>
      <c r="T373" s="628"/>
      <c r="U373" s="628"/>
      <c r="V373" s="628"/>
      <c r="W373" s="628"/>
      <c r="X373" s="628"/>
      <c r="Y373" s="628"/>
      <c r="Z373" s="628"/>
      <c r="AA373" s="66"/>
      <c r="AB373" s="66"/>
      <c r="AC373" s="80"/>
    </row>
    <row r="374" spans="1:68" ht="37.5" customHeight="1" x14ac:dyDescent="0.25">
      <c r="A374" s="63" t="s">
        <v>605</v>
      </c>
      <c r="B374" s="63" t="s">
        <v>606</v>
      </c>
      <c r="C374" s="36">
        <v>4301011875</v>
      </c>
      <c r="D374" s="629">
        <v>4680115884885</v>
      </c>
      <c r="E374" s="629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119</v>
      </c>
      <c r="L374" s="37" t="s">
        <v>120</v>
      </c>
      <c r="M374" s="38" t="s">
        <v>82</v>
      </c>
      <c r="N374" s="38"/>
      <c r="O374" s="37">
        <v>60</v>
      </c>
      <c r="P374" s="8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631"/>
      <c r="R374" s="631"/>
      <c r="S374" s="631"/>
      <c r="T374" s="632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607</v>
      </c>
      <c r="AG374" s="78"/>
      <c r="AJ374" s="84" t="s">
        <v>103</v>
      </c>
      <c r="AK374" s="84">
        <v>96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608</v>
      </c>
      <c r="B375" s="63" t="s">
        <v>609</v>
      </c>
      <c r="C375" s="36">
        <v>4301011871</v>
      </c>
      <c r="D375" s="629">
        <v>4680115884908</v>
      </c>
      <c r="E375" s="629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123</v>
      </c>
      <c r="L375" s="37" t="s">
        <v>126</v>
      </c>
      <c r="M375" s="38" t="s">
        <v>82</v>
      </c>
      <c r="N375" s="38"/>
      <c r="O375" s="37">
        <v>60</v>
      </c>
      <c r="P375" s="8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631"/>
      <c r="R375" s="631"/>
      <c r="S375" s="631"/>
      <c r="T375" s="632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607</v>
      </c>
      <c r="AG375" s="78"/>
      <c r="AJ375" s="84" t="s">
        <v>103</v>
      </c>
      <c r="AK375" s="84">
        <v>48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7"/>
      <c r="B376" s="637"/>
      <c r="C376" s="637"/>
      <c r="D376" s="637"/>
      <c r="E376" s="637"/>
      <c r="F376" s="637"/>
      <c r="G376" s="637"/>
      <c r="H376" s="637"/>
      <c r="I376" s="637"/>
      <c r="J376" s="637"/>
      <c r="K376" s="637"/>
      <c r="L376" s="637"/>
      <c r="M376" s="637"/>
      <c r="N376" s="637"/>
      <c r="O376" s="638"/>
      <c r="P376" s="634" t="s">
        <v>40</v>
      </c>
      <c r="Q376" s="635"/>
      <c r="R376" s="635"/>
      <c r="S376" s="635"/>
      <c r="T376" s="635"/>
      <c r="U376" s="635"/>
      <c r="V376" s="636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637"/>
      <c r="B377" s="637"/>
      <c r="C377" s="637"/>
      <c r="D377" s="637"/>
      <c r="E377" s="637"/>
      <c r="F377" s="637"/>
      <c r="G377" s="637"/>
      <c r="H377" s="637"/>
      <c r="I377" s="637"/>
      <c r="J377" s="637"/>
      <c r="K377" s="637"/>
      <c r="L377" s="637"/>
      <c r="M377" s="637"/>
      <c r="N377" s="637"/>
      <c r="O377" s="638"/>
      <c r="P377" s="634" t="s">
        <v>40</v>
      </c>
      <c r="Q377" s="635"/>
      <c r="R377" s="635"/>
      <c r="S377" s="635"/>
      <c r="T377" s="635"/>
      <c r="U377" s="635"/>
      <c r="V377" s="636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628" t="s">
        <v>78</v>
      </c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8"/>
      <c r="P378" s="628"/>
      <c r="Q378" s="628"/>
      <c r="R378" s="628"/>
      <c r="S378" s="628"/>
      <c r="T378" s="628"/>
      <c r="U378" s="628"/>
      <c r="V378" s="628"/>
      <c r="W378" s="628"/>
      <c r="X378" s="628"/>
      <c r="Y378" s="628"/>
      <c r="Z378" s="628"/>
      <c r="AA378" s="66"/>
      <c r="AB378" s="66"/>
      <c r="AC378" s="80"/>
    </row>
    <row r="379" spans="1:68" ht="27" customHeight="1" x14ac:dyDescent="0.25">
      <c r="A379" s="63" t="s">
        <v>610</v>
      </c>
      <c r="B379" s="63" t="s">
        <v>611</v>
      </c>
      <c r="C379" s="36">
        <v>4301031457</v>
      </c>
      <c r="D379" s="629">
        <v>4607091384802</v>
      </c>
      <c r="E379" s="629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123</v>
      </c>
      <c r="L379" s="37" t="s">
        <v>45</v>
      </c>
      <c r="M379" s="38" t="s">
        <v>82</v>
      </c>
      <c r="N379" s="38"/>
      <c r="O379" s="37">
        <v>50</v>
      </c>
      <c r="P379" s="8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31"/>
      <c r="R379" s="631"/>
      <c r="S379" s="631"/>
      <c r="T379" s="632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612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610</v>
      </c>
      <c r="B380" s="63" t="s">
        <v>613</v>
      </c>
      <c r="C380" s="36">
        <v>4301031303</v>
      </c>
      <c r="D380" s="629">
        <v>4607091384802</v>
      </c>
      <c r="E380" s="629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123</v>
      </c>
      <c r="L380" s="37" t="s">
        <v>126</v>
      </c>
      <c r="M380" s="38" t="s">
        <v>82</v>
      </c>
      <c r="N380" s="38"/>
      <c r="O380" s="37">
        <v>35</v>
      </c>
      <c r="P380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631"/>
      <c r="R380" s="631"/>
      <c r="S380" s="631"/>
      <c r="T380" s="632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614</v>
      </c>
      <c r="AG380" s="78"/>
      <c r="AJ380" s="84" t="s">
        <v>103</v>
      </c>
      <c r="AK380" s="84">
        <v>52.56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7"/>
      <c r="B381" s="637"/>
      <c r="C381" s="637"/>
      <c r="D381" s="637"/>
      <c r="E381" s="637"/>
      <c r="F381" s="637"/>
      <c r="G381" s="637"/>
      <c r="H381" s="637"/>
      <c r="I381" s="637"/>
      <c r="J381" s="637"/>
      <c r="K381" s="637"/>
      <c r="L381" s="637"/>
      <c r="M381" s="637"/>
      <c r="N381" s="637"/>
      <c r="O381" s="638"/>
      <c r="P381" s="634" t="s">
        <v>40</v>
      </c>
      <c r="Q381" s="635"/>
      <c r="R381" s="635"/>
      <c r="S381" s="635"/>
      <c r="T381" s="635"/>
      <c r="U381" s="635"/>
      <c r="V381" s="636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637"/>
      <c r="B382" s="637"/>
      <c r="C382" s="637"/>
      <c r="D382" s="637"/>
      <c r="E382" s="637"/>
      <c r="F382" s="637"/>
      <c r="G382" s="637"/>
      <c r="H382" s="637"/>
      <c r="I382" s="637"/>
      <c r="J382" s="637"/>
      <c r="K382" s="637"/>
      <c r="L382" s="637"/>
      <c r="M382" s="637"/>
      <c r="N382" s="637"/>
      <c r="O382" s="638"/>
      <c r="P382" s="634" t="s">
        <v>40</v>
      </c>
      <c r="Q382" s="635"/>
      <c r="R382" s="635"/>
      <c r="S382" s="635"/>
      <c r="T382" s="635"/>
      <c r="U382" s="635"/>
      <c r="V382" s="636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628" t="s">
        <v>88</v>
      </c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8"/>
      <c r="P383" s="628"/>
      <c r="Q383" s="628"/>
      <c r="R383" s="628"/>
      <c r="S383" s="628"/>
      <c r="T383" s="628"/>
      <c r="U383" s="628"/>
      <c r="V383" s="628"/>
      <c r="W383" s="628"/>
      <c r="X383" s="628"/>
      <c r="Y383" s="628"/>
      <c r="Z383" s="628"/>
      <c r="AA383" s="66"/>
      <c r="AB383" s="66"/>
      <c r="AC383" s="80"/>
    </row>
    <row r="384" spans="1:68" ht="27" customHeight="1" x14ac:dyDescent="0.25">
      <c r="A384" s="63" t="s">
        <v>615</v>
      </c>
      <c r="B384" s="63" t="s">
        <v>616</v>
      </c>
      <c r="C384" s="36">
        <v>4301051899</v>
      </c>
      <c r="D384" s="629">
        <v>4607091384246</v>
      </c>
      <c r="E384" s="629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120</v>
      </c>
      <c r="M384" s="38" t="s">
        <v>92</v>
      </c>
      <c r="N384" s="38"/>
      <c r="O384" s="37">
        <v>40</v>
      </c>
      <c r="P384" s="8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31"/>
      <c r="R384" s="631"/>
      <c r="S384" s="631"/>
      <c r="T384" s="632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617</v>
      </c>
      <c r="AG384" s="78"/>
      <c r="AJ384" s="84" t="s">
        <v>103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618</v>
      </c>
      <c r="B385" s="63" t="s">
        <v>619</v>
      </c>
      <c r="C385" s="36">
        <v>4301051660</v>
      </c>
      <c r="D385" s="629">
        <v>4607091384253</v>
      </c>
      <c r="E385" s="629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102</v>
      </c>
      <c r="M385" s="38" t="s">
        <v>92</v>
      </c>
      <c r="N385" s="38"/>
      <c r="O385" s="37">
        <v>40</v>
      </c>
      <c r="P385" s="8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31"/>
      <c r="R385" s="631"/>
      <c r="S385" s="631"/>
      <c r="T385" s="632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617</v>
      </c>
      <c r="AG385" s="78"/>
      <c r="AJ385" s="84" t="s">
        <v>103</v>
      </c>
      <c r="AK385" s="84">
        <v>33.6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618</v>
      </c>
      <c r="B386" s="63" t="s">
        <v>620</v>
      </c>
      <c r="C386" s="36">
        <v>4301052069</v>
      </c>
      <c r="D386" s="629">
        <v>4607091384253</v>
      </c>
      <c r="E386" s="629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8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31"/>
      <c r="R386" s="631"/>
      <c r="S386" s="631"/>
      <c r="T386" s="632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621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7"/>
      <c r="B387" s="637"/>
      <c r="C387" s="637"/>
      <c r="D387" s="637"/>
      <c r="E387" s="637"/>
      <c r="F387" s="637"/>
      <c r="G387" s="637"/>
      <c r="H387" s="637"/>
      <c r="I387" s="637"/>
      <c r="J387" s="637"/>
      <c r="K387" s="637"/>
      <c r="L387" s="637"/>
      <c r="M387" s="637"/>
      <c r="N387" s="637"/>
      <c r="O387" s="638"/>
      <c r="P387" s="634" t="s">
        <v>40</v>
      </c>
      <c r="Q387" s="635"/>
      <c r="R387" s="635"/>
      <c r="S387" s="635"/>
      <c r="T387" s="635"/>
      <c r="U387" s="635"/>
      <c r="V387" s="636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637"/>
      <c r="B388" s="637"/>
      <c r="C388" s="637"/>
      <c r="D388" s="637"/>
      <c r="E388" s="637"/>
      <c r="F388" s="637"/>
      <c r="G388" s="637"/>
      <c r="H388" s="637"/>
      <c r="I388" s="637"/>
      <c r="J388" s="637"/>
      <c r="K388" s="637"/>
      <c r="L388" s="637"/>
      <c r="M388" s="637"/>
      <c r="N388" s="637"/>
      <c r="O388" s="638"/>
      <c r="P388" s="634" t="s">
        <v>40</v>
      </c>
      <c r="Q388" s="635"/>
      <c r="R388" s="635"/>
      <c r="S388" s="635"/>
      <c r="T388" s="635"/>
      <c r="U388" s="635"/>
      <c r="V388" s="636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626" t="s">
        <v>622</v>
      </c>
      <c r="B389" s="626"/>
      <c r="C389" s="626"/>
      <c r="D389" s="626"/>
      <c r="E389" s="626"/>
      <c r="F389" s="626"/>
      <c r="G389" s="626"/>
      <c r="H389" s="626"/>
      <c r="I389" s="626"/>
      <c r="J389" s="626"/>
      <c r="K389" s="626"/>
      <c r="L389" s="626"/>
      <c r="M389" s="626"/>
      <c r="N389" s="626"/>
      <c r="O389" s="626"/>
      <c r="P389" s="626"/>
      <c r="Q389" s="626"/>
      <c r="R389" s="626"/>
      <c r="S389" s="626"/>
      <c r="T389" s="626"/>
      <c r="U389" s="626"/>
      <c r="V389" s="626"/>
      <c r="W389" s="626"/>
      <c r="X389" s="626"/>
      <c r="Y389" s="626"/>
      <c r="Z389" s="626"/>
      <c r="AA389" s="54"/>
      <c r="AB389" s="54"/>
      <c r="AC389" s="54"/>
    </row>
    <row r="390" spans="1:68" ht="16.5" customHeight="1" x14ac:dyDescent="0.25">
      <c r="A390" s="627" t="s">
        <v>623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5"/>
      <c r="AB390" s="65"/>
      <c r="AC390" s="79"/>
    </row>
    <row r="391" spans="1:68" ht="14.25" customHeight="1" x14ac:dyDescent="0.25">
      <c r="A391" s="628" t="s">
        <v>78</v>
      </c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8"/>
      <c r="P391" s="628"/>
      <c r="Q391" s="628"/>
      <c r="R391" s="628"/>
      <c r="S391" s="628"/>
      <c r="T391" s="628"/>
      <c r="U391" s="628"/>
      <c r="V391" s="628"/>
      <c r="W391" s="628"/>
      <c r="X391" s="628"/>
      <c r="Y391" s="628"/>
      <c r="Z391" s="628"/>
      <c r="AA391" s="66"/>
      <c r="AB391" s="66"/>
      <c r="AC391" s="80"/>
    </row>
    <row r="392" spans="1:68" ht="27" customHeight="1" x14ac:dyDescent="0.25">
      <c r="A392" s="63" t="s">
        <v>624</v>
      </c>
      <c r="B392" s="63" t="s">
        <v>625</v>
      </c>
      <c r="C392" s="36">
        <v>4301031405</v>
      </c>
      <c r="D392" s="629">
        <v>4680115886100</v>
      </c>
      <c r="E392" s="629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123</v>
      </c>
      <c r="L392" s="37" t="s">
        <v>126</v>
      </c>
      <c r="M392" s="38" t="s">
        <v>82</v>
      </c>
      <c r="N392" s="38"/>
      <c r="O392" s="37">
        <v>50</v>
      </c>
      <c r="P392" s="8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31"/>
      <c r="R392" s="631"/>
      <c r="S392" s="631"/>
      <c r="T392" s="63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6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626</v>
      </c>
      <c r="AG392" s="78"/>
      <c r="AJ392" s="84" t="s">
        <v>103</v>
      </c>
      <c r="AK392" s="84">
        <v>64.8</v>
      </c>
      <c r="BB392" s="459" t="s">
        <v>66</v>
      </c>
      <c r="BM392" s="78">
        <f t="shared" ref="BM392:BM400" si="47">IFERROR(X392*I392/H392,"0")</f>
        <v>0</v>
      </c>
      <c r="BN392" s="78">
        <f t="shared" ref="BN392:BN400" si="48">IFERROR(Y392*I392/H392,"0")</f>
        <v>0</v>
      </c>
      <c r="BO392" s="78">
        <f t="shared" ref="BO392:BO400" si="49">IFERROR(1/J392*(X392/H392),"0")</f>
        <v>0</v>
      </c>
      <c r="BP392" s="78">
        <f t="shared" ref="BP392:BP400" si="50">IFERROR(1/J392*(Y392/H392),"0")</f>
        <v>0</v>
      </c>
    </row>
    <row r="393" spans="1:68" ht="27" customHeight="1" x14ac:dyDescent="0.25">
      <c r="A393" s="63" t="s">
        <v>627</v>
      </c>
      <c r="B393" s="63" t="s">
        <v>628</v>
      </c>
      <c r="C393" s="36">
        <v>4301031406</v>
      </c>
      <c r="D393" s="629">
        <v>4680115886117</v>
      </c>
      <c r="E393" s="629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123</v>
      </c>
      <c r="L393" s="37" t="s">
        <v>45</v>
      </c>
      <c r="M393" s="38" t="s">
        <v>82</v>
      </c>
      <c r="N393" s="38"/>
      <c r="O393" s="37">
        <v>50</v>
      </c>
      <c r="P393" s="82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31"/>
      <c r="R393" s="631"/>
      <c r="S393" s="631"/>
      <c r="T393" s="632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6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629</v>
      </c>
      <c r="AG393" s="78"/>
      <c r="AJ393" s="84" t="s">
        <v>45</v>
      </c>
      <c r="AK393" s="84">
        <v>0</v>
      </c>
      <c r="BB393" s="461" t="s">
        <v>66</v>
      </c>
      <c r="BM393" s="78">
        <f t="shared" si="47"/>
        <v>0</v>
      </c>
      <c r="BN393" s="78">
        <f t="shared" si="48"/>
        <v>0</v>
      </c>
      <c r="BO393" s="78">
        <f t="shared" si="49"/>
        <v>0</v>
      </c>
      <c r="BP393" s="78">
        <f t="shared" si="50"/>
        <v>0</v>
      </c>
    </row>
    <row r="394" spans="1:68" ht="27" customHeight="1" x14ac:dyDescent="0.25">
      <c r="A394" s="63" t="s">
        <v>630</v>
      </c>
      <c r="B394" s="63" t="s">
        <v>631</v>
      </c>
      <c r="C394" s="36">
        <v>4301031402</v>
      </c>
      <c r="D394" s="629">
        <v>4680115886124</v>
      </c>
      <c r="E394" s="629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123</v>
      </c>
      <c r="L394" s="37" t="s">
        <v>126</v>
      </c>
      <c r="M394" s="38" t="s">
        <v>82</v>
      </c>
      <c r="N394" s="38"/>
      <c r="O394" s="37">
        <v>50</v>
      </c>
      <c r="P394" s="8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31"/>
      <c r="R394" s="631"/>
      <c r="S394" s="631"/>
      <c r="T394" s="632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6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632</v>
      </c>
      <c r="AG394" s="78"/>
      <c r="AJ394" s="84" t="s">
        <v>103</v>
      </c>
      <c r="AK394" s="84">
        <v>64.8</v>
      </c>
      <c r="BB394" s="463" t="s">
        <v>66</v>
      </c>
      <c r="BM394" s="78">
        <f t="shared" si="47"/>
        <v>0</v>
      </c>
      <c r="BN394" s="78">
        <f t="shared" si="48"/>
        <v>0</v>
      </c>
      <c r="BO394" s="78">
        <f t="shared" si="49"/>
        <v>0</v>
      </c>
      <c r="BP394" s="78">
        <f t="shared" si="50"/>
        <v>0</v>
      </c>
    </row>
    <row r="395" spans="1:68" ht="27" customHeight="1" x14ac:dyDescent="0.25">
      <c r="A395" s="63" t="s">
        <v>633</v>
      </c>
      <c r="B395" s="63" t="s">
        <v>634</v>
      </c>
      <c r="C395" s="36">
        <v>4301031366</v>
      </c>
      <c r="D395" s="629">
        <v>4680115883147</v>
      </c>
      <c r="E395" s="629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31"/>
      <c r="R395" s="631"/>
      <c r="S395" s="631"/>
      <c r="T395" s="632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6"/>
        <v>0</v>
      </c>
      <c r="Z395" s="41" t="str">
        <f t="shared" ref="Z395:Z400" si="51">IFERROR(IF(Y395=0,"",ROUNDUP(Y395/H395,0)*0.00502),"")</f>
        <v/>
      </c>
      <c r="AA395" s="68" t="s">
        <v>45</v>
      </c>
      <c r="AB395" s="69" t="s">
        <v>45</v>
      </c>
      <c r="AC395" s="464" t="s">
        <v>626</v>
      </c>
      <c r="AG395" s="78"/>
      <c r="AJ395" s="84" t="s">
        <v>45</v>
      </c>
      <c r="AK395" s="84">
        <v>0</v>
      </c>
      <c r="BB395" s="465" t="s">
        <v>66</v>
      </c>
      <c r="BM395" s="78">
        <f t="shared" si="47"/>
        <v>0</v>
      </c>
      <c r="BN395" s="78">
        <f t="shared" si="48"/>
        <v>0</v>
      </c>
      <c r="BO395" s="78">
        <f t="shared" si="49"/>
        <v>0</v>
      </c>
      <c r="BP395" s="78">
        <f t="shared" si="50"/>
        <v>0</v>
      </c>
    </row>
    <row r="396" spans="1:68" ht="27" customHeight="1" x14ac:dyDescent="0.25">
      <c r="A396" s="63" t="s">
        <v>635</v>
      </c>
      <c r="B396" s="63" t="s">
        <v>636</v>
      </c>
      <c r="C396" s="36">
        <v>4301031362</v>
      </c>
      <c r="D396" s="629">
        <v>4607091384338</v>
      </c>
      <c r="E396" s="629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31"/>
      <c r="R396" s="631"/>
      <c r="S396" s="631"/>
      <c r="T396" s="632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6"/>
        <v>0</v>
      </c>
      <c r="Z396" s="41" t="str">
        <f t="shared" si="51"/>
        <v/>
      </c>
      <c r="AA396" s="68" t="s">
        <v>45</v>
      </c>
      <c r="AB396" s="69" t="s">
        <v>45</v>
      </c>
      <c r="AC396" s="466" t="s">
        <v>626</v>
      </c>
      <c r="AG396" s="78"/>
      <c r="AJ396" s="84" t="s">
        <v>45</v>
      </c>
      <c r="AK396" s="84">
        <v>0</v>
      </c>
      <c r="BB396" s="467" t="s">
        <v>66</v>
      </c>
      <c r="BM396" s="78">
        <f t="shared" si="47"/>
        <v>0</v>
      </c>
      <c r="BN396" s="78">
        <f t="shared" si="48"/>
        <v>0</v>
      </c>
      <c r="BO396" s="78">
        <f t="shared" si="49"/>
        <v>0</v>
      </c>
      <c r="BP396" s="78">
        <f t="shared" si="50"/>
        <v>0</v>
      </c>
    </row>
    <row r="397" spans="1:68" ht="37.5" customHeight="1" x14ac:dyDescent="0.25">
      <c r="A397" s="63" t="s">
        <v>637</v>
      </c>
      <c r="B397" s="63" t="s">
        <v>638</v>
      </c>
      <c r="C397" s="36">
        <v>4301031361</v>
      </c>
      <c r="D397" s="629">
        <v>4607091389524</v>
      </c>
      <c r="E397" s="629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31"/>
      <c r="R397" s="631"/>
      <c r="S397" s="631"/>
      <c r="T397" s="632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6"/>
        <v>0</v>
      </c>
      <c r="Z397" s="41" t="str">
        <f t="shared" si="51"/>
        <v/>
      </c>
      <c r="AA397" s="68" t="s">
        <v>45</v>
      </c>
      <c r="AB397" s="69" t="s">
        <v>45</v>
      </c>
      <c r="AC397" s="468" t="s">
        <v>639</v>
      </c>
      <c r="AG397" s="78"/>
      <c r="AJ397" s="84" t="s">
        <v>45</v>
      </c>
      <c r="AK397" s="84">
        <v>0</v>
      </c>
      <c r="BB397" s="469" t="s">
        <v>66</v>
      </c>
      <c r="BM397" s="78">
        <f t="shared" si="47"/>
        <v>0</v>
      </c>
      <c r="BN397" s="78">
        <f t="shared" si="48"/>
        <v>0</v>
      </c>
      <c r="BO397" s="78">
        <f t="shared" si="49"/>
        <v>0</v>
      </c>
      <c r="BP397" s="78">
        <f t="shared" si="50"/>
        <v>0</v>
      </c>
    </row>
    <row r="398" spans="1:68" ht="27" customHeight="1" x14ac:dyDescent="0.25">
      <c r="A398" s="63" t="s">
        <v>640</v>
      </c>
      <c r="B398" s="63" t="s">
        <v>641</v>
      </c>
      <c r="C398" s="36">
        <v>4301031364</v>
      </c>
      <c r="D398" s="629">
        <v>4680115883161</v>
      </c>
      <c r="E398" s="629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31"/>
      <c r="R398" s="631"/>
      <c r="S398" s="631"/>
      <c r="T398" s="632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6"/>
        <v>0</v>
      </c>
      <c r="Z398" s="41" t="str">
        <f t="shared" si="51"/>
        <v/>
      </c>
      <c r="AA398" s="68" t="s">
        <v>45</v>
      </c>
      <c r="AB398" s="69" t="s">
        <v>45</v>
      </c>
      <c r="AC398" s="470" t="s">
        <v>642</v>
      </c>
      <c r="AG398" s="78"/>
      <c r="AJ398" s="84" t="s">
        <v>45</v>
      </c>
      <c r="AK398" s="84">
        <v>0</v>
      </c>
      <c r="BB398" s="471" t="s">
        <v>66</v>
      </c>
      <c r="BM398" s="78">
        <f t="shared" si="47"/>
        <v>0</v>
      </c>
      <c r="BN398" s="78">
        <f t="shared" si="48"/>
        <v>0</v>
      </c>
      <c r="BO398" s="78">
        <f t="shared" si="49"/>
        <v>0</v>
      </c>
      <c r="BP398" s="78">
        <f t="shared" si="50"/>
        <v>0</v>
      </c>
    </row>
    <row r="399" spans="1:68" ht="27" customHeight="1" x14ac:dyDescent="0.25">
      <c r="A399" s="63" t="s">
        <v>643</v>
      </c>
      <c r="B399" s="63" t="s">
        <v>644</v>
      </c>
      <c r="C399" s="36">
        <v>4301031358</v>
      </c>
      <c r="D399" s="629">
        <v>4607091389531</v>
      </c>
      <c r="E399" s="629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31"/>
      <c r="R399" s="631"/>
      <c r="S399" s="631"/>
      <c r="T399" s="632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6"/>
        <v>0</v>
      </c>
      <c r="Z399" s="41" t="str">
        <f t="shared" si="51"/>
        <v/>
      </c>
      <c r="AA399" s="68" t="s">
        <v>45</v>
      </c>
      <c r="AB399" s="69" t="s">
        <v>45</v>
      </c>
      <c r="AC399" s="472" t="s">
        <v>645</v>
      </c>
      <c r="AG399" s="78"/>
      <c r="AJ399" s="84" t="s">
        <v>45</v>
      </c>
      <c r="AK399" s="84">
        <v>0</v>
      </c>
      <c r="BB399" s="473" t="s">
        <v>66</v>
      </c>
      <c r="BM399" s="78">
        <f t="shared" si="47"/>
        <v>0</v>
      </c>
      <c r="BN399" s="78">
        <f t="shared" si="48"/>
        <v>0</v>
      </c>
      <c r="BO399" s="78">
        <f t="shared" si="49"/>
        <v>0</v>
      </c>
      <c r="BP399" s="78">
        <f t="shared" si="50"/>
        <v>0</v>
      </c>
    </row>
    <row r="400" spans="1:68" ht="37.5" customHeight="1" x14ac:dyDescent="0.25">
      <c r="A400" s="63" t="s">
        <v>646</v>
      </c>
      <c r="B400" s="63" t="s">
        <v>647</v>
      </c>
      <c r="C400" s="36">
        <v>4301031360</v>
      </c>
      <c r="D400" s="629">
        <v>4607091384345</v>
      </c>
      <c r="E400" s="629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31"/>
      <c r="R400" s="631"/>
      <c r="S400" s="631"/>
      <c r="T400" s="632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6"/>
        <v>0</v>
      </c>
      <c r="Z400" s="41" t="str">
        <f t="shared" si="51"/>
        <v/>
      </c>
      <c r="AA400" s="68" t="s">
        <v>45</v>
      </c>
      <c r="AB400" s="69" t="s">
        <v>45</v>
      </c>
      <c r="AC400" s="474" t="s">
        <v>642</v>
      </c>
      <c r="AG400" s="78"/>
      <c r="AJ400" s="84" t="s">
        <v>45</v>
      </c>
      <c r="AK400" s="84">
        <v>0</v>
      </c>
      <c r="BB400" s="475" t="s">
        <v>66</v>
      </c>
      <c r="BM400" s="78">
        <f t="shared" si="47"/>
        <v>0</v>
      </c>
      <c r="BN400" s="78">
        <f t="shared" si="48"/>
        <v>0</v>
      </c>
      <c r="BO400" s="78">
        <f t="shared" si="49"/>
        <v>0</v>
      </c>
      <c r="BP400" s="78">
        <f t="shared" si="50"/>
        <v>0</v>
      </c>
    </row>
    <row r="401" spans="1:68" x14ac:dyDescent="0.2">
      <c r="A401" s="637"/>
      <c r="B401" s="637"/>
      <c r="C401" s="637"/>
      <c r="D401" s="637"/>
      <c r="E401" s="637"/>
      <c r="F401" s="637"/>
      <c r="G401" s="637"/>
      <c r="H401" s="637"/>
      <c r="I401" s="637"/>
      <c r="J401" s="637"/>
      <c r="K401" s="637"/>
      <c r="L401" s="637"/>
      <c r="M401" s="637"/>
      <c r="N401" s="637"/>
      <c r="O401" s="638"/>
      <c r="P401" s="634" t="s">
        <v>40</v>
      </c>
      <c r="Q401" s="635"/>
      <c r="R401" s="635"/>
      <c r="S401" s="635"/>
      <c r="T401" s="635"/>
      <c r="U401" s="635"/>
      <c r="V401" s="636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7"/>
      <c r="B402" s="637"/>
      <c r="C402" s="637"/>
      <c r="D402" s="637"/>
      <c r="E402" s="637"/>
      <c r="F402" s="637"/>
      <c r="G402" s="637"/>
      <c r="H402" s="637"/>
      <c r="I402" s="637"/>
      <c r="J402" s="637"/>
      <c r="K402" s="637"/>
      <c r="L402" s="637"/>
      <c r="M402" s="637"/>
      <c r="N402" s="637"/>
      <c r="O402" s="638"/>
      <c r="P402" s="634" t="s">
        <v>40</v>
      </c>
      <c r="Q402" s="635"/>
      <c r="R402" s="635"/>
      <c r="S402" s="635"/>
      <c r="T402" s="635"/>
      <c r="U402" s="635"/>
      <c r="V402" s="636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8" t="s">
        <v>88</v>
      </c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8"/>
      <c r="P403" s="628"/>
      <c r="Q403" s="628"/>
      <c r="R403" s="628"/>
      <c r="S403" s="628"/>
      <c r="T403" s="628"/>
      <c r="U403" s="628"/>
      <c r="V403" s="628"/>
      <c r="W403" s="628"/>
      <c r="X403" s="628"/>
      <c r="Y403" s="628"/>
      <c r="Z403" s="628"/>
      <c r="AA403" s="66"/>
      <c r="AB403" s="66"/>
      <c r="AC403" s="80"/>
    </row>
    <row r="404" spans="1:68" ht="27" customHeight="1" x14ac:dyDescent="0.25">
      <c r="A404" s="63" t="s">
        <v>648</v>
      </c>
      <c r="B404" s="63" t="s">
        <v>649</v>
      </c>
      <c r="C404" s="36">
        <v>4301051284</v>
      </c>
      <c r="D404" s="629">
        <v>4607091384352</v>
      </c>
      <c r="E404" s="629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123</v>
      </c>
      <c r="L404" s="37" t="s">
        <v>126</v>
      </c>
      <c r="M404" s="38" t="s">
        <v>92</v>
      </c>
      <c r="N404" s="38"/>
      <c r="O404" s="37">
        <v>45</v>
      </c>
      <c r="P404" s="8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31"/>
      <c r="R404" s="631"/>
      <c r="S404" s="631"/>
      <c r="T404" s="632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650</v>
      </c>
      <c r="AG404" s="78"/>
      <c r="AJ404" s="84" t="s">
        <v>103</v>
      </c>
      <c r="AK404" s="84">
        <v>28.8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651</v>
      </c>
      <c r="B405" s="63" t="s">
        <v>652</v>
      </c>
      <c r="C405" s="36">
        <v>4301051431</v>
      </c>
      <c r="D405" s="629">
        <v>4607091389654</v>
      </c>
      <c r="E405" s="629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102</v>
      </c>
      <c r="M405" s="38" t="s">
        <v>92</v>
      </c>
      <c r="N405" s="38"/>
      <c r="O405" s="37">
        <v>45</v>
      </c>
      <c r="P405" s="8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31"/>
      <c r="R405" s="631"/>
      <c r="S405" s="631"/>
      <c r="T405" s="632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653</v>
      </c>
      <c r="AG405" s="78"/>
      <c r="AJ405" s="84" t="s">
        <v>103</v>
      </c>
      <c r="AK405" s="84">
        <v>27.72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37"/>
      <c r="B406" s="637"/>
      <c r="C406" s="637"/>
      <c r="D406" s="637"/>
      <c r="E406" s="637"/>
      <c r="F406" s="637"/>
      <c r="G406" s="637"/>
      <c r="H406" s="637"/>
      <c r="I406" s="637"/>
      <c r="J406" s="637"/>
      <c r="K406" s="637"/>
      <c r="L406" s="637"/>
      <c r="M406" s="637"/>
      <c r="N406" s="637"/>
      <c r="O406" s="638"/>
      <c r="P406" s="634" t="s">
        <v>40</v>
      </c>
      <c r="Q406" s="635"/>
      <c r="R406" s="635"/>
      <c r="S406" s="635"/>
      <c r="T406" s="635"/>
      <c r="U406" s="635"/>
      <c r="V406" s="636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637"/>
      <c r="B407" s="637"/>
      <c r="C407" s="637"/>
      <c r="D407" s="637"/>
      <c r="E407" s="637"/>
      <c r="F407" s="637"/>
      <c r="G407" s="637"/>
      <c r="H407" s="637"/>
      <c r="I407" s="637"/>
      <c r="J407" s="637"/>
      <c r="K407" s="637"/>
      <c r="L407" s="637"/>
      <c r="M407" s="637"/>
      <c r="N407" s="637"/>
      <c r="O407" s="638"/>
      <c r="P407" s="634" t="s">
        <v>40</v>
      </c>
      <c r="Q407" s="635"/>
      <c r="R407" s="635"/>
      <c r="S407" s="635"/>
      <c r="T407" s="635"/>
      <c r="U407" s="635"/>
      <c r="V407" s="636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7" t="s">
        <v>654</v>
      </c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7"/>
      <c r="W408" s="627"/>
      <c r="X408" s="627"/>
      <c r="Y408" s="627"/>
      <c r="Z408" s="627"/>
      <c r="AA408" s="65"/>
      <c r="AB408" s="65"/>
      <c r="AC408" s="79"/>
    </row>
    <row r="409" spans="1:68" ht="14.25" customHeight="1" x14ac:dyDescent="0.25">
      <c r="A409" s="628" t="s">
        <v>149</v>
      </c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8"/>
      <c r="P409" s="628"/>
      <c r="Q409" s="628"/>
      <c r="R409" s="628"/>
      <c r="S409" s="628"/>
      <c r="T409" s="628"/>
      <c r="U409" s="628"/>
      <c r="V409" s="628"/>
      <c r="W409" s="628"/>
      <c r="X409" s="628"/>
      <c r="Y409" s="628"/>
      <c r="Z409" s="628"/>
      <c r="AA409" s="66"/>
      <c r="AB409" s="66"/>
      <c r="AC409" s="80"/>
    </row>
    <row r="410" spans="1:68" ht="27" customHeight="1" x14ac:dyDescent="0.25">
      <c r="A410" s="63" t="s">
        <v>655</v>
      </c>
      <c r="B410" s="63" t="s">
        <v>656</v>
      </c>
      <c r="C410" s="36">
        <v>4301020319</v>
      </c>
      <c r="D410" s="629">
        <v>4680115885240</v>
      </c>
      <c r="E410" s="629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83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31"/>
      <c r="R410" s="631"/>
      <c r="S410" s="631"/>
      <c r="T410" s="632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657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7"/>
      <c r="B411" s="637"/>
      <c r="C411" s="637"/>
      <c r="D411" s="637"/>
      <c r="E411" s="637"/>
      <c r="F411" s="637"/>
      <c r="G411" s="637"/>
      <c r="H411" s="637"/>
      <c r="I411" s="637"/>
      <c r="J411" s="637"/>
      <c r="K411" s="637"/>
      <c r="L411" s="637"/>
      <c r="M411" s="637"/>
      <c r="N411" s="637"/>
      <c r="O411" s="638"/>
      <c r="P411" s="634" t="s">
        <v>40</v>
      </c>
      <c r="Q411" s="635"/>
      <c r="R411" s="635"/>
      <c r="S411" s="635"/>
      <c r="T411" s="635"/>
      <c r="U411" s="635"/>
      <c r="V411" s="636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637"/>
      <c r="B412" s="637"/>
      <c r="C412" s="637"/>
      <c r="D412" s="637"/>
      <c r="E412" s="637"/>
      <c r="F412" s="637"/>
      <c r="G412" s="637"/>
      <c r="H412" s="637"/>
      <c r="I412" s="637"/>
      <c r="J412" s="637"/>
      <c r="K412" s="637"/>
      <c r="L412" s="637"/>
      <c r="M412" s="637"/>
      <c r="N412" s="637"/>
      <c r="O412" s="638"/>
      <c r="P412" s="634" t="s">
        <v>40</v>
      </c>
      <c r="Q412" s="635"/>
      <c r="R412" s="635"/>
      <c r="S412" s="635"/>
      <c r="T412" s="635"/>
      <c r="U412" s="635"/>
      <c r="V412" s="636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8" t="s">
        <v>78</v>
      </c>
      <c r="B413" s="628"/>
      <c r="C413" s="628"/>
      <c r="D413" s="628"/>
      <c r="E413" s="628"/>
      <c r="F413" s="628"/>
      <c r="G413" s="628"/>
      <c r="H413" s="628"/>
      <c r="I413" s="628"/>
      <c r="J413" s="628"/>
      <c r="K413" s="628"/>
      <c r="L413" s="628"/>
      <c r="M413" s="628"/>
      <c r="N413" s="628"/>
      <c r="O413" s="628"/>
      <c r="P413" s="628"/>
      <c r="Q413" s="628"/>
      <c r="R413" s="628"/>
      <c r="S413" s="628"/>
      <c r="T413" s="628"/>
      <c r="U413" s="628"/>
      <c r="V413" s="628"/>
      <c r="W413" s="628"/>
      <c r="X413" s="628"/>
      <c r="Y413" s="628"/>
      <c r="Z413" s="628"/>
      <c r="AA413" s="66"/>
      <c r="AB413" s="66"/>
      <c r="AC413" s="80"/>
    </row>
    <row r="414" spans="1:68" ht="27" customHeight="1" x14ac:dyDescent="0.25">
      <c r="A414" s="63" t="s">
        <v>658</v>
      </c>
      <c r="B414" s="63" t="s">
        <v>659</v>
      </c>
      <c r="C414" s="36">
        <v>4301031403</v>
      </c>
      <c r="D414" s="629">
        <v>4680115886094</v>
      </c>
      <c r="E414" s="629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123</v>
      </c>
      <c r="L414" s="37" t="s">
        <v>126</v>
      </c>
      <c r="M414" s="38" t="s">
        <v>118</v>
      </c>
      <c r="N414" s="38"/>
      <c r="O414" s="37">
        <v>50</v>
      </c>
      <c r="P414" s="83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31"/>
      <c r="R414" s="631"/>
      <c r="S414" s="631"/>
      <c r="T414" s="63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660</v>
      </c>
      <c r="AG414" s="78"/>
      <c r="AJ414" s="84" t="s">
        <v>103</v>
      </c>
      <c r="AK414" s="84">
        <v>64.8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661</v>
      </c>
      <c r="B415" s="63" t="s">
        <v>662</v>
      </c>
      <c r="C415" s="36">
        <v>4301031363</v>
      </c>
      <c r="D415" s="629">
        <v>4607091389425</v>
      </c>
      <c r="E415" s="629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631"/>
      <c r="R415" s="631"/>
      <c r="S415" s="631"/>
      <c r="T415" s="632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663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664</v>
      </c>
      <c r="B416" s="63" t="s">
        <v>665</v>
      </c>
      <c r="C416" s="36">
        <v>4301031373</v>
      </c>
      <c r="D416" s="629">
        <v>4680115880771</v>
      </c>
      <c r="E416" s="629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631"/>
      <c r="R416" s="631"/>
      <c r="S416" s="631"/>
      <c r="T416" s="632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666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667</v>
      </c>
      <c r="B417" s="63" t="s">
        <v>668</v>
      </c>
      <c r="C417" s="36">
        <v>4301031359</v>
      </c>
      <c r="D417" s="629">
        <v>4607091389500</v>
      </c>
      <c r="E417" s="629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631"/>
      <c r="R417" s="631"/>
      <c r="S417" s="631"/>
      <c r="T417" s="632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666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37"/>
      <c r="B418" s="637"/>
      <c r="C418" s="637"/>
      <c r="D418" s="637"/>
      <c r="E418" s="637"/>
      <c r="F418" s="637"/>
      <c r="G418" s="637"/>
      <c r="H418" s="637"/>
      <c r="I418" s="637"/>
      <c r="J418" s="637"/>
      <c r="K418" s="637"/>
      <c r="L418" s="637"/>
      <c r="M418" s="637"/>
      <c r="N418" s="637"/>
      <c r="O418" s="638"/>
      <c r="P418" s="634" t="s">
        <v>40</v>
      </c>
      <c r="Q418" s="635"/>
      <c r="R418" s="635"/>
      <c r="S418" s="635"/>
      <c r="T418" s="635"/>
      <c r="U418" s="635"/>
      <c r="V418" s="636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37"/>
      <c r="B419" s="637"/>
      <c r="C419" s="637"/>
      <c r="D419" s="637"/>
      <c r="E419" s="637"/>
      <c r="F419" s="637"/>
      <c r="G419" s="637"/>
      <c r="H419" s="637"/>
      <c r="I419" s="637"/>
      <c r="J419" s="637"/>
      <c r="K419" s="637"/>
      <c r="L419" s="637"/>
      <c r="M419" s="637"/>
      <c r="N419" s="637"/>
      <c r="O419" s="638"/>
      <c r="P419" s="634" t="s">
        <v>40</v>
      </c>
      <c r="Q419" s="635"/>
      <c r="R419" s="635"/>
      <c r="S419" s="635"/>
      <c r="T419" s="635"/>
      <c r="U419" s="635"/>
      <c r="V419" s="636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627" t="s">
        <v>669</v>
      </c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7"/>
      <c r="W420" s="627"/>
      <c r="X420" s="627"/>
      <c r="Y420" s="627"/>
      <c r="Z420" s="627"/>
      <c r="AA420" s="65"/>
      <c r="AB420" s="65"/>
      <c r="AC420" s="79"/>
    </row>
    <row r="421" spans="1:68" ht="14.25" customHeight="1" x14ac:dyDescent="0.25">
      <c r="A421" s="628" t="s">
        <v>78</v>
      </c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8"/>
      <c r="P421" s="628"/>
      <c r="Q421" s="628"/>
      <c r="R421" s="628"/>
      <c r="S421" s="628"/>
      <c r="T421" s="628"/>
      <c r="U421" s="628"/>
      <c r="V421" s="628"/>
      <c r="W421" s="628"/>
      <c r="X421" s="628"/>
      <c r="Y421" s="628"/>
      <c r="Z421" s="628"/>
      <c r="AA421" s="66"/>
      <c r="AB421" s="66"/>
      <c r="AC421" s="80"/>
    </row>
    <row r="422" spans="1:68" ht="27" customHeight="1" x14ac:dyDescent="0.25">
      <c r="A422" s="63" t="s">
        <v>670</v>
      </c>
      <c r="B422" s="63" t="s">
        <v>671</v>
      </c>
      <c r="C422" s="36">
        <v>4301031347</v>
      </c>
      <c r="D422" s="629">
        <v>4680115885110</v>
      </c>
      <c r="E422" s="629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631"/>
      <c r="R422" s="631"/>
      <c r="S422" s="631"/>
      <c r="T422" s="632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672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37"/>
      <c r="B423" s="637"/>
      <c r="C423" s="637"/>
      <c r="D423" s="637"/>
      <c r="E423" s="637"/>
      <c r="F423" s="637"/>
      <c r="G423" s="637"/>
      <c r="H423" s="637"/>
      <c r="I423" s="637"/>
      <c r="J423" s="637"/>
      <c r="K423" s="637"/>
      <c r="L423" s="637"/>
      <c r="M423" s="637"/>
      <c r="N423" s="637"/>
      <c r="O423" s="638"/>
      <c r="P423" s="634" t="s">
        <v>40</v>
      </c>
      <c r="Q423" s="635"/>
      <c r="R423" s="635"/>
      <c r="S423" s="635"/>
      <c r="T423" s="635"/>
      <c r="U423" s="635"/>
      <c r="V423" s="636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637"/>
      <c r="B424" s="637"/>
      <c r="C424" s="637"/>
      <c r="D424" s="637"/>
      <c r="E424" s="637"/>
      <c r="F424" s="637"/>
      <c r="G424" s="637"/>
      <c r="H424" s="637"/>
      <c r="I424" s="637"/>
      <c r="J424" s="637"/>
      <c r="K424" s="637"/>
      <c r="L424" s="637"/>
      <c r="M424" s="637"/>
      <c r="N424" s="637"/>
      <c r="O424" s="638"/>
      <c r="P424" s="634" t="s">
        <v>40</v>
      </c>
      <c r="Q424" s="635"/>
      <c r="R424" s="635"/>
      <c r="S424" s="635"/>
      <c r="T424" s="635"/>
      <c r="U424" s="635"/>
      <c r="V424" s="636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626" t="s">
        <v>673</v>
      </c>
      <c r="B425" s="626"/>
      <c r="C425" s="626"/>
      <c r="D425" s="626"/>
      <c r="E425" s="626"/>
      <c r="F425" s="626"/>
      <c r="G425" s="626"/>
      <c r="H425" s="626"/>
      <c r="I425" s="626"/>
      <c r="J425" s="626"/>
      <c r="K425" s="626"/>
      <c r="L425" s="626"/>
      <c r="M425" s="626"/>
      <c r="N425" s="626"/>
      <c r="O425" s="626"/>
      <c r="P425" s="626"/>
      <c r="Q425" s="626"/>
      <c r="R425" s="626"/>
      <c r="S425" s="626"/>
      <c r="T425" s="626"/>
      <c r="U425" s="626"/>
      <c r="V425" s="626"/>
      <c r="W425" s="626"/>
      <c r="X425" s="626"/>
      <c r="Y425" s="626"/>
      <c r="Z425" s="626"/>
      <c r="AA425" s="54"/>
      <c r="AB425" s="54"/>
      <c r="AC425" s="54"/>
    </row>
    <row r="426" spans="1:68" ht="16.5" customHeight="1" x14ac:dyDescent="0.25">
      <c r="A426" s="627" t="s">
        <v>673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65"/>
      <c r="AB426" s="65"/>
      <c r="AC426" s="79"/>
    </row>
    <row r="427" spans="1:68" ht="14.25" customHeight="1" x14ac:dyDescent="0.25">
      <c r="A427" s="628" t="s">
        <v>114</v>
      </c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8"/>
      <c r="P427" s="628"/>
      <c r="Q427" s="628"/>
      <c r="R427" s="628"/>
      <c r="S427" s="628"/>
      <c r="T427" s="628"/>
      <c r="U427" s="628"/>
      <c r="V427" s="628"/>
      <c r="W427" s="628"/>
      <c r="X427" s="628"/>
      <c r="Y427" s="628"/>
      <c r="Z427" s="628"/>
      <c r="AA427" s="66"/>
      <c r="AB427" s="66"/>
      <c r="AC427" s="80"/>
    </row>
    <row r="428" spans="1:68" ht="27" customHeight="1" x14ac:dyDescent="0.25">
      <c r="A428" s="63" t="s">
        <v>674</v>
      </c>
      <c r="B428" s="63" t="s">
        <v>675</v>
      </c>
      <c r="C428" s="36">
        <v>4301011795</v>
      </c>
      <c r="D428" s="629">
        <v>4607091389067</v>
      </c>
      <c r="E428" s="629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120</v>
      </c>
      <c r="M428" s="38" t="s">
        <v>118</v>
      </c>
      <c r="N428" s="38"/>
      <c r="O428" s="37">
        <v>60</v>
      </c>
      <c r="P428" s="84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631"/>
      <c r="R428" s="631"/>
      <c r="S428" s="631"/>
      <c r="T428" s="63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52">IFERROR(IF(X428="",0,CEILING((X428/$H428),1)*$H428),"")</f>
        <v>0</v>
      </c>
      <c r="Z428" s="41" t="str">
        <f t="shared" ref="Z428:Z434" si="53">IFERROR(IF(Y428=0,"",ROUNDUP(Y428/H428,0)*0.01196),"")</f>
        <v/>
      </c>
      <c r="AA428" s="68" t="s">
        <v>45</v>
      </c>
      <c r="AB428" s="69" t="s">
        <v>45</v>
      </c>
      <c r="AC428" s="492" t="s">
        <v>117</v>
      </c>
      <c r="AG428" s="78"/>
      <c r="AJ428" s="84" t="s">
        <v>103</v>
      </c>
      <c r="AK428" s="84">
        <v>42.24</v>
      </c>
      <c r="BB428" s="493" t="s">
        <v>66</v>
      </c>
      <c r="BM428" s="78">
        <f t="shared" ref="BM428:BM439" si="54">IFERROR(X428*I428/H428,"0")</f>
        <v>0</v>
      </c>
      <c r="BN428" s="78">
        <f t="shared" ref="BN428:BN439" si="55">IFERROR(Y428*I428/H428,"0")</f>
        <v>0</v>
      </c>
      <c r="BO428" s="78">
        <f t="shared" ref="BO428:BO439" si="56">IFERROR(1/J428*(X428/H428),"0")</f>
        <v>0</v>
      </c>
      <c r="BP428" s="78">
        <f t="shared" ref="BP428:BP439" si="57">IFERROR(1/J428*(Y428/H428),"0")</f>
        <v>0</v>
      </c>
    </row>
    <row r="429" spans="1:68" ht="27" customHeight="1" x14ac:dyDescent="0.25">
      <c r="A429" s="63" t="s">
        <v>676</v>
      </c>
      <c r="B429" s="63" t="s">
        <v>677</v>
      </c>
      <c r="C429" s="36">
        <v>4301012145</v>
      </c>
      <c r="D429" s="629">
        <v>4607091383522</v>
      </c>
      <c r="E429" s="629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84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631"/>
      <c r="R429" s="631"/>
      <c r="S429" s="631"/>
      <c r="T429" s="63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52"/>
        <v>0</v>
      </c>
      <c r="Z429" s="41" t="str">
        <f t="shared" si="53"/>
        <v/>
      </c>
      <c r="AA429" s="68" t="s">
        <v>45</v>
      </c>
      <c r="AB429" s="69" t="s">
        <v>45</v>
      </c>
      <c r="AC429" s="494" t="s">
        <v>678</v>
      </c>
      <c r="AG429" s="78"/>
      <c r="AJ429" s="84" t="s">
        <v>45</v>
      </c>
      <c r="AK429" s="84">
        <v>0</v>
      </c>
      <c r="BB429" s="495" t="s">
        <v>66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676</v>
      </c>
      <c r="B430" s="63" t="s">
        <v>679</v>
      </c>
      <c r="C430" s="36">
        <v>4301012210</v>
      </c>
      <c r="D430" s="629">
        <v>4607091383522</v>
      </c>
      <c r="E430" s="629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84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631"/>
      <c r="R430" s="631"/>
      <c r="S430" s="631"/>
      <c r="T430" s="63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52"/>
        <v>0</v>
      </c>
      <c r="Z430" s="41" t="str">
        <f t="shared" si="53"/>
        <v/>
      </c>
      <c r="AA430" s="68" t="s">
        <v>45</v>
      </c>
      <c r="AB430" s="69" t="s">
        <v>45</v>
      </c>
      <c r="AC430" s="496" t="s">
        <v>678</v>
      </c>
      <c r="AG430" s="78"/>
      <c r="AJ430" s="84" t="s">
        <v>45</v>
      </c>
      <c r="AK430" s="84">
        <v>0</v>
      </c>
      <c r="BB430" s="497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680</v>
      </c>
      <c r="B431" s="63" t="s">
        <v>681</v>
      </c>
      <c r="C431" s="36">
        <v>4301011961</v>
      </c>
      <c r="D431" s="629">
        <v>4680115885271</v>
      </c>
      <c r="E431" s="629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120</v>
      </c>
      <c r="M431" s="38" t="s">
        <v>118</v>
      </c>
      <c r="N431" s="38"/>
      <c r="O431" s="37">
        <v>60</v>
      </c>
      <c r="P431" s="84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631"/>
      <c r="R431" s="631"/>
      <c r="S431" s="631"/>
      <c r="T431" s="632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52"/>
        <v>0</v>
      </c>
      <c r="Z431" s="41" t="str">
        <f t="shared" si="53"/>
        <v/>
      </c>
      <c r="AA431" s="68" t="s">
        <v>45</v>
      </c>
      <c r="AB431" s="69" t="s">
        <v>45</v>
      </c>
      <c r="AC431" s="498" t="s">
        <v>682</v>
      </c>
      <c r="AG431" s="78"/>
      <c r="AJ431" s="84" t="s">
        <v>103</v>
      </c>
      <c r="AK431" s="84">
        <v>42.24</v>
      </c>
      <c r="BB431" s="499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683</v>
      </c>
      <c r="B432" s="63" t="s">
        <v>684</v>
      </c>
      <c r="C432" s="36">
        <v>4301011376</v>
      </c>
      <c r="D432" s="629">
        <v>4680115885226</v>
      </c>
      <c r="E432" s="629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120</v>
      </c>
      <c r="M432" s="38" t="s">
        <v>92</v>
      </c>
      <c r="N432" s="38"/>
      <c r="O432" s="37">
        <v>60</v>
      </c>
      <c r="P432" s="8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631"/>
      <c r="R432" s="631"/>
      <c r="S432" s="631"/>
      <c r="T432" s="632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52"/>
        <v>0</v>
      </c>
      <c r="Z432" s="41" t="str">
        <f t="shared" si="53"/>
        <v/>
      </c>
      <c r="AA432" s="68" t="s">
        <v>45</v>
      </c>
      <c r="AB432" s="69" t="s">
        <v>45</v>
      </c>
      <c r="AC432" s="500" t="s">
        <v>685</v>
      </c>
      <c r="AG432" s="78"/>
      <c r="AJ432" s="84" t="s">
        <v>103</v>
      </c>
      <c r="AK432" s="84">
        <v>42.24</v>
      </c>
      <c r="BB432" s="501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16.5" customHeight="1" x14ac:dyDescent="0.25">
      <c r="A433" s="63" t="s">
        <v>686</v>
      </c>
      <c r="B433" s="63" t="s">
        <v>687</v>
      </c>
      <c r="C433" s="36">
        <v>4301011774</v>
      </c>
      <c r="D433" s="629">
        <v>4680115884502</v>
      </c>
      <c r="E433" s="629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631"/>
      <c r="R433" s="631"/>
      <c r="S433" s="631"/>
      <c r="T433" s="632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52"/>
        <v>0</v>
      </c>
      <c r="Z433" s="41" t="str">
        <f t="shared" si="53"/>
        <v/>
      </c>
      <c r="AA433" s="68" t="s">
        <v>45</v>
      </c>
      <c r="AB433" s="69" t="s">
        <v>45</v>
      </c>
      <c r="AC433" s="502" t="s">
        <v>688</v>
      </c>
      <c r="AG433" s="78"/>
      <c r="AJ433" s="84" t="s">
        <v>45</v>
      </c>
      <c r="AK433" s="84">
        <v>0</v>
      </c>
      <c r="BB433" s="503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ht="27" customHeight="1" x14ac:dyDescent="0.25">
      <c r="A434" s="63" t="s">
        <v>689</v>
      </c>
      <c r="B434" s="63" t="s">
        <v>690</v>
      </c>
      <c r="C434" s="36">
        <v>4301011771</v>
      </c>
      <c r="D434" s="629">
        <v>4607091389104</v>
      </c>
      <c r="E434" s="62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119</v>
      </c>
      <c r="L434" s="37" t="s">
        <v>120</v>
      </c>
      <c r="M434" s="38" t="s">
        <v>118</v>
      </c>
      <c r="N434" s="38"/>
      <c r="O434" s="37">
        <v>60</v>
      </c>
      <c r="P434" s="8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631"/>
      <c r="R434" s="631"/>
      <c r="S434" s="631"/>
      <c r="T434" s="632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52"/>
        <v>0</v>
      </c>
      <c r="Z434" s="41" t="str">
        <f t="shared" si="53"/>
        <v/>
      </c>
      <c r="AA434" s="68" t="s">
        <v>45</v>
      </c>
      <c r="AB434" s="69" t="s">
        <v>45</v>
      </c>
      <c r="AC434" s="504" t="s">
        <v>691</v>
      </c>
      <c r="AG434" s="78"/>
      <c r="AJ434" s="84" t="s">
        <v>103</v>
      </c>
      <c r="AK434" s="84">
        <v>42.24</v>
      </c>
      <c r="BB434" s="505" t="s">
        <v>66</v>
      </c>
      <c r="BM434" s="78">
        <f t="shared" si="54"/>
        <v>0</v>
      </c>
      <c r="BN434" s="78">
        <f t="shared" si="55"/>
        <v>0</v>
      </c>
      <c r="BO434" s="78">
        <f t="shared" si="56"/>
        <v>0</v>
      </c>
      <c r="BP434" s="78">
        <f t="shared" si="57"/>
        <v>0</v>
      </c>
    </row>
    <row r="435" spans="1:68" ht="27" customHeight="1" x14ac:dyDescent="0.25">
      <c r="A435" s="63" t="s">
        <v>692</v>
      </c>
      <c r="B435" s="63" t="s">
        <v>693</v>
      </c>
      <c r="C435" s="36">
        <v>4301012125</v>
      </c>
      <c r="D435" s="629">
        <v>4680115886391</v>
      </c>
      <c r="E435" s="62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8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631"/>
      <c r="R435" s="631"/>
      <c r="S435" s="631"/>
      <c r="T435" s="632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5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4"/>
        <v>0</v>
      </c>
      <c r="BN435" s="78">
        <f t="shared" si="55"/>
        <v>0</v>
      </c>
      <c r="BO435" s="78">
        <f t="shared" si="56"/>
        <v>0</v>
      </c>
      <c r="BP435" s="78">
        <f t="shared" si="57"/>
        <v>0</v>
      </c>
    </row>
    <row r="436" spans="1:68" ht="27" customHeight="1" x14ac:dyDescent="0.25">
      <c r="A436" s="63" t="s">
        <v>694</v>
      </c>
      <c r="B436" s="63" t="s">
        <v>695</v>
      </c>
      <c r="C436" s="36">
        <v>4301012035</v>
      </c>
      <c r="D436" s="629">
        <v>4680115880603</v>
      </c>
      <c r="E436" s="62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123</v>
      </c>
      <c r="L436" s="37" t="s">
        <v>45</v>
      </c>
      <c r="M436" s="38" t="s">
        <v>118</v>
      </c>
      <c r="N436" s="38"/>
      <c r="O436" s="37">
        <v>60</v>
      </c>
      <c r="P436" s="8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631"/>
      <c r="R436" s="631"/>
      <c r="S436" s="631"/>
      <c r="T436" s="632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5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117</v>
      </c>
      <c r="AG436" s="78"/>
      <c r="AJ436" s="84" t="s">
        <v>45</v>
      </c>
      <c r="AK436" s="84">
        <v>0</v>
      </c>
      <c r="BB436" s="509" t="s">
        <v>66</v>
      </c>
      <c r="BM436" s="78">
        <f t="shared" si="54"/>
        <v>0</v>
      </c>
      <c r="BN436" s="78">
        <f t="shared" si="55"/>
        <v>0</v>
      </c>
      <c r="BO436" s="78">
        <f t="shared" si="56"/>
        <v>0</v>
      </c>
      <c r="BP436" s="78">
        <f t="shared" si="57"/>
        <v>0</v>
      </c>
    </row>
    <row r="437" spans="1:68" ht="27" customHeight="1" x14ac:dyDescent="0.25">
      <c r="A437" s="63" t="s">
        <v>696</v>
      </c>
      <c r="B437" s="63" t="s">
        <v>697</v>
      </c>
      <c r="C437" s="36">
        <v>4301012036</v>
      </c>
      <c r="D437" s="629">
        <v>4680115882782</v>
      </c>
      <c r="E437" s="629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123</v>
      </c>
      <c r="L437" s="37" t="s">
        <v>45</v>
      </c>
      <c r="M437" s="38" t="s">
        <v>118</v>
      </c>
      <c r="N437" s="38"/>
      <c r="O437" s="37">
        <v>60</v>
      </c>
      <c r="P437" s="84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631"/>
      <c r="R437" s="631"/>
      <c r="S437" s="631"/>
      <c r="T437" s="632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52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682</v>
      </c>
      <c r="AG437" s="78"/>
      <c r="AJ437" s="84" t="s">
        <v>45</v>
      </c>
      <c r="AK437" s="84">
        <v>0</v>
      </c>
      <c r="BB437" s="511" t="s">
        <v>66</v>
      </c>
      <c r="BM437" s="78">
        <f t="shared" si="54"/>
        <v>0</v>
      </c>
      <c r="BN437" s="78">
        <f t="shared" si="55"/>
        <v>0</v>
      </c>
      <c r="BO437" s="78">
        <f t="shared" si="56"/>
        <v>0</v>
      </c>
      <c r="BP437" s="78">
        <f t="shared" si="57"/>
        <v>0</v>
      </c>
    </row>
    <row r="438" spans="1:68" ht="27" customHeight="1" x14ac:dyDescent="0.25">
      <c r="A438" s="63" t="s">
        <v>698</v>
      </c>
      <c r="B438" s="63" t="s">
        <v>699</v>
      </c>
      <c r="C438" s="36">
        <v>4301012050</v>
      </c>
      <c r="D438" s="629">
        <v>4680115885479</v>
      </c>
      <c r="E438" s="629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118</v>
      </c>
      <c r="N438" s="38"/>
      <c r="O438" s="37">
        <v>60</v>
      </c>
      <c r="P438" s="8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631"/>
      <c r="R438" s="631"/>
      <c r="S438" s="631"/>
      <c r="T438" s="632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52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700</v>
      </c>
      <c r="AG438" s="78"/>
      <c r="AJ438" s="84" t="s">
        <v>45</v>
      </c>
      <c r="AK438" s="84">
        <v>0</v>
      </c>
      <c r="BB438" s="513" t="s">
        <v>66</v>
      </c>
      <c r="BM438" s="78">
        <f t="shared" si="54"/>
        <v>0</v>
      </c>
      <c r="BN438" s="78">
        <f t="shared" si="55"/>
        <v>0</v>
      </c>
      <c r="BO438" s="78">
        <f t="shared" si="56"/>
        <v>0</v>
      </c>
      <c r="BP438" s="78">
        <f t="shared" si="57"/>
        <v>0</v>
      </c>
    </row>
    <row r="439" spans="1:68" ht="27" customHeight="1" x14ac:dyDescent="0.25">
      <c r="A439" s="63" t="s">
        <v>701</v>
      </c>
      <c r="B439" s="63" t="s">
        <v>702</v>
      </c>
      <c r="C439" s="36">
        <v>4301012034</v>
      </c>
      <c r="D439" s="629">
        <v>4607091389982</v>
      </c>
      <c r="E439" s="629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123</v>
      </c>
      <c r="L439" s="37" t="s">
        <v>45</v>
      </c>
      <c r="M439" s="38" t="s">
        <v>118</v>
      </c>
      <c r="N439" s="38"/>
      <c r="O439" s="37">
        <v>60</v>
      </c>
      <c r="P439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631"/>
      <c r="R439" s="631"/>
      <c r="S439" s="631"/>
      <c r="T439" s="632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52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691</v>
      </c>
      <c r="AG439" s="78"/>
      <c r="AJ439" s="84" t="s">
        <v>45</v>
      </c>
      <c r="AK439" s="84">
        <v>0</v>
      </c>
      <c r="BB439" s="515" t="s">
        <v>66</v>
      </c>
      <c r="BM439" s="78">
        <f t="shared" si="54"/>
        <v>0</v>
      </c>
      <c r="BN439" s="78">
        <f t="shared" si="55"/>
        <v>0</v>
      </c>
      <c r="BO439" s="78">
        <f t="shared" si="56"/>
        <v>0</v>
      </c>
      <c r="BP439" s="78">
        <f t="shared" si="57"/>
        <v>0</v>
      </c>
    </row>
    <row r="440" spans="1:68" x14ac:dyDescent="0.2">
      <c r="A440" s="637"/>
      <c r="B440" s="637"/>
      <c r="C440" s="637"/>
      <c r="D440" s="637"/>
      <c r="E440" s="637"/>
      <c r="F440" s="637"/>
      <c r="G440" s="637"/>
      <c r="H440" s="637"/>
      <c r="I440" s="637"/>
      <c r="J440" s="637"/>
      <c r="K440" s="637"/>
      <c r="L440" s="637"/>
      <c r="M440" s="637"/>
      <c r="N440" s="637"/>
      <c r="O440" s="638"/>
      <c r="P440" s="634" t="s">
        <v>40</v>
      </c>
      <c r="Q440" s="635"/>
      <c r="R440" s="635"/>
      <c r="S440" s="635"/>
      <c r="T440" s="635"/>
      <c r="U440" s="635"/>
      <c r="V440" s="636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37"/>
      <c r="B441" s="637"/>
      <c r="C441" s="637"/>
      <c r="D441" s="637"/>
      <c r="E441" s="637"/>
      <c r="F441" s="637"/>
      <c r="G441" s="637"/>
      <c r="H441" s="637"/>
      <c r="I441" s="637"/>
      <c r="J441" s="637"/>
      <c r="K441" s="637"/>
      <c r="L441" s="637"/>
      <c r="M441" s="637"/>
      <c r="N441" s="637"/>
      <c r="O441" s="638"/>
      <c r="P441" s="634" t="s">
        <v>40</v>
      </c>
      <c r="Q441" s="635"/>
      <c r="R441" s="635"/>
      <c r="S441" s="635"/>
      <c r="T441" s="635"/>
      <c r="U441" s="635"/>
      <c r="V441" s="636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628" t="s">
        <v>149</v>
      </c>
      <c r="B442" s="628"/>
      <c r="C442" s="628"/>
      <c r="D442" s="628"/>
      <c r="E442" s="628"/>
      <c r="F442" s="628"/>
      <c r="G442" s="628"/>
      <c r="H442" s="628"/>
      <c r="I442" s="628"/>
      <c r="J442" s="628"/>
      <c r="K442" s="628"/>
      <c r="L442" s="628"/>
      <c r="M442" s="628"/>
      <c r="N442" s="628"/>
      <c r="O442" s="628"/>
      <c r="P442" s="628"/>
      <c r="Q442" s="628"/>
      <c r="R442" s="628"/>
      <c r="S442" s="628"/>
      <c r="T442" s="628"/>
      <c r="U442" s="628"/>
      <c r="V442" s="628"/>
      <c r="W442" s="628"/>
      <c r="X442" s="628"/>
      <c r="Y442" s="628"/>
      <c r="Z442" s="628"/>
      <c r="AA442" s="66"/>
      <c r="AB442" s="66"/>
      <c r="AC442" s="80"/>
    </row>
    <row r="443" spans="1:68" ht="16.5" customHeight="1" x14ac:dyDescent="0.25">
      <c r="A443" s="63" t="s">
        <v>703</v>
      </c>
      <c r="B443" s="63" t="s">
        <v>704</v>
      </c>
      <c r="C443" s="36">
        <v>4301020334</v>
      </c>
      <c r="D443" s="629">
        <v>4607091388930</v>
      </c>
      <c r="E443" s="629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119</v>
      </c>
      <c r="L443" s="37" t="s">
        <v>120</v>
      </c>
      <c r="M443" s="38" t="s">
        <v>92</v>
      </c>
      <c r="N443" s="38"/>
      <c r="O443" s="37">
        <v>70</v>
      </c>
      <c r="P443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631"/>
      <c r="R443" s="631"/>
      <c r="S443" s="631"/>
      <c r="T443" s="632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705</v>
      </c>
      <c r="AG443" s="78"/>
      <c r="AJ443" s="84" t="s">
        <v>103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706</v>
      </c>
      <c r="B444" s="63" t="s">
        <v>707</v>
      </c>
      <c r="C444" s="36">
        <v>4301020384</v>
      </c>
      <c r="D444" s="629">
        <v>4680115886407</v>
      </c>
      <c r="E444" s="629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8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631"/>
      <c r="R444" s="631"/>
      <c r="S444" s="631"/>
      <c r="T444" s="632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705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708</v>
      </c>
      <c r="B445" s="63" t="s">
        <v>709</v>
      </c>
      <c r="C445" s="36">
        <v>4301020385</v>
      </c>
      <c r="D445" s="629">
        <v>4680115880054</v>
      </c>
      <c r="E445" s="629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123</v>
      </c>
      <c r="L445" s="37" t="s">
        <v>45</v>
      </c>
      <c r="M445" s="38" t="s">
        <v>118</v>
      </c>
      <c r="N445" s="38"/>
      <c r="O445" s="37">
        <v>70</v>
      </c>
      <c r="P445" s="8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631"/>
      <c r="R445" s="631"/>
      <c r="S445" s="631"/>
      <c r="T445" s="632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705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37"/>
      <c r="B446" s="637"/>
      <c r="C446" s="637"/>
      <c r="D446" s="637"/>
      <c r="E446" s="637"/>
      <c r="F446" s="637"/>
      <c r="G446" s="637"/>
      <c r="H446" s="637"/>
      <c r="I446" s="637"/>
      <c r="J446" s="637"/>
      <c r="K446" s="637"/>
      <c r="L446" s="637"/>
      <c r="M446" s="637"/>
      <c r="N446" s="637"/>
      <c r="O446" s="638"/>
      <c r="P446" s="634" t="s">
        <v>40</v>
      </c>
      <c r="Q446" s="635"/>
      <c r="R446" s="635"/>
      <c r="S446" s="635"/>
      <c r="T446" s="635"/>
      <c r="U446" s="635"/>
      <c r="V446" s="63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37"/>
      <c r="B447" s="637"/>
      <c r="C447" s="637"/>
      <c r="D447" s="637"/>
      <c r="E447" s="637"/>
      <c r="F447" s="637"/>
      <c r="G447" s="637"/>
      <c r="H447" s="637"/>
      <c r="I447" s="637"/>
      <c r="J447" s="637"/>
      <c r="K447" s="637"/>
      <c r="L447" s="637"/>
      <c r="M447" s="637"/>
      <c r="N447" s="637"/>
      <c r="O447" s="638"/>
      <c r="P447" s="634" t="s">
        <v>40</v>
      </c>
      <c r="Q447" s="635"/>
      <c r="R447" s="635"/>
      <c r="S447" s="635"/>
      <c r="T447" s="635"/>
      <c r="U447" s="635"/>
      <c r="V447" s="63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28" t="s">
        <v>78</v>
      </c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8"/>
      <c r="P448" s="628"/>
      <c r="Q448" s="628"/>
      <c r="R448" s="628"/>
      <c r="S448" s="628"/>
      <c r="T448" s="628"/>
      <c r="U448" s="628"/>
      <c r="V448" s="628"/>
      <c r="W448" s="628"/>
      <c r="X448" s="628"/>
      <c r="Y448" s="628"/>
      <c r="Z448" s="628"/>
      <c r="AA448" s="66"/>
      <c r="AB448" s="66"/>
      <c r="AC448" s="80"/>
    </row>
    <row r="449" spans="1:68" ht="27" customHeight="1" x14ac:dyDescent="0.25">
      <c r="A449" s="63" t="s">
        <v>710</v>
      </c>
      <c r="B449" s="63" t="s">
        <v>711</v>
      </c>
      <c r="C449" s="36">
        <v>4301031349</v>
      </c>
      <c r="D449" s="629">
        <v>4680115883116</v>
      </c>
      <c r="E449" s="629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120</v>
      </c>
      <c r="M449" s="38" t="s">
        <v>118</v>
      </c>
      <c r="N449" s="38"/>
      <c r="O449" s="37">
        <v>70</v>
      </c>
      <c r="P449" s="85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631"/>
      <c r="R449" s="631"/>
      <c r="S449" s="631"/>
      <c r="T449" s="632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8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712</v>
      </c>
      <c r="AG449" s="78"/>
      <c r="AJ449" s="84" t="s">
        <v>103</v>
      </c>
      <c r="AK449" s="84">
        <v>42.24</v>
      </c>
      <c r="BB449" s="523" t="s">
        <v>66</v>
      </c>
      <c r="BM449" s="78">
        <f t="shared" ref="BM449:BM454" si="59">IFERROR(X449*I449/H449,"0")</f>
        <v>0</v>
      </c>
      <c r="BN449" s="78">
        <f t="shared" ref="BN449:BN454" si="60">IFERROR(Y449*I449/H449,"0")</f>
        <v>0</v>
      </c>
      <c r="BO449" s="78">
        <f t="shared" ref="BO449:BO454" si="61">IFERROR(1/J449*(X449/H449),"0")</f>
        <v>0</v>
      </c>
      <c r="BP449" s="78">
        <f t="shared" ref="BP449:BP454" si="62">IFERROR(1/J449*(Y449/H449),"0")</f>
        <v>0</v>
      </c>
    </row>
    <row r="450" spans="1:68" ht="27" customHeight="1" x14ac:dyDescent="0.25">
      <c r="A450" s="63" t="s">
        <v>713</v>
      </c>
      <c r="B450" s="63" t="s">
        <v>714</v>
      </c>
      <c r="C450" s="36">
        <v>4301031350</v>
      </c>
      <c r="D450" s="629">
        <v>4680115883093</v>
      </c>
      <c r="E450" s="629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120</v>
      </c>
      <c r="M450" s="38" t="s">
        <v>82</v>
      </c>
      <c r="N450" s="38"/>
      <c r="O450" s="37">
        <v>70</v>
      </c>
      <c r="P450" s="8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631"/>
      <c r="R450" s="631"/>
      <c r="S450" s="631"/>
      <c r="T450" s="632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8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715</v>
      </c>
      <c r="AG450" s="78"/>
      <c r="AJ450" s="84" t="s">
        <v>103</v>
      </c>
      <c r="AK450" s="84">
        <v>42.24</v>
      </c>
      <c r="BB450" s="525" t="s">
        <v>66</v>
      </c>
      <c r="BM450" s="78">
        <f t="shared" si="59"/>
        <v>0</v>
      </c>
      <c r="BN450" s="78">
        <f t="shared" si="60"/>
        <v>0</v>
      </c>
      <c r="BO450" s="78">
        <f t="shared" si="61"/>
        <v>0</v>
      </c>
      <c r="BP450" s="78">
        <f t="shared" si="62"/>
        <v>0</v>
      </c>
    </row>
    <row r="451" spans="1:68" ht="27" customHeight="1" x14ac:dyDescent="0.25">
      <c r="A451" s="63" t="s">
        <v>716</v>
      </c>
      <c r="B451" s="63" t="s">
        <v>717</v>
      </c>
      <c r="C451" s="36">
        <v>4301031353</v>
      </c>
      <c r="D451" s="629">
        <v>4680115883109</v>
      </c>
      <c r="E451" s="629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119</v>
      </c>
      <c r="L451" s="37" t="s">
        <v>120</v>
      </c>
      <c r="M451" s="38" t="s">
        <v>82</v>
      </c>
      <c r="N451" s="38"/>
      <c r="O451" s="37">
        <v>70</v>
      </c>
      <c r="P451" s="85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631"/>
      <c r="R451" s="631"/>
      <c r="S451" s="631"/>
      <c r="T451" s="632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8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718</v>
      </c>
      <c r="AG451" s="78"/>
      <c r="AJ451" s="84" t="s">
        <v>103</v>
      </c>
      <c r="AK451" s="84">
        <v>42.24</v>
      </c>
      <c r="BB451" s="527" t="s">
        <v>66</v>
      </c>
      <c r="BM451" s="78">
        <f t="shared" si="59"/>
        <v>0</v>
      </c>
      <c r="BN451" s="78">
        <f t="shared" si="60"/>
        <v>0</v>
      </c>
      <c r="BO451" s="78">
        <f t="shared" si="61"/>
        <v>0</v>
      </c>
      <c r="BP451" s="78">
        <f t="shared" si="62"/>
        <v>0</v>
      </c>
    </row>
    <row r="452" spans="1:68" ht="27" customHeight="1" x14ac:dyDescent="0.25">
      <c r="A452" s="63" t="s">
        <v>719</v>
      </c>
      <c r="B452" s="63" t="s">
        <v>720</v>
      </c>
      <c r="C452" s="36">
        <v>4301031419</v>
      </c>
      <c r="D452" s="629">
        <v>4680115882072</v>
      </c>
      <c r="E452" s="629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123</v>
      </c>
      <c r="L452" s="37" t="s">
        <v>45</v>
      </c>
      <c r="M452" s="38" t="s">
        <v>118</v>
      </c>
      <c r="N452" s="38"/>
      <c r="O452" s="37">
        <v>70</v>
      </c>
      <c r="P452" s="8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631"/>
      <c r="R452" s="631"/>
      <c r="S452" s="631"/>
      <c r="T452" s="632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8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712</v>
      </c>
      <c r="AG452" s="78"/>
      <c r="AJ452" s="84" t="s">
        <v>45</v>
      </c>
      <c r="AK452" s="84">
        <v>0</v>
      </c>
      <c r="BB452" s="529" t="s">
        <v>66</v>
      </c>
      <c r="BM452" s="78">
        <f t="shared" si="59"/>
        <v>0</v>
      </c>
      <c r="BN452" s="78">
        <f t="shared" si="60"/>
        <v>0</v>
      </c>
      <c r="BO452" s="78">
        <f t="shared" si="61"/>
        <v>0</v>
      </c>
      <c r="BP452" s="78">
        <f t="shared" si="62"/>
        <v>0</v>
      </c>
    </row>
    <row r="453" spans="1:68" ht="27" customHeight="1" x14ac:dyDescent="0.25">
      <c r="A453" s="63" t="s">
        <v>721</v>
      </c>
      <c r="B453" s="63" t="s">
        <v>722</v>
      </c>
      <c r="C453" s="36">
        <v>4301031418</v>
      </c>
      <c r="D453" s="629">
        <v>4680115882102</v>
      </c>
      <c r="E453" s="629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123</v>
      </c>
      <c r="L453" s="37" t="s">
        <v>45</v>
      </c>
      <c r="M453" s="38" t="s">
        <v>82</v>
      </c>
      <c r="N453" s="38"/>
      <c r="O453" s="37">
        <v>70</v>
      </c>
      <c r="P453" s="8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31"/>
      <c r="R453" s="631"/>
      <c r="S453" s="631"/>
      <c r="T453" s="632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8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715</v>
      </c>
      <c r="AG453" s="78"/>
      <c r="AJ453" s="84" t="s">
        <v>45</v>
      </c>
      <c r="AK453" s="84">
        <v>0</v>
      </c>
      <c r="BB453" s="531" t="s">
        <v>66</v>
      </c>
      <c r="BM453" s="78">
        <f t="shared" si="59"/>
        <v>0</v>
      </c>
      <c r="BN453" s="78">
        <f t="shared" si="60"/>
        <v>0</v>
      </c>
      <c r="BO453" s="78">
        <f t="shared" si="61"/>
        <v>0</v>
      </c>
      <c r="BP453" s="78">
        <f t="shared" si="62"/>
        <v>0</v>
      </c>
    </row>
    <row r="454" spans="1:68" ht="27" customHeight="1" x14ac:dyDescent="0.25">
      <c r="A454" s="63" t="s">
        <v>723</v>
      </c>
      <c r="B454" s="63" t="s">
        <v>724</v>
      </c>
      <c r="C454" s="36">
        <v>4301031417</v>
      </c>
      <c r="D454" s="629">
        <v>4680115882096</v>
      </c>
      <c r="E454" s="629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123</v>
      </c>
      <c r="L454" s="37" t="s">
        <v>45</v>
      </c>
      <c r="M454" s="38" t="s">
        <v>82</v>
      </c>
      <c r="N454" s="38"/>
      <c r="O454" s="37">
        <v>70</v>
      </c>
      <c r="P454" s="8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31"/>
      <c r="R454" s="631"/>
      <c r="S454" s="631"/>
      <c r="T454" s="632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8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718</v>
      </c>
      <c r="AG454" s="78"/>
      <c r="AJ454" s="84" t="s">
        <v>45</v>
      </c>
      <c r="AK454" s="84">
        <v>0</v>
      </c>
      <c r="BB454" s="533" t="s">
        <v>66</v>
      </c>
      <c r="BM454" s="78">
        <f t="shared" si="59"/>
        <v>0</v>
      </c>
      <c r="BN454" s="78">
        <f t="shared" si="60"/>
        <v>0</v>
      </c>
      <c r="BO454" s="78">
        <f t="shared" si="61"/>
        <v>0</v>
      </c>
      <c r="BP454" s="78">
        <f t="shared" si="62"/>
        <v>0</v>
      </c>
    </row>
    <row r="455" spans="1:68" x14ac:dyDescent="0.2">
      <c r="A455" s="637"/>
      <c r="B455" s="637"/>
      <c r="C455" s="637"/>
      <c r="D455" s="637"/>
      <c r="E455" s="637"/>
      <c r="F455" s="637"/>
      <c r="G455" s="637"/>
      <c r="H455" s="637"/>
      <c r="I455" s="637"/>
      <c r="J455" s="637"/>
      <c r="K455" s="637"/>
      <c r="L455" s="637"/>
      <c r="M455" s="637"/>
      <c r="N455" s="637"/>
      <c r="O455" s="638"/>
      <c r="P455" s="634" t="s">
        <v>40</v>
      </c>
      <c r="Q455" s="635"/>
      <c r="R455" s="635"/>
      <c r="S455" s="635"/>
      <c r="T455" s="635"/>
      <c r="U455" s="635"/>
      <c r="V455" s="636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637"/>
      <c r="B456" s="637"/>
      <c r="C456" s="637"/>
      <c r="D456" s="637"/>
      <c r="E456" s="637"/>
      <c r="F456" s="637"/>
      <c r="G456" s="637"/>
      <c r="H456" s="637"/>
      <c r="I456" s="637"/>
      <c r="J456" s="637"/>
      <c r="K456" s="637"/>
      <c r="L456" s="637"/>
      <c r="M456" s="637"/>
      <c r="N456" s="637"/>
      <c r="O456" s="638"/>
      <c r="P456" s="634" t="s">
        <v>40</v>
      </c>
      <c r="Q456" s="635"/>
      <c r="R456" s="635"/>
      <c r="S456" s="635"/>
      <c r="T456" s="635"/>
      <c r="U456" s="635"/>
      <c r="V456" s="636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customHeight="1" x14ac:dyDescent="0.25">
      <c r="A457" s="628" t="s">
        <v>88</v>
      </c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8"/>
      <c r="P457" s="628"/>
      <c r="Q457" s="628"/>
      <c r="R457" s="628"/>
      <c r="S457" s="628"/>
      <c r="T457" s="628"/>
      <c r="U457" s="628"/>
      <c r="V457" s="628"/>
      <c r="W457" s="628"/>
      <c r="X457" s="628"/>
      <c r="Y457" s="628"/>
      <c r="Z457" s="628"/>
      <c r="AA457" s="66"/>
      <c r="AB457" s="66"/>
      <c r="AC457" s="80"/>
    </row>
    <row r="458" spans="1:68" ht="27" customHeight="1" x14ac:dyDescent="0.25">
      <c r="A458" s="63" t="s">
        <v>725</v>
      </c>
      <c r="B458" s="63" t="s">
        <v>726</v>
      </c>
      <c r="C458" s="36">
        <v>4301051064</v>
      </c>
      <c r="D458" s="629">
        <v>4680115883536</v>
      </c>
      <c r="E458" s="629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86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631"/>
      <c r="R458" s="631"/>
      <c r="S458" s="631"/>
      <c r="T458" s="63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727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637"/>
      <c r="B459" s="637"/>
      <c r="C459" s="637"/>
      <c r="D459" s="637"/>
      <c r="E459" s="637"/>
      <c r="F459" s="637"/>
      <c r="G459" s="637"/>
      <c r="H459" s="637"/>
      <c r="I459" s="637"/>
      <c r="J459" s="637"/>
      <c r="K459" s="637"/>
      <c r="L459" s="637"/>
      <c r="M459" s="637"/>
      <c r="N459" s="637"/>
      <c r="O459" s="638"/>
      <c r="P459" s="634" t="s">
        <v>40</v>
      </c>
      <c r="Q459" s="635"/>
      <c r="R459" s="635"/>
      <c r="S459" s="635"/>
      <c r="T459" s="635"/>
      <c r="U459" s="635"/>
      <c r="V459" s="636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637"/>
      <c r="B460" s="637"/>
      <c r="C460" s="637"/>
      <c r="D460" s="637"/>
      <c r="E460" s="637"/>
      <c r="F460" s="637"/>
      <c r="G460" s="637"/>
      <c r="H460" s="637"/>
      <c r="I460" s="637"/>
      <c r="J460" s="637"/>
      <c r="K460" s="637"/>
      <c r="L460" s="637"/>
      <c r="M460" s="637"/>
      <c r="N460" s="637"/>
      <c r="O460" s="638"/>
      <c r="P460" s="634" t="s">
        <v>40</v>
      </c>
      <c r="Q460" s="635"/>
      <c r="R460" s="635"/>
      <c r="S460" s="635"/>
      <c r="T460" s="635"/>
      <c r="U460" s="635"/>
      <c r="V460" s="636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customHeight="1" x14ac:dyDescent="0.2">
      <c r="A461" s="626" t="s">
        <v>728</v>
      </c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6"/>
      <c r="P461" s="626"/>
      <c r="Q461" s="626"/>
      <c r="R461" s="626"/>
      <c r="S461" s="626"/>
      <c r="T461" s="626"/>
      <c r="U461" s="626"/>
      <c r="V461" s="626"/>
      <c r="W461" s="626"/>
      <c r="X461" s="626"/>
      <c r="Y461" s="626"/>
      <c r="Z461" s="626"/>
      <c r="AA461" s="54"/>
      <c r="AB461" s="54"/>
      <c r="AC461" s="54"/>
    </row>
    <row r="462" spans="1:68" ht="16.5" customHeight="1" x14ac:dyDescent="0.25">
      <c r="A462" s="627" t="s">
        <v>728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65"/>
      <c r="AB462" s="65"/>
      <c r="AC462" s="79"/>
    </row>
    <row r="463" spans="1:68" ht="14.25" customHeight="1" x14ac:dyDescent="0.25">
      <c r="A463" s="628" t="s">
        <v>114</v>
      </c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8"/>
      <c r="P463" s="628"/>
      <c r="Q463" s="628"/>
      <c r="R463" s="628"/>
      <c r="S463" s="628"/>
      <c r="T463" s="628"/>
      <c r="U463" s="628"/>
      <c r="V463" s="628"/>
      <c r="W463" s="628"/>
      <c r="X463" s="628"/>
      <c r="Y463" s="628"/>
      <c r="Z463" s="628"/>
      <c r="AA463" s="66"/>
      <c r="AB463" s="66"/>
      <c r="AC463" s="80"/>
    </row>
    <row r="464" spans="1:68" ht="27" customHeight="1" x14ac:dyDescent="0.25">
      <c r="A464" s="63" t="s">
        <v>729</v>
      </c>
      <c r="B464" s="63" t="s">
        <v>730</v>
      </c>
      <c r="C464" s="36">
        <v>4301011763</v>
      </c>
      <c r="D464" s="629">
        <v>4640242181011</v>
      </c>
      <c r="E464" s="629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119</v>
      </c>
      <c r="L464" s="37" t="s">
        <v>45</v>
      </c>
      <c r="M464" s="38" t="s">
        <v>92</v>
      </c>
      <c r="N464" s="38"/>
      <c r="O464" s="37">
        <v>55</v>
      </c>
      <c r="P464" s="86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631"/>
      <c r="R464" s="631"/>
      <c r="S464" s="631"/>
      <c r="T464" s="63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731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732</v>
      </c>
      <c r="B465" s="63" t="s">
        <v>733</v>
      </c>
      <c r="C465" s="36">
        <v>4301011585</v>
      </c>
      <c r="D465" s="629">
        <v>4640242180441</v>
      </c>
      <c r="E465" s="629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119</v>
      </c>
      <c r="L465" s="37" t="s">
        <v>45</v>
      </c>
      <c r="M465" s="38" t="s">
        <v>118</v>
      </c>
      <c r="N465" s="38"/>
      <c r="O465" s="37">
        <v>50</v>
      </c>
      <c r="P465" s="86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631"/>
      <c r="R465" s="631"/>
      <c r="S465" s="631"/>
      <c r="T465" s="63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734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735</v>
      </c>
      <c r="B466" s="63" t="s">
        <v>736</v>
      </c>
      <c r="C466" s="36">
        <v>4301011584</v>
      </c>
      <c r="D466" s="629">
        <v>4640242180564</v>
      </c>
      <c r="E466" s="629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119</v>
      </c>
      <c r="L466" s="37" t="s">
        <v>120</v>
      </c>
      <c r="M466" s="38" t="s">
        <v>118</v>
      </c>
      <c r="N466" s="38"/>
      <c r="O466" s="37">
        <v>50</v>
      </c>
      <c r="P466" s="8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631"/>
      <c r="R466" s="631"/>
      <c r="S466" s="631"/>
      <c r="T466" s="63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737</v>
      </c>
      <c r="AG466" s="78"/>
      <c r="AJ466" s="84" t="s">
        <v>103</v>
      </c>
      <c r="AK466" s="84">
        <v>96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738</v>
      </c>
      <c r="B467" s="63" t="s">
        <v>739</v>
      </c>
      <c r="C467" s="36">
        <v>4301011764</v>
      </c>
      <c r="D467" s="629">
        <v>4640242181189</v>
      </c>
      <c r="E467" s="629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123</v>
      </c>
      <c r="L467" s="37" t="s">
        <v>45</v>
      </c>
      <c r="M467" s="38" t="s">
        <v>92</v>
      </c>
      <c r="N467" s="38"/>
      <c r="O467" s="37">
        <v>55</v>
      </c>
      <c r="P467" s="8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631"/>
      <c r="R467" s="631"/>
      <c r="S467" s="631"/>
      <c r="T467" s="632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731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7"/>
      <c r="B468" s="637"/>
      <c r="C468" s="637"/>
      <c r="D468" s="637"/>
      <c r="E468" s="637"/>
      <c r="F468" s="637"/>
      <c r="G468" s="637"/>
      <c r="H468" s="637"/>
      <c r="I468" s="637"/>
      <c r="J468" s="637"/>
      <c r="K468" s="637"/>
      <c r="L468" s="637"/>
      <c r="M468" s="637"/>
      <c r="N468" s="637"/>
      <c r="O468" s="638"/>
      <c r="P468" s="634" t="s">
        <v>40</v>
      </c>
      <c r="Q468" s="635"/>
      <c r="R468" s="635"/>
      <c r="S468" s="635"/>
      <c r="T468" s="635"/>
      <c r="U468" s="635"/>
      <c r="V468" s="636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37"/>
      <c r="B469" s="637"/>
      <c r="C469" s="637"/>
      <c r="D469" s="637"/>
      <c r="E469" s="637"/>
      <c r="F469" s="637"/>
      <c r="G469" s="637"/>
      <c r="H469" s="637"/>
      <c r="I469" s="637"/>
      <c r="J469" s="637"/>
      <c r="K469" s="637"/>
      <c r="L469" s="637"/>
      <c r="M469" s="637"/>
      <c r="N469" s="637"/>
      <c r="O469" s="638"/>
      <c r="P469" s="634" t="s">
        <v>40</v>
      </c>
      <c r="Q469" s="635"/>
      <c r="R469" s="635"/>
      <c r="S469" s="635"/>
      <c r="T469" s="635"/>
      <c r="U469" s="635"/>
      <c r="V469" s="636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customHeight="1" x14ac:dyDescent="0.25">
      <c r="A470" s="628" t="s">
        <v>149</v>
      </c>
      <c r="B470" s="628"/>
      <c r="C470" s="628"/>
      <c r="D470" s="628"/>
      <c r="E470" s="628"/>
      <c r="F470" s="628"/>
      <c r="G470" s="628"/>
      <c r="H470" s="628"/>
      <c r="I470" s="628"/>
      <c r="J470" s="628"/>
      <c r="K470" s="628"/>
      <c r="L470" s="628"/>
      <c r="M470" s="628"/>
      <c r="N470" s="628"/>
      <c r="O470" s="628"/>
      <c r="P470" s="628"/>
      <c r="Q470" s="628"/>
      <c r="R470" s="628"/>
      <c r="S470" s="628"/>
      <c r="T470" s="628"/>
      <c r="U470" s="628"/>
      <c r="V470" s="628"/>
      <c r="W470" s="628"/>
      <c r="X470" s="628"/>
      <c r="Y470" s="628"/>
      <c r="Z470" s="628"/>
      <c r="AA470" s="66"/>
      <c r="AB470" s="66"/>
      <c r="AC470" s="80"/>
    </row>
    <row r="471" spans="1:68" ht="27" customHeight="1" x14ac:dyDescent="0.25">
      <c r="A471" s="63" t="s">
        <v>740</v>
      </c>
      <c r="B471" s="63" t="s">
        <v>741</v>
      </c>
      <c r="C471" s="36">
        <v>4301020400</v>
      </c>
      <c r="D471" s="629">
        <v>4640242180519</v>
      </c>
      <c r="E471" s="629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119</v>
      </c>
      <c r="L471" s="37" t="s">
        <v>45</v>
      </c>
      <c r="M471" s="38" t="s">
        <v>118</v>
      </c>
      <c r="N471" s="38"/>
      <c r="O471" s="37">
        <v>50</v>
      </c>
      <c r="P471" s="8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631"/>
      <c r="R471" s="631"/>
      <c r="S471" s="631"/>
      <c r="T471" s="63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742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743</v>
      </c>
      <c r="B472" s="63" t="s">
        <v>744</v>
      </c>
      <c r="C472" s="36">
        <v>4301020260</v>
      </c>
      <c r="D472" s="629">
        <v>4640242180526</v>
      </c>
      <c r="E472" s="629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119</v>
      </c>
      <c r="L472" s="37" t="s">
        <v>45</v>
      </c>
      <c r="M472" s="38" t="s">
        <v>118</v>
      </c>
      <c r="N472" s="38"/>
      <c r="O472" s="37">
        <v>50</v>
      </c>
      <c r="P472" s="86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631"/>
      <c r="R472" s="631"/>
      <c r="S472" s="631"/>
      <c r="T472" s="632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745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37"/>
      <c r="B473" s="637"/>
      <c r="C473" s="637"/>
      <c r="D473" s="637"/>
      <c r="E473" s="637"/>
      <c r="F473" s="637"/>
      <c r="G473" s="637"/>
      <c r="H473" s="637"/>
      <c r="I473" s="637"/>
      <c r="J473" s="637"/>
      <c r="K473" s="637"/>
      <c r="L473" s="637"/>
      <c r="M473" s="637"/>
      <c r="N473" s="637"/>
      <c r="O473" s="638"/>
      <c r="P473" s="634" t="s">
        <v>40</v>
      </c>
      <c r="Q473" s="635"/>
      <c r="R473" s="635"/>
      <c r="S473" s="635"/>
      <c r="T473" s="635"/>
      <c r="U473" s="635"/>
      <c r="V473" s="636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37"/>
      <c r="B474" s="637"/>
      <c r="C474" s="637"/>
      <c r="D474" s="637"/>
      <c r="E474" s="637"/>
      <c r="F474" s="637"/>
      <c r="G474" s="637"/>
      <c r="H474" s="637"/>
      <c r="I474" s="637"/>
      <c r="J474" s="637"/>
      <c r="K474" s="637"/>
      <c r="L474" s="637"/>
      <c r="M474" s="637"/>
      <c r="N474" s="637"/>
      <c r="O474" s="638"/>
      <c r="P474" s="634" t="s">
        <v>40</v>
      </c>
      <c r="Q474" s="635"/>
      <c r="R474" s="635"/>
      <c r="S474" s="635"/>
      <c r="T474" s="635"/>
      <c r="U474" s="635"/>
      <c r="V474" s="636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8" t="s">
        <v>78</v>
      </c>
      <c r="B475" s="628"/>
      <c r="C475" s="628"/>
      <c r="D475" s="628"/>
      <c r="E475" s="628"/>
      <c r="F475" s="628"/>
      <c r="G475" s="628"/>
      <c r="H475" s="628"/>
      <c r="I475" s="628"/>
      <c r="J475" s="628"/>
      <c r="K475" s="628"/>
      <c r="L475" s="628"/>
      <c r="M475" s="628"/>
      <c r="N475" s="628"/>
      <c r="O475" s="628"/>
      <c r="P475" s="628"/>
      <c r="Q475" s="628"/>
      <c r="R475" s="628"/>
      <c r="S475" s="628"/>
      <c r="T475" s="628"/>
      <c r="U475" s="628"/>
      <c r="V475" s="628"/>
      <c r="W475" s="628"/>
      <c r="X475" s="628"/>
      <c r="Y475" s="628"/>
      <c r="Z475" s="628"/>
      <c r="AA475" s="66"/>
      <c r="AB475" s="66"/>
      <c r="AC475" s="80"/>
    </row>
    <row r="476" spans="1:68" ht="27" customHeight="1" x14ac:dyDescent="0.25">
      <c r="A476" s="63" t="s">
        <v>746</v>
      </c>
      <c r="B476" s="63" t="s">
        <v>747</v>
      </c>
      <c r="C476" s="36">
        <v>4301031244</v>
      </c>
      <c r="D476" s="629">
        <v>4640242180595</v>
      </c>
      <c r="E476" s="629"/>
      <c r="F476" s="62">
        <v>0.7</v>
      </c>
      <c r="G476" s="37">
        <v>6</v>
      </c>
      <c r="H476" s="62">
        <v>4.2</v>
      </c>
      <c r="I476" s="62">
        <v>4.45</v>
      </c>
      <c r="J476" s="37">
        <v>132</v>
      </c>
      <c r="K476" s="37" t="s">
        <v>123</v>
      </c>
      <c r="L476" s="37" t="s">
        <v>126</v>
      </c>
      <c r="M476" s="38" t="s">
        <v>82</v>
      </c>
      <c r="N476" s="38"/>
      <c r="O476" s="37">
        <v>40</v>
      </c>
      <c r="P476" s="86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631"/>
      <c r="R476" s="631"/>
      <c r="S476" s="631"/>
      <c r="T476" s="632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748</v>
      </c>
      <c r="AG476" s="78"/>
      <c r="AJ476" s="84" t="s">
        <v>103</v>
      </c>
      <c r="AK476" s="84">
        <v>50.4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37"/>
      <c r="B477" s="637"/>
      <c r="C477" s="637"/>
      <c r="D477" s="637"/>
      <c r="E477" s="637"/>
      <c r="F477" s="637"/>
      <c r="G477" s="637"/>
      <c r="H477" s="637"/>
      <c r="I477" s="637"/>
      <c r="J477" s="637"/>
      <c r="K477" s="637"/>
      <c r="L477" s="637"/>
      <c r="M477" s="637"/>
      <c r="N477" s="637"/>
      <c r="O477" s="638"/>
      <c r="P477" s="634" t="s">
        <v>40</v>
      </c>
      <c r="Q477" s="635"/>
      <c r="R477" s="635"/>
      <c r="S477" s="635"/>
      <c r="T477" s="635"/>
      <c r="U477" s="635"/>
      <c r="V477" s="636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37"/>
      <c r="B478" s="637"/>
      <c r="C478" s="637"/>
      <c r="D478" s="637"/>
      <c r="E478" s="637"/>
      <c r="F478" s="637"/>
      <c r="G478" s="637"/>
      <c r="H478" s="637"/>
      <c r="I478" s="637"/>
      <c r="J478" s="637"/>
      <c r="K478" s="637"/>
      <c r="L478" s="637"/>
      <c r="M478" s="637"/>
      <c r="N478" s="637"/>
      <c r="O478" s="638"/>
      <c r="P478" s="634" t="s">
        <v>40</v>
      </c>
      <c r="Q478" s="635"/>
      <c r="R478" s="635"/>
      <c r="S478" s="635"/>
      <c r="T478" s="635"/>
      <c r="U478" s="635"/>
      <c r="V478" s="636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8" t="s">
        <v>88</v>
      </c>
      <c r="B479" s="628"/>
      <c r="C479" s="628"/>
      <c r="D479" s="628"/>
      <c r="E479" s="628"/>
      <c r="F479" s="628"/>
      <c r="G479" s="628"/>
      <c r="H479" s="628"/>
      <c r="I479" s="628"/>
      <c r="J479" s="628"/>
      <c r="K479" s="628"/>
      <c r="L479" s="628"/>
      <c r="M479" s="628"/>
      <c r="N479" s="628"/>
      <c r="O479" s="628"/>
      <c r="P479" s="628"/>
      <c r="Q479" s="628"/>
      <c r="R479" s="628"/>
      <c r="S479" s="628"/>
      <c r="T479" s="628"/>
      <c r="U479" s="628"/>
      <c r="V479" s="628"/>
      <c r="W479" s="628"/>
      <c r="X479" s="628"/>
      <c r="Y479" s="628"/>
      <c r="Z479" s="628"/>
      <c r="AA479" s="66"/>
      <c r="AB479" s="66"/>
      <c r="AC479" s="80"/>
    </row>
    <row r="480" spans="1:68" ht="27" customHeight="1" x14ac:dyDescent="0.25">
      <c r="A480" s="63" t="s">
        <v>749</v>
      </c>
      <c r="B480" s="63" t="s">
        <v>750</v>
      </c>
      <c r="C480" s="36">
        <v>4301052046</v>
      </c>
      <c r="D480" s="629">
        <v>4640242180533</v>
      </c>
      <c r="E480" s="629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119</v>
      </c>
      <c r="L480" s="37" t="s">
        <v>120</v>
      </c>
      <c r="M480" s="38" t="s">
        <v>98</v>
      </c>
      <c r="N480" s="38"/>
      <c r="O480" s="37">
        <v>45</v>
      </c>
      <c r="P480" s="86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631"/>
      <c r="R480" s="631"/>
      <c r="S480" s="631"/>
      <c r="T480" s="63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751</v>
      </c>
      <c r="AG480" s="78"/>
      <c r="AJ480" s="84" t="s">
        <v>103</v>
      </c>
      <c r="AK480" s="84">
        <v>72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7"/>
      <c r="B481" s="637"/>
      <c r="C481" s="637"/>
      <c r="D481" s="637"/>
      <c r="E481" s="637"/>
      <c r="F481" s="637"/>
      <c r="G481" s="637"/>
      <c r="H481" s="637"/>
      <c r="I481" s="637"/>
      <c r="J481" s="637"/>
      <c r="K481" s="637"/>
      <c r="L481" s="637"/>
      <c r="M481" s="637"/>
      <c r="N481" s="637"/>
      <c r="O481" s="638"/>
      <c r="P481" s="634" t="s">
        <v>40</v>
      </c>
      <c r="Q481" s="635"/>
      <c r="R481" s="635"/>
      <c r="S481" s="635"/>
      <c r="T481" s="635"/>
      <c r="U481" s="635"/>
      <c r="V481" s="636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637"/>
      <c r="B482" s="637"/>
      <c r="C482" s="637"/>
      <c r="D482" s="637"/>
      <c r="E482" s="637"/>
      <c r="F482" s="637"/>
      <c r="G482" s="637"/>
      <c r="H482" s="637"/>
      <c r="I482" s="637"/>
      <c r="J482" s="637"/>
      <c r="K482" s="637"/>
      <c r="L482" s="637"/>
      <c r="M482" s="637"/>
      <c r="N482" s="637"/>
      <c r="O482" s="638"/>
      <c r="P482" s="634" t="s">
        <v>40</v>
      </c>
      <c r="Q482" s="635"/>
      <c r="R482" s="635"/>
      <c r="S482" s="635"/>
      <c r="T482" s="635"/>
      <c r="U482" s="635"/>
      <c r="V482" s="636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28" t="s">
        <v>174</v>
      </c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8"/>
      <c r="P483" s="628"/>
      <c r="Q483" s="628"/>
      <c r="R483" s="628"/>
      <c r="S483" s="628"/>
      <c r="T483" s="628"/>
      <c r="U483" s="628"/>
      <c r="V483" s="628"/>
      <c r="W483" s="628"/>
      <c r="X483" s="628"/>
      <c r="Y483" s="628"/>
      <c r="Z483" s="628"/>
      <c r="AA483" s="66"/>
      <c r="AB483" s="66"/>
      <c r="AC483" s="80"/>
    </row>
    <row r="484" spans="1:68" ht="27" customHeight="1" x14ac:dyDescent="0.25">
      <c r="A484" s="63" t="s">
        <v>752</v>
      </c>
      <c r="B484" s="63" t="s">
        <v>753</v>
      </c>
      <c r="C484" s="36">
        <v>4301060491</v>
      </c>
      <c r="D484" s="629">
        <v>4640242180120</v>
      </c>
      <c r="E484" s="629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119</v>
      </c>
      <c r="L484" s="37" t="s">
        <v>45</v>
      </c>
      <c r="M484" s="38" t="s">
        <v>92</v>
      </c>
      <c r="N484" s="38"/>
      <c r="O484" s="37">
        <v>40</v>
      </c>
      <c r="P484" s="87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631"/>
      <c r="R484" s="631"/>
      <c r="S484" s="631"/>
      <c r="T484" s="632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754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755</v>
      </c>
      <c r="B485" s="63" t="s">
        <v>756</v>
      </c>
      <c r="C485" s="36">
        <v>4301060493</v>
      </c>
      <c r="D485" s="629">
        <v>4640242180137</v>
      </c>
      <c r="E485" s="629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119</v>
      </c>
      <c r="L485" s="37" t="s">
        <v>45</v>
      </c>
      <c r="M485" s="38" t="s">
        <v>92</v>
      </c>
      <c r="N485" s="38"/>
      <c r="O485" s="37">
        <v>40</v>
      </c>
      <c r="P485" s="87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631"/>
      <c r="R485" s="631"/>
      <c r="S485" s="631"/>
      <c r="T485" s="63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757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7"/>
      <c r="B486" s="637"/>
      <c r="C486" s="637"/>
      <c r="D486" s="637"/>
      <c r="E486" s="637"/>
      <c r="F486" s="637"/>
      <c r="G486" s="637"/>
      <c r="H486" s="637"/>
      <c r="I486" s="637"/>
      <c r="J486" s="637"/>
      <c r="K486" s="637"/>
      <c r="L486" s="637"/>
      <c r="M486" s="637"/>
      <c r="N486" s="637"/>
      <c r="O486" s="638"/>
      <c r="P486" s="634" t="s">
        <v>40</v>
      </c>
      <c r="Q486" s="635"/>
      <c r="R486" s="635"/>
      <c r="S486" s="635"/>
      <c r="T486" s="635"/>
      <c r="U486" s="635"/>
      <c r="V486" s="636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637"/>
      <c r="B487" s="637"/>
      <c r="C487" s="637"/>
      <c r="D487" s="637"/>
      <c r="E487" s="637"/>
      <c r="F487" s="637"/>
      <c r="G487" s="637"/>
      <c r="H487" s="637"/>
      <c r="I487" s="637"/>
      <c r="J487" s="637"/>
      <c r="K487" s="637"/>
      <c r="L487" s="637"/>
      <c r="M487" s="637"/>
      <c r="N487" s="637"/>
      <c r="O487" s="638"/>
      <c r="P487" s="634" t="s">
        <v>40</v>
      </c>
      <c r="Q487" s="635"/>
      <c r="R487" s="635"/>
      <c r="S487" s="635"/>
      <c r="T487" s="635"/>
      <c r="U487" s="635"/>
      <c r="V487" s="636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627" t="s">
        <v>758</v>
      </c>
      <c r="B488" s="627"/>
      <c r="C488" s="627"/>
      <c r="D488" s="627"/>
      <c r="E488" s="627"/>
      <c r="F488" s="627"/>
      <c r="G488" s="627"/>
      <c r="H488" s="627"/>
      <c r="I488" s="627"/>
      <c r="J488" s="627"/>
      <c r="K488" s="627"/>
      <c r="L488" s="627"/>
      <c r="M488" s="627"/>
      <c r="N488" s="627"/>
      <c r="O488" s="627"/>
      <c r="P488" s="627"/>
      <c r="Q488" s="627"/>
      <c r="R488" s="627"/>
      <c r="S488" s="627"/>
      <c r="T488" s="627"/>
      <c r="U488" s="627"/>
      <c r="V488" s="627"/>
      <c r="W488" s="627"/>
      <c r="X488" s="627"/>
      <c r="Y488" s="627"/>
      <c r="Z488" s="627"/>
      <c r="AA488" s="65"/>
      <c r="AB488" s="65"/>
      <c r="AC488" s="79"/>
    </row>
    <row r="489" spans="1:68" ht="14.25" customHeight="1" x14ac:dyDescent="0.25">
      <c r="A489" s="628" t="s">
        <v>149</v>
      </c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628"/>
      <c r="P489" s="628"/>
      <c r="Q489" s="628"/>
      <c r="R489" s="628"/>
      <c r="S489" s="628"/>
      <c r="T489" s="628"/>
      <c r="U489" s="628"/>
      <c r="V489" s="628"/>
      <c r="W489" s="628"/>
      <c r="X489" s="628"/>
      <c r="Y489" s="628"/>
      <c r="Z489" s="628"/>
      <c r="AA489" s="66"/>
      <c r="AB489" s="66"/>
      <c r="AC489" s="80"/>
    </row>
    <row r="490" spans="1:68" ht="27" customHeight="1" x14ac:dyDescent="0.25">
      <c r="A490" s="63" t="s">
        <v>759</v>
      </c>
      <c r="B490" s="63" t="s">
        <v>760</v>
      </c>
      <c r="C490" s="36">
        <v>4301020314</v>
      </c>
      <c r="D490" s="629">
        <v>4640242180090</v>
      </c>
      <c r="E490" s="629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119</v>
      </c>
      <c r="L490" s="37" t="s">
        <v>45</v>
      </c>
      <c r="M490" s="38" t="s">
        <v>118</v>
      </c>
      <c r="N490" s="38"/>
      <c r="O490" s="37">
        <v>50</v>
      </c>
      <c r="P490" s="87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631"/>
      <c r="R490" s="631"/>
      <c r="S490" s="631"/>
      <c r="T490" s="632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761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37"/>
      <c r="B491" s="637"/>
      <c r="C491" s="637"/>
      <c r="D491" s="637"/>
      <c r="E491" s="637"/>
      <c r="F491" s="637"/>
      <c r="G491" s="637"/>
      <c r="H491" s="637"/>
      <c r="I491" s="637"/>
      <c r="J491" s="637"/>
      <c r="K491" s="637"/>
      <c r="L491" s="637"/>
      <c r="M491" s="637"/>
      <c r="N491" s="637"/>
      <c r="O491" s="638"/>
      <c r="P491" s="634" t="s">
        <v>40</v>
      </c>
      <c r="Q491" s="635"/>
      <c r="R491" s="635"/>
      <c r="S491" s="635"/>
      <c r="T491" s="635"/>
      <c r="U491" s="635"/>
      <c r="V491" s="636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637"/>
      <c r="B492" s="637"/>
      <c r="C492" s="637"/>
      <c r="D492" s="637"/>
      <c r="E492" s="637"/>
      <c r="F492" s="637"/>
      <c r="G492" s="637"/>
      <c r="H492" s="637"/>
      <c r="I492" s="637"/>
      <c r="J492" s="637"/>
      <c r="K492" s="637"/>
      <c r="L492" s="637"/>
      <c r="M492" s="637"/>
      <c r="N492" s="637"/>
      <c r="O492" s="638"/>
      <c r="P492" s="634" t="s">
        <v>40</v>
      </c>
      <c r="Q492" s="635"/>
      <c r="R492" s="635"/>
      <c r="S492" s="635"/>
      <c r="T492" s="635"/>
      <c r="U492" s="635"/>
      <c r="V492" s="636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637"/>
      <c r="B493" s="637"/>
      <c r="C493" s="637"/>
      <c r="D493" s="637"/>
      <c r="E493" s="637"/>
      <c r="F493" s="637"/>
      <c r="G493" s="637"/>
      <c r="H493" s="637"/>
      <c r="I493" s="637"/>
      <c r="J493" s="637"/>
      <c r="K493" s="637"/>
      <c r="L493" s="637"/>
      <c r="M493" s="637"/>
      <c r="N493" s="637"/>
      <c r="O493" s="876"/>
      <c r="P493" s="873" t="s">
        <v>33</v>
      </c>
      <c r="Q493" s="874"/>
      <c r="R493" s="874"/>
      <c r="S493" s="874"/>
      <c r="T493" s="874"/>
      <c r="U493" s="874"/>
      <c r="V493" s="875"/>
      <c r="W493" s="42" t="s">
        <v>0</v>
      </c>
      <c r="X493" s="43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0</v>
      </c>
      <c r="Y493" s="43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0</v>
      </c>
      <c r="Z493" s="42"/>
      <c r="AA493" s="67"/>
      <c r="AB493" s="67"/>
      <c r="AC493" s="67"/>
    </row>
    <row r="494" spans="1:68" x14ac:dyDescent="0.2">
      <c r="A494" s="637"/>
      <c r="B494" s="637"/>
      <c r="C494" s="637"/>
      <c r="D494" s="637"/>
      <c r="E494" s="637"/>
      <c r="F494" s="637"/>
      <c r="G494" s="637"/>
      <c r="H494" s="637"/>
      <c r="I494" s="637"/>
      <c r="J494" s="637"/>
      <c r="K494" s="637"/>
      <c r="L494" s="637"/>
      <c r="M494" s="637"/>
      <c r="N494" s="637"/>
      <c r="O494" s="876"/>
      <c r="P494" s="873" t="s">
        <v>34</v>
      </c>
      <c r="Q494" s="874"/>
      <c r="R494" s="874"/>
      <c r="S494" s="874"/>
      <c r="T494" s="874"/>
      <c r="U494" s="874"/>
      <c r="V494" s="875"/>
      <c r="W494" s="42" t="s">
        <v>0</v>
      </c>
      <c r="X494" s="43">
        <f>IFERROR(SUM(BM22:BM490),"0")</f>
        <v>0</v>
      </c>
      <c r="Y494" s="43">
        <f>IFERROR(SUM(BN22:BN490),"0")</f>
        <v>0</v>
      </c>
      <c r="Z494" s="42"/>
      <c r="AA494" s="67"/>
      <c r="AB494" s="67"/>
      <c r="AC494" s="67"/>
    </row>
    <row r="495" spans="1:68" x14ac:dyDescent="0.2">
      <c r="A495" s="637"/>
      <c r="B495" s="637"/>
      <c r="C495" s="637"/>
      <c r="D495" s="637"/>
      <c r="E495" s="637"/>
      <c r="F495" s="637"/>
      <c r="G495" s="637"/>
      <c r="H495" s="637"/>
      <c r="I495" s="637"/>
      <c r="J495" s="637"/>
      <c r="K495" s="637"/>
      <c r="L495" s="637"/>
      <c r="M495" s="637"/>
      <c r="N495" s="637"/>
      <c r="O495" s="876"/>
      <c r="P495" s="873" t="s">
        <v>35</v>
      </c>
      <c r="Q495" s="874"/>
      <c r="R495" s="874"/>
      <c r="S495" s="874"/>
      <c r="T495" s="874"/>
      <c r="U495" s="874"/>
      <c r="V495" s="875"/>
      <c r="W495" s="42" t="s">
        <v>20</v>
      </c>
      <c r="X495" s="44">
        <f>ROUNDUP(SUM(BO22:BO490),0)</f>
        <v>0</v>
      </c>
      <c r="Y495" s="44">
        <f>ROUNDUP(SUM(BP22:BP490),0)</f>
        <v>0</v>
      </c>
      <c r="Z495" s="42"/>
      <c r="AA495" s="67"/>
      <c r="AB495" s="67"/>
      <c r="AC495" s="67"/>
    </row>
    <row r="496" spans="1:68" x14ac:dyDescent="0.2">
      <c r="A496" s="637"/>
      <c r="B496" s="637"/>
      <c r="C496" s="637"/>
      <c r="D496" s="637"/>
      <c r="E496" s="637"/>
      <c r="F496" s="637"/>
      <c r="G496" s="637"/>
      <c r="H496" s="637"/>
      <c r="I496" s="637"/>
      <c r="J496" s="637"/>
      <c r="K496" s="637"/>
      <c r="L496" s="637"/>
      <c r="M496" s="637"/>
      <c r="N496" s="637"/>
      <c r="O496" s="876"/>
      <c r="P496" s="873" t="s">
        <v>36</v>
      </c>
      <c r="Q496" s="874"/>
      <c r="R496" s="874"/>
      <c r="S496" s="874"/>
      <c r="T496" s="874"/>
      <c r="U496" s="874"/>
      <c r="V496" s="875"/>
      <c r="W496" s="42" t="s">
        <v>0</v>
      </c>
      <c r="X496" s="43">
        <f>GrossWeightTotal+PalletQtyTotal*25</f>
        <v>0</v>
      </c>
      <c r="Y496" s="43">
        <f>GrossWeightTotalR+PalletQtyTotalR*25</f>
        <v>0</v>
      </c>
      <c r="Z496" s="42"/>
      <c r="AA496" s="67"/>
      <c r="AB496" s="67"/>
      <c r="AC496" s="67"/>
    </row>
    <row r="497" spans="1:32" x14ac:dyDescent="0.2">
      <c r="A497" s="637"/>
      <c r="B497" s="637"/>
      <c r="C497" s="637"/>
      <c r="D497" s="637"/>
      <c r="E497" s="637"/>
      <c r="F497" s="637"/>
      <c r="G497" s="637"/>
      <c r="H497" s="637"/>
      <c r="I497" s="637"/>
      <c r="J497" s="637"/>
      <c r="K497" s="637"/>
      <c r="L497" s="637"/>
      <c r="M497" s="637"/>
      <c r="N497" s="637"/>
      <c r="O497" s="876"/>
      <c r="P497" s="873" t="s">
        <v>37</v>
      </c>
      <c r="Q497" s="874"/>
      <c r="R497" s="874"/>
      <c r="S497" s="874"/>
      <c r="T497" s="874"/>
      <c r="U497" s="874"/>
      <c r="V497" s="875"/>
      <c r="W497" s="42" t="s">
        <v>20</v>
      </c>
      <c r="X497" s="43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0</v>
      </c>
      <c r="Y497" s="43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0</v>
      </c>
      <c r="Z497" s="42"/>
      <c r="AA497" s="67"/>
      <c r="AB497" s="67"/>
      <c r="AC497" s="67"/>
    </row>
    <row r="498" spans="1:32" ht="14.25" x14ac:dyDescent="0.2">
      <c r="A498" s="637"/>
      <c r="B498" s="637"/>
      <c r="C498" s="637"/>
      <c r="D498" s="637"/>
      <c r="E498" s="637"/>
      <c r="F498" s="637"/>
      <c r="G498" s="637"/>
      <c r="H498" s="637"/>
      <c r="I498" s="637"/>
      <c r="J498" s="637"/>
      <c r="K498" s="637"/>
      <c r="L498" s="637"/>
      <c r="M498" s="637"/>
      <c r="N498" s="637"/>
      <c r="O498" s="876"/>
      <c r="P498" s="873" t="s">
        <v>38</v>
      </c>
      <c r="Q498" s="874"/>
      <c r="R498" s="874"/>
      <c r="S498" s="874"/>
      <c r="T498" s="874"/>
      <c r="U498" s="874"/>
      <c r="V498" s="875"/>
      <c r="W498" s="45" t="s">
        <v>51</v>
      </c>
      <c r="X498" s="42"/>
      <c r="Y498" s="42"/>
      <c r="Z498" s="42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0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879" t="s">
        <v>112</v>
      </c>
      <c r="D500" s="879" t="s">
        <v>112</v>
      </c>
      <c r="E500" s="879" t="s">
        <v>112</v>
      </c>
      <c r="F500" s="879" t="s">
        <v>112</v>
      </c>
      <c r="G500" s="879" t="s">
        <v>112</v>
      </c>
      <c r="H500" s="879" t="s">
        <v>112</v>
      </c>
      <c r="I500" s="879" t="s">
        <v>284</v>
      </c>
      <c r="J500" s="879" t="s">
        <v>284</v>
      </c>
      <c r="K500" s="879" t="s">
        <v>284</v>
      </c>
      <c r="L500" s="879" t="s">
        <v>284</v>
      </c>
      <c r="M500" s="879" t="s">
        <v>284</v>
      </c>
      <c r="N500" s="880"/>
      <c r="O500" s="879" t="s">
        <v>284</v>
      </c>
      <c r="P500" s="879" t="s">
        <v>284</v>
      </c>
      <c r="Q500" s="879" t="s">
        <v>284</v>
      </c>
      <c r="R500" s="879" t="s">
        <v>284</v>
      </c>
      <c r="S500" s="879" t="s">
        <v>568</v>
      </c>
      <c r="T500" s="879" t="s">
        <v>568</v>
      </c>
      <c r="U500" s="879" t="s">
        <v>622</v>
      </c>
      <c r="V500" s="879" t="s">
        <v>622</v>
      </c>
      <c r="W500" s="879" t="s">
        <v>622</v>
      </c>
      <c r="X500" s="85" t="s">
        <v>673</v>
      </c>
      <c r="Y500" s="879" t="s">
        <v>728</v>
      </c>
      <c r="Z500" s="879" t="s">
        <v>728</v>
      </c>
      <c r="AB500" s="60"/>
      <c r="AC500" s="60"/>
      <c r="AF500" s="1"/>
    </row>
    <row r="501" spans="1:32" ht="14.25" customHeight="1" thickTop="1" x14ac:dyDescent="0.2">
      <c r="A501" s="877" t="s">
        <v>10</v>
      </c>
      <c r="B501" s="879" t="s">
        <v>77</v>
      </c>
      <c r="C501" s="879" t="s">
        <v>113</v>
      </c>
      <c r="D501" s="879" t="s">
        <v>130</v>
      </c>
      <c r="E501" s="879" t="s">
        <v>181</v>
      </c>
      <c r="F501" s="879" t="s">
        <v>204</v>
      </c>
      <c r="G501" s="879" t="s">
        <v>241</v>
      </c>
      <c r="H501" s="879" t="s">
        <v>112</v>
      </c>
      <c r="I501" s="879" t="s">
        <v>285</v>
      </c>
      <c r="J501" s="879" t="s">
        <v>335</v>
      </c>
      <c r="K501" s="879" t="s">
        <v>394</v>
      </c>
      <c r="L501" s="879" t="s">
        <v>434</v>
      </c>
      <c r="M501" s="879" t="s">
        <v>450</v>
      </c>
      <c r="N501" s="1"/>
      <c r="O501" s="879" t="s">
        <v>461</v>
      </c>
      <c r="P501" s="879" t="s">
        <v>470</v>
      </c>
      <c r="Q501" s="879" t="s">
        <v>483</v>
      </c>
      <c r="R501" s="879" t="s">
        <v>558</v>
      </c>
      <c r="S501" s="879" t="s">
        <v>569</v>
      </c>
      <c r="T501" s="879" t="s">
        <v>604</v>
      </c>
      <c r="U501" s="879" t="s">
        <v>623</v>
      </c>
      <c r="V501" s="879" t="s">
        <v>654</v>
      </c>
      <c r="W501" s="879" t="s">
        <v>669</v>
      </c>
      <c r="X501" s="879" t="s">
        <v>673</v>
      </c>
      <c r="Y501" s="879" t="s">
        <v>728</v>
      </c>
      <c r="Z501" s="879" t="s">
        <v>758</v>
      </c>
      <c r="AB501" s="60"/>
      <c r="AC501" s="60"/>
      <c r="AF501" s="1"/>
    </row>
    <row r="502" spans="1:32" ht="13.5" thickBot="1" x14ac:dyDescent="0.25">
      <c r="A502" s="878"/>
      <c r="B502" s="879"/>
      <c r="C502" s="879"/>
      <c r="D502" s="879"/>
      <c r="E502" s="879"/>
      <c r="F502" s="879"/>
      <c r="G502" s="879"/>
      <c r="H502" s="879"/>
      <c r="I502" s="879"/>
      <c r="J502" s="879"/>
      <c r="K502" s="879"/>
      <c r="L502" s="879"/>
      <c r="M502" s="879"/>
      <c r="N502" s="1"/>
      <c r="O502" s="879"/>
      <c r="P502" s="879"/>
      <c r="Q502" s="879"/>
      <c r="R502" s="879"/>
      <c r="S502" s="879"/>
      <c r="T502" s="879"/>
      <c r="U502" s="879"/>
      <c r="V502" s="879"/>
      <c r="W502" s="879"/>
      <c r="X502" s="879"/>
      <c r="Y502" s="879"/>
      <c r="Z502" s="879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IFERROR(Y22*1,"0")+IFERROR(Y23*1,"0")+IFERROR(Y27*1,"0")+IFERROR(Y28*1,"0")+IFERROR(Y29*1,"0")+IFERROR(Y30*1,"0")+IFERROR(Y31*1,"0")+IFERROR(Y35*1,"0")</f>
        <v>0</v>
      </c>
      <c r="C503" s="52">
        <f>IFERROR(Y41*1,"0")+IFERROR(Y42*1,"0")+IFERROR(Y43*1,"0")+IFERROR(Y47*1,"0")</f>
        <v>0</v>
      </c>
      <c r="D503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3" s="52">
        <f>IFERROR(Y85*1,"0")+IFERROR(Y86*1,"0")+IFERROR(Y87*1,"0")+IFERROR(Y88*1,"0")+IFERROR(Y92*1,"0")+IFERROR(Y93*1,"0")+IFERROR(Y94*1,"0")+IFERROR(Y95*1,"0")</f>
        <v>0</v>
      </c>
      <c r="F503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3" s="52">
        <f>IFERROR(Y127*1,"0")+IFERROR(Y128*1,"0")+IFERROR(Y132*1,"0")+IFERROR(Y133*1,"0")+IFERROR(Y137*1,"0")+IFERROR(Y138*1,"0")</f>
        <v>0</v>
      </c>
      <c r="H503" s="52">
        <f>IFERROR(Y143*1,"0")+IFERROR(Y144*1,"0")+IFERROR(Y148*1,"0")+IFERROR(Y149*1,"0")+IFERROR(Y150*1,"0")+IFERROR(Y151*1,"0")+IFERROR(Y152*1,"0")+IFERROR(Y153*1,"0")+IFERROR(Y157*1,"0")</f>
        <v>0</v>
      </c>
      <c r="I503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3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52">
        <f>IFERROR(Y261*1,"0")+IFERROR(Y262*1,"0")+IFERROR(Y263*1,"0")+IFERROR(Y264*1,"0")+IFERROR(Y265*1,"0")</f>
        <v>0</v>
      </c>
      <c r="M503" s="52">
        <f>IFERROR(Y270*1,"0")+IFERROR(Y271*1,"0")+IFERROR(Y272*1,"0")+IFERROR(Y273*1,"0")</f>
        <v>0</v>
      </c>
      <c r="N503" s="1"/>
      <c r="O503" s="52">
        <f>IFERROR(Y278*1,"0")+IFERROR(Y279*1,"0")+IFERROR(Y280*1,"0")</f>
        <v>0</v>
      </c>
      <c r="P503" s="52">
        <f>IFERROR(Y285*1,"0")+IFERROR(Y286*1,"0")+IFERROR(Y290*1,"0")+IFERROR(Y291*1,"0")</f>
        <v>0</v>
      </c>
      <c r="Q503" s="52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59:V459"/>
    <mergeCell ref="A459:O460"/>
    <mergeCell ref="P460:V460"/>
    <mergeCell ref="A461:Z461"/>
    <mergeCell ref="A462:Z462"/>
    <mergeCell ref="A463:Z463"/>
    <mergeCell ref="D464:E464"/>
    <mergeCell ref="P464:T464"/>
    <mergeCell ref="D465:E465"/>
    <mergeCell ref="P465:T465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18:V418"/>
    <mergeCell ref="A418:O419"/>
    <mergeCell ref="P419:V419"/>
    <mergeCell ref="A420:Z420"/>
    <mergeCell ref="A421:Z421"/>
    <mergeCell ref="D422:E422"/>
    <mergeCell ref="P422:T422"/>
    <mergeCell ref="P423:V423"/>
    <mergeCell ref="A423:O424"/>
    <mergeCell ref="P424:V424"/>
    <mergeCell ref="A413:Z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P370:V370"/>
    <mergeCell ref="A370:O371"/>
    <mergeCell ref="P371:V371"/>
    <mergeCell ref="A372:Z372"/>
    <mergeCell ref="A373:Z373"/>
    <mergeCell ref="D374:E374"/>
    <mergeCell ref="P374:T374"/>
    <mergeCell ref="D375:E375"/>
    <mergeCell ref="P375:T375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46:Z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D343:E343"/>
    <mergeCell ref="P343:T343"/>
    <mergeCell ref="P344:V344"/>
    <mergeCell ref="A344:O345"/>
    <mergeCell ref="P345:V345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D334:E334"/>
    <mergeCell ref="P334:T334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0 X476 X466 X449:X451 X443 X434 X431:X432 X428 X414 X404:X405 X394 X392 X384:X385 X380 X374:X375 X364:X365 X355 X341:X343 X330 X321:X323 X317 X314 X308:X310 X305:X306 X300:X301 X297:X298 X290 X280 X265 X263 X261 X239 X235 X226 X216:X222 X210 X203:X208 X194 X176 X173 X171 X169 X167 X153 X151 X144 X138 X132:X133 X127:X128 X122 X115:X118 X102:X103 X100 X95 X92 X88 X85 X79:X80 X75 X73 X61 X56 X52 X47 X43 X41 X30:X3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9"/>
    </row>
    <row r="3" spans="2:8" x14ac:dyDescent="0.2">
      <c r="B3" s="53" t="s">
        <v>763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765</v>
      </c>
      <c r="D6" s="53" t="s">
        <v>766</v>
      </c>
      <c r="E6" s="53" t="s">
        <v>45</v>
      </c>
    </row>
    <row r="8" spans="2:8" x14ac:dyDescent="0.2">
      <c r="B8" s="53" t="s">
        <v>76</v>
      </c>
      <c r="C8" s="53" t="s">
        <v>765</v>
      </c>
      <c r="D8" s="53" t="s">
        <v>45</v>
      </c>
      <c r="E8" s="53" t="s">
        <v>45</v>
      </c>
    </row>
    <row r="10" spans="2:8" x14ac:dyDescent="0.2">
      <c r="B10" s="53" t="s">
        <v>767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768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769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770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771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772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773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774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775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776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777</v>
      </c>
      <c r="C20" s="53" t="s">
        <v>45</v>
      </c>
      <c r="D20" s="53" t="s">
        <v>45</v>
      </c>
      <c r="E20" s="53" t="s">
        <v>45</v>
      </c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986</vt:i4>
      </vt:variant>
    </vt:vector>
  </HeadingPairs>
  <TitlesOfParts>
    <vt:vector size="98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