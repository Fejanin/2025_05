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F0F921-793B-4F38-BF07-B5174687F2C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2" l="1"/>
  <c r="X489" i="2"/>
  <c r="BO488" i="2"/>
  <c r="BM488" i="2"/>
  <c r="Y488" i="2"/>
  <c r="Z501" i="2" s="1"/>
  <c r="P488" i="2"/>
  <c r="X485" i="2"/>
  <c r="X484" i="2"/>
  <c r="BO483" i="2"/>
  <c r="BM483" i="2"/>
  <c r="Y483" i="2"/>
  <c r="BN483" i="2" s="1"/>
  <c r="P483" i="2"/>
  <c r="BO482" i="2"/>
  <c r="BM482" i="2"/>
  <c r="Y482" i="2"/>
  <c r="P482" i="2"/>
  <c r="X480" i="2"/>
  <c r="X479" i="2"/>
  <c r="BO478" i="2"/>
  <c r="BM478" i="2"/>
  <c r="Z478" i="2"/>
  <c r="Z479" i="2" s="1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X471" i="2"/>
  <c r="X470" i="2"/>
  <c r="BO469" i="2"/>
  <c r="BM469" i="2"/>
  <c r="Z469" i="2"/>
  <c r="Y469" i="2"/>
  <c r="BP469" i="2" s="1"/>
  <c r="P469" i="2"/>
  <c r="BO468" i="2"/>
  <c r="BM468" i="2"/>
  <c r="Y468" i="2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X457" i="2"/>
  <c r="X456" i="2"/>
  <c r="BO455" i="2"/>
  <c r="BM455" i="2"/>
  <c r="Y455" i="2"/>
  <c r="Y457" i="2" s="1"/>
  <c r="P455" i="2"/>
  <c r="X453" i="2"/>
  <c r="X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BP449" i="2" s="1"/>
  <c r="P449" i="2"/>
  <c r="BP448" i="2"/>
  <c r="BO448" i="2"/>
  <c r="BN448" i="2"/>
  <c r="BM448" i="2"/>
  <c r="Z448" i="2"/>
  <c r="Y448" i="2"/>
  <c r="P448" i="2"/>
  <c r="BO447" i="2"/>
  <c r="BM447" i="2"/>
  <c r="Y447" i="2"/>
  <c r="P447" i="2"/>
  <c r="BP446" i="2"/>
  <c r="BO446" i="2"/>
  <c r="BN446" i="2"/>
  <c r="BM446" i="2"/>
  <c r="Z446" i="2"/>
  <c r="Y446" i="2"/>
  <c r="P446" i="2"/>
  <c r="X444" i="2"/>
  <c r="X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X438" i="2"/>
  <c r="X437" i="2"/>
  <c r="BP436" i="2"/>
  <c r="BO436" i="2"/>
  <c r="BN436" i="2"/>
  <c r="BM436" i="2"/>
  <c r="Z436" i="2"/>
  <c r="Y436" i="2"/>
  <c r="P436" i="2"/>
  <c r="BO435" i="2"/>
  <c r="BN435" i="2"/>
  <c r="BM435" i="2"/>
  <c r="Z435" i="2"/>
  <c r="Y435" i="2"/>
  <c r="BP435" i="2" s="1"/>
  <c r="P435" i="2"/>
  <c r="BO434" i="2"/>
  <c r="BM434" i="2"/>
  <c r="Y434" i="2"/>
  <c r="P434" i="2"/>
  <c r="BP433" i="2"/>
  <c r="BO433" i="2"/>
  <c r="BN433" i="2"/>
  <c r="BM433" i="2"/>
  <c r="Z433" i="2"/>
  <c r="Y433" i="2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BP428" i="2"/>
  <c r="BO428" i="2"/>
  <c r="BN428" i="2"/>
  <c r="BM428" i="2"/>
  <c r="Z428" i="2"/>
  <c r="Y428" i="2"/>
  <c r="P428" i="2"/>
  <c r="BO427" i="2"/>
  <c r="BM427" i="2"/>
  <c r="Y427" i="2"/>
  <c r="BO426" i="2"/>
  <c r="BM426" i="2"/>
  <c r="Y426" i="2"/>
  <c r="BP426" i="2" s="1"/>
  <c r="P426" i="2"/>
  <c r="BO425" i="2"/>
  <c r="BM425" i="2"/>
  <c r="Y425" i="2"/>
  <c r="P425" i="2"/>
  <c r="X421" i="2"/>
  <c r="Y420" i="2"/>
  <c r="X420" i="2"/>
  <c r="BP419" i="2"/>
  <c r="BO419" i="2"/>
  <c r="BN419" i="2"/>
  <c r="BM419" i="2"/>
  <c r="Z419" i="2"/>
  <c r="Z420" i="2" s="1"/>
  <c r="Y419" i="2"/>
  <c r="W501" i="2" s="1"/>
  <c r="P419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BP411" i="2" s="1"/>
  <c r="P411" i="2"/>
  <c r="Y409" i="2"/>
  <c r="X409" i="2"/>
  <c r="X408" i="2"/>
  <c r="BO407" i="2"/>
  <c r="BN407" i="2"/>
  <c r="BM407" i="2"/>
  <c r="Z407" i="2"/>
  <c r="Z408" i="2" s="1"/>
  <c r="Y407" i="2"/>
  <c r="P407" i="2"/>
  <c r="X404" i="2"/>
  <c r="X403" i="2"/>
  <c r="BP402" i="2"/>
  <c r="BO402" i="2"/>
  <c r="BN402" i="2"/>
  <c r="BM402" i="2"/>
  <c r="Z402" i="2"/>
  <c r="Y402" i="2"/>
  <c r="P402" i="2"/>
  <c r="BO401" i="2"/>
  <c r="BM401" i="2"/>
  <c r="Y401" i="2"/>
  <c r="P401" i="2"/>
  <c r="X399" i="2"/>
  <c r="X398" i="2"/>
  <c r="BP397" i="2"/>
  <c r="BO397" i="2"/>
  <c r="BN397" i="2"/>
  <c r="BM397" i="2"/>
  <c r="Z397" i="2"/>
  <c r="Y397" i="2"/>
  <c r="P397" i="2"/>
  <c r="BO396" i="2"/>
  <c r="BM396" i="2"/>
  <c r="Y396" i="2"/>
  <c r="P396" i="2"/>
  <c r="BP395" i="2"/>
  <c r="BO395" i="2"/>
  <c r="BN395" i="2"/>
  <c r="BM395" i="2"/>
  <c r="Z395" i="2"/>
  <c r="Y395" i="2"/>
  <c r="P395" i="2"/>
  <c r="BO394" i="2"/>
  <c r="BM394" i="2"/>
  <c r="Y394" i="2"/>
  <c r="BP394" i="2" s="1"/>
  <c r="P394" i="2"/>
  <c r="BO393" i="2"/>
  <c r="BN393" i="2"/>
  <c r="BM393" i="2"/>
  <c r="Z393" i="2"/>
  <c r="Y393" i="2"/>
  <c r="BP393" i="2" s="1"/>
  <c r="P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X385" i="2"/>
  <c r="X384" i="2"/>
  <c r="BO383" i="2"/>
  <c r="BM383" i="2"/>
  <c r="Y383" i="2"/>
  <c r="P383" i="2"/>
  <c r="BO382" i="2"/>
  <c r="BM382" i="2"/>
  <c r="Y382" i="2"/>
  <c r="P382" i="2"/>
  <c r="BO381" i="2"/>
  <c r="BM381" i="2"/>
  <c r="Y381" i="2"/>
  <c r="P381" i="2"/>
  <c r="X379" i="2"/>
  <c r="X378" i="2"/>
  <c r="BO377" i="2"/>
  <c r="BM377" i="2"/>
  <c r="Z377" i="2"/>
  <c r="Y377" i="2"/>
  <c r="BP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P372" i="2"/>
  <c r="BO371" i="2"/>
  <c r="BM371" i="2"/>
  <c r="Z371" i="2"/>
  <c r="Y371" i="2"/>
  <c r="BP371" i="2" s="1"/>
  <c r="P371" i="2"/>
  <c r="X368" i="2"/>
  <c r="X367" i="2"/>
  <c r="BO366" i="2"/>
  <c r="BM366" i="2"/>
  <c r="Y366" i="2"/>
  <c r="Y368" i="2" s="1"/>
  <c r="P366" i="2"/>
  <c r="X364" i="2"/>
  <c r="X363" i="2"/>
  <c r="BO362" i="2"/>
  <c r="BM362" i="2"/>
  <c r="Y362" i="2"/>
  <c r="P362" i="2"/>
  <c r="BP361" i="2"/>
  <c r="BO361" i="2"/>
  <c r="BM361" i="2"/>
  <c r="Y361" i="2"/>
  <c r="Z361" i="2" s="1"/>
  <c r="P361" i="2"/>
  <c r="X359" i="2"/>
  <c r="Y358" i="2"/>
  <c r="X358" i="2"/>
  <c r="BP357" i="2"/>
  <c r="BO357" i="2"/>
  <c r="BN357" i="2"/>
  <c r="BM357" i="2"/>
  <c r="Z357" i="2"/>
  <c r="Y357" i="2"/>
  <c r="P357" i="2"/>
  <c r="BO356" i="2"/>
  <c r="BM356" i="2"/>
  <c r="Y356" i="2"/>
  <c r="P356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BO350" i="2"/>
  <c r="BM350" i="2"/>
  <c r="Y350" i="2"/>
  <c r="P350" i="2"/>
  <c r="BO349" i="2"/>
  <c r="BM349" i="2"/>
  <c r="Y349" i="2"/>
  <c r="P349" i="2"/>
  <c r="BO348" i="2"/>
  <c r="BM348" i="2"/>
  <c r="Z348" i="2"/>
  <c r="Y348" i="2"/>
  <c r="BP348" i="2" s="1"/>
  <c r="P348" i="2"/>
  <c r="BO347" i="2"/>
  <c r="BM347" i="2"/>
  <c r="Y347" i="2"/>
  <c r="P347" i="2"/>
  <c r="BP346" i="2"/>
  <c r="BO346" i="2"/>
  <c r="BN346" i="2"/>
  <c r="BM346" i="2"/>
  <c r="Z346" i="2"/>
  <c r="Y346" i="2"/>
  <c r="P346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P338" i="2"/>
  <c r="BO338" i="2"/>
  <c r="BN338" i="2"/>
  <c r="BM338" i="2"/>
  <c r="Z338" i="2"/>
  <c r="Y338" i="2"/>
  <c r="P338" i="2"/>
  <c r="X335" i="2"/>
  <c r="X334" i="2"/>
  <c r="BO333" i="2"/>
  <c r="BM333" i="2"/>
  <c r="Y333" i="2"/>
  <c r="P333" i="2"/>
  <c r="BP332" i="2"/>
  <c r="BO332" i="2"/>
  <c r="BN332" i="2"/>
  <c r="BM332" i="2"/>
  <c r="Z332" i="2"/>
  <c r="Y332" i="2"/>
  <c r="P332" i="2"/>
  <c r="BO331" i="2"/>
  <c r="BM331" i="2"/>
  <c r="Y331" i="2"/>
  <c r="Y335" i="2" s="1"/>
  <c r="P331" i="2"/>
  <c r="X329" i="2"/>
  <c r="X328" i="2"/>
  <c r="BO327" i="2"/>
  <c r="BM327" i="2"/>
  <c r="Y327" i="2"/>
  <c r="P327" i="2"/>
  <c r="BO326" i="2"/>
  <c r="BM326" i="2"/>
  <c r="Y326" i="2"/>
  <c r="Z326" i="2" s="1"/>
  <c r="P326" i="2"/>
  <c r="BP325" i="2"/>
  <c r="BO325" i="2"/>
  <c r="BN325" i="2"/>
  <c r="BM325" i="2"/>
  <c r="Z325" i="2"/>
  <c r="Y325" i="2"/>
  <c r="P325" i="2"/>
  <c r="BO324" i="2"/>
  <c r="BM324" i="2"/>
  <c r="Y324" i="2"/>
  <c r="P324" i="2"/>
  <c r="X322" i="2"/>
  <c r="X321" i="2"/>
  <c r="BO320" i="2"/>
  <c r="BM320" i="2"/>
  <c r="Y320" i="2"/>
  <c r="BP320" i="2" s="1"/>
  <c r="P320" i="2"/>
  <c r="BO319" i="2"/>
  <c r="BM319" i="2"/>
  <c r="Z319" i="2"/>
  <c r="Y319" i="2"/>
  <c r="BP319" i="2" s="1"/>
  <c r="P319" i="2"/>
  <c r="BO318" i="2"/>
  <c r="BM318" i="2"/>
  <c r="Y318" i="2"/>
  <c r="BP318" i="2" s="1"/>
  <c r="P318" i="2"/>
  <c r="X316" i="2"/>
  <c r="X315" i="2"/>
  <c r="BO314" i="2"/>
  <c r="BM314" i="2"/>
  <c r="Y314" i="2"/>
  <c r="P314" i="2"/>
  <c r="BO313" i="2"/>
  <c r="BM313" i="2"/>
  <c r="Z313" i="2"/>
  <c r="Y313" i="2"/>
  <c r="BP313" i="2" s="1"/>
  <c r="P313" i="2"/>
  <c r="BO312" i="2"/>
  <c r="BM312" i="2"/>
  <c r="Y312" i="2"/>
  <c r="P312" i="2"/>
  <c r="BP311" i="2"/>
  <c r="BO311" i="2"/>
  <c r="BN311" i="2"/>
  <c r="BM311" i="2"/>
  <c r="Z311" i="2"/>
  <c r="Y311" i="2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P305" i="2"/>
  <c r="BO305" i="2"/>
  <c r="BN305" i="2"/>
  <c r="BM305" i="2"/>
  <c r="Z305" i="2"/>
  <c r="Y305" i="2"/>
  <c r="P305" i="2"/>
  <c r="BO304" i="2"/>
  <c r="BN304" i="2"/>
  <c r="BM304" i="2"/>
  <c r="Z304" i="2"/>
  <c r="Y304" i="2"/>
  <c r="BP304" i="2" s="1"/>
  <c r="P304" i="2"/>
  <c r="BO303" i="2"/>
  <c r="BM303" i="2"/>
  <c r="Y303" i="2"/>
  <c r="P303" i="2"/>
  <c r="BP302" i="2"/>
  <c r="BO302" i="2"/>
  <c r="BN302" i="2"/>
  <c r="BM302" i="2"/>
  <c r="Z302" i="2"/>
  <c r="Y302" i="2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BN296" i="2" s="1"/>
  <c r="P296" i="2"/>
  <c r="BO295" i="2"/>
  <c r="BM295" i="2"/>
  <c r="Y295" i="2"/>
  <c r="P295" i="2"/>
  <c r="BO294" i="2"/>
  <c r="BM294" i="2"/>
  <c r="Y294" i="2"/>
  <c r="P294" i="2"/>
  <c r="X291" i="2"/>
  <c r="X290" i="2"/>
  <c r="BO289" i="2"/>
  <c r="BN289" i="2"/>
  <c r="BM289" i="2"/>
  <c r="Z289" i="2"/>
  <c r="Y289" i="2"/>
  <c r="BP289" i="2" s="1"/>
  <c r="P289" i="2"/>
  <c r="BO288" i="2"/>
  <c r="BM288" i="2"/>
  <c r="Y288" i="2"/>
  <c r="Y290" i="2" s="1"/>
  <c r="P288" i="2"/>
  <c r="X286" i="2"/>
  <c r="X285" i="2"/>
  <c r="BO284" i="2"/>
  <c r="BM284" i="2"/>
  <c r="Y284" i="2"/>
  <c r="BP284" i="2" s="1"/>
  <c r="P284" i="2"/>
  <c r="BO283" i="2"/>
  <c r="BM283" i="2"/>
  <c r="Y283" i="2"/>
  <c r="Z283" i="2" s="1"/>
  <c r="P283" i="2"/>
  <c r="X280" i="2"/>
  <c r="X279" i="2"/>
  <c r="BO278" i="2"/>
  <c r="BM278" i="2"/>
  <c r="Y278" i="2"/>
  <c r="BP278" i="2" s="1"/>
  <c r="P278" i="2"/>
  <c r="BP277" i="2"/>
  <c r="BO277" i="2"/>
  <c r="BN277" i="2"/>
  <c r="BM277" i="2"/>
  <c r="Z277" i="2"/>
  <c r="Y277" i="2"/>
  <c r="P277" i="2"/>
  <c r="BO276" i="2"/>
  <c r="BM276" i="2"/>
  <c r="Y276" i="2"/>
  <c r="Y280" i="2" s="1"/>
  <c r="P276" i="2"/>
  <c r="X273" i="2"/>
  <c r="X272" i="2"/>
  <c r="BO271" i="2"/>
  <c r="BM271" i="2"/>
  <c r="Y271" i="2"/>
  <c r="BN271" i="2" s="1"/>
  <c r="P271" i="2"/>
  <c r="BP270" i="2"/>
  <c r="BO270" i="2"/>
  <c r="BN270" i="2"/>
  <c r="BM270" i="2"/>
  <c r="Z270" i="2"/>
  <c r="Y270" i="2"/>
  <c r="P270" i="2"/>
  <c r="BO269" i="2"/>
  <c r="BN269" i="2"/>
  <c r="BM269" i="2"/>
  <c r="Z269" i="2"/>
  <c r="Y269" i="2"/>
  <c r="BP269" i="2" s="1"/>
  <c r="P269" i="2"/>
  <c r="BO268" i="2"/>
  <c r="BM268" i="2"/>
  <c r="Y268" i="2"/>
  <c r="BP268" i="2" s="1"/>
  <c r="P268" i="2"/>
  <c r="X265" i="2"/>
  <c r="X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BN261" i="2" s="1"/>
  <c r="P261" i="2"/>
  <c r="BO260" i="2"/>
  <c r="BM260" i="2"/>
  <c r="Y260" i="2"/>
  <c r="BN260" i="2" s="1"/>
  <c r="P260" i="2"/>
  <c r="BP259" i="2"/>
  <c r="BO259" i="2"/>
  <c r="BN259" i="2"/>
  <c r="BM259" i="2"/>
  <c r="Z259" i="2"/>
  <c r="Y259" i="2"/>
  <c r="P259" i="2"/>
  <c r="X256" i="2"/>
  <c r="X255" i="2"/>
  <c r="BO254" i="2"/>
  <c r="BN254" i="2"/>
  <c r="BM254" i="2"/>
  <c r="Z254" i="2"/>
  <c r="Y254" i="2"/>
  <c r="BP254" i="2" s="1"/>
  <c r="P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BO250" i="2"/>
  <c r="BM250" i="2"/>
  <c r="Y250" i="2"/>
  <c r="BN250" i="2" s="1"/>
  <c r="P250" i="2"/>
  <c r="Y248" i="2"/>
  <c r="X248" i="2"/>
  <c r="Y247" i="2"/>
  <c r="X247" i="2"/>
  <c r="BP246" i="2"/>
  <c r="BO246" i="2"/>
  <c r="BN246" i="2"/>
  <c r="BM246" i="2"/>
  <c r="Z246" i="2"/>
  <c r="Z247" i="2" s="1"/>
  <c r="Y246" i="2"/>
  <c r="P246" i="2"/>
  <c r="X244" i="2"/>
  <c r="X243" i="2"/>
  <c r="BP242" i="2"/>
  <c r="BO242" i="2"/>
  <c r="BN242" i="2"/>
  <c r="BM242" i="2"/>
  <c r="Z242" i="2"/>
  <c r="Z243" i="2" s="1"/>
  <c r="Y242" i="2"/>
  <c r="Y243" i="2" s="1"/>
  <c r="P242" i="2"/>
  <c r="X240" i="2"/>
  <c r="X239" i="2"/>
  <c r="BP238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Z234" i="2"/>
  <c r="Y234" i="2"/>
  <c r="BP234" i="2" s="1"/>
  <c r="P234" i="2"/>
  <c r="BO233" i="2"/>
  <c r="BM233" i="2"/>
  <c r="Y233" i="2"/>
  <c r="BP233" i="2" s="1"/>
  <c r="P233" i="2"/>
  <c r="BP232" i="2"/>
  <c r="BO232" i="2"/>
  <c r="BN232" i="2"/>
  <c r="BM232" i="2"/>
  <c r="Z232" i="2"/>
  <c r="Y232" i="2"/>
  <c r="P232" i="2"/>
  <c r="BO231" i="2"/>
  <c r="BM231" i="2"/>
  <c r="Y231" i="2"/>
  <c r="BP231" i="2" s="1"/>
  <c r="P231" i="2"/>
  <c r="BO230" i="2"/>
  <c r="BM230" i="2"/>
  <c r="Z230" i="2"/>
  <c r="Y230" i="2"/>
  <c r="P230" i="2"/>
  <c r="X227" i="2"/>
  <c r="Y226" i="2"/>
  <c r="X226" i="2"/>
  <c r="BP225" i="2"/>
  <c r="BO225" i="2"/>
  <c r="BN225" i="2"/>
  <c r="BM225" i="2"/>
  <c r="Z225" i="2"/>
  <c r="Y225" i="2"/>
  <c r="P225" i="2"/>
  <c r="BO224" i="2"/>
  <c r="BN224" i="2"/>
  <c r="BM224" i="2"/>
  <c r="Z224" i="2"/>
  <c r="Z226" i="2" s="1"/>
  <c r="Y224" i="2"/>
  <c r="BP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BN216" i="2" s="1"/>
  <c r="P216" i="2"/>
  <c r="BP215" i="2"/>
  <c r="BO215" i="2"/>
  <c r="BN215" i="2"/>
  <c r="BM215" i="2"/>
  <c r="Z215" i="2"/>
  <c r="Y215" i="2"/>
  <c r="P215" i="2"/>
  <c r="BO214" i="2"/>
  <c r="BN214" i="2"/>
  <c r="BM214" i="2"/>
  <c r="Z214" i="2"/>
  <c r="Y214" i="2"/>
  <c r="BP214" i="2" s="1"/>
  <c r="P214" i="2"/>
  <c r="BO213" i="2"/>
  <c r="BM213" i="2"/>
  <c r="Y213" i="2"/>
  <c r="Y222" i="2" s="1"/>
  <c r="P213" i="2"/>
  <c r="BP212" i="2"/>
  <c r="BO212" i="2"/>
  <c r="BN212" i="2"/>
  <c r="BM212" i="2"/>
  <c r="Z212" i="2"/>
  <c r="Y212" i="2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N206" i="2" s="1"/>
  <c r="P206" i="2"/>
  <c r="BP205" i="2"/>
  <c r="BO205" i="2"/>
  <c r="BN205" i="2"/>
  <c r="BM205" i="2"/>
  <c r="Z205" i="2"/>
  <c r="Y205" i="2"/>
  <c r="P205" i="2"/>
  <c r="BO204" i="2"/>
  <c r="BN204" i="2"/>
  <c r="BM204" i="2"/>
  <c r="Z204" i="2"/>
  <c r="Y204" i="2"/>
  <c r="BP204" i="2" s="1"/>
  <c r="P204" i="2"/>
  <c r="BO203" i="2"/>
  <c r="BM203" i="2"/>
  <c r="Y203" i="2"/>
  <c r="P203" i="2"/>
  <c r="BP202" i="2"/>
  <c r="BO202" i="2"/>
  <c r="BN202" i="2"/>
  <c r="BM202" i="2"/>
  <c r="Z202" i="2"/>
  <c r="Y202" i="2"/>
  <c r="P202" i="2"/>
  <c r="BO201" i="2"/>
  <c r="BM201" i="2"/>
  <c r="Y201" i="2"/>
  <c r="BP201" i="2" s="1"/>
  <c r="P201" i="2"/>
  <c r="X199" i="2"/>
  <c r="X198" i="2"/>
  <c r="BO197" i="2"/>
  <c r="BM197" i="2"/>
  <c r="Y197" i="2"/>
  <c r="BN197" i="2" s="1"/>
  <c r="P197" i="2"/>
  <c r="BO196" i="2"/>
  <c r="BM196" i="2"/>
  <c r="Y196" i="2"/>
  <c r="BN196" i="2" s="1"/>
  <c r="P196" i="2"/>
  <c r="Y194" i="2"/>
  <c r="X194" i="2"/>
  <c r="X193" i="2"/>
  <c r="BO192" i="2"/>
  <c r="BM192" i="2"/>
  <c r="Y192" i="2"/>
  <c r="P192" i="2"/>
  <c r="BO191" i="2"/>
  <c r="BN191" i="2"/>
  <c r="BM191" i="2"/>
  <c r="Z191" i="2"/>
  <c r="Y191" i="2"/>
  <c r="P191" i="2"/>
  <c r="X188" i="2"/>
  <c r="X187" i="2"/>
  <c r="BO186" i="2"/>
  <c r="BM186" i="2"/>
  <c r="Y186" i="2"/>
  <c r="BP186" i="2" s="1"/>
  <c r="P186" i="2"/>
  <c r="X184" i="2"/>
  <c r="X183" i="2"/>
  <c r="BP182" i="2"/>
  <c r="BO182" i="2"/>
  <c r="BN182" i="2"/>
  <c r="BM182" i="2"/>
  <c r="Z182" i="2"/>
  <c r="Y182" i="2"/>
  <c r="P182" i="2"/>
  <c r="BO181" i="2"/>
  <c r="BN181" i="2"/>
  <c r="BM181" i="2"/>
  <c r="Z181" i="2"/>
  <c r="Y181" i="2"/>
  <c r="BP181" i="2" s="1"/>
  <c r="P181" i="2"/>
  <c r="BO180" i="2"/>
  <c r="BM180" i="2"/>
  <c r="Y180" i="2"/>
  <c r="Y184" i="2" s="1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N174" i="2" s="1"/>
  <c r="P174" i="2"/>
  <c r="BO173" i="2"/>
  <c r="BM173" i="2"/>
  <c r="Y173" i="2"/>
  <c r="BN173" i="2" s="1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P169" i="2"/>
  <c r="BO169" i="2"/>
  <c r="BN169" i="2"/>
  <c r="BM169" i="2"/>
  <c r="Z169" i="2"/>
  <c r="Y169" i="2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Y177" i="2" s="1"/>
  <c r="X163" i="2"/>
  <c r="X162" i="2"/>
  <c r="BO161" i="2"/>
  <c r="BM161" i="2"/>
  <c r="Y161" i="2"/>
  <c r="Y162" i="2" s="1"/>
  <c r="P161" i="2"/>
  <c r="X157" i="2"/>
  <c r="X156" i="2"/>
  <c r="BO155" i="2"/>
  <c r="BM155" i="2"/>
  <c r="Y155" i="2"/>
  <c r="Y156" i="2" s="1"/>
  <c r="P155" i="2"/>
  <c r="X153" i="2"/>
  <c r="X152" i="2"/>
  <c r="BO151" i="2"/>
  <c r="BM151" i="2"/>
  <c r="Y151" i="2"/>
  <c r="Z151" i="2" s="1"/>
  <c r="P151" i="2"/>
  <c r="BP150" i="2"/>
  <c r="BO150" i="2"/>
  <c r="BN150" i="2"/>
  <c r="BM150" i="2"/>
  <c r="Z150" i="2"/>
  <c r="Y150" i="2"/>
  <c r="P150" i="2"/>
  <c r="BO149" i="2"/>
  <c r="BN149" i="2"/>
  <c r="BM149" i="2"/>
  <c r="Z149" i="2"/>
  <c r="Y149" i="2"/>
  <c r="BP149" i="2" s="1"/>
  <c r="P149" i="2"/>
  <c r="X147" i="2"/>
  <c r="X146" i="2"/>
  <c r="BP145" i="2"/>
  <c r="BO145" i="2"/>
  <c r="BN145" i="2"/>
  <c r="BM145" i="2"/>
  <c r="Z145" i="2"/>
  <c r="Y145" i="2"/>
  <c r="P145" i="2"/>
  <c r="BO144" i="2"/>
  <c r="BM144" i="2"/>
  <c r="Y144" i="2"/>
  <c r="Y146" i="2" s="1"/>
  <c r="P144" i="2"/>
  <c r="X141" i="2"/>
  <c r="X140" i="2"/>
  <c r="BO139" i="2"/>
  <c r="BM139" i="2"/>
  <c r="Y139" i="2"/>
  <c r="BP139" i="2" s="1"/>
  <c r="P139" i="2"/>
  <c r="BO138" i="2"/>
  <c r="BM138" i="2"/>
  <c r="Y138" i="2"/>
  <c r="Y141" i="2" s="1"/>
  <c r="P138" i="2"/>
  <c r="X136" i="2"/>
  <c r="X135" i="2"/>
  <c r="BO134" i="2"/>
  <c r="BM134" i="2"/>
  <c r="Y134" i="2"/>
  <c r="BP134" i="2" s="1"/>
  <c r="P134" i="2"/>
  <c r="BP133" i="2"/>
  <c r="BO133" i="2"/>
  <c r="BN133" i="2"/>
  <c r="BM133" i="2"/>
  <c r="Z133" i="2"/>
  <c r="Y133" i="2"/>
  <c r="Y135" i="2" s="1"/>
  <c r="P133" i="2"/>
  <c r="X131" i="2"/>
  <c r="Y130" i="2"/>
  <c r="X130" i="2"/>
  <c r="BP129" i="2"/>
  <c r="BO129" i="2"/>
  <c r="BM129" i="2"/>
  <c r="Y129" i="2"/>
  <c r="BN129" i="2" s="1"/>
  <c r="P129" i="2"/>
  <c r="BO128" i="2"/>
  <c r="BM128" i="2"/>
  <c r="Y128" i="2"/>
  <c r="P128" i="2"/>
  <c r="X125" i="2"/>
  <c r="X124" i="2"/>
  <c r="BO123" i="2"/>
  <c r="BM123" i="2"/>
  <c r="Y123" i="2"/>
  <c r="Y124" i="2" s="1"/>
  <c r="P123" i="2"/>
  <c r="X121" i="2"/>
  <c r="X120" i="2"/>
  <c r="BO119" i="2"/>
  <c r="BM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Y120" i="2" s="1"/>
  <c r="P116" i="2"/>
  <c r="X114" i="2"/>
  <c r="X113" i="2"/>
  <c r="BO112" i="2"/>
  <c r="BM112" i="2"/>
  <c r="Z112" i="2"/>
  <c r="Y112" i="2"/>
  <c r="BP112" i="2" s="1"/>
  <c r="P112" i="2"/>
  <c r="BO111" i="2"/>
  <c r="BM111" i="2"/>
  <c r="Y111" i="2"/>
  <c r="BP111" i="2" s="1"/>
  <c r="P111" i="2"/>
  <c r="BP110" i="2"/>
  <c r="BO110" i="2"/>
  <c r="BN110" i="2"/>
  <c r="BM110" i="2"/>
  <c r="Z110" i="2"/>
  <c r="Y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Y102" i="2"/>
  <c r="BN102" i="2" s="1"/>
  <c r="BP101" i="2"/>
  <c r="BO101" i="2"/>
  <c r="BN101" i="2"/>
  <c r="BM101" i="2"/>
  <c r="Z101" i="2"/>
  <c r="Y101" i="2"/>
  <c r="P101" i="2"/>
  <c r="X98" i="2"/>
  <c r="X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P94" i="2"/>
  <c r="BP93" i="2"/>
  <c r="BO93" i="2"/>
  <c r="BN93" i="2"/>
  <c r="BM93" i="2"/>
  <c r="Z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Y91" i="2" s="1"/>
  <c r="BO86" i="2"/>
  <c r="BN86" i="2"/>
  <c r="BM86" i="2"/>
  <c r="Z86" i="2"/>
  <c r="Y86" i="2"/>
  <c r="P86" i="2"/>
  <c r="X83" i="2"/>
  <c r="X82" i="2"/>
  <c r="BO81" i="2"/>
  <c r="BM81" i="2"/>
  <c r="Z81" i="2"/>
  <c r="Y81" i="2"/>
  <c r="BP81" i="2" s="1"/>
  <c r="P81" i="2"/>
  <c r="BO80" i="2"/>
  <c r="BM80" i="2"/>
  <c r="Y80" i="2"/>
  <c r="BN80" i="2" s="1"/>
  <c r="P80" i="2"/>
  <c r="X78" i="2"/>
  <c r="X77" i="2"/>
  <c r="BO76" i="2"/>
  <c r="BM76" i="2"/>
  <c r="Y76" i="2"/>
  <c r="BP76" i="2" s="1"/>
  <c r="P76" i="2"/>
  <c r="BO75" i="2"/>
  <c r="BM75" i="2"/>
  <c r="Y75" i="2"/>
  <c r="BP75" i="2" s="1"/>
  <c r="P75" i="2"/>
  <c r="BP74" i="2"/>
  <c r="BO74" i="2"/>
  <c r="BN74" i="2"/>
  <c r="BM74" i="2"/>
  <c r="Z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BN69" i="2" s="1"/>
  <c r="P69" i="2"/>
  <c r="BP68" i="2"/>
  <c r="BO68" i="2"/>
  <c r="BM68" i="2"/>
  <c r="Y68" i="2"/>
  <c r="BN68" i="2" s="1"/>
  <c r="P68" i="2"/>
  <c r="BO67" i="2"/>
  <c r="BM67" i="2"/>
  <c r="Y67" i="2"/>
  <c r="Y71" i="2" s="1"/>
  <c r="P67" i="2"/>
  <c r="X65" i="2"/>
  <c r="X64" i="2"/>
  <c r="BO63" i="2"/>
  <c r="BN63" i="2"/>
  <c r="BM63" i="2"/>
  <c r="Z63" i="2"/>
  <c r="Y63" i="2"/>
  <c r="BP63" i="2" s="1"/>
  <c r="P63" i="2"/>
  <c r="BO62" i="2"/>
  <c r="BM62" i="2"/>
  <c r="Y62" i="2"/>
  <c r="BP62" i="2" s="1"/>
  <c r="P62" i="2"/>
  <c r="BO61" i="2"/>
  <c r="BM61" i="2"/>
  <c r="Y61" i="2"/>
  <c r="P61" i="2"/>
  <c r="X59" i="2"/>
  <c r="X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P55" i="2"/>
  <c r="BO55" i="2"/>
  <c r="BN55" i="2"/>
  <c r="BM55" i="2"/>
  <c r="Z55" i="2"/>
  <c r="Y55" i="2"/>
  <c r="P55" i="2"/>
  <c r="BO54" i="2"/>
  <c r="BM54" i="2"/>
  <c r="Y54" i="2"/>
  <c r="BN54" i="2" s="1"/>
  <c r="P54" i="2"/>
  <c r="BO53" i="2"/>
  <c r="BM53" i="2"/>
  <c r="Y53" i="2"/>
  <c r="BP53" i="2" s="1"/>
  <c r="P53" i="2"/>
  <c r="BP52" i="2"/>
  <c r="BO52" i="2"/>
  <c r="BN52" i="2"/>
  <c r="BM52" i="2"/>
  <c r="Z52" i="2"/>
  <c r="Y52" i="2"/>
  <c r="P52" i="2"/>
  <c r="X49" i="2"/>
  <c r="X48" i="2"/>
  <c r="BO47" i="2"/>
  <c r="BM47" i="2"/>
  <c r="Y47" i="2"/>
  <c r="BN47" i="2" s="1"/>
  <c r="P47" i="2"/>
  <c r="X45" i="2"/>
  <c r="X44" i="2"/>
  <c r="BO43" i="2"/>
  <c r="BM43" i="2"/>
  <c r="Y43" i="2"/>
  <c r="BP43" i="2" s="1"/>
  <c r="P43" i="2"/>
  <c r="BO42" i="2"/>
  <c r="BM42" i="2"/>
  <c r="Y42" i="2"/>
  <c r="Y44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P29" i="2"/>
  <c r="BO29" i="2"/>
  <c r="BM29" i="2"/>
  <c r="Y29" i="2"/>
  <c r="Z29" i="2" s="1"/>
  <c r="P29" i="2"/>
  <c r="BO28" i="2"/>
  <c r="BN28" i="2"/>
  <c r="BM28" i="2"/>
  <c r="Z28" i="2"/>
  <c r="Y28" i="2"/>
  <c r="BP28" i="2" s="1"/>
  <c r="P28" i="2"/>
  <c r="BO27" i="2"/>
  <c r="BM27" i="2"/>
  <c r="Y27" i="2"/>
  <c r="Y32" i="2" s="1"/>
  <c r="P27" i="2"/>
  <c r="X25" i="2"/>
  <c r="X491" i="2" s="1"/>
  <c r="X24" i="2"/>
  <c r="BO23" i="2"/>
  <c r="BM23" i="2"/>
  <c r="Y23" i="2"/>
  <c r="BP23" i="2" s="1"/>
  <c r="P23" i="2"/>
  <c r="BP22" i="2"/>
  <c r="BO22" i="2"/>
  <c r="BN22" i="2"/>
  <c r="BM22" i="2"/>
  <c r="Z22" i="2"/>
  <c r="Y22" i="2"/>
  <c r="P22" i="2"/>
  <c r="H10" i="2"/>
  <c r="A9" i="2"/>
  <c r="H9" i="2" s="1"/>
  <c r="D7" i="2"/>
  <c r="Q6" i="2"/>
  <c r="P2" i="2"/>
  <c r="F9" i="2" l="1"/>
  <c r="F10" i="2"/>
  <c r="BN56" i="2"/>
  <c r="Y58" i="2"/>
  <c r="Y136" i="2"/>
  <c r="BN144" i="2"/>
  <c r="Y178" i="2"/>
  <c r="Y209" i="2"/>
  <c r="BN231" i="2"/>
  <c r="Y239" i="2"/>
  <c r="BN276" i="2"/>
  <c r="BN288" i="2"/>
  <c r="Y291" i="2"/>
  <c r="Q501" i="2"/>
  <c r="BN294" i="2"/>
  <c r="Z294" i="2"/>
  <c r="Y299" i="2"/>
  <c r="BP295" i="2"/>
  <c r="BN295" i="2"/>
  <c r="Z295" i="2"/>
  <c r="Y308" i="2"/>
  <c r="BP312" i="2"/>
  <c r="BN312" i="2"/>
  <c r="Z312" i="2"/>
  <c r="Z315" i="2" s="1"/>
  <c r="BN320" i="2"/>
  <c r="BP327" i="2"/>
  <c r="BN327" i="2"/>
  <c r="Z327" i="2"/>
  <c r="BN331" i="2"/>
  <c r="BP333" i="2"/>
  <c r="BN333" i="2"/>
  <c r="Z333" i="2"/>
  <c r="Y334" i="2"/>
  <c r="Y341" i="2"/>
  <c r="BP347" i="2"/>
  <c r="BN347" i="2"/>
  <c r="Z347" i="2"/>
  <c r="BP362" i="2"/>
  <c r="BN362" i="2"/>
  <c r="Z362" i="2"/>
  <c r="BN366" i="2"/>
  <c r="BP372" i="2"/>
  <c r="BN372" i="2"/>
  <c r="Z372" i="2"/>
  <c r="Z373" i="2" s="1"/>
  <c r="Z396" i="2"/>
  <c r="BP396" i="2"/>
  <c r="Z427" i="2"/>
  <c r="BP427" i="2"/>
  <c r="BP434" i="2"/>
  <c r="Z434" i="2"/>
  <c r="Z447" i="2"/>
  <c r="BP447" i="2"/>
  <c r="A10" i="2"/>
  <c r="B501" i="2"/>
  <c r="X492" i="2"/>
  <c r="X493" i="2"/>
  <c r="X495" i="2"/>
  <c r="Z27" i="2"/>
  <c r="BN27" i="2"/>
  <c r="BP27" i="2"/>
  <c r="Z30" i="2"/>
  <c r="BN30" i="2"/>
  <c r="BN31" i="2"/>
  <c r="Y33" i="2"/>
  <c r="C501" i="2"/>
  <c r="Z43" i="2"/>
  <c r="BN43" i="2"/>
  <c r="Y45" i="2"/>
  <c r="Y59" i="2"/>
  <c r="Z53" i="2"/>
  <c r="BN53" i="2"/>
  <c r="BP54" i="2"/>
  <c r="Y65" i="2"/>
  <c r="BN61" i="2"/>
  <c r="Z62" i="2"/>
  <c r="BN62" i="2"/>
  <c r="Y64" i="2"/>
  <c r="Z67" i="2"/>
  <c r="BN67" i="2"/>
  <c r="BP67" i="2"/>
  <c r="BP69" i="2"/>
  <c r="Y70" i="2"/>
  <c r="Z73" i="2"/>
  <c r="BN73" i="2"/>
  <c r="BP73" i="2"/>
  <c r="Z76" i="2"/>
  <c r="BN76" i="2"/>
  <c r="Y83" i="2"/>
  <c r="E501" i="2"/>
  <c r="Z87" i="2"/>
  <c r="BN88" i="2"/>
  <c r="Z89" i="2"/>
  <c r="BN89" i="2"/>
  <c r="Y98" i="2"/>
  <c r="Z95" i="2"/>
  <c r="BN95" i="2"/>
  <c r="F501" i="2"/>
  <c r="Z105" i="2"/>
  <c r="BN105" i="2"/>
  <c r="Y114" i="2"/>
  <c r="Z111" i="2"/>
  <c r="Z113" i="2" s="1"/>
  <c r="BN111" i="2"/>
  <c r="Z116" i="2"/>
  <c r="BN116" i="2"/>
  <c r="BP116" i="2"/>
  <c r="Y125" i="2"/>
  <c r="G501" i="2"/>
  <c r="Z134" i="2"/>
  <c r="Z135" i="2" s="1"/>
  <c r="BN134" i="2"/>
  <c r="Z139" i="2"/>
  <c r="BN139" i="2"/>
  <c r="Y140" i="2"/>
  <c r="Y147" i="2"/>
  <c r="Y153" i="2"/>
  <c r="Y163" i="2"/>
  <c r="Z165" i="2"/>
  <c r="BN165" i="2"/>
  <c r="Z167" i="2"/>
  <c r="BN167" i="2"/>
  <c r="Z171" i="2"/>
  <c r="BP174" i="2"/>
  <c r="BN176" i="2"/>
  <c r="Z180" i="2"/>
  <c r="Z183" i="2" s="1"/>
  <c r="Z186" i="2"/>
  <c r="Z187" i="2" s="1"/>
  <c r="Y187" i="2"/>
  <c r="Y188" i="2"/>
  <c r="J501" i="2"/>
  <c r="Y193" i="2"/>
  <c r="BP197" i="2"/>
  <c r="Y198" i="2"/>
  <c r="Z201" i="2"/>
  <c r="BN201" i="2"/>
  <c r="Z203" i="2"/>
  <c r="BP207" i="2"/>
  <c r="Z213" i="2"/>
  <c r="BP217" i="2"/>
  <c r="BN219" i="2"/>
  <c r="Z220" i="2"/>
  <c r="BN220" i="2"/>
  <c r="Y227" i="2"/>
  <c r="Y240" i="2"/>
  <c r="Z233" i="2"/>
  <c r="BN233" i="2"/>
  <c r="Z235" i="2"/>
  <c r="BN235" i="2"/>
  <c r="Z236" i="2"/>
  <c r="BN236" i="2"/>
  <c r="Y244" i="2"/>
  <c r="BP250" i="2"/>
  <c r="BN252" i="2"/>
  <c r="Z253" i="2"/>
  <c r="BN253" i="2"/>
  <c r="Y265" i="2"/>
  <c r="BP261" i="2"/>
  <c r="BN263" i="2"/>
  <c r="Z268" i="2"/>
  <c r="Z278" i="2"/>
  <c r="BN278" i="2"/>
  <c r="Y279" i="2"/>
  <c r="Z284" i="2"/>
  <c r="Z285" i="2" s="1"/>
  <c r="BN284" i="2"/>
  <c r="Y285" i="2"/>
  <c r="BP303" i="2"/>
  <c r="Z303" i="2"/>
  <c r="Y316" i="2"/>
  <c r="BP314" i="2"/>
  <c r="BN314" i="2"/>
  <c r="Z314" i="2"/>
  <c r="BP349" i="2"/>
  <c r="BN349" i="2"/>
  <c r="Z349" i="2"/>
  <c r="BP350" i="2"/>
  <c r="BN350" i="2"/>
  <c r="Z350" i="2"/>
  <c r="Y359" i="2"/>
  <c r="BP356" i="2"/>
  <c r="BN356" i="2"/>
  <c r="Z356" i="2"/>
  <c r="Z358" i="2" s="1"/>
  <c r="BP381" i="2"/>
  <c r="BN381" i="2"/>
  <c r="Z381" i="2"/>
  <c r="Y384" i="2"/>
  <c r="BP383" i="2"/>
  <c r="BN383" i="2"/>
  <c r="Z383" i="2"/>
  <c r="BP392" i="2"/>
  <c r="BN392" i="2"/>
  <c r="Z392" i="2"/>
  <c r="Y403" i="2"/>
  <c r="Y404" i="2"/>
  <c r="BN401" i="2"/>
  <c r="BP412" i="2"/>
  <c r="Z412" i="2"/>
  <c r="BP414" i="2"/>
  <c r="BN414" i="2"/>
  <c r="Z414" i="2"/>
  <c r="BP430" i="2"/>
  <c r="Z430" i="2"/>
  <c r="BP432" i="2"/>
  <c r="BN432" i="2"/>
  <c r="Z432" i="2"/>
  <c r="Y444" i="2"/>
  <c r="Z440" i="2"/>
  <c r="BP442" i="2"/>
  <c r="BN442" i="2"/>
  <c r="Z442" i="2"/>
  <c r="BP450" i="2"/>
  <c r="Z450" i="2"/>
  <c r="BP468" i="2"/>
  <c r="Y471" i="2"/>
  <c r="Z468" i="2"/>
  <c r="Z470" i="2" s="1"/>
  <c r="Y485" i="2"/>
  <c r="BP482" i="2"/>
  <c r="BN482" i="2"/>
  <c r="Z482" i="2"/>
  <c r="Y329" i="2"/>
  <c r="Y328" i="2"/>
  <c r="R501" i="2"/>
  <c r="S501" i="2"/>
  <c r="Y353" i="2"/>
  <c r="Z363" i="2"/>
  <c r="Y363" i="2"/>
  <c r="Y374" i="2"/>
  <c r="Y399" i="2"/>
  <c r="BN391" i="2"/>
  <c r="V501" i="2"/>
  <c r="Y408" i="2"/>
  <c r="BN413" i="2"/>
  <c r="Y438" i="2"/>
  <c r="BN431" i="2"/>
  <c r="BN441" i="2"/>
  <c r="Y452" i="2"/>
  <c r="BN451" i="2"/>
  <c r="Z152" i="2"/>
  <c r="Z32" i="2"/>
  <c r="BN42" i="2"/>
  <c r="BP42" i="2"/>
  <c r="BP47" i="2"/>
  <c r="Z56" i="2"/>
  <c r="BP80" i="2"/>
  <c r="Z94" i="2"/>
  <c r="BP96" i="2"/>
  <c r="BP102" i="2"/>
  <c r="Z138" i="2"/>
  <c r="Z140" i="2" s="1"/>
  <c r="BN151" i="2"/>
  <c r="Z168" i="2"/>
  <c r="J9" i="2"/>
  <c r="Z61" i="2"/>
  <c r="Z64" i="2" s="1"/>
  <c r="BP86" i="2"/>
  <c r="Y113" i="2"/>
  <c r="Y121" i="2"/>
  <c r="Z144" i="2"/>
  <c r="Z146" i="2" s="1"/>
  <c r="Y157" i="2"/>
  <c r="BP165" i="2"/>
  <c r="Z176" i="2"/>
  <c r="BP191" i="2"/>
  <c r="Z219" i="2"/>
  <c r="Z252" i="2"/>
  <c r="Z263" i="2"/>
  <c r="Z288" i="2"/>
  <c r="Z290" i="2" s="1"/>
  <c r="Y322" i="2"/>
  <c r="Z331" i="2"/>
  <c r="Z334" i="2" s="1"/>
  <c r="Z366" i="2"/>
  <c r="Z367" i="2" s="1"/>
  <c r="Z391" i="2"/>
  <c r="Z401" i="2"/>
  <c r="Z403" i="2" s="1"/>
  <c r="Y453" i="2"/>
  <c r="Z464" i="2"/>
  <c r="BP478" i="2"/>
  <c r="Y490" i="2"/>
  <c r="H501" i="2"/>
  <c r="BN94" i="2"/>
  <c r="Y97" i="2"/>
  <c r="BP128" i="2"/>
  <c r="BN138" i="2"/>
  <c r="BP151" i="2"/>
  <c r="BN168" i="2"/>
  <c r="BP173" i="2"/>
  <c r="BP196" i="2"/>
  <c r="BP206" i="2"/>
  <c r="BP216" i="2"/>
  <c r="BP237" i="2"/>
  <c r="BP260" i="2"/>
  <c r="BP271" i="2"/>
  <c r="BN283" i="2"/>
  <c r="BP296" i="2"/>
  <c r="BP306" i="2"/>
  <c r="BN326" i="2"/>
  <c r="BP339" i="2"/>
  <c r="BP351" i="2"/>
  <c r="BN361" i="2"/>
  <c r="Y385" i="2"/>
  <c r="BN396" i="2"/>
  <c r="Y421" i="2"/>
  <c r="BN427" i="2"/>
  <c r="BN447" i="2"/>
  <c r="BP461" i="2"/>
  <c r="BP483" i="2"/>
  <c r="I501" i="2"/>
  <c r="Y48" i="2"/>
  <c r="Y210" i="2"/>
  <c r="Y255" i="2"/>
  <c r="Y300" i="2"/>
  <c r="BN464" i="2"/>
  <c r="Z474" i="2"/>
  <c r="Y479" i="2"/>
  <c r="BP31" i="2"/>
  <c r="Z54" i="2"/>
  <c r="Z58" i="2" s="1"/>
  <c r="Z161" i="2"/>
  <c r="Z162" i="2" s="1"/>
  <c r="BP283" i="2"/>
  <c r="Z324" i="2"/>
  <c r="Z328" i="2" s="1"/>
  <c r="Z382" i="2"/>
  <c r="Z384" i="2" s="1"/>
  <c r="Z394" i="2"/>
  <c r="BN469" i="2"/>
  <c r="Y484" i="2"/>
  <c r="K501" i="2"/>
  <c r="Y24" i="2"/>
  <c r="Y37" i="2"/>
  <c r="BP138" i="2"/>
  <c r="Z192" i="2"/>
  <c r="Z193" i="2" s="1"/>
  <c r="Y272" i="2"/>
  <c r="BP326" i="2"/>
  <c r="Z455" i="2"/>
  <c r="Z456" i="2" s="1"/>
  <c r="Y25" i="2"/>
  <c r="Y49" i="2"/>
  <c r="BP61" i="2"/>
  <c r="Z69" i="2"/>
  <c r="BN81" i="2"/>
  <c r="BN87" i="2"/>
  <c r="Y90" i="2"/>
  <c r="BN103" i="2"/>
  <c r="Y106" i="2"/>
  <c r="BN118" i="2"/>
  <c r="Z129" i="2"/>
  <c r="BP144" i="2"/>
  <c r="BN171" i="2"/>
  <c r="Z174" i="2"/>
  <c r="BN186" i="2"/>
  <c r="Z197" i="2"/>
  <c r="Z207" i="2"/>
  <c r="Z217" i="2"/>
  <c r="BN230" i="2"/>
  <c r="Z238" i="2"/>
  <c r="Z250" i="2"/>
  <c r="Z261" i="2"/>
  <c r="BP288" i="2"/>
  <c r="Z297" i="2"/>
  <c r="Z307" i="2"/>
  <c r="BN319" i="2"/>
  <c r="BP331" i="2"/>
  <c r="Z340" i="2"/>
  <c r="Z352" i="2"/>
  <c r="BP366" i="2"/>
  <c r="BN377" i="2"/>
  <c r="Z389" i="2"/>
  <c r="BP401" i="2"/>
  <c r="BN412" i="2"/>
  <c r="Y415" i="2"/>
  <c r="Z425" i="2"/>
  <c r="BN430" i="2"/>
  <c r="BN440" i="2"/>
  <c r="Y443" i="2"/>
  <c r="BN450" i="2"/>
  <c r="Z462" i="2"/>
  <c r="BN474" i="2"/>
  <c r="L501" i="2"/>
  <c r="Z123" i="2"/>
  <c r="Z124" i="2" s="1"/>
  <c r="Y152" i="2"/>
  <c r="Z166" i="2"/>
  <c r="BN29" i="2"/>
  <c r="BN123" i="2"/>
  <c r="BN161" i="2"/>
  <c r="BN166" i="2"/>
  <c r="BN192" i="2"/>
  <c r="Y256" i="2"/>
  <c r="BP294" i="2"/>
  <c r="BN324" i="2"/>
  <c r="BN382" i="2"/>
  <c r="BN394" i="2"/>
  <c r="BP407" i="2"/>
  <c r="BN455" i="2"/>
  <c r="Y480" i="2"/>
  <c r="M501" i="2"/>
  <c r="Z42" i="2"/>
  <c r="Z44" i="2" s="1"/>
  <c r="BP87" i="2"/>
  <c r="BP230" i="2"/>
  <c r="Y264" i="2"/>
  <c r="Y273" i="2"/>
  <c r="BN297" i="2"/>
  <c r="BN307" i="2"/>
  <c r="BN340" i="2"/>
  <c r="BN352" i="2"/>
  <c r="Y367" i="2"/>
  <c r="BN389" i="2"/>
  <c r="BN425" i="2"/>
  <c r="BP440" i="2"/>
  <c r="BN462" i="2"/>
  <c r="Y465" i="2"/>
  <c r="O501" i="2"/>
  <c r="Y77" i="2"/>
  <c r="Y107" i="2"/>
  <c r="BP123" i="2"/>
  <c r="BP161" i="2"/>
  <c r="BP166" i="2"/>
  <c r="BP192" i="2"/>
  <c r="Y315" i="2"/>
  <c r="BP324" i="2"/>
  <c r="Y373" i="2"/>
  <c r="BP382" i="2"/>
  <c r="Y416" i="2"/>
  <c r="BP455" i="2"/>
  <c r="Y470" i="2"/>
  <c r="P501" i="2"/>
  <c r="Y378" i="2"/>
  <c r="BP389" i="2"/>
  <c r="BP425" i="2"/>
  <c r="Y475" i="2"/>
  <c r="Y82" i="2"/>
  <c r="Z88" i="2"/>
  <c r="Z90" i="2" s="1"/>
  <c r="Z104" i="2"/>
  <c r="Z119" i="2"/>
  <c r="Z155" i="2"/>
  <c r="Z156" i="2" s="1"/>
  <c r="Z172" i="2"/>
  <c r="Z231" i="2"/>
  <c r="Z276" i="2"/>
  <c r="Z279" i="2" s="1"/>
  <c r="Z320" i="2"/>
  <c r="Z413" i="2"/>
  <c r="Z431" i="2"/>
  <c r="Z441" i="2"/>
  <c r="Z443" i="2" s="1"/>
  <c r="Z451" i="2"/>
  <c r="Y456" i="2"/>
  <c r="Y466" i="2"/>
  <c r="Z488" i="2"/>
  <c r="Z489" i="2" s="1"/>
  <c r="BN104" i="2"/>
  <c r="BN119" i="2"/>
  <c r="BN155" i="2"/>
  <c r="BN172" i="2"/>
  <c r="Z175" i="2"/>
  <c r="Z208" i="2"/>
  <c r="Z218" i="2"/>
  <c r="Z251" i="2"/>
  <c r="Z262" i="2"/>
  <c r="Z298" i="2"/>
  <c r="Y379" i="2"/>
  <c r="Z390" i="2"/>
  <c r="Z426" i="2"/>
  <c r="Z463" i="2"/>
  <c r="Y476" i="2"/>
  <c r="BN488" i="2"/>
  <c r="T501" i="2"/>
  <c r="Y398" i="2"/>
  <c r="U501" i="2"/>
  <c r="Z23" i="2"/>
  <c r="Z24" i="2" s="1"/>
  <c r="BN35" i="2"/>
  <c r="Z47" i="2"/>
  <c r="Z48" i="2" s="1"/>
  <c r="Z80" i="2"/>
  <c r="Z82" i="2" s="1"/>
  <c r="Z96" i="2"/>
  <c r="Z102" i="2"/>
  <c r="Z106" i="2" s="1"/>
  <c r="Z117" i="2"/>
  <c r="Z120" i="2" s="1"/>
  <c r="Y131" i="2"/>
  <c r="BP155" i="2"/>
  <c r="Z170" i="2"/>
  <c r="BN175" i="2"/>
  <c r="Y199" i="2"/>
  <c r="BN208" i="2"/>
  <c r="BN218" i="2"/>
  <c r="Y221" i="2"/>
  <c r="BN251" i="2"/>
  <c r="BN262" i="2"/>
  <c r="BP276" i="2"/>
  <c r="BN298" i="2"/>
  <c r="Y309" i="2"/>
  <c r="Z318" i="2"/>
  <c r="Y342" i="2"/>
  <c r="Y354" i="2"/>
  <c r="Z376" i="2"/>
  <c r="Z378" i="2" s="1"/>
  <c r="BN390" i="2"/>
  <c r="Z411" i="2"/>
  <c r="BN426" i="2"/>
  <c r="Z429" i="2"/>
  <c r="Z449" i="2"/>
  <c r="Z452" i="2" s="1"/>
  <c r="BN463" i="2"/>
  <c r="Z473" i="2"/>
  <c r="Z475" i="2" s="1"/>
  <c r="BP488" i="2"/>
  <c r="Z35" i="2"/>
  <c r="Z36" i="2" s="1"/>
  <c r="BN112" i="2"/>
  <c r="BN180" i="2"/>
  <c r="Y183" i="2"/>
  <c r="BN203" i="2"/>
  <c r="BN213" i="2"/>
  <c r="BN234" i="2"/>
  <c r="BN268" i="2"/>
  <c r="BN303" i="2"/>
  <c r="BN313" i="2"/>
  <c r="BN348" i="2"/>
  <c r="BN371" i="2"/>
  <c r="BN434" i="2"/>
  <c r="Y437" i="2"/>
  <c r="BN468" i="2"/>
  <c r="D501" i="2"/>
  <c r="BN75" i="2"/>
  <c r="BN23" i="2"/>
  <c r="BP35" i="2"/>
  <c r="Z68" i="2"/>
  <c r="Z70" i="2" s="1"/>
  <c r="BN117" i="2"/>
  <c r="Z128" i="2"/>
  <c r="BN170" i="2"/>
  <c r="Z173" i="2"/>
  <c r="Z196" i="2"/>
  <c r="Z206" i="2"/>
  <c r="Z209" i="2" s="1"/>
  <c r="Z216" i="2"/>
  <c r="Z237" i="2"/>
  <c r="Z260" i="2"/>
  <c r="Z264" i="2" s="1"/>
  <c r="Z271" i="2"/>
  <c r="Z272" i="2" s="1"/>
  <c r="Y286" i="2"/>
  <c r="Z296" i="2"/>
  <c r="Z299" i="2" s="1"/>
  <c r="Z306" i="2"/>
  <c r="Z308" i="2" s="1"/>
  <c r="BN318" i="2"/>
  <c r="Y321" i="2"/>
  <c r="Z339" i="2"/>
  <c r="Z341" i="2" s="1"/>
  <c r="Z351" i="2"/>
  <c r="Y364" i="2"/>
  <c r="BN376" i="2"/>
  <c r="BN411" i="2"/>
  <c r="BN429" i="2"/>
  <c r="BN449" i="2"/>
  <c r="Z461" i="2"/>
  <c r="BN473" i="2"/>
  <c r="Z483" i="2"/>
  <c r="Z484" i="2" s="1"/>
  <c r="Y489" i="2"/>
  <c r="X501" i="2"/>
  <c r="BP180" i="2"/>
  <c r="BP203" i="2"/>
  <c r="BP213" i="2"/>
  <c r="Y501" i="2"/>
  <c r="Z75" i="2"/>
  <c r="Z77" i="2" s="1"/>
  <c r="BN128" i="2"/>
  <c r="Z177" i="2" l="1"/>
  <c r="Z398" i="2"/>
  <c r="X494" i="2"/>
  <c r="Y492" i="2"/>
  <c r="Z221" i="2"/>
  <c r="Z239" i="2"/>
  <c r="Z353" i="2"/>
  <c r="Y493" i="2"/>
  <c r="Z97" i="2"/>
  <c r="Z321" i="2"/>
  <c r="Z198" i="2"/>
  <c r="Z465" i="2"/>
  <c r="Z255" i="2"/>
  <c r="Y495" i="2"/>
  <c r="Z130" i="2"/>
  <c r="Z415" i="2"/>
  <c r="Y491" i="2"/>
  <c r="Z437" i="2"/>
  <c r="Y494" i="2" l="1"/>
  <c r="Z496" i="2"/>
</calcChain>
</file>

<file path=xl/sharedStrings.xml><?xml version="1.0" encoding="utf-8"?>
<sst xmlns="http://schemas.openxmlformats.org/spreadsheetml/2006/main" count="3613" uniqueCount="776">
  <si>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</si>
  <si>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</si>
  <si>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</si>
  <si>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</si>
  <si>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</si>
  <si>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</si>
  <si>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</si>
  <si>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</si>
  <si>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</si>
  <si>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</si>
  <si>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</si>
  <si>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</si>
  <si>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</si>
  <si>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</si>
  <si>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</si>
  <si>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</si>
  <si>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</si>
  <si>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</si>
  <si>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</si>
  <si>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</si>
  <si>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</si>
  <si>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</si>
  <si>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</si>
  <si>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</si>
  <si>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</si>
  <si>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</si>
  <si>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</si>
  <si>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</si>
  <si>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</si>
  <si>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</si>
  <si>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</si>
  <si>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</si>
  <si>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</si>
  <si>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</si>
  <si>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</si>
  <si>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</si>
  <si>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</si>
  <si>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</si>
  <si>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</si>
  <si>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</si>
  <si>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</si>
  <si>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</si>
  <si>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</si>
  <si>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</si>
  <si>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</si>
  <si>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</si>
  <si>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</si>
  <si>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</si>
  <si>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</si>
  <si>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</si>
  <si>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</si>
  <si>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</si>
  <si>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</si>
  <si>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</si>
  <si>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</si>
  <si>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</si>
  <si>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</si>
  <si>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</si>
  <si>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</si>
  <si>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</si>
  <si>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</si>
  <si>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</si>
  <si>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</si>
  <si>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</si>
  <si>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</si>
  <si>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</si>
  <si>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</si>
  <si>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15.12.2025</t>
  </si>
  <si>
    <t>09.12.2025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</si>
  <si>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</si>
  <si>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</si>
  <si>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</si>
  <si>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</si>
  <si>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</si>
  <si>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</si>
  <si>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</si>
  <si>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</si>
  <si>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</si>
  <si>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</si>
  <si>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</si>
  <si>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</si>
  <si>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</si>
  <si>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</si>
  <si>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</si>
  <si>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</si>
  <si>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</si>
  <si>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</si>
  <si>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</si>
  <si>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</si>
  <si>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</si>
  <si>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</si>
  <si>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</si>
  <si>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</si>
  <si>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</si>
  <si>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</si>
  <si>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</si>
  <si>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</si>
  <si>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</si>
  <si>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</si>
  <si>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</si>
  <si>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</si>
  <si>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</si>
  <si>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</si>
  <si>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</si>
  <si>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</si>
  <si>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</si>
  <si>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</si>
  <si>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</si>
  <si>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</si>
  <si>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</si>
  <si>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</si>
  <si>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</si>
  <si>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</si>
  <si>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</si>
  <si>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</si>
  <si>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</si>
  <si>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</si>
  <si>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</si>
  <si>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</si>
  <si>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</si>
  <si>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</si>
  <si>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</si>
  <si>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</si>
  <si>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</si>
  <si>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</si>
  <si>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</si>
  <si>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</si>
  <si>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</si>
  <si>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</si>
  <si>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</si>
  <si>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</si>
  <si>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</si>
  <si>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</si>
  <si>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</si>
  <si>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</si>
  <si>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</si>
  <si>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</si>
  <si>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</si>
  <si>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</si>
  <si>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</si>
  <si>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</si>
  <si>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</si>
  <si>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</si>
  <si>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</si>
  <si>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</si>
  <si>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</si>
  <si>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</si>
  <si>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</si>
  <si>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</si>
  <si>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</si>
  <si>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</si>
  <si>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</si>
  <si>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</si>
  <si>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</si>
  <si>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</si>
  <si>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</si>
  <si>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</si>
  <si>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</si>
  <si>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</si>
  <si>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</si>
  <si>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</si>
  <si>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</si>
  <si>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</si>
  <si>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</si>
  <si>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</si>
  <si>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</si>
  <si>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</si>
  <si>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</si>
  <si>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</si>
  <si>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</si>
  <si>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</si>
  <si>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</si>
  <si>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</si>
  <si>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</si>
  <si>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</si>
  <si>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</si>
  <si>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</si>
  <si>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</si>
  <si>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</si>
  <si>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</si>
  <si>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</si>
  <si>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</si>
  <si>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</si>
  <si>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</si>
  <si>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</si>
  <si>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</si>
  <si>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</si>
  <si>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</si>
  <si>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</si>
  <si>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Вареные колбасы «Молокуша» Фикс.вес 0,17 нарезка ТМ «Вязанка»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</si>
  <si>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</si>
  <si>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</si>
  <si>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</si>
  <si>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</si>
  <si>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</si>
  <si>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</si>
  <si>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</si>
  <si>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</si>
  <si>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</si>
  <si>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</si>
  <si>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</si>
  <si>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</si>
  <si>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</si>
  <si>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</si>
  <si>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</si>
  <si>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</si>
  <si>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</si>
  <si>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</si>
  <si>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</si>
  <si>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</si>
  <si>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</si>
  <si>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</si>
  <si>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</si>
  <si>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</si>
  <si>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</si>
  <si>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</si>
  <si>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</si>
  <si>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</si>
  <si>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</si>
  <si>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</si>
  <si>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</si>
  <si>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</si>
  <si>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</si>
  <si>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</si>
  <si>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</si>
  <si>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</si>
  <si>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</si>
  <si>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Ветчины «Сливушка с индейкой» Фикс.вес 0,1 нарезка ТМ «Вязанка»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</si>
  <si>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</si>
  <si>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</si>
  <si>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</si>
  <si>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</si>
  <si>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</si>
  <si>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</si>
  <si>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</si>
  <si>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</si>
  <si>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</si>
  <si>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</si>
  <si>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</si>
  <si>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</si>
  <si>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</si>
  <si>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</si>
  <si>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</si>
  <si>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</si>
  <si>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</si>
  <si>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</si>
  <si>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</si>
  <si>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</si>
  <si>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</si>
  <si>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</si>
  <si>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</si>
  <si>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</si>
  <si>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</si>
  <si>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</si>
  <si>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</si>
  <si>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</si>
  <si>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</si>
  <si>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</si>
  <si>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</si>
  <si>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</si>
  <si>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</si>
  <si>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</si>
  <si>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</si>
  <si>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</si>
  <si>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</si>
  <si>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</si>
  <si>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</si>
  <si>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</si>
  <si>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</si>
  <si>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</si>
  <si>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</si>
  <si>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</si>
  <si>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</si>
  <si>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</si>
  <si>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</si>
  <si>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</si>
  <si>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</si>
  <si>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</si>
  <si>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</si>
  <si>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</si>
  <si>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</si>
  <si>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</si>
  <si>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</si>
  <si>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</si>
  <si>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</si>
  <si>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</si>
  <si>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ЕАЭС N RU Д-RU.РА10.В.96915/25</t>
  </si>
  <si>
    <t>Новинка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</si>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</sst>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46004</v>
      </c>
      <c r="R5" s="561"/>
      <c r="T5" s="562" t="s">
        <v>3</v>
      </c>
      <c r="U5" s="563"/>
      <c r="V5" s="564" t="s">
        <v>762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Суббота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77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77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78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88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99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99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102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103</v>
      </c>
      <c r="B31" s="63" t="s">
        <v>104</v>
      </c>
      <c r="C31" s="36">
        <v>4301051851</v>
      </c>
      <c r="D31" s="625">
        <v>4607091388244</v>
      </c>
      <c r="E31" s="62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99</v>
      </c>
      <c r="N31" s="38"/>
      <c r="O31" s="37">
        <v>40</v>
      </c>
      <c r="P31" s="63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4" t="s">
        <v>105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6"/>
      <c r="AB34" s="66"/>
      <c r="AC34" s="80"/>
    </row>
    <row r="35" spans="1:68" ht="27" customHeight="1" x14ac:dyDescent="0.25">
      <c r="A35" s="63" t="s">
        <v>106</v>
      </c>
      <c r="B35" s="63" t="s">
        <v>107</v>
      </c>
      <c r="C35" s="36">
        <v>4301032013</v>
      </c>
      <c r="D35" s="625">
        <v>4607091388503</v>
      </c>
      <c r="E35" s="62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110</v>
      </c>
      <c r="N35" s="38"/>
      <c r="O35" s="37">
        <v>120</v>
      </c>
      <c r="P35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7"/>
      <c r="R35" s="627"/>
      <c r="S35" s="627"/>
      <c r="T35" s="62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108</v>
      </c>
      <c r="AG35" s="78"/>
      <c r="AJ35" s="84" t="s">
        <v>45</v>
      </c>
      <c r="AK35" s="84">
        <v>0</v>
      </c>
      <c r="BB35" s="101" t="s">
        <v>109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4"/>
      <c r="P36" s="630" t="s">
        <v>40</v>
      </c>
      <c r="Q36" s="631"/>
      <c r="R36" s="631"/>
      <c r="S36" s="631"/>
      <c r="T36" s="631"/>
      <c r="U36" s="631"/>
      <c r="V36" s="63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2" t="s">
        <v>111</v>
      </c>
      <c r="B38" s="622"/>
      <c r="C38" s="622"/>
      <c r="D38" s="622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2"/>
      <c r="P38" s="622"/>
      <c r="Q38" s="622"/>
      <c r="R38" s="622"/>
      <c r="S38" s="622"/>
      <c r="T38" s="622"/>
      <c r="U38" s="622"/>
      <c r="V38" s="622"/>
      <c r="W38" s="622"/>
      <c r="X38" s="622"/>
      <c r="Y38" s="622"/>
      <c r="Z38" s="622"/>
      <c r="AA38" s="54"/>
      <c r="AB38" s="54"/>
      <c r="AC38" s="54"/>
    </row>
    <row r="39" spans="1:68" ht="16.5" customHeight="1" x14ac:dyDescent="0.25">
      <c r="A39" s="623" t="s">
        <v>112</v>
      </c>
      <c r="B39" s="623"/>
      <c r="C39" s="623"/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3"/>
      <c r="W39" s="623"/>
      <c r="X39" s="623"/>
      <c r="Y39" s="623"/>
      <c r="Z39" s="623"/>
      <c r="AA39" s="65"/>
      <c r="AB39" s="65"/>
      <c r="AC39" s="79"/>
    </row>
    <row r="40" spans="1:68" ht="14.25" customHeight="1" x14ac:dyDescent="0.25">
      <c r="A40" s="624" t="s">
        <v>113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6"/>
      <c r="AB40" s="66"/>
      <c r="AC40" s="80"/>
    </row>
    <row r="41" spans="1:68" ht="16.5" customHeight="1" x14ac:dyDescent="0.25">
      <c r="A41" s="63" t="s">
        <v>114</v>
      </c>
      <c r="B41" s="63" t="s">
        <v>115</v>
      </c>
      <c r="C41" s="36">
        <v>4301011380</v>
      </c>
      <c r="D41" s="625">
        <v>4607091385670</v>
      </c>
      <c r="E41" s="62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118</v>
      </c>
      <c r="L41" s="37" t="s">
        <v>119</v>
      </c>
      <c r="M41" s="38" t="s">
        <v>117</v>
      </c>
      <c r="N41" s="38"/>
      <c r="O41" s="37">
        <v>50</v>
      </c>
      <c r="P41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7"/>
      <c r="R41" s="627"/>
      <c r="S41" s="627"/>
      <c r="T41" s="62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116</v>
      </c>
      <c r="AG41" s="78"/>
      <c r="AJ41" s="84" t="s">
        <v>120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25">
        <v>4680115882539</v>
      </c>
      <c r="E42" s="625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123</v>
      </c>
      <c r="L42" s="37" t="s">
        <v>45</v>
      </c>
      <c r="M42" s="38" t="s">
        <v>92</v>
      </c>
      <c r="N42" s="38"/>
      <c r="O42" s="37">
        <v>50</v>
      </c>
      <c r="P42" s="6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116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124</v>
      </c>
      <c r="B43" s="63" t="s">
        <v>125</v>
      </c>
      <c r="C43" s="36">
        <v>4301011382</v>
      </c>
      <c r="D43" s="625">
        <v>4607091385687</v>
      </c>
      <c r="E43" s="625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123</v>
      </c>
      <c r="L43" s="37" t="s">
        <v>45</v>
      </c>
      <c r="M43" s="38" t="s">
        <v>92</v>
      </c>
      <c r="N43" s="38"/>
      <c r="O43" s="37">
        <v>50</v>
      </c>
      <c r="P43" s="6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116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3"/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4"/>
      <c r="P44" s="630" t="s">
        <v>40</v>
      </c>
      <c r="Q44" s="631"/>
      <c r="R44" s="631"/>
      <c r="S44" s="631"/>
      <c r="T44" s="631"/>
      <c r="U44" s="631"/>
      <c r="V44" s="63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4" t="s">
        <v>88</v>
      </c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W46" s="624"/>
      <c r="X46" s="624"/>
      <c r="Y46" s="624"/>
      <c r="Z46" s="624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625">
        <v>4680115884915</v>
      </c>
      <c r="E47" s="62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7"/>
      <c r="R47" s="627"/>
      <c r="S47" s="627"/>
      <c r="T47" s="62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3"/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4"/>
      <c r="P48" s="630" t="s">
        <v>40</v>
      </c>
      <c r="Q48" s="631"/>
      <c r="R48" s="631"/>
      <c r="S48" s="631"/>
      <c r="T48" s="631"/>
      <c r="U48" s="631"/>
      <c r="V48" s="63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3" t="s">
        <v>129</v>
      </c>
      <c r="B50" s="623"/>
      <c r="C50" s="623"/>
      <c r="D50" s="623"/>
      <c r="E50" s="623"/>
      <c r="F50" s="623"/>
      <c r="G50" s="623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5"/>
      <c r="AB50" s="65"/>
      <c r="AC50" s="79"/>
    </row>
    <row r="51" spans="1:68" ht="14.25" customHeight="1" x14ac:dyDescent="0.25">
      <c r="A51" s="624" t="s">
        <v>113</v>
      </c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625">
        <v>4680115885882</v>
      </c>
      <c r="E52" s="62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118</v>
      </c>
      <c r="L52" s="37" t="s">
        <v>45</v>
      </c>
      <c r="M52" s="38" t="s">
        <v>92</v>
      </c>
      <c r="N52" s="38"/>
      <c r="O52" s="37">
        <v>50</v>
      </c>
      <c r="P52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7"/>
      <c r="R52" s="627"/>
      <c r="S52" s="627"/>
      <c r="T52" s="62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625">
        <v>4680115881426</v>
      </c>
      <c r="E53" s="62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118</v>
      </c>
      <c r="L53" s="37" t="s">
        <v>45</v>
      </c>
      <c r="M53" s="38" t="s">
        <v>117</v>
      </c>
      <c r="N53" s="38"/>
      <c r="O53" s="37">
        <v>50</v>
      </c>
      <c r="P53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625">
        <v>4680115880283</v>
      </c>
      <c r="E54" s="62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123</v>
      </c>
      <c r="L54" s="37" t="s">
        <v>45</v>
      </c>
      <c r="M54" s="38" t="s">
        <v>117</v>
      </c>
      <c r="N54" s="38"/>
      <c r="O54" s="37">
        <v>45</v>
      </c>
      <c r="P54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625">
        <v>4680115881525</v>
      </c>
      <c r="E55" s="62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123</v>
      </c>
      <c r="L55" s="37" t="s">
        <v>45</v>
      </c>
      <c r="M55" s="38" t="s">
        <v>117</v>
      </c>
      <c r="N55" s="38"/>
      <c r="O55" s="37">
        <v>50</v>
      </c>
      <c r="P55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625">
        <v>4680115885899</v>
      </c>
      <c r="E56" s="62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99</v>
      </c>
      <c r="N56" s="38"/>
      <c r="O56" s="37">
        <v>50</v>
      </c>
      <c r="P56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625">
        <v>4680115881419</v>
      </c>
      <c r="E57" s="62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123</v>
      </c>
      <c r="L57" s="37" t="s">
        <v>45</v>
      </c>
      <c r="M57" s="38" t="s">
        <v>117</v>
      </c>
      <c r="N57" s="38"/>
      <c r="O57" s="37">
        <v>50</v>
      </c>
      <c r="P57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3"/>
      <c r="B58" s="633"/>
      <c r="C58" s="633"/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4"/>
      <c r="P58" s="630" t="s">
        <v>40</v>
      </c>
      <c r="Q58" s="631"/>
      <c r="R58" s="631"/>
      <c r="S58" s="631"/>
      <c r="T58" s="631"/>
      <c r="U58" s="631"/>
      <c r="V58" s="63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4" t="s">
        <v>148</v>
      </c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625">
        <v>4680115881440</v>
      </c>
      <c r="E61" s="62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118</v>
      </c>
      <c r="L61" s="37" t="s">
        <v>45</v>
      </c>
      <c r="M61" s="38" t="s">
        <v>117</v>
      </c>
      <c r="N61" s="38"/>
      <c r="O61" s="37">
        <v>50</v>
      </c>
      <c r="P61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7"/>
      <c r="R61" s="627"/>
      <c r="S61" s="627"/>
      <c r="T61" s="62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625">
        <v>4680115885950</v>
      </c>
      <c r="E62" s="62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625">
        <v>4680115881433</v>
      </c>
      <c r="E63" s="62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117</v>
      </c>
      <c r="N63" s="38"/>
      <c r="O63" s="37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3"/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4"/>
      <c r="P64" s="630" t="s">
        <v>40</v>
      </c>
      <c r="Q64" s="631"/>
      <c r="R64" s="631"/>
      <c r="S64" s="631"/>
      <c r="T64" s="631"/>
      <c r="U64" s="631"/>
      <c r="V64" s="63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3"/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4"/>
      <c r="P65" s="630" t="s">
        <v>40</v>
      </c>
      <c r="Q65" s="631"/>
      <c r="R65" s="631"/>
      <c r="S65" s="631"/>
      <c r="T65" s="631"/>
      <c r="U65" s="631"/>
      <c r="V65" s="63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4" t="s">
        <v>78</v>
      </c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4"/>
      <c r="X66" s="624"/>
      <c r="Y66" s="624"/>
      <c r="Z66" s="624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625">
        <v>4680115885073</v>
      </c>
      <c r="E67" s="62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7"/>
      <c r="R67" s="627"/>
      <c r="S67" s="627"/>
      <c r="T67" s="62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4301031241</v>
      </c>
      <c r="D68" s="625">
        <v>4680115885059</v>
      </c>
      <c r="E68" s="62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7"/>
      <c r="R68" s="627"/>
      <c r="S68" s="627"/>
      <c r="T68" s="62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162</v>
      </c>
      <c r="B69" s="63" t="s">
        <v>163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87</v>
      </c>
      <c r="L69" s="37" t="s">
        <v>45</v>
      </c>
      <c r="M69" s="38" t="s">
        <v>82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164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88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165</v>
      </c>
      <c r="B73" s="63" t="s">
        <v>166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118</v>
      </c>
      <c r="L73" s="37" t="s">
        <v>45</v>
      </c>
      <c r="M73" s="38" t="s">
        <v>92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168</v>
      </c>
      <c r="B74" s="63" t="s">
        <v>169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167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173</v>
      </c>
      <c r="B76" s="63" t="s">
        <v>174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83</v>
      </c>
      <c r="L76" s="37" t="s">
        <v>45</v>
      </c>
      <c r="M76" s="38" t="s">
        <v>92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175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176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177</v>
      </c>
      <c r="B80" s="63" t="s">
        <v>178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118</v>
      </c>
      <c r="L80" s="37" t="s">
        <v>45</v>
      </c>
      <c r="M80" s="38" t="s">
        <v>99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180</v>
      </c>
      <c r="B81" s="63" t="s">
        <v>181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123</v>
      </c>
      <c r="L81" s="37" t="s">
        <v>45</v>
      </c>
      <c r="M81" s="38" t="s">
        <v>92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182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183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113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184</v>
      </c>
      <c r="B86" s="63" t="s">
        <v>185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118</v>
      </c>
      <c r="L86" s="37" t="s">
        <v>119</v>
      </c>
      <c r="M86" s="38" t="s">
        <v>99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120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191</v>
      </c>
      <c r="L87" s="37" t="s">
        <v>45</v>
      </c>
      <c r="M87" s="38" t="s">
        <v>82</v>
      </c>
      <c r="N87" s="38"/>
      <c r="O87" s="37">
        <v>30</v>
      </c>
      <c r="P87" s="664" t="s">
        <v>189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190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192</v>
      </c>
      <c r="B88" s="63" t="s">
        <v>193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123</v>
      </c>
      <c r="L88" s="37" t="s">
        <v>45</v>
      </c>
      <c r="M88" s="38" t="s">
        <v>92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186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123</v>
      </c>
      <c r="L89" s="37" t="s">
        <v>45</v>
      </c>
      <c r="M89" s="38" t="s">
        <v>99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186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88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196</v>
      </c>
      <c r="B93" s="63" t="s">
        <v>197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118</v>
      </c>
      <c r="L93" s="37" t="s">
        <v>119</v>
      </c>
      <c r="M93" s="38" t="s">
        <v>99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198</v>
      </c>
      <c r="AG93" s="78"/>
      <c r="AJ93" s="84" t="s">
        <v>120</v>
      </c>
      <c r="AK93" s="84">
        <v>64.8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199</v>
      </c>
      <c r="B94" s="63" t="s">
        <v>200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201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202</v>
      </c>
      <c r="B95" s="63" t="s">
        <v>203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83</v>
      </c>
      <c r="L95" s="37" t="s">
        <v>45</v>
      </c>
      <c r="M95" s="38" t="s">
        <v>99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198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204</v>
      </c>
      <c r="B96" s="63" t="s">
        <v>205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83</v>
      </c>
      <c r="L96" s="37" t="s">
        <v>45</v>
      </c>
      <c r="M96" s="38" t="s">
        <v>92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206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207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113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208</v>
      </c>
      <c r="B101" s="63" t="s">
        <v>209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118</v>
      </c>
      <c r="L101" s="37" t="s">
        <v>119</v>
      </c>
      <c r="M101" s="38" t="s">
        <v>117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210</v>
      </c>
      <c r="AG101" s="78"/>
      <c r="AJ101" s="84" t="s">
        <v>120</v>
      </c>
      <c r="AK101" s="84">
        <v>86.4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211</v>
      </c>
      <c r="B102" s="63" t="s">
        <v>212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191</v>
      </c>
      <c r="L102" s="37" t="s">
        <v>45</v>
      </c>
      <c r="M102" s="38" t="s">
        <v>82</v>
      </c>
      <c r="N102" s="38"/>
      <c r="O102" s="37">
        <v>30</v>
      </c>
      <c r="P102" s="672" t="s">
        <v>213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214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215</v>
      </c>
      <c r="B103" s="63" t="s">
        <v>216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123</v>
      </c>
      <c r="L103" s="37" t="s">
        <v>45</v>
      </c>
      <c r="M103" s="38" t="s">
        <v>92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210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217</v>
      </c>
      <c r="B104" s="63" t="s">
        <v>218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123</v>
      </c>
      <c r="L104" s="37" t="s">
        <v>219</v>
      </c>
      <c r="M104" s="38" t="s">
        <v>92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210</v>
      </c>
      <c r="AG104" s="78"/>
      <c r="AJ104" s="84" t="s">
        <v>120</v>
      </c>
      <c r="AK104" s="84">
        <v>54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220</v>
      </c>
      <c r="B105" s="63" t="s">
        <v>221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123</v>
      </c>
      <c r="L105" s="37" t="s">
        <v>45</v>
      </c>
      <c r="M105" s="38" t="s">
        <v>92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210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24" t="s">
        <v>148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222</v>
      </c>
      <c r="B109" s="63" t="s">
        <v>223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118</v>
      </c>
      <c r="L109" s="37" t="s">
        <v>45</v>
      </c>
      <c r="M109" s="38" t="s">
        <v>117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224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225</v>
      </c>
      <c r="B110" s="63" t="s">
        <v>226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229</v>
      </c>
      <c r="L110" s="37" t="s">
        <v>45</v>
      </c>
      <c r="M110" s="38" t="s">
        <v>82</v>
      </c>
      <c r="N110" s="38"/>
      <c r="O110" s="37">
        <v>30</v>
      </c>
      <c r="P110" s="677" t="s">
        <v>227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228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230</v>
      </c>
      <c r="B111" s="63" t="s">
        <v>231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87</v>
      </c>
      <c r="L111" s="37" t="s">
        <v>45</v>
      </c>
      <c r="M111" s="38" t="s">
        <v>117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224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232</v>
      </c>
      <c r="B112" s="63" t="s">
        <v>233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83</v>
      </c>
      <c r="L112" s="37" t="s">
        <v>45</v>
      </c>
      <c r="M112" s="38" t="s">
        <v>117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224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88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234</v>
      </c>
      <c r="B116" s="63" t="s">
        <v>235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118</v>
      </c>
      <c r="L116" s="37" t="s">
        <v>119</v>
      </c>
      <c r="M116" s="38" t="s">
        <v>99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236</v>
      </c>
      <c r="AG116" s="78"/>
      <c r="AJ116" s="84" t="s">
        <v>120</v>
      </c>
      <c r="AK116" s="84">
        <v>64.8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237</v>
      </c>
      <c r="B117" s="63" t="s">
        <v>238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83</v>
      </c>
      <c r="L117" s="37" t="s">
        <v>45</v>
      </c>
      <c r="M117" s="38" t="s">
        <v>99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236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239</v>
      </c>
      <c r="B118" s="63" t="s">
        <v>240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83</v>
      </c>
      <c r="L118" s="37" t="s">
        <v>241</v>
      </c>
      <c r="M118" s="38" t="s">
        <v>99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120</v>
      </c>
      <c r="AK118" s="84">
        <v>37.799999999999997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242</v>
      </c>
      <c r="B119" s="63" t="s">
        <v>243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83</v>
      </c>
      <c r="L119" s="37" t="s">
        <v>45</v>
      </c>
      <c r="M119" s="38" t="s">
        <v>92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244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4" t="s">
        <v>176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245</v>
      </c>
      <c r="B123" s="63" t="s">
        <v>246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83</v>
      </c>
      <c r="L123" s="37" t="s">
        <v>45</v>
      </c>
      <c r="M123" s="38" t="s">
        <v>92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247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248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113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249</v>
      </c>
      <c r="B128" s="63" t="s">
        <v>250</v>
      </c>
      <c r="C128" s="36">
        <v>4301011562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110</v>
      </c>
      <c r="N128" s="38"/>
      <c r="O128" s="37">
        <v>90</v>
      </c>
      <c r="P128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251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249</v>
      </c>
      <c r="B129" s="63" t="s">
        <v>252</v>
      </c>
      <c r="C129" s="36">
        <v>4301011564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83</v>
      </c>
      <c r="L129" s="37" t="s">
        <v>45</v>
      </c>
      <c r="M129" s="38" t="s">
        <v>110</v>
      </c>
      <c r="N129" s="38"/>
      <c r="O129" s="37">
        <v>90</v>
      </c>
      <c r="P129" s="6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251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78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253</v>
      </c>
      <c r="B133" s="63" t="s">
        <v>254</v>
      </c>
      <c r="C133" s="36">
        <v>4301031235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110</v>
      </c>
      <c r="N133" s="38"/>
      <c r="O133" s="37">
        <v>90</v>
      </c>
      <c r="P133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255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253</v>
      </c>
      <c r="B134" s="63" t="s">
        <v>256</v>
      </c>
      <c r="C134" s="36">
        <v>4301031234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83</v>
      </c>
      <c r="L134" s="37" t="s">
        <v>45</v>
      </c>
      <c r="M134" s="38" t="s">
        <v>110</v>
      </c>
      <c r="N134" s="38"/>
      <c r="O134" s="37">
        <v>90</v>
      </c>
      <c r="P134" s="6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255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88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257</v>
      </c>
      <c r="B138" s="63" t="s">
        <v>258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110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251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257</v>
      </c>
      <c r="B139" s="63" t="s">
        <v>259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83</v>
      </c>
      <c r="L139" s="37" t="s">
        <v>45</v>
      </c>
      <c r="M139" s="38" t="s">
        <v>110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251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111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113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260</v>
      </c>
      <c r="B144" s="63" t="s">
        <v>261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118</v>
      </c>
      <c r="L144" s="37" t="s">
        <v>45</v>
      </c>
      <c r="M144" s="38" t="s">
        <v>117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262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263</v>
      </c>
      <c r="B145" s="63" t="s">
        <v>264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123</v>
      </c>
      <c r="L145" s="37" t="s">
        <v>45</v>
      </c>
      <c r="M145" s="38" t="s">
        <v>117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265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78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266</v>
      </c>
      <c r="B149" s="63" t="s">
        <v>267</v>
      </c>
      <c r="C149" s="36">
        <v>4301030895</v>
      </c>
      <c r="D149" s="625">
        <v>4607091387667</v>
      </c>
      <c r="E149" s="625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118</v>
      </c>
      <c r="L149" s="37" t="s">
        <v>45</v>
      </c>
      <c r="M149" s="38" t="s">
        <v>117</v>
      </c>
      <c r="N149" s="38"/>
      <c r="O149" s="37">
        <v>40</v>
      </c>
      <c r="P149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6.5" customHeight="1" x14ac:dyDescent="0.25">
      <c r="A150" s="63" t="s">
        <v>269</v>
      </c>
      <c r="B150" s="63" t="s">
        <v>270</v>
      </c>
      <c r="C150" s="36">
        <v>4301030961</v>
      </c>
      <c r="D150" s="625">
        <v>4607091387636</v>
      </c>
      <c r="E150" s="625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6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272</v>
      </c>
      <c r="B151" s="63" t="s">
        <v>273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118</v>
      </c>
      <c r="L151" s="37" t="s">
        <v>45</v>
      </c>
      <c r="M151" s="38" t="s">
        <v>82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39</v>
      </c>
      <c r="X152" s="43">
        <f>IFERROR(X149/H149,"0")+IFERROR(X150/H150,"0")+IFERROR(X151/H151,"0")</f>
        <v>0</v>
      </c>
      <c r="Y152" s="43">
        <f>IFERROR(Y149/H149,"0")+IFERROR(Y150/H150,"0")+IFERROR(Y151/H151,"0")</f>
        <v>0</v>
      </c>
      <c r="Z152" s="43">
        <f>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3"/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4"/>
      <c r="P153" s="630" t="s">
        <v>40</v>
      </c>
      <c r="Q153" s="631"/>
      <c r="R153" s="631"/>
      <c r="S153" s="631"/>
      <c r="T153" s="631"/>
      <c r="U153" s="631"/>
      <c r="V153" s="632"/>
      <c r="W153" s="42" t="s">
        <v>0</v>
      </c>
      <c r="X153" s="43">
        <f>IFERROR(SUM(X149:X151),"0")</f>
        <v>0</v>
      </c>
      <c r="Y153" s="43">
        <f>IFERROR(SUM(Y149:Y151),"0")</f>
        <v>0</v>
      </c>
      <c r="Z153" s="42"/>
      <c r="AA153" s="67"/>
      <c r="AB153" s="67"/>
      <c r="AC153" s="67"/>
    </row>
    <row r="154" spans="1:68" ht="14.25" customHeight="1" x14ac:dyDescent="0.25">
      <c r="A154" s="624" t="s">
        <v>88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6"/>
      <c r="AB154" s="66"/>
      <c r="AC154" s="80"/>
    </row>
    <row r="155" spans="1:68" ht="27" customHeight="1" x14ac:dyDescent="0.25">
      <c r="A155" s="63" t="s">
        <v>275</v>
      </c>
      <c r="B155" s="63" t="s">
        <v>276</v>
      </c>
      <c r="C155" s="36">
        <v>4301052064</v>
      </c>
      <c r="D155" s="625">
        <v>4680115887459</v>
      </c>
      <c r="E155" s="625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7"/>
      <c r="R155" s="627"/>
      <c r="S155" s="627"/>
      <c r="T155" s="628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277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3"/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4"/>
      <c r="P157" s="630" t="s">
        <v>40</v>
      </c>
      <c r="Q157" s="631"/>
      <c r="R157" s="631"/>
      <c r="S157" s="631"/>
      <c r="T157" s="631"/>
      <c r="U157" s="631"/>
      <c r="V157" s="632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2" t="s">
        <v>278</v>
      </c>
      <c r="B158" s="622"/>
      <c r="C158" s="622"/>
      <c r="D158" s="622"/>
      <c r="E158" s="622"/>
      <c r="F158" s="622"/>
      <c r="G158" s="622"/>
      <c r="H158" s="622"/>
      <c r="I158" s="622"/>
      <c r="J158" s="622"/>
      <c r="K158" s="622"/>
      <c r="L158" s="622"/>
      <c r="M158" s="622"/>
      <c r="N158" s="622"/>
      <c r="O158" s="622"/>
      <c r="P158" s="622"/>
      <c r="Q158" s="622"/>
      <c r="R158" s="622"/>
      <c r="S158" s="622"/>
      <c r="T158" s="622"/>
      <c r="U158" s="622"/>
      <c r="V158" s="622"/>
      <c r="W158" s="622"/>
      <c r="X158" s="622"/>
      <c r="Y158" s="622"/>
      <c r="Z158" s="622"/>
      <c r="AA158" s="54"/>
      <c r="AB158" s="54"/>
      <c r="AC158" s="54"/>
    </row>
    <row r="159" spans="1:68" ht="16.5" customHeight="1" x14ac:dyDescent="0.25">
      <c r="A159" s="623" t="s">
        <v>279</v>
      </c>
      <c r="B159" s="623"/>
      <c r="C159" s="623"/>
      <c r="D159" s="623"/>
      <c r="E159" s="623"/>
      <c r="F159" s="623"/>
      <c r="G159" s="623"/>
      <c r="H159" s="623"/>
      <c r="I159" s="623"/>
      <c r="J159" s="623"/>
      <c r="K159" s="623"/>
      <c r="L159" s="623"/>
      <c r="M159" s="623"/>
      <c r="N159" s="623"/>
      <c r="O159" s="623"/>
      <c r="P159" s="623"/>
      <c r="Q159" s="623"/>
      <c r="R159" s="623"/>
      <c r="S159" s="623"/>
      <c r="T159" s="623"/>
      <c r="U159" s="623"/>
      <c r="V159" s="623"/>
      <c r="W159" s="623"/>
      <c r="X159" s="623"/>
      <c r="Y159" s="623"/>
      <c r="Z159" s="623"/>
      <c r="AA159" s="65"/>
      <c r="AB159" s="65"/>
      <c r="AC159" s="79"/>
    </row>
    <row r="160" spans="1:68" ht="14.25" customHeight="1" x14ac:dyDescent="0.25">
      <c r="A160" s="624" t="s">
        <v>148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66"/>
      <c r="AB160" s="66"/>
      <c r="AC160" s="80"/>
    </row>
    <row r="161" spans="1:68" ht="27" customHeight="1" x14ac:dyDescent="0.25">
      <c r="A161" s="63" t="s">
        <v>280</v>
      </c>
      <c r="B161" s="63" t="s">
        <v>281</v>
      </c>
      <c r="C161" s="36">
        <v>4301020323</v>
      </c>
      <c r="D161" s="625">
        <v>4680115886223</v>
      </c>
      <c r="E161" s="625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7"/>
      <c r="R161" s="627"/>
      <c r="S161" s="627"/>
      <c r="T161" s="628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282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3"/>
      <c r="B162" s="633"/>
      <c r="C162" s="633"/>
      <c r="D162" s="633"/>
      <c r="E162" s="633"/>
      <c r="F162" s="633"/>
      <c r="G162" s="633"/>
      <c r="H162" s="633"/>
      <c r="I162" s="633"/>
      <c r="J162" s="633"/>
      <c r="K162" s="633"/>
      <c r="L162" s="633"/>
      <c r="M162" s="633"/>
      <c r="N162" s="633"/>
      <c r="O162" s="634"/>
      <c r="P162" s="630" t="s">
        <v>40</v>
      </c>
      <c r="Q162" s="631"/>
      <c r="R162" s="631"/>
      <c r="S162" s="631"/>
      <c r="T162" s="631"/>
      <c r="U162" s="631"/>
      <c r="V162" s="63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4" t="s">
        <v>78</v>
      </c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4"/>
      <c r="P164" s="624"/>
      <c r="Q164" s="624"/>
      <c r="R164" s="624"/>
      <c r="S164" s="624"/>
      <c r="T164" s="624"/>
      <c r="U164" s="624"/>
      <c r="V164" s="624"/>
      <c r="W164" s="624"/>
      <c r="X164" s="624"/>
      <c r="Y164" s="624"/>
      <c r="Z164" s="624"/>
      <c r="AA164" s="66"/>
      <c r="AB164" s="66"/>
      <c r="AC164" s="80"/>
    </row>
    <row r="165" spans="1:68" ht="37.5" customHeight="1" x14ac:dyDescent="0.25">
      <c r="A165" s="63" t="s">
        <v>283</v>
      </c>
      <c r="B165" s="63" t="s">
        <v>284</v>
      </c>
      <c r="C165" s="36">
        <v>4301031447</v>
      </c>
      <c r="D165" s="625">
        <v>4680115887565</v>
      </c>
      <c r="E165" s="625"/>
      <c r="F165" s="62">
        <v>0.08</v>
      </c>
      <c r="G165" s="37">
        <v>10</v>
      </c>
      <c r="H165" s="62">
        <v>0.8</v>
      </c>
      <c r="I165" s="62">
        <v>0.93</v>
      </c>
      <c r="J165" s="37">
        <v>216</v>
      </c>
      <c r="K165" s="37" t="s">
        <v>87</v>
      </c>
      <c r="L165" s="37" t="s">
        <v>45</v>
      </c>
      <c r="M165" s="38" t="s">
        <v>82</v>
      </c>
      <c r="N165" s="38"/>
      <c r="O165" s="37">
        <v>45</v>
      </c>
      <c r="P165" s="698" t="s">
        <v>285</v>
      </c>
      <c r="Q165" s="627"/>
      <c r="R165" s="627"/>
      <c r="S165" s="627"/>
      <c r="T165" s="62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6" si="5">IFERROR(IF(X165="",0,CEILING((X165/$H165),1)*$H165),"")</f>
        <v>0</v>
      </c>
      <c r="Z165" s="41" t="str">
        <f>IFERROR(IF(Y165=0,"",ROUNDUP(Y165/H165,0)*0.00556),"")</f>
        <v/>
      </c>
      <c r="AA165" s="68" t="s">
        <v>45</v>
      </c>
      <c r="AB165" s="69" t="s">
        <v>287</v>
      </c>
      <c r="AC165" s="216" t="s">
        <v>286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6" si="6">IFERROR(X165*I165/H165,"0")</f>
        <v>0</v>
      </c>
      <c r="BN165" s="78">
        <f t="shared" ref="BN165:BN176" si="7">IFERROR(Y165*I165/H165,"0")</f>
        <v>0</v>
      </c>
      <c r="BO165" s="78">
        <f t="shared" ref="BO165:BO176" si="8">IFERROR(1/J165*(X165/H165),"0")</f>
        <v>0</v>
      </c>
      <c r="BP165" s="78">
        <f t="shared" ref="BP165:BP176" si="9">IFERROR(1/J165*(Y165/H165),"0")</f>
        <v>0</v>
      </c>
    </row>
    <row r="166" spans="1:68" ht="27" customHeight="1" x14ac:dyDescent="0.25">
      <c r="A166" s="63" t="s">
        <v>288</v>
      </c>
      <c r="B166" s="63" t="s">
        <v>289</v>
      </c>
      <c r="C166" s="36">
        <v>4301031191</v>
      </c>
      <c r="D166" s="625">
        <v>4680115880993</v>
      </c>
      <c r="E166" s="625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123</v>
      </c>
      <c r="L166" s="37" t="s">
        <v>219</v>
      </c>
      <c r="M166" s="38" t="s">
        <v>82</v>
      </c>
      <c r="N166" s="38"/>
      <c r="O166" s="37">
        <v>40</v>
      </c>
      <c r="P166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27"/>
      <c r="R166" s="627"/>
      <c r="S166" s="627"/>
      <c r="T166" s="62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290</v>
      </c>
      <c r="AG166" s="78"/>
      <c r="AJ166" s="84" t="s">
        <v>120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291</v>
      </c>
      <c r="B167" s="63" t="s">
        <v>292</v>
      </c>
      <c r="C167" s="36">
        <v>4301031204</v>
      </c>
      <c r="D167" s="625">
        <v>4680115881761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123</v>
      </c>
      <c r="L167" s="37" t="s">
        <v>45</v>
      </c>
      <c r="M167" s="38" t="s">
        <v>82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293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294</v>
      </c>
      <c r="B168" s="63" t="s">
        <v>295</v>
      </c>
      <c r="C168" s="36">
        <v>4301031201</v>
      </c>
      <c r="D168" s="625">
        <v>4680115881563</v>
      </c>
      <c r="E168" s="625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123</v>
      </c>
      <c r="L168" s="37" t="s">
        <v>219</v>
      </c>
      <c r="M168" s="38" t="s">
        <v>82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296</v>
      </c>
      <c r="AG168" s="78"/>
      <c r="AJ168" s="84" t="s">
        <v>120</v>
      </c>
      <c r="AK168" s="84">
        <v>50.4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297</v>
      </c>
      <c r="B169" s="63" t="s">
        <v>298</v>
      </c>
      <c r="C169" s="36">
        <v>4301031199</v>
      </c>
      <c r="D169" s="625">
        <v>4680115880986</v>
      </c>
      <c r="E169" s="625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299</v>
      </c>
      <c r="M169" s="38" t="s">
        <v>82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290</v>
      </c>
      <c r="AG169" s="78"/>
      <c r="AJ169" s="84" t="s">
        <v>120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300</v>
      </c>
      <c r="B170" s="63" t="s">
        <v>301</v>
      </c>
      <c r="C170" s="36">
        <v>4301031443</v>
      </c>
      <c r="D170" s="625">
        <v>4680115887213</v>
      </c>
      <c r="E170" s="625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302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303</v>
      </c>
      <c r="B171" s="63" t="s">
        <v>304</v>
      </c>
      <c r="C171" s="36">
        <v>4301031205</v>
      </c>
      <c r="D171" s="625">
        <v>4680115881785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293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305</v>
      </c>
      <c r="B172" s="63" t="s">
        <v>306</v>
      </c>
      <c r="C172" s="36">
        <v>4301031399</v>
      </c>
      <c r="D172" s="625">
        <v>4680115886537</v>
      </c>
      <c r="E172" s="625"/>
      <c r="F172" s="62">
        <v>0.3</v>
      </c>
      <c r="G172" s="37">
        <v>6</v>
      </c>
      <c r="H172" s="62">
        <v>1.8</v>
      </c>
      <c r="I172" s="62">
        <v>1.93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307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308</v>
      </c>
      <c r="B173" s="63" t="s">
        <v>309</v>
      </c>
      <c r="C173" s="36">
        <v>4301031279</v>
      </c>
      <c r="D173" s="625">
        <v>4680115887596</v>
      </c>
      <c r="E173" s="625"/>
      <c r="F173" s="62">
        <v>0.08</v>
      </c>
      <c r="G173" s="37">
        <v>10</v>
      </c>
      <c r="H173" s="62">
        <v>0.8</v>
      </c>
      <c r="I173" s="62">
        <v>1.01</v>
      </c>
      <c r="J173" s="37">
        <v>336</v>
      </c>
      <c r="K173" s="37" t="s">
        <v>191</v>
      </c>
      <c r="L173" s="37" t="s">
        <v>45</v>
      </c>
      <c r="M173" s="38" t="s">
        <v>82</v>
      </c>
      <c r="N173" s="38"/>
      <c r="O173" s="37">
        <v>45</v>
      </c>
      <c r="P173" s="706" t="s">
        <v>310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IFERROR(IF(Y173=0,"",ROUNDUP(Y173/H173,0)*0.00417),"")</f>
        <v/>
      </c>
      <c r="AA173" s="68" t="s">
        <v>45</v>
      </c>
      <c r="AB173" s="69" t="s">
        <v>45</v>
      </c>
      <c r="AC173" s="232" t="s">
        <v>311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37.5" customHeight="1" x14ac:dyDescent="0.25">
      <c r="A174" s="63" t="s">
        <v>312</v>
      </c>
      <c r="B174" s="63" t="s">
        <v>313</v>
      </c>
      <c r="C174" s="36">
        <v>4301031202</v>
      </c>
      <c r="D174" s="625">
        <v>4680115881679</v>
      </c>
      <c r="E174" s="625"/>
      <c r="F174" s="62">
        <v>0.35</v>
      </c>
      <c r="G174" s="37">
        <v>6</v>
      </c>
      <c r="H174" s="62">
        <v>2.1</v>
      </c>
      <c r="I174" s="62">
        <v>2.2000000000000002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296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314</v>
      </c>
      <c r="B175" s="63" t="s">
        <v>315</v>
      </c>
      <c r="C175" s="36">
        <v>4301031158</v>
      </c>
      <c r="D175" s="625">
        <v>4680115880191</v>
      </c>
      <c r="E175" s="625"/>
      <c r="F175" s="62">
        <v>0.4</v>
      </c>
      <c r="G175" s="37">
        <v>6</v>
      </c>
      <c r="H175" s="62">
        <v>2.4</v>
      </c>
      <c r="I175" s="62">
        <v>2.58</v>
      </c>
      <c r="J175" s="37">
        <v>182</v>
      </c>
      <c r="K175" s="37" t="s">
        <v>83</v>
      </c>
      <c r="L175" s="37" t="s">
        <v>45</v>
      </c>
      <c r="M175" s="38" t="s">
        <v>82</v>
      </c>
      <c r="N175" s="38"/>
      <c r="O175" s="37">
        <v>40</v>
      </c>
      <c r="P175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296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316</v>
      </c>
      <c r="B176" s="63" t="s">
        <v>317</v>
      </c>
      <c r="C176" s="36">
        <v>4301031245</v>
      </c>
      <c r="D176" s="625">
        <v>4680115883963</v>
      </c>
      <c r="E176" s="62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318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x14ac:dyDescent="0.2">
      <c r="A177" s="633"/>
      <c r="B177" s="633"/>
      <c r="C177" s="633"/>
      <c r="D177" s="633"/>
      <c r="E177" s="633"/>
      <c r="F177" s="633"/>
      <c r="G177" s="633"/>
      <c r="H177" s="633"/>
      <c r="I177" s="633"/>
      <c r="J177" s="633"/>
      <c r="K177" s="633"/>
      <c r="L177" s="633"/>
      <c r="M177" s="633"/>
      <c r="N177" s="633"/>
      <c r="O177" s="634"/>
      <c r="P177" s="630" t="s">
        <v>40</v>
      </c>
      <c r="Q177" s="631"/>
      <c r="R177" s="631"/>
      <c r="S177" s="631"/>
      <c r="T177" s="631"/>
      <c r="U177" s="631"/>
      <c r="V177" s="632"/>
      <c r="W177" s="42" t="s">
        <v>39</v>
      </c>
      <c r="X177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3"/>
      <c r="B178" s="633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4"/>
      <c r="P178" s="630" t="s">
        <v>40</v>
      </c>
      <c r="Q178" s="631"/>
      <c r="R178" s="631"/>
      <c r="S178" s="631"/>
      <c r="T178" s="631"/>
      <c r="U178" s="631"/>
      <c r="V178" s="632"/>
      <c r="W178" s="42" t="s">
        <v>0</v>
      </c>
      <c r="X178" s="43">
        <f>IFERROR(SUM(X165:X176),"0")</f>
        <v>0</v>
      </c>
      <c r="Y178" s="43">
        <f>IFERROR(SUM(Y165:Y176),"0")</f>
        <v>0</v>
      </c>
      <c r="Z178" s="42"/>
      <c r="AA178" s="67"/>
      <c r="AB178" s="67"/>
      <c r="AC178" s="67"/>
    </row>
    <row r="179" spans="1:68" ht="14.25" customHeight="1" x14ac:dyDescent="0.25">
      <c r="A179" s="624" t="s">
        <v>105</v>
      </c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4"/>
      <c r="P179" s="624"/>
      <c r="Q179" s="624"/>
      <c r="R179" s="624"/>
      <c r="S179" s="624"/>
      <c r="T179" s="624"/>
      <c r="U179" s="624"/>
      <c r="V179" s="624"/>
      <c r="W179" s="624"/>
      <c r="X179" s="624"/>
      <c r="Y179" s="624"/>
      <c r="Z179" s="624"/>
      <c r="AA179" s="66"/>
      <c r="AB179" s="66"/>
      <c r="AC179" s="80"/>
    </row>
    <row r="180" spans="1:68" ht="27" customHeight="1" x14ac:dyDescent="0.25">
      <c r="A180" s="63" t="s">
        <v>319</v>
      </c>
      <c r="B180" s="63" t="s">
        <v>320</v>
      </c>
      <c r="C180" s="36">
        <v>4301032053</v>
      </c>
      <c r="D180" s="625">
        <v>4680115886780</v>
      </c>
      <c r="E180" s="625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323</v>
      </c>
      <c r="L180" s="37" t="s">
        <v>45</v>
      </c>
      <c r="M180" s="38" t="s">
        <v>322</v>
      </c>
      <c r="N180" s="38"/>
      <c r="O180" s="37">
        <v>60</v>
      </c>
      <c r="P180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40" t="s">
        <v>321</v>
      </c>
      <c r="AG180" s="78"/>
      <c r="AJ180" s="84" t="s">
        <v>45</v>
      </c>
      <c r="AK180" s="84">
        <v>0</v>
      </c>
      <c r="BB180" s="241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324</v>
      </c>
      <c r="B181" s="63" t="s">
        <v>325</v>
      </c>
      <c r="C181" s="36">
        <v>4301032051</v>
      </c>
      <c r="D181" s="625">
        <v>4680115886742</v>
      </c>
      <c r="E181" s="62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323</v>
      </c>
      <c r="L181" s="37" t="s">
        <v>45</v>
      </c>
      <c r="M181" s="38" t="s">
        <v>322</v>
      </c>
      <c r="N181" s="38"/>
      <c r="O181" s="37">
        <v>90</v>
      </c>
      <c r="P181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326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327</v>
      </c>
      <c r="B182" s="63" t="s">
        <v>328</v>
      </c>
      <c r="C182" s="36">
        <v>4301032052</v>
      </c>
      <c r="D182" s="625">
        <v>4680115886766</v>
      </c>
      <c r="E182" s="625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323</v>
      </c>
      <c r="L182" s="37" t="s">
        <v>45</v>
      </c>
      <c r="M182" s="38" t="s">
        <v>322</v>
      </c>
      <c r="N182" s="38"/>
      <c r="O182" s="37">
        <v>90</v>
      </c>
      <c r="P182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627"/>
      <c r="R182" s="627"/>
      <c r="S182" s="627"/>
      <c r="T182" s="628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326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39</v>
      </c>
      <c r="X183" s="43">
        <f>IFERROR(X180/H180,"0")+IFERROR(X181/H181,"0")+IFERROR(X182/H182,"0")</f>
        <v>0</v>
      </c>
      <c r="Y183" s="43">
        <f>IFERROR(Y180/H180,"0")+IFERROR(Y181/H181,"0")+IFERROR(Y182/H182,"0")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633"/>
      <c r="B184" s="633"/>
      <c r="C184" s="633"/>
      <c r="D184" s="633"/>
      <c r="E184" s="633"/>
      <c r="F184" s="633"/>
      <c r="G184" s="633"/>
      <c r="H184" s="633"/>
      <c r="I184" s="633"/>
      <c r="J184" s="633"/>
      <c r="K184" s="633"/>
      <c r="L184" s="633"/>
      <c r="M184" s="633"/>
      <c r="N184" s="633"/>
      <c r="O184" s="634"/>
      <c r="P184" s="630" t="s">
        <v>40</v>
      </c>
      <c r="Q184" s="631"/>
      <c r="R184" s="631"/>
      <c r="S184" s="631"/>
      <c r="T184" s="631"/>
      <c r="U184" s="631"/>
      <c r="V184" s="632"/>
      <c r="W184" s="42" t="s">
        <v>0</v>
      </c>
      <c r="X184" s="43">
        <f>IFERROR(SUM(X180:X182),"0")</f>
        <v>0</v>
      </c>
      <c r="Y184" s="43">
        <f>IFERROR(SUM(Y180:Y182),"0")</f>
        <v>0</v>
      </c>
      <c r="Z184" s="42"/>
      <c r="AA184" s="67"/>
      <c r="AB184" s="67"/>
      <c r="AC184" s="67"/>
    </row>
    <row r="185" spans="1:68" ht="14.25" customHeight="1" x14ac:dyDescent="0.25">
      <c r="A185" s="624" t="s">
        <v>329</v>
      </c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4"/>
      <c r="P185" s="624"/>
      <c r="Q185" s="624"/>
      <c r="R185" s="624"/>
      <c r="S185" s="624"/>
      <c r="T185" s="624"/>
      <c r="U185" s="624"/>
      <c r="V185" s="624"/>
      <c r="W185" s="624"/>
      <c r="X185" s="624"/>
      <c r="Y185" s="624"/>
      <c r="Z185" s="624"/>
      <c r="AA185" s="66"/>
      <c r="AB185" s="66"/>
      <c r="AC185" s="80"/>
    </row>
    <row r="186" spans="1:68" ht="27" customHeight="1" x14ac:dyDescent="0.25">
      <c r="A186" s="63" t="s">
        <v>330</v>
      </c>
      <c r="B186" s="63" t="s">
        <v>331</v>
      </c>
      <c r="C186" s="36">
        <v>4301170013</v>
      </c>
      <c r="D186" s="625">
        <v>4680115886797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323</v>
      </c>
      <c r="L186" s="37" t="s">
        <v>45</v>
      </c>
      <c r="M186" s="38" t="s">
        <v>322</v>
      </c>
      <c r="N186" s="38"/>
      <c r="O186" s="37">
        <v>90</v>
      </c>
      <c r="P186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46" t="s">
        <v>326</v>
      </c>
      <c r="AG186" s="78"/>
      <c r="AJ186" s="84" t="s">
        <v>45</v>
      </c>
      <c r="AK186" s="84">
        <v>0</v>
      </c>
      <c r="BB186" s="247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623" t="s">
        <v>332</v>
      </c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23"/>
      <c r="X189" s="623"/>
      <c r="Y189" s="623"/>
      <c r="Z189" s="623"/>
      <c r="AA189" s="65"/>
      <c r="AB189" s="65"/>
      <c r="AC189" s="79"/>
    </row>
    <row r="190" spans="1:68" ht="14.25" customHeight="1" x14ac:dyDescent="0.25">
      <c r="A190" s="624" t="s">
        <v>113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333</v>
      </c>
      <c r="B191" s="63" t="s">
        <v>334</v>
      </c>
      <c r="C191" s="36">
        <v>4301011450</v>
      </c>
      <c r="D191" s="625">
        <v>4680115881402</v>
      </c>
      <c r="E191" s="625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118</v>
      </c>
      <c r="L191" s="37" t="s">
        <v>45</v>
      </c>
      <c r="M191" s="38" t="s">
        <v>117</v>
      </c>
      <c r="N191" s="38"/>
      <c r="O191" s="37">
        <v>55</v>
      </c>
      <c r="P191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8" t="s">
        <v>335</v>
      </c>
      <c r="AG191" s="78"/>
      <c r="AJ191" s="84" t="s">
        <v>45</v>
      </c>
      <c r="AK191" s="84">
        <v>0</v>
      </c>
      <c r="BB191" s="249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336</v>
      </c>
      <c r="B192" s="63" t="s">
        <v>337</v>
      </c>
      <c r="C192" s="36">
        <v>4301011768</v>
      </c>
      <c r="D192" s="625">
        <v>4680115881396</v>
      </c>
      <c r="E192" s="625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83</v>
      </c>
      <c r="L192" s="37" t="s">
        <v>45</v>
      </c>
      <c r="M192" s="38" t="s">
        <v>117</v>
      </c>
      <c r="N192" s="38"/>
      <c r="O192" s="37">
        <v>55</v>
      </c>
      <c r="P192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27"/>
      <c r="R192" s="627"/>
      <c r="S192" s="627"/>
      <c r="T192" s="62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50" t="s">
        <v>335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4" t="s">
        <v>148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4301020261</v>
      </c>
      <c r="D196" s="625">
        <v>4680115882935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118</v>
      </c>
      <c r="L196" s="37" t="s">
        <v>45</v>
      </c>
      <c r="M196" s="38" t="s">
        <v>117</v>
      </c>
      <c r="N196" s="38"/>
      <c r="O196" s="37">
        <v>50</v>
      </c>
      <c r="P196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2" t="s">
        <v>340</v>
      </c>
      <c r="AG196" s="78"/>
      <c r="AJ196" s="84" t="s">
        <v>45</v>
      </c>
      <c r="AK196" s="84">
        <v>0</v>
      </c>
      <c r="BB196" s="25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customHeight="1" x14ac:dyDescent="0.25">
      <c r="A197" s="63" t="s">
        <v>341</v>
      </c>
      <c r="B197" s="63" t="s">
        <v>342</v>
      </c>
      <c r="C197" s="36">
        <v>4301020220</v>
      </c>
      <c r="D197" s="625">
        <v>4680115880764</v>
      </c>
      <c r="E197" s="625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83</v>
      </c>
      <c r="L197" s="37" t="s">
        <v>45</v>
      </c>
      <c r="M197" s="38" t="s">
        <v>117</v>
      </c>
      <c r="N197" s="38"/>
      <c r="O197" s="37">
        <v>50</v>
      </c>
      <c r="P197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54" t="s">
        <v>340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78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27" customHeight="1" x14ac:dyDescent="0.25">
      <c r="A201" s="63" t="s">
        <v>343</v>
      </c>
      <c r="B201" s="63" t="s">
        <v>344</v>
      </c>
      <c r="C201" s="36">
        <v>4301031224</v>
      </c>
      <c r="D201" s="625">
        <v>4680115882683</v>
      </c>
      <c r="E201" s="625"/>
      <c r="F201" s="62">
        <v>0.9</v>
      </c>
      <c r="G201" s="37">
        <v>6</v>
      </c>
      <c r="H201" s="62">
        <v>5.4</v>
      </c>
      <c r="I201" s="62">
        <v>5.59</v>
      </c>
      <c r="J201" s="37">
        <v>132</v>
      </c>
      <c r="K201" s="37" t="s">
        <v>123</v>
      </c>
      <c r="L201" s="37" t="s">
        <v>219</v>
      </c>
      <c r="M201" s="38" t="s">
        <v>82</v>
      </c>
      <c r="N201" s="38"/>
      <c r="O201" s="37">
        <v>40</v>
      </c>
      <c r="P201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10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56" t="s">
        <v>345</v>
      </c>
      <c r="AG201" s="78"/>
      <c r="AJ201" s="84" t="s">
        <v>120</v>
      </c>
      <c r="AK201" s="84">
        <v>64.8</v>
      </c>
      <c r="BB201" s="257" t="s">
        <v>66</v>
      </c>
      <c r="BM201" s="78">
        <f t="shared" ref="BM201:BM208" si="11">IFERROR(X201*I201/H201,"0")</f>
        <v>0</v>
      </c>
      <c r="BN201" s="78">
        <f t="shared" ref="BN201:BN208" si="12">IFERROR(Y201*I201/H201,"0")</f>
        <v>0</v>
      </c>
      <c r="BO201" s="78">
        <f t="shared" ref="BO201:BO208" si="13">IFERROR(1/J201*(X201/H201),"0")</f>
        <v>0</v>
      </c>
      <c r="BP201" s="78">
        <f t="shared" ref="BP201:BP208" si="14">IFERROR(1/J201*(Y201/H201),"0")</f>
        <v>0</v>
      </c>
    </row>
    <row r="202" spans="1:68" ht="27" customHeight="1" x14ac:dyDescent="0.25">
      <c r="A202" s="63" t="s">
        <v>346</v>
      </c>
      <c r="B202" s="63" t="s">
        <v>347</v>
      </c>
      <c r="C202" s="36">
        <v>4301031230</v>
      </c>
      <c r="D202" s="625">
        <v>4680115882690</v>
      </c>
      <c r="E202" s="625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123</v>
      </c>
      <c r="L202" s="37" t="s">
        <v>219</v>
      </c>
      <c r="M202" s="38" t="s">
        <v>82</v>
      </c>
      <c r="N202" s="38"/>
      <c r="O202" s="37">
        <v>40</v>
      </c>
      <c r="P202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348</v>
      </c>
      <c r="AG202" s="78"/>
      <c r="AJ202" s="84" t="s">
        <v>120</v>
      </c>
      <c r="AK202" s="84">
        <v>64.8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349</v>
      </c>
      <c r="B203" s="63" t="s">
        <v>350</v>
      </c>
      <c r="C203" s="36">
        <v>4301031220</v>
      </c>
      <c r="D203" s="625">
        <v>4680115882669</v>
      </c>
      <c r="E203" s="625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123</v>
      </c>
      <c r="L203" s="37" t="s">
        <v>45</v>
      </c>
      <c r="M203" s="38" t="s">
        <v>82</v>
      </c>
      <c r="N203" s="38"/>
      <c r="O203" s="37">
        <v>40</v>
      </c>
      <c r="P203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27"/>
      <c r="R203" s="627"/>
      <c r="S203" s="627"/>
      <c r="T203" s="62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351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352</v>
      </c>
      <c r="B204" s="63" t="s">
        <v>353</v>
      </c>
      <c r="C204" s="36">
        <v>4301031221</v>
      </c>
      <c r="D204" s="625">
        <v>4680115882676</v>
      </c>
      <c r="E204" s="625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123</v>
      </c>
      <c r="L204" s="37" t="s">
        <v>219</v>
      </c>
      <c r="M204" s="38" t="s">
        <v>82</v>
      </c>
      <c r="N204" s="38"/>
      <c r="O204" s="37">
        <v>40</v>
      </c>
      <c r="P204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27"/>
      <c r="R204" s="627"/>
      <c r="S204" s="627"/>
      <c r="T204" s="628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354</v>
      </c>
      <c r="AG204" s="78"/>
      <c r="AJ204" s="84" t="s">
        <v>120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4301031223</v>
      </c>
      <c r="D205" s="625">
        <v>4680115884014</v>
      </c>
      <c r="E205" s="625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87</v>
      </c>
      <c r="L205" s="37" t="s">
        <v>45</v>
      </c>
      <c r="M205" s="38" t="s">
        <v>82</v>
      </c>
      <c r="N205" s="38"/>
      <c r="O205" s="37">
        <v>40</v>
      </c>
      <c r="P205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27"/>
      <c r="R205" s="627"/>
      <c r="S205" s="627"/>
      <c r="T205" s="62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64" t="s">
        <v>345</v>
      </c>
      <c r="AG205" s="78"/>
      <c r="AJ205" s="84" t="s">
        <v>45</v>
      </c>
      <c r="AK205" s="84">
        <v>0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357</v>
      </c>
      <c r="B206" s="63" t="s">
        <v>358</v>
      </c>
      <c r="C206" s="36">
        <v>4301031222</v>
      </c>
      <c r="D206" s="625">
        <v>4680115884007</v>
      </c>
      <c r="E206" s="625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87</v>
      </c>
      <c r="L206" s="37" t="s">
        <v>45</v>
      </c>
      <c r="M206" s="38" t="s">
        <v>82</v>
      </c>
      <c r="N206" s="38"/>
      <c r="O206" s="37">
        <v>40</v>
      </c>
      <c r="P206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348</v>
      </c>
      <c r="AG206" s="78"/>
      <c r="AJ206" s="84" t="s">
        <v>45</v>
      </c>
      <c r="AK206" s="84">
        <v>0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4301031229</v>
      </c>
      <c r="D207" s="625">
        <v>4680115884038</v>
      </c>
      <c r="E207" s="625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351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361</v>
      </c>
      <c r="B208" s="63" t="s">
        <v>362</v>
      </c>
      <c r="C208" s="36">
        <v>4301031225</v>
      </c>
      <c r="D208" s="625">
        <v>4680115884021</v>
      </c>
      <c r="E208" s="625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354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x14ac:dyDescent="0.2">
      <c r="A209" s="633"/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4"/>
      <c r="P209" s="630" t="s">
        <v>40</v>
      </c>
      <c r="Q209" s="631"/>
      <c r="R209" s="631"/>
      <c r="S209" s="631"/>
      <c r="T209" s="631"/>
      <c r="U209" s="631"/>
      <c r="V209" s="632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633"/>
      <c r="B210" s="633"/>
      <c r="C210" s="633"/>
      <c r="D210" s="633"/>
      <c r="E210" s="633"/>
      <c r="F210" s="633"/>
      <c r="G210" s="633"/>
      <c r="H210" s="633"/>
      <c r="I210" s="633"/>
      <c r="J210" s="633"/>
      <c r="K210" s="633"/>
      <c r="L210" s="633"/>
      <c r="M210" s="633"/>
      <c r="N210" s="633"/>
      <c r="O210" s="634"/>
      <c r="P210" s="630" t="s">
        <v>40</v>
      </c>
      <c r="Q210" s="631"/>
      <c r="R210" s="631"/>
      <c r="S210" s="631"/>
      <c r="T210" s="631"/>
      <c r="U210" s="631"/>
      <c r="V210" s="632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customHeight="1" x14ac:dyDescent="0.25">
      <c r="A211" s="624" t="s">
        <v>88</v>
      </c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4"/>
      <c r="P211" s="624"/>
      <c r="Q211" s="624"/>
      <c r="R211" s="624"/>
      <c r="S211" s="624"/>
      <c r="T211" s="624"/>
      <c r="U211" s="624"/>
      <c r="V211" s="624"/>
      <c r="W211" s="624"/>
      <c r="X211" s="624"/>
      <c r="Y211" s="624"/>
      <c r="Z211" s="624"/>
      <c r="AA211" s="66"/>
      <c r="AB211" s="66"/>
      <c r="AC211" s="80"/>
    </row>
    <row r="212" spans="1:68" ht="27" customHeight="1" x14ac:dyDescent="0.25">
      <c r="A212" s="63" t="s">
        <v>363</v>
      </c>
      <c r="B212" s="63" t="s">
        <v>364</v>
      </c>
      <c r="C212" s="36">
        <v>4301051408</v>
      </c>
      <c r="D212" s="625">
        <v>4680115881594</v>
      </c>
      <c r="E212" s="625"/>
      <c r="F212" s="62">
        <v>1.35</v>
      </c>
      <c r="G212" s="37">
        <v>6</v>
      </c>
      <c r="H212" s="62">
        <v>8.1</v>
      </c>
      <c r="I212" s="62">
        <v>8.5939999999999994</v>
      </c>
      <c r="J212" s="37">
        <v>64</v>
      </c>
      <c r="K212" s="37" t="s">
        <v>118</v>
      </c>
      <c r="L212" s="37" t="s">
        <v>45</v>
      </c>
      <c r="M212" s="38" t="s">
        <v>92</v>
      </c>
      <c r="N212" s="38"/>
      <c r="O212" s="37">
        <v>40</v>
      </c>
      <c r="P212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15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72" t="s">
        <v>365</v>
      </c>
      <c r="AG212" s="78"/>
      <c r="AJ212" s="84" t="s">
        <v>45</v>
      </c>
      <c r="AK212" s="84">
        <v>0</v>
      </c>
      <c r="BB212" s="273" t="s">
        <v>66</v>
      </c>
      <c r="BM212" s="78">
        <f t="shared" ref="BM212:BM220" si="16">IFERROR(X212*I212/H212,"0")</f>
        <v>0</v>
      </c>
      <c r="BN212" s="78">
        <f t="shared" ref="BN212:BN220" si="17">IFERROR(Y212*I212/H212,"0")</f>
        <v>0</v>
      </c>
      <c r="BO212" s="78">
        <f t="shared" ref="BO212:BO220" si="18">IFERROR(1/J212*(X212/H212),"0")</f>
        <v>0</v>
      </c>
      <c r="BP212" s="78">
        <f t="shared" ref="BP212:BP220" si="19">IFERROR(1/J212*(Y212/H212),"0")</f>
        <v>0</v>
      </c>
    </row>
    <row r="213" spans="1:68" ht="27" customHeight="1" x14ac:dyDescent="0.25">
      <c r="A213" s="63" t="s">
        <v>366</v>
      </c>
      <c r="B213" s="63" t="s">
        <v>367</v>
      </c>
      <c r="C213" s="36">
        <v>4301051411</v>
      </c>
      <c r="D213" s="625">
        <v>4680115881617</v>
      </c>
      <c r="E213" s="625"/>
      <c r="F213" s="62">
        <v>1.35</v>
      </c>
      <c r="G213" s="37">
        <v>6</v>
      </c>
      <c r="H213" s="62">
        <v>8.1</v>
      </c>
      <c r="I213" s="62">
        <v>8.5760000000000005</v>
      </c>
      <c r="J213" s="37">
        <v>64</v>
      </c>
      <c r="K213" s="37" t="s">
        <v>118</v>
      </c>
      <c r="L213" s="37" t="s">
        <v>45</v>
      </c>
      <c r="M213" s="38" t="s">
        <v>92</v>
      </c>
      <c r="N213" s="38"/>
      <c r="O213" s="37">
        <v>40</v>
      </c>
      <c r="P213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368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369</v>
      </c>
      <c r="B214" s="63" t="s">
        <v>370</v>
      </c>
      <c r="C214" s="36">
        <v>4301051656</v>
      </c>
      <c r="D214" s="625">
        <v>4680115880573</v>
      </c>
      <c r="E214" s="625"/>
      <c r="F214" s="62">
        <v>1.45</v>
      </c>
      <c r="G214" s="37">
        <v>6</v>
      </c>
      <c r="H214" s="62">
        <v>8.6999999999999993</v>
      </c>
      <c r="I214" s="62">
        <v>9.1940000000000008</v>
      </c>
      <c r="J214" s="37">
        <v>64</v>
      </c>
      <c r="K214" s="37" t="s">
        <v>118</v>
      </c>
      <c r="L214" s="37" t="s">
        <v>45</v>
      </c>
      <c r="M214" s="38" t="s">
        <v>92</v>
      </c>
      <c r="N214" s="38"/>
      <c r="O214" s="37">
        <v>45</v>
      </c>
      <c r="P214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27"/>
      <c r="R214" s="627"/>
      <c r="S214" s="627"/>
      <c r="T214" s="62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371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372</v>
      </c>
      <c r="B215" s="63" t="s">
        <v>373</v>
      </c>
      <c r="C215" s="36">
        <v>4301051407</v>
      </c>
      <c r="D215" s="625">
        <v>4680115882195</v>
      </c>
      <c r="E215" s="625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83</v>
      </c>
      <c r="L215" s="37" t="s">
        <v>241</v>
      </c>
      <c r="M215" s="38" t="s">
        <v>92</v>
      </c>
      <c r="N215" s="38"/>
      <c r="O215" s="37">
        <v>40</v>
      </c>
      <c r="P215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27"/>
      <c r="R215" s="627"/>
      <c r="S215" s="627"/>
      <c r="T215" s="62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ref="Z215:Z220" si="20">IFERROR(IF(Y215=0,"",ROUNDUP(Y215/H215,0)*0.00651),"")</f>
        <v/>
      </c>
      <c r="AA215" s="68" t="s">
        <v>45</v>
      </c>
      <c r="AB215" s="69" t="s">
        <v>45</v>
      </c>
      <c r="AC215" s="278" t="s">
        <v>365</v>
      </c>
      <c r="AG215" s="78"/>
      <c r="AJ215" s="84" t="s">
        <v>120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4301051752</v>
      </c>
      <c r="D216" s="625">
        <v>4680115882607</v>
      </c>
      <c r="E216" s="625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83</v>
      </c>
      <c r="L216" s="37" t="s">
        <v>45</v>
      </c>
      <c r="M216" s="38" t="s">
        <v>99</v>
      </c>
      <c r="N216" s="38"/>
      <c r="O216" s="37">
        <v>45</v>
      </c>
      <c r="P216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27"/>
      <c r="R216" s="627"/>
      <c r="S216" s="627"/>
      <c r="T216" s="62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si="20"/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4301051666</v>
      </c>
      <c r="D217" s="625">
        <v>4680115880092</v>
      </c>
      <c r="E217" s="625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83</v>
      </c>
      <c r="L217" s="37" t="s">
        <v>241</v>
      </c>
      <c r="M217" s="38" t="s">
        <v>92</v>
      </c>
      <c r="N217" s="38"/>
      <c r="O217" s="37">
        <v>45</v>
      </c>
      <c r="P217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371</v>
      </c>
      <c r="AG217" s="78"/>
      <c r="AJ217" s="84" t="s">
        <v>120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4301051668</v>
      </c>
      <c r="D218" s="625">
        <v>4680115880221</v>
      </c>
      <c r="E218" s="625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241</v>
      </c>
      <c r="M218" s="38" t="s">
        <v>92</v>
      </c>
      <c r="N218" s="38"/>
      <c r="O218" s="37">
        <v>45</v>
      </c>
      <c r="P218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371</v>
      </c>
      <c r="AG218" s="78"/>
      <c r="AJ218" s="84" t="s">
        <v>120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4301051945</v>
      </c>
      <c r="D219" s="625">
        <v>4680115880504</v>
      </c>
      <c r="E219" s="62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241</v>
      </c>
      <c r="M219" s="38" t="s">
        <v>99</v>
      </c>
      <c r="N219" s="38"/>
      <c r="O219" s="37">
        <v>40</v>
      </c>
      <c r="P219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382</v>
      </c>
      <c r="AG219" s="78"/>
      <c r="AJ219" s="84" t="s">
        <v>120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4301051410</v>
      </c>
      <c r="D220" s="625">
        <v>4680115882164</v>
      </c>
      <c r="E220" s="625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83</v>
      </c>
      <c r="L220" s="37" t="s">
        <v>241</v>
      </c>
      <c r="M220" s="38" t="s">
        <v>92</v>
      </c>
      <c r="N220" s="38"/>
      <c r="O220" s="37">
        <v>40</v>
      </c>
      <c r="P22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368</v>
      </c>
      <c r="AG220" s="78"/>
      <c r="AJ220" s="84" t="s">
        <v>120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x14ac:dyDescent="0.2">
      <c r="A221" s="633"/>
      <c r="B221" s="633"/>
      <c r="C221" s="633"/>
      <c r="D221" s="633"/>
      <c r="E221" s="633"/>
      <c r="F221" s="633"/>
      <c r="G221" s="633"/>
      <c r="H221" s="633"/>
      <c r="I221" s="633"/>
      <c r="J221" s="633"/>
      <c r="K221" s="633"/>
      <c r="L221" s="633"/>
      <c r="M221" s="633"/>
      <c r="N221" s="633"/>
      <c r="O221" s="634"/>
      <c r="P221" s="630" t="s">
        <v>40</v>
      </c>
      <c r="Q221" s="631"/>
      <c r="R221" s="631"/>
      <c r="S221" s="631"/>
      <c r="T221" s="631"/>
      <c r="U221" s="631"/>
      <c r="V221" s="632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633"/>
      <c r="B222" s="633"/>
      <c r="C222" s="633"/>
      <c r="D222" s="633"/>
      <c r="E222" s="633"/>
      <c r="F222" s="633"/>
      <c r="G222" s="633"/>
      <c r="H222" s="633"/>
      <c r="I222" s="633"/>
      <c r="J222" s="633"/>
      <c r="K222" s="633"/>
      <c r="L222" s="633"/>
      <c r="M222" s="633"/>
      <c r="N222" s="633"/>
      <c r="O222" s="634"/>
      <c r="P222" s="630" t="s">
        <v>40</v>
      </c>
      <c r="Q222" s="631"/>
      <c r="R222" s="631"/>
      <c r="S222" s="631"/>
      <c r="T222" s="631"/>
      <c r="U222" s="631"/>
      <c r="V222" s="632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customHeight="1" x14ac:dyDescent="0.25">
      <c r="A223" s="624" t="s">
        <v>176</v>
      </c>
      <c r="B223" s="624"/>
      <c r="C223" s="624"/>
      <c r="D223" s="624"/>
      <c r="E223" s="624"/>
      <c r="F223" s="624"/>
      <c r="G223" s="624"/>
      <c r="H223" s="624"/>
      <c r="I223" s="624"/>
      <c r="J223" s="624"/>
      <c r="K223" s="624"/>
      <c r="L223" s="624"/>
      <c r="M223" s="624"/>
      <c r="N223" s="624"/>
      <c r="O223" s="624"/>
      <c r="P223" s="624"/>
      <c r="Q223" s="624"/>
      <c r="R223" s="624"/>
      <c r="S223" s="624"/>
      <c r="T223" s="624"/>
      <c r="U223" s="624"/>
      <c r="V223" s="624"/>
      <c r="W223" s="624"/>
      <c r="X223" s="624"/>
      <c r="Y223" s="624"/>
      <c r="Z223" s="624"/>
      <c r="AA223" s="66"/>
      <c r="AB223" s="66"/>
      <c r="AC223" s="80"/>
    </row>
    <row r="224" spans="1:68" ht="27" customHeight="1" x14ac:dyDescent="0.25">
      <c r="A224" s="63" t="s">
        <v>385</v>
      </c>
      <c r="B224" s="63" t="s">
        <v>386</v>
      </c>
      <c r="C224" s="36">
        <v>4301060463</v>
      </c>
      <c r="D224" s="625">
        <v>4680115880818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83</v>
      </c>
      <c r="L224" s="37" t="s">
        <v>45</v>
      </c>
      <c r="M224" s="38" t="s">
        <v>99</v>
      </c>
      <c r="N224" s="38"/>
      <c r="O224" s="37">
        <v>40</v>
      </c>
      <c r="P224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290" t="s">
        <v>387</v>
      </c>
      <c r="AG224" s="78"/>
      <c r="AJ224" s="84" t="s">
        <v>45</v>
      </c>
      <c r="AK224" s="84">
        <v>0</v>
      </c>
      <c r="BB224" s="291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37.5" customHeight="1" x14ac:dyDescent="0.25">
      <c r="A225" s="63" t="s">
        <v>388</v>
      </c>
      <c r="B225" s="63" t="s">
        <v>389</v>
      </c>
      <c r="C225" s="36">
        <v>4301060389</v>
      </c>
      <c r="D225" s="625">
        <v>4680115880801</v>
      </c>
      <c r="E225" s="625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45</v>
      </c>
      <c r="M225" s="38" t="s">
        <v>92</v>
      </c>
      <c r="N225" s="38"/>
      <c r="O225" s="37">
        <v>40</v>
      </c>
      <c r="P225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390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customHeight="1" x14ac:dyDescent="0.25">
      <c r="A228" s="623" t="s">
        <v>391</v>
      </c>
      <c r="B228" s="623"/>
      <c r="C228" s="623"/>
      <c r="D228" s="623"/>
      <c r="E228" s="623"/>
      <c r="F228" s="623"/>
      <c r="G228" s="623"/>
      <c r="H228" s="623"/>
      <c r="I228" s="623"/>
      <c r="J228" s="623"/>
      <c r="K228" s="623"/>
      <c r="L228" s="623"/>
      <c r="M228" s="623"/>
      <c r="N228" s="623"/>
      <c r="O228" s="623"/>
      <c r="P228" s="623"/>
      <c r="Q228" s="623"/>
      <c r="R228" s="623"/>
      <c r="S228" s="623"/>
      <c r="T228" s="623"/>
      <c r="U228" s="623"/>
      <c r="V228" s="623"/>
      <c r="W228" s="623"/>
      <c r="X228" s="623"/>
      <c r="Y228" s="623"/>
      <c r="Z228" s="623"/>
      <c r="AA228" s="65"/>
      <c r="AB228" s="65"/>
      <c r="AC228" s="79"/>
    </row>
    <row r="229" spans="1:68" ht="14.25" customHeight="1" x14ac:dyDescent="0.25">
      <c r="A229" s="624" t="s">
        <v>113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6"/>
      <c r="AB229" s="66"/>
      <c r="AC229" s="80"/>
    </row>
    <row r="230" spans="1:68" ht="27" customHeight="1" x14ac:dyDescent="0.25">
      <c r="A230" s="63" t="s">
        <v>392</v>
      </c>
      <c r="B230" s="63" t="s">
        <v>393</v>
      </c>
      <c r="C230" s="36">
        <v>4301011826</v>
      </c>
      <c r="D230" s="625">
        <v>4680115884137</v>
      </c>
      <c r="E230" s="625"/>
      <c r="F230" s="62">
        <v>1.45</v>
      </c>
      <c r="G230" s="37">
        <v>8</v>
      </c>
      <c r="H230" s="62">
        <v>11.6</v>
      </c>
      <c r="I230" s="62">
        <v>12.01</v>
      </c>
      <c r="J230" s="37">
        <v>64</v>
      </c>
      <c r="K230" s="37" t="s">
        <v>118</v>
      </c>
      <c r="L230" s="37" t="s">
        <v>45</v>
      </c>
      <c r="M230" s="38" t="s">
        <v>117</v>
      </c>
      <c r="N230" s="38"/>
      <c r="O230" s="37">
        <v>55</v>
      </c>
      <c r="P230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8" si="21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294" t="s">
        <v>394</v>
      </c>
      <c r="AG230" s="78"/>
      <c r="AJ230" s="84" t="s">
        <v>45</v>
      </c>
      <c r="AK230" s="84">
        <v>0</v>
      </c>
      <c r="BB230" s="295" t="s">
        <v>66</v>
      </c>
      <c r="BM230" s="78">
        <f t="shared" ref="BM230:BM238" si="22">IFERROR(X230*I230/H230,"0")</f>
        <v>0</v>
      </c>
      <c r="BN230" s="78">
        <f t="shared" ref="BN230:BN238" si="23">IFERROR(Y230*I230/H230,"0")</f>
        <v>0</v>
      </c>
      <c r="BO230" s="78">
        <f t="shared" ref="BO230:BO238" si="24">IFERROR(1/J230*(X230/H230),"0")</f>
        <v>0</v>
      </c>
      <c r="BP230" s="78">
        <f t="shared" ref="BP230:BP238" si="25">IFERROR(1/J230*(Y230/H230),"0")</f>
        <v>0</v>
      </c>
    </row>
    <row r="231" spans="1:68" ht="27" customHeight="1" x14ac:dyDescent="0.25">
      <c r="A231" s="63" t="s">
        <v>395</v>
      </c>
      <c r="B231" s="63" t="s">
        <v>396</v>
      </c>
      <c r="C231" s="36">
        <v>4301011724</v>
      </c>
      <c r="D231" s="625">
        <v>4680115884236</v>
      </c>
      <c r="E231" s="625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118</v>
      </c>
      <c r="L231" s="37" t="s">
        <v>45</v>
      </c>
      <c r="M231" s="38" t="s">
        <v>117</v>
      </c>
      <c r="N231" s="38"/>
      <c r="O231" s="37">
        <v>55</v>
      </c>
      <c r="P231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27"/>
      <c r="R231" s="627"/>
      <c r="S231" s="627"/>
      <c r="T231" s="62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397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398</v>
      </c>
      <c r="B232" s="63" t="s">
        <v>399</v>
      </c>
      <c r="C232" s="36">
        <v>4301011721</v>
      </c>
      <c r="D232" s="625">
        <v>4680115884175</v>
      </c>
      <c r="E232" s="625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118</v>
      </c>
      <c r="L232" s="37" t="s">
        <v>45</v>
      </c>
      <c r="M232" s="38" t="s">
        <v>117</v>
      </c>
      <c r="N232" s="38"/>
      <c r="O232" s="37">
        <v>55</v>
      </c>
      <c r="P232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27"/>
      <c r="R232" s="627"/>
      <c r="S232" s="627"/>
      <c r="T232" s="62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400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401</v>
      </c>
      <c r="B233" s="63" t="s">
        <v>402</v>
      </c>
      <c r="C233" s="36">
        <v>4301012196</v>
      </c>
      <c r="D233" s="625">
        <v>4680115884144</v>
      </c>
      <c r="E233" s="625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123</v>
      </c>
      <c r="L233" s="37" t="s">
        <v>45</v>
      </c>
      <c r="M233" s="38" t="s">
        <v>117</v>
      </c>
      <c r="N233" s="38"/>
      <c r="O233" s="37">
        <v>55</v>
      </c>
      <c r="P233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3" s="627"/>
      <c r="R233" s="627"/>
      <c r="S233" s="627"/>
      <c r="T233" s="62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394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401</v>
      </c>
      <c r="B234" s="63" t="s">
        <v>403</v>
      </c>
      <c r="C234" s="36">
        <v>4301011824</v>
      </c>
      <c r="D234" s="625">
        <v>4680115884144</v>
      </c>
      <c r="E234" s="625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123</v>
      </c>
      <c r="L234" s="37" t="s">
        <v>45</v>
      </c>
      <c r="M234" s="38" t="s">
        <v>117</v>
      </c>
      <c r="N234" s="38"/>
      <c r="O234" s="37">
        <v>55</v>
      </c>
      <c r="P234" s="7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27"/>
      <c r="R234" s="627"/>
      <c r="S234" s="627"/>
      <c r="T234" s="62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394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4301012149</v>
      </c>
      <c r="D235" s="625">
        <v>4680115886551</v>
      </c>
      <c r="E235" s="625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123</v>
      </c>
      <c r="L235" s="37" t="s">
        <v>45</v>
      </c>
      <c r="M235" s="38" t="s">
        <v>117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406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407</v>
      </c>
      <c r="B236" s="63" t="s">
        <v>408</v>
      </c>
      <c r="C236" s="36">
        <v>4301012228</v>
      </c>
      <c r="D236" s="625">
        <v>4680115887282</v>
      </c>
      <c r="E236" s="625"/>
      <c r="F236" s="62">
        <v>0.4</v>
      </c>
      <c r="G236" s="37">
        <v>6</v>
      </c>
      <c r="H236" s="62">
        <v>2.4</v>
      </c>
      <c r="I236" s="62">
        <v>2.58</v>
      </c>
      <c r="J236" s="37">
        <v>182</v>
      </c>
      <c r="K236" s="37" t="s">
        <v>83</v>
      </c>
      <c r="L236" s="37" t="s">
        <v>45</v>
      </c>
      <c r="M236" s="38" t="s">
        <v>117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IFERROR(IF(Y236=0,"",ROUNDUP(Y236/H236,0)*0.00651),"")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409</v>
      </c>
      <c r="B237" s="63" t="s">
        <v>410</v>
      </c>
      <c r="C237" s="36">
        <v>4301012195</v>
      </c>
      <c r="D237" s="625">
        <v>4680115884205</v>
      </c>
      <c r="E237" s="62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123</v>
      </c>
      <c r="L237" s="37" t="s">
        <v>45</v>
      </c>
      <c r="M237" s="38" t="s">
        <v>117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400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409</v>
      </c>
      <c r="B238" s="63" t="s">
        <v>411</v>
      </c>
      <c r="C238" s="36">
        <v>4301011722</v>
      </c>
      <c r="D238" s="625">
        <v>4680115884205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123</v>
      </c>
      <c r="L238" s="37" t="s">
        <v>45</v>
      </c>
      <c r="M238" s="38" t="s">
        <v>117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x14ac:dyDescent="0.2">
      <c r="A239" s="633"/>
      <c r="B239" s="633"/>
      <c r="C239" s="633"/>
      <c r="D239" s="633"/>
      <c r="E239" s="633"/>
      <c r="F239" s="633"/>
      <c r="G239" s="633"/>
      <c r="H239" s="633"/>
      <c r="I239" s="633"/>
      <c r="J239" s="633"/>
      <c r="K239" s="633"/>
      <c r="L239" s="633"/>
      <c r="M239" s="633"/>
      <c r="N239" s="633"/>
      <c r="O239" s="634"/>
      <c r="P239" s="630" t="s">
        <v>40</v>
      </c>
      <c r="Q239" s="631"/>
      <c r="R239" s="631"/>
      <c r="S239" s="631"/>
      <c r="T239" s="631"/>
      <c r="U239" s="631"/>
      <c r="V239" s="632"/>
      <c r="W239" s="42" t="s">
        <v>39</v>
      </c>
      <c r="X239" s="43">
        <f>IFERROR(X230/H230,"0")+IFERROR(X231/H231,"0")+IFERROR(X232/H232,"0")+IFERROR(X233/H233,"0")+IFERROR(X234/H234,"0")+IFERROR(X235/H235,"0")+IFERROR(X236/H236,"0")+IFERROR(X237/H237,"0")+IFERROR(X238/H238,"0")</f>
        <v>0</v>
      </c>
      <c r="Y239" s="43">
        <f>IFERROR(Y230/H230,"0")+IFERROR(Y231/H231,"0")+IFERROR(Y232/H232,"0")+IFERROR(Y233/H233,"0")+IFERROR(Y234/H234,"0")+IFERROR(Y235/H235,"0")+IFERROR(Y236/H236,"0")+IFERROR(Y237/H237,"0")+IFERROR(Y238/H238,"0")</f>
        <v>0</v>
      </c>
      <c r="Z239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7"/>
      <c r="AB239" s="67"/>
      <c r="AC239" s="67"/>
    </row>
    <row r="240" spans="1:68" x14ac:dyDescent="0.2">
      <c r="A240" s="633"/>
      <c r="B240" s="633"/>
      <c r="C240" s="633"/>
      <c r="D240" s="633"/>
      <c r="E240" s="633"/>
      <c r="F240" s="633"/>
      <c r="G240" s="633"/>
      <c r="H240" s="633"/>
      <c r="I240" s="633"/>
      <c r="J240" s="633"/>
      <c r="K240" s="633"/>
      <c r="L240" s="633"/>
      <c r="M240" s="633"/>
      <c r="N240" s="633"/>
      <c r="O240" s="634"/>
      <c r="P240" s="630" t="s">
        <v>40</v>
      </c>
      <c r="Q240" s="631"/>
      <c r="R240" s="631"/>
      <c r="S240" s="631"/>
      <c r="T240" s="631"/>
      <c r="U240" s="631"/>
      <c r="V240" s="632"/>
      <c r="W240" s="42" t="s">
        <v>0</v>
      </c>
      <c r="X240" s="43">
        <f>IFERROR(SUM(X230:X238),"0")</f>
        <v>0</v>
      </c>
      <c r="Y240" s="43">
        <f>IFERROR(SUM(Y230:Y238),"0")</f>
        <v>0</v>
      </c>
      <c r="Z240" s="42"/>
      <c r="AA240" s="67"/>
      <c r="AB240" s="67"/>
      <c r="AC240" s="67"/>
    </row>
    <row r="241" spans="1:68" ht="14.25" customHeight="1" x14ac:dyDescent="0.25">
      <c r="A241" s="624" t="s">
        <v>148</v>
      </c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4"/>
      <c r="P241" s="624"/>
      <c r="Q241" s="624"/>
      <c r="R241" s="624"/>
      <c r="S241" s="624"/>
      <c r="T241" s="624"/>
      <c r="U241" s="624"/>
      <c r="V241" s="624"/>
      <c r="W241" s="624"/>
      <c r="X241" s="624"/>
      <c r="Y241" s="624"/>
      <c r="Z241" s="624"/>
      <c r="AA241" s="66"/>
      <c r="AB241" s="66"/>
      <c r="AC241" s="80"/>
    </row>
    <row r="242" spans="1:68" ht="27" customHeight="1" x14ac:dyDescent="0.25">
      <c r="A242" s="63" t="s">
        <v>412</v>
      </c>
      <c r="B242" s="63" t="s">
        <v>413</v>
      </c>
      <c r="C242" s="36">
        <v>4301020377</v>
      </c>
      <c r="D242" s="625">
        <v>4680115885981</v>
      </c>
      <c r="E242" s="625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87</v>
      </c>
      <c r="L242" s="37" t="s">
        <v>45</v>
      </c>
      <c r="M242" s="38" t="s">
        <v>92</v>
      </c>
      <c r="N242" s="38"/>
      <c r="O242" s="37">
        <v>50</v>
      </c>
      <c r="P242" s="7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27"/>
      <c r="R242" s="627"/>
      <c r="S242" s="627"/>
      <c r="T242" s="62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12" t="s">
        <v>414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3"/>
      <c r="B244" s="633"/>
      <c r="C244" s="633"/>
      <c r="D244" s="633"/>
      <c r="E244" s="633"/>
      <c r="F244" s="633"/>
      <c r="G244" s="633"/>
      <c r="H244" s="633"/>
      <c r="I244" s="633"/>
      <c r="J244" s="633"/>
      <c r="K244" s="633"/>
      <c r="L244" s="633"/>
      <c r="M244" s="633"/>
      <c r="N244" s="633"/>
      <c r="O244" s="634"/>
      <c r="P244" s="630" t="s">
        <v>40</v>
      </c>
      <c r="Q244" s="631"/>
      <c r="R244" s="631"/>
      <c r="S244" s="631"/>
      <c r="T244" s="631"/>
      <c r="U244" s="631"/>
      <c r="V244" s="632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4" t="s">
        <v>415</v>
      </c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4"/>
      <c r="P245" s="624"/>
      <c r="Q245" s="624"/>
      <c r="R245" s="624"/>
      <c r="S245" s="624"/>
      <c r="T245" s="624"/>
      <c r="U245" s="624"/>
      <c r="V245" s="624"/>
      <c r="W245" s="624"/>
      <c r="X245" s="624"/>
      <c r="Y245" s="624"/>
      <c r="Z245" s="624"/>
      <c r="AA245" s="66"/>
      <c r="AB245" s="66"/>
      <c r="AC245" s="80"/>
    </row>
    <row r="246" spans="1:68" ht="27" customHeight="1" x14ac:dyDescent="0.25">
      <c r="A246" s="63" t="s">
        <v>416</v>
      </c>
      <c r="B246" s="63" t="s">
        <v>417</v>
      </c>
      <c r="C246" s="36">
        <v>4301040362</v>
      </c>
      <c r="D246" s="625">
        <v>4680115886803</v>
      </c>
      <c r="E246" s="625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323</v>
      </c>
      <c r="L246" s="37" t="s">
        <v>45</v>
      </c>
      <c r="M246" s="38" t="s">
        <v>322</v>
      </c>
      <c r="N246" s="38"/>
      <c r="O246" s="37">
        <v>45</v>
      </c>
      <c r="P246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627"/>
      <c r="R246" s="627"/>
      <c r="S246" s="627"/>
      <c r="T246" s="62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14" t="s">
        <v>418</v>
      </c>
      <c r="AG246" s="78"/>
      <c r="AJ246" s="84" t="s">
        <v>45</v>
      </c>
      <c r="AK246" s="84">
        <v>0</v>
      </c>
      <c r="BB246" s="31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33"/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4"/>
      <c r="P248" s="630" t="s">
        <v>40</v>
      </c>
      <c r="Q248" s="631"/>
      <c r="R248" s="631"/>
      <c r="S248" s="631"/>
      <c r="T248" s="631"/>
      <c r="U248" s="631"/>
      <c r="V248" s="632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24" t="s">
        <v>419</v>
      </c>
      <c r="B249" s="624"/>
      <c r="C249" s="624"/>
      <c r="D249" s="624"/>
      <c r="E249" s="624"/>
      <c r="F249" s="624"/>
      <c r="G249" s="624"/>
      <c r="H249" s="624"/>
      <c r="I249" s="624"/>
      <c r="J249" s="624"/>
      <c r="K249" s="624"/>
      <c r="L249" s="624"/>
      <c r="M249" s="624"/>
      <c r="N249" s="624"/>
      <c r="O249" s="624"/>
      <c r="P249" s="624"/>
      <c r="Q249" s="624"/>
      <c r="R249" s="624"/>
      <c r="S249" s="624"/>
      <c r="T249" s="624"/>
      <c r="U249" s="624"/>
      <c r="V249" s="624"/>
      <c r="W249" s="624"/>
      <c r="X249" s="624"/>
      <c r="Y249" s="624"/>
      <c r="Z249" s="624"/>
      <c r="AA249" s="66"/>
      <c r="AB249" s="66"/>
      <c r="AC249" s="80"/>
    </row>
    <row r="250" spans="1:68" ht="27" customHeight="1" x14ac:dyDescent="0.25">
      <c r="A250" s="63" t="s">
        <v>420</v>
      </c>
      <c r="B250" s="63" t="s">
        <v>421</v>
      </c>
      <c r="C250" s="36">
        <v>4301041004</v>
      </c>
      <c r="D250" s="625">
        <v>4680115886704</v>
      </c>
      <c r="E250" s="62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323</v>
      </c>
      <c r="L250" s="37" t="s">
        <v>45</v>
      </c>
      <c r="M250" s="38" t="s">
        <v>322</v>
      </c>
      <c r="N250" s="38"/>
      <c r="O250" s="37">
        <v>90</v>
      </c>
      <c r="P250" s="7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627"/>
      <c r="R250" s="627"/>
      <c r="S250" s="627"/>
      <c r="T250" s="62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422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423</v>
      </c>
      <c r="B251" s="63" t="s">
        <v>424</v>
      </c>
      <c r="C251" s="36">
        <v>4301041008</v>
      </c>
      <c r="D251" s="625">
        <v>4680115886681</v>
      </c>
      <c r="E251" s="625"/>
      <c r="F251" s="62">
        <v>0.12</v>
      </c>
      <c r="G251" s="37">
        <v>15</v>
      </c>
      <c r="H251" s="62">
        <v>1.8</v>
      </c>
      <c r="I251" s="62">
        <v>1.9750000000000001</v>
      </c>
      <c r="J251" s="37">
        <v>216</v>
      </c>
      <c r="K251" s="37" t="s">
        <v>323</v>
      </c>
      <c r="L251" s="37" t="s">
        <v>45</v>
      </c>
      <c r="M251" s="38" t="s">
        <v>322</v>
      </c>
      <c r="N251" s="38"/>
      <c r="O251" s="37">
        <v>90</v>
      </c>
      <c r="P251" s="74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627"/>
      <c r="R251" s="627"/>
      <c r="S251" s="627"/>
      <c r="T251" s="628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422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425</v>
      </c>
      <c r="B252" s="63" t="s">
        <v>426</v>
      </c>
      <c r="C252" s="36">
        <v>4301041007</v>
      </c>
      <c r="D252" s="625">
        <v>4680115886735</v>
      </c>
      <c r="E252" s="625"/>
      <c r="F252" s="62">
        <v>0.05</v>
      </c>
      <c r="G252" s="37">
        <v>18</v>
      </c>
      <c r="H252" s="62">
        <v>0.9</v>
      </c>
      <c r="I252" s="62">
        <v>1.0900000000000001</v>
      </c>
      <c r="J252" s="37">
        <v>216</v>
      </c>
      <c r="K252" s="37" t="s">
        <v>323</v>
      </c>
      <c r="L252" s="37" t="s">
        <v>45</v>
      </c>
      <c r="M252" s="38" t="s">
        <v>322</v>
      </c>
      <c r="N252" s="38"/>
      <c r="O252" s="37">
        <v>90</v>
      </c>
      <c r="P252" s="7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627"/>
      <c r="R252" s="627"/>
      <c r="S252" s="627"/>
      <c r="T252" s="628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427</v>
      </c>
      <c r="B253" s="63" t="s">
        <v>428</v>
      </c>
      <c r="C253" s="36">
        <v>4301041006</v>
      </c>
      <c r="D253" s="625">
        <v>4680115886728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323</v>
      </c>
      <c r="L253" s="37" t="s">
        <v>45</v>
      </c>
      <c r="M253" s="38" t="s">
        <v>322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429</v>
      </c>
      <c r="B254" s="63" t="s">
        <v>430</v>
      </c>
      <c r="C254" s="36">
        <v>4301041005</v>
      </c>
      <c r="D254" s="625">
        <v>4680115886711</v>
      </c>
      <c r="E254" s="625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323</v>
      </c>
      <c r="L254" s="37" t="s">
        <v>45</v>
      </c>
      <c r="M254" s="38" t="s">
        <v>322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33"/>
      <c r="B255" s="633"/>
      <c r="C255" s="633"/>
      <c r="D255" s="633"/>
      <c r="E255" s="633"/>
      <c r="F255" s="633"/>
      <c r="G255" s="633"/>
      <c r="H255" s="633"/>
      <c r="I255" s="633"/>
      <c r="J255" s="633"/>
      <c r="K255" s="633"/>
      <c r="L255" s="633"/>
      <c r="M255" s="633"/>
      <c r="N255" s="633"/>
      <c r="O255" s="634"/>
      <c r="P255" s="630" t="s">
        <v>40</v>
      </c>
      <c r="Q255" s="631"/>
      <c r="R255" s="631"/>
      <c r="S255" s="631"/>
      <c r="T255" s="631"/>
      <c r="U255" s="631"/>
      <c r="V255" s="632"/>
      <c r="W255" s="42" t="s">
        <v>39</v>
      </c>
      <c r="X255" s="43">
        <f>IFERROR(X250/H250,"0")+IFERROR(X251/H251,"0")+IFERROR(X252/H252,"0")+IFERROR(X253/H253,"0")+IFERROR(X254/H254,"0")</f>
        <v>0</v>
      </c>
      <c r="Y255" s="43">
        <f>IFERROR(Y250/H250,"0")+IFERROR(Y251/H251,"0")+IFERROR(Y252/H252,"0")+IFERROR(Y253/H253,"0")+IFERROR(Y254/H254,"0")</f>
        <v>0</v>
      </c>
      <c r="Z255" s="43">
        <f>IFERROR(IF(Z250="",0,Z250),"0")+IFERROR(IF(Z251="",0,Z251),"0")+IFERROR(IF(Z252="",0,Z252),"0")+IFERROR(IF(Z253="",0,Z253),"0")+IFERROR(IF(Z254="",0,Z254),"0")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0</v>
      </c>
      <c r="X256" s="43">
        <f>IFERROR(SUM(X250:X254),"0")</f>
        <v>0</v>
      </c>
      <c r="Y256" s="43">
        <f>IFERROR(SUM(Y250:Y254),"0")</f>
        <v>0</v>
      </c>
      <c r="Z256" s="42"/>
      <c r="AA256" s="67"/>
      <c r="AB256" s="67"/>
      <c r="AC256" s="67"/>
    </row>
    <row r="257" spans="1:68" ht="16.5" customHeight="1" x14ac:dyDescent="0.25">
      <c r="A257" s="623" t="s">
        <v>431</v>
      </c>
      <c r="B257" s="623"/>
      <c r="C257" s="623"/>
      <c r="D257" s="623"/>
      <c r="E257" s="623"/>
      <c r="F257" s="623"/>
      <c r="G257" s="623"/>
      <c r="H257" s="623"/>
      <c r="I257" s="623"/>
      <c r="J257" s="623"/>
      <c r="K257" s="623"/>
      <c r="L257" s="623"/>
      <c r="M257" s="623"/>
      <c r="N257" s="623"/>
      <c r="O257" s="623"/>
      <c r="P257" s="623"/>
      <c r="Q257" s="623"/>
      <c r="R257" s="623"/>
      <c r="S257" s="623"/>
      <c r="T257" s="623"/>
      <c r="U257" s="623"/>
      <c r="V257" s="623"/>
      <c r="W257" s="623"/>
      <c r="X257" s="623"/>
      <c r="Y257" s="623"/>
      <c r="Z257" s="623"/>
      <c r="AA257" s="65"/>
      <c r="AB257" s="65"/>
      <c r="AC257" s="79"/>
    </row>
    <row r="258" spans="1:68" ht="14.25" customHeight="1" x14ac:dyDescent="0.25">
      <c r="A258" s="624" t="s">
        <v>113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6"/>
      <c r="AB258" s="66"/>
      <c r="AC258" s="80"/>
    </row>
    <row r="259" spans="1:68" ht="27" customHeight="1" x14ac:dyDescent="0.25">
      <c r="A259" s="63" t="s">
        <v>432</v>
      </c>
      <c r="B259" s="63" t="s">
        <v>433</v>
      </c>
      <c r="C259" s="36">
        <v>4301011855</v>
      </c>
      <c r="D259" s="625">
        <v>4680115885837</v>
      </c>
      <c r="E259" s="625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118</v>
      </c>
      <c r="L259" s="37" t="s">
        <v>45</v>
      </c>
      <c r="M259" s="38" t="s">
        <v>117</v>
      </c>
      <c r="N259" s="38"/>
      <c r="O259" s="37">
        <v>55</v>
      </c>
      <c r="P259" s="7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627"/>
      <c r="R259" s="627"/>
      <c r="S259" s="627"/>
      <c r="T259" s="62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45</v>
      </c>
      <c r="AB259" s="69" t="s">
        <v>45</v>
      </c>
      <c r="AC259" s="326" t="s">
        <v>434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37.5" customHeight="1" x14ac:dyDescent="0.25">
      <c r="A260" s="63" t="s">
        <v>435</v>
      </c>
      <c r="B260" s="63" t="s">
        <v>436</v>
      </c>
      <c r="C260" s="36">
        <v>4301011853</v>
      </c>
      <c r="D260" s="625">
        <v>4680115885851</v>
      </c>
      <c r="E260" s="62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118</v>
      </c>
      <c r="L260" s="37" t="s">
        <v>45</v>
      </c>
      <c r="M260" s="38" t="s">
        <v>117</v>
      </c>
      <c r="N260" s="38"/>
      <c r="O260" s="37">
        <v>55</v>
      </c>
      <c r="P260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627"/>
      <c r="R260" s="627"/>
      <c r="S260" s="627"/>
      <c r="T260" s="628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437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27" customHeight="1" x14ac:dyDescent="0.25">
      <c r="A261" s="63" t="s">
        <v>438</v>
      </c>
      <c r="B261" s="63" t="s">
        <v>439</v>
      </c>
      <c r="C261" s="36">
        <v>4301011850</v>
      </c>
      <c r="D261" s="625">
        <v>4680115885806</v>
      </c>
      <c r="E261" s="625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118</v>
      </c>
      <c r="L261" s="37" t="s">
        <v>45</v>
      </c>
      <c r="M261" s="38" t="s">
        <v>117</v>
      </c>
      <c r="N261" s="38"/>
      <c r="O261" s="37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27"/>
      <c r="R261" s="627"/>
      <c r="S261" s="627"/>
      <c r="T261" s="628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440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441</v>
      </c>
      <c r="B262" s="63" t="s">
        <v>442</v>
      </c>
      <c r="C262" s="36">
        <v>4301011852</v>
      </c>
      <c r="D262" s="625">
        <v>4680115885844</v>
      </c>
      <c r="E262" s="625"/>
      <c r="F262" s="62">
        <v>0.4</v>
      </c>
      <c r="G262" s="37">
        <v>10</v>
      </c>
      <c r="H262" s="62">
        <v>4</v>
      </c>
      <c r="I262" s="62">
        <v>4.1900000000000004</v>
      </c>
      <c r="J262" s="37">
        <v>132</v>
      </c>
      <c r="K262" s="37" t="s">
        <v>123</v>
      </c>
      <c r="L262" s="37" t="s">
        <v>45</v>
      </c>
      <c r="M262" s="38" t="s">
        <v>117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IFERROR(IF(Y262=0,"",ROUNDUP(Y262/H262,0)*0.00902),"")</f>
        <v/>
      </c>
      <c r="AA262" s="68" t="s">
        <v>45</v>
      </c>
      <c r="AB262" s="69" t="s">
        <v>45</v>
      </c>
      <c r="AC262" s="332" t="s">
        <v>443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444</v>
      </c>
      <c r="B263" s="63" t="s">
        <v>445</v>
      </c>
      <c r="C263" s="36">
        <v>4301011851</v>
      </c>
      <c r="D263" s="625">
        <v>4680115885820</v>
      </c>
      <c r="E263" s="625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123</v>
      </c>
      <c r="L263" s="37" t="s">
        <v>45</v>
      </c>
      <c r="M263" s="38" t="s">
        <v>117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446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33"/>
      <c r="B264" s="633"/>
      <c r="C264" s="633"/>
      <c r="D264" s="633"/>
      <c r="E264" s="633"/>
      <c r="F264" s="633"/>
      <c r="G264" s="633"/>
      <c r="H264" s="633"/>
      <c r="I264" s="633"/>
      <c r="J264" s="633"/>
      <c r="K264" s="633"/>
      <c r="L264" s="633"/>
      <c r="M264" s="633"/>
      <c r="N264" s="633"/>
      <c r="O264" s="634"/>
      <c r="P264" s="630" t="s">
        <v>40</v>
      </c>
      <c r="Q264" s="631"/>
      <c r="R264" s="631"/>
      <c r="S264" s="631"/>
      <c r="T264" s="631"/>
      <c r="U264" s="631"/>
      <c r="V264" s="632"/>
      <c r="W264" s="42" t="s">
        <v>39</v>
      </c>
      <c r="X264" s="43">
        <f>IFERROR(X259/H259,"0")+IFERROR(X260/H260,"0")+IFERROR(X261/H261,"0")+IFERROR(X262/H262,"0")+IFERROR(X263/H263,"0")</f>
        <v>0</v>
      </c>
      <c r="Y264" s="43">
        <f>IFERROR(Y259/H259,"0")+IFERROR(Y260/H260,"0")+IFERROR(Y261/H261,"0")+IFERROR(Y262/H262,"0")+IFERROR(Y263/H263,"0")</f>
        <v>0</v>
      </c>
      <c r="Z264" s="43">
        <f>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633"/>
      <c r="B265" s="633"/>
      <c r="C265" s="633"/>
      <c r="D265" s="633"/>
      <c r="E265" s="633"/>
      <c r="F265" s="633"/>
      <c r="G265" s="633"/>
      <c r="H265" s="633"/>
      <c r="I265" s="633"/>
      <c r="J265" s="633"/>
      <c r="K265" s="633"/>
      <c r="L265" s="633"/>
      <c r="M265" s="633"/>
      <c r="N265" s="633"/>
      <c r="O265" s="634"/>
      <c r="P265" s="630" t="s">
        <v>40</v>
      </c>
      <c r="Q265" s="631"/>
      <c r="R265" s="631"/>
      <c r="S265" s="631"/>
      <c r="T265" s="631"/>
      <c r="U265" s="631"/>
      <c r="V265" s="632"/>
      <c r="W265" s="42" t="s">
        <v>0</v>
      </c>
      <c r="X265" s="43">
        <f>IFERROR(SUM(X259:X263),"0")</f>
        <v>0</v>
      </c>
      <c r="Y265" s="43">
        <f>IFERROR(SUM(Y259:Y263),"0")</f>
        <v>0</v>
      </c>
      <c r="Z265" s="42"/>
      <c r="AA265" s="67"/>
      <c r="AB265" s="67"/>
      <c r="AC265" s="67"/>
    </row>
    <row r="266" spans="1:68" ht="16.5" customHeight="1" x14ac:dyDescent="0.25">
      <c r="A266" s="623" t="s">
        <v>447</v>
      </c>
      <c r="B266" s="623"/>
      <c r="C266" s="623"/>
      <c r="D266" s="623"/>
      <c r="E266" s="623"/>
      <c r="F266" s="623"/>
      <c r="G266" s="623"/>
      <c r="H266" s="623"/>
      <c r="I266" s="623"/>
      <c r="J266" s="623"/>
      <c r="K266" s="623"/>
      <c r="L266" s="623"/>
      <c r="M266" s="623"/>
      <c r="N266" s="623"/>
      <c r="O266" s="623"/>
      <c r="P266" s="623"/>
      <c r="Q266" s="623"/>
      <c r="R266" s="623"/>
      <c r="S266" s="623"/>
      <c r="T266" s="623"/>
      <c r="U266" s="623"/>
      <c r="V266" s="623"/>
      <c r="W266" s="623"/>
      <c r="X266" s="623"/>
      <c r="Y266" s="623"/>
      <c r="Z266" s="623"/>
      <c r="AA266" s="65"/>
      <c r="AB266" s="65"/>
      <c r="AC266" s="79"/>
    </row>
    <row r="267" spans="1:68" ht="14.25" customHeight="1" x14ac:dyDescent="0.25">
      <c r="A267" s="624" t="s">
        <v>113</v>
      </c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4"/>
      <c r="P267" s="624"/>
      <c r="Q267" s="624"/>
      <c r="R267" s="624"/>
      <c r="S267" s="624"/>
      <c r="T267" s="624"/>
      <c r="U267" s="624"/>
      <c r="V267" s="624"/>
      <c r="W267" s="624"/>
      <c r="X267" s="624"/>
      <c r="Y267" s="624"/>
      <c r="Z267" s="624"/>
      <c r="AA267" s="66"/>
      <c r="AB267" s="66"/>
      <c r="AC267" s="80"/>
    </row>
    <row r="268" spans="1:68" ht="27" customHeight="1" x14ac:dyDescent="0.25">
      <c r="A268" s="63" t="s">
        <v>448</v>
      </c>
      <c r="B268" s="63" t="s">
        <v>449</v>
      </c>
      <c r="C268" s="36">
        <v>4301011223</v>
      </c>
      <c r="D268" s="625">
        <v>4607091383423</v>
      </c>
      <c r="E268" s="625"/>
      <c r="F268" s="62">
        <v>1.35</v>
      </c>
      <c r="G268" s="37">
        <v>8</v>
      </c>
      <c r="H268" s="62">
        <v>10.8</v>
      </c>
      <c r="I268" s="62">
        <v>11.305999999999999</v>
      </c>
      <c r="J268" s="37">
        <v>64</v>
      </c>
      <c r="K268" s="37" t="s">
        <v>118</v>
      </c>
      <c r="L268" s="37" t="s">
        <v>45</v>
      </c>
      <c r="M268" s="38" t="s">
        <v>92</v>
      </c>
      <c r="N268" s="38"/>
      <c r="O268" s="37">
        <v>35</v>
      </c>
      <c r="P268" s="75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627"/>
      <c r="R268" s="627"/>
      <c r="S268" s="627"/>
      <c r="T268" s="628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45</v>
      </c>
      <c r="AB268" s="69" t="s">
        <v>45</v>
      </c>
      <c r="AC268" s="336" t="s">
        <v>116</v>
      </c>
      <c r="AG268" s="78"/>
      <c r="AJ268" s="84" t="s">
        <v>45</v>
      </c>
      <c r="AK268" s="84">
        <v>0</v>
      </c>
      <c r="BB268" s="337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37.5" customHeight="1" x14ac:dyDescent="0.25">
      <c r="A269" s="63" t="s">
        <v>450</v>
      </c>
      <c r="B269" s="63" t="s">
        <v>451</v>
      </c>
      <c r="C269" s="36">
        <v>4301012199</v>
      </c>
      <c r="D269" s="625">
        <v>4680115886957</v>
      </c>
      <c r="E269" s="625"/>
      <c r="F269" s="62">
        <v>1.35</v>
      </c>
      <c r="G269" s="37">
        <v>8</v>
      </c>
      <c r="H269" s="62">
        <v>10.8</v>
      </c>
      <c r="I269" s="62">
        <v>11.21</v>
      </c>
      <c r="J269" s="37">
        <v>64</v>
      </c>
      <c r="K269" s="37" t="s">
        <v>118</v>
      </c>
      <c r="L269" s="37" t="s">
        <v>45</v>
      </c>
      <c r="M269" s="38" t="s">
        <v>92</v>
      </c>
      <c r="N269" s="38"/>
      <c r="O269" s="37">
        <v>30</v>
      </c>
      <c r="P269" s="75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627"/>
      <c r="R269" s="627"/>
      <c r="S269" s="627"/>
      <c r="T269" s="628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452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453</v>
      </c>
      <c r="B270" s="63" t="s">
        <v>454</v>
      </c>
      <c r="C270" s="36">
        <v>4301012098</v>
      </c>
      <c r="D270" s="625">
        <v>4680115885660</v>
      </c>
      <c r="E270" s="625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118</v>
      </c>
      <c r="L270" s="37" t="s">
        <v>45</v>
      </c>
      <c r="M270" s="38" t="s">
        <v>92</v>
      </c>
      <c r="N270" s="38"/>
      <c r="O270" s="37">
        <v>35</v>
      </c>
      <c r="P270" s="76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627"/>
      <c r="R270" s="627"/>
      <c r="S270" s="627"/>
      <c r="T270" s="628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400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455</v>
      </c>
      <c r="B271" s="63" t="s">
        <v>456</v>
      </c>
      <c r="C271" s="36">
        <v>4301012176</v>
      </c>
      <c r="D271" s="625">
        <v>4680115886773</v>
      </c>
      <c r="E271" s="625"/>
      <c r="F271" s="62">
        <v>0.9</v>
      </c>
      <c r="G271" s="37">
        <v>10</v>
      </c>
      <c r="H271" s="62">
        <v>9</v>
      </c>
      <c r="I271" s="62">
        <v>9.41</v>
      </c>
      <c r="J271" s="37">
        <v>64</v>
      </c>
      <c r="K271" s="37" t="s">
        <v>118</v>
      </c>
      <c r="L271" s="37" t="s">
        <v>45</v>
      </c>
      <c r="M271" s="38" t="s">
        <v>117</v>
      </c>
      <c r="N271" s="38"/>
      <c r="O271" s="37">
        <v>31</v>
      </c>
      <c r="P271" s="7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x14ac:dyDescent="0.2">
      <c r="A272" s="633"/>
      <c r="B272" s="633"/>
      <c r="C272" s="633"/>
      <c r="D272" s="633"/>
      <c r="E272" s="633"/>
      <c r="F272" s="633"/>
      <c r="G272" s="633"/>
      <c r="H272" s="633"/>
      <c r="I272" s="633"/>
      <c r="J272" s="633"/>
      <c r="K272" s="633"/>
      <c r="L272" s="633"/>
      <c r="M272" s="633"/>
      <c r="N272" s="633"/>
      <c r="O272" s="634"/>
      <c r="P272" s="630" t="s">
        <v>40</v>
      </c>
      <c r="Q272" s="631"/>
      <c r="R272" s="631"/>
      <c r="S272" s="631"/>
      <c r="T272" s="631"/>
      <c r="U272" s="631"/>
      <c r="V272" s="632"/>
      <c r="W272" s="42" t="s">
        <v>39</v>
      </c>
      <c r="X272" s="43">
        <f>IFERROR(X268/H268,"0")+IFERROR(X269/H269,"0")+IFERROR(X270/H270,"0")+IFERROR(X271/H271,"0")</f>
        <v>0</v>
      </c>
      <c r="Y272" s="43">
        <f>IFERROR(Y268/H268,"0")+IFERROR(Y269/H269,"0")+IFERROR(Y270/H270,"0")+IFERROR(Y271/H271,"0")</f>
        <v>0</v>
      </c>
      <c r="Z272" s="43">
        <f>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33"/>
      <c r="B273" s="633"/>
      <c r="C273" s="633"/>
      <c r="D273" s="633"/>
      <c r="E273" s="633"/>
      <c r="F273" s="633"/>
      <c r="G273" s="633"/>
      <c r="H273" s="633"/>
      <c r="I273" s="633"/>
      <c r="J273" s="633"/>
      <c r="K273" s="633"/>
      <c r="L273" s="633"/>
      <c r="M273" s="633"/>
      <c r="N273" s="633"/>
      <c r="O273" s="634"/>
      <c r="P273" s="630" t="s">
        <v>40</v>
      </c>
      <c r="Q273" s="631"/>
      <c r="R273" s="631"/>
      <c r="S273" s="631"/>
      <c r="T273" s="631"/>
      <c r="U273" s="631"/>
      <c r="V273" s="632"/>
      <c r="W273" s="42" t="s">
        <v>0</v>
      </c>
      <c r="X273" s="43">
        <f>IFERROR(SUM(X268:X271),"0")</f>
        <v>0</v>
      </c>
      <c r="Y273" s="43">
        <f>IFERROR(SUM(Y268:Y271),"0")</f>
        <v>0</v>
      </c>
      <c r="Z273" s="42"/>
      <c r="AA273" s="67"/>
      <c r="AB273" s="67"/>
      <c r="AC273" s="67"/>
    </row>
    <row r="274" spans="1:68" ht="16.5" customHeight="1" x14ac:dyDescent="0.25">
      <c r="A274" s="623" t="s">
        <v>458</v>
      </c>
      <c r="B274" s="623"/>
      <c r="C274" s="623"/>
      <c r="D274" s="623"/>
      <c r="E274" s="623"/>
      <c r="F274" s="623"/>
      <c r="G274" s="623"/>
      <c r="H274" s="623"/>
      <c r="I274" s="623"/>
      <c r="J274" s="623"/>
      <c r="K274" s="623"/>
      <c r="L274" s="623"/>
      <c r="M274" s="623"/>
      <c r="N274" s="623"/>
      <c r="O274" s="623"/>
      <c r="P274" s="623"/>
      <c r="Q274" s="623"/>
      <c r="R274" s="623"/>
      <c r="S274" s="623"/>
      <c r="T274" s="623"/>
      <c r="U274" s="623"/>
      <c r="V274" s="623"/>
      <c r="W274" s="623"/>
      <c r="X274" s="623"/>
      <c r="Y274" s="623"/>
      <c r="Z274" s="623"/>
      <c r="AA274" s="65"/>
      <c r="AB274" s="65"/>
      <c r="AC274" s="79"/>
    </row>
    <row r="275" spans="1:68" ht="14.25" customHeight="1" x14ac:dyDescent="0.25">
      <c r="A275" s="624" t="s">
        <v>88</v>
      </c>
      <c r="B275" s="624"/>
      <c r="C275" s="624"/>
      <c r="D275" s="624"/>
      <c r="E275" s="624"/>
      <c r="F275" s="624"/>
      <c r="G275" s="624"/>
      <c r="H275" s="624"/>
      <c r="I275" s="624"/>
      <c r="J275" s="624"/>
      <c r="K275" s="624"/>
      <c r="L275" s="624"/>
      <c r="M275" s="624"/>
      <c r="N275" s="624"/>
      <c r="O275" s="624"/>
      <c r="P275" s="624"/>
      <c r="Q275" s="624"/>
      <c r="R275" s="624"/>
      <c r="S275" s="624"/>
      <c r="T275" s="624"/>
      <c r="U275" s="624"/>
      <c r="V275" s="624"/>
      <c r="W275" s="624"/>
      <c r="X275" s="624"/>
      <c r="Y275" s="624"/>
      <c r="Z275" s="624"/>
      <c r="AA275" s="66"/>
      <c r="AB275" s="66"/>
      <c r="AC275" s="80"/>
    </row>
    <row r="276" spans="1:68" ht="27" customHeight="1" x14ac:dyDescent="0.25">
      <c r="A276" s="63" t="s">
        <v>459</v>
      </c>
      <c r="B276" s="63" t="s">
        <v>460</v>
      </c>
      <c r="C276" s="36">
        <v>4301051893</v>
      </c>
      <c r="D276" s="625">
        <v>4680115886186</v>
      </c>
      <c r="E276" s="625"/>
      <c r="F276" s="62">
        <v>0.3</v>
      </c>
      <c r="G276" s="37">
        <v>6</v>
      </c>
      <c r="H276" s="62">
        <v>1.8</v>
      </c>
      <c r="I276" s="62">
        <v>1.98</v>
      </c>
      <c r="J276" s="37">
        <v>182</v>
      </c>
      <c r="K276" s="37" t="s">
        <v>83</v>
      </c>
      <c r="L276" s="37" t="s">
        <v>45</v>
      </c>
      <c r="M276" s="38" t="s">
        <v>92</v>
      </c>
      <c r="N276" s="38"/>
      <c r="O276" s="37">
        <v>45</v>
      </c>
      <c r="P276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627"/>
      <c r="R276" s="627"/>
      <c r="S276" s="627"/>
      <c r="T276" s="628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IFERROR(IF(Y276=0,"",ROUNDUP(Y276/H276,0)*0.00651),"")</f>
        <v/>
      </c>
      <c r="AA276" s="68" t="s">
        <v>45</v>
      </c>
      <c r="AB276" s="69" t="s">
        <v>45</v>
      </c>
      <c r="AC276" s="344" t="s">
        <v>461</v>
      </c>
      <c r="AG276" s="78"/>
      <c r="AJ276" s="84" t="s">
        <v>45</v>
      </c>
      <c r="AK276" s="84">
        <v>0</v>
      </c>
      <c r="BB276" s="345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462</v>
      </c>
      <c r="B277" s="63" t="s">
        <v>463</v>
      </c>
      <c r="C277" s="36">
        <v>4301051795</v>
      </c>
      <c r="D277" s="625">
        <v>4680115881228</v>
      </c>
      <c r="E277" s="625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83</v>
      </c>
      <c r="L277" s="37" t="s">
        <v>241</v>
      </c>
      <c r="M277" s="38" t="s">
        <v>99</v>
      </c>
      <c r="N277" s="38"/>
      <c r="O277" s="37">
        <v>40</v>
      </c>
      <c r="P277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627"/>
      <c r="R277" s="627"/>
      <c r="S277" s="627"/>
      <c r="T277" s="628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464</v>
      </c>
      <c r="AG277" s="78"/>
      <c r="AJ277" s="84" t="s">
        <v>120</v>
      </c>
      <c r="AK277" s="84">
        <v>33.6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465</v>
      </c>
      <c r="B278" s="63" t="s">
        <v>466</v>
      </c>
      <c r="C278" s="36">
        <v>4301051388</v>
      </c>
      <c r="D278" s="625">
        <v>4680115881211</v>
      </c>
      <c r="E278" s="625"/>
      <c r="F278" s="62">
        <v>0.4</v>
      </c>
      <c r="G278" s="37">
        <v>6</v>
      </c>
      <c r="H278" s="62">
        <v>2.4</v>
      </c>
      <c r="I278" s="62">
        <v>2.58</v>
      </c>
      <c r="J278" s="37">
        <v>182</v>
      </c>
      <c r="K278" s="37" t="s">
        <v>83</v>
      </c>
      <c r="L278" s="37" t="s">
        <v>241</v>
      </c>
      <c r="M278" s="38" t="s">
        <v>92</v>
      </c>
      <c r="N278" s="38"/>
      <c r="O278" s="37">
        <v>45</v>
      </c>
      <c r="P278" s="7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627"/>
      <c r="R278" s="627"/>
      <c r="S278" s="627"/>
      <c r="T278" s="628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120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33"/>
      <c r="B279" s="633"/>
      <c r="C279" s="633"/>
      <c r="D279" s="633"/>
      <c r="E279" s="633"/>
      <c r="F279" s="633"/>
      <c r="G279" s="633"/>
      <c r="H279" s="633"/>
      <c r="I279" s="633"/>
      <c r="J279" s="633"/>
      <c r="K279" s="633"/>
      <c r="L279" s="633"/>
      <c r="M279" s="633"/>
      <c r="N279" s="633"/>
      <c r="O279" s="634"/>
      <c r="P279" s="630" t="s">
        <v>40</v>
      </c>
      <c r="Q279" s="631"/>
      <c r="R279" s="631"/>
      <c r="S279" s="631"/>
      <c r="T279" s="631"/>
      <c r="U279" s="631"/>
      <c r="V279" s="632"/>
      <c r="W279" s="42" t="s">
        <v>39</v>
      </c>
      <c r="X279" s="43">
        <f>IFERROR(X276/H276,"0")+IFERROR(X277/H277,"0")+IFERROR(X278/H278,"0")</f>
        <v>0</v>
      </c>
      <c r="Y279" s="43">
        <f>IFERROR(Y276/H276,"0")+IFERROR(Y277/H277,"0")+IFERROR(Y278/H278,"0")</f>
        <v>0</v>
      </c>
      <c r="Z279" s="43">
        <f>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33"/>
      <c r="B280" s="633"/>
      <c r="C280" s="633"/>
      <c r="D280" s="633"/>
      <c r="E280" s="633"/>
      <c r="F280" s="633"/>
      <c r="G280" s="633"/>
      <c r="H280" s="633"/>
      <c r="I280" s="633"/>
      <c r="J280" s="633"/>
      <c r="K280" s="633"/>
      <c r="L280" s="633"/>
      <c r="M280" s="633"/>
      <c r="N280" s="633"/>
      <c r="O280" s="634"/>
      <c r="P280" s="630" t="s">
        <v>40</v>
      </c>
      <c r="Q280" s="631"/>
      <c r="R280" s="631"/>
      <c r="S280" s="631"/>
      <c r="T280" s="631"/>
      <c r="U280" s="631"/>
      <c r="V280" s="632"/>
      <c r="W280" s="42" t="s">
        <v>0</v>
      </c>
      <c r="X280" s="43">
        <f>IFERROR(SUM(X276:X278),"0")</f>
        <v>0</v>
      </c>
      <c r="Y280" s="43">
        <f>IFERROR(SUM(Y276:Y278),"0")</f>
        <v>0</v>
      </c>
      <c r="Z280" s="42"/>
      <c r="AA280" s="67"/>
      <c r="AB280" s="67"/>
      <c r="AC280" s="67"/>
    </row>
    <row r="281" spans="1:68" ht="16.5" customHeight="1" x14ac:dyDescent="0.25">
      <c r="A281" s="623" t="s">
        <v>467</v>
      </c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3"/>
      <c r="P281" s="623"/>
      <c r="Q281" s="623"/>
      <c r="R281" s="623"/>
      <c r="S281" s="623"/>
      <c r="T281" s="623"/>
      <c r="U281" s="623"/>
      <c r="V281" s="623"/>
      <c r="W281" s="623"/>
      <c r="X281" s="623"/>
      <c r="Y281" s="623"/>
      <c r="Z281" s="623"/>
      <c r="AA281" s="65"/>
      <c r="AB281" s="65"/>
      <c r="AC281" s="79"/>
    </row>
    <row r="282" spans="1:68" ht="14.25" customHeight="1" x14ac:dyDescent="0.25">
      <c r="A282" s="624" t="s">
        <v>78</v>
      </c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4"/>
      <c r="P282" s="624"/>
      <c r="Q282" s="624"/>
      <c r="R282" s="624"/>
      <c r="S282" s="624"/>
      <c r="T282" s="624"/>
      <c r="U282" s="624"/>
      <c r="V282" s="624"/>
      <c r="W282" s="624"/>
      <c r="X282" s="624"/>
      <c r="Y282" s="624"/>
      <c r="Z282" s="624"/>
      <c r="AA282" s="66"/>
      <c r="AB282" s="66"/>
      <c r="AC282" s="80"/>
    </row>
    <row r="283" spans="1:68" ht="27" customHeight="1" x14ac:dyDescent="0.25">
      <c r="A283" s="63" t="s">
        <v>468</v>
      </c>
      <c r="B283" s="63" t="s">
        <v>469</v>
      </c>
      <c r="C283" s="36">
        <v>4301031307</v>
      </c>
      <c r="D283" s="625">
        <v>4680115880344</v>
      </c>
      <c r="E283" s="625"/>
      <c r="F283" s="62">
        <v>0.28000000000000003</v>
      </c>
      <c r="G283" s="37">
        <v>6</v>
      </c>
      <c r="H283" s="62">
        <v>1.68</v>
      </c>
      <c r="I283" s="62">
        <v>1.78</v>
      </c>
      <c r="J283" s="37">
        <v>234</v>
      </c>
      <c r="K283" s="37" t="s">
        <v>87</v>
      </c>
      <c r="L283" s="37" t="s">
        <v>45</v>
      </c>
      <c r="M283" s="38" t="s">
        <v>82</v>
      </c>
      <c r="N283" s="38"/>
      <c r="O283" s="37">
        <v>40</v>
      </c>
      <c r="P283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627"/>
      <c r="R283" s="627"/>
      <c r="S283" s="627"/>
      <c r="T283" s="628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IFERROR(IF(Y283=0,"",ROUNDUP(Y283/H283,0)*0.00502),"")</f>
        <v/>
      </c>
      <c r="AA283" s="68" t="s">
        <v>45</v>
      </c>
      <c r="AB283" s="69" t="s">
        <v>45</v>
      </c>
      <c r="AC283" s="350" t="s">
        <v>470</v>
      </c>
      <c r="AG283" s="78"/>
      <c r="AJ283" s="84" t="s">
        <v>45</v>
      </c>
      <c r="AK283" s="84">
        <v>0</v>
      </c>
      <c r="BB283" s="351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471</v>
      </c>
      <c r="B284" s="63" t="s">
        <v>472</v>
      </c>
      <c r="C284" s="36">
        <v>4301031429</v>
      </c>
      <c r="D284" s="625">
        <v>4680115886919</v>
      </c>
      <c r="E284" s="625"/>
      <c r="F284" s="62">
        <v>0.4</v>
      </c>
      <c r="G284" s="37">
        <v>6</v>
      </c>
      <c r="H284" s="62">
        <v>2.4</v>
      </c>
      <c r="I284" s="62">
        <v>2.58</v>
      </c>
      <c r="J284" s="37">
        <v>182</v>
      </c>
      <c r="K284" s="37" t="s">
        <v>83</v>
      </c>
      <c r="L284" s="37" t="s">
        <v>45</v>
      </c>
      <c r="M284" s="38" t="s">
        <v>82</v>
      </c>
      <c r="N284" s="38"/>
      <c r="O284" s="37">
        <v>40</v>
      </c>
      <c r="P284" s="7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627"/>
      <c r="R284" s="627"/>
      <c r="S284" s="627"/>
      <c r="T284" s="62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IFERROR(IF(Y284=0,"",ROUNDUP(Y284/H284,0)*0.00651),"")</f>
        <v/>
      </c>
      <c r="AA284" s="68" t="s">
        <v>45</v>
      </c>
      <c r="AB284" s="69" t="s">
        <v>45</v>
      </c>
      <c r="AC284" s="352" t="s">
        <v>473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3"/>
      <c r="B285" s="633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4"/>
      <c r="P285" s="630" t="s">
        <v>40</v>
      </c>
      <c r="Q285" s="631"/>
      <c r="R285" s="631"/>
      <c r="S285" s="631"/>
      <c r="T285" s="631"/>
      <c r="U285" s="631"/>
      <c r="V285" s="632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3"/>
      <c r="B286" s="633"/>
      <c r="C286" s="633"/>
      <c r="D286" s="633"/>
      <c r="E286" s="633"/>
      <c r="F286" s="633"/>
      <c r="G286" s="633"/>
      <c r="H286" s="633"/>
      <c r="I286" s="633"/>
      <c r="J286" s="633"/>
      <c r="K286" s="633"/>
      <c r="L286" s="633"/>
      <c r="M286" s="633"/>
      <c r="N286" s="633"/>
      <c r="O286" s="634"/>
      <c r="P286" s="630" t="s">
        <v>40</v>
      </c>
      <c r="Q286" s="631"/>
      <c r="R286" s="631"/>
      <c r="S286" s="631"/>
      <c r="T286" s="631"/>
      <c r="U286" s="631"/>
      <c r="V286" s="632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4.25" customHeight="1" x14ac:dyDescent="0.25">
      <c r="A287" s="624" t="s">
        <v>88</v>
      </c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4"/>
      <c r="P287" s="624"/>
      <c r="Q287" s="624"/>
      <c r="R287" s="624"/>
      <c r="S287" s="624"/>
      <c r="T287" s="624"/>
      <c r="U287" s="624"/>
      <c r="V287" s="624"/>
      <c r="W287" s="624"/>
      <c r="X287" s="624"/>
      <c r="Y287" s="624"/>
      <c r="Z287" s="624"/>
      <c r="AA287" s="66"/>
      <c r="AB287" s="66"/>
      <c r="AC287" s="80"/>
    </row>
    <row r="288" spans="1:68" ht="37.5" customHeight="1" x14ac:dyDescent="0.25">
      <c r="A288" s="63" t="s">
        <v>474</v>
      </c>
      <c r="B288" s="63" t="s">
        <v>475</v>
      </c>
      <c r="C288" s="36">
        <v>4301051782</v>
      </c>
      <c r="D288" s="625">
        <v>4680115884618</v>
      </c>
      <c r="E288" s="625"/>
      <c r="F288" s="62">
        <v>0.6</v>
      </c>
      <c r="G288" s="37">
        <v>6</v>
      </c>
      <c r="H288" s="62">
        <v>3.6</v>
      </c>
      <c r="I288" s="62">
        <v>3.79</v>
      </c>
      <c r="J288" s="37">
        <v>132</v>
      </c>
      <c r="K288" s="37" t="s">
        <v>123</v>
      </c>
      <c r="L288" s="37" t="s">
        <v>45</v>
      </c>
      <c r="M288" s="38" t="s">
        <v>92</v>
      </c>
      <c r="N288" s="38"/>
      <c r="O288" s="37">
        <v>45</v>
      </c>
      <c r="P288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627"/>
      <c r="R288" s="627"/>
      <c r="S288" s="627"/>
      <c r="T288" s="628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54" t="s">
        <v>476</v>
      </c>
      <c r="AG288" s="78"/>
      <c r="AJ288" s="84" t="s">
        <v>45</v>
      </c>
      <c r="AK288" s="84">
        <v>0</v>
      </c>
      <c r="BB288" s="355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27" customHeight="1" x14ac:dyDescent="0.25">
      <c r="A289" s="63" t="s">
        <v>477</v>
      </c>
      <c r="B289" s="63" t="s">
        <v>478</v>
      </c>
      <c r="C289" s="36">
        <v>4301052057</v>
      </c>
      <c r="D289" s="625">
        <v>4680115887114</v>
      </c>
      <c r="E289" s="625"/>
      <c r="F289" s="62">
        <v>0.55000000000000004</v>
      </c>
      <c r="G289" s="37">
        <v>6</v>
      </c>
      <c r="H289" s="62">
        <v>3.3</v>
      </c>
      <c r="I289" s="62">
        <v>3.49</v>
      </c>
      <c r="J289" s="37">
        <v>132</v>
      </c>
      <c r="K289" s="37" t="s">
        <v>123</v>
      </c>
      <c r="L289" s="37" t="s">
        <v>45</v>
      </c>
      <c r="M289" s="38" t="s">
        <v>92</v>
      </c>
      <c r="N289" s="38"/>
      <c r="O289" s="37">
        <v>45</v>
      </c>
      <c r="P289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627"/>
      <c r="R289" s="627"/>
      <c r="S289" s="627"/>
      <c r="T289" s="62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479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x14ac:dyDescent="0.2">
      <c r="A290" s="633"/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4"/>
      <c r="P290" s="630" t="s">
        <v>40</v>
      </c>
      <c r="Q290" s="631"/>
      <c r="R290" s="631"/>
      <c r="S290" s="631"/>
      <c r="T290" s="631"/>
      <c r="U290" s="631"/>
      <c r="V290" s="632"/>
      <c r="W290" s="42" t="s">
        <v>39</v>
      </c>
      <c r="X290" s="43">
        <f>IFERROR(X288/H288,"0")+IFERROR(X289/H289,"0")</f>
        <v>0</v>
      </c>
      <c r="Y290" s="43">
        <f>IFERROR(Y288/H288,"0")+IFERROR(Y289/H289,"0")</f>
        <v>0</v>
      </c>
      <c r="Z290" s="43">
        <f>IFERROR(IF(Z288="",0,Z288),"0")+IFERROR(IF(Z289="",0,Z289),"0")</f>
        <v>0</v>
      </c>
      <c r="AA290" s="67"/>
      <c r="AB290" s="67"/>
      <c r="AC290" s="67"/>
    </row>
    <row r="291" spans="1:68" x14ac:dyDescent="0.2">
      <c r="A291" s="633"/>
      <c r="B291" s="633"/>
      <c r="C291" s="633"/>
      <c r="D291" s="633"/>
      <c r="E291" s="633"/>
      <c r="F291" s="633"/>
      <c r="G291" s="633"/>
      <c r="H291" s="633"/>
      <c r="I291" s="633"/>
      <c r="J291" s="633"/>
      <c r="K291" s="633"/>
      <c r="L291" s="633"/>
      <c r="M291" s="633"/>
      <c r="N291" s="633"/>
      <c r="O291" s="634"/>
      <c r="P291" s="630" t="s">
        <v>40</v>
      </c>
      <c r="Q291" s="631"/>
      <c r="R291" s="631"/>
      <c r="S291" s="631"/>
      <c r="T291" s="631"/>
      <c r="U291" s="631"/>
      <c r="V291" s="632"/>
      <c r="W291" s="42" t="s">
        <v>0</v>
      </c>
      <c r="X291" s="43">
        <f>IFERROR(SUM(X288:X289),"0")</f>
        <v>0</v>
      </c>
      <c r="Y291" s="43">
        <f>IFERROR(SUM(Y288:Y289),"0")</f>
        <v>0</v>
      </c>
      <c r="Z291" s="42"/>
      <c r="AA291" s="67"/>
      <c r="AB291" s="67"/>
      <c r="AC291" s="67"/>
    </row>
    <row r="292" spans="1:68" ht="16.5" customHeight="1" x14ac:dyDescent="0.25">
      <c r="A292" s="623" t="s">
        <v>480</v>
      </c>
      <c r="B292" s="623"/>
      <c r="C292" s="623"/>
      <c r="D292" s="623"/>
      <c r="E292" s="623"/>
      <c r="F292" s="623"/>
      <c r="G292" s="623"/>
      <c r="H292" s="623"/>
      <c r="I292" s="623"/>
      <c r="J292" s="623"/>
      <c r="K292" s="623"/>
      <c r="L292" s="623"/>
      <c r="M292" s="623"/>
      <c r="N292" s="623"/>
      <c r="O292" s="623"/>
      <c r="P292" s="623"/>
      <c r="Q292" s="623"/>
      <c r="R292" s="623"/>
      <c r="S292" s="623"/>
      <c r="T292" s="623"/>
      <c r="U292" s="623"/>
      <c r="V292" s="623"/>
      <c r="W292" s="623"/>
      <c r="X292" s="623"/>
      <c r="Y292" s="623"/>
      <c r="Z292" s="623"/>
      <c r="AA292" s="65"/>
      <c r="AB292" s="65"/>
      <c r="AC292" s="79"/>
    </row>
    <row r="293" spans="1:68" ht="14.25" customHeight="1" x14ac:dyDescent="0.25">
      <c r="A293" s="624" t="s">
        <v>113</v>
      </c>
      <c r="B293" s="624"/>
      <c r="C293" s="624"/>
      <c r="D293" s="624"/>
      <c r="E293" s="624"/>
      <c r="F293" s="624"/>
      <c r="G293" s="624"/>
      <c r="H293" s="624"/>
      <c r="I293" s="624"/>
      <c r="J293" s="624"/>
      <c r="K293" s="624"/>
      <c r="L293" s="624"/>
      <c r="M293" s="624"/>
      <c r="N293" s="624"/>
      <c r="O293" s="624"/>
      <c r="P293" s="624"/>
      <c r="Q293" s="624"/>
      <c r="R293" s="624"/>
      <c r="S293" s="624"/>
      <c r="T293" s="624"/>
      <c r="U293" s="624"/>
      <c r="V293" s="624"/>
      <c r="W293" s="624"/>
      <c r="X293" s="624"/>
      <c r="Y293" s="624"/>
      <c r="Z293" s="624"/>
      <c r="AA293" s="66"/>
      <c r="AB293" s="66"/>
      <c r="AC293" s="80"/>
    </row>
    <row r="294" spans="1:68" ht="27" customHeight="1" x14ac:dyDescent="0.25">
      <c r="A294" s="63" t="s">
        <v>481</v>
      </c>
      <c r="B294" s="63" t="s">
        <v>482</v>
      </c>
      <c r="C294" s="36">
        <v>4301012024</v>
      </c>
      <c r="D294" s="625">
        <v>4680115885615</v>
      </c>
      <c r="E294" s="625"/>
      <c r="F294" s="62">
        <v>1.35</v>
      </c>
      <c r="G294" s="37">
        <v>8</v>
      </c>
      <c r="H294" s="62">
        <v>10.8</v>
      </c>
      <c r="I294" s="62">
        <v>11.21</v>
      </c>
      <c r="J294" s="37">
        <v>64</v>
      </c>
      <c r="K294" s="37" t="s">
        <v>118</v>
      </c>
      <c r="L294" s="37" t="s">
        <v>45</v>
      </c>
      <c r="M294" s="38" t="s">
        <v>92</v>
      </c>
      <c r="N294" s="38"/>
      <c r="O294" s="37">
        <v>55</v>
      </c>
      <c r="P294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627"/>
      <c r="R294" s="627"/>
      <c r="S294" s="627"/>
      <c r="T294" s="628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58" t="s">
        <v>483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37.5" customHeight="1" x14ac:dyDescent="0.25">
      <c r="A295" s="63" t="s">
        <v>484</v>
      </c>
      <c r="B295" s="63" t="s">
        <v>485</v>
      </c>
      <c r="C295" s="36">
        <v>4301011858</v>
      </c>
      <c r="D295" s="625">
        <v>4680115885646</v>
      </c>
      <c r="E295" s="625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118</v>
      </c>
      <c r="L295" s="37" t="s">
        <v>45</v>
      </c>
      <c r="M295" s="38" t="s">
        <v>117</v>
      </c>
      <c r="N295" s="38"/>
      <c r="O295" s="37">
        <v>55</v>
      </c>
      <c r="P295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627"/>
      <c r="R295" s="627"/>
      <c r="S295" s="627"/>
      <c r="T295" s="628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486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487</v>
      </c>
      <c r="B296" s="63" t="s">
        <v>488</v>
      </c>
      <c r="C296" s="36">
        <v>4301012016</v>
      </c>
      <c r="D296" s="625">
        <v>4680115885554</v>
      </c>
      <c r="E296" s="625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118</v>
      </c>
      <c r="L296" s="37" t="s">
        <v>45</v>
      </c>
      <c r="M296" s="38" t="s">
        <v>92</v>
      </c>
      <c r="N296" s="38"/>
      <c r="O296" s="37">
        <v>55</v>
      </c>
      <c r="P296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627"/>
      <c r="R296" s="627"/>
      <c r="S296" s="627"/>
      <c r="T296" s="628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489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490</v>
      </c>
      <c r="B297" s="63" t="s">
        <v>491</v>
      </c>
      <c r="C297" s="36">
        <v>4301011857</v>
      </c>
      <c r="D297" s="625">
        <v>4680115885622</v>
      </c>
      <c r="E297" s="625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123</v>
      </c>
      <c r="L297" s="37" t="s">
        <v>45</v>
      </c>
      <c r="M297" s="38" t="s">
        <v>117</v>
      </c>
      <c r="N297" s="38"/>
      <c r="O297" s="37">
        <v>55</v>
      </c>
      <c r="P297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64" t="s">
        <v>483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492</v>
      </c>
      <c r="B298" s="63" t="s">
        <v>493</v>
      </c>
      <c r="C298" s="36">
        <v>4301011859</v>
      </c>
      <c r="D298" s="625">
        <v>4680115885608</v>
      </c>
      <c r="E298" s="625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123</v>
      </c>
      <c r="L298" s="37" t="s">
        <v>45</v>
      </c>
      <c r="M298" s="38" t="s">
        <v>117</v>
      </c>
      <c r="N298" s="38"/>
      <c r="O298" s="37">
        <v>55</v>
      </c>
      <c r="P298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494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39</v>
      </c>
      <c r="X299" s="43">
        <f>IFERROR(X294/H294,"0")+IFERROR(X295/H295,"0")+IFERROR(X296/H296,"0")+IFERROR(X297/H297,"0")+IFERROR(X298/H298,"0")</f>
        <v>0</v>
      </c>
      <c r="Y299" s="43">
        <f>IFERROR(Y294/H294,"0")+IFERROR(Y295/H295,"0")+IFERROR(Y296/H296,"0")+IFERROR(Y297/H297,"0")+IFERROR(Y298/H298,"0")</f>
        <v>0</v>
      </c>
      <c r="Z299" s="43">
        <f>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633"/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4"/>
      <c r="P300" s="630" t="s">
        <v>40</v>
      </c>
      <c r="Q300" s="631"/>
      <c r="R300" s="631"/>
      <c r="S300" s="631"/>
      <c r="T300" s="631"/>
      <c r="U300" s="631"/>
      <c r="V300" s="632"/>
      <c r="W300" s="42" t="s">
        <v>0</v>
      </c>
      <c r="X300" s="43">
        <f>IFERROR(SUM(X294:X298),"0")</f>
        <v>0</v>
      </c>
      <c r="Y300" s="43">
        <f>IFERROR(SUM(Y294:Y298),"0")</f>
        <v>0</v>
      </c>
      <c r="Z300" s="42"/>
      <c r="AA300" s="67"/>
      <c r="AB300" s="67"/>
      <c r="AC300" s="67"/>
    </row>
    <row r="301" spans="1:68" ht="14.25" customHeight="1" x14ac:dyDescent="0.25">
      <c r="A301" s="624" t="s">
        <v>78</v>
      </c>
      <c r="B301" s="624"/>
      <c r="C301" s="624"/>
      <c r="D301" s="624"/>
      <c r="E301" s="624"/>
      <c r="F301" s="624"/>
      <c r="G301" s="624"/>
      <c r="H301" s="624"/>
      <c r="I301" s="624"/>
      <c r="J301" s="624"/>
      <c r="K301" s="624"/>
      <c r="L301" s="624"/>
      <c r="M301" s="624"/>
      <c r="N301" s="624"/>
      <c r="O301" s="624"/>
      <c r="P301" s="624"/>
      <c r="Q301" s="624"/>
      <c r="R301" s="624"/>
      <c r="S301" s="624"/>
      <c r="T301" s="624"/>
      <c r="U301" s="624"/>
      <c r="V301" s="624"/>
      <c r="W301" s="624"/>
      <c r="X301" s="624"/>
      <c r="Y301" s="624"/>
      <c r="Z301" s="624"/>
      <c r="AA301" s="66"/>
      <c r="AB301" s="66"/>
      <c r="AC301" s="80"/>
    </row>
    <row r="302" spans="1:68" ht="27" customHeight="1" x14ac:dyDescent="0.25">
      <c r="A302" s="63" t="s">
        <v>495</v>
      </c>
      <c r="B302" s="63" t="s">
        <v>496</v>
      </c>
      <c r="C302" s="36">
        <v>4301030878</v>
      </c>
      <c r="D302" s="625">
        <v>4607091387193</v>
      </c>
      <c r="E302" s="625"/>
      <c r="F302" s="62">
        <v>0.7</v>
      </c>
      <c r="G302" s="37">
        <v>6</v>
      </c>
      <c r="H302" s="62">
        <v>4.2</v>
      </c>
      <c r="I302" s="62">
        <v>4.45</v>
      </c>
      <c r="J302" s="37">
        <v>132</v>
      </c>
      <c r="K302" s="37" t="s">
        <v>123</v>
      </c>
      <c r="L302" s="37" t="s">
        <v>45</v>
      </c>
      <c r="M302" s="38" t="s">
        <v>82</v>
      </c>
      <c r="N302" s="38"/>
      <c r="O302" s="37">
        <v>35</v>
      </c>
      <c r="P302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627"/>
      <c r="R302" s="627"/>
      <c r="S302" s="627"/>
      <c r="T302" s="62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ref="Y302:Y307" si="26"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68" t="s">
        <v>497</v>
      </c>
      <c r="AG302" s="78"/>
      <c r="AJ302" s="84" t="s">
        <v>45</v>
      </c>
      <c r="AK302" s="84">
        <v>0</v>
      </c>
      <c r="BB302" s="369" t="s">
        <v>66</v>
      </c>
      <c r="BM302" s="78">
        <f t="shared" ref="BM302:BM307" si="27">IFERROR(X302*I302/H302,"0")</f>
        <v>0</v>
      </c>
      <c r="BN302" s="78">
        <f t="shared" ref="BN302:BN307" si="28">IFERROR(Y302*I302/H302,"0")</f>
        <v>0</v>
      </c>
      <c r="BO302" s="78">
        <f t="shared" ref="BO302:BO307" si="29">IFERROR(1/J302*(X302/H302),"0")</f>
        <v>0</v>
      </c>
      <c r="BP302" s="78">
        <f t="shared" ref="BP302:BP307" si="30">IFERROR(1/J302*(Y302/H302),"0")</f>
        <v>0</v>
      </c>
    </row>
    <row r="303" spans="1:68" ht="27" customHeight="1" x14ac:dyDescent="0.25">
      <c r="A303" s="63" t="s">
        <v>498</v>
      </c>
      <c r="B303" s="63" t="s">
        <v>499</v>
      </c>
      <c r="C303" s="36">
        <v>4301031153</v>
      </c>
      <c r="D303" s="625">
        <v>4607091387230</v>
      </c>
      <c r="E303" s="625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123</v>
      </c>
      <c r="L303" s="37" t="s">
        <v>45</v>
      </c>
      <c r="M303" s="38" t="s">
        <v>82</v>
      </c>
      <c r="N303" s="38"/>
      <c r="O303" s="37">
        <v>40</v>
      </c>
      <c r="P303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627"/>
      <c r="R303" s="627"/>
      <c r="S303" s="627"/>
      <c r="T303" s="62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500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501</v>
      </c>
      <c r="B304" s="63" t="s">
        <v>502</v>
      </c>
      <c r="C304" s="36">
        <v>4301031154</v>
      </c>
      <c r="D304" s="625">
        <v>4607091387292</v>
      </c>
      <c r="E304" s="625"/>
      <c r="F304" s="62">
        <v>0.73</v>
      </c>
      <c r="G304" s="37">
        <v>6</v>
      </c>
      <c r="H304" s="62">
        <v>4.38</v>
      </c>
      <c r="I304" s="62">
        <v>4.63</v>
      </c>
      <c r="J304" s="37">
        <v>132</v>
      </c>
      <c r="K304" s="37" t="s">
        <v>123</v>
      </c>
      <c r="L304" s="37" t="s">
        <v>45</v>
      </c>
      <c r="M304" s="38" t="s">
        <v>82</v>
      </c>
      <c r="N304" s="38"/>
      <c r="O304" s="37">
        <v>45</v>
      </c>
      <c r="P304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627"/>
      <c r="R304" s="627"/>
      <c r="S304" s="627"/>
      <c r="T304" s="628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503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504</v>
      </c>
      <c r="B305" s="63" t="s">
        <v>505</v>
      </c>
      <c r="C305" s="36">
        <v>4301031152</v>
      </c>
      <c r="D305" s="625">
        <v>4607091387285</v>
      </c>
      <c r="E305" s="625"/>
      <c r="F305" s="62">
        <v>0.35</v>
      </c>
      <c r="G305" s="37">
        <v>6</v>
      </c>
      <c r="H305" s="62">
        <v>2.1</v>
      </c>
      <c r="I305" s="62">
        <v>2.23</v>
      </c>
      <c r="J305" s="37">
        <v>234</v>
      </c>
      <c r="K305" s="37" t="s">
        <v>87</v>
      </c>
      <c r="L305" s="37" t="s">
        <v>45</v>
      </c>
      <c r="M305" s="38" t="s">
        <v>82</v>
      </c>
      <c r="N305" s="38"/>
      <c r="O305" s="37">
        <v>40</v>
      </c>
      <c r="P305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IFERROR(IF(Y305=0,"",ROUNDUP(Y305/H305,0)*0.00502),"")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506</v>
      </c>
      <c r="B306" s="63" t="s">
        <v>507</v>
      </c>
      <c r="C306" s="36">
        <v>4301031305</v>
      </c>
      <c r="D306" s="625">
        <v>4607091389845</v>
      </c>
      <c r="E306" s="625"/>
      <c r="F306" s="62">
        <v>0.35</v>
      </c>
      <c r="G306" s="37">
        <v>6</v>
      </c>
      <c r="H306" s="62">
        <v>2.1</v>
      </c>
      <c r="I306" s="62">
        <v>2.2000000000000002</v>
      </c>
      <c r="J306" s="37">
        <v>234</v>
      </c>
      <c r="K306" s="37" t="s">
        <v>87</v>
      </c>
      <c r="L306" s="37" t="s">
        <v>45</v>
      </c>
      <c r="M306" s="38" t="s">
        <v>82</v>
      </c>
      <c r="N306" s="38"/>
      <c r="O306" s="37">
        <v>40</v>
      </c>
      <c r="P30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508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509</v>
      </c>
      <c r="B307" s="63" t="s">
        <v>510</v>
      </c>
      <c r="C307" s="36">
        <v>4301031066</v>
      </c>
      <c r="D307" s="625">
        <v>4607091383836</v>
      </c>
      <c r="E307" s="625"/>
      <c r="F307" s="62">
        <v>0.3</v>
      </c>
      <c r="G307" s="37">
        <v>6</v>
      </c>
      <c r="H307" s="62">
        <v>1.8</v>
      </c>
      <c r="I307" s="62">
        <v>2.028</v>
      </c>
      <c r="J307" s="37">
        <v>182</v>
      </c>
      <c r="K307" s="37" t="s">
        <v>83</v>
      </c>
      <c r="L307" s="37" t="s">
        <v>45</v>
      </c>
      <c r="M307" s="38" t="s">
        <v>82</v>
      </c>
      <c r="N307" s="38"/>
      <c r="O307" s="37">
        <v>40</v>
      </c>
      <c r="P307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IFERROR(IF(Y307=0,"",ROUNDUP(Y307/H307,0)*0.00651),"")</f>
        <v/>
      </c>
      <c r="AA307" s="68" t="s">
        <v>45</v>
      </c>
      <c r="AB307" s="69" t="s">
        <v>45</v>
      </c>
      <c r="AC307" s="378" t="s">
        <v>511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x14ac:dyDescent="0.2">
      <c r="A308" s="633"/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4"/>
      <c r="P308" s="630" t="s">
        <v>40</v>
      </c>
      <c r="Q308" s="631"/>
      <c r="R308" s="631"/>
      <c r="S308" s="631"/>
      <c r="T308" s="631"/>
      <c r="U308" s="631"/>
      <c r="V308" s="632"/>
      <c r="W308" s="42" t="s">
        <v>39</v>
      </c>
      <c r="X308" s="43">
        <f>IFERROR(X302/H302,"0")+IFERROR(X303/H303,"0")+IFERROR(X304/H304,"0")+IFERROR(X305/H305,"0")+IFERROR(X306/H306,"0")+IFERROR(X307/H307,"0")</f>
        <v>0</v>
      </c>
      <c r="Y308" s="43">
        <f>IFERROR(Y302/H302,"0")+IFERROR(Y303/H303,"0")+IFERROR(Y304/H304,"0")+IFERROR(Y305/H305,"0")+IFERROR(Y306/H306,"0")+IFERROR(Y307/H307,"0")</f>
        <v>0</v>
      </c>
      <c r="Z308" s="43">
        <f>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33"/>
      <c r="B309" s="633"/>
      <c r="C309" s="633"/>
      <c r="D309" s="633"/>
      <c r="E309" s="633"/>
      <c r="F309" s="633"/>
      <c r="G309" s="633"/>
      <c r="H309" s="633"/>
      <c r="I309" s="633"/>
      <c r="J309" s="633"/>
      <c r="K309" s="633"/>
      <c r="L309" s="633"/>
      <c r="M309" s="633"/>
      <c r="N309" s="633"/>
      <c r="O309" s="634"/>
      <c r="P309" s="630" t="s">
        <v>40</v>
      </c>
      <c r="Q309" s="631"/>
      <c r="R309" s="631"/>
      <c r="S309" s="631"/>
      <c r="T309" s="631"/>
      <c r="U309" s="631"/>
      <c r="V309" s="632"/>
      <c r="W309" s="42" t="s">
        <v>0</v>
      </c>
      <c r="X309" s="43">
        <f>IFERROR(SUM(X302:X307),"0")</f>
        <v>0</v>
      </c>
      <c r="Y309" s="43">
        <f>IFERROR(SUM(Y302:Y307),"0")</f>
        <v>0</v>
      </c>
      <c r="Z309" s="42"/>
      <c r="AA309" s="67"/>
      <c r="AB309" s="67"/>
      <c r="AC309" s="67"/>
    </row>
    <row r="310" spans="1:68" ht="14.25" customHeight="1" x14ac:dyDescent="0.25">
      <c r="A310" s="624" t="s">
        <v>88</v>
      </c>
      <c r="B310" s="624"/>
      <c r="C310" s="624"/>
      <c r="D310" s="624"/>
      <c r="E310" s="624"/>
      <c r="F310" s="624"/>
      <c r="G310" s="624"/>
      <c r="H310" s="624"/>
      <c r="I310" s="624"/>
      <c r="J310" s="624"/>
      <c r="K310" s="624"/>
      <c r="L310" s="624"/>
      <c r="M310" s="624"/>
      <c r="N310" s="624"/>
      <c r="O310" s="624"/>
      <c r="P310" s="624"/>
      <c r="Q310" s="624"/>
      <c r="R310" s="624"/>
      <c r="S310" s="624"/>
      <c r="T310" s="624"/>
      <c r="U310" s="624"/>
      <c r="V310" s="624"/>
      <c r="W310" s="624"/>
      <c r="X310" s="624"/>
      <c r="Y310" s="624"/>
      <c r="Z310" s="624"/>
      <c r="AA310" s="66"/>
      <c r="AB310" s="66"/>
      <c r="AC310" s="80"/>
    </row>
    <row r="311" spans="1:68" ht="27" customHeight="1" x14ac:dyDescent="0.25">
      <c r="A311" s="63" t="s">
        <v>512</v>
      </c>
      <c r="B311" s="63" t="s">
        <v>513</v>
      </c>
      <c r="C311" s="36">
        <v>4301051100</v>
      </c>
      <c r="D311" s="625">
        <v>4607091387766</v>
      </c>
      <c r="E311" s="625"/>
      <c r="F311" s="62">
        <v>1.3</v>
      </c>
      <c r="G311" s="37">
        <v>6</v>
      </c>
      <c r="H311" s="62">
        <v>7.8</v>
      </c>
      <c r="I311" s="62">
        <v>8.2880000000000003</v>
      </c>
      <c r="J311" s="37">
        <v>64</v>
      </c>
      <c r="K311" s="37" t="s">
        <v>118</v>
      </c>
      <c r="L311" s="37" t="s">
        <v>45</v>
      </c>
      <c r="M311" s="38" t="s">
        <v>92</v>
      </c>
      <c r="N311" s="38"/>
      <c r="O311" s="37">
        <v>40</v>
      </c>
      <c r="P311" s="7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45</v>
      </c>
      <c r="AB311" s="69" t="s">
        <v>45</v>
      </c>
      <c r="AC311" s="380" t="s">
        <v>514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4301051818</v>
      </c>
      <c r="D312" s="625">
        <v>4607091387957</v>
      </c>
      <c r="E312" s="625"/>
      <c r="F312" s="62">
        <v>1.3</v>
      </c>
      <c r="G312" s="37">
        <v>6</v>
      </c>
      <c r="H312" s="62">
        <v>7.8</v>
      </c>
      <c r="I312" s="62">
        <v>8.2940000000000005</v>
      </c>
      <c r="J312" s="37">
        <v>64</v>
      </c>
      <c r="K312" s="37" t="s">
        <v>118</v>
      </c>
      <c r="L312" s="37" t="s">
        <v>45</v>
      </c>
      <c r="M312" s="38" t="s">
        <v>92</v>
      </c>
      <c r="N312" s="38"/>
      <c r="O312" s="37">
        <v>40</v>
      </c>
      <c r="P312" s="7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627"/>
      <c r="R312" s="627"/>
      <c r="S312" s="627"/>
      <c r="T312" s="628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517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518</v>
      </c>
      <c r="B313" s="63" t="s">
        <v>519</v>
      </c>
      <c r="C313" s="36">
        <v>4301051819</v>
      </c>
      <c r="D313" s="625">
        <v>4607091387964</v>
      </c>
      <c r="E313" s="625"/>
      <c r="F313" s="62">
        <v>1.35</v>
      </c>
      <c r="G313" s="37">
        <v>6</v>
      </c>
      <c r="H313" s="62">
        <v>8.1</v>
      </c>
      <c r="I313" s="62">
        <v>8.5760000000000005</v>
      </c>
      <c r="J313" s="37">
        <v>64</v>
      </c>
      <c r="K313" s="37" t="s">
        <v>118</v>
      </c>
      <c r="L313" s="37" t="s">
        <v>45</v>
      </c>
      <c r="M313" s="38" t="s">
        <v>92</v>
      </c>
      <c r="N313" s="38"/>
      <c r="O313" s="37">
        <v>40</v>
      </c>
      <c r="P313" s="7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627"/>
      <c r="R313" s="627"/>
      <c r="S313" s="627"/>
      <c r="T313" s="628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520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521</v>
      </c>
      <c r="B314" s="63" t="s">
        <v>522</v>
      </c>
      <c r="C314" s="36">
        <v>4301051734</v>
      </c>
      <c r="D314" s="625">
        <v>4680115884588</v>
      </c>
      <c r="E314" s="625"/>
      <c r="F314" s="62">
        <v>0.5</v>
      </c>
      <c r="G314" s="37">
        <v>6</v>
      </c>
      <c r="H314" s="62">
        <v>3</v>
      </c>
      <c r="I314" s="62">
        <v>3.246</v>
      </c>
      <c r="J314" s="37">
        <v>182</v>
      </c>
      <c r="K314" s="37" t="s">
        <v>83</v>
      </c>
      <c r="L314" s="37" t="s">
        <v>45</v>
      </c>
      <c r="M314" s="38" t="s">
        <v>92</v>
      </c>
      <c r="N314" s="38"/>
      <c r="O314" s="37">
        <v>40</v>
      </c>
      <c r="P314" s="7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627"/>
      <c r="R314" s="627"/>
      <c r="S314" s="627"/>
      <c r="T314" s="628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IFERROR(IF(Y314=0,"",ROUNDUP(Y314/H314,0)*0.00651),"")</f>
        <v/>
      </c>
      <c r="AA314" s="68" t="s">
        <v>45</v>
      </c>
      <c r="AB314" s="69" t="s">
        <v>45</v>
      </c>
      <c r="AC314" s="386" t="s">
        <v>523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33"/>
      <c r="B315" s="633"/>
      <c r="C315" s="633"/>
      <c r="D315" s="633"/>
      <c r="E315" s="633"/>
      <c r="F315" s="633"/>
      <c r="G315" s="633"/>
      <c r="H315" s="633"/>
      <c r="I315" s="633"/>
      <c r="J315" s="633"/>
      <c r="K315" s="633"/>
      <c r="L315" s="633"/>
      <c r="M315" s="633"/>
      <c r="N315" s="633"/>
      <c r="O315" s="634"/>
      <c r="P315" s="630" t="s">
        <v>40</v>
      </c>
      <c r="Q315" s="631"/>
      <c r="R315" s="631"/>
      <c r="S315" s="631"/>
      <c r="T315" s="631"/>
      <c r="U315" s="631"/>
      <c r="V315" s="632"/>
      <c r="W315" s="42" t="s">
        <v>39</v>
      </c>
      <c r="X315" s="43">
        <f>IFERROR(X311/H311,"0")+IFERROR(X312/H312,"0")+IFERROR(X313/H313,"0")+IFERROR(X314/H314,"0")</f>
        <v>0</v>
      </c>
      <c r="Y315" s="43">
        <f>IFERROR(Y311/H311,"0")+IFERROR(Y312/H312,"0")+IFERROR(Y313/H313,"0")+IFERROR(Y314/H314,"0")</f>
        <v>0</v>
      </c>
      <c r="Z315" s="43">
        <f>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33"/>
      <c r="B316" s="633"/>
      <c r="C316" s="633"/>
      <c r="D316" s="633"/>
      <c r="E316" s="633"/>
      <c r="F316" s="633"/>
      <c r="G316" s="633"/>
      <c r="H316" s="633"/>
      <c r="I316" s="633"/>
      <c r="J316" s="633"/>
      <c r="K316" s="633"/>
      <c r="L316" s="633"/>
      <c r="M316" s="633"/>
      <c r="N316" s="633"/>
      <c r="O316" s="634"/>
      <c r="P316" s="630" t="s">
        <v>40</v>
      </c>
      <c r="Q316" s="631"/>
      <c r="R316" s="631"/>
      <c r="S316" s="631"/>
      <c r="T316" s="631"/>
      <c r="U316" s="631"/>
      <c r="V316" s="632"/>
      <c r="W316" s="42" t="s">
        <v>0</v>
      </c>
      <c r="X316" s="43">
        <f>IFERROR(SUM(X311:X314),"0")</f>
        <v>0</v>
      </c>
      <c r="Y316" s="43">
        <f>IFERROR(SUM(Y311:Y314),"0")</f>
        <v>0</v>
      </c>
      <c r="Z316" s="42"/>
      <c r="AA316" s="67"/>
      <c r="AB316" s="67"/>
      <c r="AC316" s="67"/>
    </row>
    <row r="317" spans="1:68" ht="14.25" customHeight="1" x14ac:dyDescent="0.25">
      <c r="A317" s="624" t="s">
        <v>176</v>
      </c>
      <c r="B317" s="624"/>
      <c r="C317" s="624"/>
      <c r="D317" s="624"/>
      <c r="E317" s="624"/>
      <c r="F317" s="624"/>
      <c r="G317" s="624"/>
      <c r="H317" s="624"/>
      <c r="I317" s="624"/>
      <c r="J317" s="624"/>
      <c r="K317" s="624"/>
      <c r="L317" s="624"/>
      <c r="M317" s="624"/>
      <c r="N317" s="624"/>
      <c r="O317" s="624"/>
      <c r="P317" s="624"/>
      <c r="Q317" s="624"/>
      <c r="R317" s="624"/>
      <c r="S317" s="624"/>
      <c r="T317" s="624"/>
      <c r="U317" s="624"/>
      <c r="V317" s="624"/>
      <c r="W317" s="624"/>
      <c r="X317" s="624"/>
      <c r="Y317" s="624"/>
      <c r="Z317" s="624"/>
      <c r="AA317" s="66"/>
      <c r="AB317" s="66"/>
      <c r="AC317" s="80"/>
    </row>
    <row r="318" spans="1:68" ht="27" customHeight="1" x14ac:dyDescent="0.25">
      <c r="A318" s="63" t="s">
        <v>524</v>
      </c>
      <c r="B318" s="63" t="s">
        <v>525</v>
      </c>
      <c r="C318" s="36">
        <v>4301060387</v>
      </c>
      <c r="D318" s="625">
        <v>4607091380880</v>
      </c>
      <c r="E318" s="625"/>
      <c r="F318" s="62">
        <v>1.4</v>
      </c>
      <c r="G318" s="37">
        <v>6</v>
      </c>
      <c r="H318" s="62">
        <v>8.4</v>
      </c>
      <c r="I318" s="62">
        <v>8.8940000000000001</v>
      </c>
      <c r="J318" s="37">
        <v>64</v>
      </c>
      <c r="K318" s="37" t="s">
        <v>118</v>
      </c>
      <c r="L318" s="37" t="s">
        <v>45</v>
      </c>
      <c r="M318" s="38" t="s">
        <v>92</v>
      </c>
      <c r="N318" s="38"/>
      <c r="O318" s="37">
        <v>30</v>
      </c>
      <c r="P318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88" t="s">
        <v>526</v>
      </c>
      <c r="AG318" s="78"/>
      <c r="AJ318" s="84" t="s">
        <v>45</v>
      </c>
      <c r="AK318" s="84">
        <v>0</v>
      </c>
      <c r="BB318" s="38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527</v>
      </c>
      <c r="B319" s="63" t="s">
        <v>528</v>
      </c>
      <c r="C319" s="36">
        <v>4301060406</v>
      </c>
      <c r="D319" s="625">
        <v>4607091384482</v>
      </c>
      <c r="E319" s="625"/>
      <c r="F319" s="62">
        <v>1.3</v>
      </c>
      <c r="G319" s="37">
        <v>6</v>
      </c>
      <c r="H319" s="62">
        <v>7.8</v>
      </c>
      <c r="I319" s="62">
        <v>8.2940000000000005</v>
      </c>
      <c r="J319" s="37">
        <v>64</v>
      </c>
      <c r="K319" s="37" t="s">
        <v>118</v>
      </c>
      <c r="L319" s="37" t="s">
        <v>119</v>
      </c>
      <c r="M319" s="38" t="s">
        <v>92</v>
      </c>
      <c r="N319" s="38"/>
      <c r="O319" s="37">
        <v>30</v>
      </c>
      <c r="P319" s="7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627"/>
      <c r="R319" s="627"/>
      <c r="S319" s="627"/>
      <c r="T319" s="628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529</v>
      </c>
      <c r="AG319" s="78"/>
      <c r="AJ319" s="84" t="s">
        <v>120</v>
      </c>
      <c r="AK319" s="84">
        <v>62.4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16.5" customHeight="1" x14ac:dyDescent="0.25">
      <c r="A320" s="63" t="s">
        <v>530</v>
      </c>
      <c r="B320" s="63" t="s">
        <v>531</v>
      </c>
      <c r="C320" s="36">
        <v>4301060484</v>
      </c>
      <c r="D320" s="625">
        <v>4607091380897</v>
      </c>
      <c r="E320" s="625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118</v>
      </c>
      <c r="L320" s="37" t="s">
        <v>45</v>
      </c>
      <c r="M320" s="38" t="s">
        <v>99</v>
      </c>
      <c r="N320" s="38"/>
      <c r="O320" s="37">
        <v>30</v>
      </c>
      <c r="P320" s="7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627"/>
      <c r="R320" s="627"/>
      <c r="S320" s="627"/>
      <c r="T320" s="628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532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4.25" customHeight="1" x14ac:dyDescent="0.25">
      <c r="A323" s="624" t="s">
        <v>105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6"/>
      <c r="AB323" s="66"/>
      <c r="AC323" s="80"/>
    </row>
    <row r="324" spans="1:68" ht="27" customHeight="1" x14ac:dyDescent="0.25">
      <c r="A324" s="63" t="s">
        <v>533</v>
      </c>
      <c r="B324" s="63" t="s">
        <v>534</v>
      </c>
      <c r="C324" s="36">
        <v>4301030235</v>
      </c>
      <c r="D324" s="625">
        <v>4607091388381</v>
      </c>
      <c r="E324" s="625"/>
      <c r="F324" s="62">
        <v>0.38</v>
      </c>
      <c r="G324" s="37">
        <v>8</v>
      </c>
      <c r="H324" s="62">
        <v>3.04</v>
      </c>
      <c r="I324" s="62">
        <v>3.31</v>
      </c>
      <c r="J324" s="37">
        <v>132</v>
      </c>
      <c r="K324" s="37" t="s">
        <v>123</v>
      </c>
      <c r="L324" s="37" t="s">
        <v>45</v>
      </c>
      <c r="M324" s="38" t="s">
        <v>110</v>
      </c>
      <c r="N324" s="38"/>
      <c r="O324" s="37">
        <v>180</v>
      </c>
      <c r="P324" s="7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IFERROR(IF(Y324=0,"",ROUNDUP(Y324/H324,0)*0.00902),"")</f>
        <v/>
      </c>
      <c r="AA324" s="68" t="s">
        <v>45</v>
      </c>
      <c r="AB324" s="69" t="s">
        <v>45</v>
      </c>
      <c r="AC324" s="394" t="s">
        <v>535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536</v>
      </c>
      <c r="B325" s="63" t="s">
        <v>537</v>
      </c>
      <c r="C325" s="36">
        <v>4301030232</v>
      </c>
      <c r="D325" s="625">
        <v>4607091388374</v>
      </c>
      <c r="E325" s="625"/>
      <c r="F325" s="62">
        <v>0.38</v>
      </c>
      <c r="G325" s="37">
        <v>8</v>
      </c>
      <c r="H325" s="62">
        <v>3.04</v>
      </c>
      <c r="I325" s="62">
        <v>3.27</v>
      </c>
      <c r="J325" s="37">
        <v>132</v>
      </c>
      <c r="K325" s="37" t="s">
        <v>123</v>
      </c>
      <c r="L325" s="37" t="s">
        <v>45</v>
      </c>
      <c r="M325" s="38" t="s">
        <v>110</v>
      </c>
      <c r="N325" s="38"/>
      <c r="O325" s="37">
        <v>180</v>
      </c>
      <c r="P325" s="7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627"/>
      <c r="R325" s="627"/>
      <c r="S325" s="627"/>
      <c r="T325" s="62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535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538</v>
      </c>
      <c r="B326" s="63" t="s">
        <v>539</v>
      </c>
      <c r="C326" s="36">
        <v>4301032015</v>
      </c>
      <c r="D326" s="625">
        <v>4607091383102</v>
      </c>
      <c r="E326" s="625"/>
      <c r="F326" s="62">
        <v>0.17</v>
      </c>
      <c r="G326" s="37">
        <v>15</v>
      </c>
      <c r="H326" s="62">
        <v>2.5499999999999998</v>
      </c>
      <c r="I326" s="62">
        <v>2.9550000000000001</v>
      </c>
      <c r="J326" s="37">
        <v>182</v>
      </c>
      <c r="K326" s="37" t="s">
        <v>83</v>
      </c>
      <c r="L326" s="37" t="s">
        <v>45</v>
      </c>
      <c r="M326" s="38" t="s">
        <v>110</v>
      </c>
      <c r="N326" s="38"/>
      <c r="O326" s="37">
        <v>180</v>
      </c>
      <c r="P326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627"/>
      <c r="R326" s="627"/>
      <c r="S326" s="627"/>
      <c r="T326" s="628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45</v>
      </c>
      <c r="AB326" s="69" t="s">
        <v>45</v>
      </c>
      <c r="AC326" s="398" t="s">
        <v>540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541</v>
      </c>
      <c r="B327" s="63" t="s">
        <v>542</v>
      </c>
      <c r="C327" s="36">
        <v>4301030233</v>
      </c>
      <c r="D327" s="625">
        <v>4607091388404</v>
      </c>
      <c r="E327" s="625"/>
      <c r="F327" s="62">
        <v>0.17</v>
      </c>
      <c r="G327" s="37">
        <v>15</v>
      </c>
      <c r="H327" s="62">
        <v>2.5499999999999998</v>
      </c>
      <c r="I327" s="62">
        <v>2.88</v>
      </c>
      <c r="J327" s="37">
        <v>182</v>
      </c>
      <c r="K327" s="37" t="s">
        <v>83</v>
      </c>
      <c r="L327" s="37" t="s">
        <v>45</v>
      </c>
      <c r="M327" s="38" t="s">
        <v>110</v>
      </c>
      <c r="N327" s="38"/>
      <c r="O327" s="37">
        <v>180</v>
      </c>
      <c r="P327" s="7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627"/>
      <c r="R327" s="627"/>
      <c r="S327" s="627"/>
      <c r="T327" s="628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IFERROR(X324/H324,"0")+IFERROR(X325/H325,"0")+IFERROR(X326/H326,"0")+IFERROR(X327/H327,"0")</f>
        <v>0</v>
      </c>
      <c r="Y328" s="43">
        <f>IFERROR(Y324/H324,"0")+IFERROR(Y325/H325,"0")+IFERROR(Y326/H326,"0")+IFERROR(Y327/H327,"0")</f>
        <v>0</v>
      </c>
      <c r="Z328" s="43">
        <f>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IFERROR(SUM(X324:X327),"0")</f>
        <v>0</v>
      </c>
      <c r="Y329" s="43">
        <f>IFERROR(SUM(Y324:Y327),"0")</f>
        <v>0</v>
      </c>
      <c r="Z329" s="42"/>
      <c r="AA329" s="67"/>
      <c r="AB329" s="67"/>
      <c r="AC329" s="67"/>
    </row>
    <row r="330" spans="1:68" ht="14.25" customHeight="1" x14ac:dyDescent="0.25">
      <c r="A330" s="624" t="s">
        <v>543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6"/>
      <c r="AB330" s="66"/>
      <c r="AC330" s="80"/>
    </row>
    <row r="331" spans="1:68" ht="16.5" customHeight="1" x14ac:dyDescent="0.25">
      <c r="A331" s="63" t="s">
        <v>544</v>
      </c>
      <c r="B331" s="63" t="s">
        <v>545</v>
      </c>
      <c r="C331" s="36">
        <v>4301180007</v>
      </c>
      <c r="D331" s="625">
        <v>4680115881808</v>
      </c>
      <c r="E331" s="625"/>
      <c r="F331" s="62">
        <v>0.1</v>
      </c>
      <c r="G331" s="37">
        <v>20</v>
      </c>
      <c r="H331" s="62">
        <v>2</v>
      </c>
      <c r="I331" s="62">
        <v>2.2400000000000002</v>
      </c>
      <c r="J331" s="37">
        <v>238</v>
      </c>
      <c r="K331" s="37" t="s">
        <v>83</v>
      </c>
      <c r="L331" s="37" t="s">
        <v>45</v>
      </c>
      <c r="M331" s="38" t="s">
        <v>547</v>
      </c>
      <c r="N331" s="38"/>
      <c r="O331" s="37">
        <v>730</v>
      </c>
      <c r="P331" s="7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IFERROR(IF(Y331=0,"",ROUNDUP(Y331/H331,0)*0.00474),"")</f>
        <v/>
      </c>
      <c r="AA331" s="68" t="s">
        <v>45</v>
      </c>
      <c r="AB331" s="69" t="s">
        <v>45</v>
      </c>
      <c r="AC331" s="402" t="s">
        <v>546</v>
      </c>
      <c r="AG331" s="78"/>
      <c r="AJ331" s="84" t="s">
        <v>45</v>
      </c>
      <c r="AK331" s="84">
        <v>0</v>
      </c>
      <c r="BB331" s="40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548</v>
      </c>
      <c r="B332" s="63" t="s">
        <v>549</v>
      </c>
      <c r="C332" s="36">
        <v>4301180006</v>
      </c>
      <c r="D332" s="625">
        <v>4680115881822</v>
      </c>
      <c r="E332" s="625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547</v>
      </c>
      <c r="N332" s="38"/>
      <c r="O332" s="37">
        <v>730</v>
      </c>
      <c r="P332" s="7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627"/>
      <c r="R332" s="627"/>
      <c r="S332" s="627"/>
      <c r="T332" s="628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546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550</v>
      </c>
      <c r="B333" s="63" t="s">
        <v>551</v>
      </c>
      <c r="C333" s="36">
        <v>4301180001</v>
      </c>
      <c r="D333" s="625">
        <v>4680115880016</v>
      </c>
      <c r="E333" s="625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547</v>
      </c>
      <c r="N333" s="38"/>
      <c r="O333" s="37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627"/>
      <c r="R333" s="627"/>
      <c r="S333" s="627"/>
      <c r="T333" s="628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546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33"/>
      <c r="B334" s="633"/>
      <c r="C334" s="633"/>
      <c r="D334" s="633"/>
      <c r="E334" s="633"/>
      <c r="F334" s="633"/>
      <c r="G334" s="633"/>
      <c r="H334" s="633"/>
      <c r="I334" s="633"/>
      <c r="J334" s="633"/>
      <c r="K334" s="633"/>
      <c r="L334" s="633"/>
      <c r="M334" s="633"/>
      <c r="N334" s="633"/>
      <c r="O334" s="634"/>
      <c r="P334" s="630" t="s">
        <v>40</v>
      </c>
      <c r="Q334" s="631"/>
      <c r="R334" s="631"/>
      <c r="S334" s="631"/>
      <c r="T334" s="631"/>
      <c r="U334" s="631"/>
      <c r="V334" s="632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33"/>
      <c r="B335" s="633"/>
      <c r="C335" s="633"/>
      <c r="D335" s="633"/>
      <c r="E335" s="633"/>
      <c r="F335" s="633"/>
      <c r="G335" s="633"/>
      <c r="H335" s="633"/>
      <c r="I335" s="633"/>
      <c r="J335" s="633"/>
      <c r="K335" s="633"/>
      <c r="L335" s="633"/>
      <c r="M335" s="633"/>
      <c r="N335" s="633"/>
      <c r="O335" s="634"/>
      <c r="P335" s="630" t="s">
        <v>40</v>
      </c>
      <c r="Q335" s="631"/>
      <c r="R335" s="631"/>
      <c r="S335" s="631"/>
      <c r="T335" s="631"/>
      <c r="U335" s="631"/>
      <c r="V335" s="632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23" t="s">
        <v>552</v>
      </c>
      <c r="B336" s="623"/>
      <c r="C336" s="623"/>
      <c r="D336" s="623"/>
      <c r="E336" s="623"/>
      <c r="F336" s="623"/>
      <c r="G336" s="623"/>
      <c r="H336" s="623"/>
      <c r="I336" s="623"/>
      <c r="J336" s="623"/>
      <c r="K336" s="623"/>
      <c r="L336" s="623"/>
      <c r="M336" s="623"/>
      <c r="N336" s="623"/>
      <c r="O336" s="623"/>
      <c r="P336" s="623"/>
      <c r="Q336" s="623"/>
      <c r="R336" s="623"/>
      <c r="S336" s="623"/>
      <c r="T336" s="623"/>
      <c r="U336" s="623"/>
      <c r="V336" s="623"/>
      <c r="W336" s="623"/>
      <c r="X336" s="623"/>
      <c r="Y336" s="623"/>
      <c r="Z336" s="623"/>
      <c r="AA336" s="65"/>
      <c r="AB336" s="65"/>
      <c r="AC336" s="79"/>
    </row>
    <row r="337" spans="1:68" ht="14.25" customHeight="1" x14ac:dyDescent="0.25">
      <c r="A337" s="624" t="s">
        <v>88</v>
      </c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4"/>
      <c r="P337" s="624"/>
      <c r="Q337" s="624"/>
      <c r="R337" s="624"/>
      <c r="S337" s="624"/>
      <c r="T337" s="624"/>
      <c r="U337" s="624"/>
      <c r="V337" s="624"/>
      <c r="W337" s="624"/>
      <c r="X337" s="624"/>
      <c r="Y337" s="624"/>
      <c r="Z337" s="624"/>
      <c r="AA337" s="66"/>
      <c r="AB337" s="66"/>
      <c r="AC337" s="80"/>
    </row>
    <row r="338" spans="1:68" ht="27" customHeight="1" x14ac:dyDescent="0.25">
      <c r="A338" s="63" t="s">
        <v>553</v>
      </c>
      <c r="B338" s="63" t="s">
        <v>554</v>
      </c>
      <c r="C338" s="36">
        <v>4301051489</v>
      </c>
      <c r="D338" s="625">
        <v>4607091387919</v>
      </c>
      <c r="E338" s="625"/>
      <c r="F338" s="62">
        <v>1.35</v>
      </c>
      <c r="G338" s="37">
        <v>6</v>
      </c>
      <c r="H338" s="62">
        <v>8.1</v>
      </c>
      <c r="I338" s="62">
        <v>8.5939999999999994</v>
      </c>
      <c r="J338" s="37">
        <v>64</v>
      </c>
      <c r="K338" s="37" t="s">
        <v>118</v>
      </c>
      <c r="L338" s="37" t="s">
        <v>45</v>
      </c>
      <c r="M338" s="38" t="s">
        <v>99</v>
      </c>
      <c r="N338" s="38"/>
      <c r="O338" s="37">
        <v>45</v>
      </c>
      <c r="P338" s="7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627"/>
      <c r="R338" s="627"/>
      <c r="S338" s="627"/>
      <c r="T338" s="628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45</v>
      </c>
      <c r="AB338" s="69" t="s">
        <v>45</v>
      </c>
      <c r="AC338" s="408" t="s">
        <v>555</v>
      </c>
      <c r="AG338" s="78"/>
      <c r="AJ338" s="84" t="s">
        <v>45</v>
      </c>
      <c r="AK338" s="84">
        <v>0</v>
      </c>
      <c r="BB338" s="40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556</v>
      </c>
      <c r="B339" s="63" t="s">
        <v>557</v>
      </c>
      <c r="C339" s="36">
        <v>4301051461</v>
      </c>
      <c r="D339" s="625">
        <v>4680115883604</v>
      </c>
      <c r="E339" s="625"/>
      <c r="F339" s="62">
        <v>0.35</v>
      </c>
      <c r="G339" s="37">
        <v>6</v>
      </c>
      <c r="H339" s="62">
        <v>2.1</v>
      </c>
      <c r="I339" s="62">
        <v>2.3519999999999999</v>
      </c>
      <c r="J339" s="37">
        <v>182</v>
      </c>
      <c r="K339" s="37" t="s">
        <v>83</v>
      </c>
      <c r="L339" s="37" t="s">
        <v>45</v>
      </c>
      <c r="M339" s="38" t="s">
        <v>92</v>
      </c>
      <c r="N339" s="38"/>
      <c r="O339" s="37">
        <v>45</v>
      </c>
      <c r="P339" s="7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627"/>
      <c r="R339" s="627"/>
      <c r="S339" s="627"/>
      <c r="T339" s="628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45</v>
      </c>
      <c r="AB339" s="69" t="s">
        <v>45</v>
      </c>
      <c r="AC339" s="410" t="s">
        <v>558</v>
      </c>
      <c r="AG339" s="78"/>
      <c r="AJ339" s="84" t="s">
        <v>45</v>
      </c>
      <c r="AK339" s="84">
        <v>0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4301051864</v>
      </c>
      <c r="D340" s="625">
        <v>4680115883567</v>
      </c>
      <c r="E340" s="625"/>
      <c r="F340" s="62">
        <v>0.35</v>
      </c>
      <c r="G340" s="37">
        <v>6</v>
      </c>
      <c r="H340" s="62">
        <v>2.1</v>
      </c>
      <c r="I340" s="62">
        <v>2.34</v>
      </c>
      <c r="J340" s="37">
        <v>182</v>
      </c>
      <c r="K340" s="37" t="s">
        <v>83</v>
      </c>
      <c r="L340" s="37" t="s">
        <v>45</v>
      </c>
      <c r="M340" s="38" t="s">
        <v>99</v>
      </c>
      <c r="N340" s="38"/>
      <c r="O340" s="37">
        <v>40</v>
      </c>
      <c r="P340" s="7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627"/>
      <c r="R340" s="627"/>
      <c r="S340" s="627"/>
      <c r="T340" s="628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561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33"/>
      <c r="B341" s="633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4"/>
      <c r="P341" s="630" t="s">
        <v>40</v>
      </c>
      <c r="Q341" s="631"/>
      <c r="R341" s="631"/>
      <c r="S341" s="631"/>
      <c r="T341" s="631"/>
      <c r="U341" s="631"/>
      <c r="V341" s="6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27.75" customHeight="1" x14ac:dyDescent="0.2">
      <c r="A343" s="622" t="s">
        <v>562</v>
      </c>
      <c r="B343" s="622"/>
      <c r="C343" s="622"/>
      <c r="D343" s="622"/>
      <c r="E343" s="622"/>
      <c r="F343" s="622"/>
      <c r="G343" s="622"/>
      <c r="H343" s="622"/>
      <c r="I343" s="622"/>
      <c r="J343" s="622"/>
      <c r="K343" s="622"/>
      <c r="L343" s="622"/>
      <c r="M343" s="622"/>
      <c r="N343" s="622"/>
      <c r="O343" s="622"/>
      <c r="P343" s="622"/>
      <c r="Q343" s="622"/>
      <c r="R343" s="622"/>
      <c r="S343" s="622"/>
      <c r="T343" s="622"/>
      <c r="U343" s="622"/>
      <c r="V343" s="622"/>
      <c r="W343" s="622"/>
      <c r="X343" s="622"/>
      <c r="Y343" s="622"/>
      <c r="Z343" s="622"/>
      <c r="AA343" s="54"/>
      <c r="AB343" s="54"/>
      <c r="AC343" s="54"/>
    </row>
    <row r="344" spans="1:68" ht="16.5" customHeight="1" x14ac:dyDescent="0.25">
      <c r="A344" s="623" t="s">
        <v>563</v>
      </c>
      <c r="B344" s="623"/>
      <c r="C344" s="623"/>
      <c r="D344" s="623"/>
      <c r="E344" s="623"/>
      <c r="F344" s="623"/>
      <c r="G344" s="623"/>
      <c r="H344" s="623"/>
      <c r="I344" s="623"/>
      <c r="J344" s="623"/>
      <c r="K344" s="623"/>
      <c r="L344" s="623"/>
      <c r="M344" s="623"/>
      <c r="N344" s="623"/>
      <c r="O344" s="623"/>
      <c r="P344" s="623"/>
      <c r="Q344" s="623"/>
      <c r="R344" s="623"/>
      <c r="S344" s="623"/>
      <c r="T344" s="623"/>
      <c r="U344" s="623"/>
      <c r="V344" s="623"/>
      <c r="W344" s="623"/>
      <c r="X344" s="623"/>
      <c r="Y344" s="623"/>
      <c r="Z344" s="623"/>
      <c r="AA344" s="65"/>
      <c r="AB344" s="65"/>
      <c r="AC344" s="79"/>
    </row>
    <row r="345" spans="1:68" ht="14.25" customHeight="1" x14ac:dyDescent="0.25">
      <c r="A345" s="624" t="s">
        <v>113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6"/>
      <c r="AB345" s="66"/>
      <c r="AC345" s="80"/>
    </row>
    <row r="346" spans="1:68" ht="37.5" customHeight="1" x14ac:dyDescent="0.25">
      <c r="A346" s="63" t="s">
        <v>564</v>
      </c>
      <c r="B346" s="63" t="s">
        <v>565</v>
      </c>
      <c r="C346" s="36">
        <v>4301011869</v>
      </c>
      <c r="D346" s="625">
        <v>4680115884847</v>
      </c>
      <c r="E346" s="625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118</v>
      </c>
      <c r="L346" s="37" t="s">
        <v>119</v>
      </c>
      <c r="M346" s="38" t="s">
        <v>82</v>
      </c>
      <c r="N346" s="38"/>
      <c r="O346" s="37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627"/>
      <c r="R346" s="627"/>
      <c r="S346" s="627"/>
      <c r="T346" s="628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ref="Y346:Y352" si="31">IFERROR(IF(X346="",0,CEILING((X346/$H346),1)*$H346),"")</f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566</v>
      </c>
      <c r="AG346" s="78"/>
      <c r="AJ346" s="84" t="s">
        <v>120</v>
      </c>
      <c r="AK346" s="84">
        <v>120</v>
      </c>
      <c r="BB346" s="415" t="s">
        <v>66</v>
      </c>
      <c r="BM346" s="78">
        <f t="shared" ref="BM346:BM352" si="32">IFERROR(X346*I346/H346,"0")</f>
        <v>0</v>
      </c>
      <c r="BN346" s="78">
        <f t="shared" ref="BN346:BN352" si="33">IFERROR(Y346*I346/H346,"0")</f>
        <v>0</v>
      </c>
      <c r="BO346" s="78">
        <f t="shared" ref="BO346:BO352" si="34">IFERROR(1/J346*(X346/H346),"0")</f>
        <v>0</v>
      </c>
      <c r="BP346" s="78">
        <f t="shared" ref="BP346:BP352" si="35">IFERROR(1/J346*(Y346/H346),"0")</f>
        <v>0</v>
      </c>
    </row>
    <row r="347" spans="1:68" ht="27" customHeight="1" x14ac:dyDescent="0.25">
      <c r="A347" s="63" t="s">
        <v>567</v>
      </c>
      <c r="B347" s="63" t="s">
        <v>568</v>
      </c>
      <c r="C347" s="36">
        <v>4301011870</v>
      </c>
      <c r="D347" s="625">
        <v>4680115884854</v>
      </c>
      <c r="E347" s="625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118</v>
      </c>
      <c r="L347" s="37" t="s">
        <v>119</v>
      </c>
      <c r="M347" s="38" t="s">
        <v>82</v>
      </c>
      <c r="N347" s="38"/>
      <c r="O347" s="37">
        <v>60</v>
      </c>
      <c r="P34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627"/>
      <c r="R347" s="627"/>
      <c r="S347" s="627"/>
      <c r="T347" s="62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569</v>
      </c>
      <c r="AG347" s="78"/>
      <c r="AJ347" s="84" t="s">
        <v>120</v>
      </c>
      <c r="AK347" s="84">
        <v>120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570</v>
      </c>
      <c r="B348" s="63" t="s">
        <v>571</v>
      </c>
      <c r="C348" s="36">
        <v>4301012215</v>
      </c>
      <c r="D348" s="625">
        <v>4680115887046</v>
      </c>
      <c r="E348" s="625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118</v>
      </c>
      <c r="L348" s="37" t="s">
        <v>45</v>
      </c>
      <c r="M348" s="38" t="s">
        <v>99</v>
      </c>
      <c r="N348" s="38"/>
      <c r="O348" s="37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627"/>
      <c r="R348" s="627"/>
      <c r="S348" s="627"/>
      <c r="T348" s="62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572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573</v>
      </c>
      <c r="B349" s="63" t="s">
        <v>574</v>
      </c>
      <c r="C349" s="36">
        <v>4301011867</v>
      </c>
      <c r="D349" s="625">
        <v>4680115884830</v>
      </c>
      <c r="E349" s="625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118</v>
      </c>
      <c r="L349" s="37" t="s">
        <v>119</v>
      </c>
      <c r="M349" s="38" t="s">
        <v>82</v>
      </c>
      <c r="N349" s="38"/>
      <c r="O349" s="37">
        <v>60</v>
      </c>
      <c r="P349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627"/>
      <c r="R349" s="627"/>
      <c r="S349" s="627"/>
      <c r="T349" s="62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575</v>
      </c>
      <c r="AG349" s="78"/>
      <c r="AJ349" s="84" t="s">
        <v>120</v>
      </c>
      <c r="AK349" s="84">
        <v>120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4301011433</v>
      </c>
      <c r="D350" s="625">
        <v>4680115882638</v>
      </c>
      <c r="E350" s="625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123</v>
      </c>
      <c r="L350" s="37" t="s">
        <v>45</v>
      </c>
      <c r="M350" s="38" t="s">
        <v>117</v>
      </c>
      <c r="N350" s="38"/>
      <c r="O350" s="37">
        <v>90</v>
      </c>
      <c r="P350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22" t="s">
        <v>578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579</v>
      </c>
      <c r="B351" s="63" t="s">
        <v>580</v>
      </c>
      <c r="C351" s="36">
        <v>4301011952</v>
      </c>
      <c r="D351" s="625">
        <v>4680115884922</v>
      </c>
      <c r="E351" s="625"/>
      <c r="F351" s="62">
        <v>0.5</v>
      </c>
      <c r="G351" s="37">
        <v>10</v>
      </c>
      <c r="H351" s="62">
        <v>5</v>
      </c>
      <c r="I351" s="62">
        <v>5.19</v>
      </c>
      <c r="J351" s="37">
        <v>132</v>
      </c>
      <c r="K351" s="37" t="s">
        <v>123</v>
      </c>
      <c r="L351" s="37" t="s">
        <v>45</v>
      </c>
      <c r="M351" s="38" t="s">
        <v>82</v>
      </c>
      <c r="N351" s="38"/>
      <c r="O351" s="37">
        <v>60</v>
      </c>
      <c r="P351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569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37.5" customHeight="1" x14ac:dyDescent="0.25">
      <c r="A352" s="63" t="s">
        <v>581</v>
      </c>
      <c r="B352" s="63" t="s">
        <v>582</v>
      </c>
      <c r="C352" s="36">
        <v>4301011868</v>
      </c>
      <c r="D352" s="625">
        <v>4680115884861</v>
      </c>
      <c r="E352" s="625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123</v>
      </c>
      <c r="L352" s="37" t="s">
        <v>45</v>
      </c>
      <c r="M352" s="38" t="s">
        <v>82</v>
      </c>
      <c r="N352" s="38"/>
      <c r="O352" s="37">
        <v>60</v>
      </c>
      <c r="P352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x14ac:dyDescent="0.2">
      <c r="A353" s="633"/>
      <c r="B353" s="633"/>
      <c r="C353" s="633"/>
      <c r="D353" s="633"/>
      <c r="E353" s="633"/>
      <c r="F353" s="633"/>
      <c r="G353" s="633"/>
      <c r="H353" s="633"/>
      <c r="I353" s="633"/>
      <c r="J353" s="633"/>
      <c r="K353" s="633"/>
      <c r="L353" s="633"/>
      <c r="M353" s="633"/>
      <c r="N353" s="633"/>
      <c r="O353" s="634"/>
      <c r="P353" s="630" t="s">
        <v>40</v>
      </c>
      <c r="Q353" s="631"/>
      <c r="R353" s="631"/>
      <c r="S353" s="631"/>
      <c r="T353" s="631"/>
      <c r="U353" s="631"/>
      <c r="V353" s="632"/>
      <c r="W353" s="42" t="s">
        <v>39</v>
      </c>
      <c r="X353" s="43">
        <f>IFERROR(X346/H346,"0")+IFERROR(X347/H347,"0")+IFERROR(X348/H348,"0")+IFERROR(X349/H349,"0")+IFERROR(X350/H350,"0")+IFERROR(X351/H351,"0")+IFERROR(X352/H352,"0")</f>
        <v>0</v>
      </c>
      <c r="Y353" s="43">
        <f>IFERROR(Y346/H346,"0")+IFERROR(Y347/H347,"0")+IFERROR(Y348/H348,"0")+IFERROR(Y349/H349,"0")+IFERROR(Y350/H350,"0")+IFERROR(Y351/H351,"0")+IFERROR(Y352/H352,"0")</f>
        <v>0</v>
      </c>
      <c r="Z353" s="43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67"/>
      <c r="AB353" s="67"/>
      <c r="AC353" s="67"/>
    </row>
    <row r="354" spans="1:68" x14ac:dyDescent="0.2">
      <c r="A354" s="633"/>
      <c r="B354" s="633"/>
      <c r="C354" s="633"/>
      <c r="D354" s="633"/>
      <c r="E354" s="633"/>
      <c r="F354" s="633"/>
      <c r="G354" s="633"/>
      <c r="H354" s="633"/>
      <c r="I354" s="633"/>
      <c r="J354" s="633"/>
      <c r="K354" s="633"/>
      <c r="L354" s="633"/>
      <c r="M354" s="633"/>
      <c r="N354" s="633"/>
      <c r="O354" s="634"/>
      <c r="P354" s="630" t="s">
        <v>40</v>
      </c>
      <c r="Q354" s="631"/>
      <c r="R354" s="631"/>
      <c r="S354" s="631"/>
      <c r="T354" s="631"/>
      <c r="U354" s="631"/>
      <c r="V354" s="632"/>
      <c r="W354" s="42" t="s">
        <v>0</v>
      </c>
      <c r="X354" s="43">
        <f>IFERROR(SUM(X346:X352),"0")</f>
        <v>0</v>
      </c>
      <c r="Y354" s="43">
        <f>IFERROR(SUM(Y346:Y352),"0")</f>
        <v>0</v>
      </c>
      <c r="Z354" s="42"/>
      <c r="AA354" s="67"/>
      <c r="AB354" s="67"/>
      <c r="AC354" s="67"/>
    </row>
    <row r="355" spans="1:68" ht="14.25" customHeight="1" x14ac:dyDescent="0.25">
      <c r="A355" s="624" t="s">
        <v>148</v>
      </c>
      <c r="B355" s="624"/>
      <c r="C355" s="624"/>
      <c r="D355" s="624"/>
      <c r="E355" s="624"/>
      <c r="F355" s="624"/>
      <c r="G355" s="624"/>
      <c r="H355" s="624"/>
      <c r="I355" s="624"/>
      <c r="J355" s="624"/>
      <c r="K355" s="624"/>
      <c r="L355" s="624"/>
      <c r="M355" s="624"/>
      <c r="N355" s="624"/>
      <c r="O355" s="624"/>
      <c r="P355" s="624"/>
      <c r="Q355" s="624"/>
      <c r="R355" s="624"/>
      <c r="S355" s="624"/>
      <c r="T355" s="624"/>
      <c r="U355" s="624"/>
      <c r="V355" s="624"/>
      <c r="W355" s="624"/>
      <c r="X355" s="624"/>
      <c r="Y355" s="624"/>
      <c r="Z355" s="624"/>
      <c r="AA355" s="66"/>
      <c r="AB355" s="66"/>
      <c r="AC355" s="80"/>
    </row>
    <row r="356" spans="1:68" ht="27" customHeight="1" x14ac:dyDescent="0.25">
      <c r="A356" s="63" t="s">
        <v>583</v>
      </c>
      <c r="B356" s="63" t="s">
        <v>584</v>
      </c>
      <c r="C356" s="36">
        <v>4301020178</v>
      </c>
      <c r="D356" s="625">
        <v>4607091383980</v>
      </c>
      <c r="E356" s="625"/>
      <c r="F356" s="62">
        <v>2.5</v>
      </c>
      <c r="G356" s="37">
        <v>6</v>
      </c>
      <c r="H356" s="62">
        <v>15</v>
      </c>
      <c r="I356" s="62">
        <v>15.47</v>
      </c>
      <c r="J356" s="37">
        <v>48</v>
      </c>
      <c r="K356" s="37" t="s">
        <v>118</v>
      </c>
      <c r="L356" s="37" t="s">
        <v>119</v>
      </c>
      <c r="M356" s="38" t="s">
        <v>117</v>
      </c>
      <c r="N356" s="38"/>
      <c r="O356" s="37">
        <v>50</v>
      </c>
      <c r="P356" s="8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IFERROR(IF(Y356=0,"",ROUNDUP(Y356/H356,0)*0.02175),"")</f>
        <v/>
      </c>
      <c r="AA356" s="68" t="s">
        <v>45</v>
      </c>
      <c r="AB356" s="69" t="s">
        <v>45</v>
      </c>
      <c r="AC356" s="428" t="s">
        <v>585</v>
      </c>
      <c r="AG356" s="78"/>
      <c r="AJ356" s="84" t="s">
        <v>120</v>
      </c>
      <c r="AK356" s="84">
        <v>120</v>
      </c>
      <c r="BB356" s="429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586</v>
      </c>
      <c r="B357" s="63" t="s">
        <v>587</v>
      </c>
      <c r="C357" s="36">
        <v>4301020179</v>
      </c>
      <c r="D357" s="625">
        <v>4607091384178</v>
      </c>
      <c r="E357" s="62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123</v>
      </c>
      <c r="L357" s="37" t="s">
        <v>45</v>
      </c>
      <c r="M357" s="38" t="s">
        <v>117</v>
      </c>
      <c r="N357" s="38"/>
      <c r="O357" s="37">
        <v>50</v>
      </c>
      <c r="P357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627"/>
      <c r="R357" s="627"/>
      <c r="S357" s="627"/>
      <c r="T357" s="628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30" t="s">
        <v>588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39</v>
      </c>
      <c r="X358" s="43">
        <f>IFERROR(X356/H356,"0")+IFERROR(X357/H357,"0")</f>
        <v>0</v>
      </c>
      <c r="Y358" s="43">
        <f>IFERROR(Y356/H356,"0")+IFERROR(Y357/H357,"0")</f>
        <v>0</v>
      </c>
      <c r="Z358" s="43">
        <f>IFERROR(IF(Z356="",0,Z356),"0")+IFERROR(IF(Z357="",0,Z357),"0")</f>
        <v>0</v>
      </c>
      <c r="AA358" s="67"/>
      <c r="AB358" s="67"/>
      <c r="AC358" s="67"/>
    </row>
    <row r="359" spans="1:68" x14ac:dyDescent="0.2">
      <c r="A359" s="633"/>
      <c r="B359" s="633"/>
      <c r="C359" s="633"/>
      <c r="D359" s="633"/>
      <c r="E359" s="633"/>
      <c r="F359" s="633"/>
      <c r="G359" s="633"/>
      <c r="H359" s="633"/>
      <c r="I359" s="633"/>
      <c r="J359" s="633"/>
      <c r="K359" s="633"/>
      <c r="L359" s="633"/>
      <c r="M359" s="633"/>
      <c r="N359" s="633"/>
      <c r="O359" s="634"/>
      <c r="P359" s="630" t="s">
        <v>40</v>
      </c>
      <c r="Q359" s="631"/>
      <c r="R359" s="631"/>
      <c r="S359" s="631"/>
      <c r="T359" s="631"/>
      <c r="U359" s="631"/>
      <c r="V359" s="632"/>
      <c r="W359" s="42" t="s">
        <v>0</v>
      </c>
      <c r="X359" s="43">
        <f>IFERROR(SUM(X356:X357),"0")</f>
        <v>0</v>
      </c>
      <c r="Y359" s="43">
        <f>IFERROR(SUM(Y356:Y357),"0")</f>
        <v>0</v>
      </c>
      <c r="Z359" s="42"/>
      <c r="AA359" s="67"/>
      <c r="AB359" s="67"/>
      <c r="AC359" s="67"/>
    </row>
    <row r="360" spans="1:68" ht="14.25" customHeight="1" x14ac:dyDescent="0.25">
      <c r="A360" s="624" t="s">
        <v>88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6"/>
      <c r="AB360" s="66"/>
      <c r="AC360" s="80"/>
    </row>
    <row r="361" spans="1:68" ht="27" customHeight="1" x14ac:dyDescent="0.25">
      <c r="A361" s="63" t="s">
        <v>589</v>
      </c>
      <c r="B361" s="63" t="s">
        <v>590</v>
      </c>
      <c r="C361" s="36">
        <v>4301051903</v>
      </c>
      <c r="D361" s="625">
        <v>4607091383928</v>
      </c>
      <c r="E361" s="625"/>
      <c r="F361" s="62">
        <v>1.5</v>
      </c>
      <c r="G361" s="37">
        <v>6</v>
      </c>
      <c r="H361" s="62">
        <v>9</v>
      </c>
      <c r="I361" s="62">
        <v>9.5</v>
      </c>
      <c r="J361" s="37">
        <v>64</v>
      </c>
      <c r="K361" s="37" t="s">
        <v>118</v>
      </c>
      <c r="L361" s="37" t="s">
        <v>45</v>
      </c>
      <c r="M361" s="38" t="s">
        <v>92</v>
      </c>
      <c r="N361" s="38"/>
      <c r="O361" s="37">
        <v>40</v>
      </c>
      <c r="P361" s="80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45</v>
      </c>
      <c r="AB361" s="69" t="s">
        <v>45</v>
      </c>
      <c r="AC361" s="432" t="s">
        <v>591</v>
      </c>
      <c r="AG361" s="78"/>
      <c r="AJ361" s="84" t="s">
        <v>45</v>
      </c>
      <c r="AK361" s="84">
        <v>0</v>
      </c>
      <c r="BB361" s="43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592</v>
      </c>
      <c r="B362" s="63" t="s">
        <v>593</v>
      </c>
      <c r="C362" s="36">
        <v>4301051897</v>
      </c>
      <c r="D362" s="625">
        <v>4607091384260</v>
      </c>
      <c r="E362" s="625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118</v>
      </c>
      <c r="L362" s="37" t="s">
        <v>45</v>
      </c>
      <c r="M362" s="38" t="s">
        <v>92</v>
      </c>
      <c r="N362" s="38"/>
      <c r="O362" s="37">
        <v>40</v>
      </c>
      <c r="P362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627"/>
      <c r="R362" s="627"/>
      <c r="S362" s="627"/>
      <c r="T362" s="628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594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39</v>
      </c>
      <c r="X363" s="43">
        <f>IFERROR(X361/H361,"0")+IFERROR(X362/H362,"0")</f>
        <v>0</v>
      </c>
      <c r="Y363" s="43">
        <f>IFERROR(Y361/H361,"0")+IFERROR(Y362/H362,"0")</f>
        <v>0</v>
      </c>
      <c r="Z363" s="43">
        <f>IFERROR(IF(Z361="",0,Z361),"0")+IFERROR(IF(Z362="",0,Z362),"0")</f>
        <v>0</v>
      </c>
      <c r="AA363" s="67"/>
      <c r="AB363" s="67"/>
      <c r="AC363" s="67"/>
    </row>
    <row r="364" spans="1:68" x14ac:dyDescent="0.2">
      <c r="A364" s="633"/>
      <c r="B364" s="633"/>
      <c r="C364" s="633"/>
      <c r="D364" s="633"/>
      <c r="E364" s="633"/>
      <c r="F364" s="633"/>
      <c r="G364" s="633"/>
      <c r="H364" s="633"/>
      <c r="I364" s="633"/>
      <c r="J364" s="633"/>
      <c r="K364" s="633"/>
      <c r="L364" s="633"/>
      <c r="M364" s="633"/>
      <c r="N364" s="633"/>
      <c r="O364" s="634"/>
      <c r="P364" s="630" t="s">
        <v>40</v>
      </c>
      <c r="Q364" s="631"/>
      <c r="R364" s="631"/>
      <c r="S364" s="631"/>
      <c r="T364" s="631"/>
      <c r="U364" s="631"/>
      <c r="V364" s="632"/>
      <c r="W364" s="42" t="s">
        <v>0</v>
      </c>
      <c r="X364" s="43">
        <f>IFERROR(SUM(X361:X362),"0")</f>
        <v>0</v>
      </c>
      <c r="Y364" s="43">
        <f>IFERROR(SUM(Y361:Y362),"0")</f>
        <v>0</v>
      </c>
      <c r="Z364" s="42"/>
      <c r="AA364" s="67"/>
      <c r="AB364" s="67"/>
      <c r="AC364" s="67"/>
    </row>
    <row r="365" spans="1:68" ht="14.25" customHeight="1" x14ac:dyDescent="0.25">
      <c r="A365" s="624" t="s">
        <v>176</v>
      </c>
      <c r="B365" s="624"/>
      <c r="C365" s="624"/>
      <c r="D365" s="624"/>
      <c r="E365" s="624"/>
      <c r="F365" s="624"/>
      <c r="G365" s="624"/>
      <c r="H365" s="624"/>
      <c r="I365" s="624"/>
      <c r="J365" s="624"/>
      <c r="K365" s="624"/>
      <c r="L365" s="624"/>
      <c r="M365" s="624"/>
      <c r="N365" s="624"/>
      <c r="O365" s="624"/>
      <c r="P365" s="624"/>
      <c r="Q365" s="624"/>
      <c r="R365" s="624"/>
      <c r="S365" s="624"/>
      <c r="T365" s="624"/>
      <c r="U365" s="624"/>
      <c r="V365" s="624"/>
      <c r="W365" s="624"/>
      <c r="X365" s="624"/>
      <c r="Y365" s="624"/>
      <c r="Z365" s="624"/>
      <c r="AA365" s="66"/>
      <c r="AB365" s="66"/>
      <c r="AC365" s="80"/>
    </row>
    <row r="366" spans="1:68" ht="16.5" customHeight="1" x14ac:dyDescent="0.25">
      <c r="A366" s="63" t="s">
        <v>595</v>
      </c>
      <c r="B366" s="63" t="s">
        <v>596</v>
      </c>
      <c r="C366" s="36">
        <v>4301060524</v>
      </c>
      <c r="D366" s="625">
        <v>4607091384673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118</v>
      </c>
      <c r="L366" s="37" t="s">
        <v>45</v>
      </c>
      <c r="M366" s="38" t="s">
        <v>92</v>
      </c>
      <c r="N366" s="38"/>
      <c r="O366" s="37">
        <v>40</v>
      </c>
      <c r="P366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36" t="s">
        <v>597</v>
      </c>
      <c r="AG366" s="78"/>
      <c r="AJ366" s="84" t="s">
        <v>45</v>
      </c>
      <c r="AK366" s="84">
        <v>0</v>
      </c>
      <c r="BB366" s="437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IFERROR(X366/H366,"0")</f>
        <v>0</v>
      </c>
      <c r="Y367" s="43">
        <f>IFERROR(Y366/H366,"0")</f>
        <v>0</v>
      </c>
      <c r="Z367" s="43">
        <f>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IFERROR(SUM(X366:X366),"0")</f>
        <v>0</v>
      </c>
      <c r="Y368" s="43">
        <f>IFERROR(SUM(Y366:Y366),"0")</f>
        <v>0</v>
      </c>
      <c r="Z368" s="42"/>
      <c r="AA368" s="67"/>
      <c r="AB368" s="67"/>
      <c r="AC368" s="67"/>
    </row>
    <row r="369" spans="1:68" ht="16.5" customHeight="1" x14ac:dyDescent="0.25">
      <c r="A369" s="623" t="s">
        <v>598</v>
      </c>
      <c r="B369" s="623"/>
      <c r="C369" s="623"/>
      <c r="D369" s="623"/>
      <c r="E369" s="623"/>
      <c r="F369" s="623"/>
      <c r="G369" s="623"/>
      <c r="H369" s="623"/>
      <c r="I369" s="623"/>
      <c r="J369" s="623"/>
      <c r="K369" s="623"/>
      <c r="L369" s="623"/>
      <c r="M369" s="623"/>
      <c r="N369" s="623"/>
      <c r="O369" s="623"/>
      <c r="P369" s="623"/>
      <c r="Q369" s="623"/>
      <c r="R369" s="623"/>
      <c r="S369" s="623"/>
      <c r="T369" s="623"/>
      <c r="U369" s="623"/>
      <c r="V369" s="623"/>
      <c r="W369" s="623"/>
      <c r="X369" s="623"/>
      <c r="Y369" s="623"/>
      <c r="Z369" s="623"/>
      <c r="AA369" s="65"/>
      <c r="AB369" s="65"/>
      <c r="AC369" s="79"/>
    </row>
    <row r="370" spans="1:68" ht="14.25" customHeight="1" x14ac:dyDescent="0.25">
      <c r="A370" s="624" t="s">
        <v>113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6"/>
      <c r="AB370" s="66"/>
      <c r="AC370" s="80"/>
    </row>
    <row r="371" spans="1:68" ht="37.5" customHeight="1" x14ac:dyDescent="0.25">
      <c r="A371" s="63" t="s">
        <v>599</v>
      </c>
      <c r="B371" s="63" t="s">
        <v>600</v>
      </c>
      <c r="C371" s="36">
        <v>4301011875</v>
      </c>
      <c r="D371" s="625">
        <v>4680115884885</v>
      </c>
      <c r="E371" s="625"/>
      <c r="F371" s="62">
        <v>0.8</v>
      </c>
      <c r="G371" s="37">
        <v>15</v>
      </c>
      <c r="H371" s="62">
        <v>12</v>
      </c>
      <c r="I371" s="62">
        <v>12.41</v>
      </c>
      <c r="J371" s="37">
        <v>64</v>
      </c>
      <c r="K371" s="37" t="s">
        <v>118</v>
      </c>
      <c r="L371" s="37" t="s">
        <v>45</v>
      </c>
      <c r="M371" s="38" t="s">
        <v>82</v>
      </c>
      <c r="N371" s="38"/>
      <c r="O371" s="37">
        <v>60</v>
      </c>
      <c r="P371" s="8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627"/>
      <c r="R371" s="627"/>
      <c r="S371" s="627"/>
      <c r="T371" s="628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45</v>
      </c>
      <c r="AB371" s="69" t="s">
        <v>45</v>
      </c>
      <c r="AC371" s="438" t="s">
        <v>601</v>
      </c>
      <c r="AG371" s="78"/>
      <c r="AJ371" s="84" t="s">
        <v>45</v>
      </c>
      <c r="AK371" s="84">
        <v>0</v>
      </c>
      <c r="BB371" s="439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37.5" customHeight="1" x14ac:dyDescent="0.25">
      <c r="A372" s="63" t="s">
        <v>602</v>
      </c>
      <c r="B372" s="63" t="s">
        <v>603</v>
      </c>
      <c r="C372" s="36">
        <v>4301011871</v>
      </c>
      <c r="D372" s="625">
        <v>4680115884908</v>
      </c>
      <c r="E372" s="625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123</v>
      </c>
      <c r="L372" s="37" t="s">
        <v>45</v>
      </c>
      <c r="M372" s="38" t="s">
        <v>82</v>
      </c>
      <c r="N372" s="38"/>
      <c r="O372" s="37">
        <v>60</v>
      </c>
      <c r="P372" s="8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627"/>
      <c r="R372" s="627"/>
      <c r="S372" s="627"/>
      <c r="T372" s="628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40" t="s">
        <v>601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">
      <c r="A373" s="633"/>
      <c r="B373" s="633"/>
      <c r="C373" s="633"/>
      <c r="D373" s="633"/>
      <c r="E373" s="633"/>
      <c r="F373" s="633"/>
      <c r="G373" s="633"/>
      <c r="H373" s="633"/>
      <c r="I373" s="633"/>
      <c r="J373" s="633"/>
      <c r="K373" s="633"/>
      <c r="L373" s="633"/>
      <c r="M373" s="633"/>
      <c r="N373" s="633"/>
      <c r="O373" s="634"/>
      <c r="P373" s="630" t="s">
        <v>40</v>
      </c>
      <c r="Q373" s="631"/>
      <c r="R373" s="631"/>
      <c r="S373" s="631"/>
      <c r="T373" s="631"/>
      <c r="U373" s="631"/>
      <c r="V373" s="632"/>
      <c r="W373" s="42" t="s">
        <v>39</v>
      </c>
      <c r="X373" s="43">
        <f>IFERROR(X371/H371,"0")+IFERROR(X372/H372,"0")</f>
        <v>0</v>
      </c>
      <c r="Y373" s="43">
        <f>IFERROR(Y371/H371,"0")+IFERROR(Y372/H372,"0")</f>
        <v>0</v>
      </c>
      <c r="Z373" s="43">
        <f>IFERROR(IF(Z371="",0,Z371),"0")+IFERROR(IF(Z372="",0,Z372),"0")</f>
        <v>0</v>
      </c>
      <c r="AA373" s="67"/>
      <c r="AB373" s="67"/>
      <c r="AC373" s="67"/>
    </row>
    <row r="374" spans="1:68" x14ac:dyDescent="0.2">
      <c r="A374" s="633"/>
      <c r="B374" s="633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4"/>
      <c r="P374" s="630" t="s">
        <v>40</v>
      </c>
      <c r="Q374" s="631"/>
      <c r="R374" s="631"/>
      <c r="S374" s="631"/>
      <c r="T374" s="631"/>
      <c r="U374" s="631"/>
      <c r="V374" s="632"/>
      <c r="W374" s="42" t="s">
        <v>0</v>
      </c>
      <c r="X374" s="43">
        <f>IFERROR(SUM(X371:X372),"0")</f>
        <v>0</v>
      </c>
      <c r="Y374" s="43">
        <f>IFERROR(SUM(Y371:Y372),"0")</f>
        <v>0</v>
      </c>
      <c r="Z374" s="42"/>
      <c r="AA374" s="67"/>
      <c r="AB374" s="67"/>
      <c r="AC374" s="67"/>
    </row>
    <row r="375" spans="1:68" ht="14.25" customHeight="1" x14ac:dyDescent="0.25">
      <c r="A375" s="624" t="s">
        <v>78</v>
      </c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6"/>
      <c r="AB375" s="66"/>
      <c r="AC375" s="80"/>
    </row>
    <row r="376" spans="1:68" ht="27" customHeight="1" x14ac:dyDescent="0.25">
      <c r="A376" s="63" t="s">
        <v>604</v>
      </c>
      <c r="B376" s="63" t="s">
        <v>605</v>
      </c>
      <c r="C376" s="36">
        <v>4301031457</v>
      </c>
      <c r="D376" s="625">
        <v>4607091384802</v>
      </c>
      <c r="E376" s="6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123</v>
      </c>
      <c r="L376" s="37" t="s">
        <v>45</v>
      </c>
      <c r="M376" s="38" t="s">
        <v>82</v>
      </c>
      <c r="N376" s="38"/>
      <c r="O376" s="37">
        <v>50</v>
      </c>
      <c r="P376" s="8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2" t="s">
        <v>606</v>
      </c>
      <c r="AG376" s="78"/>
      <c r="AJ376" s="84" t="s">
        <v>45</v>
      </c>
      <c r="AK376" s="84">
        <v>0</v>
      </c>
      <c r="BB376" s="443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604</v>
      </c>
      <c r="B377" s="63" t="s">
        <v>607</v>
      </c>
      <c r="C377" s="36">
        <v>4301031303</v>
      </c>
      <c r="D377" s="625">
        <v>4607091384802</v>
      </c>
      <c r="E377" s="6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123</v>
      </c>
      <c r="L377" s="37" t="s">
        <v>45</v>
      </c>
      <c r="M377" s="38" t="s">
        <v>82</v>
      </c>
      <c r="N377" s="38"/>
      <c r="O377" s="37">
        <v>35</v>
      </c>
      <c r="P377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627"/>
      <c r="R377" s="627"/>
      <c r="S377" s="627"/>
      <c r="T377" s="628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608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x14ac:dyDescent="0.2">
      <c r="A379" s="633"/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4"/>
      <c r="P379" s="630" t="s">
        <v>40</v>
      </c>
      <c r="Q379" s="631"/>
      <c r="R379" s="631"/>
      <c r="S379" s="631"/>
      <c r="T379" s="631"/>
      <c r="U379" s="631"/>
      <c r="V379" s="632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customHeight="1" x14ac:dyDescent="0.25">
      <c r="A380" s="624" t="s">
        <v>88</v>
      </c>
      <c r="B380" s="624"/>
      <c r="C380" s="624"/>
      <c r="D380" s="624"/>
      <c r="E380" s="624"/>
      <c r="F380" s="624"/>
      <c r="G380" s="624"/>
      <c r="H380" s="624"/>
      <c r="I380" s="624"/>
      <c r="J380" s="624"/>
      <c r="K380" s="624"/>
      <c r="L380" s="624"/>
      <c r="M380" s="624"/>
      <c r="N380" s="624"/>
      <c r="O380" s="624"/>
      <c r="P380" s="624"/>
      <c r="Q380" s="624"/>
      <c r="R380" s="624"/>
      <c r="S380" s="624"/>
      <c r="T380" s="624"/>
      <c r="U380" s="624"/>
      <c r="V380" s="624"/>
      <c r="W380" s="624"/>
      <c r="X380" s="624"/>
      <c r="Y380" s="624"/>
      <c r="Z380" s="624"/>
      <c r="AA380" s="66"/>
      <c r="AB380" s="66"/>
      <c r="AC380" s="80"/>
    </row>
    <row r="381" spans="1:68" ht="27" customHeight="1" x14ac:dyDescent="0.25">
      <c r="A381" s="63" t="s">
        <v>609</v>
      </c>
      <c r="B381" s="63" t="s">
        <v>610</v>
      </c>
      <c r="C381" s="36">
        <v>4301051899</v>
      </c>
      <c r="D381" s="625">
        <v>4607091384246</v>
      </c>
      <c r="E381" s="625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118</v>
      </c>
      <c r="L381" s="37" t="s">
        <v>119</v>
      </c>
      <c r="M381" s="38" t="s">
        <v>92</v>
      </c>
      <c r="N381" s="38"/>
      <c r="O381" s="37">
        <v>40</v>
      </c>
      <c r="P381" s="8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7"/>
      <c r="R381" s="627"/>
      <c r="S381" s="627"/>
      <c r="T381" s="62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611</v>
      </c>
      <c r="AG381" s="78"/>
      <c r="AJ381" s="84" t="s">
        <v>120</v>
      </c>
      <c r="AK381" s="84">
        <v>72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612</v>
      </c>
      <c r="B382" s="63" t="s">
        <v>613</v>
      </c>
      <c r="C382" s="36">
        <v>4301052069</v>
      </c>
      <c r="D382" s="625">
        <v>4607091384253</v>
      </c>
      <c r="E382" s="625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45</v>
      </c>
      <c r="M382" s="38" t="s">
        <v>92</v>
      </c>
      <c r="N382" s="38"/>
      <c r="O382" s="37">
        <v>40</v>
      </c>
      <c r="P382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2" s="627"/>
      <c r="R382" s="627"/>
      <c r="S382" s="627"/>
      <c r="T382" s="628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614</v>
      </c>
      <c r="AG382" s="78"/>
      <c r="AJ382" s="84" t="s">
        <v>45</v>
      </c>
      <c r="AK382" s="84">
        <v>0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612</v>
      </c>
      <c r="B383" s="63" t="s">
        <v>615</v>
      </c>
      <c r="C383" s="36">
        <v>4301051660</v>
      </c>
      <c r="D383" s="625">
        <v>4607091384253</v>
      </c>
      <c r="E383" s="625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627"/>
      <c r="R383" s="627"/>
      <c r="S383" s="627"/>
      <c r="T383" s="628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611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33"/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4"/>
      <c r="P385" s="630" t="s">
        <v>40</v>
      </c>
      <c r="Q385" s="631"/>
      <c r="R385" s="631"/>
      <c r="S385" s="631"/>
      <c r="T385" s="631"/>
      <c r="U385" s="631"/>
      <c r="V385" s="632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22" t="s">
        <v>616</v>
      </c>
      <c r="B386" s="622"/>
      <c r="C386" s="622"/>
      <c r="D386" s="622"/>
      <c r="E386" s="622"/>
      <c r="F386" s="622"/>
      <c r="G386" s="622"/>
      <c r="H386" s="622"/>
      <c r="I386" s="622"/>
      <c r="J386" s="622"/>
      <c r="K386" s="622"/>
      <c r="L386" s="622"/>
      <c r="M386" s="622"/>
      <c r="N386" s="622"/>
      <c r="O386" s="622"/>
      <c r="P386" s="622"/>
      <c r="Q386" s="622"/>
      <c r="R386" s="622"/>
      <c r="S386" s="622"/>
      <c r="T386" s="622"/>
      <c r="U386" s="622"/>
      <c r="V386" s="622"/>
      <c r="W386" s="622"/>
      <c r="X386" s="622"/>
      <c r="Y386" s="622"/>
      <c r="Z386" s="622"/>
      <c r="AA386" s="54"/>
      <c r="AB386" s="54"/>
      <c r="AC386" s="54"/>
    </row>
    <row r="387" spans="1:68" ht="16.5" customHeight="1" x14ac:dyDescent="0.25">
      <c r="A387" s="623" t="s">
        <v>617</v>
      </c>
      <c r="B387" s="623"/>
      <c r="C387" s="623"/>
      <c r="D387" s="623"/>
      <c r="E387" s="623"/>
      <c r="F387" s="623"/>
      <c r="G387" s="623"/>
      <c r="H387" s="623"/>
      <c r="I387" s="623"/>
      <c r="J387" s="623"/>
      <c r="K387" s="623"/>
      <c r="L387" s="623"/>
      <c r="M387" s="623"/>
      <c r="N387" s="623"/>
      <c r="O387" s="623"/>
      <c r="P387" s="623"/>
      <c r="Q387" s="623"/>
      <c r="R387" s="623"/>
      <c r="S387" s="623"/>
      <c r="T387" s="623"/>
      <c r="U387" s="623"/>
      <c r="V387" s="623"/>
      <c r="W387" s="623"/>
      <c r="X387" s="623"/>
      <c r="Y387" s="623"/>
      <c r="Z387" s="623"/>
      <c r="AA387" s="65"/>
      <c r="AB387" s="65"/>
      <c r="AC387" s="79"/>
    </row>
    <row r="388" spans="1:68" ht="14.25" customHeight="1" x14ac:dyDescent="0.25">
      <c r="A388" s="624" t="s">
        <v>78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66"/>
      <c r="AB388" s="66"/>
      <c r="AC388" s="80"/>
    </row>
    <row r="389" spans="1:68" ht="27" customHeight="1" x14ac:dyDescent="0.25">
      <c r="A389" s="63" t="s">
        <v>618</v>
      </c>
      <c r="B389" s="63" t="s">
        <v>619</v>
      </c>
      <c r="C389" s="36">
        <v>4301031405</v>
      </c>
      <c r="D389" s="625">
        <v>4680115886100</v>
      </c>
      <c r="E389" s="625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123</v>
      </c>
      <c r="L389" s="37" t="s">
        <v>219</v>
      </c>
      <c r="M389" s="38" t="s">
        <v>82</v>
      </c>
      <c r="N389" s="38"/>
      <c r="O389" s="37">
        <v>50</v>
      </c>
      <c r="P389" s="8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7"/>
      <c r="R389" s="627"/>
      <c r="S389" s="627"/>
      <c r="T389" s="62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620</v>
      </c>
      <c r="AG389" s="78"/>
      <c r="AJ389" s="84" t="s">
        <v>120</v>
      </c>
      <c r="AK389" s="84">
        <v>64.8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621</v>
      </c>
      <c r="B390" s="63" t="s">
        <v>622</v>
      </c>
      <c r="C390" s="36">
        <v>4301031406</v>
      </c>
      <c r="D390" s="625">
        <v>4680115886117</v>
      </c>
      <c r="E390" s="625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123</v>
      </c>
      <c r="L390" s="37" t="s">
        <v>45</v>
      </c>
      <c r="M390" s="38" t="s">
        <v>82</v>
      </c>
      <c r="N390" s="38"/>
      <c r="O390" s="37">
        <v>50</v>
      </c>
      <c r="P390" s="81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7"/>
      <c r="R390" s="627"/>
      <c r="S390" s="627"/>
      <c r="T390" s="62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623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624</v>
      </c>
      <c r="B391" s="63" t="s">
        <v>625</v>
      </c>
      <c r="C391" s="36">
        <v>4301031402</v>
      </c>
      <c r="D391" s="625">
        <v>4680115886124</v>
      </c>
      <c r="E391" s="625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123</v>
      </c>
      <c r="L391" s="37" t="s">
        <v>45</v>
      </c>
      <c r="M391" s="38" t="s">
        <v>82</v>
      </c>
      <c r="N391" s="38"/>
      <c r="O391" s="37">
        <v>50</v>
      </c>
      <c r="P391" s="8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7"/>
      <c r="R391" s="627"/>
      <c r="S391" s="627"/>
      <c r="T391" s="62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627</v>
      </c>
      <c r="B392" s="63" t="s">
        <v>628</v>
      </c>
      <c r="C392" s="36">
        <v>4301031366</v>
      </c>
      <c r="D392" s="625">
        <v>4680115883147</v>
      </c>
      <c r="E392" s="625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620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629</v>
      </c>
      <c r="B393" s="63" t="s">
        <v>630</v>
      </c>
      <c r="C393" s="36">
        <v>4301031362</v>
      </c>
      <c r="D393" s="625">
        <v>4607091384338</v>
      </c>
      <c r="E393" s="62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631</v>
      </c>
      <c r="B394" s="63" t="s">
        <v>632</v>
      </c>
      <c r="C394" s="36">
        <v>4301031361</v>
      </c>
      <c r="D394" s="625">
        <v>4607091389524</v>
      </c>
      <c r="E394" s="625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633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634</v>
      </c>
      <c r="B395" s="63" t="s">
        <v>635</v>
      </c>
      <c r="C395" s="36">
        <v>4301031364</v>
      </c>
      <c r="D395" s="625">
        <v>4680115883161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636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637</v>
      </c>
      <c r="B396" s="63" t="s">
        <v>638</v>
      </c>
      <c r="C396" s="36">
        <v>4301031358</v>
      </c>
      <c r="D396" s="625">
        <v>4607091389531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639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640</v>
      </c>
      <c r="B397" s="63" t="s">
        <v>641</v>
      </c>
      <c r="C397" s="36">
        <v>4301031360</v>
      </c>
      <c r="D397" s="625">
        <v>4607091384345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636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33"/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4"/>
      <c r="P398" s="630" t="s">
        <v>40</v>
      </c>
      <c r="Q398" s="631"/>
      <c r="R398" s="631"/>
      <c r="S398" s="631"/>
      <c r="T398" s="631"/>
      <c r="U398" s="631"/>
      <c r="V398" s="632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33"/>
      <c r="B399" s="633"/>
      <c r="C399" s="633"/>
      <c r="D399" s="633"/>
      <c r="E399" s="633"/>
      <c r="F399" s="633"/>
      <c r="G399" s="633"/>
      <c r="H399" s="633"/>
      <c r="I399" s="633"/>
      <c r="J399" s="633"/>
      <c r="K399" s="633"/>
      <c r="L399" s="633"/>
      <c r="M399" s="633"/>
      <c r="N399" s="633"/>
      <c r="O399" s="634"/>
      <c r="P399" s="630" t="s">
        <v>40</v>
      </c>
      <c r="Q399" s="631"/>
      <c r="R399" s="631"/>
      <c r="S399" s="631"/>
      <c r="T399" s="631"/>
      <c r="U399" s="631"/>
      <c r="V399" s="632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4" t="s">
        <v>88</v>
      </c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4"/>
      <c r="P400" s="624"/>
      <c r="Q400" s="624"/>
      <c r="R400" s="624"/>
      <c r="S400" s="624"/>
      <c r="T400" s="624"/>
      <c r="U400" s="624"/>
      <c r="V400" s="624"/>
      <c r="W400" s="624"/>
      <c r="X400" s="624"/>
      <c r="Y400" s="624"/>
      <c r="Z400" s="624"/>
      <c r="AA400" s="66"/>
      <c r="AB400" s="66"/>
      <c r="AC400" s="80"/>
    </row>
    <row r="401" spans="1:68" ht="27" customHeight="1" x14ac:dyDescent="0.25">
      <c r="A401" s="63" t="s">
        <v>642</v>
      </c>
      <c r="B401" s="63" t="s">
        <v>643</v>
      </c>
      <c r="C401" s="36">
        <v>4301051284</v>
      </c>
      <c r="D401" s="625">
        <v>4607091384352</v>
      </c>
      <c r="E401" s="625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123</v>
      </c>
      <c r="L401" s="37" t="s">
        <v>45</v>
      </c>
      <c r="M401" s="38" t="s">
        <v>92</v>
      </c>
      <c r="N401" s="38"/>
      <c r="O401" s="37">
        <v>45</v>
      </c>
      <c r="P40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7"/>
      <c r="R401" s="627"/>
      <c r="S401" s="627"/>
      <c r="T401" s="628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644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645</v>
      </c>
      <c r="B402" s="63" t="s">
        <v>646</v>
      </c>
      <c r="C402" s="36">
        <v>4301051431</v>
      </c>
      <c r="D402" s="625">
        <v>4607091389654</v>
      </c>
      <c r="E402" s="625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7"/>
      <c r="R402" s="627"/>
      <c r="S402" s="627"/>
      <c r="T402" s="628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647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33"/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4"/>
      <c r="P404" s="630" t="s">
        <v>40</v>
      </c>
      <c r="Q404" s="631"/>
      <c r="R404" s="631"/>
      <c r="S404" s="631"/>
      <c r="T404" s="631"/>
      <c r="U404" s="631"/>
      <c r="V404" s="632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23" t="s">
        <v>648</v>
      </c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3"/>
      <c r="P405" s="623"/>
      <c r="Q405" s="623"/>
      <c r="R405" s="623"/>
      <c r="S405" s="623"/>
      <c r="T405" s="623"/>
      <c r="U405" s="623"/>
      <c r="V405" s="623"/>
      <c r="W405" s="623"/>
      <c r="X405" s="623"/>
      <c r="Y405" s="623"/>
      <c r="Z405" s="623"/>
      <c r="AA405" s="65"/>
      <c r="AB405" s="65"/>
      <c r="AC405" s="79"/>
    </row>
    <row r="406" spans="1:68" ht="14.25" customHeight="1" x14ac:dyDescent="0.25">
      <c r="A406" s="624" t="s">
        <v>148</v>
      </c>
      <c r="B406" s="624"/>
      <c r="C406" s="624"/>
      <c r="D406" s="624"/>
      <c r="E406" s="624"/>
      <c r="F406" s="624"/>
      <c r="G406" s="624"/>
      <c r="H406" s="624"/>
      <c r="I406" s="624"/>
      <c r="J406" s="624"/>
      <c r="K406" s="624"/>
      <c r="L406" s="624"/>
      <c r="M406" s="624"/>
      <c r="N406" s="624"/>
      <c r="O406" s="624"/>
      <c r="P406" s="624"/>
      <c r="Q406" s="624"/>
      <c r="R406" s="624"/>
      <c r="S406" s="624"/>
      <c r="T406" s="624"/>
      <c r="U406" s="624"/>
      <c r="V406" s="624"/>
      <c r="W406" s="624"/>
      <c r="X406" s="624"/>
      <c r="Y406" s="624"/>
      <c r="Z406" s="624"/>
      <c r="AA406" s="66"/>
      <c r="AB406" s="66"/>
      <c r="AC406" s="80"/>
    </row>
    <row r="407" spans="1:68" ht="27" customHeight="1" x14ac:dyDescent="0.25">
      <c r="A407" s="63" t="s">
        <v>649</v>
      </c>
      <c r="B407" s="63" t="s">
        <v>650</v>
      </c>
      <c r="C407" s="36">
        <v>4301020319</v>
      </c>
      <c r="D407" s="625">
        <v>4680115885240</v>
      </c>
      <c r="E407" s="625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7"/>
      <c r="R407" s="627"/>
      <c r="S407" s="627"/>
      <c r="T407" s="62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651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4" t="s">
        <v>78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6"/>
      <c r="AB410" s="66"/>
      <c r="AC410" s="80"/>
    </row>
    <row r="411" spans="1:68" ht="27" customHeight="1" x14ac:dyDescent="0.25">
      <c r="A411" s="63" t="s">
        <v>652</v>
      </c>
      <c r="B411" s="63" t="s">
        <v>653</v>
      </c>
      <c r="C411" s="36">
        <v>4301031403</v>
      </c>
      <c r="D411" s="625">
        <v>4680115886094</v>
      </c>
      <c r="E411" s="625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123</v>
      </c>
      <c r="L411" s="37" t="s">
        <v>219</v>
      </c>
      <c r="M411" s="38" t="s">
        <v>117</v>
      </c>
      <c r="N411" s="38"/>
      <c r="O411" s="37">
        <v>50</v>
      </c>
      <c r="P411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7"/>
      <c r="R411" s="627"/>
      <c r="S411" s="627"/>
      <c r="T411" s="628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654</v>
      </c>
      <c r="AG411" s="78"/>
      <c r="AJ411" s="84" t="s">
        <v>120</v>
      </c>
      <c r="AK411" s="84">
        <v>64.8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655</v>
      </c>
      <c r="B412" s="63" t="s">
        <v>656</v>
      </c>
      <c r="C412" s="36">
        <v>4301031363</v>
      </c>
      <c r="D412" s="625">
        <v>4607091389425</v>
      </c>
      <c r="E412" s="62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7"/>
      <c r="R412" s="627"/>
      <c r="S412" s="627"/>
      <c r="T412" s="628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657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658</v>
      </c>
      <c r="B413" s="63" t="s">
        <v>659</v>
      </c>
      <c r="C413" s="36">
        <v>4301031373</v>
      </c>
      <c r="D413" s="625">
        <v>4680115880771</v>
      </c>
      <c r="E413" s="625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7"/>
      <c r="R413" s="627"/>
      <c r="S413" s="627"/>
      <c r="T413" s="628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660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661</v>
      </c>
      <c r="B414" s="63" t="s">
        <v>662</v>
      </c>
      <c r="C414" s="36">
        <v>4301031359</v>
      </c>
      <c r="D414" s="625">
        <v>4607091389500</v>
      </c>
      <c r="E414" s="625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23" t="s">
        <v>663</v>
      </c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3"/>
      <c r="P417" s="623"/>
      <c r="Q417" s="623"/>
      <c r="R417" s="623"/>
      <c r="S417" s="623"/>
      <c r="T417" s="623"/>
      <c r="U417" s="623"/>
      <c r="V417" s="623"/>
      <c r="W417" s="623"/>
      <c r="X417" s="623"/>
      <c r="Y417" s="623"/>
      <c r="Z417" s="623"/>
      <c r="AA417" s="65"/>
      <c r="AB417" s="65"/>
      <c r="AC417" s="79"/>
    </row>
    <row r="418" spans="1:68" ht="14.25" customHeight="1" x14ac:dyDescent="0.25">
      <c r="A418" s="624" t="s">
        <v>78</v>
      </c>
      <c r="B418" s="624"/>
      <c r="C418" s="624"/>
      <c r="D418" s="624"/>
      <c r="E418" s="624"/>
      <c r="F418" s="624"/>
      <c r="G418" s="624"/>
      <c r="H418" s="624"/>
      <c r="I418" s="624"/>
      <c r="J418" s="624"/>
      <c r="K418" s="624"/>
      <c r="L418" s="624"/>
      <c r="M418" s="624"/>
      <c r="N418" s="624"/>
      <c r="O418" s="624"/>
      <c r="P418" s="624"/>
      <c r="Q418" s="624"/>
      <c r="R418" s="624"/>
      <c r="S418" s="624"/>
      <c r="T418" s="624"/>
      <c r="U418" s="624"/>
      <c r="V418" s="624"/>
      <c r="W418" s="624"/>
      <c r="X418" s="624"/>
      <c r="Y418" s="624"/>
      <c r="Z418" s="624"/>
      <c r="AA418" s="66"/>
      <c r="AB418" s="66"/>
      <c r="AC418" s="80"/>
    </row>
    <row r="419" spans="1:68" ht="27" customHeight="1" x14ac:dyDescent="0.25">
      <c r="A419" s="63" t="s">
        <v>664</v>
      </c>
      <c r="B419" s="63" t="s">
        <v>665</v>
      </c>
      <c r="C419" s="36">
        <v>4301031347</v>
      </c>
      <c r="D419" s="625">
        <v>4680115885110</v>
      </c>
      <c r="E419" s="625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45</v>
      </c>
      <c r="M419" s="38" t="s">
        <v>82</v>
      </c>
      <c r="N419" s="38"/>
      <c r="O419" s="37">
        <v>50</v>
      </c>
      <c r="P419" s="8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7"/>
      <c r="R419" s="627"/>
      <c r="S419" s="627"/>
      <c r="T419" s="628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666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33"/>
      <c r="B420" s="633"/>
      <c r="C420" s="633"/>
      <c r="D420" s="633"/>
      <c r="E420" s="633"/>
      <c r="F420" s="633"/>
      <c r="G420" s="633"/>
      <c r="H420" s="633"/>
      <c r="I420" s="633"/>
      <c r="J420" s="633"/>
      <c r="K420" s="633"/>
      <c r="L420" s="633"/>
      <c r="M420" s="633"/>
      <c r="N420" s="633"/>
      <c r="O420" s="634"/>
      <c r="P420" s="630" t="s">
        <v>40</v>
      </c>
      <c r="Q420" s="631"/>
      <c r="R420" s="631"/>
      <c r="S420" s="631"/>
      <c r="T420" s="631"/>
      <c r="U420" s="631"/>
      <c r="V420" s="632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33"/>
      <c r="B421" s="633"/>
      <c r="C421" s="633"/>
      <c r="D421" s="633"/>
      <c r="E421" s="633"/>
      <c r="F421" s="633"/>
      <c r="G421" s="633"/>
      <c r="H421" s="633"/>
      <c r="I421" s="633"/>
      <c r="J421" s="633"/>
      <c r="K421" s="633"/>
      <c r="L421" s="633"/>
      <c r="M421" s="633"/>
      <c r="N421" s="633"/>
      <c r="O421" s="634"/>
      <c r="P421" s="630" t="s">
        <v>40</v>
      </c>
      <c r="Q421" s="631"/>
      <c r="R421" s="631"/>
      <c r="S421" s="631"/>
      <c r="T421" s="631"/>
      <c r="U421" s="631"/>
      <c r="V421" s="632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22" t="s">
        <v>667</v>
      </c>
      <c r="B422" s="622"/>
      <c r="C422" s="622"/>
      <c r="D422" s="622"/>
      <c r="E422" s="622"/>
      <c r="F422" s="622"/>
      <c r="G422" s="622"/>
      <c r="H422" s="622"/>
      <c r="I422" s="622"/>
      <c r="J422" s="622"/>
      <c r="K422" s="622"/>
      <c r="L422" s="622"/>
      <c r="M422" s="622"/>
      <c r="N422" s="622"/>
      <c r="O422" s="622"/>
      <c r="P422" s="622"/>
      <c r="Q422" s="622"/>
      <c r="R422" s="622"/>
      <c r="S422" s="622"/>
      <c r="T422" s="622"/>
      <c r="U422" s="622"/>
      <c r="V422" s="622"/>
      <c r="W422" s="622"/>
      <c r="X422" s="622"/>
      <c r="Y422" s="622"/>
      <c r="Z422" s="622"/>
      <c r="AA422" s="54"/>
      <c r="AB422" s="54"/>
      <c r="AC422" s="54"/>
    </row>
    <row r="423" spans="1:68" ht="16.5" customHeight="1" x14ac:dyDescent="0.25">
      <c r="A423" s="623" t="s">
        <v>667</v>
      </c>
      <c r="B423" s="623"/>
      <c r="C423" s="623"/>
      <c r="D423" s="623"/>
      <c r="E423" s="623"/>
      <c r="F423" s="623"/>
      <c r="G423" s="623"/>
      <c r="H423" s="623"/>
      <c r="I423" s="623"/>
      <c r="J423" s="623"/>
      <c r="K423" s="623"/>
      <c r="L423" s="623"/>
      <c r="M423" s="623"/>
      <c r="N423" s="623"/>
      <c r="O423" s="623"/>
      <c r="P423" s="623"/>
      <c r="Q423" s="623"/>
      <c r="R423" s="623"/>
      <c r="S423" s="623"/>
      <c r="T423" s="623"/>
      <c r="U423" s="623"/>
      <c r="V423" s="623"/>
      <c r="W423" s="623"/>
      <c r="X423" s="623"/>
      <c r="Y423" s="623"/>
      <c r="Z423" s="623"/>
      <c r="AA423" s="65"/>
      <c r="AB423" s="65"/>
      <c r="AC423" s="79"/>
    </row>
    <row r="424" spans="1:68" ht="14.25" customHeight="1" x14ac:dyDescent="0.25">
      <c r="A424" s="624" t="s">
        <v>113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66"/>
      <c r="AB424" s="66"/>
      <c r="AC424" s="80"/>
    </row>
    <row r="425" spans="1:68" ht="27" customHeight="1" x14ac:dyDescent="0.25">
      <c r="A425" s="63" t="s">
        <v>668</v>
      </c>
      <c r="B425" s="63" t="s">
        <v>669</v>
      </c>
      <c r="C425" s="36">
        <v>4301011795</v>
      </c>
      <c r="D425" s="625">
        <v>4607091389067</v>
      </c>
      <c r="E425" s="625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118</v>
      </c>
      <c r="L425" s="37" t="s">
        <v>45</v>
      </c>
      <c r="M425" s="38" t="s">
        <v>117</v>
      </c>
      <c r="N425" s="38"/>
      <c r="O425" s="37">
        <v>60</v>
      </c>
      <c r="P425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7"/>
      <c r="R425" s="627"/>
      <c r="S425" s="627"/>
      <c r="T425" s="62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116</v>
      </c>
      <c r="AG425" s="78"/>
      <c r="AJ425" s="84" t="s">
        <v>45</v>
      </c>
      <c r="AK425" s="84">
        <v>0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670</v>
      </c>
      <c r="B426" s="63" t="s">
        <v>671</v>
      </c>
      <c r="C426" s="36">
        <v>4301012145</v>
      </c>
      <c r="D426" s="625">
        <v>4607091383522</v>
      </c>
      <c r="E426" s="625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118</v>
      </c>
      <c r="L426" s="37" t="s">
        <v>45</v>
      </c>
      <c r="M426" s="38" t="s">
        <v>117</v>
      </c>
      <c r="N426" s="38"/>
      <c r="O426" s="37">
        <v>60</v>
      </c>
      <c r="P426" s="8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627"/>
      <c r="R426" s="627"/>
      <c r="S426" s="627"/>
      <c r="T426" s="628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672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670</v>
      </c>
      <c r="B427" s="63" t="s">
        <v>673</v>
      </c>
      <c r="C427" s="36">
        <v>4301012210</v>
      </c>
      <c r="D427" s="625">
        <v>4607091383522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118</v>
      </c>
      <c r="L427" s="37" t="s">
        <v>45</v>
      </c>
      <c r="M427" s="38" t="s">
        <v>117</v>
      </c>
      <c r="N427" s="38"/>
      <c r="O427" s="37">
        <v>60</v>
      </c>
      <c r="P427" s="835" t="s">
        <v>674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672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675</v>
      </c>
      <c r="B428" s="63" t="s">
        <v>676</v>
      </c>
      <c r="C428" s="36">
        <v>4301011961</v>
      </c>
      <c r="D428" s="625">
        <v>4680115885271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118</v>
      </c>
      <c r="L428" s="37" t="s">
        <v>45</v>
      </c>
      <c r="M428" s="38" t="s">
        <v>117</v>
      </c>
      <c r="N428" s="38"/>
      <c r="O428" s="37">
        <v>60</v>
      </c>
      <c r="P428" s="8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677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678</v>
      </c>
      <c r="B429" s="63" t="s">
        <v>679</v>
      </c>
      <c r="C429" s="36">
        <v>4301011376</v>
      </c>
      <c r="D429" s="625">
        <v>4680115885226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118</v>
      </c>
      <c r="L429" s="37" t="s">
        <v>119</v>
      </c>
      <c r="M429" s="38" t="s">
        <v>92</v>
      </c>
      <c r="N429" s="38"/>
      <c r="O429" s="37">
        <v>60</v>
      </c>
      <c r="P429" s="8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680</v>
      </c>
      <c r="AG429" s="78"/>
      <c r="AJ429" s="84" t="s">
        <v>120</v>
      </c>
      <c r="AK429" s="84">
        <v>42.24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681</v>
      </c>
      <c r="B430" s="63" t="s">
        <v>682</v>
      </c>
      <c r="C430" s="36">
        <v>4301011774</v>
      </c>
      <c r="D430" s="625">
        <v>4680115884502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118</v>
      </c>
      <c r="L430" s="37" t="s">
        <v>45</v>
      </c>
      <c r="M430" s="38" t="s">
        <v>117</v>
      </c>
      <c r="N430" s="38"/>
      <c r="O430" s="37">
        <v>60</v>
      </c>
      <c r="P430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683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684</v>
      </c>
      <c r="B431" s="63" t="s">
        <v>685</v>
      </c>
      <c r="C431" s="36">
        <v>4301011771</v>
      </c>
      <c r="D431" s="625">
        <v>4607091389104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118</v>
      </c>
      <c r="L431" s="37" t="s">
        <v>119</v>
      </c>
      <c r="M431" s="38" t="s">
        <v>117</v>
      </c>
      <c r="N431" s="38"/>
      <c r="O431" s="37">
        <v>60</v>
      </c>
      <c r="P431" s="8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686</v>
      </c>
      <c r="AG431" s="78"/>
      <c r="AJ431" s="84" t="s">
        <v>120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687</v>
      </c>
      <c r="B432" s="63" t="s">
        <v>688</v>
      </c>
      <c r="C432" s="36">
        <v>4301012125</v>
      </c>
      <c r="D432" s="625">
        <v>4680115886391</v>
      </c>
      <c r="E432" s="625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116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689</v>
      </c>
      <c r="B433" s="63" t="s">
        <v>690</v>
      </c>
      <c r="C433" s="36">
        <v>4301012035</v>
      </c>
      <c r="D433" s="625">
        <v>4680115880603</v>
      </c>
      <c r="E433" s="625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123</v>
      </c>
      <c r="L433" s="37" t="s">
        <v>45</v>
      </c>
      <c r="M433" s="38" t="s">
        <v>117</v>
      </c>
      <c r="N433" s="38"/>
      <c r="O433" s="37">
        <v>60</v>
      </c>
      <c r="P433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116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691</v>
      </c>
      <c r="B434" s="63" t="s">
        <v>692</v>
      </c>
      <c r="C434" s="36">
        <v>4301012036</v>
      </c>
      <c r="D434" s="625">
        <v>4680115882782</v>
      </c>
      <c r="E434" s="625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123</v>
      </c>
      <c r="L434" s="37" t="s">
        <v>45</v>
      </c>
      <c r="M434" s="38" t="s">
        <v>117</v>
      </c>
      <c r="N434" s="38"/>
      <c r="O434" s="37">
        <v>60</v>
      </c>
      <c r="P434" s="8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677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693</v>
      </c>
      <c r="B435" s="63" t="s">
        <v>694</v>
      </c>
      <c r="C435" s="36">
        <v>4301012050</v>
      </c>
      <c r="D435" s="625">
        <v>4680115885479</v>
      </c>
      <c r="E435" s="625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117</v>
      </c>
      <c r="N435" s="38"/>
      <c r="O435" s="37">
        <v>60</v>
      </c>
      <c r="P435" s="8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695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696</v>
      </c>
      <c r="B436" s="63" t="s">
        <v>697</v>
      </c>
      <c r="C436" s="36">
        <v>4301012034</v>
      </c>
      <c r="D436" s="625">
        <v>4607091389982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123</v>
      </c>
      <c r="L436" s="37" t="s">
        <v>45</v>
      </c>
      <c r="M436" s="38" t="s">
        <v>117</v>
      </c>
      <c r="N436" s="38"/>
      <c r="O436" s="37">
        <v>60</v>
      </c>
      <c r="P436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686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33"/>
      <c r="B437" s="633"/>
      <c r="C437" s="633"/>
      <c r="D437" s="633"/>
      <c r="E437" s="633"/>
      <c r="F437" s="633"/>
      <c r="G437" s="633"/>
      <c r="H437" s="633"/>
      <c r="I437" s="633"/>
      <c r="J437" s="633"/>
      <c r="K437" s="633"/>
      <c r="L437" s="633"/>
      <c r="M437" s="633"/>
      <c r="N437" s="633"/>
      <c r="O437" s="634"/>
      <c r="P437" s="630" t="s">
        <v>40</v>
      </c>
      <c r="Q437" s="631"/>
      <c r="R437" s="631"/>
      <c r="S437" s="631"/>
      <c r="T437" s="631"/>
      <c r="U437" s="631"/>
      <c r="V437" s="632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33"/>
      <c r="B438" s="633"/>
      <c r="C438" s="633"/>
      <c r="D438" s="633"/>
      <c r="E438" s="633"/>
      <c r="F438" s="633"/>
      <c r="G438" s="633"/>
      <c r="H438" s="633"/>
      <c r="I438" s="633"/>
      <c r="J438" s="633"/>
      <c r="K438" s="633"/>
      <c r="L438" s="633"/>
      <c r="M438" s="633"/>
      <c r="N438" s="633"/>
      <c r="O438" s="634"/>
      <c r="P438" s="630" t="s">
        <v>40</v>
      </c>
      <c r="Q438" s="631"/>
      <c r="R438" s="631"/>
      <c r="S438" s="631"/>
      <c r="T438" s="631"/>
      <c r="U438" s="631"/>
      <c r="V438" s="632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4" t="s">
        <v>148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6"/>
      <c r="AB439" s="66"/>
      <c r="AC439" s="80"/>
    </row>
    <row r="440" spans="1:68" ht="16.5" customHeight="1" x14ac:dyDescent="0.25">
      <c r="A440" s="63" t="s">
        <v>698</v>
      </c>
      <c r="B440" s="63" t="s">
        <v>699</v>
      </c>
      <c r="C440" s="36">
        <v>4301020334</v>
      </c>
      <c r="D440" s="625">
        <v>4607091388930</v>
      </c>
      <c r="E440" s="625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118</v>
      </c>
      <c r="L440" s="37" t="s">
        <v>119</v>
      </c>
      <c r="M440" s="38" t="s">
        <v>92</v>
      </c>
      <c r="N440" s="38"/>
      <c r="O440" s="37">
        <v>70</v>
      </c>
      <c r="P440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7"/>
      <c r="R440" s="627"/>
      <c r="S440" s="627"/>
      <c r="T440" s="628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700</v>
      </c>
      <c r="AG440" s="78"/>
      <c r="AJ440" s="84" t="s">
        <v>120</v>
      </c>
      <c r="AK440" s="84">
        <v>42.24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701</v>
      </c>
      <c r="B441" s="63" t="s">
        <v>702</v>
      </c>
      <c r="C441" s="36">
        <v>4301020384</v>
      </c>
      <c r="D441" s="625">
        <v>4680115886407</v>
      </c>
      <c r="E441" s="625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92</v>
      </c>
      <c r="N441" s="38"/>
      <c r="O441" s="37">
        <v>70</v>
      </c>
      <c r="P441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7"/>
      <c r="R441" s="627"/>
      <c r="S441" s="627"/>
      <c r="T441" s="628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700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703</v>
      </c>
      <c r="B442" s="63" t="s">
        <v>704</v>
      </c>
      <c r="C442" s="36">
        <v>4301020385</v>
      </c>
      <c r="D442" s="625">
        <v>4680115880054</v>
      </c>
      <c r="E442" s="625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123</v>
      </c>
      <c r="L442" s="37" t="s">
        <v>45</v>
      </c>
      <c r="M442" s="38" t="s">
        <v>117</v>
      </c>
      <c r="N442" s="38"/>
      <c r="O442" s="37">
        <v>70</v>
      </c>
      <c r="P442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700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33"/>
      <c r="B443" s="633"/>
      <c r="C443" s="633"/>
      <c r="D443" s="633"/>
      <c r="E443" s="633"/>
      <c r="F443" s="633"/>
      <c r="G443" s="633"/>
      <c r="H443" s="633"/>
      <c r="I443" s="633"/>
      <c r="J443" s="633"/>
      <c r="K443" s="633"/>
      <c r="L443" s="633"/>
      <c r="M443" s="633"/>
      <c r="N443" s="633"/>
      <c r="O443" s="634"/>
      <c r="P443" s="630" t="s">
        <v>40</v>
      </c>
      <c r="Q443" s="631"/>
      <c r="R443" s="631"/>
      <c r="S443" s="631"/>
      <c r="T443" s="631"/>
      <c r="U443" s="631"/>
      <c r="V443" s="632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33"/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4"/>
      <c r="P444" s="630" t="s">
        <v>40</v>
      </c>
      <c r="Q444" s="631"/>
      <c r="R444" s="631"/>
      <c r="S444" s="631"/>
      <c r="T444" s="631"/>
      <c r="U444" s="631"/>
      <c r="V444" s="632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4" t="s">
        <v>78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6"/>
      <c r="AB445" s="66"/>
      <c r="AC445" s="80"/>
    </row>
    <row r="446" spans="1:68" ht="27" customHeight="1" x14ac:dyDescent="0.25">
      <c r="A446" s="63" t="s">
        <v>705</v>
      </c>
      <c r="B446" s="63" t="s">
        <v>706</v>
      </c>
      <c r="C446" s="36">
        <v>4301031349</v>
      </c>
      <c r="D446" s="625">
        <v>4680115883116</v>
      </c>
      <c r="E446" s="62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118</v>
      </c>
      <c r="L446" s="37" t="s">
        <v>119</v>
      </c>
      <c r="M446" s="38" t="s">
        <v>117</v>
      </c>
      <c r="N446" s="38"/>
      <c r="O446" s="37">
        <v>70</v>
      </c>
      <c r="P446" s="84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7"/>
      <c r="R446" s="627"/>
      <c r="S446" s="627"/>
      <c r="T446" s="62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707</v>
      </c>
      <c r="AG446" s="78"/>
      <c r="AJ446" s="84" t="s">
        <v>120</v>
      </c>
      <c r="AK446" s="84">
        <v>42.24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708</v>
      </c>
      <c r="B447" s="63" t="s">
        <v>709</v>
      </c>
      <c r="C447" s="36">
        <v>4301031350</v>
      </c>
      <c r="D447" s="625">
        <v>4680115883093</v>
      </c>
      <c r="E447" s="62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118</v>
      </c>
      <c r="L447" s="37" t="s">
        <v>119</v>
      </c>
      <c r="M447" s="38" t="s">
        <v>82</v>
      </c>
      <c r="N447" s="38"/>
      <c r="O447" s="37">
        <v>70</v>
      </c>
      <c r="P447" s="84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7"/>
      <c r="R447" s="627"/>
      <c r="S447" s="627"/>
      <c r="T447" s="628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710</v>
      </c>
      <c r="AG447" s="78"/>
      <c r="AJ447" s="84" t="s">
        <v>120</v>
      </c>
      <c r="AK447" s="84">
        <v>42.24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711</v>
      </c>
      <c r="B448" s="63" t="s">
        <v>712</v>
      </c>
      <c r="C448" s="36">
        <v>4301031353</v>
      </c>
      <c r="D448" s="625">
        <v>4680115883109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118</v>
      </c>
      <c r="L448" s="37" t="s">
        <v>119</v>
      </c>
      <c r="M448" s="38" t="s">
        <v>82</v>
      </c>
      <c r="N448" s="38"/>
      <c r="O448" s="37">
        <v>70</v>
      </c>
      <c r="P448" s="85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713</v>
      </c>
      <c r="AG448" s="78"/>
      <c r="AJ448" s="84" t="s">
        <v>120</v>
      </c>
      <c r="AK448" s="84">
        <v>42.24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714</v>
      </c>
      <c r="B449" s="63" t="s">
        <v>715</v>
      </c>
      <c r="C449" s="36">
        <v>4301031419</v>
      </c>
      <c r="D449" s="625">
        <v>4680115882072</v>
      </c>
      <c r="E449" s="625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123</v>
      </c>
      <c r="L449" s="37" t="s">
        <v>45</v>
      </c>
      <c r="M449" s="38" t="s">
        <v>117</v>
      </c>
      <c r="N449" s="38"/>
      <c r="O449" s="37">
        <v>70</v>
      </c>
      <c r="P449" s="85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716</v>
      </c>
      <c r="B450" s="63" t="s">
        <v>717</v>
      </c>
      <c r="C450" s="36">
        <v>4301031418</v>
      </c>
      <c r="D450" s="625">
        <v>4680115882102</v>
      </c>
      <c r="E450" s="625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123</v>
      </c>
      <c r="L450" s="37" t="s">
        <v>45</v>
      </c>
      <c r="M450" s="38" t="s">
        <v>82</v>
      </c>
      <c r="N450" s="38"/>
      <c r="O450" s="37">
        <v>70</v>
      </c>
      <c r="P450" s="8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718</v>
      </c>
      <c r="B451" s="63" t="s">
        <v>719</v>
      </c>
      <c r="C451" s="36">
        <v>4301031417</v>
      </c>
      <c r="D451" s="625">
        <v>4680115882096</v>
      </c>
      <c r="E451" s="625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123</v>
      </c>
      <c r="L451" s="37" t="s">
        <v>45</v>
      </c>
      <c r="M451" s="38" t="s">
        <v>82</v>
      </c>
      <c r="N451" s="38"/>
      <c r="O451" s="37">
        <v>70</v>
      </c>
      <c r="P451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713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33"/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4"/>
      <c r="P453" s="630" t="s">
        <v>40</v>
      </c>
      <c r="Q453" s="631"/>
      <c r="R453" s="631"/>
      <c r="S453" s="631"/>
      <c r="T453" s="631"/>
      <c r="U453" s="631"/>
      <c r="V453" s="632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14.25" customHeight="1" x14ac:dyDescent="0.25">
      <c r="A454" s="624" t="s">
        <v>88</v>
      </c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4"/>
      <c r="P454" s="624"/>
      <c r="Q454" s="624"/>
      <c r="R454" s="624"/>
      <c r="S454" s="624"/>
      <c r="T454" s="624"/>
      <c r="U454" s="624"/>
      <c r="V454" s="624"/>
      <c r="W454" s="624"/>
      <c r="X454" s="624"/>
      <c r="Y454" s="624"/>
      <c r="Z454" s="624"/>
      <c r="AA454" s="66"/>
      <c r="AB454" s="66"/>
      <c r="AC454" s="80"/>
    </row>
    <row r="455" spans="1:68" ht="27" customHeight="1" x14ac:dyDescent="0.25">
      <c r="A455" s="63" t="s">
        <v>720</v>
      </c>
      <c r="B455" s="63" t="s">
        <v>721</v>
      </c>
      <c r="C455" s="36">
        <v>4301051064</v>
      </c>
      <c r="D455" s="625">
        <v>4680115883536</v>
      </c>
      <c r="E455" s="625"/>
      <c r="F455" s="62">
        <v>0.3</v>
      </c>
      <c r="G455" s="37">
        <v>6</v>
      </c>
      <c r="H455" s="62">
        <v>1.8</v>
      </c>
      <c r="I455" s="62">
        <v>2.0459999999999998</v>
      </c>
      <c r="J455" s="37">
        <v>182</v>
      </c>
      <c r="K455" s="37" t="s">
        <v>83</v>
      </c>
      <c r="L455" s="37" t="s">
        <v>45</v>
      </c>
      <c r="M455" s="38" t="s">
        <v>92</v>
      </c>
      <c r="N455" s="38"/>
      <c r="O455" s="37">
        <v>45</v>
      </c>
      <c r="P455" s="85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627"/>
      <c r="R455" s="627"/>
      <c r="S455" s="627"/>
      <c r="T455" s="628"/>
      <c r="U455" s="39" t="s">
        <v>45</v>
      </c>
      <c r="V455" s="39" t="s">
        <v>45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IFERROR(IF(Y455=0,"",ROUNDUP(Y455/H455,0)*0.00651),"")</f>
        <v/>
      </c>
      <c r="AA455" s="68" t="s">
        <v>45</v>
      </c>
      <c r="AB455" s="69" t="s">
        <v>45</v>
      </c>
      <c r="AC455" s="528" t="s">
        <v>722</v>
      </c>
      <c r="AG455" s="78"/>
      <c r="AJ455" s="84" t="s">
        <v>45</v>
      </c>
      <c r="AK455" s="84">
        <v>0</v>
      </c>
      <c r="BB455" s="529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39</v>
      </c>
      <c r="X456" s="43">
        <f>IFERROR(X455/H455,"0")</f>
        <v>0</v>
      </c>
      <c r="Y456" s="43">
        <f>IFERROR(Y455/H455,"0")</f>
        <v>0</v>
      </c>
      <c r="Z456" s="43">
        <f>IFERROR(IF(Z455="",0,Z455),"0")</f>
        <v>0</v>
      </c>
      <c r="AA456" s="67"/>
      <c r="AB456" s="67"/>
      <c r="AC456" s="67"/>
    </row>
    <row r="457" spans="1:68" x14ac:dyDescent="0.2">
      <c r="A457" s="633"/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4"/>
      <c r="P457" s="630" t="s">
        <v>40</v>
      </c>
      <c r="Q457" s="631"/>
      <c r="R457" s="631"/>
      <c r="S457" s="631"/>
      <c r="T457" s="631"/>
      <c r="U457" s="631"/>
      <c r="V457" s="632"/>
      <c r="W457" s="42" t="s">
        <v>0</v>
      </c>
      <c r="X457" s="43">
        <f>IFERROR(SUM(X455:X455),"0")</f>
        <v>0</v>
      </c>
      <c r="Y457" s="43">
        <f>IFERROR(SUM(Y455:Y455),"0")</f>
        <v>0</v>
      </c>
      <c r="Z457" s="42"/>
      <c r="AA457" s="67"/>
      <c r="AB457" s="67"/>
      <c r="AC457" s="67"/>
    </row>
    <row r="458" spans="1:68" ht="27.75" customHeight="1" x14ac:dyDescent="0.2">
      <c r="A458" s="622" t="s">
        <v>723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54"/>
      <c r="AB458" s="54"/>
      <c r="AC458" s="54"/>
    </row>
    <row r="459" spans="1:68" ht="16.5" customHeight="1" x14ac:dyDescent="0.25">
      <c r="A459" s="623" t="s">
        <v>723</v>
      </c>
      <c r="B459" s="623"/>
      <c r="C459" s="623"/>
      <c r="D459" s="623"/>
      <c r="E459" s="623"/>
      <c r="F459" s="623"/>
      <c r="G459" s="623"/>
      <c r="H459" s="623"/>
      <c r="I459" s="623"/>
      <c r="J459" s="623"/>
      <c r="K459" s="623"/>
      <c r="L459" s="623"/>
      <c r="M459" s="623"/>
      <c r="N459" s="623"/>
      <c r="O459" s="623"/>
      <c r="P459" s="623"/>
      <c r="Q459" s="623"/>
      <c r="R459" s="623"/>
      <c r="S459" s="623"/>
      <c r="T459" s="623"/>
      <c r="U459" s="623"/>
      <c r="V459" s="623"/>
      <c r="W459" s="623"/>
      <c r="X459" s="623"/>
      <c r="Y459" s="623"/>
      <c r="Z459" s="623"/>
      <c r="AA459" s="65"/>
      <c r="AB459" s="65"/>
      <c r="AC459" s="79"/>
    </row>
    <row r="460" spans="1:68" ht="14.25" customHeight="1" x14ac:dyDescent="0.25">
      <c r="A460" s="624" t="s">
        <v>113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66"/>
      <c r="AB460" s="66"/>
      <c r="AC460" s="80"/>
    </row>
    <row r="461" spans="1:68" ht="27" customHeight="1" x14ac:dyDescent="0.25">
      <c r="A461" s="63" t="s">
        <v>724</v>
      </c>
      <c r="B461" s="63" t="s">
        <v>725</v>
      </c>
      <c r="C461" s="36">
        <v>4301011763</v>
      </c>
      <c r="D461" s="625">
        <v>4640242181011</v>
      </c>
      <c r="E461" s="625"/>
      <c r="F461" s="62">
        <v>1.35</v>
      </c>
      <c r="G461" s="37">
        <v>8</v>
      </c>
      <c r="H461" s="62">
        <v>10.8</v>
      </c>
      <c r="I461" s="62">
        <v>11.21</v>
      </c>
      <c r="J461" s="37">
        <v>64</v>
      </c>
      <c r="K461" s="37" t="s">
        <v>118</v>
      </c>
      <c r="L461" s="37" t="s">
        <v>45</v>
      </c>
      <c r="M461" s="38" t="s">
        <v>92</v>
      </c>
      <c r="N461" s="38"/>
      <c r="O461" s="37">
        <v>55</v>
      </c>
      <c r="P461" s="8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726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727</v>
      </c>
      <c r="B462" s="63" t="s">
        <v>728</v>
      </c>
      <c r="C462" s="36">
        <v>4301011585</v>
      </c>
      <c r="D462" s="625">
        <v>4640242180441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118</v>
      </c>
      <c r="L462" s="37" t="s">
        <v>45</v>
      </c>
      <c r="M462" s="38" t="s">
        <v>117</v>
      </c>
      <c r="N462" s="38"/>
      <c r="O462" s="37">
        <v>50</v>
      </c>
      <c r="P462" s="85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729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730</v>
      </c>
      <c r="B463" s="63" t="s">
        <v>731</v>
      </c>
      <c r="C463" s="36">
        <v>4301011584</v>
      </c>
      <c r="D463" s="625">
        <v>4640242180564</v>
      </c>
      <c r="E463" s="625"/>
      <c r="F463" s="62">
        <v>1.5</v>
      </c>
      <c r="G463" s="37">
        <v>8</v>
      </c>
      <c r="H463" s="62">
        <v>12</v>
      </c>
      <c r="I463" s="62">
        <v>12.41</v>
      </c>
      <c r="J463" s="37">
        <v>64</v>
      </c>
      <c r="K463" s="37" t="s">
        <v>118</v>
      </c>
      <c r="L463" s="37" t="s">
        <v>45</v>
      </c>
      <c r="M463" s="38" t="s">
        <v>117</v>
      </c>
      <c r="N463" s="38"/>
      <c r="O463" s="37">
        <v>50</v>
      </c>
      <c r="P463" s="8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732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733</v>
      </c>
      <c r="B464" s="63" t="s">
        <v>734</v>
      </c>
      <c r="C464" s="36">
        <v>4301011764</v>
      </c>
      <c r="D464" s="625">
        <v>4640242181189</v>
      </c>
      <c r="E464" s="625"/>
      <c r="F464" s="62">
        <v>0.4</v>
      </c>
      <c r="G464" s="37">
        <v>10</v>
      </c>
      <c r="H464" s="62">
        <v>4</v>
      </c>
      <c r="I464" s="62">
        <v>4.1900000000000004</v>
      </c>
      <c r="J464" s="37">
        <v>132</v>
      </c>
      <c r="K464" s="37" t="s">
        <v>123</v>
      </c>
      <c r="L464" s="37" t="s">
        <v>45</v>
      </c>
      <c r="M464" s="38" t="s">
        <v>92</v>
      </c>
      <c r="N464" s="38"/>
      <c r="O464" s="37">
        <v>55</v>
      </c>
      <c r="P464" s="8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627"/>
      <c r="R464" s="627"/>
      <c r="S464" s="627"/>
      <c r="T464" s="628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IFERROR(IF(Y464=0,"",ROUNDUP(Y464/H464,0)*0.00902),"")</f>
        <v/>
      </c>
      <c r="AA464" s="68" t="s">
        <v>45</v>
      </c>
      <c r="AB464" s="69" t="s">
        <v>45</v>
      </c>
      <c r="AC464" s="536" t="s">
        <v>726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39</v>
      </c>
      <c r="X465" s="43">
        <f>IFERROR(X461/H461,"0")+IFERROR(X462/H462,"0")+IFERROR(X463/H463,"0")+IFERROR(X464/H464,"0")</f>
        <v>0</v>
      </c>
      <c r="Y465" s="43">
        <f>IFERROR(Y461/H461,"0")+IFERROR(Y462/H462,"0")+IFERROR(Y463/H463,"0")+IFERROR(Y464/H464,"0")</f>
        <v>0</v>
      </c>
      <c r="Z465" s="43">
        <f>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633"/>
      <c r="B466" s="633"/>
      <c r="C466" s="633"/>
      <c r="D466" s="633"/>
      <c r="E466" s="633"/>
      <c r="F466" s="633"/>
      <c r="G466" s="633"/>
      <c r="H466" s="633"/>
      <c r="I466" s="633"/>
      <c r="J466" s="633"/>
      <c r="K466" s="633"/>
      <c r="L466" s="633"/>
      <c r="M466" s="633"/>
      <c r="N466" s="633"/>
      <c r="O466" s="634"/>
      <c r="P466" s="630" t="s">
        <v>40</v>
      </c>
      <c r="Q466" s="631"/>
      <c r="R466" s="631"/>
      <c r="S466" s="631"/>
      <c r="T466" s="631"/>
      <c r="U466" s="631"/>
      <c r="V466" s="632"/>
      <c r="W466" s="42" t="s">
        <v>0</v>
      </c>
      <c r="X466" s="43">
        <f>IFERROR(SUM(X461:X464),"0")</f>
        <v>0</v>
      </c>
      <c r="Y466" s="43">
        <f>IFERROR(SUM(Y461:Y464),"0")</f>
        <v>0</v>
      </c>
      <c r="Z466" s="42"/>
      <c r="AA466" s="67"/>
      <c r="AB466" s="67"/>
      <c r="AC466" s="67"/>
    </row>
    <row r="467" spans="1:68" ht="14.25" customHeight="1" x14ac:dyDescent="0.25">
      <c r="A467" s="624" t="s">
        <v>148</v>
      </c>
      <c r="B467" s="624"/>
      <c r="C467" s="624"/>
      <c r="D467" s="624"/>
      <c r="E467" s="624"/>
      <c r="F467" s="624"/>
      <c r="G467" s="624"/>
      <c r="H467" s="624"/>
      <c r="I467" s="624"/>
      <c r="J467" s="624"/>
      <c r="K467" s="624"/>
      <c r="L467" s="624"/>
      <c r="M467" s="624"/>
      <c r="N467" s="624"/>
      <c r="O467" s="624"/>
      <c r="P467" s="624"/>
      <c r="Q467" s="624"/>
      <c r="R467" s="624"/>
      <c r="S467" s="624"/>
      <c r="T467" s="624"/>
      <c r="U467" s="624"/>
      <c r="V467" s="624"/>
      <c r="W467" s="624"/>
      <c r="X467" s="624"/>
      <c r="Y467" s="624"/>
      <c r="Z467" s="624"/>
      <c r="AA467" s="66"/>
      <c r="AB467" s="66"/>
      <c r="AC467" s="80"/>
    </row>
    <row r="468" spans="1:68" ht="27" customHeight="1" x14ac:dyDescent="0.25">
      <c r="A468" s="63" t="s">
        <v>735</v>
      </c>
      <c r="B468" s="63" t="s">
        <v>736</v>
      </c>
      <c r="C468" s="36">
        <v>4301020400</v>
      </c>
      <c r="D468" s="625">
        <v>4640242180519</v>
      </c>
      <c r="E468" s="625"/>
      <c r="F468" s="62">
        <v>1.5</v>
      </c>
      <c r="G468" s="37">
        <v>8</v>
      </c>
      <c r="H468" s="62">
        <v>12</v>
      </c>
      <c r="I468" s="62">
        <v>12.41</v>
      </c>
      <c r="J468" s="37">
        <v>64</v>
      </c>
      <c r="K468" s="37" t="s">
        <v>118</v>
      </c>
      <c r="L468" s="37" t="s">
        <v>45</v>
      </c>
      <c r="M468" s="38" t="s">
        <v>117</v>
      </c>
      <c r="N468" s="38"/>
      <c r="O468" s="37">
        <v>50</v>
      </c>
      <c r="P468" s="85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627"/>
      <c r="R468" s="627"/>
      <c r="S468" s="627"/>
      <c r="T468" s="62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38" t="s">
        <v>737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738</v>
      </c>
      <c r="B469" s="63" t="s">
        <v>739</v>
      </c>
      <c r="C469" s="36">
        <v>4301020260</v>
      </c>
      <c r="D469" s="625">
        <v>4640242180526</v>
      </c>
      <c r="E469" s="625"/>
      <c r="F469" s="62">
        <v>1.8</v>
      </c>
      <c r="G469" s="37">
        <v>6</v>
      </c>
      <c r="H469" s="62">
        <v>10.8</v>
      </c>
      <c r="I469" s="62">
        <v>11.21</v>
      </c>
      <c r="J469" s="37">
        <v>64</v>
      </c>
      <c r="K469" s="37" t="s">
        <v>118</v>
      </c>
      <c r="L469" s="37" t="s">
        <v>45</v>
      </c>
      <c r="M469" s="38" t="s">
        <v>117</v>
      </c>
      <c r="N469" s="38"/>
      <c r="O469" s="37">
        <v>50</v>
      </c>
      <c r="P469" s="8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627"/>
      <c r="R469" s="627"/>
      <c r="S469" s="627"/>
      <c r="T469" s="62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0" t="s">
        <v>740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33"/>
      <c r="B470" s="633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4"/>
      <c r="P470" s="630" t="s">
        <v>40</v>
      </c>
      <c r="Q470" s="631"/>
      <c r="R470" s="631"/>
      <c r="S470" s="631"/>
      <c r="T470" s="631"/>
      <c r="U470" s="631"/>
      <c r="V470" s="632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633"/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4"/>
      <c r="P471" s="630" t="s">
        <v>40</v>
      </c>
      <c r="Q471" s="631"/>
      <c r="R471" s="631"/>
      <c r="S471" s="631"/>
      <c r="T471" s="631"/>
      <c r="U471" s="631"/>
      <c r="V471" s="632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customHeight="1" x14ac:dyDescent="0.25">
      <c r="A472" s="624" t="s">
        <v>78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6"/>
      <c r="AB472" s="66"/>
      <c r="AC472" s="80"/>
    </row>
    <row r="473" spans="1:68" ht="27" customHeight="1" x14ac:dyDescent="0.25">
      <c r="A473" s="63" t="s">
        <v>741</v>
      </c>
      <c r="B473" s="63" t="s">
        <v>742</v>
      </c>
      <c r="C473" s="36">
        <v>4301031280</v>
      </c>
      <c r="D473" s="625">
        <v>4640242180816</v>
      </c>
      <c r="E473" s="62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123</v>
      </c>
      <c r="L473" s="37" t="s">
        <v>45</v>
      </c>
      <c r="M473" s="38" t="s">
        <v>82</v>
      </c>
      <c r="N473" s="38"/>
      <c r="O473" s="37">
        <v>40</v>
      </c>
      <c r="P473" s="8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627"/>
      <c r="R473" s="627"/>
      <c r="S473" s="627"/>
      <c r="T473" s="62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743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744</v>
      </c>
      <c r="B474" s="63" t="s">
        <v>745</v>
      </c>
      <c r="C474" s="36">
        <v>4301031244</v>
      </c>
      <c r="D474" s="625">
        <v>4640242180595</v>
      </c>
      <c r="E474" s="625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123</v>
      </c>
      <c r="L474" s="37" t="s">
        <v>45</v>
      </c>
      <c r="M474" s="38" t="s">
        <v>82</v>
      </c>
      <c r="N474" s="38"/>
      <c r="O474" s="37">
        <v>40</v>
      </c>
      <c r="P474" s="86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627"/>
      <c r="R474" s="627"/>
      <c r="S474" s="627"/>
      <c r="T474" s="62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746</v>
      </c>
      <c r="AG474" s="78"/>
      <c r="AJ474" s="84" t="s">
        <v>45</v>
      </c>
      <c r="AK474" s="84">
        <v>0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3"/>
      <c r="B475" s="633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4"/>
      <c r="P475" s="630" t="s">
        <v>40</v>
      </c>
      <c r="Q475" s="631"/>
      <c r="R475" s="631"/>
      <c r="S475" s="631"/>
      <c r="T475" s="631"/>
      <c r="U475" s="631"/>
      <c r="V475" s="63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24" t="s">
        <v>88</v>
      </c>
      <c r="B477" s="624"/>
      <c r="C477" s="624"/>
      <c r="D477" s="624"/>
      <c r="E477" s="624"/>
      <c r="F477" s="624"/>
      <c r="G477" s="624"/>
      <c r="H477" s="624"/>
      <c r="I477" s="624"/>
      <c r="J477" s="624"/>
      <c r="K477" s="624"/>
      <c r="L477" s="624"/>
      <c r="M477" s="624"/>
      <c r="N477" s="624"/>
      <c r="O477" s="624"/>
      <c r="P477" s="624"/>
      <c r="Q477" s="624"/>
      <c r="R477" s="624"/>
      <c r="S477" s="624"/>
      <c r="T477" s="624"/>
      <c r="U477" s="624"/>
      <c r="V477" s="624"/>
      <c r="W477" s="624"/>
      <c r="X477" s="624"/>
      <c r="Y477" s="624"/>
      <c r="Z477" s="624"/>
      <c r="AA477" s="66"/>
      <c r="AB477" s="66"/>
      <c r="AC477" s="80"/>
    </row>
    <row r="478" spans="1:68" ht="27" customHeight="1" x14ac:dyDescent="0.25">
      <c r="A478" s="63" t="s">
        <v>747</v>
      </c>
      <c r="B478" s="63" t="s">
        <v>748</v>
      </c>
      <c r="C478" s="36">
        <v>4301052046</v>
      </c>
      <c r="D478" s="625">
        <v>4640242180533</v>
      </c>
      <c r="E478" s="625"/>
      <c r="F478" s="62">
        <v>1.5</v>
      </c>
      <c r="G478" s="37">
        <v>6</v>
      </c>
      <c r="H478" s="62">
        <v>9</v>
      </c>
      <c r="I478" s="62">
        <v>9.4939999999999998</v>
      </c>
      <c r="J478" s="37">
        <v>64</v>
      </c>
      <c r="K478" s="37" t="s">
        <v>118</v>
      </c>
      <c r="L478" s="37" t="s">
        <v>119</v>
      </c>
      <c r="M478" s="38" t="s">
        <v>99</v>
      </c>
      <c r="N478" s="38"/>
      <c r="O478" s="37">
        <v>45</v>
      </c>
      <c r="P478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627"/>
      <c r="R478" s="627"/>
      <c r="S478" s="627"/>
      <c r="T478" s="62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749</v>
      </c>
      <c r="AG478" s="78"/>
      <c r="AJ478" s="84" t="s">
        <v>120</v>
      </c>
      <c r="AK478" s="84">
        <v>72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33"/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4"/>
      <c r="P479" s="630" t="s">
        <v>40</v>
      </c>
      <c r="Q479" s="631"/>
      <c r="R479" s="631"/>
      <c r="S479" s="631"/>
      <c r="T479" s="631"/>
      <c r="U479" s="631"/>
      <c r="V479" s="632"/>
      <c r="W479" s="42" t="s">
        <v>39</v>
      </c>
      <c r="X479" s="43">
        <f>IFERROR(X478/H478,"0")</f>
        <v>0</v>
      </c>
      <c r="Y479" s="43">
        <f>IFERROR(Y478/H478,"0")</f>
        <v>0</v>
      </c>
      <c r="Z479" s="43">
        <f>IFERROR(IF(Z478="",0,Z478),"0")</f>
        <v>0</v>
      </c>
      <c r="AA479" s="67"/>
      <c r="AB479" s="67"/>
      <c r="AC479" s="67"/>
    </row>
    <row r="480" spans="1:68" x14ac:dyDescent="0.2">
      <c r="A480" s="633"/>
      <c r="B480" s="633"/>
      <c r="C480" s="633"/>
      <c r="D480" s="633"/>
      <c r="E480" s="633"/>
      <c r="F480" s="633"/>
      <c r="G480" s="633"/>
      <c r="H480" s="633"/>
      <c r="I480" s="633"/>
      <c r="J480" s="633"/>
      <c r="K480" s="633"/>
      <c r="L480" s="633"/>
      <c r="M480" s="633"/>
      <c r="N480" s="633"/>
      <c r="O480" s="634"/>
      <c r="P480" s="630" t="s">
        <v>40</v>
      </c>
      <c r="Q480" s="631"/>
      <c r="R480" s="631"/>
      <c r="S480" s="631"/>
      <c r="T480" s="631"/>
      <c r="U480" s="631"/>
      <c r="V480" s="632"/>
      <c r="W480" s="42" t="s">
        <v>0</v>
      </c>
      <c r="X480" s="43">
        <f>IFERROR(SUM(X478:X478),"0")</f>
        <v>0</v>
      </c>
      <c r="Y480" s="43">
        <f>IFERROR(SUM(Y478:Y478),"0")</f>
        <v>0</v>
      </c>
      <c r="Z480" s="42"/>
      <c r="AA480" s="67"/>
      <c r="AB480" s="67"/>
      <c r="AC480" s="67"/>
    </row>
    <row r="481" spans="1:68" ht="14.25" customHeight="1" x14ac:dyDescent="0.25">
      <c r="A481" s="624" t="s">
        <v>176</v>
      </c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4"/>
      <c r="P481" s="624"/>
      <c r="Q481" s="624"/>
      <c r="R481" s="624"/>
      <c r="S481" s="624"/>
      <c r="T481" s="624"/>
      <c r="U481" s="624"/>
      <c r="V481" s="624"/>
      <c r="W481" s="624"/>
      <c r="X481" s="624"/>
      <c r="Y481" s="624"/>
      <c r="Z481" s="624"/>
      <c r="AA481" s="66"/>
      <c r="AB481" s="66"/>
      <c r="AC481" s="80"/>
    </row>
    <row r="482" spans="1:68" ht="27" customHeight="1" x14ac:dyDescent="0.25">
      <c r="A482" s="63" t="s">
        <v>750</v>
      </c>
      <c r="B482" s="63" t="s">
        <v>751</v>
      </c>
      <c r="C482" s="36">
        <v>4301060491</v>
      </c>
      <c r="D482" s="625">
        <v>4640242180120</v>
      </c>
      <c r="E482" s="625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118</v>
      </c>
      <c r="L482" s="37" t="s">
        <v>45</v>
      </c>
      <c r="M482" s="38" t="s">
        <v>92</v>
      </c>
      <c r="N482" s="38"/>
      <c r="O482" s="37">
        <v>40</v>
      </c>
      <c r="P482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627"/>
      <c r="R482" s="627"/>
      <c r="S482" s="627"/>
      <c r="T482" s="628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752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753</v>
      </c>
      <c r="B483" s="63" t="s">
        <v>754</v>
      </c>
      <c r="C483" s="36">
        <v>4301060493</v>
      </c>
      <c r="D483" s="625">
        <v>4640242180137</v>
      </c>
      <c r="E483" s="625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118</v>
      </c>
      <c r="L483" s="37" t="s">
        <v>45</v>
      </c>
      <c r="M483" s="38" t="s">
        <v>92</v>
      </c>
      <c r="N483" s="38"/>
      <c r="O483" s="37">
        <v>40</v>
      </c>
      <c r="P483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627"/>
      <c r="R483" s="627"/>
      <c r="S483" s="627"/>
      <c r="T483" s="62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755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33"/>
      <c r="B484" s="633"/>
      <c r="C484" s="633"/>
      <c r="D484" s="633"/>
      <c r="E484" s="633"/>
      <c r="F484" s="633"/>
      <c r="G484" s="633"/>
      <c r="H484" s="633"/>
      <c r="I484" s="633"/>
      <c r="J484" s="633"/>
      <c r="K484" s="633"/>
      <c r="L484" s="633"/>
      <c r="M484" s="633"/>
      <c r="N484" s="633"/>
      <c r="O484" s="634"/>
      <c r="P484" s="630" t="s">
        <v>40</v>
      </c>
      <c r="Q484" s="631"/>
      <c r="R484" s="631"/>
      <c r="S484" s="631"/>
      <c r="T484" s="631"/>
      <c r="U484" s="631"/>
      <c r="V484" s="63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33"/>
      <c r="B485" s="633"/>
      <c r="C485" s="633"/>
      <c r="D485" s="633"/>
      <c r="E485" s="633"/>
      <c r="F485" s="633"/>
      <c r="G485" s="633"/>
      <c r="H485" s="633"/>
      <c r="I485" s="633"/>
      <c r="J485" s="633"/>
      <c r="K485" s="633"/>
      <c r="L485" s="633"/>
      <c r="M485" s="633"/>
      <c r="N485" s="633"/>
      <c r="O485" s="634"/>
      <c r="P485" s="630" t="s">
        <v>40</v>
      </c>
      <c r="Q485" s="631"/>
      <c r="R485" s="631"/>
      <c r="S485" s="631"/>
      <c r="T485" s="631"/>
      <c r="U485" s="631"/>
      <c r="V485" s="63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23" t="s">
        <v>756</v>
      </c>
      <c r="B486" s="623"/>
      <c r="C486" s="623"/>
      <c r="D486" s="623"/>
      <c r="E486" s="623"/>
      <c r="F486" s="623"/>
      <c r="G486" s="623"/>
      <c r="H486" s="623"/>
      <c r="I486" s="623"/>
      <c r="J486" s="623"/>
      <c r="K486" s="623"/>
      <c r="L486" s="623"/>
      <c r="M486" s="623"/>
      <c r="N486" s="623"/>
      <c r="O486" s="623"/>
      <c r="P486" s="623"/>
      <c r="Q486" s="623"/>
      <c r="R486" s="623"/>
      <c r="S486" s="623"/>
      <c r="T486" s="623"/>
      <c r="U486" s="623"/>
      <c r="V486" s="623"/>
      <c r="W486" s="623"/>
      <c r="X486" s="623"/>
      <c r="Y486" s="623"/>
      <c r="Z486" s="623"/>
      <c r="AA486" s="65"/>
      <c r="AB486" s="65"/>
      <c r="AC486" s="79"/>
    </row>
    <row r="487" spans="1:68" ht="14.25" customHeight="1" x14ac:dyDescent="0.25">
      <c r="A487" s="624" t="s">
        <v>148</v>
      </c>
      <c r="B487" s="624"/>
      <c r="C487" s="624"/>
      <c r="D487" s="624"/>
      <c r="E487" s="624"/>
      <c r="F487" s="624"/>
      <c r="G487" s="624"/>
      <c r="H487" s="624"/>
      <c r="I487" s="624"/>
      <c r="J487" s="624"/>
      <c r="K487" s="624"/>
      <c r="L487" s="624"/>
      <c r="M487" s="624"/>
      <c r="N487" s="624"/>
      <c r="O487" s="624"/>
      <c r="P487" s="624"/>
      <c r="Q487" s="624"/>
      <c r="R487" s="624"/>
      <c r="S487" s="624"/>
      <c r="T487" s="624"/>
      <c r="U487" s="624"/>
      <c r="V487" s="624"/>
      <c r="W487" s="624"/>
      <c r="X487" s="624"/>
      <c r="Y487" s="624"/>
      <c r="Z487" s="624"/>
      <c r="AA487" s="66"/>
      <c r="AB487" s="66"/>
      <c r="AC487" s="80"/>
    </row>
    <row r="488" spans="1:68" ht="27" customHeight="1" x14ac:dyDescent="0.25">
      <c r="A488" s="63" t="s">
        <v>757</v>
      </c>
      <c r="B488" s="63" t="s">
        <v>758</v>
      </c>
      <c r="C488" s="36">
        <v>4301020314</v>
      </c>
      <c r="D488" s="625">
        <v>4640242180090</v>
      </c>
      <c r="E488" s="625"/>
      <c r="F488" s="62">
        <v>1.5</v>
      </c>
      <c r="G488" s="37">
        <v>8</v>
      </c>
      <c r="H488" s="62">
        <v>12</v>
      </c>
      <c r="I488" s="62">
        <v>12.41</v>
      </c>
      <c r="J488" s="37">
        <v>64</v>
      </c>
      <c r="K488" s="37" t="s">
        <v>118</v>
      </c>
      <c r="L488" s="37" t="s">
        <v>45</v>
      </c>
      <c r="M488" s="38" t="s">
        <v>117</v>
      </c>
      <c r="N488" s="38"/>
      <c r="O488" s="37">
        <v>50</v>
      </c>
      <c r="P488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627"/>
      <c r="R488" s="627"/>
      <c r="S488" s="627"/>
      <c r="T488" s="62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52" t="s">
        <v>759</v>
      </c>
      <c r="AG488" s="78"/>
      <c r="AJ488" s="84" t="s">
        <v>45</v>
      </c>
      <c r="AK488" s="84">
        <v>0</v>
      </c>
      <c r="BB488" s="55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634"/>
      <c r="P489" s="630" t="s">
        <v>40</v>
      </c>
      <c r="Q489" s="631"/>
      <c r="R489" s="631"/>
      <c r="S489" s="631"/>
      <c r="T489" s="631"/>
      <c r="U489" s="631"/>
      <c r="V489" s="63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4"/>
      <c r="P490" s="630" t="s">
        <v>40</v>
      </c>
      <c r="Q490" s="631"/>
      <c r="R490" s="631"/>
      <c r="S490" s="631"/>
      <c r="T490" s="631"/>
      <c r="U490" s="631"/>
      <c r="V490" s="63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5" customHeight="1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33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0</v>
      </c>
      <c r="Y491" s="43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0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34</v>
      </c>
      <c r="Q492" s="868"/>
      <c r="R492" s="868"/>
      <c r="S492" s="868"/>
      <c r="T492" s="868"/>
      <c r="U492" s="868"/>
      <c r="V492" s="869"/>
      <c r="W492" s="42" t="s">
        <v>0</v>
      </c>
      <c r="X492" s="43">
        <f>IFERROR(SUM(BM22:BM488),"0")</f>
        <v>0</v>
      </c>
      <c r="Y492" s="43">
        <f>IFERROR(SUM(BN22:BN488),"0")</f>
        <v>0</v>
      </c>
      <c r="Z492" s="42"/>
      <c r="AA492" s="67"/>
      <c r="AB492" s="67"/>
      <c r="AC492" s="67"/>
    </row>
    <row r="493" spans="1:68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35</v>
      </c>
      <c r="Q493" s="868"/>
      <c r="R493" s="868"/>
      <c r="S493" s="868"/>
      <c r="T493" s="868"/>
      <c r="U493" s="868"/>
      <c r="V493" s="869"/>
      <c r="W493" s="42" t="s">
        <v>20</v>
      </c>
      <c r="X493" s="44">
        <f>ROUNDUP(SUM(BO22:BO488),0)</f>
        <v>0</v>
      </c>
      <c r="Y493" s="44">
        <f>ROUNDUP(SUM(BP22:BP488),0)</f>
        <v>0</v>
      </c>
      <c r="Z493" s="42"/>
      <c r="AA493" s="67"/>
      <c r="AB493" s="67"/>
      <c r="AC493" s="67"/>
    </row>
    <row r="494" spans="1:68" x14ac:dyDescent="0.2">
      <c r="A494" s="633"/>
      <c r="B494" s="633"/>
      <c r="C494" s="633"/>
      <c r="D494" s="633"/>
      <c r="E494" s="633"/>
      <c r="F494" s="633"/>
      <c r="G494" s="633"/>
      <c r="H494" s="633"/>
      <c r="I494" s="633"/>
      <c r="J494" s="633"/>
      <c r="K494" s="633"/>
      <c r="L494" s="633"/>
      <c r="M494" s="633"/>
      <c r="N494" s="633"/>
      <c r="O494" s="870"/>
      <c r="P494" s="867" t="s">
        <v>36</v>
      </c>
      <c r="Q494" s="868"/>
      <c r="R494" s="868"/>
      <c r="S494" s="868"/>
      <c r="T494" s="868"/>
      <c r="U494" s="868"/>
      <c r="V494" s="869"/>
      <c r="W494" s="42" t="s">
        <v>0</v>
      </c>
      <c r="X494" s="43">
        <f>GrossWeightTotal+PalletQtyTotal*25</f>
        <v>0</v>
      </c>
      <c r="Y494" s="43">
        <f>GrossWeightTotalR+PalletQtyTotalR*25</f>
        <v>0</v>
      </c>
      <c r="Z494" s="42"/>
      <c r="AA494" s="67"/>
      <c r="AB494" s="67"/>
      <c r="AC494" s="67"/>
    </row>
    <row r="495" spans="1:68" x14ac:dyDescent="0.2">
      <c r="A495" s="633"/>
      <c r="B495" s="633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870"/>
      <c r="P495" s="867" t="s">
        <v>37</v>
      </c>
      <c r="Q495" s="868"/>
      <c r="R495" s="868"/>
      <c r="S495" s="868"/>
      <c r="T495" s="868"/>
      <c r="U495" s="868"/>
      <c r="V495" s="869"/>
      <c r="W495" s="42" t="s">
        <v>20</v>
      </c>
      <c r="X495" s="43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0</v>
      </c>
      <c r="Y495" s="43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0</v>
      </c>
      <c r="Z495" s="42"/>
      <c r="AA495" s="67"/>
      <c r="AB495" s="67"/>
      <c r="AC495" s="67"/>
    </row>
    <row r="496" spans="1:68" ht="14.25" x14ac:dyDescent="0.2">
      <c r="A496" s="633"/>
      <c r="B496" s="633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870"/>
      <c r="P496" s="867" t="s">
        <v>38</v>
      </c>
      <c r="Q496" s="868"/>
      <c r="R496" s="868"/>
      <c r="S496" s="868"/>
      <c r="T496" s="868"/>
      <c r="U496" s="868"/>
      <c r="V496" s="869"/>
      <c r="W496" s="45" t="s">
        <v>51</v>
      </c>
      <c r="X496" s="42"/>
      <c r="Y496" s="42"/>
      <c r="Z496" s="42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0</v>
      </c>
      <c r="AA496" s="67"/>
      <c r="AB496" s="67"/>
      <c r="AC496" s="67"/>
    </row>
    <row r="497" spans="1:32" ht="13.5" thickBot="1" x14ac:dyDescent="0.25"/>
    <row r="498" spans="1:32" ht="27" thickTop="1" thickBot="1" x14ac:dyDescent="0.25">
      <c r="A498" s="46" t="s">
        <v>9</v>
      </c>
      <c r="B498" s="85" t="s">
        <v>77</v>
      </c>
      <c r="C498" s="873" t="s">
        <v>111</v>
      </c>
      <c r="D498" s="873" t="s">
        <v>111</v>
      </c>
      <c r="E498" s="873" t="s">
        <v>111</v>
      </c>
      <c r="F498" s="873" t="s">
        <v>111</v>
      </c>
      <c r="G498" s="873" t="s">
        <v>111</v>
      </c>
      <c r="H498" s="873" t="s">
        <v>111</v>
      </c>
      <c r="I498" s="873" t="s">
        <v>278</v>
      </c>
      <c r="J498" s="873" t="s">
        <v>278</v>
      </c>
      <c r="K498" s="873" t="s">
        <v>278</v>
      </c>
      <c r="L498" s="873" t="s">
        <v>278</v>
      </c>
      <c r="M498" s="873" t="s">
        <v>278</v>
      </c>
      <c r="N498" s="874"/>
      <c r="O498" s="873" t="s">
        <v>278</v>
      </c>
      <c r="P498" s="873" t="s">
        <v>278</v>
      </c>
      <c r="Q498" s="873" t="s">
        <v>278</v>
      </c>
      <c r="R498" s="873" t="s">
        <v>278</v>
      </c>
      <c r="S498" s="873" t="s">
        <v>562</v>
      </c>
      <c r="T498" s="873" t="s">
        <v>562</v>
      </c>
      <c r="U498" s="873" t="s">
        <v>616</v>
      </c>
      <c r="V498" s="873" t="s">
        <v>616</v>
      </c>
      <c r="W498" s="873" t="s">
        <v>616</v>
      </c>
      <c r="X498" s="85" t="s">
        <v>667</v>
      </c>
      <c r="Y498" s="873" t="s">
        <v>723</v>
      </c>
      <c r="Z498" s="873" t="s">
        <v>723</v>
      </c>
      <c r="AB498" s="60"/>
      <c r="AC498" s="60"/>
      <c r="AF498" s="1"/>
    </row>
    <row r="499" spans="1:32" ht="14.25" customHeight="1" thickTop="1" x14ac:dyDescent="0.2">
      <c r="A499" s="871" t="s">
        <v>10</v>
      </c>
      <c r="B499" s="873" t="s">
        <v>77</v>
      </c>
      <c r="C499" s="873" t="s">
        <v>112</v>
      </c>
      <c r="D499" s="873" t="s">
        <v>129</v>
      </c>
      <c r="E499" s="873" t="s">
        <v>183</v>
      </c>
      <c r="F499" s="873" t="s">
        <v>207</v>
      </c>
      <c r="G499" s="873" t="s">
        <v>248</v>
      </c>
      <c r="H499" s="873" t="s">
        <v>111</v>
      </c>
      <c r="I499" s="873" t="s">
        <v>279</v>
      </c>
      <c r="J499" s="873" t="s">
        <v>332</v>
      </c>
      <c r="K499" s="873" t="s">
        <v>391</v>
      </c>
      <c r="L499" s="873" t="s">
        <v>431</v>
      </c>
      <c r="M499" s="873" t="s">
        <v>447</v>
      </c>
      <c r="N499" s="1"/>
      <c r="O499" s="873" t="s">
        <v>458</v>
      </c>
      <c r="P499" s="873" t="s">
        <v>467</v>
      </c>
      <c r="Q499" s="873" t="s">
        <v>480</v>
      </c>
      <c r="R499" s="873" t="s">
        <v>552</v>
      </c>
      <c r="S499" s="873" t="s">
        <v>563</v>
      </c>
      <c r="T499" s="873" t="s">
        <v>598</v>
      </c>
      <c r="U499" s="873" t="s">
        <v>617</v>
      </c>
      <c r="V499" s="873" t="s">
        <v>648</v>
      </c>
      <c r="W499" s="873" t="s">
        <v>663</v>
      </c>
      <c r="X499" s="873" t="s">
        <v>667</v>
      </c>
      <c r="Y499" s="873" t="s">
        <v>723</v>
      </c>
      <c r="Z499" s="873" t="s">
        <v>756</v>
      </c>
      <c r="AB499" s="60"/>
      <c r="AC499" s="60"/>
      <c r="AF499" s="1"/>
    </row>
    <row r="500" spans="1:32" ht="13.5" thickBot="1" x14ac:dyDescent="0.25">
      <c r="A500" s="872"/>
      <c r="B500" s="873"/>
      <c r="C500" s="873"/>
      <c r="D500" s="873"/>
      <c r="E500" s="873"/>
      <c r="F500" s="873"/>
      <c r="G500" s="873"/>
      <c r="H500" s="873"/>
      <c r="I500" s="873"/>
      <c r="J500" s="873"/>
      <c r="K500" s="873"/>
      <c r="L500" s="873"/>
      <c r="M500" s="873"/>
      <c r="N500" s="1"/>
      <c r="O500" s="873"/>
      <c r="P500" s="873"/>
      <c r="Q500" s="873"/>
      <c r="R500" s="873"/>
      <c r="S500" s="873"/>
      <c r="T500" s="873"/>
      <c r="U500" s="873"/>
      <c r="V500" s="873"/>
      <c r="W500" s="873"/>
      <c r="X500" s="873"/>
      <c r="Y500" s="873"/>
      <c r="Z500" s="873"/>
      <c r="AB500" s="60"/>
      <c r="AC500" s="60"/>
      <c r="AF500" s="1"/>
    </row>
    <row r="501" spans="1:32" ht="18" thickTop="1" thickBot="1" x14ac:dyDescent="0.25">
      <c r="A501" s="46" t="s">
        <v>13</v>
      </c>
      <c r="B501" s="52">
        <f>IFERROR(Y22*1,"0")+IFERROR(Y23*1,"0")+IFERROR(Y27*1,"0")+IFERROR(Y28*1,"0")+IFERROR(Y29*1,"0")+IFERROR(Y30*1,"0")+IFERROR(Y31*1,"0")+IFERROR(Y35*1,"0")</f>
        <v>0</v>
      </c>
      <c r="C501" s="52">
        <f>IFERROR(Y41*1,"0")+IFERROR(Y42*1,"0")+IFERROR(Y43*1,"0")+IFERROR(Y47*1,"0")</f>
        <v>0</v>
      </c>
      <c r="D501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52">
        <f>IFERROR(Y86*1,"0")+IFERROR(Y87*1,"0")+IFERROR(Y88*1,"0")+IFERROR(Y89*1,"0")+IFERROR(Y93*1,"0")+IFERROR(Y94*1,"0")+IFERROR(Y95*1,"0")+IFERROR(Y96*1,"0")</f>
        <v>0</v>
      </c>
      <c r="F501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1" s="52">
        <f>IFERROR(Y128*1,"0")+IFERROR(Y129*1,"0")+IFERROR(Y133*1,"0")+IFERROR(Y134*1,"0")+IFERROR(Y138*1,"0")+IFERROR(Y139*1,"0")</f>
        <v>0</v>
      </c>
      <c r="H501" s="52">
        <f>IFERROR(Y144*1,"0")+IFERROR(Y145*1,"0")+IFERROR(Y149*1,"0")+IFERROR(Y150*1,"0")+IFERROR(Y151*1,"0")+IFERROR(Y155*1,"0")</f>
        <v>0</v>
      </c>
      <c r="I501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52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52">
        <f>IFERROR(Y259*1,"0")+IFERROR(Y260*1,"0")+IFERROR(Y261*1,"0")+IFERROR(Y262*1,"0")+IFERROR(Y263*1,"0")</f>
        <v>0</v>
      </c>
      <c r="M501" s="52">
        <f>IFERROR(Y268*1,"0")+IFERROR(Y269*1,"0")+IFERROR(Y270*1,"0")+IFERROR(Y271*1,"0")</f>
        <v>0</v>
      </c>
      <c r="N501" s="1"/>
      <c r="O501" s="52">
        <f>IFERROR(Y276*1,"0")+IFERROR(Y277*1,"0")+IFERROR(Y278*1,"0")</f>
        <v>0</v>
      </c>
      <c r="P501" s="52">
        <f>IFERROR(Y283*1,"0")+IFERROR(Y284*1,"0")+IFERROR(Y288*1,"0")+IFERROR(Y289*1,"0")</f>
        <v>0</v>
      </c>
      <c r="Q501" s="52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0</v>
      </c>
      <c r="R501" s="52">
        <f>IFERROR(Y338*1,"0")+IFERROR(Y339*1,"0")+IFERROR(Y340*1,"0")</f>
        <v>0</v>
      </c>
      <c r="S501" s="52">
        <f>IFERROR(Y346*1,"0")+IFERROR(Y347*1,"0")+IFERROR(Y348*1,"0")+IFERROR(Y349*1,"0")+IFERROR(Y350*1,"0")+IFERROR(Y351*1,"0")+IFERROR(Y352*1,"0")+IFERROR(Y356*1,"0")+IFERROR(Y357*1,"0")+IFERROR(Y361*1,"0")+IFERROR(Y362*1,"0")+IFERROR(Y366*1,"0")</f>
        <v>0</v>
      </c>
      <c r="T501" s="52">
        <f>IFERROR(Y371*1,"0")+IFERROR(Y372*1,"0")+IFERROR(Y376*1,"0")+IFERROR(Y377*1,"0")+IFERROR(Y381*1,"0")+IFERROR(Y382*1,"0")+IFERROR(Y383*1,"0")</f>
        <v>0</v>
      </c>
      <c r="U501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52">
        <f>IFERROR(Y407*1,"0")+IFERROR(Y411*1,"0")+IFERROR(Y412*1,"0")+IFERROR(Y413*1,"0")+IFERROR(Y414*1,"0")</f>
        <v>0</v>
      </c>
      <c r="W501" s="52">
        <f>IFERROR(Y419*1,"0")</f>
        <v>0</v>
      </c>
      <c r="X501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0</v>
      </c>
      <c r="Y501" s="52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52">
        <f>IFERROR(Y488*1,"0")</f>
        <v>0</v>
      </c>
      <c r="AB501" s="60"/>
      <c r="AC501" s="60"/>
      <c r="AF501" s="1"/>
    </row>
  </sheetData>
  <sheetProtection algorithmName="SHA-512" hashValue="oCdOgtkUbzxhjDfjKecSysnGrm6WYw83YzigAkyIyyTgM4dpsTOyPAkeeWmwJ/jv1z+HJbJoVyz6tsKXrn4fGw==" saltValue="ZnxxvsBM2R3sI+Zgat7c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8">
    <mergeCell ref="U499:U500"/>
    <mergeCell ref="V499:V500"/>
    <mergeCell ref="W499:W500"/>
    <mergeCell ref="X499:X500"/>
    <mergeCell ref="Y499:Y500"/>
    <mergeCell ref="Z499:Z500"/>
    <mergeCell ref="C498:H498"/>
    <mergeCell ref="I498:R498"/>
    <mergeCell ref="S498:T498"/>
    <mergeCell ref="U498:W498"/>
    <mergeCell ref="Y498:Z498"/>
    <mergeCell ref="J499:J500"/>
    <mergeCell ref="K499:K500"/>
    <mergeCell ref="L499:L500"/>
    <mergeCell ref="M499:M500"/>
    <mergeCell ref="O499:O500"/>
    <mergeCell ref="P499:P500"/>
    <mergeCell ref="Q499:Q500"/>
    <mergeCell ref="R499:R500"/>
    <mergeCell ref="S499:S500"/>
    <mergeCell ref="T499:T500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A486:Z486"/>
    <mergeCell ref="A487:Z487"/>
    <mergeCell ref="D488:E488"/>
    <mergeCell ref="P488:T488"/>
    <mergeCell ref="P489:V489"/>
    <mergeCell ref="A489:O490"/>
    <mergeCell ref="P490:V490"/>
    <mergeCell ref="P491:V491"/>
    <mergeCell ref="A491:O496"/>
    <mergeCell ref="P492:V492"/>
    <mergeCell ref="P493:V493"/>
    <mergeCell ref="P494:V494"/>
    <mergeCell ref="P495:V495"/>
    <mergeCell ref="P496:V496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54:Z454"/>
    <mergeCell ref="D455:E455"/>
    <mergeCell ref="P455:T455"/>
    <mergeCell ref="P456:V456"/>
    <mergeCell ref="A456:O457"/>
    <mergeCell ref="P457:V457"/>
    <mergeCell ref="A458:Z458"/>
    <mergeCell ref="A459:Z459"/>
    <mergeCell ref="A460:Z460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A406:Z406"/>
    <mergeCell ref="D407:E407"/>
    <mergeCell ref="P407:T407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A387:Z387"/>
    <mergeCell ref="A388:Z388"/>
    <mergeCell ref="D389:E389"/>
    <mergeCell ref="P389:T389"/>
    <mergeCell ref="D390:E390"/>
    <mergeCell ref="P390:T390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A365:Z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P363:V363"/>
    <mergeCell ref="A363:O364"/>
    <mergeCell ref="P364:V364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0:E340"/>
    <mergeCell ref="P340:T340"/>
    <mergeCell ref="P341:V341"/>
    <mergeCell ref="A341:O342"/>
    <mergeCell ref="P342:V342"/>
    <mergeCell ref="A343:Z343"/>
    <mergeCell ref="A344:Z344"/>
    <mergeCell ref="A345:Z345"/>
    <mergeCell ref="D346:E346"/>
    <mergeCell ref="P346:T346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A301:Z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P290:V290"/>
    <mergeCell ref="A290:O291"/>
    <mergeCell ref="P291:V291"/>
    <mergeCell ref="A292:Z292"/>
    <mergeCell ref="A293:Z293"/>
    <mergeCell ref="D294:E294"/>
    <mergeCell ref="P294:T294"/>
    <mergeCell ref="D295:E295"/>
    <mergeCell ref="P295:T295"/>
    <mergeCell ref="D284:E284"/>
    <mergeCell ref="P284:T284"/>
    <mergeCell ref="P285:V285"/>
    <mergeCell ref="A285:O286"/>
    <mergeCell ref="P286:V286"/>
    <mergeCell ref="A287:Z287"/>
    <mergeCell ref="D288:E288"/>
    <mergeCell ref="P288:T288"/>
    <mergeCell ref="D289:E289"/>
    <mergeCell ref="P289:T289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P272:V272"/>
    <mergeCell ref="A272:O273"/>
    <mergeCell ref="P273:V273"/>
    <mergeCell ref="A274:Z274"/>
    <mergeCell ref="A275:Z275"/>
    <mergeCell ref="D276:E276"/>
    <mergeCell ref="P276:T276"/>
    <mergeCell ref="D277:E277"/>
    <mergeCell ref="P277:T277"/>
    <mergeCell ref="A266:Z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7:E237"/>
    <mergeCell ref="P237:T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P162:V162"/>
    <mergeCell ref="A162:O163"/>
    <mergeCell ref="P163:V163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78 X446:X448 X440 X431 X429 X411 X389 X381 X356 X349 X346:X347 X319 X277:X278 X217:X220 X215 X204 X201:X202 X168:X169 X166 X118 X116 X104 X101 X93 X86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9"/>
    </row>
    <row r="3" spans="2:8" x14ac:dyDescent="0.2">
      <c r="B3" s="53" t="s">
        <v>761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763</v>
      </c>
      <c r="D6" s="53" t="s">
        <v>764</v>
      </c>
      <c r="E6" s="53" t="s">
        <v>45</v>
      </c>
    </row>
    <row r="8" spans="2:8" x14ac:dyDescent="0.2">
      <c r="B8" s="53" t="s">
        <v>76</v>
      </c>
      <c r="C8" s="53" t="s">
        <v>763</v>
      </c>
      <c r="D8" s="53" t="s">
        <v>45</v>
      </c>
      <c r="E8" s="53" t="s">
        <v>45</v>
      </c>
    </row>
    <row r="10" spans="2:8" x14ac:dyDescent="0.2">
      <c r="B10" s="53" t="s">
        <v>765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775</v>
      </c>
      <c r="C20" s="53" t="s">
        <v>45</v>
      </c>
      <c r="D20" s="53" t="s">
        <v>45</v>
      </c>
      <c r="E20" s="53" t="s">
        <v>45</v>
      </c>
    </row>
  </sheetData>
  <sheetProtection algorithmName="SHA-512" hashValue="yAY1Il2C0DYVIoexGDUnpMFt07IYurfY1Ospbqr2DYvW/45esaxcCkdxAfnt5qpNoZnXUsDpnnp51wRGOJQTbg==" saltValue="PKC8C7FchOAOxyfTyUzbb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