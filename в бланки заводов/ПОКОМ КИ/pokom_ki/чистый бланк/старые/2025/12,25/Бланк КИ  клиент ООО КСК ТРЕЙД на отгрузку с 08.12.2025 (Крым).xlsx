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84021B-2F5A-4B14-A67A-0903292211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Y479" i="2"/>
  <c r="X479" i="2"/>
  <c r="X478" i="2"/>
  <c r="BO477" i="2"/>
  <c r="BM477" i="2"/>
  <c r="Z477" i="2"/>
  <c r="Z478" i="2" s="1"/>
  <c r="Y477" i="2"/>
  <c r="BN477" i="2" s="1"/>
  <c r="P477" i="2"/>
  <c r="X475" i="2"/>
  <c r="X474" i="2"/>
  <c r="BO473" i="2"/>
  <c r="BN473" i="2"/>
  <c r="BM473" i="2"/>
  <c r="Z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Y468" i="2"/>
  <c r="BP468" i="2" s="1"/>
  <c r="P468" i="2"/>
  <c r="BO467" i="2"/>
  <c r="BM467" i="2"/>
  <c r="Z467" i="2"/>
  <c r="Y467" i="2"/>
  <c r="BP467" i="2" s="1"/>
  <c r="P467" i="2"/>
  <c r="BO466" i="2"/>
  <c r="BM466" i="2"/>
  <c r="Y466" i="2"/>
  <c r="P466" i="2"/>
  <c r="X464" i="2"/>
  <c r="X463" i="2"/>
  <c r="BO462" i="2"/>
  <c r="BM462" i="2"/>
  <c r="Z462" i="2"/>
  <c r="Y462" i="2"/>
  <c r="BN462" i="2" s="1"/>
  <c r="P462" i="2"/>
  <c r="BO461" i="2"/>
  <c r="BM461" i="2"/>
  <c r="Y461" i="2"/>
  <c r="P461" i="2"/>
  <c r="BO460" i="2"/>
  <c r="BM460" i="2"/>
  <c r="Y460" i="2"/>
  <c r="BN460" i="2" s="1"/>
  <c r="P460" i="2"/>
  <c r="BP459" i="2"/>
  <c r="BO459" i="2"/>
  <c r="BM459" i="2"/>
  <c r="Y459" i="2"/>
  <c r="P459" i="2"/>
  <c r="X455" i="2"/>
  <c r="X454" i="2"/>
  <c r="BO453" i="2"/>
  <c r="BM453" i="2"/>
  <c r="Z453" i="2"/>
  <c r="Y453" i="2"/>
  <c r="BN453" i="2" s="1"/>
  <c r="P453" i="2"/>
  <c r="BO452" i="2"/>
  <c r="BM452" i="2"/>
  <c r="Y452" i="2"/>
  <c r="P452" i="2"/>
  <c r="BP451" i="2"/>
  <c r="BO451" i="2"/>
  <c r="BN451" i="2"/>
  <c r="BM451" i="2"/>
  <c r="Z451" i="2"/>
  <c r="Y451" i="2"/>
  <c r="P451" i="2"/>
  <c r="X449" i="2"/>
  <c r="X448" i="2"/>
  <c r="BO447" i="2"/>
  <c r="BM447" i="2"/>
  <c r="Y447" i="2"/>
  <c r="BP447" i="2" s="1"/>
  <c r="P447" i="2"/>
  <c r="BP446" i="2"/>
  <c r="BO446" i="2"/>
  <c r="BN446" i="2"/>
  <c r="BM446" i="2"/>
  <c r="Z446" i="2"/>
  <c r="Y446" i="2"/>
  <c r="P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P443" i="2"/>
  <c r="BP442" i="2"/>
  <c r="BO442" i="2"/>
  <c r="BN442" i="2"/>
  <c r="BM442" i="2"/>
  <c r="Z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N430" i="2"/>
  <c r="BM430" i="2"/>
  <c r="Z430" i="2"/>
  <c r="Y430" i="2"/>
  <c r="BP430" i="2" s="1"/>
  <c r="P430" i="2"/>
  <c r="BO429" i="2"/>
  <c r="BN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N424" i="2"/>
  <c r="BM424" i="2"/>
  <c r="Z424" i="2"/>
  <c r="Y424" i="2"/>
  <c r="BP424" i="2" s="1"/>
  <c r="P424" i="2"/>
  <c r="BO423" i="2"/>
  <c r="BM423" i="2"/>
  <c r="Z423" i="2"/>
  <c r="Y423" i="2"/>
  <c r="BN423" i="2" s="1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BP407" i="2" s="1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P398" i="2"/>
  <c r="BO397" i="2"/>
  <c r="BM397" i="2"/>
  <c r="Y397" i="2"/>
  <c r="BN397" i="2" s="1"/>
  <c r="P397" i="2"/>
  <c r="X395" i="2"/>
  <c r="X394" i="2"/>
  <c r="BO393" i="2"/>
  <c r="BM393" i="2"/>
  <c r="Y393" i="2"/>
  <c r="P393" i="2"/>
  <c r="BP392" i="2"/>
  <c r="BO392" i="2"/>
  <c r="BM392" i="2"/>
  <c r="Y392" i="2"/>
  <c r="P392" i="2"/>
  <c r="BP391" i="2"/>
  <c r="BO391" i="2"/>
  <c r="BN391" i="2"/>
  <c r="BM391" i="2"/>
  <c r="Z391" i="2"/>
  <c r="Y391" i="2"/>
  <c r="P391" i="2"/>
  <c r="BO390" i="2"/>
  <c r="BM390" i="2"/>
  <c r="Y390" i="2"/>
  <c r="P390" i="2"/>
  <c r="BP389" i="2"/>
  <c r="BO389" i="2"/>
  <c r="BN389" i="2"/>
  <c r="BM389" i="2"/>
  <c r="Z389" i="2"/>
  <c r="Y389" i="2"/>
  <c r="P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X364" i="2"/>
  <c r="X363" i="2"/>
  <c r="BO362" i="2"/>
  <c r="BM362" i="2"/>
  <c r="Y362" i="2"/>
  <c r="BN362" i="2" s="1"/>
  <c r="P362" i="2"/>
  <c r="X360" i="2"/>
  <c r="X359" i="2"/>
  <c r="BO358" i="2"/>
  <c r="BN358" i="2"/>
  <c r="BM358" i="2"/>
  <c r="Z358" i="2"/>
  <c r="Y358" i="2"/>
  <c r="BP358" i="2" s="1"/>
  <c r="P358" i="2"/>
  <c r="BO357" i="2"/>
  <c r="BM357" i="2"/>
  <c r="Z357" i="2"/>
  <c r="Z359" i="2" s="1"/>
  <c r="Y357" i="2"/>
  <c r="BN357" i="2" s="1"/>
  <c r="P357" i="2"/>
  <c r="X355" i="2"/>
  <c r="X354" i="2"/>
  <c r="BO353" i="2"/>
  <c r="BN353" i="2"/>
  <c r="BM353" i="2"/>
  <c r="Z353" i="2"/>
  <c r="Y353" i="2"/>
  <c r="BP353" i="2" s="1"/>
  <c r="P353" i="2"/>
  <c r="BO352" i="2"/>
  <c r="BM352" i="2"/>
  <c r="Y352" i="2"/>
  <c r="BP352" i="2" s="1"/>
  <c r="P352" i="2"/>
  <c r="X350" i="2"/>
  <c r="X349" i="2"/>
  <c r="BO348" i="2"/>
  <c r="BM348" i="2"/>
  <c r="Y348" i="2"/>
  <c r="BP348" i="2" s="1"/>
  <c r="P348" i="2"/>
  <c r="BO347" i="2"/>
  <c r="BM347" i="2"/>
  <c r="Z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N344" i="2"/>
  <c r="BM344" i="2"/>
  <c r="Z344" i="2"/>
  <c r="Y344" i="2"/>
  <c r="BP344" i="2" s="1"/>
  <c r="P344" i="2"/>
  <c r="BO343" i="2"/>
  <c r="BN343" i="2"/>
  <c r="BM343" i="2"/>
  <c r="Z343" i="2"/>
  <c r="Y343" i="2"/>
  <c r="BP343" i="2" s="1"/>
  <c r="P343" i="2"/>
  <c r="BO342" i="2"/>
  <c r="BM342" i="2"/>
  <c r="Y342" i="2"/>
  <c r="BP342" i="2" s="1"/>
  <c r="P342" i="2"/>
  <c r="X338" i="2"/>
  <c r="X337" i="2"/>
  <c r="BO336" i="2"/>
  <c r="BM336" i="2"/>
  <c r="Y336" i="2"/>
  <c r="BP336" i="2" s="1"/>
  <c r="P336" i="2"/>
  <c r="BO335" i="2"/>
  <c r="BM335" i="2"/>
  <c r="Z335" i="2"/>
  <c r="Y335" i="2"/>
  <c r="BP335" i="2" s="1"/>
  <c r="P335" i="2"/>
  <c r="BO334" i="2"/>
  <c r="BM334" i="2"/>
  <c r="Y334" i="2"/>
  <c r="P334" i="2"/>
  <c r="X331" i="2"/>
  <c r="X330" i="2"/>
  <c r="BP329" i="2"/>
  <c r="BO329" i="2"/>
  <c r="BN329" i="2"/>
  <c r="BM329" i="2"/>
  <c r="Z329" i="2"/>
  <c r="Y329" i="2"/>
  <c r="P329" i="2"/>
  <c r="BO328" i="2"/>
  <c r="BM328" i="2"/>
  <c r="Y328" i="2"/>
  <c r="BP328" i="2" s="1"/>
  <c r="P328" i="2"/>
  <c r="BO327" i="2"/>
  <c r="BM327" i="2"/>
  <c r="Y327" i="2"/>
  <c r="Y330" i="2" s="1"/>
  <c r="P327" i="2"/>
  <c r="X325" i="2"/>
  <c r="X324" i="2"/>
  <c r="BO323" i="2"/>
  <c r="BN323" i="2"/>
  <c r="BM323" i="2"/>
  <c r="Z323" i="2"/>
  <c r="Y323" i="2"/>
  <c r="BP323" i="2" s="1"/>
  <c r="P323" i="2"/>
  <c r="BO322" i="2"/>
  <c r="BM322" i="2"/>
  <c r="Z322" i="2"/>
  <c r="Y322" i="2"/>
  <c r="BN322" i="2" s="1"/>
  <c r="P322" i="2"/>
  <c r="BO321" i="2"/>
  <c r="BM321" i="2"/>
  <c r="Y321" i="2"/>
  <c r="P321" i="2"/>
  <c r="BP320" i="2"/>
  <c r="BO320" i="2"/>
  <c r="BN320" i="2"/>
  <c r="BM320" i="2"/>
  <c r="Z320" i="2"/>
  <c r="Y320" i="2"/>
  <c r="Y325" i="2" s="1"/>
  <c r="P320" i="2"/>
  <c r="X318" i="2"/>
  <c r="X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BN314" i="2" s="1"/>
  <c r="P314" i="2"/>
  <c r="X312" i="2"/>
  <c r="X311" i="2"/>
  <c r="BO310" i="2"/>
  <c r="BM310" i="2"/>
  <c r="Y310" i="2"/>
  <c r="P310" i="2"/>
  <c r="BO309" i="2"/>
  <c r="BN309" i="2"/>
  <c r="BM309" i="2"/>
  <c r="Z309" i="2"/>
  <c r="Y309" i="2"/>
  <c r="BP309" i="2" s="1"/>
  <c r="P309" i="2"/>
  <c r="BO308" i="2"/>
  <c r="BN308" i="2"/>
  <c r="BM308" i="2"/>
  <c r="Z308" i="2"/>
  <c r="Y308" i="2"/>
  <c r="BP308" i="2" s="1"/>
  <c r="P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Z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Y305" i="2" s="1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M291" i="2"/>
  <c r="Y291" i="2"/>
  <c r="P291" i="2"/>
  <c r="BO290" i="2"/>
  <c r="BM290" i="2"/>
  <c r="Y290" i="2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X282" i="2"/>
  <c r="X281" i="2"/>
  <c r="BO280" i="2"/>
  <c r="BN280" i="2"/>
  <c r="BM280" i="2"/>
  <c r="Z280" i="2"/>
  <c r="Y280" i="2"/>
  <c r="BP280" i="2" s="1"/>
  <c r="P280" i="2"/>
  <c r="BO279" i="2"/>
  <c r="BM279" i="2"/>
  <c r="Z279" i="2"/>
  <c r="Z281" i="2" s="1"/>
  <c r="Y279" i="2"/>
  <c r="BN279" i="2" s="1"/>
  <c r="P279" i="2"/>
  <c r="X276" i="2"/>
  <c r="X275" i="2"/>
  <c r="BO274" i="2"/>
  <c r="BN274" i="2"/>
  <c r="BM274" i="2"/>
  <c r="Z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69" i="2"/>
  <c r="X268" i="2"/>
  <c r="BO267" i="2"/>
  <c r="BM267" i="2"/>
  <c r="Z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X261" i="2"/>
  <c r="X260" i="2"/>
  <c r="BO259" i="2"/>
  <c r="BM259" i="2"/>
  <c r="Y259" i="2"/>
  <c r="BN259" i="2" s="1"/>
  <c r="P259" i="2"/>
  <c r="BO258" i="2"/>
  <c r="BM258" i="2"/>
  <c r="Z258" i="2"/>
  <c r="Y258" i="2"/>
  <c r="BN258" i="2" s="1"/>
  <c r="P258" i="2"/>
  <c r="BO257" i="2"/>
  <c r="BM257" i="2"/>
  <c r="Y257" i="2"/>
  <c r="BP257" i="2" s="1"/>
  <c r="P257" i="2"/>
  <c r="BO256" i="2"/>
  <c r="BM256" i="2"/>
  <c r="Z256" i="2"/>
  <c r="Y256" i="2"/>
  <c r="BP256" i="2" s="1"/>
  <c r="P256" i="2"/>
  <c r="BO255" i="2"/>
  <c r="BM255" i="2"/>
  <c r="Y255" i="2"/>
  <c r="Z255" i="2" s="1"/>
  <c r="P255" i="2"/>
  <c r="X252" i="2"/>
  <c r="X251" i="2"/>
  <c r="BP250" i="2"/>
  <c r="BO250" i="2"/>
  <c r="BN250" i="2"/>
  <c r="BM250" i="2"/>
  <c r="Z250" i="2"/>
  <c r="Y250" i="2"/>
  <c r="P250" i="2"/>
  <c r="BO249" i="2"/>
  <c r="BM249" i="2"/>
  <c r="Y249" i="2"/>
  <c r="BP249" i="2" s="1"/>
  <c r="P249" i="2"/>
  <c r="BO248" i="2"/>
  <c r="BM248" i="2"/>
  <c r="Y248" i="2"/>
  <c r="BN248" i="2" s="1"/>
  <c r="P248" i="2"/>
  <c r="BO247" i="2"/>
  <c r="BM247" i="2"/>
  <c r="Z247" i="2"/>
  <c r="Y247" i="2"/>
  <c r="BN247" i="2" s="1"/>
  <c r="P247" i="2"/>
  <c r="BO246" i="2"/>
  <c r="BM246" i="2"/>
  <c r="Y246" i="2"/>
  <c r="Y251" i="2" s="1"/>
  <c r="P246" i="2"/>
  <c r="X244" i="2"/>
  <c r="X243" i="2"/>
  <c r="BO242" i="2"/>
  <c r="BM242" i="2"/>
  <c r="Y242" i="2"/>
  <c r="Y244" i="2" s="1"/>
  <c r="P242" i="2"/>
  <c r="Y240" i="2"/>
  <c r="X240" i="2"/>
  <c r="X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O233" i="2"/>
  <c r="BM233" i="2"/>
  <c r="Z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M225" i="2"/>
  <c r="Y225" i="2"/>
  <c r="BN225" i="2" s="1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BN215" i="2" s="1"/>
  <c r="P215" i="2"/>
  <c r="BO214" i="2"/>
  <c r="BM214" i="2"/>
  <c r="Z214" i="2"/>
  <c r="Y214" i="2"/>
  <c r="BN214" i="2" s="1"/>
  <c r="P214" i="2"/>
  <c r="BO213" i="2"/>
  <c r="BM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X205" i="2"/>
  <c r="X204" i="2"/>
  <c r="BO203" i="2"/>
  <c r="BM203" i="2"/>
  <c r="Y203" i="2"/>
  <c r="BP203" i="2" s="1"/>
  <c r="P203" i="2"/>
  <c r="BO202" i="2"/>
  <c r="BM202" i="2"/>
  <c r="Y202" i="2"/>
  <c r="BP202" i="2" s="1"/>
  <c r="P202" i="2"/>
  <c r="BP201" i="2"/>
  <c r="BO201" i="2"/>
  <c r="BM201" i="2"/>
  <c r="Y201" i="2"/>
  <c r="BN201" i="2" s="1"/>
  <c r="P201" i="2"/>
  <c r="BO200" i="2"/>
  <c r="BM200" i="2"/>
  <c r="Y200" i="2"/>
  <c r="Z200" i="2" s="1"/>
  <c r="P200" i="2"/>
  <c r="BO199" i="2"/>
  <c r="BN199" i="2"/>
  <c r="BM199" i="2"/>
  <c r="Z199" i="2"/>
  <c r="Y199" i="2"/>
  <c r="BP199" i="2" s="1"/>
  <c r="P199" i="2"/>
  <c r="BO198" i="2"/>
  <c r="BN198" i="2"/>
  <c r="BM198" i="2"/>
  <c r="Z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Z192" i="2"/>
  <c r="Y192" i="2"/>
  <c r="BP192" i="2" s="1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Y188" i="2" s="1"/>
  <c r="P186" i="2"/>
  <c r="X183" i="2"/>
  <c r="X182" i="2"/>
  <c r="BO181" i="2"/>
  <c r="BM181" i="2"/>
  <c r="Y181" i="2"/>
  <c r="Y182" i="2" s="1"/>
  <c r="P181" i="2"/>
  <c r="X179" i="2"/>
  <c r="X178" i="2"/>
  <c r="BO177" i="2"/>
  <c r="BM177" i="2"/>
  <c r="Y177" i="2"/>
  <c r="Z177" i="2" s="1"/>
  <c r="P177" i="2"/>
  <c r="BO176" i="2"/>
  <c r="BN176" i="2"/>
  <c r="BM176" i="2"/>
  <c r="Z176" i="2"/>
  <c r="Y176" i="2"/>
  <c r="BP176" i="2" s="1"/>
  <c r="P176" i="2"/>
  <c r="BO175" i="2"/>
  <c r="BN175" i="2"/>
  <c r="BM175" i="2"/>
  <c r="Z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P168" i="2"/>
  <c r="BO168" i="2"/>
  <c r="BM168" i="2"/>
  <c r="Y168" i="2"/>
  <c r="BN168" i="2" s="1"/>
  <c r="P168" i="2"/>
  <c r="BO167" i="2"/>
  <c r="BM167" i="2"/>
  <c r="Y167" i="2"/>
  <c r="Z167" i="2" s="1"/>
  <c r="P167" i="2"/>
  <c r="BO166" i="2"/>
  <c r="BN166" i="2"/>
  <c r="BM166" i="2"/>
  <c r="Z166" i="2"/>
  <c r="Y166" i="2"/>
  <c r="BP166" i="2" s="1"/>
  <c r="P166" i="2"/>
  <c r="BO165" i="2"/>
  <c r="BN165" i="2"/>
  <c r="BM165" i="2"/>
  <c r="Z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BO162" i="2"/>
  <c r="BM162" i="2"/>
  <c r="Y162" i="2"/>
  <c r="Y173" i="2" s="1"/>
  <c r="P162" i="2"/>
  <c r="X160" i="2"/>
  <c r="X159" i="2"/>
  <c r="BP158" i="2"/>
  <c r="BO158" i="2"/>
  <c r="BM158" i="2"/>
  <c r="Y158" i="2"/>
  <c r="Y160" i="2" s="1"/>
  <c r="P158" i="2"/>
  <c r="X154" i="2"/>
  <c r="X153" i="2"/>
  <c r="BO152" i="2"/>
  <c r="BM152" i="2"/>
  <c r="Y152" i="2"/>
  <c r="BN152" i="2" s="1"/>
  <c r="P152" i="2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BP147" i="2" s="1"/>
  <c r="P147" i="2"/>
  <c r="BO146" i="2"/>
  <c r="BM146" i="2"/>
  <c r="Y146" i="2"/>
  <c r="BP146" i="2" s="1"/>
  <c r="P146" i="2"/>
  <c r="Y144" i="2"/>
  <c r="X144" i="2"/>
  <c r="X143" i="2"/>
  <c r="BO142" i="2"/>
  <c r="BN142" i="2"/>
  <c r="BM142" i="2"/>
  <c r="Z142" i="2"/>
  <c r="Y142" i="2"/>
  <c r="P142" i="2"/>
  <c r="BO141" i="2"/>
  <c r="BN141" i="2"/>
  <c r="BM141" i="2"/>
  <c r="Z141" i="2"/>
  <c r="Z143" i="2" s="1"/>
  <c r="Y141" i="2"/>
  <c r="BP141" i="2" s="1"/>
  <c r="P141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P130" i="2"/>
  <c r="BO130" i="2"/>
  <c r="BN130" i="2"/>
  <c r="BM130" i="2"/>
  <c r="Z130" i="2"/>
  <c r="Y130" i="2"/>
  <c r="P130" i="2"/>
  <c r="X128" i="2"/>
  <c r="X127" i="2"/>
  <c r="BO126" i="2"/>
  <c r="BM126" i="2"/>
  <c r="Y126" i="2"/>
  <c r="P126" i="2"/>
  <c r="BO125" i="2"/>
  <c r="BM125" i="2"/>
  <c r="Y125" i="2"/>
  <c r="G500" i="2" s="1"/>
  <c r="P125" i="2"/>
  <c r="X122" i="2"/>
  <c r="X121" i="2"/>
  <c r="BP120" i="2"/>
  <c r="BO120" i="2"/>
  <c r="BM120" i="2"/>
  <c r="Y120" i="2"/>
  <c r="Y122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Y117" i="2" s="1"/>
  <c r="P113" i="2"/>
  <c r="X111" i="2"/>
  <c r="X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Y110" i="2" s="1"/>
  <c r="P107" i="2"/>
  <c r="X105" i="2"/>
  <c r="X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X97" i="2"/>
  <c r="X96" i="2"/>
  <c r="BO95" i="2"/>
  <c r="BN95" i="2"/>
  <c r="BM95" i="2"/>
  <c r="Z95" i="2"/>
  <c r="Y95" i="2"/>
  <c r="BP95" i="2" s="1"/>
  <c r="P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BO92" i="2"/>
  <c r="BM92" i="2"/>
  <c r="Y92" i="2"/>
  <c r="Y96" i="2" s="1"/>
  <c r="P92" i="2"/>
  <c r="X90" i="2"/>
  <c r="X89" i="2"/>
  <c r="BO88" i="2"/>
  <c r="BM88" i="2"/>
  <c r="Z88" i="2"/>
  <c r="Y88" i="2"/>
  <c r="BN88" i="2" s="1"/>
  <c r="P88" i="2"/>
  <c r="BO87" i="2"/>
  <c r="BM87" i="2"/>
  <c r="Y87" i="2"/>
  <c r="BN87" i="2" s="1"/>
  <c r="P87" i="2"/>
  <c r="BO86" i="2"/>
  <c r="BM86" i="2"/>
  <c r="Y86" i="2"/>
  <c r="Z86" i="2" s="1"/>
  <c r="P86" i="2"/>
  <c r="X83" i="2"/>
  <c r="X82" i="2"/>
  <c r="BO81" i="2"/>
  <c r="BM81" i="2"/>
  <c r="Y81" i="2"/>
  <c r="BP81" i="2" s="1"/>
  <c r="P81" i="2"/>
  <c r="BO80" i="2"/>
  <c r="BM80" i="2"/>
  <c r="Y80" i="2"/>
  <c r="BN80" i="2" s="1"/>
  <c r="P80" i="2"/>
  <c r="X78" i="2"/>
  <c r="X77" i="2"/>
  <c r="BP76" i="2"/>
  <c r="BO76" i="2"/>
  <c r="BN76" i="2"/>
  <c r="BM76" i="2"/>
  <c r="Z76" i="2"/>
  <c r="Y76" i="2"/>
  <c r="P76" i="2"/>
  <c r="BO75" i="2"/>
  <c r="BM75" i="2"/>
  <c r="Y75" i="2"/>
  <c r="BP75" i="2" s="1"/>
  <c r="P75" i="2"/>
  <c r="BP74" i="2"/>
  <c r="BO74" i="2"/>
  <c r="BN74" i="2"/>
  <c r="BM74" i="2"/>
  <c r="Z74" i="2"/>
  <c r="Y74" i="2"/>
  <c r="P74" i="2"/>
  <c r="BO73" i="2"/>
  <c r="BM73" i="2"/>
  <c r="Y73" i="2"/>
  <c r="BP73" i="2" s="1"/>
  <c r="P73" i="2"/>
  <c r="X71" i="2"/>
  <c r="X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P61" i="2" s="1"/>
  <c r="P61" i="2"/>
  <c r="X59" i="2"/>
  <c r="X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P55" i="2" s="1"/>
  <c r="P55" i="2"/>
  <c r="BP54" i="2"/>
  <c r="BO54" i="2"/>
  <c r="BM54" i="2"/>
  <c r="Y54" i="2"/>
  <c r="P54" i="2"/>
  <c r="BO53" i="2"/>
  <c r="BM53" i="2"/>
  <c r="Y53" i="2"/>
  <c r="Z53" i="2" s="1"/>
  <c r="P53" i="2"/>
  <c r="BO52" i="2"/>
  <c r="BN52" i="2"/>
  <c r="BM52" i="2"/>
  <c r="Z52" i="2"/>
  <c r="Y52" i="2"/>
  <c r="P52" i="2"/>
  <c r="X49" i="2"/>
  <c r="X48" i="2"/>
  <c r="BO47" i="2"/>
  <c r="BM47" i="2"/>
  <c r="Y47" i="2"/>
  <c r="BN47" i="2" s="1"/>
  <c r="P47" i="2"/>
  <c r="X45" i="2"/>
  <c r="X44" i="2"/>
  <c r="BP43" i="2"/>
  <c r="BO43" i="2"/>
  <c r="BN43" i="2"/>
  <c r="BM43" i="2"/>
  <c r="Z43" i="2"/>
  <c r="Y43" i="2"/>
  <c r="P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Z28" i="2" s="1"/>
  <c r="P28" i="2"/>
  <c r="BO27" i="2"/>
  <c r="BN27" i="2"/>
  <c r="BM27" i="2"/>
  <c r="Z27" i="2"/>
  <c r="Y27" i="2"/>
  <c r="BP27" i="2" s="1"/>
  <c r="P27" i="2"/>
  <c r="X25" i="2"/>
  <c r="X24" i="2"/>
  <c r="BO23" i="2"/>
  <c r="BM23" i="2"/>
  <c r="Y23" i="2"/>
  <c r="BN23" i="2" s="1"/>
  <c r="P23" i="2"/>
  <c r="BP22" i="2"/>
  <c r="BO22" i="2"/>
  <c r="BM22" i="2"/>
  <c r="X491" i="2" s="1"/>
  <c r="Y22" i="2"/>
  <c r="H10" i="2"/>
  <c r="A9" i="2"/>
  <c r="F10" i="2" s="1"/>
  <c r="D7" i="2"/>
  <c r="Q6" i="2"/>
  <c r="P2" i="2"/>
  <c r="Y24" i="2" l="1"/>
  <c r="Y44" i="2"/>
  <c r="Y45" i="2"/>
  <c r="Y48" i="2"/>
  <c r="BN63" i="2"/>
  <c r="BP63" i="2"/>
  <c r="Y64" i="2"/>
  <c r="Y65" i="2"/>
  <c r="BN68" i="2"/>
  <c r="BP68" i="2"/>
  <c r="Y77" i="2"/>
  <c r="Y78" i="2"/>
  <c r="BN86" i="2"/>
  <c r="BP86" i="2"/>
  <c r="BN102" i="2"/>
  <c r="BP102" i="2"/>
  <c r="Y111" i="2"/>
  <c r="BN125" i="2"/>
  <c r="BP125" i="2"/>
  <c r="Y128" i="2"/>
  <c r="Y127" i="2"/>
  <c r="BP152" i="2"/>
  <c r="Y153" i="2"/>
  <c r="Z178" i="2"/>
  <c r="BP187" i="2"/>
  <c r="BN210" i="2"/>
  <c r="BP210" i="2"/>
  <c r="BN213" i="2"/>
  <c r="BN220" i="2"/>
  <c r="BP220" i="2"/>
  <c r="Y221" i="2"/>
  <c r="BN231" i="2"/>
  <c r="BP231" i="2"/>
  <c r="BN234" i="2"/>
  <c r="BN246" i="2"/>
  <c r="BN257" i="2"/>
  <c r="BN265" i="2"/>
  <c r="BP265" i="2"/>
  <c r="BP294" i="2"/>
  <c r="BN300" i="2"/>
  <c r="BP300" i="2"/>
  <c r="BN303" i="2"/>
  <c r="BP315" i="2"/>
  <c r="BN315" i="2"/>
  <c r="Z315" i="2"/>
  <c r="BN336" i="2"/>
  <c r="BN348" i="2"/>
  <c r="BP367" i="2"/>
  <c r="BN367" i="2"/>
  <c r="Z367" i="2"/>
  <c r="Z369" i="2"/>
  <c r="BN368" i="2"/>
  <c r="BP368" i="2"/>
  <c r="Y369" i="2"/>
  <c r="BP379" i="2"/>
  <c r="BN379" i="2"/>
  <c r="Z379" i="2"/>
  <c r="BN386" i="2"/>
  <c r="Z386" i="2"/>
  <c r="BP390" i="2"/>
  <c r="BN390" i="2"/>
  <c r="Z390" i="2"/>
  <c r="BP393" i="2"/>
  <c r="BN393" i="2"/>
  <c r="Z393" i="2"/>
  <c r="BP398" i="2"/>
  <c r="Z398" i="2"/>
  <c r="BP408" i="2"/>
  <c r="BN408" i="2"/>
  <c r="Z408" i="2"/>
  <c r="BN422" i="2"/>
  <c r="Z422" i="2"/>
  <c r="Y449" i="2"/>
  <c r="BN444" i="2"/>
  <c r="Z444" i="2"/>
  <c r="BN445" i="2"/>
  <c r="Y448" i="2"/>
  <c r="BP452" i="2"/>
  <c r="BN452" i="2"/>
  <c r="Z452" i="2"/>
  <c r="Z454" i="2" s="1"/>
  <c r="BP461" i="2"/>
  <c r="Z461" i="2"/>
  <c r="BN468" i="2"/>
  <c r="J9" i="2"/>
  <c r="B500" i="2"/>
  <c r="X492" i="2"/>
  <c r="X494" i="2"/>
  <c r="X490" i="2"/>
  <c r="BN28" i="2"/>
  <c r="BP28" i="2"/>
  <c r="Y32" i="2"/>
  <c r="Z30" i="2"/>
  <c r="BN31" i="2"/>
  <c r="Y37" i="2"/>
  <c r="C500" i="2"/>
  <c r="Z42" i="2"/>
  <c r="Z44" i="2" s="1"/>
  <c r="BN42" i="2"/>
  <c r="Y59" i="2"/>
  <c r="BN53" i="2"/>
  <c r="BP53" i="2"/>
  <c r="Y58" i="2"/>
  <c r="Z55" i="2"/>
  <c r="BN56" i="2"/>
  <c r="BP57" i="2"/>
  <c r="BN61" i="2"/>
  <c r="Z62" i="2"/>
  <c r="BN62" i="2"/>
  <c r="Z73" i="2"/>
  <c r="BN73" i="2"/>
  <c r="Z75" i="2"/>
  <c r="BN75" i="2"/>
  <c r="BP87" i="2"/>
  <c r="Y90" i="2"/>
  <c r="F500" i="2"/>
  <c r="Z107" i="2"/>
  <c r="Z110" i="2" s="1"/>
  <c r="BN107" i="2"/>
  <c r="BP107" i="2"/>
  <c r="Z109" i="2"/>
  <c r="BN109" i="2"/>
  <c r="BP113" i="2"/>
  <c r="BP116" i="2"/>
  <c r="Y133" i="2"/>
  <c r="Z131" i="2"/>
  <c r="Z132" i="2" s="1"/>
  <c r="BN131" i="2"/>
  <c r="Y138" i="2"/>
  <c r="BN135" i="2"/>
  <c r="BP136" i="2"/>
  <c r="Y143" i="2"/>
  <c r="Z146" i="2"/>
  <c r="BN146" i="2"/>
  <c r="Z152" i="2"/>
  <c r="Z153" i="2" s="1"/>
  <c r="Y154" i="2"/>
  <c r="Z162" i="2"/>
  <c r="BN162" i="2"/>
  <c r="BP162" i="2"/>
  <c r="Y172" i="2"/>
  <c r="BN167" i="2"/>
  <c r="BP167" i="2"/>
  <c r="Z169" i="2"/>
  <c r="BN170" i="2"/>
  <c r="BP171" i="2"/>
  <c r="BN177" i="2"/>
  <c r="BP177" i="2"/>
  <c r="Y178" i="2"/>
  <c r="Z187" i="2"/>
  <c r="BP191" i="2"/>
  <c r="Y194" i="2"/>
  <c r="Y205" i="2"/>
  <c r="BN200" i="2"/>
  <c r="BP200" i="2"/>
  <c r="Z202" i="2"/>
  <c r="BN203" i="2"/>
  <c r="Z208" i="2"/>
  <c r="BN208" i="2"/>
  <c r="Z209" i="2"/>
  <c r="BN209" i="2"/>
  <c r="BP211" i="2"/>
  <c r="BP214" i="2"/>
  <c r="Y216" i="2"/>
  <c r="Z219" i="2"/>
  <c r="Z221" i="2" s="1"/>
  <c r="BN219" i="2"/>
  <c r="Z229" i="2"/>
  <c r="BN229" i="2"/>
  <c r="Z230" i="2"/>
  <c r="BN230" i="2"/>
  <c r="BP232" i="2"/>
  <c r="Z242" i="2"/>
  <c r="Z243" i="2" s="1"/>
  <c r="BN242" i="2"/>
  <c r="BP242" i="2"/>
  <c r="BP247" i="2"/>
  <c r="BP255" i="2"/>
  <c r="BP258" i="2"/>
  <c r="Y260" i="2"/>
  <c r="Z264" i="2"/>
  <c r="BN264" i="2"/>
  <c r="BP266" i="2"/>
  <c r="Y269" i="2"/>
  <c r="BP279" i="2"/>
  <c r="Y281" i="2"/>
  <c r="Y282" i="2"/>
  <c r="Y296" i="2"/>
  <c r="BN290" i="2"/>
  <c r="BP290" i="2"/>
  <c r="Y295" i="2"/>
  <c r="Z292" i="2"/>
  <c r="BN293" i="2"/>
  <c r="Z294" i="2"/>
  <c r="Z298" i="2"/>
  <c r="BN298" i="2"/>
  <c r="Z299" i="2"/>
  <c r="BN299" i="2"/>
  <c r="BP301" i="2"/>
  <c r="BP307" i="2"/>
  <c r="Y311" i="2"/>
  <c r="Z310" i="2"/>
  <c r="BP310" i="2"/>
  <c r="BN310" i="2"/>
  <c r="BP321" i="2"/>
  <c r="BN321" i="2"/>
  <c r="Z321" i="2"/>
  <c r="Z324" i="2" s="1"/>
  <c r="Y338" i="2"/>
  <c r="BP334" i="2"/>
  <c r="R500" i="2"/>
  <c r="BP373" i="2"/>
  <c r="BN373" i="2"/>
  <c r="Z373" i="2"/>
  <c r="Y381" i="2"/>
  <c r="BP377" i="2"/>
  <c r="BN377" i="2"/>
  <c r="Z377" i="2"/>
  <c r="Z380" i="2" s="1"/>
  <c r="BP386" i="2"/>
  <c r="Y395" i="2"/>
  <c r="Z388" i="2"/>
  <c r="BN392" i="2"/>
  <c r="Z392" i="2"/>
  <c r="Y412" i="2"/>
  <c r="Y417" i="2"/>
  <c r="W500" i="2"/>
  <c r="Y416" i="2"/>
  <c r="BP415" i="2"/>
  <c r="BN415" i="2"/>
  <c r="Z415" i="2"/>
  <c r="Z416" i="2" s="1"/>
  <c r="BP422" i="2"/>
  <c r="BP426" i="2"/>
  <c r="BN426" i="2"/>
  <c r="Z426" i="2"/>
  <c r="Y440" i="2"/>
  <c r="BN443" i="2"/>
  <c r="Z443" i="2"/>
  <c r="Y454" i="2"/>
  <c r="Y455" i="2"/>
  <c r="Y463" i="2"/>
  <c r="Z459" i="2"/>
  <c r="BP322" i="2"/>
  <c r="Y324" i="2"/>
  <c r="BN345" i="2"/>
  <c r="BP345" i="2"/>
  <c r="BP357" i="2"/>
  <c r="Y359" i="2"/>
  <c r="Y360" i="2"/>
  <c r="Y363" i="2"/>
  <c r="BN372" i="2"/>
  <c r="Y374" i="2"/>
  <c r="U500" i="2"/>
  <c r="BN385" i="2"/>
  <c r="BN403" i="2"/>
  <c r="BP403" i="2"/>
  <c r="Y404" i="2"/>
  <c r="Y405" i="2"/>
  <c r="BN407" i="2"/>
  <c r="X500" i="2"/>
  <c r="BN421" i="2"/>
  <c r="BP423" i="2"/>
  <c r="BN425" i="2"/>
  <c r="BN431" i="2"/>
  <c r="BP431" i="2"/>
  <c r="BP453" i="2"/>
  <c r="BP462" i="2"/>
  <c r="Y470" i="2"/>
  <c r="BP477" i="2"/>
  <c r="Y478" i="2"/>
  <c r="Z481" i="2"/>
  <c r="Y483" i="2"/>
  <c r="Z487" i="2"/>
  <c r="Z488" i="2" s="1"/>
  <c r="BN487" i="2"/>
  <c r="Y489" i="2"/>
  <c r="X493" i="2"/>
  <c r="Z268" i="2"/>
  <c r="Y268" i="2"/>
  <c r="H500" i="2"/>
  <c r="BP80" i="2"/>
  <c r="BP114" i="2"/>
  <c r="Z135" i="2"/>
  <c r="Z170" i="2"/>
  <c r="Y183" i="2"/>
  <c r="Z203" i="2"/>
  <c r="Z213" i="2"/>
  <c r="BP215" i="2"/>
  <c r="Z234" i="2"/>
  <c r="Y239" i="2"/>
  <c r="Z246" i="2"/>
  <c r="BP248" i="2"/>
  <c r="Z257" i="2"/>
  <c r="BP259" i="2"/>
  <c r="BP284" i="2"/>
  <c r="Z293" i="2"/>
  <c r="Z303" i="2"/>
  <c r="Z304" i="2" s="1"/>
  <c r="BP327" i="2"/>
  <c r="Z336" i="2"/>
  <c r="Z348" i="2"/>
  <c r="BP362" i="2"/>
  <c r="Z385" i="2"/>
  <c r="BP387" i="2"/>
  <c r="BP397" i="2"/>
  <c r="Y411" i="2"/>
  <c r="Z421" i="2"/>
  <c r="Y439" i="2"/>
  <c r="BP460" i="2"/>
  <c r="Z468" i="2"/>
  <c r="BP482" i="2"/>
  <c r="I500" i="2"/>
  <c r="Y89" i="2"/>
  <c r="Y97" i="2"/>
  <c r="Y193" i="2"/>
  <c r="F9" i="2"/>
  <c r="BP23" i="2"/>
  <c r="Z31" i="2"/>
  <c r="Y36" i="2"/>
  <c r="BP47" i="2"/>
  <c r="Z56" i="2"/>
  <c r="H9" i="2"/>
  <c r="Z61" i="2"/>
  <c r="Z64" i="2" s="1"/>
  <c r="Y118" i="2"/>
  <c r="Y189" i="2"/>
  <c r="Y252" i="2"/>
  <c r="Y331" i="2"/>
  <c r="Y464" i="2"/>
  <c r="J500" i="2"/>
  <c r="K500" i="2"/>
  <c r="Z81" i="2"/>
  <c r="Z285" i="2"/>
  <c r="L500" i="2"/>
  <c r="Z466" i="2"/>
  <c r="Z469" i="2" s="1"/>
  <c r="M500" i="2"/>
  <c r="Z115" i="2"/>
  <c r="Z249" i="2"/>
  <c r="Z120" i="2"/>
  <c r="Z121" i="2" s="1"/>
  <c r="Y149" i="2"/>
  <c r="Z168" i="2"/>
  <c r="Z191" i="2"/>
  <c r="Z193" i="2" s="1"/>
  <c r="Z266" i="2"/>
  <c r="Z334" i="2"/>
  <c r="Z346" i="2"/>
  <c r="BP385" i="2"/>
  <c r="BP421" i="2"/>
  <c r="Z432" i="2"/>
  <c r="Y25" i="2"/>
  <c r="Y49" i="2"/>
  <c r="Z69" i="2"/>
  <c r="BN81" i="2"/>
  <c r="Z92" i="2"/>
  <c r="Z103" i="2"/>
  <c r="BN115" i="2"/>
  <c r="Z126" i="2"/>
  <c r="Z163" i="2"/>
  <c r="BN186" i="2"/>
  <c r="Z196" i="2"/>
  <c r="Y217" i="2"/>
  <c r="Z227" i="2"/>
  <c r="BN249" i="2"/>
  <c r="Y261" i="2"/>
  <c r="Z272" i="2"/>
  <c r="BN285" i="2"/>
  <c r="BP298" i="2"/>
  <c r="Z316" i="2"/>
  <c r="BN328" i="2"/>
  <c r="Y364" i="2"/>
  <c r="BN388" i="2"/>
  <c r="BN398" i="2"/>
  <c r="Z409" i="2"/>
  <c r="Z427" i="2"/>
  <c r="Z437" i="2"/>
  <c r="Z447" i="2"/>
  <c r="BN461" i="2"/>
  <c r="Y484" i="2"/>
  <c r="O500" i="2"/>
  <c r="Z328" i="2"/>
  <c r="Z54" i="2"/>
  <c r="Z87" i="2"/>
  <c r="Z89" i="2" s="1"/>
  <c r="BP135" i="2"/>
  <c r="Z201" i="2"/>
  <c r="Z211" i="2"/>
  <c r="Z232" i="2"/>
  <c r="BP246" i="2"/>
  <c r="Z291" i="2"/>
  <c r="Y179" i="2"/>
  <c r="Y204" i="2"/>
  <c r="Y222" i="2"/>
  <c r="Y235" i="2"/>
  <c r="BN255" i="2"/>
  <c r="BN291" i="2"/>
  <c r="BN301" i="2"/>
  <c r="Y304" i="2"/>
  <c r="Y312" i="2"/>
  <c r="BN334" i="2"/>
  <c r="Y337" i="2"/>
  <c r="BN346" i="2"/>
  <c r="Y349" i="2"/>
  <c r="Y370" i="2"/>
  <c r="BN432" i="2"/>
  <c r="BP444" i="2"/>
  <c r="BN466" i="2"/>
  <c r="Y469" i="2"/>
  <c r="P500" i="2"/>
  <c r="A10" i="2"/>
  <c r="Z186" i="2"/>
  <c r="Z188" i="2" s="1"/>
  <c r="Z29" i="2"/>
  <c r="Z32" i="2" s="1"/>
  <c r="Z158" i="2"/>
  <c r="Z159" i="2" s="1"/>
  <c r="BN29" i="2"/>
  <c r="BN54" i="2"/>
  <c r="BN120" i="2"/>
  <c r="BN158" i="2"/>
  <c r="Z22" i="2"/>
  <c r="Z57" i="2"/>
  <c r="BN69" i="2"/>
  <c r="BN92" i="2"/>
  <c r="BN103" i="2"/>
  <c r="Z113" i="2"/>
  <c r="BN126" i="2"/>
  <c r="Z136" i="2"/>
  <c r="Y150" i="2"/>
  <c r="BN163" i="2"/>
  <c r="Z171" i="2"/>
  <c r="BP186" i="2"/>
  <c r="BN196" i="2"/>
  <c r="BN227" i="2"/>
  <c r="BN272" i="2"/>
  <c r="Y275" i="2"/>
  <c r="BN316" i="2"/>
  <c r="Y354" i="2"/>
  <c r="Y375" i="2"/>
  <c r="BP388" i="2"/>
  <c r="BN409" i="2"/>
  <c r="BN427" i="2"/>
  <c r="BN437" i="2"/>
  <c r="BN447" i="2"/>
  <c r="Y474" i="2"/>
  <c r="Q500" i="2"/>
  <c r="Y394" i="2"/>
  <c r="BP466" i="2"/>
  <c r="BN22" i="2"/>
  <c r="Y33" i="2"/>
  <c r="Z67" i="2"/>
  <c r="Z70" i="2" s="1"/>
  <c r="Y82" i="2"/>
  <c r="BP92" i="2"/>
  <c r="Z101" i="2"/>
  <c r="Z104" i="2" s="1"/>
  <c r="BN113" i="2"/>
  <c r="BP126" i="2"/>
  <c r="Z147" i="2"/>
  <c r="BP163" i="2"/>
  <c r="Z181" i="2"/>
  <c r="Z182" i="2" s="1"/>
  <c r="BP196" i="2"/>
  <c r="Z225" i="2"/>
  <c r="Y236" i="2"/>
  <c r="Y286" i="2"/>
  <c r="Z314" i="2"/>
  <c r="Z317" i="2" s="1"/>
  <c r="Y350" i="2"/>
  <c r="Z372" i="2"/>
  <c r="Z374" i="2" s="1"/>
  <c r="Y399" i="2"/>
  <c r="Z407" i="2"/>
  <c r="Z425" i="2"/>
  <c r="Z445" i="2"/>
  <c r="Z448" i="2" s="1"/>
  <c r="BN459" i="2"/>
  <c r="BN481" i="2"/>
  <c r="S500" i="2"/>
  <c r="Y121" i="2"/>
  <c r="Y159" i="2"/>
  <c r="Y276" i="2"/>
  <c r="Y355" i="2"/>
  <c r="Y433" i="2"/>
  <c r="Y475" i="2"/>
  <c r="T500" i="2"/>
  <c r="Z35" i="2"/>
  <c r="Z36" i="2" s="1"/>
  <c r="BP52" i="2"/>
  <c r="Y83" i="2"/>
  <c r="Z93" i="2"/>
  <c r="Y132" i="2"/>
  <c r="BP142" i="2"/>
  <c r="Z164" i="2"/>
  <c r="Z197" i="2"/>
  <c r="Z207" i="2"/>
  <c r="Z228" i="2"/>
  <c r="Z238" i="2"/>
  <c r="Z239" i="2" s="1"/>
  <c r="Y243" i="2"/>
  <c r="Z273" i="2"/>
  <c r="Y287" i="2"/>
  <c r="Z307" i="2"/>
  <c r="Z342" i="2"/>
  <c r="Z352" i="2"/>
  <c r="Z354" i="2" s="1"/>
  <c r="Y380" i="2"/>
  <c r="Y400" i="2"/>
  <c r="Z410" i="2"/>
  <c r="Z428" i="2"/>
  <c r="Z438" i="2"/>
  <c r="Z472" i="2"/>
  <c r="Z474" i="2" s="1"/>
  <c r="BP487" i="2"/>
  <c r="V500" i="2"/>
  <c r="BP314" i="2"/>
  <c r="BN335" i="2"/>
  <c r="BN347" i="2"/>
  <c r="Y434" i="2"/>
  <c r="BN467" i="2"/>
  <c r="D500" i="2"/>
  <c r="Y70" i="2"/>
  <c r="BN101" i="2"/>
  <c r="BN147" i="2"/>
  <c r="BN181" i="2"/>
  <c r="Y317" i="2"/>
  <c r="BN55" i="2"/>
  <c r="BP181" i="2"/>
  <c r="BN192" i="2"/>
  <c r="BN202" i="2"/>
  <c r="BN212" i="2"/>
  <c r="BP225" i="2"/>
  <c r="BN233" i="2"/>
  <c r="BN256" i="2"/>
  <c r="BN267" i="2"/>
  <c r="BN292" i="2"/>
  <c r="BN302" i="2"/>
  <c r="BN228" i="2"/>
  <c r="BN238" i="2"/>
  <c r="Z248" i="2"/>
  <c r="Z259" i="2"/>
  <c r="BN273" i="2"/>
  <c r="Z284" i="2"/>
  <c r="BN307" i="2"/>
  <c r="Y318" i="2"/>
  <c r="Z327" i="2"/>
  <c r="Z330" i="2" s="1"/>
  <c r="BN342" i="2"/>
  <c r="BN352" i="2"/>
  <c r="Z362" i="2"/>
  <c r="Z363" i="2" s="1"/>
  <c r="Z387" i="2"/>
  <c r="Z397" i="2"/>
  <c r="BN410" i="2"/>
  <c r="BN428" i="2"/>
  <c r="BN438" i="2"/>
  <c r="Z460" i="2"/>
  <c r="Z463" i="2" s="1"/>
  <c r="BN472" i="2"/>
  <c r="Z482" i="2"/>
  <c r="Y488" i="2"/>
  <c r="E500" i="2"/>
  <c r="Y104" i="2"/>
  <c r="BN169" i="2"/>
  <c r="Z23" i="2"/>
  <c r="BN35" i="2"/>
  <c r="Z47" i="2"/>
  <c r="Z48" i="2" s="1"/>
  <c r="Y71" i="2"/>
  <c r="Z80" i="2"/>
  <c r="Z82" i="2" s="1"/>
  <c r="BN93" i="2"/>
  <c r="Y105" i="2"/>
  <c r="Z114" i="2"/>
  <c r="BN164" i="2"/>
  <c r="BN197" i="2"/>
  <c r="BN207" i="2"/>
  <c r="Z215" i="2"/>
  <c r="BP30" i="2"/>
  <c r="BP88" i="2"/>
  <c r="Z290" i="2"/>
  <c r="Y500" i="2"/>
  <c r="BN67" i="2"/>
  <c r="Y137" i="2"/>
  <c r="Z125" i="2"/>
  <c r="BN327" i="2"/>
  <c r="Z411" i="2" l="1"/>
  <c r="Z439" i="2"/>
  <c r="Z58" i="2"/>
  <c r="Y494" i="2"/>
  <c r="Y492" i="2"/>
  <c r="Z394" i="2"/>
  <c r="Z483" i="2"/>
  <c r="Z399" i="2"/>
  <c r="Z311" i="2"/>
  <c r="Z216" i="2"/>
  <c r="Z149" i="2"/>
  <c r="Z260" i="2"/>
  <c r="Z137" i="2"/>
  <c r="Z77" i="2"/>
  <c r="Z172" i="2"/>
  <c r="Z96" i="2"/>
  <c r="Y491" i="2"/>
  <c r="Y493" i="2" s="1"/>
  <c r="Y490" i="2"/>
  <c r="Z235" i="2"/>
  <c r="Z251" i="2"/>
  <c r="Z127" i="2"/>
  <c r="Z349" i="2"/>
  <c r="Z275" i="2"/>
  <c r="Z295" i="2"/>
  <c r="Z337" i="2"/>
  <c r="Z433" i="2"/>
  <c r="Z117" i="2"/>
  <c r="Z24" i="2"/>
  <c r="Z286" i="2"/>
  <c r="Z204" i="2"/>
  <c r="Z495" i="2" l="1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<sst xmlns="http://schemas.openxmlformats.org/spreadsheetml/2006/main" count="3596" uniqueCount="766">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</sst>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45998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0.375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4" t="s">
        <v>81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89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3">
        <v>4607091388244</v>
      </c>
      <c r="E31" s="62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100</v>
      </c>
      <c r="N31" s="38"/>
      <c r="O31" s="37">
        <v>40</v>
      </c>
      <c r="P31" s="63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5"/>
      <c r="R31" s="625"/>
      <c r="S31" s="625"/>
      <c r="T31" s="62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1"/>
      <c r="B33" s="631"/>
      <c r="C33" s="631"/>
      <c r="D33" s="631"/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2"/>
      <c r="P33" s="628" t="s">
        <v>40</v>
      </c>
      <c r="Q33" s="629"/>
      <c r="R33" s="629"/>
      <c r="S33" s="629"/>
      <c r="T33" s="629"/>
      <c r="U33" s="629"/>
      <c r="V33" s="6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2" t="s">
        <v>106</v>
      </c>
      <c r="B34" s="622"/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3">
        <v>4607091388503</v>
      </c>
      <c r="E35" s="62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111</v>
      </c>
      <c r="N35" s="38"/>
      <c r="O35" s="37">
        <v>120</v>
      </c>
      <c r="P35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5"/>
      <c r="R35" s="625"/>
      <c r="S35" s="625"/>
      <c r="T35" s="62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2"/>
      <c r="P37" s="628" t="s">
        <v>40</v>
      </c>
      <c r="Q37" s="629"/>
      <c r="R37" s="629"/>
      <c r="S37" s="629"/>
      <c r="T37" s="629"/>
      <c r="U37" s="629"/>
      <c r="V37" s="63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0" t="s">
        <v>112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54"/>
      <c r="AB38" s="54"/>
      <c r="AC38" s="54"/>
    </row>
    <row r="39" spans="1:68" ht="16.5" customHeight="1" x14ac:dyDescent="0.25">
      <c r="A39" s="621" t="s">
        <v>113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5"/>
      <c r="AB39" s="65"/>
      <c r="AC39" s="79"/>
    </row>
    <row r="40" spans="1:68" ht="14.25" customHeight="1" x14ac:dyDescent="0.25">
      <c r="A40" s="622" t="s">
        <v>114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3">
        <v>4607091385670</v>
      </c>
      <c r="E41" s="62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121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124</v>
      </c>
      <c r="L42" s="37" t="s">
        <v>125</v>
      </c>
      <c r="M42" s="38" t="s">
        <v>93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121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126</v>
      </c>
      <c r="B43" s="63" t="s">
        <v>127</v>
      </c>
      <c r="C43" s="36">
        <v>4301011565</v>
      </c>
      <c r="D43" s="623">
        <v>4680115882539</v>
      </c>
      <c r="E43" s="62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124</v>
      </c>
      <c r="L43" s="37" t="s">
        <v>45</v>
      </c>
      <c r="M43" s="38" t="s">
        <v>93</v>
      </c>
      <c r="N43" s="38"/>
      <c r="O43" s="37">
        <v>50</v>
      </c>
      <c r="P43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5"/>
      <c r="R43" s="625"/>
      <c r="S43" s="625"/>
      <c r="T43" s="62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2"/>
      <c r="P45" s="628" t="s">
        <v>40</v>
      </c>
      <c r="Q45" s="629"/>
      <c r="R45" s="629"/>
      <c r="S45" s="629"/>
      <c r="T45" s="629"/>
      <c r="U45" s="629"/>
      <c r="V45" s="63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2" t="s">
        <v>89</v>
      </c>
      <c r="B46" s="622"/>
      <c r="C46" s="622"/>
      <c r="D46" s="622"/>
      <c r="E46" s="622"/>
      <c r="F46" s="622"/>
      <c r="G46" s="622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6"/>
      <c r="AB46" s="66"/>
      <c r="AC46" s="80"/>
    </row>
    <row r="47" spans="1:68" ht="16.5" customHeight="1" x14ac:dyDescent="0.25">
      <c r="A47" s="63" t="s">
        <v>128</v>
      </c>
      <c r="B47" s="63" t="s">
        <v>129</v>
      </c>
      <c r="C47" s="36">
        <v>4301051820</v>
      </c>
      <c r="D47" s="623">
        <v>4680115884915</v>
      </c>
      <c r="E47" s="62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5"/>
      <c r="R47" s="625"/>
      <c r="S47" s="625"/>
      <c r="T47" s="62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130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1"/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2"/>
      <c r="P49" s="628" t="s">
        <v>40</v>
      </c>
      <c r="Q49" s="629"/>
      <c r="R49" s="629"/>
      <c r="S49" s="629"/>
      <c r="T49" s="629"/>
      <c r="U49" s="629"/>
      <c r="V49" s="63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1" t="s">
        <v>131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5"/>
      <c r="AB50" s="65"/>
      <c r="AC50" s="79"/>
    </row>
    <row r="51" spans="1:68" ht="14.25" customHeight="1" x14ac:dyDescent="0.25">
      <c r="A51" s="622" t="s">
        <v>114</v>
      </c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  <c r="R51" s="622"/>
      <c r="S51" s="622"/>
      <c r="T51" s="622"/>
      <c r="U51" s="622"/>
      <c r="V51" s="622"/>
      <c r="W51" s="622"/>
      <c r="X51" s="622"/>
      <c r="Y51" s="622"/>
      <c r="Z51" s="622"/>
      <c r="AA51" s="66"/>
      <c r="AB51" s="66"/>
      <c r="AC51" s="80"/>
    </row>
    <row r="52" spans="1:68" ht="27" customHeight="1" x14ac:dyDescent="0.25">
      <c r="A52" s="63" t="s">
        <v>132</v>
      </c>
      <c r="B52" s="63" t="s">
        <v>133</v>
      </c>
      <c r="C52" s="36">
        <v>4301012030</v>
      </c>
      <c r="D52" s="623">
        <v>4680115885882</v>
      </c>
      <c r="E52" s="62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45</v>
      </c>
      <c r="M52" s="38" t="s">
        <v>93</v>
      </c>
      <c r="N52" s="38"/>
      <c r="O52" s="37">
        <v>50</v>
      </c>
      <c r="P52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4301011816</v>
      </c>
      <c r="D53" s="623">
        <v>4680115881426</v>
      </c>
      <c r="E53" s="62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4301011386</v>
      </c>
      <c r="D54" s="623">
        <v>4680115880283</v>
      </c>
      <c r="E54" s="62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118</v>
      </c>
      <c r="N54" s="38"/>
      <c r="O54" s="37">
        <v>45</v>
      </c>
      <c r="P54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141</v>
      </c>
      <c r="B55" s="63" t="s">
        <v>142</v>
      </c>
      <c r="C55" s="36">
        <v>4301011806</v>
      </c>
      <c r="D55" s="623">
        <v>4680115881525</v>
      </c>
      <c r="E55" s="62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45</v>
      </c>
      <c r="M55" s="38" t="s">
        <v>118</v>
      </c>
      <c r="N55" s="38"/>
      <c r="O55" s="37">
        <v>50</v>
      </c>
      <c r="P55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4301011589</v>
      </c>
      <c r="D56" s="623">
        <v>4680115885899</v>
      </c>
      <c r="E56" s="62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100</v>
      </c>
      <c r="N56" s="38"/>
      <c r="O56" s="37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147</v>
      </c>
      <c r="B57" s="63" t="s">
        <v>148</v>
      </c>
      <c r="C57" s="36">
        <v>4301011801</v>
      </c>
      <c r="D57" s="623">
        <v>4680115881419</v>
      </c>
      <c r="E57" s="62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45</v>
      </c>
      <c r="M57" s="38" t="s">
        <v>118</v>
      </c>
      <c r="N57" s="38"/>
      <c r="O57" s="37">
        <v>50</v>
      </c>
      <c r="P57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5"/>
      <c r="R57" s="625"/>
      <c r="S57" s="625"/>
      <c r="T57" s="62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149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1"/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2"/>
      <c r="P59" s="628" t="s">
        <v>40</v>
      </c>
      <c r="Q59" s="629"/>
      <c r="R59" s="629"/>
      <c r="S59" s="629"/>
      <c r="T59" s="629"/>
      <c r="U59" s="629"/>
      <c r="V59" s="63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2" t="s">
        <v>150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2"/>
      <c r="Z60" s="622"/>
      <c r="AA60" s="66"/>
      <c r="AB60" s="66"/>
      <c r="AC60" s="80"/>
    </row>
    <row r="61" spans="1:68" ht="16.5" customHeight="1" x14ac:dyDescent="0.25">
      <c r="A61" s="63" t="s">
        <v>151</v>
      </c>
      <c r="B61" s="63" t="s">
        <v>152</v>
      </c>
      <c r="C61" s="36">
        <v>4301020298</v>
      </c>
      <c r="D61" s="623">
        <v>4680115881440</v>
      </c>
      <c r="E61" s="62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120</v>
      </c>
      <c r="M61" s="38" t="s">
        <v>118</v>
      </c>
      <c r="N61" s="38"/>
      <c r="O61" s="37">
        <v>50</v>
      </c>
      <c r="P61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153</v>
      </c>
      <c r="AG61" s="78"/>
      <c r="AJ61" s="84" t="s">
        <v>121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154</v>
      </c>
      <c r="B62" s="63" t="s">
        <v>155</v>
      </c>
      <c r="C62" s="36">
        <v>4301020358</v>
      </c>
      <c r="D62" s="623">
        <v>4680115885950</v>
      </c>
      <c r="E62" s="62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153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4301020296</v>
      </c>
      <c r="D63" s="623">
        <v>4680115881433</v>
      </c>
      <c r="E63" s="62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118</v>
      </c>
      <c r="N63" s="38"/>
      <c r="O63" s="37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5"/>
      <c r="R63" s="625"/>
      <c r="S63" s="625"/>
      <c r="T63" s="62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153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1"/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2"/>
      <c r="P65" s="628" t="s">
        <v>40</v>
      </c>
      <c r="Q65" s="629"/>
      <c r="R65" s="629"/>
      <c r="S65" s="629"/>
      <c r="T65" s="629"/>
      <c r="U65" s="629"/>
      <c r="V65" s="63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2" t="s">
        <v>78</v>
      </c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  <c r="Y66" s="622"/>
      <c r="Z66" s="622"/>
      <c r="AA66" s="66"/>
      <c r="AB66" s="66"/>
      <c r="AC66" s="80"/>
    </row>
    <row r="67" spans="1:68" ht="27" customHeight="1" x14ac:dyDescent="0.25">
      <c r="A67" s="63" t="s">
        <v>158</v>
      </c>
      <c r="B67" s="63" t="s">
        <v>159</v>
      </c>
      <c r="C67" s="36">
        <v>4301031243</v>
      </c>
      <c r="D67" s="623">
        <v>4680115885073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4301031241</v>
      </c>
      <c r="D68" s="623">
        <v>4680115885059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164</v>
      </c>
      <c r="B69" s="63" t="s">
        <v>165</v>
      </c>
      <c r="C69" s="36">
        <v>4301031316</v>
      </c>
      <c r="D69" s="623">
        <v>4680115885097</v>
      </c>
      <c r="E69" s="62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5"/>
      <c r="R69" s="625"/>
      <c r="S69" s="625"/>
      <c r="T69" s="62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166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1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2"/>
      <c r="P70" s="628" t="s">
        <v>40</v>
      </c>
      <c r="Q70" s="629"/>
      <c r="R70" s="629"/>
      <c r="S70" s="629"/>
      <c r="T70" s="629"/>
      <c r="U70" s="629"/>
      <c r="V70" s="63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1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2"/>
      <c r="P71" s="628" t="s">
        <v>40</v>
      </c>
      <c r="Q71" s="629"/>
      <c r="R71" s="629"/>
      <c r="S71" s="629"/>
      <c r="T71" s="629"/>
      <c r="U71" s="629"/>
      <c r="V71" s="63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2" t="s">
        <v>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623">
        <v>4680115885769</v>
      </c>
      <c r="E73" s="62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93</v>
      </c>
      <c r="N73" s="38"/>
      <c r="O73" s="37">
        <v>45</v>
      </c>
      <c r="P73" s="6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623">
        <v>4680115884311</v>
      </c>
      <c r="E74" s="62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4301051844</v>
      </c>
      <c r="D75" s="623">
        <v>4680115885929</v>
      </c>
      <c r="E75" s="62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4301051929</v>
      </c>
      <c r="D76" s="623">
        <v>4680115884403</v>
      </c>
      <c r="E76" s="6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5"/>
      <c r="R76" s="625"/>
      <c r="S76" s="625"/>
      <c r="T76" s="62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177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1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2"/>
      <c r="P77" s="628" t="s">
        <v>40</v>
      </c>
      <c r="Q77" s="629"/>
      <c r="R77" s="629"/>
      <c r="S77" s="629"/>
      <c r="T77" s="629"/>
      <c r="U77" s="629"/>
      <c r="V77" s="63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1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2"/>
      <c r="P78" s="628" t="s">
        <v>40</v>
      </c>
      <c r="Q78" s="629"/>
      <c r="R78" s="629"/>
      <c r="S78" s="629"/>
      <c r="T78" s="629"/>
      <c r="U78" s="629"/>
      <c r="V78" s="63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2" t="s">
        <v>178</v>
      </c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23">
        <v>4680115881532</v>
      </c>
      <c r="E80" s="6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120</v>
      </c>
      <c r="M80" s="38" t="s">
        <v>100</v>
      </c>
      <c r="N80" s="38"/>
      <c r="O80" s="37">
        <v>30</v>
      </c>
      <c r="P80" s="6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121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182</v>
      </c>
      <c r="B81" s="63" t="s">
        <v>183</v>
      </c>
      <c r="C81" s="36">
        <v>4301060351</v>
      </c>
      <c r="D81" s="623">
        <v>4680115881464</v>
      </c>
      <c r="E81" s="62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45</v>
      </c>
      <c r="M81" s="38" t="s">
        <v>93</v>
      </c>
      <c r="N81" s="38"/>
      <c r="O81" s="37">
        <v>30</v>
      </c>
      <c r="P81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5"/>
      <c r="R81" s="625"/>
      <c r="S81" s="625"/>
      <c r="T81" s="62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184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1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2"/>
      <c r="P82" s="628" t="s">
        <v>40</v>
      </c>
      <c r="Q82" s="629"/>
      <c r="R82" s="629"/>
      <c r="S82" s="629"/>
      <c r="T82" s="629"/>
      <c r="U82" s="629"/>
      <c r="V82" s="63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2"/>
      <c r="P83" s="628" t="s">
        <v>40</v>
      </c>
      <c r="Q83" s="629"/>
      <c r="R83" s="629"/>
      <c r="S83" s="629"/>
      <c r="T83" s="629"/>
      <c r="U83" s="629"/>
      <c r="V83" s="63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1" t="s">
        <v>185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5"/>
      <c r="AB84" s="65"/>
      <c r="AC84" s="79"/>
    </row>
    <row r="85" spans="1:68" ht="14.25" customHeight="1" x14ac:dyDescent="0.25">
      <c r="A85" s="622" t="s">
        <v>114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6"/>
      <c r="AB85" s="66"/>
      <c r="AC85" s="80"/>
    </row>
    <row r="86" spans="1:68" ht="27" customHeight="1" x14ac:dyDescent="0.25">
      <c r="A86" s="63" t="s">
        <v>186</v>
      </c>
      <c r="B86" s="63" t="s">
        <v>187</v>
      </c>
      <c r="C86" s="36">
        <v>4301011468</v>
      </c>
      <c r="D86" s="623">
        <v>4680115881327</v>
      </c>
      <c r="E86" s="62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120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188</v>
      </c>
      <c r="AG86" s="78"/>
      <c r="AJ86" s="84" t="s">
        <v>121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623">
        <v>4680115881518</v>
      </c>
      <c r="E87" s="62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124</v>
      </c>
      <c r="L87" s="37" t="s">
        <v>45</v>
      </c>
      <c r="M87" s="38" t="s">
        <v>93</v>
      </c>
      <c r="N87" s="38"/>
      <c r="O87" s="37">
        <v>50</v>
      </c>
      <c r="P87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623">
        <v>4680115881303</v>
      </c>
      <c r="E88" s="62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124</v>
      </c>
      <c r="L88" s="37" t="s">
        <v>45</v>
      </c>
      <c r="M88" s="38" t="s">
        <v>100</v>
      </c>
      <c r="N88" s="38"/>
      <c r="O88" s="37">
        <v>50</v>
      </c>
      <c r="P88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5"/>
      <c r="R88" s="625"/>
      <c r="S88" s="625"/>
      <c r="T88" s="62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188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1"/>
      <c r="B89" s="631"/>
      <c r="C89" s="631"/>
      <c r="D89" s="631"/>
      <c r="E89" s="631"/>
      <c r="F89" s="631"/>
      <c r="G89" s="631"/>
      <c r="H89" s="631"/>
      <c r="I89" s="631"/>
      <c r="J89" s="631"/>
      <c r="K89" s="631"/>
      <c r="L89" s="631"/>
      <c r="M89" s="631"/>
      <c r="N89" s="631"/>
      <c r="O89" s="632"/>
      <c r="P89" s="628" t="s">
        <v>40</v>
      </c>
      <c r="Q89" s="629"/>
      <c r="R89" s="629"/>
      <c r="S89" s="629"/>
      <c r="T89" s="629"/>
      <c r="U89" s="629"/>
      <c r="V89" s="63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1"/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2"/>
      <c r="P90" s="628" t="s">
        <v>40</v>
      </c>
      <c r="Q90" s="629"/>
      <c r="R90" s="629"/>
      <c r="S90" s="629"/>
      <c r="T90" s="629"/>
      <c r="U90" s="629"/>
      <c r="V90" s="63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2" t="s">
        <v>89</v>
      </c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623">
        <v>4607091386967</v>
      </c>
      <c r="E92" s="62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121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623">
        <v>4680115884953</v>
      </c>
      <c r="E93" s="62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4301051718</v>
      </c>
      <c r="D94" s="623">
        <v>4607091385731</v>
      </c>
      <c r="E94" s="62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45</v>
      </c>
      <c r="M94" s="38" t="s">
        <v>100</v>
      </c>
      <c r="N94" s="38"/>
      <c r="O94" s="37">
        <v>45</v>
      </c>
      <c r="P94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201</v>
      </c>
      <c r="B95" s="63" t="s">
        <v>202</v>
      </c>
      <c r="C95" s="36">
        <v>4301051438</v>
      </c>
      <c r="D95" s="623">
        <v>4680115880894</v>
      </c>
      <c r="E95" s="62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45</v>
      </c>
      <c r="M95" s="38" t="s">
        <v>93</v>
      </c>
      <c r="N95" s="38"/>
      <c r="O95" s="37">
        <v>45</v>
      </c>
      <c r="P95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5"/>
      <c r="R95" s="625"/>
      <c r="S95" s="625"/>
      <c r="T95" s="62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1"/>
      <c r="B96" s="631"/>
      <c r="C96" s="631"/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2"/>
      <c r="P96" s="628" t="s">
        <v>40</v>
      </c>
      <c r="Q96" s="629"/>
      <c r="R96" s="629"/>
      <c r="S96" s="629"/>
      <c r="T96" s="629"/>
      <c r="U96" s="629"/>
      <c r="V96" s="63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1"/>
      <c r="B97" s="631"/>
      <c r="C97" s="631"/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2"/>
      <c r="P97" s="628" t="s">
        <v>40</v>
      </c>
      <c r="Q97" s="629"/>
      <c r="R97" s="629"/>
      <c r="S97" s="629"/>
      <c r="T97" s="629"/>
      <c r="U97" s="629"/>
      <c r="V97" s="63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1" t="s">
        <v>204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5"/>
      <c r="AB98" s="65"/>
      <c r="AC98" s="79"/>
    </row>
    <row r="99" spans="1:68" ht="14.25" customHeight="1" x14ac:dyDescent="0.25">
      <c r="A99" s="622" t="s">
        <v>114</v>
      </c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6"/>
      <c r="AB99" s="66"/>
      <c r="AC99" s="80"/>
    </row>
    <row r="100" spans="1:68" ht="37.5" customHeight="1" x14ac:dyDescent="0.25">
      <c r="A100" s="63" t="s">
        <v>205</v>
      </c>
      <c r="B100" s="63" t="s">
        <v>206</v>
      </c>
      <c r="C100" s="36">
        <v>4301011514</v>
      </c>
      <c r="D100" s="623">
        <v>4680115882133</v>
      </c>
      <c r="E100" s="62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121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208</v>
      </c>
      <c r="B101" s="63" t="s">
        <v>209</v>
      </c>
      <c r="C101" s="36">
        <v>4301011417</v>
      </c>
      <c r="D101" s="623">
        <v>4680115880269</v>
      </c>
      <c r="E101" s="62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124</v>
      </c>
      <c r="L101" s="37" t="s">
        <v>45</v>
      </c>
      <c r="M101" s="38" t="s">
        <v>93</v>
      </c>
      <c r="N101" s="38"/>
      <c r="O101" s="37">
        <v>50</v>
      </c>
      <c r="P101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207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4301011415</v>
      </c>
      <c r="D102" s="623">
        <v>4680115880429</v>
      </c>
      <c r="E102" s="62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124</v>
      </c>
      <c r="L102" s="37" t="s">
        <v>125</v>
      </c>
      <c r="M102" s="38" t="s">
        <v>93</v>
      </c>
      <c r="N102" s="38"/>
      <c r="O102" s="37">
        <v>50</v>
      </c>
      <c r="P102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121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3">
        <v>4680115881457</v>
      </c>
      <c r="E103" s="62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124</v>
      </c>
      <c r="L103" s="37" t="s">
        <v>45</v>
      </c>
      <c r="M103" s="38" t="s">
        <v>93</v>
      </c>
      <c r="N103" s="38"/>
      <c r="O103" s="37">
        <v>50</v>
      </c>
      <c r="P103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5"/>
      <c r="R103" s="625"/>
      <c r="S103" s="625"/>
      <c r="T103" s="62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207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1"/>
      <c r="B105" s="631"/>
      <c r="C105" s="631"/>
      <c r="D105" s="631"/>
      <c r="E105" s="631"/>
      <c r="F105" s="631"/>
      <c r="G105" s="631"/>
      <c r="H105" s="631"/>
      <c r="I105" s="631"/>
      <c r="J105" s="631"/>
      <c r="K105" s="631"/>
      <c r="L105" s="631"/>
      <c r="M105" s="631"/>
      <c r="N105" s="631"/>
      <c r="O105" s="632"/>
      <c r="P105" s="628" t="s">
        <v>40</v>
      </c>
      <c r="Q105" s="629"/>
      <c r="R105" s="629"/>
      <c r="S105" s="629"/>
      <c r="T105" s="629"/>
      <c r="U105" s="629"/>
      <c r="V105" s="63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2" t="s">
        <v>150</v>
      </c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3">
        <v>4680115881488</v>
      </c>
      <c r="E107" s="62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119</v>
      </c>
      <c r="L107" s="37" t="s">
        <v>120</v>
      </c>
      <c r="M107" s="38" t="s">
        <v>118</v>
      </c>
      <c r="N107" s="38"/>
      <c r="O107" s="37">
        <v>55</v>
      </c>
      <c r="P107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121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217</v>
      </c>
      <c r="B108" s="63" t="s">
        <v>218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118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45</v>
      </c>
      <c r="M109" s="38" t="s">
        <v>118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89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221</v>
      </c>
      <c r="B113" s="63" t="s">
        <v>222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119</v>
      </c>
      <c r="L113" s="37" t="s">
        <v>120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223</v>
      </c>
      <c r="AG113" s="78"/>
      <c r="AJ113" s="84" t="s">
        <v>121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224</v>
      </c>
      <c r="B114" s="63" t="s">
        <v>225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223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226</v>
      </c>
      <c r="B115" s="63" t="s">
        <v>227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228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223</v>
      </c>
      <c r="AG115" s="78"/>
      <c r="AJ115" s="84" t="s">
        <v>121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228</v>
      </c>
      <c r="M116" s="38" t="s">
        <v>93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121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178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228</v>
      </c>
      <c r="M120" s="38" t="s">
        <v>93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121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114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228</v>
      </c>
      <c r="M125" s="38" t="s">
        <v>111</v>
      </c>
      <c r="N125" s="38"/>
      <c r="O125" s="37">
        <v>90</v>
      </c>
      <c r="P125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121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45</v>
      </c>
      <c r="M126" s="38" t="s">
        <v>111</v>
      </c>
      <c r="N126" s="38"/>
      <c r="O126" s="37">
        <v>90</v>
      </c>
      <c r="P126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111</v>
      </c>
      <c r="N130" s="38"/>
      <c r="O130" s="37">
        <v>90</v>
      </c>
      <c r="P130" s="6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228</v>
      </c>
      <c r="M131" s="38" t="s">
        <v>111</v>
      </c>
      <c r="N131" s="38"/>
      <c r="O131" s="37">
        <v>90</v>
      </c>
      <c r="P131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121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89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111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228</v>
      </c>
      <c r="M136" s="38" t="s">
        <v>111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121</v>
      </c>
      <c r="AK136" s="84">
        <v>36.96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112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114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119</v>
      </c>
      <c r="L141" s="37" t="s">
        <v>45</v>
      </c>
      <c r="M141" s="38" t="s">
        <v>118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124</v>
      </c>
      <c r="L142" s="37" t="s">
        <v>45</v>
      </c>
      <c r="M142" s="38" t="s">
        <v>118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119</v>
      </c>
      <c r="L146" s="37" t="s">
        <v>45</v>
      </c>
      <c r="M146" s="38" t="s">
        <v>118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45</v>
      </c>
      <c r="M148" s="38" t="s">
        <v>83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1"/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2"/>
      <c r="P149" s="628" t="s">
        <v>40</v>
      </c>
      <c r="Q149" s="629"/>
      <c r="R149" s="629"/>
      <c r="S149" s="629"/>
      <c r="T149" s="629"/>
      <c r="U149" s="629"/>
      <c r="V149" s="630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1"/>
      <c r="B150" s="631"/>
      <c r="C150" s="631"/>
      <c r="D150" s="631"/>
      <c r="E150" s="631"/>
      <c r="F150" s="631"/>
      <c r="G150" s="631"/>
      <c r="H150" s="631"/>
      <c r="I150" s="631"/>
      <c r="J150" s="631"/>
      <c r="K150" s="631"/>
      <c r="L150" s="631"/>
      <c r="M150" s="631"/>
      <c r="N150" s="631"/>
      <c r="O150" s="632"/>
      <c r="P150" s="628" t="s">
        <v>40</v>
      </c>
      <c r="Q150" s="629"/>
      <c r="R150" s="629"/>
      <c r="S150" s="629"/>
      <c r="T150" s="629"/>
      <c r="U150" s="629"/>
      <c r="V150" s="630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89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1"/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2"/>
      <c r="P153" s="628" t="s">
        <v>40</v>
      </c>
      <c r="Q153" s="629"/>
      <c r="R153" s="629"/>
      <c r="S153" s="629"/>
      <c r="T153" s="629"/>
      <c r="U153" s="629"/>
      <c r="V153" s="630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1"/>
      <c r="B154" s="631"/>
      <c r="C154" s="631"/>
      <c r="D154" s="631"/>
      <c r="E154" s="631"/>
      <c r="F154" s="631"/>
      <c r="G154" s="631"/>
      <c r="H154" s="631"/>
      <c r="I154" s="631"/>
      <c r="J154" s="631"/>
      <c r="K154" s="631"/>
      <c r="L154" s="631"/>
      <c r="M154" s="631"/>
      <c r="N154" s="631"/>
      <c r="O154" s="632"/>
      <c r="P154" s="628" t="s">
        <v>40</v>
      </c>
      <c r="Q154" s="629"/>
      <c r="R154" s="629"/>
      <c r="S154" s="629"/>
      <c r="T154" s="629"/>
      <c r="U154" s="629"/>
      <c r="V154" s="630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265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150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1"/>
      <c r="B159" s="631"/>
      <c r="C159" s="631"/>
      <c r="D159" s="631"/>
      <c r="E159" s="631"/>
      <c r="F159" s="631"/>
      <c r="G159" s="631"/>
      <c r="H159" s="631"/>
      <c r="I159" s="631"/>
      <c r="J159" s="631"/>
      <c r="K159" s="631"/>
      <c r="L159" s="631"/>
      <c r="M159" s="631"/>
      <c r="N159" s="631"/>
      <c r="O159" s="632"/>
      <c r="P159" s="628" t="s">
        <v>40</v>
      </c>
      <c r="Q159" s="629"/>
      <c r="R159" s="629"/>
      <c r="S159" s="629"/>
      <c r="T159" s="629"/>
      <c r="U159" s="629"/>
      <c r="V159" s="6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1"/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2"/>
      <c r="P160" s="628" t="s">
        <v>40</v>
      </c>
      <c r="Q160" s="629"/>
      <c r="R160" s="629"/>
      <c r="S160" s="629"/>
      <c r="T160" s="629"/>
      <c r="U160" s="629"/>
      <c r="V160" s="6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3">
        <v>4680115880993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124</v>
      </c>
      <c r="L162" s="37" t="s">
        <v>125</v>
      </c>
      <c r="M162" s="38" t="s">
        <v>83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121</v>
      </c>
      <c r="AK162" s="84">
        <v>50.4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3">
        <v>4680115881761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124</v>
      </c>
      <c r="L163" s="37" t="s">
        <v>125</v>
      </c>
      <c r="M163" s="38" t="s">
        <v>83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121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3">
        <v>4680115881563</v>
      </c>
      <c r="E164" s="623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124</v>
      </c>
      <c r="L164" s="37" t="s">
        <v>125</v>
      </c>
      <c r="M164" s="38" t="s">
        <v>83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121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3">
        <v>4680115880986</v>
      </c>
      <c r="E165" s="623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281</v>
      </c>
      <c r="M165" s="38" t="s">
        <v>83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121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4301031443</v>
      </c>
      <c r="D166" s="623">
        <v>4680115887213</v>
      </c>
      <c r="E166" s="623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281</v>
      </c>
      <c r="M167" s="38" t="s">
        <v>83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121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45</v>
      </c>
      <c r="M168" s="38" t="s">
        <v>83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281</v>
      </c>
      <c r="M169" s="38" t="s">
        <v>83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121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1"/>
      <c r="B172" s="631"/>
      <c r="C172" s="631"/>
      <c r="D172" s="631"/>
      <c r="E172" s="631"/>
      <c r="F172" s="631"/>
      <c r="G172" s="631"/>
      <c r="H172" s="631"/>
      <c r="I172" s="631"/>
      <c r="J172" s="631"/>
      <c r="K172" s="631"/>
      <c r="L172" s="631"/>
      <c r="M172" s="631"/>
      <c r="N172" s="631"/>
      <c r="O172" s="632"/>
      <c r="P172" s="628" t="s">
        <v>40</v>
      </c>
      <c r="Q172" s="629"/>
      <c r="R172" s="629"/>
      <c r="S172" s="629"/>
      <c r="T172" s="629"/>
      <c r="U172" s="629"/>
      <c r="V172" s="630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1"/>
      <c r="B173" s="631"/>
      <c r="C173" s="631"/>
      <c r="D173" s="631"/>
      <c r="E173" s="631"/>
      <c r="F173" s="631"/>
      <c r="G173" s="631"/>
      <c r="H173" s="631"/>
      <c r="I173" s="631"/>
      <c r="J173" s="631"/>
      <c r="K173" s="631"/>
      <c r="L173" s="631"/>
      <c r="M173" s="631"/>
      <c r="N173" s="631"/>
      <c r="O173" s="632"/>
      <c r="P173" s="628" t="s">
        <v>40</v>
      </c>
      <c r="Q173" s="629"/>
      <c r="R173" s="629"/>
      <c r="S173" s="629"/>
      <c r="T173" s="629"/>
      <c r="U173" s="629"/>
      <c r="V173" s="630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106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307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1"/>
      <c r="B182" s="631"/>
      <c r="C182" s="631"/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2"/>
      <c r="P182" s="628" t="s">
        <v>40</v>
      </c>
      <c r="Q182" s="629"/>
      <c r="R182" s="629"/>
      <c r="S182" s="629"/>
      <c r="T182" s="629"/>
      <c r="U182" s="629"/>
      <c r="V182" s="630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1"/>
      <c r="B183" s="631"/>
      <c r="C183" s="631"/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2"/>
      <c r="P183" s="628" t="s">
        <v>40</v>
      </c>
      <c r="Q183" s="629"/>
      <c r="R183" s="629"/>
      <c r="S183" s="629"/>
      <c r="T183" s="629"/>
      <c r="U183" s="629"/>
      <c r="V183" s="630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310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114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119</v>
      </c>
      <c r="L186" s="37" t="s">
        <v>45</v>
      </c>
      <c r="M186" s="38" t="s">
        <v>118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45</v>
      </c>
      <c r="M187" s="38" t="s">
        <v>118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150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119</v>
      </c>
      <c r="L191" s="37" t="s">
        <v>45</v>
      </c>
      <c r="M191" s="38" t="s">
        <v>118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45</v>
      </c>
      <c r="M192" s="38" t="s">
        <v>118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1"/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2"/>
      <c r="P193" s="628" t="s">
        <v>40</v>
      </c>
      <c r="Q193" s="629"/>
      <c r="R193" s="629"/>
      <c r="S193" s="629"/>
      <c r="T193" s="629"/>
      <c r="U193" s="629"/>
      <c r="V193" s="630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124</v>
      </c>
      <c r="L196" s="37" t="s">
        <v>125</v>
      </c>
      <c r="M196" s="38" t="s">
        <v>83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121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124</v>
      </c>
      <c r="L197" s="37" t="s">
        <v>125</v>
      </c>
      <c r="M197" s="38" t="s">
        <v>83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121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124</v>
      </c>
      <c r="L198" s="37" t="s">
        <v>125</v>
      </c>
      <c r="M198" s="38" t="s">
        <v>83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121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124</v>
      </c>
      <c r="L199" s="37" t="s">
        <v>125</v>
      </c>
      <c r="M199" s="38" t="s">
        <v>83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121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281</v>
      </c>
      <c r="M200" s="38" t="s">
        <v>83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121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281</v>
      </c>
      <c r="M201" s="38" t="s">
        <v>83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121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281</v>
      </c>
      <c r="M202" s="38" t="s">
        <v>83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121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281</v>
      </c>
      <c r="M203" s="38" t="s">
        <v>83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121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2"/>
      <c r="P204" s="628" t="s">
        <v>40</v>
      </c>
      <c r="Q204" s="629"/>
      <c r="R204" s="629"/>
      <c r="S204" s="629"/>
      <c r="T204" s="629"/>
      <c r="U204" s="629"/>
      <c r="V204" s="630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2"/>
      <c r="P205" s="628" t="s">
        <v>40</v>
      </c>
      <c r="Q205" s="629"/>
      <c r="R205" s="629"/>
      <c r="S205" s="629"/>
      <c r="T205" s="629"/>
      <c r="U205" s="629"/>
      <c r="V205" s="630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89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119</v>
      </c>
      <c r="L207" s="37" t="s">
        <v>45</v>
      </c>
      <c r="M207" s="38" t="s">
        <v>93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119</v>
      </c>
      <c r="L208" s="37" t="s">
        <v>45</v>
      </c>
      <c r="M208" s="38" t="s">
        <v>93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119</v>
      </c>
      <c r="L209" s="37" t="s">
        <v>120</v>
      </c>
      <c r="M209" s="38" t="s">
        <v>93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121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228</v>
      </c>
      <c r="M210" s="38" t="s">
        <v>93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121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100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228</v>
      </c>
      <c r="M212" s="38" t="s">
        <v>93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121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45</v>
      </c>
      <c r="M213" s="38" t="s">
        <v>93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228</v>
      </c>
      <c r="M214" s="38" t="s">
        <v>100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121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228</v>
      </c>
      <c r="M215" s="38" t="s">
        <v>93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121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1"/>
      <c r="B216" s="631"/>
      <c r="C216" s="631"/>
      <c r="D216" s="631"/>
      <c r="E216" s="631"/>
      <c r="F216" s="631"/>
      <c r="G216" s="631"/>
      <c r="H216" s="631"/>
      <c r="I216" s="631"/>
      <c r="J216" s="631"/>
      <c r="K216" s="631"/>
      <c r="L216" s="631"/>
      <c r="M216" s="631"/>
      <c r="N216" s="631"/>
      <c r="O216" s="632"/>
      <c r="P216" s="628" t="s">
        <v>40</v>
      </c>
      <c r="Q216" s="629"/>
      <c r="R216" s="629"/>
      <c r="S216" s="629"/>
      <c r="T216" s="629"/>
      <c r="U216" s="629"/>
      <c r="V216" s="630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1"/>
      <c r="B217" s="631"/>
      <c r="C217" s="631"/>
      <c r="D217" s="631"/>
      <c r="E217" s="631"/>
      <c r="F217" s="631"/>
      <c r="G217" s="631"/>
      <c r="H217" s="631"/>
      <c r="I217" s="631"/>
      <c r="J217" s="631"/>
      <c r="K217" s="631"/>
      <c r="L217" s="631"/>
      <c r="M217" s="631"/>
      <c r="N217" s="631"/>
      <c r="O217" s="632"/>
      <c r="P217" s="628" t="s">
        <v>40</v>
      </c>
      <c r="Q217" s="629"/>
      <c r="R217" s="629"/>
      <c r="S217" s="629"/>
      <c r="T217" s="629"/>
      <c r="U217" s="629"/>
      <c r="V217" s="630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178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228</v>
      </c>
      <c r="M219" s="38" t="s">
        <v>100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121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228</v>
      </c>
      <c r="M220" s="38" t="s">
        <v>93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121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1"/>
      <c r="B221" s="631"/>
      <c r="C221" s="631"/>
      <c r="D221" s="631"/>
      <c r="E221" s="631"/>
      <c r="F221" s="631"/>
      <c r="G221" s="631"/>
      <c r="H221" s="631"/>
      <c r="I221" s="631"/>
      <c r="J221" s="631"/>
      <c r="K221" s="631"/>
      <c r="L221" s="631"/>
      <c r="M221" s="631"/>
      <c r="N221" s="631"/>
      <c r="O221" s="632"/>
      <c r="P221" s="628" t="s">
        <v>40</v>
      </c>
      <c r="Q221" s="629"/>
      <c r="R221" s="629"/>
      <c r="S221" s="629"/>
      <c r="T221" s="629"/>
      <c r="U221" s="629"/>
      <c r="V221" s="630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369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114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119</v>
      </c>
      <c r="L225" s="37" t="s">
        <v>120</v>
      </c>
      <c r="M225" s="38" t="s">
        <v>118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121</v>
      </c>
      <c r="AK225" s="84">
        <v>92.8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119</v>
      </c>
      <c r="L226" s="37" t="s">
        <v>45</v>
      </c>
      <c r="M226" s="38" t="s">
        <v>118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119</v>
      </c>
      <c r="L227" s="37" t="s">
        <v>120</v>
      </c>
      <c r="M227" s="38" t="s">
        <v>118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121</v>
      </c>
      <c r="AK227" s="84">
        <v>92.8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124</v>
      </c>
      <c r="L228" s="37" t="s">
        <v>125</v>
      </c>
      <c r="M228" s="38" t="s">
        <v>118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121</v>
      </c>
      <c r="AK228" s="84">
        <v>48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124</v>
      </c>
      <c r="L229" s="37" t="s">
        <v>45</v>
      </c>
      <c r="M229" s="38" t="s">
        <v>118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124</v>
      </c>
      <c r="L230" s="37" t="s">
        <v>45</v>
      </c>
      <c r="M230" s="38" t="s">
        <v>118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124</v>
      </c>
      <c r="L231" s="37" t="s">
        <v>45</v>
      </c>
      <c r="M231" s="38" t="s">
        <v>118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118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125</v>
      </c>
      <c r="M233" s="38" t="s">
        <v>118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121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118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  <c r="L235" s="631"/>
      <c r="M235" s="631"/>
      <c r="N235" s="631"/>
      <c r="O235" s="632"/>
      <c r="P235" s="628" t="s">
        <v>40</v>
      </c>
      <c r="Q235" s="629"/>
      <c r="R235" s="629"/>
      <c r="S235" s="629"/>
      <c r="T235" s="629"/>
      <c r="U235" s="629"/>
      <c r="V235" s="630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631"/>
      <c r="M236" s="631"/>
      <c r="N236" s="631"/>
      <c r="O236" s="632"/>
      <c r="P236" s="628" t="s">
        <v>40</v>
      </c>
      <c r="Q236" s="629"/>
      <c r="R236" s="629"/>
      <c r="S236" s="629"/>
      <c r="T236" s="629"/>
      <c r="U236" s="629"/>
      <c r="V236" s="630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150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  <c r="L239" s="631"/>
      <c r="M239" s="631"/>
      <c r="N239" s="631"/>
      <c r="O239" s="632"/>
      <c r="P239" s="628" t="s">
        <v>40</v>
      </c>
      <c r="Q239" s="629"/>
      <c r="R239" s="629"/>
      <c r="S239" s="629"/>
      <c r="T239" s="629"/>
      <c r="U239" s="629"/>
      <c r="V239" s="630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395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  <c r="L243" s="631"/>
      <c r="M243" s="631"/>
      <c r="N243" s="631"/>
      <c r="O243" s="632"/>
      <c r="P243" s="628" t="s">
        <v>40</v>
      </c>
      <c r="Q243" s="629"/>
      <c r="R243" s="629"/>
      <c r="S243" s="629"/>
      <c r="T243" s="629"/>
      <c r="U243" s="629"/>
      <c r="V243" s="630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399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  <c r="L251" s="631"/>
      <c r="M251" s="631"/>
      <c r="N251" s="631"/>
      <c r="O251" s="632"/>
      <c r="P251" s="628" t="s">
        <v>40</v>
      </c>
      <c r="Q251" s="629"/>
      <c r="R251" s="629"/>
      <c r="S251" s="629"/>
      <c r="T251" s="629"/>
      <c r="U251" s="629"/>
      <c r="V251" s="630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  <c r="L252" s="631"/>
      <c r="M252" s="631"/>
      <c r="N252" s="631"/>
      <c r="O252" s="632"/>
      <c r="P252" s="628" t="s">
        <v>40</v>
      </c>
      <c r="Q252" s="629"/>
      <c r="R252" s="629"/>
      <c r="S252" s="629"/>
      <c r="T252" s="629"/>
      <c r="U252" s="629"/>
      <c r="V252" s="630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411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114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119</v>
      </c>
      <c r="L255" s="37" t="s">
        <v>45</v>
      </c>
      <c r="M255" s="38" t="s">
        <v>118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119</v>
      </c>
      <c r="L256" s="37" t="s">
        <v>45</v>
      </c>
      <c r="M256" s="38" t="s">
        <v>118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119</v>
      </c>
      <c r="L257" s="37" t="s">
        <v>45</v>
      </c>
      <c r="M257" s="38" t="s">
        <v>118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124</v>
      </c>
      <c r="L258" s="37" t="s">
        <v>45</v>
      </c>
      <c r="M258" s="38" t="s">
        <v>118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124</v>
      </c>
      <c r="L259" s="37" t="s">
        <v>45</v>
      </c>
      <c r="M259" s="38" t="s">
        <v>118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  <c r="L260" s="631"/>
      <c r="M260" s="631"/>
      <c r="N260" s="631"/>
      <c r="O260" s="632"/>
      <c r="P260" s="628" t="s">
        <v>40</v>
      </c>
      <c r="Q260" s="629"/>
      <c r="R260" s="629"/>
      <c r="S260" s="629"/>
      <c r="T260" s="629"/>
      <c r="U260" s="629"/>
      <c r="V260" s="630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2"/>
      <c r="P261" s="628" t="s">
        <v>40</v>
      </c>
      <c r="Q261" s="629"/>
      <c r="R261" s="629"/>
      <c r="S261" s="629"/>
      <c r="T261" s="629"/>
      <c r="U261" s="629"/>
      <c r="V261" s="630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427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114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119</v>
      </c>
      <c r="L264" s="37" t="s">
        <v>45</v>
      </c>
      <c r="M264" s="38" t="s">
        <v>93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117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93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119</v>
      </c>
      <c r="L266" s="37" t="s">
        <v>45</v>
      </c>
      <c r="M266" s="38" t="s">
        <v>93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119</v>
      </c>
      <c r="L267" s="37" t="s">
        <v>45</v>
      </c>
      <c r="M267" s="38" t="s">
        <v>118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  <c r="L268" s="631"/>
      <c r="M268" s="631"/>
      <c r="N268" s="631"/>
      <c r="O268" s="632"/>
      <c r="P268" s="628" t="s">
        <v>40</v>
      </c>
      <c r="Q268" s="629"/>
      <c r="R268" s="629"/>
      <c r="S268" s="629"/>
      <c r="T268" s="629"/>
      <c r="U268" s="629"/>
      <c r="V268" s="630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2"/>
      <c r="P269" s="628" t="s">
        <v>40</v>
      </c>
      <c r="Q269" s="629"/>
      <c r="R269" s="629"/>
      <c r="S269" s="629"/>
      <c r="T269" s="629"/>
      <c r="U269" s="629"/>
      <c r="V269" s="630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438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89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228</v>
      </c>
      <c r="M273" s="38" t="s">
        <v>100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121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45</v>
      </c>
      <c r="M274" s="38" t="s">
        <v>93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  <c r="L275" s="631"/>
      <c r="M275" s="631"/>
      <c r="N275" s="631"/>
      <c r="O275" s="632"/>
      <c r="P275" s="628" t="s">
        <v>40</v>
      </c>
      <c r="Q275" s="629"/>
      <c r="R275" s="629"/>
      <c r="S275" s="629"/>
      <c r="T275" s="629"/>
      <c r="U275" s="629"/>
      <c r="V275" s="630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  <c r="L276" s="631"/>
      <c r="M276" s="631"/>
      <c r="N276" s="631"/>
      <c r="O276" s="632"/>
      <c r="P276" s="628" t="s">
        <v>40</v>
      </c>
      <c r="Q276" s="629"/>
      <c r="R276" s="629"/>
      <c r="S276" s="629"/>
      <c r="T276" s="629"/>
      <c r="U276" s="629"/>
      <c r="V276" s="630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447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  <c r="L282" s="631"/>
      <c r="M282" s="631"/>
      <c r="N282" s="631"/>
      <c r="O282" s="632"/>
      <c r="P282" s="628" t="s">
        <v>40</v>
      </c>
      <c r="Q282" s="629"/>
      <c r="R282" s="629"/>
      <c r="S282" s="629"/>
      <c r="T282" s="629"/>
      <c r="U282" s="629"/>
      <c r="V282" s="630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89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3">
        <v>4680115884618</v>
      </c>
      <c r="E284" s="623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124</v>
      </c>
      <c r="L284" s="37" t="s">
        <v>45</v>
      </c>
      <c r="M284" s="38" t="s">
        <v>93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3">
        <v>4680115887114</v>
      </c>
      <c r="E285" s="623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124</v>
      </c>
      <c r="L285" s="37" t="s">
        <v>45</v>
      </c>
      <c r="M285" s="38" t="s">
        <v>93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460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114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119</v>
      </c>
      <c r="L290" s="37" t="s">
        <v>45</v>
      </c>
      <c r="M290" s="38" t="s">
        <v>93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119</v>
      </c>
      <c r="L291" s="37" t="s">
        <v>45</v>
      </c>
      <c r="M291" s="38" t="s">
        <v>118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119</v>
      </c>
      <c r="L292" s="37" t="s">
        <v>45</v>
      </c>
      <c r="M292" s="38" t="s">
        <v>93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124</v>
      </c>
      <c r="L293" s="37" t="s">
        <v>45</v>
      </c>
      <c r="M293" s="38" t="s">
        <v>118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124</v>
      </c>
      <c r="L294" s="37" t="s">
        <v>45</v>
      </c>
      <c r="M294" s="38" t="s">
        <v>118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  <c r="L295" s="631"/>
      <c r="M295" s="631"/>
      <c r="N295" s="631"/>
      <c r="O295" s="632"/>
      <c r="P295" s="628" t="s">
        <v>40</v>
      </c>
      <c r="Q295" s="629"/>
      <c r="R295" s="629"/>
      <c r="S295" s="629"/>
      <c r="T295" s="629"/>
      <c r="U295" s="629"/>
      <c r="V295" s="630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2"/>
      <c r="P296" s="628" t="s">
        <v>40</v>
      </c>
      <c r="Q296" s="629"/>
      <c r="R296" s="629"/>
      <c r="S296" s="629"/>
      <c r="T296" s="629"/>
      <c r="U296" s="629"/>
      <c r="V296" s="630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124</v>
      </c>
      <c r="L298" s="37" t="s">
        <v>45</v>
      </c>
      <c r="M298" s="38" t="s">
        <v>83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3" si="27">IFERROR(X298*I298/H298,"0")</f>
        <v>0</v>
      </c>
      <c r="BN298" s="78">
        <f t="shared" ref="BN298:BN303" si="28">IFERROR(Y298*I298/H298,"0")</f>
        <v>0</v>
      </c>
      <c r="BO298" s="78">
        <f t="shared" ref="BO298:BO303" si="29">IFERROR(1/J298*(X298/H298),"0")</f>
        <v>0</v>
      </c>
      <c r="BP298" s="78">
        <f t="shared" ref="BP298:BP303" si="30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124</v>
      </c>
      <c r="L299" s="37" t="s">
        <v>45</v>
      </c>
      <c r="M299" s="38" t="s">
        <v>83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124</v>
      </c>
      <c r="L300" s="37" t="s">
        <v>45</v>
      </c>
      <c r="M300" s="38" t="s">
        <v>83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88</v>
      </c>
      <c r="L301" s="37" t="s">
        <v>281</v>
      </c>
      <c r="M301" s="38" t="s">
        <v>83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121</v>
      </c>
      <c r="AK301" s="84">
        <v>37.799999999999997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88</v>
      </c>
      <c r="L302" s="37" t="s">
        <v>281</v>
      </c>
      <c r="M302" s="38" t="s">
        <v>83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121</v>
      </c>
      <c r="AK302" s="84">
        <v>37.799999999999997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23">
        <v>4607091383836</v>
      </c>
      <c r="E303" s="62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84</v>
      </c>
      <c r="L303" s="37" t="s">
        <v>228</v>
      </c>
      <c r="M303" s="38" t="s">
        <v>83</v>
      </c>
      <c r="N303" s="38"/>
      <c r="O303" s="37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121</v>
      </c>
      <c r="AK303" s="84">
        <v>25.2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  <c r="L304" s="631"/>
      <c r="M304" s="631"/>
      <c r="N304" s="631"/>
      <c r="O304" s="632"/>
      <c r="P304" s="628" t="s">
        <v>40</v>
      </c>
      <c r="Q304" s="629"/>
      <c r="R304" s="629"/>
      <c r="S304" s="629"/>
      <c r="T304" s="629"/>
      <c r="U304" s="629"/>
      <c r="V304" s="630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  <c r="L305" s="631"/>
      <c r="M305" s="631"/>
      <c r="N305" s="631"/>
      <c r="O305" s="632"/>
      <c r="P305" s="628" t="s">
        <v>40</v>
      </c>
      <c r="Q305" s="629"/>
      <c r="R305" s="629"/>
      <c r="S305" s="629"/>
      <c r="T305" s="629"/>
      <c r="U305" s="629"/>
      <c r="V305" s="630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22" t="s">
        <v>89</v>
      </c>
      <c r="B306" s="622"/>
      <c r="C306" s="622"/>
      <c r="D306" s="622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23">
        <v>4607091387766</v>
      </c>
      <c r="E307" s="62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119</v>
      </c>
      <c r="L307" s="37" t="s">
        <v>45</v>
      </c>
      <c r="M307" s="38" t="s">
        <v>93</v>
      </c>
      <c r="N307" s="38"/>
      <c r="O307" s="37">
        <v>40</v>
      </c>
      <c r="P307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23">
        <v>4607091387957</v>
      </c>
      <c r="E308" s="62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119</v>
      </c>
      <c r="L308" s="37" t="s">
        <v>45</v>
      </c>
      <c r="M308" s="38" t="s">
        <v>93</v>
      </c>
      <c r="N308" s="38"/>
      <c r="O308" s="37">
        <v>40</v>
      </c>
      <c r="P308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23">
        <v>4607091387964</v>
      </c>
      <c r="E309" s="62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119</v>
      </c>
      <c r="L309" s="37" t="s">
        <v>45</v>
      </c>
      <c r="M309" s="38" t="s">
        <v>93</v>
      </c>
      <c r="N309" s="38"/>
      <c r="O309" s="37">
        <v>40</v>
      </c>
      <c r="P309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23">
        <v>4680115884588</v>
      </c>
      <c r="E310" s="62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84</v>
      </c>
      <c r="L310" s="37" t="s">
        <v>45</v>
      </c>
      <c r="M310" s="38" t="s">
        <v>93</v>
      </c>
      <c r="N310" s="38"/>
      <c r="O310" s="37">
        <v>40</v>
      </c>
      <c r="P310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  <c r="L312" s="631"/>
      <c r="M312" s="631"/>
      <c r="N312" s="631"/>
      <c r="O312" s="632"/>
      <c r="P312" s="628" t="s">
        <v>40</v>
      </c>
      <c r="Q312" s="629"/>
      <c r="R312" s="629"/>
      <c r="S312" s="629"/>
      <c r="T312" s="629"/>
      <c r="U312" s="629"/>
      <c r="V312" s="630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2" t="s">
        <v>178</v>
      </c>
      <c r="B313" s="622"/>
      <c r="C313" s="622"/>
      <c r="D313" s="622"/>
      <c r="E313" s="622"/>
      <c r="F313" s="622"/>
      <c r="G313" s="622"/>
      <c r="H313" s="622"/>
      <c r="I313" s="622"/>
      <c r="J313" s="622"/>
      <c r="K313" s="622"/>
      <c r="L313" s="622"/>
      <c r="M313" s="622"/>
      <c r="N313" s="622"/>
      <c r="O313" s="622"/>
      <c r="P313" s="622"/>
      <c r="Q313" s="622"/>
      <c r="R313" s="622"/>
      <c r="S313" s="622"/>
      <c r="T313" s="622"/>
      <c r="U313" s="622"/>
      <c r="V313" s="622"/>
      <c r="W313" s="622"/>
      <c r="X313" s="622"/>
      <c r="Y313" s="622"/>
      <c r="Z313" s="622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23">
        <v>4607091380880</v>
      </c>
      <c r="E314" s="62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119</v>
      </c>
      <c r="L314" s="37" t="s">
        <v>120</v>
      </c>
      <c r="M314" s="38" t="s">
        <v>93</v>
      </c>
      <c r="N314" s="38"/>
      <c r="O314" s="37">
        <v>30</v>
      </c>
      <c r="P314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121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23">
        <v>4607091384482</v>
      </c>
      <c r="E315" s="62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120</v>
      </c>
      <c r="M315" s="38" t="s">
        <v>93</v>
      </c>
      <c r="N315" s="38"/>
      <c r="O315" s="37">
        <v>30</v>
      </c>
      <c r="P315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121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23">
        <v>4607091380897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119</v>
      </c>
      <c r="L316" s="37" t="s">
        <v>120</v>
      </c>
      <c r="M316" s="38" t="s">
        <v>100</v>
      </c>
      <c r="N316" s="38"/>
      <c r="O316" s="37">
        <v>30</v>
      </c>
      <c r="P316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121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106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23">
        <v>4607091388381</v>
      </c>
      <c r="E320" s="62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124</v>
      </c>
      <c r="L320" s="37" t="s">
        <v>45</v>
      </c>
      <c r="M320" s="38" t="s">
        <v>111</v>
      </c>
      <c r="N320" s="38"/>
      <c r="O320" s="37">
        <v>180</v>
      </c>
      <c r="P320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23">
        <v>4607091388374</v>
      </c>
      <c r="E321" s="62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124</v>
      </c>
      <c r="L321" s="37" t="s">
        <v>45</v>
      </c>
      <c r="M321" s="38" t="s">
        <v>111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23">
        <v>4607091383102</v>
      </c>
      <c r="E322" s="62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84</v>
      </c>
      <c r="L322" s="37" t="s">
        <v>228</v>
      </c>
      <c r="M322" s="38" t="s">
        <v>111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121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23">
        <v>4607091388404</v>
      </c>
      <c r="E323" s="62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84</v>
      </c>
      <c r="L323" s="37" t="s">
        <v>228</v>
      </c>
      <c r="M323" s="38" t="s">
        <v>111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121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  <c r="L325" s="631"/>
      <c r="M325" s="631"/>
      <c r="N325" s="631"/>
      <c r="O325" s="632"/>
      <c r="P325" s="628" t="s">
        <v>40</v>
      </c>
      <c r="Q325" s="629"/>
      <c r="R325" s="629"/>
      <c r="S325" s="629"/>
      <c r="T325" s="629"/>
      <c r="U325" s="629"/>
      <c r="V325" s="630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2" t="s">
        <v>523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2"/>
      <c r="V326" s="622"/>
      <c r="W326" s="622"/>
      <c r="X326" s="622"/>
      <c r="Y326" s="622"/>
      <c r="Z326" s="622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23">
        <v>4680115881808</v>
      </c>
      <c r="E327" s="62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84</v>
      </c>
      <c r="L327" s="37" t="s">
        <v>228</v>
      </c>
      <c r="M327" s="38" t="s">
        <v>527</v>
      </c>
      <c r="N327" s="38"/>
      <c r="O327" s="37">
        <v>730</v>
      </c>
      <c r="P327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121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23">
        <v>4680115881822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527</v>
      </c>
      <c r="N328" s="38"/>
      <c r="O328" s="37">
        <v>730</v>
      </c>
      <c r="P328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23">
        <v>4680115880016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228</v>
      </c>
      <c r="M329" s="38" t="s">
        <v>527</v>
      </c>
      <c r="N329" s="38"/>
      <c r="O329" s="37">
        <v>730</v>
      </c>
      <c r="P329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121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21" t="s">
        <v>532</v>
      </c>
      <c r="B332" s="621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621"/>
      <c r="P332" s="621"/>
      <c r="Q332" s="621"/>
      <c r="R332" s="621"/>
      <c r="S332" s="621"/>
      <c r="T332" s="621"/>
      <c r="U332" s="621"/>
      <c r="V332" s="621"/>
      <c r="W332" s="621"/>
      <c r="X332" s="621"/>
      <c r="Y332" s="621"/>
      <c r="Z332" s="621"/>
      <c r="AA332" s="65"/>
      <c r="AB332" s="65"/>
      <c r="AC332" s="79"/>
    </row>
    <row r="333" spans="1:68" ht="14.25" customHeight="1" x14ac:dyDescent="0.25">
      <c r="A333" s="622" t="s">
        <v>89</v>
      </c>
      <c r="B333" s="622"/>
      <c r="C333" s="622"/>
      <c r="D333" s="622"/>
      <c r="E333" s="622"/>
      <c r="F333" s="622"/>
      <c r="G333" s="622"/>
      <c r="H333" s="622"/>
      <c r="I333" s="622"/>
      <c r="J333" s="622"/>
      <c r="K333" s="622"/>
      <c r="L333" s="622"/>
      <c r="M333" s="622"/>
      <c r="N333" s="622"/>
      <c r="O333" s="622"/>
      <c r="P333" s="622"/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23">
        <v>4607091387919</v>
      </c>
      <c r="E334" s="62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119</v>
      </c>
      <c r="L334" s="37" t="s">
        <v>45</v>
      </c>
      <c r="M334" s="38" t="s">
        <v>100</v>
      </c>
      <c r="N334" s="38"/>
      <c r="O334" s="37">
        <v>45</v>
      </c>
      <c r="P334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23">
        <v>4680115883604</v>
      </c>
      <c r="E335" s="62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84</v>
      </c>
      <c r="L335" s="37" t="s">
        <v>228</v>
      </c>
      <c r="M335" s="38" t="s">
        <v>93</v>
      </c>
      <c r="N335" s="38"/>
      <c r="O335" s="37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121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23">
        <v>4680115883567</v>
      </c>
      <c r="E336" s="62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84</v>
      </c>
      <c r="L336" s="37" t="s">
        <v>228</v>
      </c>
      <c r="M336" s="38" t="s">
        <v>100</v>
      </c>
      <c r="N336" s="38"/>
      <c r="O336" s="37">
        <v>40</v>
      </c>
      <c r="P336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121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  <c r="L338" s="631"/>
      <c r="M338" s="631"/>
      <c r="N338" s="631"/>
      <c r="O338" s="632"/>
      <c r="P338" s="628" t="s">
        <v>40</v>
      </c>
      <c r="Q338" s="629"/>
      <c r="R338" s="629"/>
      <c r="S338" s="629"/>
      <c r="T338" s="629"/>
      <c r="U338" s="629"/>
      <c r="V338" s="630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20" t="s">
        <v>542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54"/>
      <c r="AB339" s="54"/>
      <c r="AC339" s="54"/>
    </row>
    <row r="340" spans="1:68" ht="16.5" customHeight="1" x14ac:dyDescent="0.25">
      <c r="A340" s="621" t="s">
        <v>543</v>
      </c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1"/>
      <c r="P340" s="621"/>
      <c r="Q340" s="621"/>
      <c r="R340" s="621"/>
      <c r="S340" s="621"/>
      <c r="T340" s="621"/>
      <c r="U340" s="621"/>
      <c r="V340" s="621"/>
      <c r="W340" s="621"/>
      <c r="X340" s="621"/>
      <c r="Y340" s="621"/>
      <c r="Z340" s="621"/>
      <c r="AA340" s="65"/>
      <c r="AB340" s="65"/>
      <c r="AC340" s="79"/>
    </row>
    <row r="341" spans="1:68" ht="14.25" customHeight="1" x14ac:dyDescent="0.25">
      <c r="A341" s="622" t="s">
        <v>114</v>
      </c>
      <c r="B341" s="622"/>
      <c r="C341" s="622"/>
      <c r="D341" s="622"/>
      <c r="E341" s="622"/>
      <c r="F341" s="622"/>
      <c r="G341" s="622"/>
      <c r="H341" s="622"/>
      <c r="I341" s="622"/>
      <c r="J341" s="622"/>
      <c r="K341" s="622"/>
      <c r="L341" s="622"/>
      <c r="M341" s="622"/>
      <c r="N341" s="622"/>
      <c r="O341" s="622"/>
      <c r="P341" s="622"/>
      <c r="Q341" s="622"/>
      <c r="R341" s="622"/>
      <c r="S341" s="622"/>
      <c r="T341" s="622"/>
      <c r="U341" s="622"/>
      <c r="V341" s="622"/>
      <c r="W341" s="622"/>
      <c r="X341" s="622"/>
      <c r="Y341" s="622"/>
      <c r="Z341" s="622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23">
        <v>4680115884847</v>
      </c>
      <c r="E342" s="62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119</v>
      </c>
      <c r="L342" s="37" t="s">
        <v>45</v>
      </c>
      <c r="M342" s="38" t="s">
        <v>83</v>
      </c>
      <c r="N342" s="38"/>
      <c r="O342" s="37">
        <v>60</v>
      </c>
      <c r="P342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23">
        <v>4680115884854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119</v>
      </c>
      <c r="L343" s="37" t="s">
        <v>45</v>
      </c>
      <c r="M343" s="38" t="s">
        <v>83</v>
      </c>
      <c r="N343" s="38"/>
      <c r="O343" s="37">
        <v>60</v>
      </c>
      <c r="P343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23">
        <v>4680115884830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119</v>
      </c>
      <c r="L344" s="37" t="s">
        <v>45</v>
      </c>
      <c r="M344" s="38" t="s">
        <v>83</v>
      </c>
      <c r="N344" s="38"/>
      <c r="O344" s="37">
        <v>60</v>
      </c>
      <c r="P344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119</v>
      </c>
      <c r="L345" s="37" t="s">
        <v>45</v>
      </c>
      <c r="M345" s="38" t="s">
        <v>100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23">
        <v>4680115882638</v>
      </c>
      <c r="E346" s="62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124</v>
      </c>
      <c r="L346" s="37" t="s">
        <v>45</v>
      </c>
      <c r="M346" s="38" t="s">
        <v>118</v>
      </c>
      <c r="N346" s="38"/>
      <c r="O346" s="37">
        <v>90</v>
      </c>
      <c r="P346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23">
        <v>4680115884922</v>
      </c>
      <c r="E347" s="62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124</v>
      </c>
      <c r="L347" s="37" t="s">
        <v>45</v>
      </c>
      <c r="M347" s="38" t="s">
        <v>83</v>
      </c>
      <c r="N347" s="38"/>
      <c r="O347" s="37">
        <v>60</v>
      </c>
      <c r="P347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23">
        <v>4680115884861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124</v>
      </c>
      <c r="L348" s="37" t="s">
        <v>45</v>
      </c>
      <c r="M348" s="38" t="s">
        <v>83</v>
      </c>
      <c r="N348" s="38"/>
      <c r="O348" s="37">
        <v>60</v>
      </c>
      <c r="P348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  <c r="L349" s="631"/>
      <c r="M349" s="631"/>
      <c r="N349" s="631"/>
      <c r="O349" s="632"/>
      <c r="P349" s="628" t="s">
        <v>40</v>
      </c>
      <c r="Q349" s="629"/>
      <c r="R349" s="629"/>
      <c r="S349" s="629"/>
      <c r="T349" s="629"/>
      <c r="U349" s="629"/>
      <c r="V349" s="630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  <c r="L350" s="631"/>
      <c r="M350" s="631"/>
      <c r="N350" s="631"/>
      <c r="O350" s="632"/>
      <c r="P350" s="628" t="s">
        <v>40</v>
      </c>
      <c r="Q350" s="629"/>
      <c r="R350" s="629"/>
      <c r="S350" s="629"/>
      <c r="T350" s="629"/>
      <c r="U350" s="629"/>
      <c r="V350" s="630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2" t="s">
        <v>150</v>
      </c>
      <c r="B351" s="622"/>
      <c r="C351" s="622"/>
      <c r="D351" s="622"/>
      <c r="E351" s="622"/>
      <c r="F351" s="622"/>
      <c r="G351" s="622"/>
      <c r="H351" s="622"/>
      <c r="I351" s="622"/>
      <c r="J351" s="622"/>
      <c r="K351" s="622"/>
      <c r="L351" s="622"/>
      <c r="M351" s="622"/>
      <c r="N351" s="622"/>
      <c r="O351" s="622"/>
      <c r="P351" s="622"/>
      <c r="Q351" s="622"/>
      <c r="R351" s="622"/>
      <c r="S351" s="622"/>
      <c r="T351" s="622"/>
      <c r="U351" s="622"/>
      <c r="V351" s="622"/>
      <c r="W351" s="622"/>
      <c r="X351" s="622"/>
      <c r="Y351" s="622"/>
      <c r="Z351" s="622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23">
        <v>4607091383980</v>
      </c>
      <c r="E352" s="62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118</v>
      </c>
      <c r="N352" s="38"/>
      <c r="O352" s="37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566</v>
      </c>
      <c r="B353" s="63" t="s">
        <v>567</v>
      </c>
      <c r="C353" s="36">
        <v>4301020179</v>
      </c>
      <c r="D353" s="623">
        <v>4607091384178</v>
      </c>
      <c r="E353" s="62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124</v>
      </c>
      <c r="L353" s="37" t="s">
        <v>45</v>
      </c>
      <c r="M353" s="38" t="s">
        <v>118</v>
      </c>
      <c r="N353" s="38"/>
      <c r="O353" s="37">
        <v>50</v>
      </c>
      <c r="P353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  <c r="L354" s="631"/>
      <c r="M354" s="631"/>
      <c r="N354" s="631"/>
      <c r="O354" s="632"/>
      <c r="P354" s="628" t="s">
        <v>40</v>
      </c>
      <c r="Q354" s="629"/>
      <c r="R354" s="629"/>
      <c r="S354" s="629"/>
      <c r="T354" s="629"/>
      <c r="U354" s="629"/>
      <c r="V354" s="6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2" t="s">
        <v>89</v>
      </c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2"/>
      <c r="P356" s="622"/>
      <c r="Q356" s="622"/>
      <c r="R356" s="622"/>
      <c r="S356" s="622"/>
      <c r="T356" s="622"/>
      <c r="U356" s="622"/>
      <c r="V356" s="622"/>
      <c r="W356" s="622"/>
      <c r="X356" s="622"/>
      <c r="Y356" s="622"/>
      <c r="Z356" s="622"/>
      <c r="AA356" s="66"/>
      <c r="AB356" s="66"/>
      <c r="AC356" s="80"/>
    </row>
    <row r="357" spans="1:68" ht="27" customHeight="1" x14ac:dyDescent="0.25">
      <c r="A357" s="63" t="s">
        <v>569</v>
      </c>
      <c r="B357" s="63" t="s">
        <v>570</v>
      </c>
      <c r="C357" s="36">
        <v>4301051903</v>
      </c>
      <c r="D357" s="623">
        <v>4607091383928</v>
      </c>
      <c r="E357" s="62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119</v>
      </c>
      <c r="L357" s="37" t="s">
        <v>45</v>
      </c>
      <c r="M357" s="38" t="s">
        <v>93</v>
      </c>
      <c r="N357" s="38"/>
      <c r="O357" s="37">
        <v>40</v>
      </c>
      <c r="P357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5"/>
      <c r="R357" s="625"/>
      <c r="S357" s="625"/>
      <c r="T357" s="62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571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572</v>
      </c>
      <c r="B358" s="63" t="s">
        <v>573</v>
      </c>
      <c r="C358" s="36">
        <v>4301051897</v>
      </c>
      <c r="D358" s="623">
        <v>4607091384260</v>
      </c>
      <c r="E358" s="62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119</v>
      </c>
      <c r="L358" s="37" t="s">
        <v>120</v>
      </c>
      <c r="M358" s="38" t="s">
        <v>93</v>
      </c>
      <c r="N358" s="38"/>
      <c r="O358" s="37">
        <v>40</v>
      </c>
      <c r="P358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121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  <c r="L359" s="631"/>
      <c r="M359" s="631"/>
      <c r="N359" s="631"/>
      <c r="O359" s="632"/>
      <c r="P359" s="628" t="s">
        <v>40</v>
      </c>
      <c r="Q359" s="629"/>
      <c r="R359" s="629"/>
      <c r="S359" s="629"/>
      <c r="T359" s="629"/>
      <c r="U359" s="629"/>
      <c r="V359" s="63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2" t="s">
        <v>178</v>
      </c>
      <c r="B361" s="622"/>
      <c r="C361" s="622"/>
      <c r="D361" s="622"/>
      <c r="E361" s="622"/>
      <c r="F361" s="622"/>
      <c r="G361" s="622"/>
      <c r="H361" s="622"/>
      <c r="I361" s="622"/>
      <c r="J361" s="622"/>
      <c r="K361" s="622"/>
      <c r="L361" s="622"/>
      <c r="M361" s="622"/>
      <c r="N361" s="622"/>
      <c r="O361" s="622"/>
      <c r="P361" s="622"/>
      <c r="Q361" s="622"/>
      <c r="R361" s="622"/>
      <c r="S361" s="622"/>
      <c r="T361" s="622"/>
      <c r="U361" s="622"/>
      <c r="V361" s="622"/>
      <c r="W361" s="622"/>
      <c r="X361" s="622"/>
      <c r="Y361" s="622"/>
      <c r="Z361" s="622"/>
      <c r="AA361" s="66"/>
      <c r="AB361" s="66"/>
      <c r="AC361" s="80"/>
    </row>
    <row r="362" spans="1:68" ht="16.5" customHeight="1" x14ac:dyDescent="0.25">
      <c r="A362" s="63" t="s">
        <v>575</v>
      </c>
      <c r="B362" s="63" t="s">
        <v>576</v>
      </c>
      <c r="C362" s="36">
        <v>4301060524</v>
      </c>
      <c r="D362" s="623">
        <v>4607091384673</v>
      </c>
      <c r="E362" s="62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119</v>
      </c>
      <c r="L362" s="37" t="s">
        <v>45</v>
      </c>
      <c r="M362" s="38" t="s">
        <v>93</v>
      </c>
      <c r="N362" s="38"/>
      <c r="O362" s="37">
        <v>40</v>
      </c>
      <c r="P362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5"/>
      <c r="R362" s="625"/>
      <c r="S362" s="625"/>
      <c r="T362" s="62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2"/>
      <c r="P363" s="628" t="s">
        <v>40</v>
      </c>
      <c r="Q363" s="629"/>
      <c r="R363" s="629"/>
      <c r="S363" s="629"/>
      <c r="T363" s="629"/>
      <c r="U363" s="629"/>
      <c r="V363" s="630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  <c r="L364" s="631"/>
      <c r="M364" s="631"/>
      <c r="N364" s="631"/>
      <c r="O364" s="632"/>
      <c r="P364" s="628" t="s">
        <v>40</v>
      </c>
      <c r="Q364" s="629"/>
      <c r="R364" s="629"/>
      <c r="S364" s="629"/>
      <c r="T364" s="629"/>
      <c r="U364" s="629"/>
      <c r="V364" s="630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21" t="s">
        <v>578</v>
      </c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1"/>
      <c r="P365" s="621"/>
      <c r="Q365" s="621"/>
      <c r="R365" s="621"/>
      <c r="S365" s="621"/>
      <c r="T365" s="621"/>
      <c r="U365" s="621"/>
      <c r="V365" s="621"/>
      <c r="W365" s="621"/>
      <c r="X365" s="621"/>
      <c r="Y365" s="621"/>
      <c r="Z365" s="621"/>
      <c r="AA365" s="65"/>
      <c r="AB365" s="65"/>
      <c r="AC365" s="79"/>
    </row>
    <row r="366" spans="1:68" ht="14.25" customHeight="1" x14ac:dyDescent="0.25">
      <c r="A366" s="622" t="s">
        <v>114</v>
      </c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2"/>
      <c r="P366" s="622"/>
      <c r="Q366" s="622"/>
      <c r="R366" s="622"/>
      <c r="S366" s="622"/>
      <c r="T366" s="622"/>
      <c r="U366" s="622"/>
      <c r="V366" s="622"/>
      <c r="W366" s="622"/>
      <c r="X366" s="622"/>
      <c r="Y366" s="622"/>
      <c r="Z366" s="622"/>
      <c r="AA366" s="66"/>
      <c r="AB366" s="66"/>
      <c r="AC366" s="80"/>
    </row>
    <row r="367" spans="1:68" ht="37.5" customHeight="1" x14ac:dyDescent="0.25">
      <c r="A367" s="63" t="s">
        <v>579</v>
      </c>
      <c r="B367" s="63" t="s">
        <v>580</v>
      </c>
      <c r="C367" s="36">
        <v>4301011875</v>
      </c>
      <c r="D367" s="623">
        <v>4680115884885</v>
      </c>
      <c r="E367" s="62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119</v>
      </c>
      <c r="L367" s="37" t="s">
        <v>120</v>
      </c>
      <c r="M367" s="38" t="s">
        <v>83</v>
      </c>
      <c r="N367" s="38"/>
      <c r="O367" s="37">
        <v>60</v>
      </c>
      <c r="P367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5"/>
      <c r="R367" s="625"/>
      <c r="S367" s="625"/>
      <c r="T367" s="62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581</v>
      </c>
      <c r="AG367" s="78"/>
      <c r="AJ367" s="84" t="s">
        <v>121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582</v>
      </c>
      <c r="B368" s="63" t="s">
        <v>583</v>
      </c>
      <c r="C368" s="36">
        <v>4301011871</v>
      </c>
      <c r="D368" s="623">
        <v>4680115884908</v>
      </c>
      <c r="E368" s="62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124</v>
      </c>
      <c r="L368" s="37" t="s">
        <v>45</v>
      </c>
      <c r="M368" s="38" t="s">
        <v>83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2" t="s">
        <v>78</v>
      </c>
      <c r="B371" s="622"/>
      <c r="C371" s="622"/>
      <c r="D371" s="622"/>
      <c r="E371" s="622"/>
      <c r="F371" s="622"/>
      <c r="G371" s="622"/>
      <c r="H371" s="622"/>
      <c r="I371" s="622"/>
      <c r="J371" s="622"/>
      <c r="K371" s="622"/>
      <c r="L371" s="622"/>
      <c r="M371" s="622"/>
      <c r="N371" s="622"/>
      <c r="O371" s="622"/>
      <c r="P371" s="622"/>
      <c r="Q371" s="622"/>
      <c r="R371" s="622"/>
      <c r="S371" s="622"/>
      <c r="T371" s="622"/>
      <c r="U371" s="622"/>
      <c r="V371" s="622"/>
      <c r="W371" s="622"/>
      <c r="X371" s="622"/>
      <c r="Y371" s="622"/>
      <c r="Z371" s="622"/>
      <c r="AA371" s="66"/>
      <c r="AB371" s="66"/>
      <c r="AC371" s="80"/>
    </row>
    <row r="372" spans="1:68" ht="27" customHeight="1" x14ac:dyDescent="0.25">
      <c r="A372" s="63" t="s">
        <v>584</v>
      </c>
      <c r="B372" s="63" t="s">
        <v>585</v>
      </c>
      <c r="C372" s="36">
        <v>4301031303</v>
      </c>
      <c r="D372" s="623">
        <v>4607091384802</v>
      </c>
      <c r="E372" s="62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124</v>
      </c>
      <c r="L372" s="37" t="s">
        <v>45</v>
      </c>
      <c r="M372" s="38" t="s">
        <v>83</v>
      </c>
      <c r="N372" s="38"/>
      <c r="O372" s="37">
        <v>35</v>
      </c>
      <c r="P372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5"/>
      <c r="R372" s="625"/>
      <c r="S372" s="625"/>
      <c r="T372" s="62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586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584</v>
      </c>
      <c r="B373" s="63" t="s">
        <v>587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124</v>
      </c>
      <c r="L373" s="37" t="s">
        <v>45</v>
      </c>
      <c r="M373" s="38" t="s">
        <v>83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  <c r="L374" s="631"/>
      <c r="M374" s="631"/>
      <c r="N374" s="631"/>
      <c r="O374" s="632"/>
      <c r="P374" s="628" t="s">
        <v>40</v>
      </c>
      <c r="Q374" s="629"/>
      <c r="R374" s="629"/>
      <c r="S374" s="629"/>
      <c r="T374" s="629"/>
      <c r="U374" s="629"/>
      <c r="V374" s="630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2" t="s">
        <v>89</v>
      </c>
      <c r="B376" s="622"/>
      <c r="C376" s="622"/>
      <c r="D376" s="622"/>
      <c r="E376" s="622"/>
      <c r="F376" s="622"/>
      <c r="G376" s="622"/>
      <c r="H376" s="622"/>
      <c r="I376" s="622"/>
      <c r="J376" s="622"/>
      <c r="K376" s="622"/>
      <c r="L376" s="622"/>
      <c r="M376" s="622"/>
      <c r="N376" s="622"/>
      <c r="O376" s="622"/>
      <c r="P376" s="622"/>
      <c r="Q376" s="622"/>
      <c r="R376" s="622"/>
      <c r="S376" s="622"/>
      <c r="T376" s="622"/>
      <c r="U376" s="622"/>
      <c r="V376" s="622"/>
      <c r="W376" s="622"/>
      <c r="X376" s="622"/>
      <c r="Y376" s="622"/>
      <c r="Z376" s="622"/>
      <c r="AA376" s="66"/>
      <c r="AB376" s="66"/>
      <c r="AC376" s="80"/>
    </row>
    <row r="377" spans="1:68" ht="27" customHeight="1" x14ac:dyDescent="0.25">
      <c r="A377" s="63" t="s">
        <v>589</v>
      </c>
      <c r="B377" s="63" t="s">
        <v>590</v>
      </c>
      <c r="C377" s="36">
        <v>4301051899</v>
      </c>
      <c r="D377" s="623">
        <v>4607091384246</v>
      </c>
      <c r="E377" s="62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119</v>
      </c>
      <c r="L377" s="37" t="s">
        <v>120</v>
      </c>
      <c r="M377" s="38" t="s">
        <v>93</v>
      </c>
      <c r="N377" s="38"/>
      <c r="O377" s="37">
        <v>40</v>
      </c>
      <c r="P377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5"/>
      <c r="R377" s="625"/>
      <c r="S377" s="625"/>
      <c r="T377" s="62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591</v>
      </c>
      <c r="AG377" s="78"/>
      <c r="AJ377" s="84" t="s">
        <v>121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592</v>
      </c>
      <c r="B378" s="63" t="s">
        <v>593</v>
      </c>
      <c r="C378" s="36">
        <v>4301051660</v>
      </c>
      <c r="D378" s="623">
        <v>4607091384253</v>
      </c>
      <c r="E378" s="62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84</v>
      </c>
      <c r="L378" s="37" t="s">
        <v>45</v>
      </c>
      <c r="M378" s="38" t="s">
        <v>93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591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592</v>
      </c>
      <c r="B379" s="63" t="s">
        <v>594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  <c r="L381" s="631"/>
      <c r="M381" s="631"/>
      <c r="N381" s="631"/>
      <c r="O381" s="632"/>
      <c r="P381" s="628" t="s">
        <v>40</v>
      </c>
      <c r="Q381" s="629"/>
      <c r="R381" s="629"/>
      <c r="S381" s="629"/>
      <c r="T381" s="629"/>
      <c r="U381" s="629"/>
      <c r="V381" s="630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20" t="s">
        <v>596</v>
      </c>
      <c r="B382" s="620"/>
      <c r="C382" s="620"/>
      <c r="D382" s="620"/>
      <c r="E382" s="620"/>
      <c r="F382" s="620"/>
      <c r="G382" s="620"/>
      <c r="H382" s="620"/>
      <c r="I382" s="620"/>
      <c r="J382" s="620"/>
      <c r="K382" s="620"/>
      <c r="L382" s="620"/>
      <c r="M382" s="620"/>
      <c r="N382" s="620"/>
      <c r="O382" s="620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54"/>
      <c r="AB382" s="54"/>
      <c r="AC382" s="54"/>
    </row>
    <row r="383" spans="1:68" ht="16.5" customHeight="1" x14ac:dyDescent="0.25">
      <c r="A383" s="621" t="s">
        <v>597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5"/>
      <c r="AB383" s="65"/>
      <c r="AC383" s="79"/>
    </row>
    <row r="384" spans="1:68" ht="14.25" customHeight="1" x14ac:dyDescent="0.25">
      <c r="A384" s="622" t="s">
        <v>78</v>
      </c>
      <c r="B384" s="622"/>
      <c r="C384" s="622"/>
      <c r="D384" s="622"/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622"/>
      <c r="P384" s="622"/>
      <c r="Q384" s="622"/>
      <c r="R384" s="622"/>
      <c r="S384" s="622"/>
      <c r="T384" s="622"/>
      <c r="U384" s="622"/>
      <c r="V384" s="622"/>
      <c r="W384" s="622"/>
      <c r="X384" s="622"/>
      <c r="Y384" s="622"/>
      <c r="Z384" s="622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3">
        <v>4680115886100</v>
      </c>
      <c r="E385" s="62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124</v>
      </c>
      <c r="L385" s="37" t="s">
        <v>45</v>
      </c>
      <c r="M385" s="38" t="s">
        <v>83</v>
      </c>
      <c r="N385" s="38"/>
      <c r="O385" s="37">
        <v>50</v>
      </c>
      <c r="P385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5"/>
      <c r="R385" s="625"/>
      <c r="S385" s="625"/>
      <c r="T385" s="62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3">
        <v>4680115886117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124</v>
      </c>
      <c r="L386" s="37" t="s">
        <v>45</v>
      </c>
      <c r="M386" s="38" t="s">
        <v>83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3">
        <v>4680115886124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124</v>
      </c>
      <c r="L387" s="37" t="s">
        <v>45</v>
      </c>
      <c r="M387" s="38" t="s">
        <v>83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3">
        <v>4680115883147</v>
      </c>
      <c r="E388" s="623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88</v>
      </c>
      <c r="L388" s="37" t="s">
        <v>45</v>
      </c>
      <c r="M388" s="38" t="s">
        <v>83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3">
        <v>4607091384338</v>
      </c>
      <c r="E389" s="62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88</v>
      </c>
      <c r="L389" s="37" t="s">
        <v>281</v>
      </c>
      <c r="M389" s="38" t="s">
        <v>83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121</v>
      </c>
      <c r="AK389" s="84">
        <v>37.799999999999997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3">
        <v>4607091389524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281</v>
      </c>
      <c r="M390" s="38" t="s">
        <v>83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121</v>
      </c>
      <c r="AK390" s="84">
        <v>37.799999999999997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3">
        <v>4680115883161</v>
      </c>
      <c r="E391" s="623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3">
        <v>4607091389531</v>
      </c>
      <c r="E392" s="62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88</v>
      </c>
      <c r="L392" s="37" t="s">
        <v>281</v>
      </c>
      <c r="M392" s="38" t="s">
        <v>83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121</v>
      </c>
      <c r="AK392" s="84">
        <v>37.799999999999997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3">
        <v>4607091384345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  <c r="L394" s="631"/>
      <c r="M394" s="631"/>
      <c r="N394" s="631"/>
      <c r="O394" s="632"/>
      <c r="P394" s="628" t="s">
        <v>40</v>
      </c>
      <c r="Q394" s="629"/>
      <c r="R394" s="629"/>
      <c r="S394" s="629"/>
      <c r="T394" s="629"/>
      <c r="U394" s="629"/>
      <c r="V394" s="630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  <c r="L395" s="631"/>
      <c r="M395" s="631"/>
      <c r="N395" s="631"/>
      <c r="O395" s="632"/>
      <c r="P395" s="628" t="s">
        <v>40</v>
      </c>
      <c r="Q395" s="629"/>
      <c r="R395" s="629"/>
      <c r="S395" s="629"/>
      <c r="T395" s="629"/>
      <c r="U395" s="629"/>
      <c r="V395" s="630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2" t="s">
        <v>89</v>
      </c>
      <c r="B396" s="622"/>
      <c r="C396" s="622"/>
      <c r="D396" s="622"/>
      <c r="E396" s="622"/>
      <c r="F396" s="622"/>
      <c r="G396" s="622"/>
      <c r="H396" s="622"/>
      <c r="I396" s="622"/>
      <c r="J396" s="622"/>
      <c r="K396" s="622"/>
      <c r="L396" s="622"/>
      <c r="M396" s="622"/>
      <c r="N396" s="622"/>
      <c r="O396" s="622"/>
      <c r="P396" s="622"/>
      <c r="Q396" s="622"/>
      <c r="R396" s="622"/>
      <c r="S396" s="622"/>
      <c r="T396" s="622"/>
      <c r="U396" s="622"/>
      <c r="V396" s="622"/>
      <c r="W396" s="622"/>
      <c r="X396" s="622"/>
      <c r="Y396" s="622"/>
      <c r="Z396" s="622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3">
        <v>4607091384352</v>
      </c>
      <c r="E397" s="623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124</v>
      </c>
      <c r="L397" s="37" t="s">
        <v>45</v>
      </c>
      <c r="M397" s="38" t="s">
        <v>93</v>
      </c>
      <c r="N397" s="38"/>
      <c r="O397" s="37">
        <v>45</v>
      </c>
      <c r="P397" s="8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3">
        <v>4607091389654</v>
      </c>
      <c r="E398" s="623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84</v>
      </c>
      <c r="L398" s="37" t="s">
        <v>45</v>
      </c>
      <c r="M398" s="38" t="s">
        <v>93</v>
      </c>
      <c r="N398" s="38"/>
      <c r="O398" s="37">
        <v>45</v>
      </c>
      <c r="P398" s="8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1" t="s">
        <v>628</v>
      </c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1"/>
      <c r="P401" s="621"/>
      <c r="Q401" s="621"/>
      <c r="R401" s="621"/>
      <c r="S401" s="621"/>
      <c r="T401" s="621"/>
      <c r="U401" s="621"/>
      <c r="V401" s="621"/>
      <c r="W401" s="621"/>
      <c r="X401" s="621"/>
      <c r="Y401" s="621"/>
      <c r="Z401" s="621"/>
      <c r="AA401" s="65"/>
      <c r="AB401" s="65"/>
      <c r="AC401" s="79"/>
    </row>
    <row r="402" spans="1:68" ht="14.25" customHeight="1" x14ac:dyDescent="0.25">
      <c r="A402" s="622" t="s">
        <v>150</v>
      </c>
      <c r="B402" s="622"/>
      <c r="C402" s="622"/>
      <c r="D402" s="622"/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622"/>
      <c r="P402" s="622"/>
      <c r="Q402" s="622"/>
      <c r="R402" s="622"/>
      <c r="S402" s="622"/>
      <c r="T402" s="622"/>
      <c r="U402" s="622"/>
      <c r="V402" s="622"/>
      <c r="W402" s="622"/>
      <c r="X402" s="622"/>
      <c r="Y402" s="622"/>
      <c r="Z402" s="622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3">
        <v>4680115885240</v>
      </c>
      <c r="E403" s="623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84</v>
      </c>
      <c r="L403" s="37" t="s">
        <v>45</v>
      </c>
      <c r="M403" s="38" t="s">
        <v>83</v>
      </c>
      <c r="N403" s="38"/>
      <c r="O403" s="37">
        <v>40</v>
      </c>
      <c r="P403" s="8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2" t="s">
        <v>78</v>
      </c>
      <c r="B406" s="622"/>
      <c r="C406" s="622"/>
      <c r="D406" s="622"/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622"/>
      <c r="P406" s="622"/>
      <c r="Q406" s="622"/>
      <c r="R406" s="622"/>
      <c r="S406" s="622"/>
      <c r="T406" s="622"/>
      <c r="U406" s="622"/>
      <c r="V406" s="622"/>
      <c r="W406" s="622"/>
      <c r="X406" s="622"/>
      <c r="Y406" s="622"/>
      <c r="Z406" s="622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3">
        <v>4680115886094</v>
      </c>
      <c r="E407" s="623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124</v>
      </c>
      <c r="L407" s="37" t="s">
        <v>45</v>
      </c>
      <c r="M407" s="38" t="s">
        <v>118</v>
      </c>
      <c r="N407" s="38"/>
      <c r="O407" s="37">
        <v>50</v>
      </c>
      <c r="P407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5"/>
      <c r="R407" s="625"/>
      <c r="S407" s="625"/>
      <c r="T407" s="62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3">
        <v>4607091389425</v>
      </c>
      <c r="E408" s="623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88</v>
      </c>
      <c r="L408" s="37" t="s">
        <v>45</v>
      </c>
      <c r="M408" s="38" t="s">
        <v>83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3">
        <v>4680115880771</v>
      </c>
      <c r="E409" s="623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3">
        <v>4607091389500</v>
      </c>
      <c r="E410" s="623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  <c r="L411" s="631"/>
      <c r="M411" s="631"/>
      <c r="N411" s="631"/>
      <c r="O411" s="632"/>
      <c r="P411" s="628" t="s">
        <v>40</v>
      </c>
      <c r="Q411" s="629"/>
      <c r="R411" s="629"/>
      <c r="S411" s="629"/>
      <c r="T411" s="629"/>
      <c r="U411" s="629"/>
      <c r="V411" s="630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  <c r="L412" s="631"/>
      <c r="M412" s="631"/>
      <c r="N412" s="631"/>
      <c r="O412" s="632"/>
      <c r="P412" s="628" t="s">
        <v>40</v>
      </c>
      <c r="Q412" s="629"/>
      <c r="R412" s="629"/>
      <c r="S412" s="629"/>
      <c r="T412" s="629"/>
      <c r="U412" s="629"/>
      <c r="V412" s="630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1" t="s">
        <v>643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5"/>
      <c r="AB413" s="65"/>
      <c r="AC413" s="79"/>
    </row>
    <row r="414" spans="1:68" ht="14.25" customHeight="1" x14ac:dyDescent="0.25">
      <c r="A414" s="622" t="s">
        <v>78</v>
      </c>
      <c r="B414" s="622"/>
      <c r="C414" s="622"/>
      <c r="D414" s="622"/>
      <c r="E414" s="622"/>
      <c r="F414" s="622"/>
      <c r="G414" s="622"/>
      <c r="H414" s="622"/>
      <c r="I414" s="622"/>
      <c r="J414" s="622"/>
      <c r="K414" s="622"/>
      <c r="L414" s="622"/>
      <c r="M414" s="622"/>
      <c r="N414" s="622"/>
      <c r="O414" s="622"/>
      <c r="P414" s="622"/>
      <c r="Q414" s="622"/>
      <c r="R414" s="622"/>
      <c r="S414" s="622"/>
      <c r="T414" s="622"/>
      <c r="U414" s="622"/>
      <c r="V414" s="622"/>
      <c r="W414" s="622"/>
      <c r="X414" s="622"/>
      <c r="Y414" s="622"/>
      <c r="Z414" s="622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3">
        <v>4680115885110</v>
      </c>
      <c r="E415" s="623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84</v>
      </c>
      <c r="L415" s="37" t="s">
        <v>228</v>
      </c>
      <c r="M415" s="38" t="s">
        <v>83</v>
      </c>
      <c r="N415" s="38"/>
      <c r="O415" s="37">
        <v>50</v>
      </c>
      <c r="P415" s="8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121</v>
      </c>
      <c r="AK415" s="84">
        <v>16.8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20" t="s">
        <v>647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54"/>
      <c r="AB418" s="54"/>
      <c r="AC418" s="54"/>
    </row>
    <row r="419" spans="1:68" ht="16.5" customHeight="1" x14ac:dyDescent="0.25">
      <c r="A419" s="621" t="s">
        <v>647</v>
      </c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1"/>
      <c r="P419" s="621"/>
      <c r="Q419" s="621"/>
      <c r="R419" s="621"/>
      <c r="S419" s="621"/>
      <c r="T419" s="621"/>
      <c r="U419" s="621"/>
      <c r="V419" s="621"/>
      <c r="W419" s="621"/>
      <c r="X419" s="621"/>
      <c r="Y419" s="621"/>
      <c r="Z419" s="621"/>
      <c r="AA419" s="65"/>
      <c r="AB419" s="65"/>
      <c r="AC419" s="79"/>
    </row>
    <row r="420" spans="1:68" ht="14.25" customHeight="1" x14ac:dyDescent="0.25">
      <c r="A420" s="622" t="s">
        <v>114</v>
      </c>
      <c r="B420" s="622"/>
      <c r="C420" s="622"/>
      <c r="D420" s="622"/>
      <c r="E420" s="622"/>
      <c r="F420" s="622"/>
      <c r="G420" s="622"/>
      <c r="H420" s="622"/>
      <c r="I420" s="622"/>
      <c r="J420" s="622"/>
      <c r="K420" s="622"/>
      <c r="L420" s="622"/>
      <c r="M420" s="622"/>
      <c r="N420" s="622"/>
      <c r="O420" s="622"/>
      <c r="P420" s="622"/>
      <c r="Q420" s="622"/>
      <c r="R420" s="622"/>
      <c r="S420" s="622"/>
      <c r="T420" s="622"/>
      <c r="U420" s="622"/>
      <c r="V420" s="622"/>
      <c r="W420" s="622"/>
      <c r="X420" s="622"/>
      <c r="Y420" s="622"/>
      <c r="Z420" s="622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3">
        <v>4607091389067</v>
      </c>
      <c r="E421" s="62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119</v>
      </c>
      <c r="L421" s="37" t="s">
        <v>120</v>
      </c>
      <c r="M421" s="38" t="s">
        <v>118</v>
      </c>
      <c r="N421" s="38"/>
      <c r="O421" s="37">
        <v>60</v>
      </c>
      <c r="P421" s="8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5"/>
      <c r="R421" s="625"/>
      <c r="S421" s="625"/>
      <c r="T421" s="62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2" si="42">IFERROR(IF(X421="",0,CEILING((X421/$H421),1)*$H421),"")</f>
        <v>0</v>
      </c>
      <c r="Z421" s="41" t="str">
        <f t="shared" ref="Z421:Z427" si="43">IFERROR(IF(Y421=0,"",ROUNDUP(Y421/H421,0)*0.01196),"")</f>
        <v/>
      </c>
      <c r="AA421" s="68" t="s">
        <v>45</v>
      </c>
      <c r="AB421" s="69" t="s">
        <v>45</v>
      </c>
      <c r="AC421" s="478" t="s">
        <v>117</v>
      </c>
      <c r="AG421" s="78"/>
      <c r="AJ421" s="84" t="s">
        <v>121</v>
      </c>
      <c r="AK421" s="84">
        <v>42.24</v>
      </c>
      <c r="BB421" s="479" t="s">
        <v>66</v>
      </c>
      <c r="BM421" s="78">
        <f t="shared" ref="BM421:BM432" si="44">IFERROR(X421*I421/H421,"0")</f>
        <v>0</v>
      </c>
      <c r="BN421" s="78">
        <f t="shared" ref="BN421:BN432" si="45">IFERROR(Y421*I421/H421,"0")</f>
        <v>0</v>
      </c>
      <c r="BO421" s="78">
        <f t="shared" ref="BO421:BO432" si="46">IFERROR(1/J421*(X421/H421),"0")</f>
        <v>0</v>
      </c>
      <c r="BP421" s="78">
        <f t="shared" ref="BP421:BP432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3">
        <v>4607091383522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119</v>
      </c>
      <c r="L422" s="37" t="s">
        <v>45</v>
      </c>
      <c r="M422" s="38" t="s">
        <v>118</v>
      </c>
      <c r="N422" s="38"/>
      <c r="O422" s="37">
        <v>60</v>
      </c>
      <c r="P422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650</v>
      </c>
      <c r="B423" s="63" t="s">
        <v>653</v>
      </c>
      <c r="C423" s="36">
        <v>4301012210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119</v>
      </c>
      <c r="L423" s="37" t="s">
        <v>45</v>
      </c>
      <c r="M423" s="38" t="s">
        <v>118</v>
      </c>
      <c r="N423" s="38"/>
      <c r="O423" s="37">
        <v>60</v>
      </c>
      <c r="P423" s="829" t="s">
        <v>654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652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655</v>
      </c>
      <c r="B424" s="63" t="s">
        <v>656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119</v>
      </c>
      <c r="L424" s="37" t="s">
        <v>45</v>
      </c>
      <c r="M424" s="38" t="s">
        <v>118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657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119</v>
      </c>
      <c r="L425" s="37" t="s">
        <v>120</v>
      </c>
      <c r="M425" s="38" t="s">
        <v>93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121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16.5" customHeight="1" x14ac:dyDescent="0.25">
      <c r="A426" s="63" t="s">
        <v>661</v>
      </c>
      <c r="B426" s="63" t="s">
        <v>662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119</v>
      </c>
      <c r="L426" s="37" t="s">
        <v>45</v>
      </c>
      <c r="M426" s="38" t="s">
        <v>118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120</v>
      </c>
      <c r="M427" s="38" t="s">
        <v>118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121</v>
      </c>
      <c r="AK427" s="84">
        <v>42.24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84</v>
      </c>
      <c r="L428" s="37" t="s">
        <v>45</v>
      </c>
      <c r="M428" s="38" t="s">
        <v>93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124</v>
      </c>
      <c r="L429" s="37" t="s">
        <v>45</v>
      </c>
      <c r="M429" s="38" t="s">
        <v>118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124</v>
      </c>
      <c r="L430" s="37" t="s">
        <v>45</v>
      </c>
      <c r="M430" s="38" t="s">
        <v>118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84</v>
      </c>
      <c r="L431" s="37" t="s">
        <v>45</v>
      </c>
      <c r="M431" s="38" t="s">
        <v>118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675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124</v>
      </c>
      <c r="L432" s="37" t="s">
        <v>45</v>
      </c>
      <c r="M432" s="38" t="s">
        <v>118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x14ac:dyDescent="0.2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  <c r="L433" s="631"/>
      <c r="M433" s="631"/>
      <c r="N433" s="631"/>
      <c r="O433" s="632"/>
      <c r="P433" s="628" t="s">
        <v>40</v>
      </c>
      <c r="Q433" s="629"/>
      <c r="R433" s="629"/>
      <c r="S433" s="629"/>
      <c r="T433" s="629"/>
      <c r="U433" s="629"/>
      <c r="V433" s="630"/>
      <c r="W433" s="42" t="s">
        <v>39</v>
      </c>
      <c r="X433" s="43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  <c r="L434" s="631"/>
      <c r="M434" s="631"/>
      <c r="N434" s="631"/>
      <c r="O434" s="632"/>
      <c r="P434" s="628" t="s">
        <v>40</v>
      </c>
      <c r="Q434" s="629"/>
      <c r="R434" s="629"/>
      <c r="S434" s="629"/>
      <c r="T434" s="629"/>
      <c r="U434" s="629"/>
      <c r="V434" s="630"/>
      <c r="W434" s="42" t="s">
        <v>0</v>
      </c>
      <c r="X434" s="43">
        <f>IFERROR(SUM(X421:X432),"0")</f>
        <v>0</v>
      </c>
      <c r="Y434" s="43">
        <f>IFERROR(SUM(Y421:Y432),"0")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150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678</v>
      </c>
      <c r="B436" s="63" t="s">
        <v>679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93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680</v>
      </c>
      <c r="AG436" s="78"/>
      <c r="AJ436" s="84" t="s">
        <v>121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84</v>
      </c>
      <c r="L437" s="37" t="s">
        <v>45</v>
      </c>
      <c r="M437" s="38" t="s">
        <v>93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680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683</v>
      </c>
      <c r="B438" s="63" t="s">
        <v>684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124</v>
      </c>
      <c r="L438" s="37" t="s">
        <v>45</v>
      </c>
      <c r="M438" s="38" t="s">
        <v>118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680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2"/>
      <c r="P440" s="628" t="s">
        <v>40</v>
      </c>
      <c r="Q440" s="629"/>
      <c r="R440" s="629"/>
      <c r="S440" s="629"/>
      <c r="T440" s="629"/>
      <c r="U440" s="629"/>
      <c r="V440" s="63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685</v>
      </c>
      <c r="B442" s="63" t="s">
        <v>686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120</v>
      </c>
      <c r="M442" s="38" t="s">
        <v>118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48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687</v>
      </c>
      <c r="AG442" s="78"/>
      <c r="AJ442" s="84" t="s">
        <v>121</v>
      </c>
      <c r="AK442" s="84">
        <v>42.24</v>
      </c>
      <c r="BB442" s="509" t="s">
        <v>66</v>
      </c>
      <c r="BM442" s="78">
        <f t="shared" ref="BM442:BM447" si="49">IFERROR(X442*I442/H442,"0")</f>
        <v>0</v>
      </c>
      <c r="BN442" s="78">
        <f t="shared" ref="BN442:BN447" si="50">IFERROR(Y442*I442/H442,"0")</f>
        <v>0</v>
      </c>
      <c r="BO442" s="78">
        <f t="shared" ref="BO442:BO447" si="51">IFERROR(1/J442*(X442/H442),"0")</f>
        <v>0</v>
      </c>
      <c r="BP442" s="78">
        <f t="shared" ref="BP442:BP447" si="52">IFERROR(1/J442*(Y442/H442),"0")</f>
        <v>0</v>
      </c>
    </row>
    <row r="443" spans="1:68" ht="27" customHeight="1" x14ac:dyDescent="0.25">
      <c r="A443" s="63" t="s">
        <v>688</v>
      </c>
      <c r="B443" s="63" t="s">
        <v>689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120</v>
      </c>
      <c r="M443" s="38" t="s">
        <v>83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121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119</v>
      </c>
      <c r="L444" s="37" t="s">
        <v>120</v>
      </c>
      <c r="M444" s="38" t="s">
        <v>83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121</v>
      </c>
      <c r="AK444" s="84">
        <v>42.24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124</v>
      </c>
      <c r="L445" s="37" t="s">
        <v>125</v>
      </c>
      <c r="M445" s="38" t="s">
        <v>118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687</v>
      </c>
      <c r="AG445" s="78"/>
      <c r="AJ445" s="84" t="s">
        <v>121</v>
      </c>
      <c r="AK445" s="84">
        <v>57.6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124</v>
      </c>
      <c r="L446" s="37" t="s">
        <v>125</v>
      </c>
      <c r="M446" s="38" t="s">
        <v>83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121</v>
      </c>
      <c r="AK446" s="84">
        <v>57.6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ht="27" customHeight="1" x14ac:dyDescent="0.25">
      <c r="A447" s="63" t="s">
        <v>698</v>
      </c>
      <c r="B447" s="63" t="s">
        <v>699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124</v>
      </c>
      <c r="L447" s="37" t="s">
        <v>125</v>
      </c>
      <c r="M447" s="38" t="s">
        <v>83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121</v>
      </c>
      <c r="AK447" s="84">
        <v>57.6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x14ac:dyDescent="0.2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  <c r="L448" s="631"/>
      <c r="M448" s="631"/>
      <c r="N448" s="631"/>
      <c r="O448" s="632"/>
      <c r="P448" s="628" t="s">
        <v>40</v>
      </c>
      <c r="Q448" s="629"/>
      <c r="R448" s="629"/>
      <c r="S448" s="629"/>
      <c r="T448" s="629"/>
      <c r="U448" s="629"/>
      <c r="V448" s="630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2"/>
      <c r="P449" s="628" t="s">
        <v>40</v>
      </c>
      <c r="Q449" s="629"/>
      <c r="R449" s="629"/>
      <c r="S449" s="629"/>
      <c r="T449" s="629"/>
      <c r="U449" s="629"/>
      <c r="V449" s="630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89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119</v>
      </c>
      <c r="L451" s="37" t="s">
        <v>45</v>
      </c>
      <c r="M451" s="38" t="s">
        <v>93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700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119</v>
      </c>
      <c r="L452" s="37" t="s">
        <v>45</v>
      </c>
      <c r="M452" s="38" t="s">
        <v>93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700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84</v>
      </c>
      <c r="L453" s="37" t="s">
        <v>45</v>
      </c>
      <c r="M453" s="38" t="s">
        <v>93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  <c r="L455" s="631"/>
      <c r="M455" s="631"/>
      <c r="N455" s="631"/>
      <c r="O455" s="632"/>
      <c r="P455" s="628" t="s">
        <v>40</v>
      </c>
      <c r="Q455" s="629"/>
      <c r="R455" s="629"/>
      <c r="S455" s="629"/>
      <c r="T455" s="629"/>
      <c r="U455" s="629"/>
      <c r="V455" s="63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114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119</v>
      </c>
      <c r="L459" s="37" t="s">
        <v>45</v>
      </c>
      <c r="M459" s="38" t="s">
        <v>93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119</v>
      </c>
      <c r="L460" s="37" t="s">
        <v>45</v>
      </c>
      <c r="M460" s="38" t="s">
        <v>118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124</v>
      </c>
      <c r="L462" s="37" t="s">
        <v>45</v>
      </c>
      <c r="M462" s="38" t="s">
        <v>93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2"/>
      <c r="P464" s="628" t="s">
        <v>40</v>
      </c>
      <c r="Q464" s="629"/>
      <c r="R464" s="629"/>
      <c r="S464" s="629"/>
      <c r="T464" s="629"/>
      <c r="U464" s="629"/>
      <c r="V464" s="630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150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124</v>
      </c>
      <c r="L468" s="37" t="s">
        <v>45</v>
      </c>
      <c r="M468" s="38" t="s">
        <v>118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  <c r="L469" s="631"/>
      <c r="M469" s="631"/>
      <c r="N469" s="631"/>
      <c r="O469" s="632"/>
      <c r="P469" s="628" t="s">
        <v>40</v>
      </c>
      <c r="Q469" s="629"/>
      <c r="R469" s="629"/>
      <c r="S469" s="629"/>
      <c r="T469" s="629"/>
      <c r="U469" s="629"/>
      <c r="V469" s="630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  <c r="L470" s="631"/>
      <c r="M470" s="631"/>
      <c r="N470" s="631"/>
      <c r="O470" s="632"/>
      <c r="P470" s="628" t="s">
        <v>40</v>
      </c>
      <c r="Q470" s="629"/>
      <c r="R470" s="629"/>
      <c r="S470" s="629"/>
      <c r="T470" s="629"/>
      <c r="U470" s="629"/>
      <c r="V470" s="630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124</v>
      </c>
      <c r="L472" s="37" t="s">
        <v>45</v>
      </c>
      <c r="M472" s="38" t="s">
        <v>83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124</v>
      </c>
      <c r="L473" s="37" t="s">
        <v>45</v>
      </c>
      <c r="M473" s="38" t="s">
        <v>83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2"/>
      <c r="P474" s="628" t="s">
        <v>40</v>
      </c>
      <c r="Q474" s="629"/>
      <c r="R474" s="629"/>
      <c r="S474" s="629"/>
      <c r="T474" s="629"/>
      <c r="U474" s="629"/>
      <c r="V474" s="63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89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119</v>
      </c>
      <c r="L477" s="37" t="s">
        <v>120</v>
      </c>
      <c r="M477" s="38" t="s">
        <v>100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121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  <c r="L478" s="631"/>
      <c r="M478" s="631"/>
      <c r="N478" s="631"/>
      <c r="O478" s="632"/>
      <c r="P478" s="628" t="s">
        <v>40</v>
      </c>
      <c r="Q478" s="629"/>
      <c r="R478" s="629"/>
      <c r="S478" s="629"/>
      <c r="T478" s="629"/>
      <c r="U478" s="629"/>
      <c r="V478" s="630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  <c r="L479" s="631"/>
      <c r="M479" s="631"/>
      <c r="N479" s="631"/>
      <c r="O479" s="632"/>
      <c r="P479" s="628" t="s">
        <v>40</v>
      </c>
      <c r="Q479" s="629"/>
      <c r="R479" s="629"/>
      <c r="S479" s="629"/>
      <c r="T479" s="629"/>
      <c r="U479" s="629"/>
      <c r="V479" s="630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178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119</v>
      </c>
      <c r="L481" s="37" t="s">
        <v>45</v>
      </c>
      <c r="M481" s="38" t="s">
        <v>93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119</v>
      </c>
      <c r="L482" s="37" t="s">
        <v>45</v>
      </c>
      <c r="M482" s="38" t="s">
        <v>93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  <c r="L483" s="631"/>
      <c r="M483" s="631"/>
      <c r="N483" s="631"/>
      <c r="O483" s="632"/>
      <c r="P483" s="628" t="s">
        <v>40</v>
      </c>
      <c r="Q483" s="629"/>
      <c r="R483" s="629"/>
      <c r="S483" s="629"/>
      <c r="T483" s="629"/>
      <c r="U483" s="629"/>
      <c r="V483" s="63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  <c r="L484" s="631"/>
      <c r="M484" s="631"/>
      <c r="N484" s="631"/>
      <c r="O484" s="632"/>
      <c r="P484" s="628" t="s">
        <v>40</v>
      </c>
      <c r="Q484" s="629"/>
      <c r="R484" s="629"/>
      <c r="S484" s="629"/>
      <c r="T484" s="629"/>
      <c r="U484" s="629"/>
      <c r="V484" s="63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150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119</v>
      </c>
      <c r="L487" s="37" t="s">
        <v>45</v>
      </c>
      <c r="M487" s="38" t="s">
        <v>118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632"/>
      <c r="P488" s="628" t="s">
        <v>40</v>
      </c>
      <c r="Q488" s="629"/>
      <c r="R488" s="629"/>
      <c r="S488" s="629"/>
      <c r="T488" s="629"/>
      <c r="U488" s="629"/>
      <c r="V488" s="63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632"/>
      <c r="P489" s="628" t="s">
        <v>40</v>
      </c>
      <c r="Q489" s="629"/>
      <c r="R489" s="629"/>
      <c r="S489" s="629"/>
      <c r="T489" s="629"/>
      <c r="U489" s="629"/>
      <c r="V489" s="63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0</v>
      </c>
      <c r="Y490" s="43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  <c r="L493" s="631"/>
      <c r="M493" s="631"/>
      <c r="N493" s="631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  <c r="L494" s="631"/>
      <c r="M494" s="631"/>
      <c r="N494" s="631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0</v>
      </c>
      <c r="Y494" s="43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  <c r="L495" s="631"/>
      <c r="M495" s="631"/>
      <c r="N495" s="631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112</v>
      </c>
      <c r="D497" s="870" t="s">
        <v>112</v>
      </c>
      <c r="E497" s="870" t="s">
        <v>112</v>
      </c>
      <c r="F497" s="870" t="s">
        <v>112</v>
      </c>
      <c r="G497" s="870" t="s">
        <v>112</v>
      </c>
      <c r="H497" s="870" t="s">
        <v>112</v>
      </c>
      <c r="I497" s="870" t="s">
        <v>265</v>
      </c>
      <c r="J497" s="870" t="s">
        <v>265</v>
      </c>
      <c r="K497" s="870" t="s">
        <v>265</v>
      </c>
      <c r="L497" s="870" t="s">
        <v>265</v>
      </c>
      <c r="M497" s="870" t="s">
        <v>265</v>
      </c>
      <c r="N497" s="871"/>
      <c r="O497" s="870" t="s">
        <v>265</v>
      </c>
      <c r="P497" s="870" t="s">
        <v>265</v>
      </c>
      <c r="Q497" s="870" t="s">
        <v>265</v>
      </c>
      <c r="R497" s="870" t="s">
        <v>265</v>
      </c>
      <c r="S497" s="870" t="s">
        <v>542</v>
      </c>
      <c r="T497" s="870" t="s">
        <v>542</v>
      </c>
      <c r="U497" s="870" t="s">
        <v>596</v>
      </c>
      <c r="V497" s="870" t="s">
        <v>596</v>
      </c>
      <c r="W497" s="870" t="s">
        <v>596</v>
      </c>
      <c r="X497" s="85" t="s">
        <v>647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113</v>
      </c>
      <c r="D498" s="870" t="s">
        <v>131</v>
      </c>
      <c r="E498" s="870" t="s">
        <v>185</v>
      </c>
      <c r="F498" s="870" t="s">
        <v>204</v>
      </c>
      <c r="G498" s="870" t="s">
        <v>235</v>
      </c>
      <c r="H498" s="870" t="s">
        <v>112</v>
      </c>
      <c r="I498" s="870" t="s">
        <v>266</v>
      </c>
      <c r="J498" s="870" t="s">
        <v>310</v>
      </c>
      <c r="K498" s="870" t="s">
        <v>369</v>
      </c>
      <c r="L498" s="870" t="s">
        <v>411</v>
      </c>
      <c r="M498" s="870" t="s">
        <v>427</v>
      </c>
      <c r="N498" s="1"/>
      <c r="O498" s="870" t="s">
        <v>438</v>
      </c>
      <c r="P498" s="870" t="s">
        <v>447</v>
      </c>
      <c r="Q498" s="870" t="s">
        <v>460</v>
      </c>
      <c r="R498" s="870" t="s">
        <v>532</v>
      </c>
      <c r="S498" s="870" t="s">
        <v>543</v>
      </c>
      <c r="T498" s="870" t="s">
        <v>578</v>
      </c>
      <c r="U498" s="870" t="s">
        <v>597</v>
      </c>
      <c r="V498" s="870" t="s">
        <v>628</v>
      </c>
      <c r="W498" s="870" t="s">
        <v>643</v>
      </c>
      <c r="X498" s="870" t="s">
        <v>647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IFERROR(Y22*1,"0")+IFERROR(Y23*1,"0")+IFERROR(Y27*1,"0")+IFERROR(Y28*1,"0")+IFERROR(Y29*1,"0")+IFERROR(Y30*1,"0")+IFERROR(Y31*1,"0")+IFERROR(Y35*1,"0")</f>
        <v>0</v>
      </c>
      <c r="C500" s="52">
        <f>IFERROR(Y41*1,"0")+IFERROR(Y42*1,"0")+IFERROR(Y43*1,"0")+IFERROR(Y47*1,"0")</f>
        <v>0</v>
      </c>
      <c r="D500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52">
        <f>IFERROR(Y86*1,"0")+IFERROR(Y87*1,"0")+IFERROR(Y88*1,"0")+IFERROR(Y92*1,"0")+IFERROR(Y93*1,"0")+IFERROR(Y94*1,"0")+IFERROR(Y95*1,"0")</f>
        <v>0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52">
        <f>IFERROR(Y125*1,"0")+IFERROR(Y126*1,"0")+IFERROR(Y130*1,"0")+IFERROR(Y131*1,"0")+IFERROR(Y135*1,"0")+IFERROR(Y136*1,"0")</f>
        <v>0</v>
      </c>
      <c r="H500" s="52">
        <f>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500" s="52">
        <f>IFERROR(Y334*1,"0")+IFERROR(Y335*1,"0")+IFERROR(Y336*1,"0")</f>
        <v>0</v>
      </c>
      <c r="S500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500" s="52">
        <f>IFERROR(Y367*1,"0")+IFERROR(Y368*1,"0")+IFERROR(Y372*1,"0")+IFERROR(Y373*1,"0")+IFERROR(Y377*1,"0")+IFERROR(Y378*1,"0")+IFERROR(Y379*1,"0")</f>
        <v>0</v>
      </c>
      <c r="U500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52">
        <f>IFERROR(Y403*1,"0")+IFERROR(Y407*1,"0")+IFERROR(Y408*1,"0")+IFERROR(Y409*1,"0")+IFERROR(Y410*1,"0")</f>
        <v>0</v>
      </c>
      <c r="W500" s="52">
        <f>IFERROR(Y415*1,"0")</f>
        <v>0</v>
      </c>
      <c r="X500" s="52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Uwtm5+Pv/LNydHzhcePfCVc1g591WR62yFLVXHqljS65RPvf4uAo/7ci9pxmLtcEnzJ0lOcQQ1ftF5ahhJv0/w==" saltValue="NEaMHzryQYppNKE7v7IkI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42:X447 X436 X427 X425 X421 X415 X392 X389:X390 X377 X367 X358 X335:X336 X329 X327 X322:X323 X314:X316 X301:X303 X273 X233 X227:X228 X225 X219:X220 X214:X215 X212 X209:X210 X196:X203 X169 X167 X162:X165 X136 X131 X125 X120 X115:X116 X113 X107 X102 X100 X92 X86 X80 X61 X41:X4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xLDnVJxu7Wk8q1sGRf2n6k5a0ZuXAXovsjMEN+DsL2N0f4cV7AciLO1g97dFtGaWm2eMykumQOdGw3lFZTF14w==" saltValue="e45c5JcTla4bMQtfDBzo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