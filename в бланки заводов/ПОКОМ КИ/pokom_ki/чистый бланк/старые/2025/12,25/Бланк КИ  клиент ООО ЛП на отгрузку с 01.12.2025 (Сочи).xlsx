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97FC579-6A3F-4AED-8F9F-B9D93AC13C5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Z500" i="2" s="1"/>
  <c r="P487" i="2"/>
  <c r="X484" i="2"/>
  <c r="X483" i="2"/>
  <c r="BO482" i="2"/>
  <c r="BM482" i="2"/>
  <c r="Y482" i="2"/>
  <c r="Z482" i="2" s="1"/>
  <c r="P482" i="2"/>
  <c r="BO481" i="2"/>
  <c r="BM481" i="2"/>
  <c r="Y481" i="2"/>
  <c r="BP481" i="2" s="1"/>
  <c r="P481" i="2"/>
  <c r="X479" i="2"/>
  <c r="Y478" i="2"/>
  <c r="X478" i="2"/>
  <c r="BP477" i="2"/>
  <c r="BO477" i="2"/>
  <c r="BM477" i="2"/>
  <c r="Y477" i="2"/>
  <c r="P477" i="2"/>
  <c r="X475" i="2"/>
  <c r="X474" i="2"/>
  <c r="BO473" i="2"/>
  <c r="BM473" i="2"/>
  <c r="Y473" i="2"/>
  <c r="P473" i="2"/>
  <c r="BP472" i="2"/>
  <c r="BO472" i="2"/>
  <c r="BM472" i="2"/>
  <c r="Y472" i="2"/>
  <c r="BN472" i="2" s="1"/>
  <c r="P472" i="2"/>
  <c r="X470" i="2"/>
  <c r="X469" i="2"/>
  <c r="BO468" i="2"/>
  <c r="BM468" i="2"/>
  <c r="Y468" i="2"/>
  <c r="P468" i="2"/>
  <c r="BO467" i="2"/>
  <c r="BM467" i="2"/>
  <c r="Y467" i="2"/>
  <c r="BP467" i="2" s="1"/>
  <c r="P467" i="2"/>
  <c r="BO466" i="2"/>
  <c r="BM466" i="2"/>
  <c r="Y466" i="2"/>
  <c r="P466" i="2"/>
  <c r="X464" i="2"/>
  <c r="X463" i="2"/>
  <c r="BO462" i="2"/>
  <c r="BM462" i="2"/>
  <c r="Z462" i="2"/>
  <c r="Y462" i="2"/>
  <c r="BP462" i="2" s="1"/>
  <c r="P462" i="2"/>
  <c r="BO461" i="2"/>
  <c r="BM461" i="2"/>
  <c r="Y461" i="2"/>
  <c r="P461" i="2"/>
  <c r="BO460" i="2"/>
  <c r="BM460" i="2"/>
  <c r="Y460" i="2"/>
  <c r="Z460" i="2" s="1"/>
  <c r="P460" i="2"/>
  <c r="BO459" i="2"/>
  <c r="BM459" i="2"/>
  <c r="Y459" i="2"/>
  <c r="P459" i="2"/>
  <c r="X455" i="2"/>
  <c r="X454" i="2"/>
  <c r="BO453" i="2"/>
  <c r="BM453" i="2"/>
  <c r="Z453" i="2"/>
  <c r="Y453" i="2"/>
  <c r="BN453" i="2" s="1"/>
  <c r="P453" i="2"/>
  <c r="BO452" i="2"/>
  <c r="BM452" i="2"/>
  <c r="Y452" i="2"/>
  <c r="P452" i="2"/>
  <c r="BP451" i="2"/>
  <c r="BO451" i="2"/>
  <c r="BN451" i="2"/>
  <c r="BM451" i="2"/>
  <c r="Z451" i="2"/>
  <c r="Y451" i="2"/>
  <c r="P451" i="2"/>
  <c r="X449" i="2"/>
  <c r="X448" i="2"/>
  <c r="BO447" i="2"/>
  <c r="BM447" i="2"/>
  <c r="Y447" i="2"/>
  <c r="BP447" i="2" s="1"/>
  <c r="P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P443" i="2"/>
  <c r="BO443" i="2"/>
  <c r="BN443" i="2"/>
  <c r="BM443" i="2"/>
  <c r="Z443" i="2"/>
  <c r="Y443" i="2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BP437" i="2" s="1"/>
  <c r="P437" i="2"/>
  <c r="BP436" i="2"/>
  <c r="BO436" i="2"/>
  <c r="BN436" i="2"/>
  <c r="BM436" i="2"/>
  <c r="Z436" i="2"/>
  <c r="Y436" i="2"/>
  <c r="P436" i="2"/>
  <c r="X434" i="2"/>
  <c r="X433" i="2"/>
  <c r="BO432" i="2"/>
  <c r="BM432" i="2"/>
  <c r="Y432" i="2"/>
  <c r="Z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P428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P425" i="2" s="1"/>
  <c r="P425" i="2"/>
  <c r="BO424" i="2"/>
  <c r="BM424" i="2"/>
  <c r="Y424" i="2"/>
  <c r="P424" i="2"/>
  <c r="BP423" i="2"/>
  <c r="BO423" i="2"/>
  <c r="BN423" i="2"/>
  <c r="BM423" i="2"/>
  <c r="Z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X413" i="2"/>
  <c r="X412" i="2"/>
  <c r="BP411" i="2"/>
  <c r="BO411" i="2"/>
  <c r="BN411" i="2"/>
  <c r="BM411" i="2"/>
  <c r="Z411" i="2"/>
  <c r="Y411" i="2"/>
  <c r="P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Z404" i="2"/>
  <c r="Z405" i="2" s="1"/>
  <c r="Y404" i="2"/>
  <c r="P404" i="2"/>
  <c r="X401" i="2"/>
  <c r="X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BP390" i="2"/>
  <c r="BO390" i="2"/>
  <c r="BN390" i="2"/>
  <c r="BM390" i="2"/>
  <c r="Z390" i="2"/>
  <c r="Y390" i="2"/>
  <c r="P390" i="2"/>
  <c r="BO389" i="2"/>
  <c r="BM389" i="2"/>
  <c r="Y389" i="2"/>
  <c r="BP389" i="2" s="1"/>
  <c r="P389" i="2"/>
  <c r="BO388" i="2"/>
  <c r="BM388" i="2"/>
  <c r="Y388" i="2"/>
  <c r="P388" i="2"/>
  <c r="BO387" i="2"/>
  <c r="BM387" i="2"/>
  <c r="Y387" i="2"/>
  <c r="P387" i="2"/>
  <c r="BO386" i="2"/>
  <c r="BM386" i="2"/>
  <c r="Y386" i="2"/>
  <c r="P386" i="2"/>
  <c r="X382" i="2"/>
  <c r="X381" i="2"/>
  <c r="BP380" i="2"/>
  <c r="BO380" i="2"/>
  <c r="BM380" i="2"/>
  <c r="Y380" i="2"/>
  <c r="BN380" i="2" s="1"/>
  <c r="BO379" i="2"/>
  <c r="BM379" i="2"/>
  <c r="Y379" i="2"/>
  <c r="Z379" i="2" s="1"/>
  <c r="P379" i="2"/>
  <c r="BP378" i="2"/>
  <c r="BO378" i="2"/>
  <c r="BN378" i="2"/>
  <c r="BM378" i="2"/>
  <c r="Z378" i="2"/>
  <c r="Y378" i="2"/>
  <c r="P378" i="2"/>
  <c r="X376" i="2"/>
  <c r="X375" i="2"/>
  <c r="BO374" i="2"/>
  <c r="BM374" i="2"/>
  <c r="Y374" i="2"/>
  <c r="P374" i="2"/>
  <c r="BO373" i="2"/>
  <c r="BM373" i="2"/>
  <c r="Y373" i="2"/>
  <c r="P373" i="2"/>
  <c r="X371" i="2"/>
  <c r="X370" i="2"/>
  <c r="BO369" i="2"/>
  <c r="BM369" i="2"/>
  <c r="Y369" i="2"/>
  <c r="Y371" i="2" s="1"/>
  <c r="P369" i="2"/>
  <c r="BP368" i="2"/>
  <c r="BO368" i="2"/>
  <c r="BN368" i="2"/>
  <c r="BM368" i="2"/>
  <c r="Z368" i="2"/>
  <c r="Y368" i="2"/>
  <c r="P368" i="2"/>
  <c r="X365" i="2"/>
  <c r="X364" i="2"/>
  <c r="BO363" i="2"/>
  <c r="BM363" i="2"/>
  <c r="Y363" i="2"/>
  <c r="BP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Y361" i="2" s="1"/>
  <c r="P358" i="2"/>
  <c r="X356" i="2"/>
  <c r="X355" i="2"/>
  <c r="BO354" i="2"/>
  <c r="BM354" i="2"/>
  <c r="Y354" i="2"/>
  <c r="BP354" i="2" s="1"/>
  <c r="P354" i="2"/>
  <c r="BO353" i="2"/>
  <c r="BM353" i="2"/>
  <c r="Y353" i="2"/>
  <c r="P353" i="2"/>
  <c r="X351" i="2"/>
  <c r="X350" i="2"/>
  <c r="BO349" i="2"/>
  <c r="BM349" i="2"/>
  <c r="Y349" i="2"/>
  <c r="Z349" i="2" s="1"/>
  <c r="P349" i="2"/>
  <c r="BP348" i="2"/>
  <c r="BO348" i="2"/>
  <c r="BN348" i="2"/>
  <c r="BM348" i="2"/>
  <c r="Z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X339" i="2"/>
  <c r="X338" i="2"/>
  <c r="BO337" i="2"/>
  <c r="BM337" i="2"/>
  <c r="Y337" i="2"/>
  <c r="BP337" i="2" s="1"/>
  <c r="P337" i="2"/>
  <c r="BP336" i="2"/>
  <c r="BO336" i="2"/>
  <c r="BN336" i="2"/>
  <c r="BM336" i="2"/>
  <c r="Z336" i="2"/>
  <c r="Y336" i="2"/>
  <c r="P336" i="2"/>
  <c r="BO335" i="2"/>
  <c r="BM335" i="2"/>
  <c r="Y335" i="2"/>
  <c r="BP335" i="2" s="1"/>
  <c r="P335" i="2"/>
  <c r="X332" i="2"/>
  <c r="X331" i="2"/>
  <c r="BO330" i="2"/>
  <c r="BM330" i="2"/>
  <c r="Y330" i="2"/>
  <c r="P330" i="2"/>
  <c r="BO329" i="2"/>
  <c r="BM329" i="2"/>
  <c r="Z329" i="2"/>
  <c r="Y329" i="2"/>
  <c r="BP329" i="2" s="1"/>
  <c r="P329" i="2"/>
  <c r="BO328" i="2"/>
  <c r="BM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P323" i="2"/>
  <c r="BP322" i="2"/>
  <c r="BO322" i="2"/>
  <c r="BN322" i="2"/>
  <c r="BM322" i="2"/>
  <c r="Z322" i="2"/>
  <c r="Y322" i="2"/>
  <c r="P322" i="2"/>
  <c r="BO321" i="2"/>
  <c r="BM321" i="2"/>
  <c r="Y321" i="2"/>
  <c r="P321" i="2"/>
  <c r="X319" i="2"/>
  <c r="X318" i="2"/>
  <c r="BO317" i="2"/>
  <c r="BM317" i="2"/>
  <c r="Y317" i="2"/>
  <c r="P317" i="2"/>
  <c r="BO316" i="2"/>
  <c r="BM316" i="2"/>
  <c r="Y316" i="2"/>
  <c r="Z316" i="2" s="1"/>
  <c r="P316" i="2"/>
  <c r="BP315" i="2"/>
  <c r="BO315" i="2"/>
  <c r="BN315" i="2"/>
  <c r="BM315" i="2"/>
  <c r="Z315" i="2"/>
  <c r="Y315" i="2"/>
  <c r="P315" i="2"/>
  <c r="X313" i="2"/>
  <c r="X312" i="2"/>
  <c r="BO311" i="2"/>
  <c r="BM311" i="2"/>
  <c r="Y311" i="2"/>
  <c r="BN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P308" i="2"/>
  <c r="X306" i="2"/>
  <c r="X305" i="2"/>
  <c r="BO304" i="2"/>
  <c r="BM304" i="2"/>
  <c r="Y304" i="2"/>
  <c r="BP304" i="2" s="1"/>
  <c r="P304" i="2"/>
  <c r="BP303" i="2"/>
  <c r="BO303" i="2"/>
  <c r="BN303" i="2"/>
  <c r="BM303" i="2"/>
  <c r="Z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BO300" i="2"/>
  <c r="BM300" i="2"/>
  <c r="Y300" i="2"/>
  <c r="P300" i="2"/>
  <c r="BO299" i="2"/>
  <c r="BM299" i="2"/>
  <c r="Y299" i="2"/>
  <c r="BP299" i="2" s="1"/>
  <c r="P299" i="2"/>
  <c r="BO298" i="2"/>
  <c r="BM298" i="2"/>
  <c r="Z298" i="2"/>
  <c r="Y298" i="2"/>
  <c r="P298" i="2"/>
  <c r="X296" i="2"/>
  <c r="X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N291" i="2" s="1"/>
  <c r="P291" i="2"/>
  <c r="BP290" i="2"/>
  <c r="BO290" i="2"/>
  <c r="BN290" i="2"/>
  <c r="BM290" i="2"/>
  <c r="Z290" i="2"/>
  <c r="Y290" i="2"/>
  <c r="P290" i="2"/>
  <c r="BO289" i="2"/>
  <c r="BM289" i="2"/>
  <c r="Y289" i="2"/>
  <c r="P289" i="2"/>
  <c r="X286" i="2"/>
  <c r="X285" i="2"/>
  <c r="BO284" i="2"/>
  <c r="BM284" i="2"/>
  <c r="Y284" i="2"/>
  <c r="Z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P279" i="2"/>
  <c r="BO278" i="2"/>
  <c r="BM278" i="2"/>
  <c r="Y278" i="2"/>
  <c r="P278" i="2"/>
  <c r="Y275" i="2"/>
  <c r="X275" i="2"/>
  <c r="Y274" i="2"/>
  <c r="X274" i="2"/>
  <c r="BP273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P271" i="2"/>
  <c r="X268" i="2"/>
  <c r="X267" i="2"/>
  <c r="BO266" i="2"/>
  <c r="BM266" i="2"/>
  <c r="Y266" i="2"/>
  <c r="BN266" i="2" s="1"/>
  <c r="P266" i="2"/>
  <c r="BP265" i="2"/>
  <c r="BO265" i="2"/>
  <c r="BN265" i="2"/>
  <c r="BM265" i="2"/>
  <c r="Z265" i="2"/>
  <c r="Y265" i="2"/>
  <c r="P265" i="2"/>
  <c r="BO264" i="2"/>
  <c r="BM264" i="2"/>
  <c r="Y264" i="2"/>
  <c r="BP264" i="2" s="1"/>
  <c r="P264" i="2"/>
  <c r="BO263" i="2"/>
  <c r="BM263" i="2"/>
  <c r="Y263" i="2"/>
  <c r="Z263" i="2" s="1"/>
  <c r="P263" i="2"/>
  <c r="X260" i="2"/>
  <c r="X259" i="2"/>
  <c r="BO258" i="2"/>
  <c r="BM258" i="2"/>
  <c r="Y258" i="2"/>
  <c r="BP258" i="2" s="1"/>
  <c r="P258" i="2"/>
  <c r="BP257" i="2"/>
  <c r="BO257" i="2"/>
  <c r="BN257" i="2"/>
  <c r="BM257" i="2"/>
  <c r="Z257" i="2"/>
  <c r="Y257" i="2"/>
  <c r="P257" i="2"/>
  <c r="BO256" i="2"/>
  <c r="BM256" i="2"/>
  <c r="Y256" i="2"/>
  <c r="BP256" i="2" s="1"/>
  <c r="P256" i="2"/>
  <c r="BO255" i="2"/>
  <c r="BM255" i="2"/>
  <c r="Y255" i="2"/>
  <c r="P255" i="2"/>
  <c r="BO254" i="2"/>
  <c r="BM254" i="2"/>
  <c r="Y254" i="2"/>
  <c r="P254" i="2"/>
  <c r="X251" i="2"/>
  <c r="X250" i="2"/>
  <c r="BO249" i="2"/>
  <c r="BM249" i="2"/>
  <c r="Y249" i="2"/>
  <c r="P249" i="2"/>
  <c r="BO248" i="2"/>
  <c r="BM248" i="2"/>
  <c r="Y248" i="2"/>
  <c r="Z248" i="2" s="1"/>
  <c r="P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Y242" i="2" s="1"/>
  <c r="P241" i="2"/>
  <c r="X239" i="2"/>
  <c r="X238" i="2"/>
  <c r="BO237" i="2"/>
  <c r="BM237" i="2"/>
  <c r="Y237" i="2"/>
  <c r="BN237" i="2" s="1"/>
  <c r="P237" i="2"/>
  <c r="X235" i="2"/>
  <c r="X234" i="2"/>
  <c r="BO233" i="2"/>
  <c r="BM233" i="2"/>
  <c r="Y233" i="2"/>
  <c r="BP233" i="2" s="1"/>
  <c r="P233" i="2"/>
  <c r="BO232" i="2"/>
  <c r="BM232" i="2"/>
  <c r="Y232" i="2"/>
  <c r="Z232" i="2" s="1"/>
  <c r="P232" i="2"/>
  <c r="BP231" i="2"/>
  <c r="BO231" i="2"/>
  <c r="BN231" i="2"/>
  <c r="BM231" i="2"/>
  <c r="Z231" i="2"/>
  <c r="Y231" i="2"/>
  <c r="P231" i="2"/>
  <c r="BO230" i="2"/>
  <c r="BM230" i="2"/>
  <c r="Y230" i="2"/>
  <c r="BP230" i="2" s="1"/>
  <c r="P230" i="2"/>
  <c r="BO229" i="2"/>
  <c r="BM229" i="2"/>
  <c r="Y229" i="2"/>
  <c r="P229" i="2"/>
  <c r="BO228" i="2"/>
  <c r="BM228" i="2"/>
  <c r="Y228" i="2"/>
  <c r="BN228" i="2" s="1"/>
  <c r="P228" i="2"/>
  <c r="BO227" i="2"/>
  <c r="BM227" i="2"/>
  <c r="Y227" i="2"/>
  <c r="BN227" i="2" s="1"/>
  <c r="P227" i="2"/>
  <c r="BP226" i="2"/>
  <c r="BO226" i="2"/>
  <c r="BN226" i="2"/>
  <c r="BM226" i="2"/>
  <c r="Z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X221" i="2"/>
  <c r="X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Z214" i="2" s="1"/>
  <c r="P214" i="2"/>
  <c r="BP213" i="2"/>
  <c r="BO213" i="2"/>
  <c r="BN213" i="2"/>
  <c r="BM213" i="2"/>
  <c r="Z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P201" i="2"/>
  <c r="BP200" i="2"/>
  <c r="BO200" i="2"/>
  <c r="BN200" i="2"/>
  <c r="BM200" i="2"/>
  <c r="Z200" i="2"/>
  <c r="Y200" i="2"/>
  <c r="P200" i="2"/>
  <c r="BO199" i="2"/>
  <c r="BM199" i="2"/>
  <c r="Y199" i="2"/>
  <c r="Z199" i="2" s="1"/>
  <c r="P199" i="2"/>
  <c r="BO198" i="2"/>
  <c r="BM198" i="2"/>
  <c r="Y198" i="2"/>
  <c r="BP198" i="2" s="1"/>
  <c r="P198" i="2"/>
  <c r="BP197" i="2"/>
  <c r="BO197" i="2"/>
  <c r="BM197" i="2"/>
  <c r="Y197" i="2"/>
  <c r="BN197" i="2" s="1"/>
  <c r="P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P190" i="2"/>
  <c r="BO190" i="2"/>
  <c r="BN190" i="2"/>
  <c r="BM190" i="2"/>
  <c r="Z190" i="2"/>
  <c r="Y190" i="2"/>
  <c r="P190" i="2"/>
  <c r="X188" i="2"/>
  <c r="X187" i="2"/>
  <c r="BO186" i="2"/>
  <c r="BM186" i="2"/>
  <c r="Y186" i="2"/>
  <c r="P186" i="2"/>
  <c r="BO185" i="2"/>
  <c r="BM185" i="2"/>
  <c r="Y185" i="2"/>
  <c r="Z185" i="2" s="1"/>
  <c r="P185" i="2"/>
  <c r="X182" i="2"/>
  <c r="X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Z175" i="2" s="1"/>
  <c r="P175" i="2"/>
  <c r="BP174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BO168" i="2"/>
  <c r="BM168" i="2"/>
  <c r="Y168" i="2"/>
  <c r="P168" i="2"/>
  <c r="BP167" i="2"/>
  <c r="BO167" i="2"/>
  <c r="BN167" i="2"/>
  <c r="BM167" i="2"/>
  <c r="Z167" i="2"/>
  <c r="Y167" i="2"/>
  <c r="P167" i="2"/>
  <c r="BO166" i="2"/>
  <c r="BM166" i="2"/>
  <c r="Y166" i="2"/>
  <c r="BN166" i="2" s="1"/>
  <c r="P166" i="2"/>
  <c r="BO165" i="2"/>
  <c r="BM165" i="2"/>
  <c r="Y165" i="2"/>
  <c r="BP164" i="2"/>
  <c r="BO164" i="2"/>
  <c r="BN164" i="2"/>
  <c r="BM164" i="2"/>
  <c r="Z164" i="2"/>
  <c r="Y164" i="2"/>
  <c r="P164" i="2"/>
  <c r="BO163" i="2"/>
  <c r="BM163" i="2"/>
  <c r="Y163" i="2"/>
  <c r="Z163" i="2" s="1"/>
  <c r="P163" i="2"/>
  <c r="BO162" i="2"/>
  <c r="BM162" i="2"/>
  <c r="Y162" i="2"/>
  <c r="BP162" i="2" s="1"/>
  <c r="P162" i="2"/>
  <c r="BO161" i="2"/>
  <c r="BM161" i="2"/>
  <c r="Y161" i="2"/>
  <c r="BN161" i="2" s="1"/>
  <c r="P161" i="2"/>
  <c r="X159" i="2"/>
  <c r="X158" i="2"/>
  <c r="BO157" i="2"/>
  <c r="BM157" i="2"/>
  <c r="Y157" i="2"/>
  <c r="Y158" i="2" s="1"/>
  <c r="P157" i="2"/>
  <c r="X153" i="2"/>
  <c r="X152" i="2"/>
  <c r="BO151" i="2"/>
  <c r="BM151" i="2"/>
  <c r="Y151" i="2"/>
  <c r="P151" i="2"/>
  <c r="X149" i="2"/>
  <c r="X148" i="2"/>
  <c r="BO147" i="2"/>
  <c r="BM147" i="2"/>
  <c r="Y147" i="2"/>
  <c r="BN147" i="2" s="1"/>
  <c r="P147" i="2"/>
  <c r="BO146" i="2"/>
  <c r="BM146" i="2"/>
  <c r="Y146" i="2"/>
  <c r="Z146" i="2" s="1"/>
  <c r="P146" i="2"/>
  <c r="BO145" i="2"/>
  <c r="BM145" i="2"/>
  <c r="Y145" i="2"/>
  <c r="Z145" i="2" s="1"/>
  <c r="P145" i="2"/>
  <c r="X143" i="2"/>
  <c r="X142" i="2"/>
  <c r="BO141" i="2"/>
  <c r="BM141" i="2"/>
  <c r="Y141" i="2"/>
  <c r="P141" i="2"/>
  <c r="BP140" i="2"/>
  <c r="BO140" i="2"/>
  <c r="BN140" i="2"/>
  <c r="BM140" i="2"/>
  <c r="Z140" i="2"/>
  <c r="Y140" i="2"/>
  <c r="P140" i="2"/>
  <c r="X137" i="2"/>
  <c r="X136" i="2"/>
  <c r="BO135" i="2"/>
  <c r="BM135" i="2"/>
  <c r="Y135" i="2"/>
  <c r="Z135" i="2" s="1"/>
  <c r="P135" i="2"/>
  <c r="BP134" i="2"/>
  <c r="BO134" i="2"/>
  <c r="BM134" i="2"/>
  <c r="Y134" i="2"/>
  <c r="BN134" i="2" s="1"/>
  <c r="P134" i="2"/>
  <c r="X132" i="2"/>
  <c r="Y131" i="2"/>
  <c r="X131" i="2"/>
  <c r="BP130" i="2"/>
  <c r="BO130" i="2"/>
  <c r="BN130" i="2"/>
  <c r="BM130" i="2"/>
  <c r="Z130" i="2"/>
  <c r="Y130" i="2"/>
  <c r="P130" i="2"/>
  <c r="BO129" i="2"/>
  <c r="BM129" i="2"/>
  <c r="Y129" i="2"/>
  <c r="BP129" i="2" s="1"/>
  <c r="P129" i="2"/>
  <c r="X127" i="2"/>
  <c r="Y126" i="2"/>
  <c r="X126" i="2"/>
  <c r="BP125" i="2"/>
  <c r="BO125" i="2"/>
  <c r="BN125" i="2"/>
  <c r="BM125" i="2"/>
  <c r="Z125" i="2"/>
  <c r="Y125" i="2"/>
  <c r="P125" i="2"/>
  <c r="BO124" i="2"/>
  <c r="BM124" i="2"/>
  <c r="Z124" i="2"/>
  <c r="Z126" i="2" s="1"/>
  <c r="Y124" i="2"/>
  <c r="P124" i="2"/>
  <c r="X121" i="2"/>
  <c r="Y120" i="2"/>
  <c r="X120" i="2"/>
  <c r="BP119" i="2"/>
  <c r="BO119" i="2"/>
  <c r="BN119" i="2"/>
  <c r="BM119" i="2"/>
  <c r="Z119" i="2"/>
  <c r="Z120" i="2" s="1"/>
  <c r="Y119" i="2"/>
  <c r="Y121" i="2" s="1"/>
  <c r="P119" i="2"/>
  <c r="X117" i="2"/>
  <c r="X116" i="2"/>
  <c r="BO115" i="2"/>
  <c r="BM115" i="2"/>
  <c r="Y115" i="2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Z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P106" i="2"/>
  <c r="BO106" i="2"/>
  <c r="BM106" i="2"/>
  <c r="Y106" i="2"/>
  <c r="P106" i="2"/>
  <c r="X104" i="2"/>
  <c r="X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F500" i="2" s="1"/>
  <c r="P99" i="2"/>
  <c r="X96" i="2"/>
  <c r="X95" i="2"/>
  <c r="BO94" i="2"/>
  <c r="BM94" i="2"/>
  <c r="Y94" i="2"/>
  <c r="P94" i="2"/>
  <c r="BP93" i="2"/>
  <c r="BO93" i="2"/>
  <c r="BN93" i="2"/>
  <c r="BM93" i="2"/>
  <c r="Z93" i="2"/>
  <c r="Y93" i="2"/>
  <c r="P93" i="2"/>
  <c r="BO92" i="2"/>
  <c r="BM92" i="2"/>
  <c r="Y92" i="2"/>
  <c r="Z92" i="2" s="1"/>
  <c r="P92" i="2"/>
  <c r="BO91" i="2"/>
  <c r="BM91" i="2"/>
  <c r="Y91" i="2"/>
  <c r="Y96" i="2" s="1"/>
  <c r="P91" i="2"/>
  <c r="X89" i="2"/>
  <c r="X88" i="2"/>
  <c r="BO87" i="2"/>
  <c r="BM87" i="2"/>
  <c r="Y87" i="2"/>
  <c r="BN87" i="2" s="1"/>
  <c r="P87" i="2"/>
  <c r="BO86" i="2"/>
  <c r="BM86" i="2"/>
  <c r="Y86" i="2"/>
  <c r="Z86" i="2" s="1"/>
  <c r="P86" i="2"/>
  <c r="BO85" i="2"/>
  <c r="BM85" i="2"/>
  <c r="Y85" i="2"/>
  <c r="E500" i="2" s="1"/>
  <c r="P85" i="2"/>
  <c r="Y82" i="2"/>
  <c r="X82" i="2"/>
  <c r="Y81" i="2"/>
  <c r="X81" i="2"/>
  <c r="BP80" i="2"/>
  <c r="BO80" i="2"/>
  <c r="BN80" i="2"/>
  <c r="BM80" i="2"/>
  <c r="Z80" i="2"/>
  <c r="Y80" i="2"/>
  <c r="P80" i="2"/>
  <c r="BO79" i="2"/>
  <c r="BM79" i="2"/>
  <c r="Y79" i="2"/>
  <c r="BN79" i="2" s="1"/>
  <c r="P79" i="2"/>
  <c r="X77" i="2"/>
  <c r="X76" i="2"/>
  <c r="BO75" i="2"/>
  <c r="BM75" i="2"/>
  <c r="Y75" i="2"/>
  <c r="Z75" i="2" s="1"/>
  <c r="P75" i="2"/>
  <c r="BO74" i="2"/>
  <c r="BM74" i="2"/>
  <c r="Y74" i="2"/>
  <c r="Z74" i="2" s="1"/>
  <c r="P74" i="2"/>
  <c r="BO73" i="2"/>
  <c r="BM73" i="2"/>
  <c r="Y73" i="2"/>
  <c r="BP73" i="2" s="1"/>
  <c r="P73" i="2"/>
  <c r="BP72" i="2"/>
  <c r="BO72" i="2"/>
  <c r="BM72" i="2"/>
  <c r="Y72" i="2"/>
  <c r="BN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X64" i="2"/>
  <c r="X63" i="2"/>
  <c r="BO62" i="2"/>
  <c r="BM62" i="2"/>
  <c r="Y62" i="2"/>
  <c r="BP62" i="2" s="1"/>
  <c r="P62" i="2"/>
  <c r="BO61" i="2"/>
  <c r="BM61" i="2"/>
  <c r="Y61" i="2"/>
  <c r="P61" i="2"/>
  <c r="BO60" i="2"/>
  <c r="BM60" i="2"/>
  <c r="Y60" i="2"/>
  <c r="BP60" i="2" s="1"/>
  <c r="P60" i="2"/>
  <c r="X58" i="2"/>
  <c r="X57" i="2"/>
  <c r="BO56" i="2"/>
  <c r="BM56" i="2"/>
  <c r="Y56" i="2"/>
  <c r="BP56" i="2" s="1"/>
  <c r="P56" i="2"/>
  <c r="BP55" i="2"/>
  <c r="BO55" i="2"/>
  <c r="BM55" i="2"/>
  <c r="Y55" i="2"/>
  <c r="BN55" i="2" s="1"/>
  <c r="P55" i="2"/>
  <c r="BO54" i="2"/>
  <c r="BM54" i="2"/>
  <c r="Y54" i="2"/>
  <c r="BN54" i="2" s="1"/>
  <c r="P54" i="2"/>
  <c r="BO53" i="2"/>
  <c r="BM53" i="2"/>
  <c r="Y53" i="2"/>
  <c r="Z53" i="2" s="1"/>
  <c r="P53" i="2"/>
  <c r="BO52" i="2"/>
  <c r="BM52" i="2"/>
  <c r="Y52" i="2"/>
  <c r="BN52" i="2" s="1"/>
  <c r="P52" i="2"/>
  <c r="BO51" i="2"/>
  <c r="BM51" i="2"/>
  <c r="Y51" i="2"/>
  <c r="Z51" i="2" s="1"/>
  <c r="P51" i="2"/>
  <c r="Y48" i="2"/>
  <c r="X48" i="2"/>
  <c r="X47" i="2"/>
  <c r="BO46" i="2"/>
  <c r="BM46" i="2"/>
  <c r="Y46" i="2"/>
  <c r="Y47" i="2" s="1"/>
  <c r="P46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C500" i="2" s="1"/>
  <c r="P40" i="2"/>
  <c r="X36" i="2"/>
  <c r="X35" i="2"/>
  <c r="BO34" i="2"/>
  <c r="BM34" i="2"/>
  <c r="Y34" i="2"/>
  <c r="Y36" i="2" s="1"/>
  <c r="P34" i="2"/>
  <c r="X32" i="2"/>
  <c r="X31" i="2"/>
  <c r="BP30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BO26" i="2"/>
  <c r="BM26" i="2"/>
  <c r="Y26" i="2"/>
  <c r="Y32" i="2" s="1"/>
  <c r="P26" i="2"/>
  <c r="X24" i="2"/>
  <c r="X23" i="2"/>
  <c r="BO22" i="2"/>
  <c r="BM22" i="2"/>
  <c r="Y22" i="2"/>
  <c r="Y23" i="2" s="1"/>
  <c r="P22" i="2"/>
  <c r="H10" i="2"/>
  <c r="A9" i="2"/>
  <c r="F10" i="2" s="1"/>
  <c r="D7" i="2"/>
  <c r="Q6" i="2"/>
  <c r="P2" i="2"/>
  <c r="H9" i="2" l="1"/>
  <c r="A10" i="2"/>
  <c r="X490" i="2"/>
  <c r="Y64" i="2"/>
  <c r="BP67" i="2"/>
  <c r="BN86" i="2"/>
  <c r="BP86" i="2"/>
  <c r="BN99" i="2"/>
  <c r="BP99" i="2"/>
  <c r="BP101" i="2"/>
  <c r="BN145" i="2"/>
  <c r="BP145" i="2"/>
  <c r="BP147" i="2"/>
  <c r="Y159" i="2"/>
  <c r="BP161" i="2"/>
  <c r="BN198" i="2"/>
  <c r="Y204" i="2"/>
  <c r="Y243" i="2"/>
  <c r="Z278" i="2"/>
  <c r="Y281" i="2"/>
  <c r="Y280" i="2"/>
  <c r="BP279" i="2"/>
  <c r="BN279" i="2"/>
  <c r="Z279" i="2"/>
  <c r="BP300" i="2"/>
  <c r="BN300" i="2"/>
  <c r="Z300" i="2"/>
  <c r="BN317" i="2"/>
  <c r="BP317" i="2"/>
  <c r="BP330" i="2"/>
  <c r="BN330" i="2"/>
  <c r="Z330" i="2"/>
  <c r="Y381" i="2"/>
  <c r="Y382" i="2"/>
  <c r="BP387" i="2"/>
  <c r="BN387" i="2"/>
  <c r="Z387" i="2"/>
  <c r="BP408" i="2"/>
  <c r="BN408" i="2"/>
  <c r="Z408" i="2"/>
  <c r="BP426" i="2"/>
  <c r="BN426" i="2"/>
  <c r="Z426" i="2"/>
  <c r="BN438" i="2"/>
  <c r="BP438" i="2"/>
  <c r="BP452" i="2"/>
  <c r="Z452" i="2"/>
  <c r="Z454" i="2" s="1"/>
  <c r="BP468" i="2"/>
  <c r="BN468" i="2"/>
  <c r="Z468" i="2"/>
  <c r="F9" i="2"/>
  <c r="J9" i="2"/>
  <c r="Y24" i="2"/>
  <c r="BN28" i="2"/>
  <c r="BP28" i="2"/>
  <c r="Z40" i="2"/>
  <c r="BN40" i="2"/>
  <c r="BP40" i="2"/>
  <c r="BN42" i="2"/>
  <c r="BP42" i="2"/>
  <c r="Y43" i="2"/>
  <c r="Y44" i="2"/>
  <c r="BN53" i="2"/>
  <c r="BP53" i="2"/>
  <c r="Z60" i="2"/>
  <c r="BN60" i="2"/>
  <c r="Z67" i="2"/>
  <c r="Z69" i="2" s="1"/>
  <c r="Z68" i="2"/>
  <c r="BN68" i="2"/>
  <c r="Z73" i="2"/>
  <c r="BN73" i="2"/>
  <c r="BN75" i="2"/>
  <c r="BP75" i="2"/>
  <c r="Y76" i="2"/>
  <c r="Y77" i="2"/>
  <c r="Z91" i="2"/>
  <c r="BN91" i="2"/>
  <c r="BP91" i="2"/>
  <c r="Z101" i="2"/>
  <c r="Z102" i="2"/>
  <c r="BN102" i="2"/>
  <c r="Y110" i="2"/>
  <c r="Z107" i="2"/>
  <c r="BN107" i="2"/>
  <c r="Z114" i="2"/>
  <c r="BN114" i="2"/>
  <c r="G500" i="2"/>
  <c r="BP124" i="2"/>
  <c r="Y127" i="2"/>
  <c r="Z147" i="2"/>
  <c r="Z157" i="2"/>
  <c r="Z158" i="2" s="1"/>
  <c r="BN157" i="2"/>
  <c r="BP157" i="2"/>
  <c r="Z161" i="2"/>
  <c r="Z162" i="2"/>
  <c r="BN162" i="2"/>
  <c r="Z170" i="2"/>
  <c r="BN170" i="2"/>
  <c r="Y177" i="2"/>
  <c r="BN185" i="2"/>
  <c r="BP185" i="2"/>
  <c r="Z195" i="2"/>
  <c r="BN195" i="2"/>
  <c r="BP207" i="2"/>
  <c r="Z210" i="2"/>
  <c r="BN210" i="2"/>
  <c r="BP228" i="2"/>
  <c r="Z241" i="2"/>
  <c r="Z242" i="2" s="1"/>
  <c r="BN241" i="2"/>
  <c r="BP241" i="2"/>
  <c r="Z246" i="2"/>
  <c r="BN246" i="2"/>
  <c r="BN248" i="2"/>
  <c r="BP248" i="2"/>
  <c r="L500" i="2"/>
  <c r="BP254" i="2"/>
  <c r="BN254" i="2"/>
  <c r="Z254" i="2"/>
  <c r="BP271" i="2"/>
  <c r="BN271" i="2"/>
  <c r="Z271" i="2"/>
  <c r="BP293" i="2"/>
  <c r="BN293" i="2"/>
  <c r="Z293" i="2"/>
  <c r="BP310" i="2"/>
  <c r="BN310" i="2"/>
  <c r="Z310" i="2"/>
  <c r="Y319" i="2"/>
  <c r="BP345" i="2"/>
  <c r="BN345" i="2"/>
  <c r="Z345" i="2"/>
  <c r="Y376" i="2"/>
  <c r="BP373" i="2"/>
  <c r="BN373" i="2"/>
  <c r="Z373" i="2"/>
  <c r="BN392" i="2"/>
  <c r="BP392" i="2"/>
  <c r="BN416" i="2"/>
  <c r="Y418" i="2"/>
  <c r="Y417" i="2"/>
  <c r="BP416" i="2"/>
  <c r="BP431" i="2"/>
  <c r="BN431" i="2"/>
  <c r="Z431" i="2"/>
  <c r="Y440" i="2"/>
  <c r="BP446" i="2"/>
  <c r="BN446" i="2"/>
  <c r="Z446" i="2"/>
  <c r="Y454" i="2"/>
  <c r="Y455" i="2"/>
  <c r="Y463" i="2"/>
  <c r="Y464" i="2"/>
  <c r="BN460" i="2"/>
  <c r="BP460" i="2"/>
  <c r="BP461" i="2"/>
  <c r="Z461" i="2"/>
  <c r="BN477" i="2"/>
  <c r="Y479" i="2"/>
  <c r="Z477" i="2"/>
  <c r="Z478" i="2" s="1"/>
  <c r="Y260" i="2"/>
  <c r="BN284" i="2"/>
  <c r="BP284" i="2"/>
  <c r="Y285" i="2"/>
  <c r="Y286" i="2"/>
  <c r="Y296" i="2"/>
  <c r="Y318" i="2"/>
  <c r="Y325" i="2"/>
  <c r="Y326" i="2"/>
  <c r="Y339" i="2"/>
  <c r="Y375" i="2"/>
  <c r="V500" i="2"/>
  <c r="Y412" i="2"/>
  <c r="Y439" i="2"/>
  <c r="BP453" i="2"/>
  <c r="Y469" i="2"/>
  <c r="BN467" i="2"/>
  <c r="BN482" i="2"/>
  <c r="BP482" i="2"/>
  <c r="Y483" i="2"/>
  <c r="Y400" i="2"/>
  <c r="BP398" i="2"/>
  <c r="BN398" i="2"/>
  <c r="Z398" i="2"/>
  <c r="Y153" i="2"/>
  <c r="Y152" i="2"/>
  <c r="BN151" i="2"/>
  <c r="BP151" i="2"/>
  <c r="Z151" i="2"/>
  <c r="Z152" i="2" s="1"/>
  <c r="BP388" i="2"/>
  <c r="BN388" i="2"/>
  <c r="Z388" i="2"/>
  <c r="Y220" i="2"/>
  <c r="BP218" i="2"/>
  <c r="Y221" i="2"/>
  <c r="Y182" i="2"/>
  <c r="Y181" i="2"/>
  <c r="BP180" i="2"/>
  <c r="BN180" i="2"/>
  <c r="BN208" i="2"/>
  <c r="Z218" i="2"/>
  <c r="BP229" i="2"/>
  <c r="BN229" i="2"/>
  <c r="Z180" i="2"/>
  <c r="Z181" i="2" s="1"/>
  <c r="Z229" i="2"/>
  <c r="Y449" i="2"/>
  <c r="BN218" i="2"/>
  <c r="Y351" i="2"/>
  <c r="Y350" i="2"/>
  <c r="S500" i="2"/>
  <c r="BN343" i="2"/>
  <c r="BP343" i="2"/>
  <c r="BP165" i="2"/>
  <c r="I500" i="2"/>
  <c r="BN328" i="2"/>
  <c r="Z328" i="2"/>
  <c r="Z331" i="2" s="1"/>
  <c r="BP328" i="2"/>
  <c r="Y332" i="2"/>
  <c r="Y331" i="2"/>
  <c r="Z343" i="2"/>
  <c r="Y355" i="2"/>
  <c r="BP353" i="2"/>
  <c r="BN353" i="2"/>
  <c r="Y356" i="2"/>
  <c r="Z165" i="2"/>
  <c r="Z353" i="2"/>
  <c r="BN393" i="2"/>
  <c r="BP393" i="2"/>
  <c r="Y395" i="2"/>
  <c r="Z393" i="2"/>
  <c r="BN56" i="2"/>
  <c r="Y31" i="2"/>
  <c r="BN165" i="2"/>
  <c r="Y178" i="2"/>
  <c r="BP175" i="2"/>
  <c r="Y216" i="2"/>
  <c r="Y401" i="2"/>
  <c r="BP424" i="2"/>
  <c r="BN424" i="2"/>
  <c r="Z424" i="2"/>
  <c r="Z56" i="2"/>
  <c r="X491" i="2"/>
  <c r="BN168" i="2"/>
  <c r="Z168" i="2"/>
  <c r="BP168" i="2"/>
  <c r="BP141" i="2"/>
  <c r="Y142" i="2"/>
  <c r="Y143" i="2"/>
  <c r="BN141" i="2"/>
  <c r="H500" i="2"/>
  <c r="Z26" i="2"/>
  <c r="BP100" i="2"/>
  <c r="Y104" i="2"/>
  <c r="Y103" i="2"/>
  <c r="BN100" i="2"/>
  <c r="Z141" i="2"/>
  <c r="Z142" i="2" s="1"/>
  <c r="Y235" i="2"/>
  <c r="Y306" i="2"/>
  <c r="Y305" i="2"/>
  <c r="BN298" i="2"/>
  <c r="BP298" i="2"/>
  <c r="Z100" i="2"/>
  <c r="BN175" i="2"/>
  <c r="BN191" i="2"/>
  <c r="Z191" i="2"/>
  <c r="Z192" i="2" s="1"/>
  <c r="Y193" i="2"/>
  <c r="Y192" i="2"/>
  <c r="BP191" i="2"/>
  <c r="Y313" i="2"/>
  <c r="BP308" i="2"/>
  <c r="Y312" i="2"/>
  <c r="BN308" i="2"/>
  <c r="BP323" i="2"/>
  <c r="BN323" i="2"/>
  <c r="Y148" i="2"/>
  <c r="BP146" i="2"/>
  <c r="BN146" i="2"/>
  <c r="Y58" i="2"/>
  <c r="D500" i="2"/>
  <c r="BP51" i="2"/>
  <c r="Y57" i="2"/>
  <c r="BN51" i="2"/>
  <c r="Y117" i="2"/>
  <c r="Y116" i="2"/>
  <c r="BP112" i="2"/>
  <c r="Y137" i="2"/>
  <c r="Y136" i="2"/>
  <c r="BP135" i="2"/>
  <c r="Z308" i="2"/>
  <c r="Z323" i="2"/>
  <c r="BN66" i="2"/>
  <c r="BP66" i="2"/>
  <c r="Y70" i="2"/>
  <c r="Y69" i="2"/>
  <c r="Z115" i="2"/>
  <c r="BP115" i="2"/>
  <c r="BN115" i="2"/>
  <c r="BP224" i="2"/>
  <c r="BN224" i="2"/>
  <c r="K500" i="2"/>
  <c r="Y234" i="2"/>
  <c r="BP263" i="2"/>
  <c r="Y268" i="2"/>
  <c r="Y267" i="2"/>
  <c r="BN263" i="2"/>
  <c r="M500" i="2"/>
  <c r="BN26" i="2"/>
  <c r="BP26" i="2"/>
  <c r="X492" i="2"/>
  <c r="BN201" i="2"/>
  <c r="Z201" i="2"/>
  <c r="BP201" i="2"/>
  <c r="BN429" i="2"/>
  <c r="BP429" i="2"/>
  <c r="BP444" i="2"/>
  <c r="BN444" i="2"/>
  <c r="Z444" i="2"/>
  <c r="BN473" i="2"/>
  <c r="Y475" i="2"/>
  <c r="Y474" i="2"/>
  <c r="BP473" i="2"/>
  <c r="BN94" i="2"/>
  <c r="BP94" i="2"/>
  <c r="BN112" i="2"/>
  <c r="BN135" i="2"/>
  <c r="BN186" i="2"/>
  <c r="BP186" i="2"/>
  <c r="J500" i="2"/>
  <c r="Z249" i="2"/>
  <c r="BN249" i="2"/>
  <c r="BP249" i="2"/>
  <c r="X500" i="2"/>
  <c r="Z429" i="2"/>
  <c r="Z473" i="2"/>
  <c r="Y63" i="2"/>
  <c r="BN61" i="2"/>
  <c r="BP61" i="2"/>
  <c r="X494" i="2"/>
  <c r="Z61" i="2"/>
  <c r="Z94" i="2"/>
  <c r="Z95" i="2" s="1"/>
  <c r="Z148" i="2"/>
  <c r="Y149" i="2"/>
  <c r="Z186" i="2"/>
  <c r="Z187" i="2" s="1"/>
  <c r="Z198" i="2"/>
  <c r="BP211" i="2"/>
  <c r="BN211" i="2"/>
  <c r="Z211" i="2"/>
  <c r="Y360" i="2"/>
  <c r="BN358" i="2"/>
  <c r="BP358" i="2"/>
  <c r="Z358" i="2"/>
  <c r="Z301" i="2"/>
  <c r="Z87" i="2"/>
  <c r="Y203" i="2"/>
  <c r="Y396" i="2"/>
  <c r="Y489" i="2"/>
  <c r="Z291" i="2"/>
  <c r="Z206" i="2"/>
  <c r="BN363" i="2"/>
  <c r="Z374" i="2"/>
  <c r="Z375" i="2" s="1"/>
  <c r="Z391" i="2"/>
  <c r="BN404" i="2"/>
  <c r="Z427" i="2"/>
  <c r="Z437" i="2"/>
  <c r="Z447" i="2"/>
  <c r="BN461" i="2"/>
  <c r="Y484" i="2"/>
  <c r="O500" i="2"/>
  <c r="Z196" i="2"/>
  <c r="P500" i="2"/>
  <c r="Z311" i="2"/>
  <c r="Z29" i="2"/>
  <c r="Z34" i="2"/>
  <c r="Z35" i="2" s="1"/>
  <c r="BN391" i="2"/>
  <c r="BP404" i="2"/>
  <c r="BN427" i="2"/>
  <c r="BN437" i="2"/>
  <c r="BN447" i="2"/>
  <c r="Z459" i="2"/>
  <c r="Z463" i="2" s="1"/>
  <c r="Z481" i="2"/>
  <c r="Z483" i="2" s="1"/>
  <c r="Q500" i="2"/>
  <c r="Z363" i="2"/>
  <c r="Z364" i="2" s="1"/>
  <c r="Z346" i="2"/>
  <c r="Z409" i="2"/>
  <c r="Z227" i="2"/>
  <c r="BN232" i="2"/>
  <c r="BN255" i="2"/>
  <c r="Z422" i="2"/>
  <c r="Z108" i="2"/>
  <c r="BN196" i="2"/>
  <c r="BN206" i="2"/>
  <c r="Z258" i="2"/>
  <c r="Z22" i="2"/>
  <c r="Z23" i="2" s="1"/>
  <c r="BN163" i="2"/>
  <c r="Z230" i="2"/>
  <c r="Z299" i="2"/>
  <c r="BP301" i="2"/>
  <c r="Z309" i="2"/>
  <c r="BN321" i="2"/>
  <c r="Z344" i="2"/>
  <c r="BP369" i="2"/>
  <c r="BN386" i="2"/>
  <c r="Z394" i="2"/>
  <c r="BN422" i="2"/>
  <c r="Z430" i="2"/>
  <c r="R500" i="2"/>
  <c r="Z466" i="2"/>
  <c r="BN346" i="2"/>
  <c r="Z442" i="2"/>
  <c r="BN374" i="2"/>
  <c r="BN34" i="2"/>
  <c r="Z166" i="2"/>
  <c r="Z176" i="2"/>
  <c r="Z219" i="2"/>
  <c r="BP232" i="2"/>
  <c r="BP255" i="2"/>
  <c r="Z264" i="2"/>
  <c r="BP266" i="2"/>
  <c r="BN278" i="2"/>
  <c r="Z289" i="2"/>
  <c r="BP291" i="2"/>
  <c r="BP311" i="2"/>
  <c r="Z354" i="2"/>
  <c r="BN379" i="2"/>
  <c r="BP409" i="2"/>
  <c r="BP432" i="2"/>
  <c r="BN442" i="2"/>
  <c r="BN452" i="2"/>
  <c r="BP466" i="2"/>
  <c r="Z487" i="2"/>
  <c r="Z488" i="2" s="1"/>
  <c r="Z27" i="2"/>
  <c r="BP29" i="2"/>
  <c r="BN41" i="2"/>
  <c r="Z52" i="2"/>
  <c r="BP54" i="2"/>
  <c r="Z62" i="2"/>
  <c r="BN74" i="2"/>
  <c r="Z85" i="2"/>
  <c r="BP87" i="2"/>
  <c r="BN108" i="2"/>
  <c r="Y132" i="2"/>
  <c r="Y172" i="2"/>
  <c r="Y187" i="2"/>
  <c r="BP206" i="2"/>
  <c r="BN214" i="2"/>
  <c r="Z225" i="2"/>
  <c r="BP227" i="2"/>
  <c r="BP237" i="2"/>
  <c r="BN247" i="2"/>
  <c r="Y250" i="2"/>
  <c r="BN258" i="2"/>
  <c r="BP272" i="2"/>
  <c r="BN283" i="2"/>
  <c r="BN294" i="2"/>
  <c r="BN304" i="2"/>
  <c r="BP316" i="2"/>
  <c r="Z324" i="2"/>
  <c r="BN337" i="2"/>
  <c r="BN349" i="2"/>
  <c r="Z359" i="2"/>
  <c r="Y364" i="2"/>
  <c r="BP374" i="2"/>
  <c r="Z389" i="2"/>
  <c r="Z399" i="2"/>
  <c r="Y405" i="2"/>
  <c r="Y413" i="2"/>
  <c r="Z425" i="2"/>
  <c r="Z445" i="2"/>
  <c r="BN459" i="2"/>
  <c r="Y470" i="2"/>
  <c r="BN481" i="2"/>
  <c r="Z266" i="2"/>
  <c r="Y171" i="2"/>
  <c r="BN92" i="2"/>
  <c r="BN46" i="2"/>
  <c r="BP163" i="2"/>
  <c r="BN176" i="2"/>
  <c r="BN199" i="2"/>
  <c r="BN209" i="2"/>
  <c r="BN219" i="2"/>
  <c r="BN230" i="2"/>
  <c r="BN264" i="2"/>
  <c r="BP278" i="2"/>
  <c r="BN289" i="2"/>
  <c r="BN299" i="2"/>
  <c r="BN309" i="2"/>
  <c r="BP321" i="2"/>
  <c r="BN344" i="2"/>
  <c r="BN354" i="2"/>
  <c r="Y370" i="2"/>
  <c r="BP379" i="2"/>
  <c r="BP386" i="2"/>
  <c r="BN394" i="2"/>
  <c r="BP422" i="2"/>
  <c r="BN430" i="2"/>
  <c r="Y433" i="2"/>
  <c r="BP442" i="2"/>
  <c r="BN487" i="2"/>
  <c r="T500" i="2"/>
  <c r="Z369" i="2"/>
  <c r="Z370" i="2" s="1"/>
  <c r="Z54" i="2"/>
  <c r="BN466" i="2"/>
  <c r="Z247" i="2"/>
  <c r="BN272" i="2"/>
  <c r="Z283" i="2"/>
  <c r="Z285" i="2" s="1"/>
  <c r="Z304" i="2"/>
  <c r="Z337" i="2"/>
  <c r="Z46" i="2"/>
  <c r="Z47" i="2" s="1"/>
  <c r="Z79" i="2"/>
  <c r="Z81" i="2" s="1"/>
  <c r="BN22" i="2"/>
  <c r="Z106" i="2"/>
  <c r="Z129" i="2"/>
  <c r="Z131" i="2" s="1"/>
  <c r="Z169" i="2"/>
  <c r="Z202" i="2"/>
  <c r="Z212" i="2"/>
  <c r="BP214" i="2"/>
  <c r="BN225" i="2"/>
  <c r="Z233" i="2"/>
  <c r="Y238" i="2"/>
  <c r="Z245" i="2"/>
  <c r="Z256" i="2"/>
  <c r="Z292" i="2"/>
  <c r="BP294" i="2"/>
  <c r="Z302" i="2"/>
  <c r="BN324" i="2"/>
  <c r="Z335" i="2"/>
  <c r="Z338" i="2" s="1"/>
  <c r="Z347" i="2"/>
  <c r="BP349" i="2"/>
  <c r="BN359" i="2"/>
  <c r="BN389" i="2"/>
  <c r="BN399" i="2"/>
  <c r="Z410" i="2"/>
  <c r="BN425" i="2"/>
  <c r="BN445" i="2"/>
  <c r="Y448" i="2"/>
  <c r="BP459" i="2"/>
  <c r="Z467" i="2"/>
  <c r="B500" i="2"/>
  <c r="U500" i="2"/>
  <c r="Z321" i="2"/>
  <c r="Z325" i="2" s="1"/>
  <c r="BN369" i="2"/>
  <c r="Z386" i="2"/>
  <c r="BN409" i="2"/>
  <c r="BN432" i="2"/>
  <c r="Z41" i="2"/>
  <c r="Z43" i="2" s="1"/>
  <c r="Z209" i="2"/>
  <c r="BN62" i="2"/>
  <c r="Z72" i="2"/>
  <c r="Z76" i="2" s="1"/>
  <c r="BP74" i="2"/>
  <c r="Y88" i="2"/>
  <c r="BP22" i="2"/>
  <c r="Z30" i="2"/>
  <c r="Y35" i="2"/>
  <c r="BP46" i="2"/>
  <c r="Z55" i="2"/>
  <c r="BP79" i="2"/>
  <c r="BP113" i="2"/>
  <c r="BN124" i="2"/>
  <c r="Z134" i="2"/>
  <c r="Z136" i="2" s="1"/>
  <c r="BP166" i="2"/>
  <c r="Z174" i="2"/>
  <c r="Z177" i="2" s="1"/>
  <c r="Y188" i="2"/>
  <c r="Z197" i="2"/>
  <c r="BP199" i="2"/>
  <c r="Z207" i="2"/>
  <c r="Z228" i="2"/>
  <c r="Y251" i="2"/>
  <c r="Z273" i="2"/>
  <c r="Z274" i="2" s="1"/>
  <c r="BP289" i="2"/>
  <c r="Z317" i="2"/>
  <c r="Z318" i="2" s="1"/>
  <c r="BN329" i="2"/>
  <c r="Y365" i="2"/>
  <c r="Z380" i="2"/>
  <c r="Z381" i="2" s="1"/>
  <c r="Z392" i="2"/>
  <c r="Y406" i="2"/>
  <c r="Z416" i="2"/>
  <c r="Z417" i="2" s="1"/>
  <c r="Z428" i="2"/>
  <c r="Z438" i="2"/>
  <c r="BN462" i="2"/>
  <c r="Z472" i="2"/>
  <c r="Z474" i="2" s="1"/>
  <c r="BP487" i="2"/>
  <c r="BP34" i="2"/>
  <c r="BN85" i="2"/>
  <c r="BP52" i="2"/>
  <c r="BP85" i="2"/>
  <c r="BN106" i="2"/>
  <c r="Y109" i="2"/>
  <c r="BN129" i="2"/>
  <c r="BN169" i="2"/>
  <c r="BN202" i="2"/>
  <c r="BN212" i="2"/>
  <c r="Y215" i="2"/>
  <c r="BN233" i="2"/>
  <c r="BN245" i="2"/>
  <c r="BN256" i="2"/>
  <c r="Y259" i="2"/>
  <c r="BN292" i="2"/>
  <c r="Y295" i="2"/>
  <c r="BN302" i="2"/>
  <c r="BN335" i="2"/>
  <c r="Y338" i="2"/>
  <c r="BN347" i="2"/>
  <c r="BN410" i="2"/>
  <c r="Y434" i="2"/>
  <c r="W500" i="2"/>
  <c r="BN316" i="2"/>
  <c r="Y95" i="2"/>
  <c r="Z113" i="2"/>
  <c r="Z116" i="2" s="1"/>
  <c r="BP92" i="2"/>
  <c r="BN27" i="2"/>
  <c r="Y89" i="2"/>
  <c r="Z99" i="2"/>
  <c r="Z103" i="2" s="1"/>
  <c r="BN174" i="2"/>
  <c r="Y239" i="2"/>
  <c r="Y488" i="2"/>
  <c r="Z255" i="2"/>
  <c r="Z259" i="2" s="1"/>
  <c r="Z237" i="2"/>
  <c r="Z238" i="2" s="1"/>
  <c r="Y500" i="2"/>
  <c r="Z267" i="2" l="1"/>
  <c r="Z448" i="2"/>
  <c r="Y494" i="2"/>
  <c r="Z171" i="2"/>
  <c r="Z234" i="2"/>
  <c r="Z57" i="2"/>
  <c r="Z305" i="2"/>
  <c r="Z439" i="2"/>
  <c r="Z215" i="2"/>
  <c r="Y490" i="2"/>
  <c r="Z355" i="2"/>
  <c r="Z280" i="2"/>
  <c r="Z395" i="2"/>
  <c r="X493" i="2"/>
  <c r="Z250" i="2"/>
  <c r="Z63" i="2"/>
  <c r="Z469" i="2"/>
  <c r="Z400" i="2"/>
  <c r="Z433" i="2"/>
  <c r="Z220" i="2"/>
  <c r="Z203" i="2"/>
  <c r="Z360" i="2"/>
  <c r="Z31" i="2"/>
  <c r="Z312" i="2"/>
  <c r="Y492" i="2"/>
  <c r="Z109" i="2"/>
  <c r="Z350" i="2"/>
  <c r="Y491" i="2"/>
  <c r="Z88" i="2"/>
  <c r="Z295" i="2"/>
  <c r="Z412" i="2"/>
  <c r="Z495" i="2" l="1"/>
  <c r="Y493" i="2"/>
</calcChain>
</file>

<file path=xl/sharedStrings.xml><?xml version="1.0" encoding="utf-8"?>
<sst xmlns="http://schemas.openxmlformats.org/spreadsheetml/2006/main" count="3596" uniqueCount="766">
  <si>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</si>
  <si>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</si>
  <si>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</si>
  <si>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</si>
  <si>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</si>
  <si>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</si>
  <si>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</si>
  <si>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</si>
  <si>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</si>
  <si>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</si>
  <si>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</si>
  <si>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</si>
  <si>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</si>
  <si>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</si>
  <si>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</si>
  <si>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</si>
  <si>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</si>
  <si>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</si>
  <si>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</si>
  <si>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</si>
  <si>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</si>
  <si>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</si>
  <si>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</si>
  <si>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</si>
  <si>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</si>
  <si>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</si>
  <si>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</si>
  <si>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</si>
  <si>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</si>
  <si>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</si>
  <si>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</si>
  <si>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</si>
  <si>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</si>
  <si>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</si>
  <si>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</si>
  <si>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</si>
  <si>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</si>
  <si>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</si>
  <si>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</si>
  <si>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</si>
  <si>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</si>
  <si>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</si>
  <si>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</si>
  <si>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</si>
  <si>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</si>
  <si>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</si>
  <si>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</si>
  <si>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</si>
  <si>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</si>
  <si>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</si>
  <si>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</si>
  <si>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</si>
  <si>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</si>
  <si>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</si>
  <si>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</si>
  <si>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</si>
  <si>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</si>
  <si>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</si>
  <si>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</si>
  <si>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</si>
  <si>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</si>
  <si>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</si>
  <si>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</si>
  <si>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</si>
  <si>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</si>
  <si>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</si>
  <si>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</si>
  <si>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</si>
  <si>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</si>
  <si>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</si>
  <si>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</si>
  <si>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</si>
  <si>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</si>
  <si>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</si>
  <si>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</si>
  <si>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</si>
  <si>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</si>
  <si>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</si>
  <si>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</si>
  <si>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</si>
  <si>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</si>
  <si>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</si>
  <si>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</si>
  <si>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</si>
  <si>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</si>
  <si>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</si>
  <si>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</si>
  <si>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</si>
  <si>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</si>
  <si>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</si>
  <si>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</si>
  <si>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</si>
  <si>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</si>
  <si>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</si>
  <si>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</si>
  <si>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</si>
  <si>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</si>
  <si>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</si>
  <si>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</si>
  <si>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</si>
  <si>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Короб, мин. 14</t>
  </si>
  <si>
    <t>Короб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</si>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</sst>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45995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Четверг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3">
        <v>4680115886643</v>
      </c>
      <c r="E22" s="6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30"/>
      <c r="B23" s="630"/>
      <c r="C23" s="630"/>
      <c r="D23" s="630"/>
      <c r="E23" s="630"/>
      <c r="F23" s="630"/>
      <c r="G23" s="630"/>
      <c r="H23" s="630"/>
      <c r="I23" s="630"/>
      <c r="J23" s="630"/>
      <c r="K23" s="630"/>
      <c r="L23" s="630"/>
      <c r="M23" s="630"/>
      <c r="N23" s="630"/>
      <c r="O23" s="631"/>
      <c r="P23" s="627" t="s">
        <v>40</v>
      </c>
      <c r="Q23" s="628"/>
      <c r="R23" s="628"/>
      <c r="S23" s="628"/>
      <c r="T23" s="628"/>
      <c r="U23" s="628"/>
      <c r="V23" s="629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30"/>
      <c r="B24" s="630"/>
      <c r="C24" s="630"/>
      <c r="D24" s="630"/>
      <c r="E24" s="630"/>
      <c r="F24" s="630"/>
      <c r="G24" s="630"/>
      <c r="H24" s="630"/>
      <c r="I24" s="630"/>
      <c r="J24" s="630"/>
      <c r="K24" s="630"/>
      <c r="L24" s="630"/>
      <c r="M24" s="630"/>
      <c r="N24" s="630"/>
      <c r="O24" s="631"/>
      <c r="P24" s="627" t="s">
        <v>40</v>
      </c>
      <c r="Q24" s="628"/>
      <c r="R24" s="628"/>
      <c r="S24" s="628"/>
      <c r="T24" s="628"/>
      <c r="U24" s="628"/>
      <c r="V24" s="629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2" t="s">
        <v>84</v>
      </c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2"/>
      <c r="M25" s="622"/>
      <c r="N25" s="622"/>
      <c r="O25" s="622"/>
      <c r="P25" s="622"/>
      <c r="Q25" s="622"/>
      <c r="R25" s="622"/>
      <c r="S25" s="622"/>
      <c r="T25" s="622"/>
      <c r="U25" s="622"/>
      <c r="V25" s="622"/>
      <c r="W25" s="622"/>
      <c r="X25" s="622"/>
      <c r="Y25" s="622"/>
      <c r="Z25" s="622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3">
        <v>4680115885912</v>
      </c>
      <c r="E26" s="623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5"/>
      <c r="R26" s="625"/>
      <c r="S26" s="625"/>
      <c r="T26" s="626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3">
        <v>4607091388237</v>
      </c>
      <c r="E27" s="623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3">
        <v>4680115887350</v>
      </c>
      <c r="E28" s="623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3">
        <v>4680115885905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100</v>
      </c>
      <c r="M29" s="38" t="s">
        <v>96</v>
      </c>
      <c r="N29" s="38"/>
      <c r="O29" s="37">
        <v>40</v>
      </c>
      <c r="P29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101</v>
      </c>
      <c r="AK29" s="84">
        <v>25.2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102</v>
      </c>
      <c r="B30" s="63" t="s">
        <v>103</v>
      </c>
      <c r="C30" s="36">
        <v>4301051851</v>
      </c>
      <c r="D30" s="623">
        <v>4607091388244</v>
      </c>
      <c r="E30" s="623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100</v>
      </c>
      <c r="M30" s="38" t="s">
        <v>96</v>
      </c>
      <c r="N30" s="38"/>
      <c r="O30" s="37">
        <v>40</v>
      </c>
      <c r="P30" s="63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101</v>
      </c>
      <c r="AK30" s="84">
        <v>35.28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30"/>
      <c r="B31" s="630"/>
      <c r="C31" s="630"/>
      <c r="D31" s="630"/>
      <c r="E31" s="630"/>
      <c r="F31" s="630"/>
      <c r="G31" s="630"/>
      <c r="H31" s="630"/>
      <c r="I31" s="630"/>
      <c r="J31" s="630"/>
      <c r="K31" s="630"/>
      <c r="L31" s="630"/>
      <c r="M31" s="630"/>
      <c r="N31" s="630"/>
      <c r="O31" s="631"/>
      <c r="P31" s="627" t="s">
        <v>40</v>
      </c>
      <c r="Q31" s="628"/>
      <c r="R31" s="628"/>
      <c r="S31" s="628"/>
      <c r="T31" s="628"/>
      <c r="U31" s="628"/>
      <c r="V31" s="629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30"/>
      <c r="B32" s="630"/>
      <c r="C32" s="630"/>
      <c r="D32" s="630"/>
      <c r="E32" s="630"/>
      <c r="F32" s="630"/>
      <c r="G32" s="630"/>
      <c r="H32" s="630"/>
      <c r="I32" s="630"/>
      <c r="J32" s="630"/>
      <c r="K32" s="630"/>
      <c r="L32" s="630"/>
      <c r="M32" s="630"/>
      <c r="N32" s="630"/>
      <c r="O32" s="631"/>
      <c r="P32" s="627" t="s">
        <v>40</v>
      </c>
      <c r="Q32" s="628"/>
      <c r="R32" s="628"/>
      <c r="S32" s="628"/>
      <c r="T32" s="628"/>
      <c r="U32" s="628"/>
      <c r="V32" s="629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2" t="s">
        <v>104</v>
      </c>
      <c r="B33" s="622"/>
      <c r="C33" s="622"/>
      <c r="D33" s="622"/>
      <c r="E33" s="622"/>
      <c r="F33" s="622"/>
      <c r="G33" s="622"/>
      <c r="H33" s="622"/>
      <c r="I33" s="622"/>
      <c r="J33" s="622"/>
      <c r="K33" s="622"/>
      <c r="L33" s="622"/>
      <c r="M33" s="622"/>
      <c r="N33" s="622"/>
      <c r="O33" s="622"/>
      <c r="P33" s="622"/>
      <c r="Q33" s="622"/>
      <c r="R33" s="622"/>
      <c r="S33" s="622"/>
      <c r="T33" s="622"/>
      <c r="U33" s="622"/>
      <c r="V33" s="622"/>
      <c r="W33" s="622"/>
      <c r="X33" s="622"/>
      <c r="Y33" s="622"/>
      <c r="Z33" s="622"/>
      <c r="AA33" s="66"/>
      <c r="AB33" s="66"/>
      <c r="AC33" s="80"/>
    </row>
    <row r="34" spans="1:68" ht="27" customHeight="1" x14ac:dyDescent="0.25">
      <c r="A34" s="63" t="s">
        <v>105</v>
      </c>
      <c r="B34" s="63" t="s">
        <v>106</v>
      </c>
      <c r="C34" s="36">
        <v>4301032013</v>
      </c>
      <c r="D34" s="623">
        <v>4607091388503</v>
      </c>
      <c r="E34" s="623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109</v>
      </c>
      <c r="N34" s="38"/>
      <c r="O34" s="37">
        <v>120</v>
      </c>
      <c r="P34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5"/>
      <c r="R34" s="625"/>
      <c r="S34" s="625"/>
      <c r="T34" s="626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107</v>
      </c>
      <c r="AG34" s="78"/>
      <c r="AJ34" s="84" t="s">
        <v>45</v>
      </c>
      <c r="AK34" s="84">
        <v>0</v>
      </c>
      <c r="BB34" s="99" t="s">
        <v>108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30"/>
      <c r="B35" s="630"/>
      <c r="C35" s="630"/>
      <c r="D35" s="630"/>
      <c r="E35" s="630"/>
      <c r="F35" s="630"/>
      <c r="G35" s="630"/>
      <c r="H35" s="630"/>
      <c r="I35" s="630"/>
      <c r="J35" s="630"/>
      <c r="K35" s="630"/>
      <c r="L35" s="630"/>
      <c r="M35" s="630"/>
      <c r="N35" s="630"/>
      <c r="O35" s="631"/>
      <c r="P35" s="627" t="s">
        <v>40</v>
      </c>
      <c r="Q35" s="628"/>
      <c r="R35" s="628"/>
      <c r="S35" s="628"/>
      <c r="T35" s="628"/>
      <c r="U35" s="628"/>
      <c r="V35" s="629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30"/>
      <c r="B36" s="630"/>
      <c r="C36" s="630"/>
      <c r="D36" s="630"/>
      <c r="E36" s="630"/>
      <c r="F36" s="630"/>
      <c r="G36" s="630"/>
      <c r="H36" s="630"/>
      <c r="I36" s="630"/>
      <c r="J36" s="630"/>
      <c r="K36" s="630"/>
      <c r="L36" s="630"/>
      <c r="M36" s="630"/>
      <c r="N36" s="630"/>
      <c r="O36" s="631"/>
      <c r="P36" s="627" t="s">
        <v>40</v>
      </c>
      <c r="Q36" s="628"/>
      <c r="R36" s="628"/>
      <c r="S36" s="628"/>
      <c r="T36" s="628"/>
      <c r="U36" s="628"/>
      <c r="V36" s="629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20" t="s">
        <v>110</v>
      </c>
      <c r="B37" s="620"/>
      <c r="C37" s="620"/>
      <c r="D37" s="620"/>
      <c r="E37" s="620"/>
      <c r="F37" s="620"/>
      <c r="G37" s="620"/>
      <c r="H37" s="620"/>
      <c r="I37" s="620"/>
      <c r="J37" s="620"/>
      <c r="K37" s="620"/>
      <c r="L37" s="620"/>
      <c r="M37" s="620"/>
      <c r="N37" s="620"/>
      <c r="O37" s="620"/>
      <c r="P37" s="620"/>
      <c r="Q37" s="620"/>
      <c r="R37" s="620"/>
      <c r="S37" s="620"/>
      <c r="T37" s="620"/>
      <c r="U37" s="620"/>
      <c r="V37" s="620"/>
      <c r="W37" s="620"/>
      <c r="X37" s="620"/>
      <c r="Y37" s="620"/>
      <c r="Z37" s="620"/>
      <c r="AA37" s="54"/>
      <c r="AB37" s="54"/>
      <c r="AC37" s="54"/>
    </row>
    <row r="38" spans="1:68" ht="16.5" customHeight="1" x14ac:dyDescent="0.25">
      <c r="A38" s="621" t="s">
        <v>111</v>
      </c>
      <c r="B38" s="621"/>
      <c r="C38" s="621"/>
      <c r="D38" s="621"/>
      <c r="E38" s="621"/>
      <c r="F38" s="621"/>
      <c r="G38" s="621"/>
      <c r="H38" s="621"/>
      <c r="I38" s="621"/>
      <c r="J38" s="621"/>
      <c r="K38" s="621"/>
      <c r="L38" s="621"/>
      <c r="M38" s="621"/>
      <c r="N38" s="621"/>
      <c r="O38" s="621"/>
      <c r="P38" s="621"/>
      <c r="Q38" s="621"/>
      <c r="R38" s="621"/>
      <c r="S38" s="621"/>
      <c r="T38" s="621"/>
      <c r="U38" s="621"/>
      <c r="V38" s="621"/>
      <c r="W38" s="621"/>
      <c r="X38" s="621"/>
      <c r="Y38" s="621"/>
      <c r="Z38" s="621"/>
      <c r="AA38" s="65"/>
      <c r="AB38" s="65"/>
      <c r="AC38" s="79"/>
    </row>
    <row r="39" spans="1:68" ht="14.25" customHeight="1" x14ac:dyDescent="0.25">
      <c r="A39" s="622" t="s">
        <v>112</v>
      </c>
      <c r="B39" s="622"/>
      <c r="C39" s="622"/>
      <c r="D39" s="622"/>
      <c r="E39" s="622"/>
      <c r="F39" s="622"/>
      <c r="G39" s="622"/>
      <c r="H39" s="622"/>
      <c r="I39" s="622"/>
      <c r="J39" s="622"/>
      <c r="K39" s="622"/>
      <c r="L39" s="622"/>
      <c r="M39" s="622"/>
      <c r="N39" s="622"/>
      <c r="O39" s="622"/>
      <c r="P39" s="622"/>
      <c r="Q39" s="622"/>
      <c r="R39" s="622"/>
      <c r="S39" s="622"/>
      <c r="T39" s="622"/>
      <c r="U39" s="622"/>
      <c r="V39" s="622"/>
      <c r="W39" s="622"/>
      <c r="X39" s="622"/>
      <c r="Y39" s="622"/>
      <c r="Z39" s="622"/>
      <c r="AA39" s="66"/>
      <c r="AB39" s="66"/>
      <c r="AC39" s="80"/>
    </row>
    <row r="40" spans="1:68" ht="16.5" customHeight="1" x14ac:dyDescent="0.25">
      <c r="A40" s="63" t="s">
        <v>113</v>
      </c>
      <c r="B40" s="63" t="s">
        <v>114</v>
      </c>
      <c r="C40" s="36">
        <v>4301011380</v>
      </c>
      <c r="D40" s="623">
        <v>4607091385670</v>
      </c>
      <c r="E40" s="623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117</v>
      </c>
      <c r="L40" s="37" t="s">
        <v>118</v>
      </c>
      <c r="M40" s="38" t="s">
        <v>116</v>
      </c>
      <c r="N40" s="38"/>
      <c r="O40" s="37">
        <v>50</v>
      </c>
      <c r="P40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5"/>
      <c r="R40" s="625"/>
      <c r="S40" s="625"/>
      <c r="T40" s="626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115</v>
      </c>
      <c r="AG40" s="78"/>
      <c r="AJ40" s="84" t="s">
        <v>101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119</v>
      </c>
      <c r="B41" s="63" t="s">
        <v>120</v>
      </c>
      <c r="C41" s="36">
        <v>4301011382</v>
      </c>
      <c r="D41" s="623">
        <v>4607091385687</v>
      </c>
      <c r="E41" s="623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121</v>
      </c>
      <c r="L41" s="37" t="s">
        <v>122</v>
      </c>
      <c r="M41" s="38" t="s">
        <v>88</v>
      </c>
      <c r="N41" s="38"/>
      <c r="O41" s="37">
        <v>50</v>
      </c>
      <c r="P41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101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123</v>
      </c>
      <c r="B42" s="63" t="s">
        <v>124</v>
      </c>
      <c r="C42" s="36">
        <v>4301011565</v>
      </c>
      <c r="D42" s="623">
        <v>4680115882539</v>
      </c>
      <c r="E42" s="62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121</v>
      </c>
      <c r="L42" s="37" t="s">
        <v>45</v>
      </c>
      <c r="M42" s="38" t="s">
        <v>88</v>
      </c>
      <c r="N42" s="38"/>
      <c r="O42" s="37">
        <v>50</v>
      </c>
      <c r="P42" s="6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30"/>
      <c r="B43" s="630"/>
      <c r="C43" s="630"/>
      <c r="D43" s="630"/>
      <c r="E43" s="630"/>
      <c r="F43" s="630"/>
      <c r="G43" s="630"/>
      <c r="H43" s="630"/>
      <c r="I43" s="630"/>
      <c r="J43" s="630"/>
      <c r="K43" s="630"/>
      <c r="L43" s="630"/>
      <c r="M43" s="630"/>
      <c r="N43" s="630"/>
      <c r="O43" s="631"/>
      <c r="P43" s="627" t="s">
        <v>40</v>
      </c>
      <c r="Q43" s="628"/>
      <c r="R43" s="628"/>
      <c r="S43" s="628"/>
      <c r="T43" s="628"/>
      <c r="U43" s="628"/>
      <c r="V43" s="629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30"/>
      <c r="B44" s="630"/>
      <c r="C44" s="630"/>
      <c r="D44" s="630"/>
      <c r="E44" s="630"/>
      <c r="F44" s="630"/>
      <c r="G44" s="630"/>
      <c r="H44" s="630"/>
      <c r="I44" s="630"/>
      <c r="J44" s="630"/>
      <c r="K44" s="630"/>
      <c r="L44" s="630"/>
      <c r="M44" s="630"/>
      <c r="N44" s="630"/>
      <c r="O44" s="631"/>
      <c r="P44" s="627" t="s">
        <v>40</v>
      </c>
      <c r="Q44" s="628"/>
      <c r="R44" s="628"/>
      <c r="S44" s="628"/>
      <c r="T44" s="628"/>
      <c r="U44" s="628"/>
      <c r="V44" s="629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2" t="s">
        <v>84</v>
      </c>
      <c r="B45" s="622"/>
      <c r="C45" s="622"/>
      <c r="D45" s="622"/>
      <c r="E45" s="622"/>
      <c r="F45" s="622"/>
      <c r="G45" s="622"/>
      <c r="H45" s="622"/>
      <c r="I45" s="622"/>
      <c r="J45" s="622"/>
      <c r="K45" s="622"/>
      <c r="L45" s="622"/>
      <c r="M45" s="622"/>
      <c r="N45" s="622"/>
      <c r="O45" s="622"/>
      <c r="P45" s="622"/>
      <c r="Q45" s="622"/>
      <c r="R45" s="622"/>
      <c r="S45" s="622"/>
      <c r="T45" s="622"/>
      <c r="U45" s="622"/>
      <c r="V45" s="622"/>
      <c r="W45" s="622"/>
      <c r="X45" s="622"/>
      <c r="Y45" s="622"/>
      <c r="Z45" s="622"/>
      <c r="AA45" s="66"/>
      <c r="AB45" s="66"/>
      <c r="AC45" s="80"/>
    </row>
    <row r="46" spans="1:68" ht="16.5" customHeight="1" x14ac:dyDescent="0.25">
      <c r="A46" s="63" t="s">
        <v>125</v>
      </c>
      <c r="B46" s="63" t="s">
        <v>126</v>
      </c>
      <c r="C46" s="36">
        <v>4301051820</v>
      </c>
      <c r="D46" s="623">
        <v>4680115884915</v>
      </c>
      <c r="E46" s="623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100</v>
      </c>
      <c r="M46" s="38" t="s">
        <v>88</v>
      </c>
      <c r="N46" s="38"/>
      <c r="O46" s="37">
        <v>40</v>
      </c>
      <c r="P46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5"/>
      <c r="R46" s="625"/>
      <c r="S46" s="625"/>
      <c r="T46" s="626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127</v>
      </c>
      <c r="AG46" s="78"/>
      <c r="AJ46" s="84" t="s">
        <v>101</v>
      </c>
      <c r="AK46" s="84">
        <v>25.2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30"/>
      <c r="B47" s="630"/>
      <c r="C47" s="630"/>
      <c r="D47" s="630"/>
      <c r="E47" s="630"/>
      <c r="F47" s="630"/>
      <c r="G47" s="630"/>
      <c r="H47" s="630"/>
      <c r="I47" s="630"/>
      <c r="J47" s="630"/>
      <c r="K47" s="630"/>
      <c r="L47" s="630"/>
      <c r="M47" s="630"/>
      <c r="N47" s="630"/>
      <c r="O47" s="631"/>
      <c r="P47" s="627" t="s">
        <v>40</v>
      </c>
      <c r="Q47" s="628"/>
      <c r="R47" s="628"/>
      <c r="S47" s="628"/>
      <c r="T47" s="628"/>
      <c r="U47" s="628"/>
      <c r="V47" s="629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30"/>
      <c r="B48" s="630"/>
      <c r="C48" s="630"/>
      <c r="D48" s="630"/>
      <c r="E48" s="630"/>
      <c r="F48" s="630"/>
      <c r="G48" s="630"/>
      <c r="H48" s="630"/>
      <c r="I48" s="630"/>
      <c r="J48" s="630"/>
      <c r="K48" s="630"/>
      <c r="L48" s="630"/>
      <c r="M48" s="630"/>
      <c r="N48" s="630"/>
      <c r="O48" s="631"/>
      <c r="P48" s="627" t="s">
        <v>40</v>
      </c>
      <c r="Q48" s="628"/>
      <c r="R48" s="628"/>
      <c r="S48" s="628"/>
      <c r="T48" s="628"/>
      <c r="U48" s="628"/>
      <c r="V48" s="629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21" t="s">
        <v>128</v>
      </c>
      <c r="B49" s="621"/>
      <c r="C49" s="621"/>
      <c r="D49" s="621"/>
      <c r="E49" s="621"/>
      <c r="F49" s="621"/>
      <c r="G49" s="621"/>
      <c r="H49" s="621"/>
      <c r="I49" s="621"/>
      <c r="J49" s="621"/>
      <c r="K49" s="621"/>
      <c r="L49" s="621"/>
      <c r="M49" s="621"/>
      <c r="N49" s="621"/>
      <c r="O49" s="621"/>
      <c r="P49" s="621"/>
      <c r="Q49" s="621"/>
      <c r="R49" s="621"/>
      <c r="S49" s="621"/>
      <c r="T49" s="621"/>
      <c r="U49" s="621"/>
      <c r="V49" s="621"/>
      <c r="W49" s="621"/>
      <c r="X49" s="621"/>
      <c r="Y49" s="621"/>
      <c r="Z49" s="621"/>
      <c r="AA49" s="65"/>
      <c r="AB49" s="65"/>
      <c r="AC49" s="79"/>
    </row>
    <row r="50" spans="1:68" ht="14.25" customHeight="1" x14ac:dyDescent="0.25">
      <c r="A50" s="622" t="s">
        <v>112</v>
      </c>
      <c r="B50" s="622"/>
      <c r="C50" s="622"/>
      <c r="D50" s="622"/>
      <c r="E50" s="622"/>
      <c r="F50" s="622"/>
      <c r="G50" s="622"/>
      <c r="H50" s="622"/>
      <c r="I50" s="622"/>
      <c r="J50" s="622"/>
      <c r="K50" s="622"/>
      <c r="L50" s="622"/>
      <c r="M50" s="622"/>
      <c r="N50" s="622"/>
      <c r="O50" s="622"/>
      <c r="P50" s="622"/>
      <c r="Q50" s="622"/>
      <c r="R50" s="622"/>
      <c r="S50" s="622"/>
      <c r="T50" s="622"/>
      <c r="U50" s="622"/>
      <c r="V50" s="622"/>
      <c r="W50" s="622"/>
      <c r="X50" s="622"/>
      <c r="Y50" s="622"/>
      <c r="Z50" s="622"/>
      <c r="AA50" s="66"/>
      <c r="AB50" s="66"/>
      <c r="AC50" s="80"/>
    </row>
    <row r="51" spans="1:68" ht="27" customHeight="1" x14ac:dyDescent="0.25">
      <c r="A51" s="63" t="s">
        <v>129</v>
      </c>
      <c r="B51" s="63" t="s">
        <v>130</v>
      </c>
      <c r="C51" s="36">
        <v>4301012030</v>
      </c>
      <c r="D51" s="623">
        <v>4680115885882</v>
      </c>
      <c r="E51" s="623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117</v>
      </c>
      <c r="L51" s="37" t="s">
        <v>118</v>
      </c>
      <c r="M51" s="38" t="s">
        <v>88</v>
      </c>
      <c r="N51" s="38"/>
      <c r="O51" s="37">
        <v>50</v>
      </c>
      <c r="P51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5"/>
      <c r="R51" s="625"/>
      <c r="S51" s="625"/>
      <c r="T51" s="626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131</v>
      </c>
      <c r="AG51" s="78"/>
      <c r="AJ51" s="84" t="s">
        <v>101</v>
      </c>
      <c r="AK51" s="84">
        <v>89.6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4301011816</v>
      </c>
      <c r="D52" s="623">
        <v>4680115881426</v>
      </c>
      <c r="E52" s="623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117</v>
      </c>
      <c r="L52" s="37" t="s">
        <v>45</v>
      </c>
      <c r="M52" s="38" t="s">
        <v>116</v>
      </c>
      <c r="N52" s="38"/>
      <c r="O52" s="37">
        <v>50</v>
      </c>
      <c r="P52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134</v>
      </c>
      <c r="AG52" s="78"/>
      <c r="AJ52" s="84" t="s">
        <v>45</v>
      </c>
      <c r="AK52" s="84">
        <v>0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135</v>
      </c>
      <c r="B53" s="63" t="s">
        <v>136</v>
      </c>
      <c r="C53" s="36">
        <v>4301011386</v>
      </c>
      <c r="D53" s="623">
        <v>4680115880283</v>
      </c>
      <c r="E53" s="623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121</v>
      </c>
      <c r="L53" s="37" t="s">
        <v>45</v>
      </c>
      <c r="M53" s="38" t="s">
        <v>116</v>
      </c>
      <c r="N53" s="38"/>
      <c r="O53" s="37">
        <v>45</v>
      </c>
      <c r="P53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137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138</v>
      </c>
      <c r="B54" s="63" t="s">
        <v>139</v>
      </c>
      <c r="C54" s="36">
        <v>4301011806</v>
      </c>
      <c r="D54" s="623">
        <v>4680115881525</v>
      </c>
      <c r="E54" s="623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121</v>
      </c>
      <c r="L54" s="37" t="s">
        <v>45</v>
      </c>
      <c r="M54" s="38" t="s">
        <v>116</v>
      </c>
      <c r="N54" s="38"/>
      <c r="O54" s="37">
        <v>50</v>
      </c>
      <c r="P54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140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141</v>
      </c>
      <c r="B55" s="63" t="s">
        <v>142</v>
      </c>
      <c r="C55" s="36">
        <v>4301011589</v>
      </c>
      <c r="D55" s="623">
        <v>4680115885899</v>
      </c>
      <c r="E55" s="623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100</v>
      </c>
      <c r="M55" s="38" t="s">
        <v>96</v>
      </c>
      <c r="N55" s="38"/>
      <c r="O55" s="37">
        <v>50</v>
      </c>
      <c r="P55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143</v>
      </c>
      <c r="AG55" s="78"/>
      <c r="AJ55" s="84" t="s">
        <v>101</v>
      </c>
      <c r="AK55" s="84">
        <v>29.4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144</v>
      </c>
      <c r="B56" s="63" t="s">
        <v>145</v>
      </c>
      <c r="C56" s="36">
        <v>4301011801</v>
      </c>
      <c r="D56" s="623">
        <v>4680115881419</v>
      </c>
      <c r="E56" s="623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121</v>
      </c>
      <c r="L56" s="37" t="s">
        <v>45</v>
      </c>
      <c r="M56" s="38" t="s">
        <v>116</v>
      </c>
      <c r="N56" s="38"/>
      <c r="O56" s="37">
        <v>50</v>
      </c>
      <c r="P56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146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30"/>
      <c r="B57" s="630"/>
      <c r="C57" s="630"/>
      <c r="D57" s="630"/>
      <c r="E57" s="630"/>
      <c r="F57" s="630"/>
      <c r="G57" s="630"/>
      <c r="H57" s="630"/>
      <c r="I57" s="630"/>
      <c r="J57" s="630"/>
      <c r="K57" s="630"/>
      <c r="L57" s="630"/>
      <c r="M57" s="630"/>
      <c r="N57" s="630"/>
      <c r="O57" s="631"/>
      <c r="P57" s="627" t="s">
        <v>40</v>
      </c>
      <c r="Q57" s="628"/>
      <c r="R57" s="628"/>
      <c r="S57" s="628"/>
      <c r="T57" s="628"/>
      <c r="U57" s="628"/>
      <c r="V57" s="629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30"/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1"/>
      <c r="P58" s="627" t="s">
        <v>40</v>
      </c>
      <c r="Q58" s="628"/>
      <c r="R58" s="628"/>
      <c r="S58" s="628"/>
      <c r="T58" s="628"/>
      <c r="U58" s="628"/>
      <c r="V58" s="629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2" t="s">
        <v>147</v>
      </c>
      <c r="B59" s="622"/>
      <c r="C59" s="622"/>
      <c r="D59" s="622"/>
      <c r="E59" s="622"/>
      <c r="F59" s="622"/>
      <c r="G59" s="622"/>
      <c r="H59" s="622"/>
      <c r="I59" s="622"/>
      <c r="J59" s="622"/>
      <c r="K59" s="622"/>
      <c r="L59" s="622"/>
      <c r="M59" s="622"/>
      <c r="N59" s="622"/>
      <c r="O59" s="622"/>
      <c r="P59" s="622"/>
      <c r="Q59" s="622"/>
      <c r="R59" s="622"/>
      <c r="S59" s="622"/>
      <c r="T59" s="622"/>
      <c r="U59" s="622"/>
      <c r="V59" s="622"/>
      <c r="W59" s="622"/>
      <c r="X59" s="622"/>
      <c r="Y59" s="622"/>
      <c r="Z59" s="622"/>
      <c r="AA59" s="66"/>
      <c r="AB59" s="66"/>
      <c r="AC59" s="80"/>
    </row>
    <row r="60" spans="1:68" ht="16.5" customHeight="1" x14ac:dyDescent="0.25">
      <c r="A60" s="63" t="s">
        <v>148</v>
      </c>
      <c r="B60" s="63" t="s">
        <v>149</v>
      </c>
      <c r="C60" s="36">
        <v>4301020298</v>
      </c>
      <c r="D60" s="623">
        <v>4680115881440</v>
      </c>
      <c r="E60" s="623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117</v>
      </c>
      <c r="L60" s="37" t="s">
        <v>118</v>
      </c>
      <c r="M60" s="38" t="s">
        <v>116</v>
      </c>
      <c r="N60" s="38"/>
      <c r="O60" s="37">
        <v>50</v>
      </c>
      <c r="P60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5"/>
      <c r="R60" s="625"/>
      <c r="S60" s="625"/>
      <c r="T60" s="626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150</v>
      </c>
      <c r="AG60" s="78"/>
      <c r="AJ60" s="84" t="s">
        <v>101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151</v>
      </c>
      <c r="B61" s="63" t="s">
        <v>152</v>
      </c>
      <c r="C61" s="36">
        <v>4301020358</v>
      </c>
      <c r="D61" s="623">
        <v>4680115885950</v>
      </c>
      <c r="E61" s="623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150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4301020296</v>
      </c>
      <c r="D62" s="623">
        <v>4680115881433</v>
      </c>
      <c r="E62" s="623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116</v>
      </c>
      <c r="N62" s="38"/>
      <c r="O62" s="37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150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30"/>
      <c r="B63" s="630"/>
      <c r="C63" s="630"/>
      <c r="D63" s="630"/>
      <c r="E63" s="630"/>
      <c r="F63" s="630"/>
      <c r="G63" s="630"/>
      <c r="H63" s="630"/>
      <c r="I63" s="630"/>
      <c r="J63" s="630"/>
      <c r="K63" s="630"/>
      <c r="L63" s="630"/>
      <c r="M63" s="630"/>
      <c r="N63" s="630"/>
      <c r="O63" s="631"/>
      <c r="P63" s="627" t="s">
        <v>40</v>
      </c>
      <c r="Q63" s="628"/>
      <c r="R63" s="628"/>
      <c r="S63" s="628"/>
      <c r="T63" s="628"/>
      <c r="U63" s="628"/>
      <c r="V63" s="629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30"/>
      <c r="B64" s="630"/>
      <c r="C64" s="630"/>
      <c r="D64" s="630"/>
      <c r="E64" s="630"/>
      <c r="F64" s="630"/>
      <c r="G64" s="630"/>
      <c r="H64" s="630"/>
      <c r="I64" s="630"/>
      <c r="J64" s="630"/>
      <c r="K64" s="630"/>
      <c r="L64" s="630"/>
      <c r="M64" s="630"/>
      <c r="N64" s="630"/>
      <c r="O64" s="631"/>
      <c r="P64" s="627" t="s">
        <v>40</v>
      </c>
      <c r="Q64" s="628"/>
      <c r="R64" s="628"/>
      <c r="S64" s="628"/>
      <c r="T64" s="628"/>
      <c r="U64" s="628"/>
      <c r="V64" s="629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2" t="s">
        <v>78</v>
      </c>
      <c r="B65" s="622"/>
      <c r="C65" s="622"/>
      <c r="D65" s="622"/>
      <c r="E65" s="622"/>
      <c r="F65" s="622"/>
      <c r="G65" s="622"/>
      <c r="H65" s="622"/>
      <c r="I65" s="622"/>
      <c r="J65" s="622"/>
      <c r="K65" s="622"/>
      <c r="L65" s="622"/>
      <c r="M65" s="622"/>
      <c r="N65" s="622"/>
      <c r="O65" s="622"/>
      <c r="P65" s="622"/>
      <c r="Q65" s="622"/>
      <c r="R65" s="622"/>
      <c r="S65" s="622"/>
      <c r="T65" s="622"/>
      <c r="U65" s="622"/>
      <c r="V65" s="622"/>
      <c r="W65" s="622"/>
      <c r="X65" s="622"/>
      <c r="Y65" s="622"/>
      <c r="Z65" s="622"/>
      <c r="AA65" s="66"/>
      <c r="AB65" s="66"/>
      <c r="AC65" s="80"/>
    </row>
    <row r="66" spans="1:68" ht="27" customHeight="1" x14ac:dyDescent="0.25">
      <c r="A66" s="63" t="s">
        <v>155</v>
      </c>
      <c r="B66" s="63" t="s">
        <v>156</v>
      </c>
      <c r="C66" s="36">
        <v>4301031243</v>
      </c>
      <c r="D66" s="623">
        <v>4680115885073</v>
      </c>
      <c r="E66" s="623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5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5"/>
      <c r="R66" s="625"/>
      <c r="S66" s="625"/>
      <c r="T66" s="626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157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158</v>
      </c>
      <c r="B67" s="63" t="s">
        <v>159</v>
      </c>
      <c r="C67" s="36">
        <v>4301031241</v>
      </c>
      <c r="D67" s="623">
        <v>4680115885059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160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161</v>
      </c>
      <c r="B68" s="63" t="s">
        <v>162</v>
      </c>
      <c r="C68" s="36">
        <v>4301031316</v>
      </c>
      <c r="D68" s="623">
        <v>4680115885097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163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30"/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1"/>
      <c r="P69" s="627" t="s">
        <v>40</v>
      </c>
      <c r="Q69" s="628"/>
      <c r="R69" s="628"/>
      <c r="S69" s="628"/>
      <c r="T69" s="628"/>
      <c r="U69" s="628"/>
      <c r="V69" s="629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30"/>
      <c r="B70" s="630"/>
      <c r="C70" s="630"/>
      <c r="D70" s="630"/>
      <c r="E70" s="630"/>
      <c r="F70" s="630"/>
      <c r="G70" s="630"/>
      <c r="H70" s="630"/>
      <c r="I70" s="630"/>
      <c r="J70" s="630"/>
      <c r="K70" s="630"/>
      <c r="L70" s="630"/>
      <c r="M70" s="630"/>
      <c r="N70" s="630"/>
      <c r="O70" s="631"/>
      <c r="P70" s="627" t="s">
        <v>40</v>
      </c>
      <c r="Q70" s="628"/>
      <c r="R70" s="628"/>
      <c r="S70" s="628"/>
      <c r="T70" s="628"/>
      <c r="U70" s="628"/>
      <c r="V70" s="629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2" t="s">
        <v>84</v>
      </c>
      <c r="B71" s="622"/>
      <c r="C71" s="622"/>
      <c r="D71" s="622"/>
      <c r="E71" s="622"/>
      <c r="F71" s="622"/>
      <c r="G71" s="622"/>
      <c r="H71" s="622"/>
      <c r="I71" s="622"/>
      <c r="J71" s="622"/>
      <c r="K71" s="622"/>
      <c r="L71" s="622"/>
      <c r="M71" s="622"/>
      <c r="N71" s="622"/>
      <c r="O71" s="622"/>
      <c r="P71" s="622"/>
      <c r="Q71" s="622"/>
      <c r="R71" s="622"/>
      <c r="S71" s="622"/>
      <c r="T71" s="622"/>
      <c r="U71" s="622"/>
      <c r="V71" s="622"/>
      <c r="W71" s="622"/>
      <c r="X71" s="622"/>
      <c r="Y71" s="622"/>
      <c r="Z71" s="622"/>
      <c r="AA71" s="66"/>
      <c r="AB71" s="66"/>
      <c r="AC71" s="80"/>
    </row>
    <row r="72" spans="1:68" ht="27" customHeight="1" x14ac:dyDescent="0.25">
      <c r="A72" s="63" t="s">
        <v>164</v>
      </c>
      <c r="B72" s="63" t="s">
        <v>165</v>
      </c>
      <c r="C72" s="36">
        <v>4301051846</v>
      </c>
      <c r="D72" s="623">
        <v>4680115885769</v>
      </c>
      <c r="E72" s="62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45</v>
      </c>
      <c r="M72" s="38" t="s">
        <v>88</v>
      </c>
      <c r="N72" s="38"/>
      <c r="O72" s="37">
        <v>45</v>
      </c>
      <c r="P72" s="65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5"/>
      <c r="R72" s="625"/>
      <c r="S72" s="625"/>
      <c r="T72" s="62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166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167</v>
      </c>
      <c r="B73" s="63" t="s">
        <v>168</v>
      </c>
      <c r="C73" s="36">
        <v>4301051837</v>
      </c>
      <c r="D73" s="623">
        <v>4680115884311</v>
      </c>
      <c r="E73" s="62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100</v>
      </c>
      <c r="M73" s="38" t="s">
        <v>88</v>
      </c>
      <c r="N73" s="38"/>
      <c r="O73" s="37">
        <v>40</v>
      </c>
      <c r="P73" s="6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169</v>
      </c>
      <c r="AG73" s="78"/>
      <c r="AJ73" s="84" t="s">
        <v>101</v>
      </c>
      <c r="AK73" s="84">
        <v>25.2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170</v>
      </c>
      <c r="B74" s="63" t="s">
        <v>171</v>
      </c>
      <c r="C74" s="36">
        <v>4301051844</v>
      </c>
      <c r="D74" s="623">
        <v>4680115885929</v>
      </c>
      <c r="E74" s="62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166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4301051929</v>
      </c>
      <c r="D75" s="623">
        <v>4680115884403</v>
      </c>
      <c r="E75" s="62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100</v>
      </c>
      <c r="M75" s="38" t="s">
        <v>88</v>
      </c>
      <c r="N75" s="38"/>
      <c r="O75" s="37">
        <v>40</v>
      </c>
      <c r="P75" s="6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174</v>
      </c>
      <c r="AG75" s="78"/>
      <c r="AJ75" s="84" t="s">
        <v>101</v>
      </c>
      <c r="AK75" s="84">
        <v>25.2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30"/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1"/>
      <c r="P76" s="627" t="s">
        <v>40</v>
      </c>
      <c r="Q76" s="628"/>
      <c r="R76" s="628"/>
      <c r="S76" s="628"/>
      <c r="T76" s="628"/>
      <c r="U76" s="628"/>
      <c r="V76" s="629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30"/>
      <c r="B77" s="630"/>
      <c r="C77" s="630"/>
      <c r="D77" s="630"/>
      <c r="E77" s="630"/>
      <c r="F77" s="630"/>
      <c r="G77" s="630"/>
      <c r="H77" s="630"/>
      <c r="I77" s="630"/>
      <c r="J77" s="630"/>
      <c r="K77" s="630"/>
      <c r="L77" s="630"/>
      <c r="M77" s="630"/>
      <c r="N77" s="630"/>
      <c r="O77" s="631"/>
      <c r="P77" s="627" t="s">
        <v>40</v>
      </c>
      <c r="Q77" s="628"/>
      <c r="R77" s="628"/>
      <c r="S77" s="628"/>
      <c r="T77" s="628"/>
      <c r="U77" s="628"/>
      <c r="V77" s="629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2" t="s">
        <v>175</v>
      </c>
      <c r="B78" s="622"/>
      <c r="C78" s="622"/>
      <c r="D78" s="622"/>
      <c r="E78" s="622"/>
      <c r="F78" s="622"/>
      <c r="G78" s="622"/>
      <c r="H78" s="622"/>
      <c r="I78" s="622"/>
      <c r="J78" s="622"/>
      <c r="K78" s="622"/>
      <c r="L78" s="622"/>
      <c r="M78" s="622"/>
      <c r="N78" s="622"/>
      <c r="O78" s="622"/>
      <c r="P78" s="622"/>
      <c r="Q78" s="622"/>
      <c r="R78" s="622"/>
      <c r="S78" s="622"/>
      <c r="T78" s="622"/>
      <c r="U78" s="622"/>
      <c r="V78" s="622"/>
      <c r="W78" s="622"/>
      <c r="X78" s="622"/>
      <c r="Y78" s="622"/>
      <c r="Z78" s="622"/>
      <c r="AA78" s="66"/>
      <c r="AB78" s="66"/>
      <c r="AC78" s="80"/>
    </row>
    <row r="79" spans="1:68" ht="27" customHeight="1" x14ac:dyDescent="0.25">
      <c r="A79" s="63" t="s">
        <v>176</v>
      </c>
      <c r="B79" s="63" t="s">
        <v>177</v>
      </c>
      <c r="C79" s="36">
        <v>4301060455</v>
      </c>
      <c r="D79" s="623">
        <v>4680115881532</v>
      </c>
      <c r="E79" s="62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96</v>
      </c>
      <c r="N79" s="38"/>
      <c r="O79" s="37">
        <v>30</v>
      </c>
      <c r="P79" s="6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5"/>
      <c r="R79" s="625"/>
      <c r="S79" s="625"/>
      <c r="T79" s="62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178</v>
      </c>
      <c r="AG79" s="78"/>
      <c r="AJ79" s="84" t="s">
        <v>101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179</v>
      </c>
      <c r="B80" s="63" t="s">
        <v>180</v>
      </c>
      <c r="C80" s="36">
        <v>4301060351</v>
      </c>
      <c r="D80" s="623">
        <v>4680115881464</v>
      </c>
      <c r="E80" s="62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121</v>
      </c>
      <c r="L80" s="37" t="s">
        <v>122</v>
      </c>
      <c r="M80" s="38" t="s">
        <v>88</v>
      </c>
      <c r="N80" s="38"/>
      <c r="O80" s="37">
        <v>30</v>
      </c>
      <c r="P80" s="6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181</v>
      </c>
      <c r="AG80" s="78"/>
      <c r="AJ80" s="84" t="s">
        <v>101</v>
      </c>
      <c r="AK80" s="84">
        <v>28.8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30"/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1"/>
      <c r="P81" s="627" t="s">
        <v>40</v>
      </c>
      <c r="Q81" s="628"/>
      <c r="R81" s="628"/>
      <c r="S81" s="628"/>
      <c r="T81" s="628"/>
      <c r="U81" s="628"/>
      <c r="V81" s="629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30"/>
      <c r="B82" s="630"/>
      <c r="C82" s="630"/>
      <c r="D82" s="630"/>
      <c r="E82" s="630"/>
      <c r="F82" s="630"/>
      <c r="G82" s="630"/>
      <c r="H82" s="630"/>
      <c r="I82" s="630"/>
      <c r="J82" s="630"/>
      <c r="K82" s="630"/>
      <c r="L82" s="630"/>
      <c r="M82" s="630"/>
      <c r="N82" s="630"/>
      <c r="O82" s="631"/>
      <c r="P82" s="627" t="s">
        <v>40</v>
      </c>
      <c r="Q82" s="628"/>
      <c r="R82" s="628"/>
      <c r="S82" s="628"/>
      <c r="T82" s="628"/>
      <c r="U82" s="628"/>
      <c r="V82" s="629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21" t="s">
        <v>182</v>
      </c>
      <c r="B83" s="621"/>
      <c r="C83" s="621"/>
      <c r="D83" s="621"/>
      <c r="E83" s="621"/>
      <c r="F83" s="621"/>
      <c r="G83" s="621"/>
      <c r="H83" s="621"/>
      <c r="I83" s="621"/>
      <c r="J83" s="621"/>
      <c r="K83" s="621"/>
      <c r="L83" s="621"/>
      <c r="M83" s="621"/>
      <c r="N83" s="621"/>
      <c r="O83" s="621"/>
      <c r="P83" s="621"/>
      <c r="Q83" s="621"/>
      <c r="R83" s="621"/>
      <c r="S83" s="621"/>
      <c r="T83" s="621"/>
      <c r="U83" s="621"/>
      <c r="V83" s="621"/>
      <c r="W83" s="621"/>
      <c r="X83" s="621"/>
      <c r="Y83" s="621"/>
      <c r="Z83" s="621"/>
      <c r="AA83" s="65"/>
      <c r="AB83" s="65"/>
      <c r="AC83" s="79"/>
    </row>
    <row r="84" spans="1:68" ht="14.25" customHeight="1" x14ac:dyDescent="0.25">
      <c r="A84" s="622" t="s">
        <v>112</v>
      </c>
      <c r="B84" s="622"/>
      <c r="C84" s="622"/>
      <c r="D84" s="622"/>
      <c r="E84" s="622"/>
      <c r="F84" s="622"/>
      <c r="G84" s="622"/>
      <c r="H84" s="622"/>
      <c r="I84" s="622"/>
      <c r="J84" s="622"/>
      <c r="K84" s="622"/>
      <c r="L84" s="622"/>
      <c r="M84" s="622"/>
      <c r="N84" s="622"/>
      <c r="O84" s="622"/>
      <c r="P84" s="622"/>
      <c r="Q84" s="622"/>
      <c r="R84" s="622"/>
      <c r="S84" s="622"/>
      <c r="T84" s="622"/>
      <c r="U84" s="622"/>
      <c r="V84" s="622"/>
      <c r="W84" s="622"/>
      <c r="X84" s="622"/>
      <c r="Y84" s="622"/>
      <c r="Z84" s="62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23">
        <v>4680115881327</v>
      </c>
      <c r="E85" s="62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96</v>
      </c>
      <c r="N85" s="38"/>
      <c r="O85" s="37">
        <v>50</v>
      </c>
      <c r="P85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5"/>
      <c r="R85" s="625"/>
      <c r="S85" s="625"/>
      <c r="T85" s="62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185</v>
      </c>
      <c r="AG85" s="78"/>
      <c r="AJ85" s="84" t="s">
        <v>101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4301011476</v>
      </c>
      <c r="D86" s="623">
        <v>4680115881518</v>
      </c>
      <c r="E86" s="623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121</v>
      </c>
      <c r="L86" s="37" t="s">
        <v>45</v>
      </c>
      <c r="M86" s="38" t="s">
        <v>88</v>
      </c>
      <c r="N86" s="38"/>
      <c r="O86" s="37">
        <v>50</v>
      </c>
      <c r="P86" s="6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185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4301011443</v>
      </c>
      <c r="D87" s="623">
        <v>4680115881303</v>
      </c>
      <c r="E87" s="623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121</v>
      </c>
      <c r="L87" s="37" t="s">
        <v>122</v>
      </c>
      <c r="M87" s="38" t="s">
        <v>96</v>
      </c>
      <c r="N87" s="38"/>
      <c r="O87" s="37">
        <v>50</v>
      </c>
      <c r="P87" s="6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185</v>
      </c>
      <c r="AG87" s="78"/>
      <c r="AJ87" s="84" t="s">
        <v>101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30"/>
      <c r="B88" s="630"/>
      <c r="C88" s="630"/>
      <c r="D88" s="630"/>
      <c r="E88" s="630"/>
      <c r="F88" s="630"/>
      <c r="G88" s="630"/>
      <c r="H88" s="630"/>
      <c r="I88" s="630"/>
      <c r="J88" s="630"/>
      <c r="K88" s="630"/>
      <c r="L88" s="630"/>
      <c r="M88" s="630"/>
      <c r="N88" s="630"/>
      <c r="O88" s="631"/>
      <c r="P88" s="627" t="s">
        <v>40</v>
      </c>
      <c r="Q88" s="628"/>
      <c r="R88" s="628"/>
      <c r="S88" s="628"/>
      <c r="T88" s="628"/>
      <c r="U88" s="628"/>
      <c r="V88" s="629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30"/>
      <c r="B89" s="630"/>
      <c r="C89" s="630"/>
      <c r="D89" s="630"/>
      <c r="E89" s="630"/>
      <c r="F89" s="630"/>
      <c r="G89" s="630"/>
      <c r="H89" s="630"/>
      <c r="I89" s="630"/>
      <c r="J89" s="630"/>
      <c r="K89" s="630"/>
      <c r="L89" s="630"/>
      <c r="M89" s="630"/>
      <c r="N89" s="630"/>
      <c r="O89" s="631"/>
      <c r="P89" s="627" t="s">
        <v>40</v>
      </c>
      <c r="Q89" s="628"/>
      <c r="R89" s="628"/>
      <c r="S89" s="628"/>
      <c r="T89" s="628"/>
      <c r="U89" s="628"/>
      <c r="V89" s="629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2" t="s">
        <v>84</v>
      </c>
      <c r="B90" s="622"/>
      <c r="C90" s="622"/>
      <c r="D90" s="622"/>
      <c r="E90" s="622"/>
      <c r="F90" s="622"/>
      <c r="G90" s="622"/>
      <c r="H90" s="622"/>
      <c r="I90" s="622"/>
      <c r="J90" s="622"/>
      <c r="K90" s="622"/>
      <c r="L90" s="622"/>
      <c r="M90" s="622"/>
      <c r="N90" s="622"/>
      <c r="O90" s="622"/>
      <c r="P90" s="622"/>
      <c r="Q90" s="622"/>
      <c r="R90" s="622"/>
      <c r="S90" s="622"/>
      <c r="T90" s="622"/>
      <c r="U90" s="622"/>
      <c r="V90" s="622"/>
      <c r="W90" s="622"/>
      <c r="X90" s="622"/>
      <c r="Y90" s="622"/>
      <c r="Z90" s="622"/>
      <c r="AA90" s="66"/>
      <c r="AB90" s="66"/>
      <c r="AC90" s="80"/>
    </row>
    <row r="91" spans="1:68" ht="27" customHeight="1" x14ac:dyDescent="0.25">
      <c r="A91" s="63" t="s">
        <v>190</v>
      </c>
      <c r="B91" s="63" t="s">
        <v>191</v>
      </c>
      <c r="C91" s="36">
        <v>4301051712</v>
      </c>
      <c r="D91" s="623">
        <v>4607091386967</v>
      </c>
      <c r="E91" s="623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117</v>
      </c>
      <c r="L91" s="37" t="s">
        <v>118</v>
      </c>
      <c r="M91" s="38" t="s">
        <v>96</v>
      </c>
      <c r="N91" s="38"/>
      <c r="O91" s="37">
        <v>45</v>
      </c>
      <c r="P91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5"/>
      <c r="R91" s="625"/>
      <c r="S91" s="625"/>
      <c r="T91" s="626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192</v>
      </c>
      <c r="AG91" s="78"/>
      <c r="AJ91" s="84" t="s">
        <v>101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193</v>
      </c>
      <c r="B92" s="63" t="s">
        <v>194</v>
      </c>
      <c r="C92" s="36">
        <v>4301051788</v>
      </c>
      <c r="D92" s="623">
        <v>4680115884953</v>
      </c>
      <c r="E92" s="623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195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196</v>
      </c>
      <c r="B93" s="63" t="s">
        <v>197</v>
      </c>
      <c r="C93" s="36">
        <v>4301051718</v>
      </c>
      <c r="D93" s="623">
        <v>4607091385731</v>
      </c>
      <c r="E93" s="623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45</v>
      </c>
      <c r="M93" s="38" t="s">
        <v>96</v>
      </c>
      <c r="N93" s="38"/>
      <c r="O93" s="37">
        <v>45</v>
      </c>
      <c r="P93" s="6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3">
        <v>4680115880894</v>
      </c>
      <c r="E94" s="623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100</v>
      </c>
      <c r="M94" s="38" t="s">
        <v>88</v>
      </c>
      <c r="N94" s="38"/>
      <c r="O94" s="37">
        <v>45</v>
      </c>
      <c r="P94" s="6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101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30"/>
      <c r="B95" s="630"/>
      <c r="C95" s="630"/>
      <c r="D95" s="630"/>
      <c r="E95" s="630"/>
      <c r="F95" s="630"/>
      <c r="G95" s="630"/>
      <c r="H95" s="630"/>
      <c r="I95" s="630"/>
      <c r="J95" s="630"/>
      <c r="K95" s="630"/>
      <c r="L95" s="630"/>
      <c r="M95" s="630"/>
      <c r="N95" s="630"/>
      <c r="O95" s="631"/>
      <c r="P95" s="627" t="s">
        <v>40</v>
      </c>
      <c r="Q95" s="628"/>
      <c r="R95" s="628"/>
      <c r="S95" s="628"/>
      <c r="T95" s="628"/>
      <c r="U95" s="628"/>
      <c r="V95" s="629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30"/>
      <c r="B96" s="630"/>
      <c r="C96" s="630"/>
      <c r="D96" s="630"/>
      <c r="E96" s="630"/>
      <c r="F96" s="630"/>
      <c r="G96" s="630"/>
      <c r="H96" s="630"/>
      <c r="I96" s="630"/>
      <c r="J96" s="630"/>
      <c r="K96" s="630"/>
      <c r="L96" s="630"/>
      <c r="M96" s="630"/>
      <c r="N96" s="630"/>
      <c r="O96" s="631"/>
      <c r="P96" s="627" t="s">
        <v>40</v>
      </c>
      <c r="Q96" s="628"/>
      <c r="R96" s="628"/>
      <c r="S96" s="628"/>
      <c r="T96" s="628"/>
      <c r="U96" s="628"/>
      <c r="V96" s="629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21" t="s">
        <v>201</v>
      </c>
      <c r="B97" s="621"/>
      <c r="C97" s="621"/>
      <c r="D97" s="621"/>
      <c r="E97" s="621"/>
      <c r="F97" s="621"/>
      <c r="G97" s="621"/>
      <c r="H97" s="621"/>
      <c r="I97" s="621"/>
      <c r="J97" s="621"/>
      <c r="K97" s="621"/>
      <c r="L97" s="621"/>
      <c r="M97" s="621"/>
      <c r="N97" s="621"/>
      <c r="O97" s="621"/>
      <c r="P97" s="621"/>
      <c r="Q97" s="621"/>
      <c r="R97" s="621"/>
      <c r="S97" s="621"/>
      <c r="T97" s="621"/>
      <c r="U97" s="621"/>
      <c r="V97" s="621"/>
      <c r="W97" s="621"/>
      <c r="X97" s="621"/>
      <c r="Y97" s="621"/>
      <c r="Z97" s="621"/>
      <c r="AA97" s="65"/>
      <c r="AB97" s="65"/>
      <c r="AC97" s="79"/>
    </row>
    <row r="98" spans="1:68" ht="14.25" customHeight="1" x14ac:dyDescent="0.25">
      <c r="A98" s="622" t="s">
        <v>112</v>
      </c>
      <c r="B98" s="622"/>
      <c r="C98" s="622"/>
      <c r="D98" s="622"/>
      <c r="E98" s="622"/>
      <c r="F98" s="622"/>
      <c r="G98" s="622"/>
      <c r="H98" s="622"/>
      <c r="I98" s="622"/>
      <c r="J98" s="622"/>
      <c r="K98" s="622"/>
      <c r="L98" s="622"/>
      <c r="M98" s="622"/>
      <c r="N98" s="622"/>
      <c r="O98" s="622"/>
      <c r="P98" s="622"/>
      <c r="Q98" s="622"/>
      <c r="R98" s="622"/>
      <c r="S98" s="622"/>
      <c r="T98" s="622"/>
      <c r="U98" s="622"/>
      <c r="V98" s="622"/>
      <c r="W98" s="622"/>
      <c r="X98" s="622"/>
      <c r="Y98" s="622"/>
      <c r="Z98" s="622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3">
        <v>4680115882133</v>
      </c>
      <c r="E99" s="623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117</v>
      </c>
      <c r="L99" s="37" t="s">
        <v>118</v>
      </c>
      <c r="M99" s="38" t="s">
        <v>116</v>
      </c>
      <c r="N99" s="38"/>
      <c r="O99" s="37">
        <v>50</v>
      </c>
      <c r="P99" s="6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5"/>
      <c r="R99" s="625"/>
      <c r="S99" s="625"/>
      <c r="T99" s="626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101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3">
        <v>4680115880269</v>
      </c>
      <c r="E100" s="623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121</v>
      </c>
      <c r="L100" s="37" t="s">
        <v>122</v>
      </c>
      <c r="M100" s="38" t="s">
        <v>88</v>
      </c>
      <c r="N100" s="38"/>
      <c r="O100" s="37">
        <v>50</v>
      </c>
      <c r="P100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101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3">
        <v>4680115880429</v>
      </c>
      <c r="E101" s="623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121</v>
      </c>
      <c r="L101" s="37" t="s">
        <v>122</v>
      </c>
      <c r="M101" s="38" t="s">
        <v>88</v>
      </c>
      <c r="N101" s="38"/>
      <c r="O101" s="37">
        <v>50</v>
      </c>
      <c r="P101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101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3">
        <v>4680115881457</v>
      </c>
      <c r="E102" s="623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121</v>
      </c>
      <c r="L102" s="37" t="s">
        <v>45</v>
      </c>
      <c r="M102" s="38" t="s">
        <v>88</v>
      </c>
      <c r="N102" s="38"/>
      <c r="O102" s="37">
        <v>50</v>
      </c>
      <c r="P102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30"/>
      <c r="B103" s="630"/>
      <c r="C103" s="630"/>
      <c r="D103" s="630"/>
      <c r="E103" s="630"/>
      <c r="F103" s="630"/>
      <c r="G103" s="630"/>
      <c r="H103" s="630"/>
      <c r="I103" s="630"/>
      <c r="J103" s="630"/>
      <c r="K103" s="630"/>
      <c r="L103" s="630"/>
      <c r="M103" s="630"/>
      <c r="N103" s="630"/>
      <c r="O103" s="631"/>
      <c r="P103" s="627" t="s">
        <v>40</v>
      </c>
      <c r="Q103" s="628"/>
      <c r="R103" s="628"/>
      <c r="S103" s="628"/>
      <c r="T103" s="628"/>
      <c r="U103" s="628"/>
      <c r="V103" s="629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30"/>
      <c r="B104" s="630"/>
      <c r="C104" s="630"/>
      <c r="D104" s="630"/>
      <c r="E104" s="630"/>
      <c r="F104" s="630"/>
      <c r="G104" s="630"/>
      <c r="H104" s="630"/>
      <c r="I104" s="630"/>
      <c r="J104" s="630"/>
      <c r="K104" s="630"/>
      <c r="L104" s="630"/>
      <c r="M104" s="630"/>
      <c r="N104" s="630"/>
      <c r="O104" s="631"/>
      <c r="P104" s="627" t="s">
        <v>40</v>
      </c>
      <c r="Q104" s="628"/>
      <c r="R104" s="628"/>
      <c r="S104" s="628"/>
      <c r="T104" s="628"/>
      <c r="U104" s="628"/>
      <c r="V104" s="629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2" t="s">
        <v>147</v>
      </c>
      <c r="B105" s="622"/>
      <c r="C105" s="622"/>
      <c r="D105" s="622"/>
      <c r="E105" s="622"/>
      <c r="F105" s="622"/>
      <c r="G105" s="622"/>
      <c r="H105" s="622"/>
      <c r="I105" s="622"/>
      <c r="J105" s="622"/>
      <c r="K105" s="622"/>
      <c r="L105" s="622"/>
      <c r="M105" s="622"/>
      <c r="N105" s="622"/>
      <c r="O105" s="622"/>
      <c r="P105" s="622"/>
      <c r="Q105" s="622"/>
      <c r="R105" s="622"/>
      <c r="S105" s="622"/>
      <c r="T105" s="622"/>
      <c r="U105" s="622"/>
      <c r="V105" s="622"/>
      <c r="W105" s="622"/>
      <c r="X105" s="622"/>
      <c r="Y105" s="622"/>
      <c r="Z105" s="622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3">
        <v>4680115881488</v>
      </c>
      <c r="E106" s="623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117</v>
      </c>
      <c r="L106" s="37" t="s">
        <v>45</v>
      </c>
      <c r="M106" s="38" t="s">
        <v>116</v>
      </c>
      <c r="N106" s="38"/>
      <c r="O106" s="37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5"/>
      <c r="R106" s="625"/>
      <c r="S106" s="625"/>
      <c r="T106" s="626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45</v>
      </c>
      <c r="AK106" s="84">
        <v>0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3">
        <v>4680115882775</v>
      </c>
      <c r="E107" s="623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116</v>
      </c>
      <c r="N107" s="38"/>
      <c r="O107" s="37">
        <v>55</v>
      </c>
      <c r="P107" s="67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3">
        <v>4680115880658</v>
      </c>
      <c r="E108" s="623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116</v>
      </c>
      <c r="N108" s="38"/>
      <c r="O108" s="37">
        <v>55</v>
      </c>
      <c r="P108" s="67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30"/>
      <c r="B109" s="630"/>
      <c r="C109" s="630"/>
      <c r="D109" s="630"/>
      <c r="E109" s="630"/>
      <c r="F109" s="630"/>
      <c r="G109" s="630"/>
      <c r="H109" s="630"/>
      <c r="I109" s="630"/>
      <c r="J109" s="630"/>
      <c r="K109" s="630"/>
      <c r="L109" s="630"/>
      <c r="M109" s="630"/>
      <c r="N109" s="630"/>
      <c r="O109" s="631"/>
      <c r="P109" s="627" t="s">
        <v>40</v>
      </c>
      <c r="Q109" s="628"/>
      <c r="R109" s="628"/>
      <c r="S109" s="628"/>
      <c r="T109" s="628"/>
      <c r="U109" s="628"/>
      <c r="V109" s="629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30"/>
      <c r="B110" s="630"/>
      <c r="C110" s="630"/>
      <c r="D110" s="630"/>
      <c r="E110" s="630"/>
      <c r="F110" s="630"/>
      <c r="G110" s="630"/>
      <c r="H110" s="630"/>
      <c r="I110" s="630"/>
      <c r="J110" s="630"/>
      <c r="K110" s="630"/>
      <c r="L110" s="630"/>
      <c r="M110" s="630"/>
      <c r="N110" s="630"/>
      <c r="O110" s="631"/>
      <c r="P110" s="627" t="s">
        <v>40</v>
      </c>
      <c r="Q110" s="628"/>
      <c r="R110" s="628"/>
      <c r="S110" s="628"/>
      <c r="T110" s="628"/>
      <c r="U110" s="628"/>
      <c r="V110" s="629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2" t="s">
        <v>84</v>
      </c>
      <c r="B111" s="622"/>
      <c r="C111" s="622"/>
      <c r="D111" s="622"/>
      <c r="E111" s="622"/>
      <c r="F111" s="622"/>
      <c r="G111" s="622"/>
      <c r="H111" s="622"/>
      <c r="I111" s="622"/>
      <c r="J111" s="622"/>
      <c r="K111" s="622"/>
      <c r="L111" s="622"/>
      <c r="M111" s="622"/>
      <c r="N111" s="622"/>
      <c r="O111" s="622"/>
      <c r="P111" s="622"/>
      <c r="Q111" s="622"/>
      <c r="R111" s="622"/>
      <c r="S111" s="622"/>
      <c r="T111" s="622"/>
      <c r="U111" s="622"/>
      <c r="V111" s="622"/>
      <c r="W111" s="622"/>
      <c r="X111" s="622"/>
      <c r="Y111" s="622"/>
      <c r="Z111" s="622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3">
        <v>4607091385168</v>
      </c>
      <c r="E112" s="623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117</v>
      </c>
      <c r="L112" s="37" t="s">
        <v>118</v>
      </c>
      <c r="M112" s="38" t="s">
        <v>96</v>
      </c>
      <c r="N112" s="38"/>
      <c r="O112" s="37">
        <v>45</v>
      </c>
      <c r="P112" s="6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5"/>
      <c r="R112" s="625"/>
      <c r="S112" s="625"/>
      <c r="T112" s="626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101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3">
        <v>4607091383256</v>
      </c>
      <c r="E113" s="623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100</v>
      </c>
      <c r="M113" s="38" t="s">
        <v>96</v>
      </c>
      <c r="N113" s="38"/>
      <c r="O113" s="37">
        <v>45</v>
      </c>
      <c r="P113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101</v>
      </c>
      <c r="AK113" s="84">
        <v>27.72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3">
        <v>4607091385748</v>
      </c>
      <c r="E114" s="623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100</v>
      </c>
      <c r="M114" s="38" t="s">
        <v>96</v>
      </c>
      <c r="N114" s="38"/>
      <c r="O114" s="37">
        <v>45</v>
      </c>
      <c r="P114" s="6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101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3">
        <v>4680115884533</v>
      </c>
      <c r="E115" s="623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100</v>
      </c>
      <c r="M115" s="38" t="s">
        <v>88</v>
      </c>
      <c r="N115" s="38"/>
      <c r="O115" s="37">
        <v>45</v>
      </c>
      <c r="P115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101</v>
      </c>
      <c r="AK115" s="84">
        <v>25.2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30"/>
      <c r="B116" s="630"/>
      <c r="C116" s="630"/>
      <c r="D116" s="630"/>
      <c r="E116" s="630"/>
      <c r="F116" s="630"/>
      <c r="G116" s="630"/>
      <c r="H116" s="630"/>
      <c r="I116" s="630"/>
      <c r="J116" s="630"/>
      <c r="K116" s="630"/>
      <c r="L116" s="630"/>
      <c r="M116" s="630"/>
      <c r="N116" s="630"/>
      <c r="O116" s="631"/>
      <c r="P116" s="627" t="s">
        <v>40</v>
      </c>
      <c r="Q116" s="628"/>
      <c r="R116" s="628"/>
      <c r="S116" s="628"/>
      <c r="T116" s="628"/>
      <c r="U116" s="628"/>
      <c r="V116" s="629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30"/>
      <c r="B117" s="630"/>
      <c r="C117" s="630"/>
      <c r="D117" s="630"/>
      <c r="E117" s="630"/>
      <c r="F117" s="630"/>
      <c r="G117" s="630"/>
      <c r="H117" s="630"/>
      <c r="I117" s="630"/>
      <c r="J117" s="630"/>
      <c r="K117" s="630"/>
      <c r="L117" s="630"/>
      <c r="M117" s="630"/>
      <c r="N117" s="630"/>
      <c r="O117" s="631"/>
      <c r="P117" s="627" t="s">
        <v>40</v>
      </c>
      <c r="Q117" s="628"/>
      <c r="R117" s="628"/>
      <c r="S117" s="628"/>
      <c r="T117" s="628"/>
      <c r="U117" s="628"/>
      <c r="V117" s="629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2" t="s">
        <v>175</v>
      </c>
      <c r="B118" s="622"/>
      <c r="C118" s="622"/>
      <c r="D118" s="622"/>
      <c r="E118" s="622"/>
      <c r="F118" s="622"/>
      <c r="G118" s="622"/>
      <c r="H118" s="622"/>
      <c r="I118" s="622"/>
      <c r="J118" s="622"/>
      <c r="K118" s="622"/>
      <c r="L118" s="622"/>
      <c r="M118" s="622"/>
      <c r="N118" s="622"/>
      <c r="O118" s="622"/>
      <c r="P118" s="622"/>
      <c r="Q118" s="622"/>
      <c r="R118" s="622"/>
      <c r="S118" s="622"/>
      <c r="T118" s="622"/>
      <c r="U118" s="622"/>
      <c r="V118" s="622"/>
      <c r="W118" s="622"/>
      <c r="X118" s="622"/>
      <c r="Y118" s="622"/>
      <c r="Z118" s="622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3">
        <v>4680115880238</v>
      </c>
      <c r="E119" s="623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100</v>
      </c>
      <c r="M119" s="38" t="s">
        <v>88</v>
      </c>
      <c r="N119" s="38"/>
      <c r="O119" s="37">
        <v>40</v>
      </c>
      <c r="P119" s="67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5"/>
      <c r="R119" s="625"/>
      <c r="S119" s="625"/>
      <c r="T119" s="626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101</v>
      </c>
      <c r="AK119" s="84">
        <v>27.72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30"/>
      <c r="B120" s="630"/>
      <c r="C120" s="630"/>
      <c r="D120" s="630"/>
      <c r="E120" s="630"/>
      <c r="F120" s="630"/>
      <c r="G120" s="630"/>
      <c r="H120" s="630"/>
      <c r="I120" s="630"/>
      <c r="J120" s="630"/>
      <c r="K120" s="630"/>
      <c r="L120" s="630"/>
      <c r="M120" s="630"/>
      <c r="N120" s="630"/>
      <c r="O120" s="631"/>
      <c r="P120" s="627" t="s">
        <v>40</v>
      </c>
      <c r="Q120" s="628"/>
      <c r="R120" s="628"/>
      <c r="S120" s="628"/>
      <c r="T120" s="628"/>
      <c r="U120" s="628"/>
      <c r="V120" s="629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30"/>
      <c r="B121" s="630"/>
      <c r="C121" s="630"/>
      <c r="D121" s="630"/>
      <c r="E121" s="630"/>
      <c r="F121" s="630"/>
      <c r="G121" s="630"/>
      <c r="H121" s="630"/>
      <c r="I121" s="630"/>
      <c r="J121" s="630"/>
      <c r="K121" s="630"/>
      <c r="L121" s="630"/>
      <c r="M121" s="630"/>
      <c r="N121" s="630"/>
      <c r="O121" s="631"/>
      <c r="P121" s="627" t="s">
        <v>40</v>
      </c>
      <c r="Q121" s="628"/>
      <c r="R121" s="628"/>
      <c r="S121" s="628"/>
      <c r="T121" s="628"/>
      <c r="U121" s="628"/>
      <c r="V121" s="629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21" t="s">
        <v>231</v>
      </c>
      <c r="B122" s="621"/>
      <c r="C122" s="621"/>
      <c r="D122" s="621"/>
      <c r="E122" s="621"/>
      <c r="F122" s="621"/>
      <c r="G122" s="621"/>
      <c r="H122" s="621"/>
      <c r="I122" s="621"/>
      <c r="J122" s="621"/>
      <c r="K122" s="621"/>
      <c r="L122" s="621"/>
      <c r="M122" s="621"/>
      <c r="N122" s="621"/>
      <c r="O122" s="621"/>
      <c r="P122" s="621"/>
      <c r="Q122" s="621"/>
      <c r="R122" s="621"/>
      <c r="S122" s="621"/>
      <c r="T122" s="621"/>
      <c r="U122" s="621"/>
      <c r="V122" s="621"/>
      <c r="W122" s="621"/>
      <c r="X122" s="621"/>
      <c r="Y122" s="621"/>
      <c r="Z122" s="621"/>
      <c r="AA122" s="65"/>
      <c r="AB122" s="65"/>
      <c r="AC122" s="79"/>
    </row>
    <row r="123" spans="1:68" ht="14.25" customHeight="1" x14ac:dyDescent="0.25">
      <c r="A123" s="622" t="s">
        <v>112</v>
      </c>
      <c r="B123" s="622"/>
      <c r="C123" s="622"/>
      <c r="D123" s="622"/>
      <c r="E123" s="622"/>
      <c r="F123" s="622"/>
      <c r="G123" s="622"/>
      <c r="H123" s="622"/>
      <c r="I123" s="622"/>
      <c r="J123" s="622"/>
      <c r="K123" s="622"/>
      <c r="L123" s="622"/>
      <c r="M123" s="622"/>
      <c r="N123" s="622"/>
      <c r="O123" s="622"/>
      <c r="P123" s="622"/>
      <c r="Q123" s="622"/>
      <c r="R123" s="622"/>
      <c r="S123" s="622"/>
      <c r="T123" s="622"/>
      <c r="U123" s="622"/>
      <c r="V123" s="622"/>
      <c r="W123" s="622"/>
      <c r="X123" s="622"/>
      <c r="Y123" s="622"/>
      <c r="Z123" s="622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3">
        <v>4680115882577</v>
      </c>
      <c r="E124" s="623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100</v>
      </c>
      <c r="M124" s="38" t="s">
        <v>109</v>
      </c>
      <c r="N124" s="38"/>
      <c r="O124" s="37">
        <v>90</v>
      </c>
      <c r="P124" s="6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5"/>
      <c r="R124" s="625"/>
      <c r="S124" s="625"/>
      <c r="T124" s="626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101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100</v>
      </c>
      <c r="M125" s="38" t="s">
        <v>109</v>
      </c>
      <c r="N125" s="38"/>
      <c r="O125" s="37">
        <v>90</v>
      </c>
      <c r="P125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101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30"/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1"/>
      <c r="P126" s="627" t="s">
        <v>40</v>
      </c>
      <c r="Q126" s="628"/>
      <c r="R126" s="628"/>
      <c r="S126" s="628"/>
      <c r="T126" s="628"/>
      <c r="U126" s="628"/>
      <c r="V126" s="629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30"/>
      <c r="B127" s="630"/>
      <c r="C127" s="630"/>
      <c r="D127" s="630"/>
      <c r="E127" s="630"/>
      <c r="F127" s="630"/>
      <c r="G127" s="630"/>
      <c r="H127" s="630"/>
      <c r="I127" s="630"/>
      <c r="J127" s="630"/>
      <c r="K127" s="630"/>
      <c r="L127" s="630"/>
      <c r="M127" s="630"/>
      <c r="N127" s="630"/>
      <c r="O127" s="631"/>
      <c r="P127" s="627" t="s">
        <v>40</v>
      </c>
      <c r="Q127" s="628"/>
      <c r="R127" s="628"/>
      <c r="S127" s="628"/>
      <c r="T127" s="628"/>
      <c r="U127" s="628"/>
      <c r="V127" s="629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2" t="s">
        <v>78</v>
      </c>
      <c r="B128" s="622"/>
      <c r="C128" s="622"/>
      <c r="D128" s="622"/>
      <c r="E128" s="622"/>
      <c r="F128" s="622"/>
      <c r="G128" s="622"/>
      <c r="H128" s="622"/>
      <c r="I128" s="622"/>
      <c r="J128" s="622"/>
      <c r="K128" s="622"/>
      <c r="L128" s="622"/>
      <c r="M128" s="622"/>
      <c r="N128" s="622"/>
      <c r="O128" s="622"/>
      <c r="P128" s="622"/>
      <c r="Q128" s="622"/>
      <c r="R128" s="622"/>
      <c r="S128" s="622"/>
      <c r="T128" s="622"/>
      <c r="U128" s="622"/>
      <c r="V128" s="622"/>
      <c r="W128" s="622"/>
      <c r="X128" s="622"/>
      <c r="Y128" s="622"/>
      <c r="Z128" s="622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3">
        <v>4680115883444</v>
      </c>
      <c r="E129" s="623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100</v>
      </c>
      <c r="M129" s="38" t="s">
        <v>109</v>
      </c>
      <c r="N129" s="38"/>
      <c r="O129" s="37">
        <v>90</v>
      </c>
      <c r="P129" s="6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5"/>
      <c r="R129" s="625"/>
      <c r="S129" s="625"/>
      <c r="T129" s="626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101</v>
      </c>
      <c r="AK129" s="84">
        <v>39.200000000000003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100</v>
      </c>
      <c r="M130" s="38" t="s">
        <v>109</v>
      </c>
      <c r="N130" s="38"/>
      <c r="O130" s="37">
        <v>90</v>
      </c>
      <c r="P130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101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30"/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1"/>
      <c r="P131" s="627" t="s">
        <v>40</v>
      </c>
      <c r="Q131" s="628"/>
      <c r="R131" s="628"/>
      <c r="S131" s="628"/>
      <c r="T131" s="628"/>
      <c r="U131" s="628"/>
      <c r="V131" s="629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30"/>
      <c r="B132" s="630"/>
      <c r="C132" s="630"/>
      <c r="D132" s="630"/>
      <c r="E132" s="630"/>
      <c r="F132" s="630"/>
      <c r="G132" s="630"/>
      <c r="H132" s="630"/>
      <c r="I132" s="630"/>
      <c r="J132" s="630"/>
      <c r="K132" s="630"/>
      <c r="L132" s="630"/>
      <c r="M132" s="630"/>
      <c r="N132" s="630"/>
      <c r="O132" s="631"/>
      <c r="P132" s="627" t="s">
        <v>40</v>
      </c>
      <c r="Q132" s="628"/>
      <c r="R132" s="628"/>
      <c r="S132" s="628"/>
      <c r="T132" s="628"/>
      <c r="U132" s="628"/>
      <c r="V132" s="629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2" t="s">
        <v>84</v>
      </c>
      <c r="B133" s="622"/>
      <c r="C133" s="622"/>
      <c r="D133" s="622"/>
      <c r="E133" s="622"/>
      <c r="F133" s="622"/>
      <c r="G133" s="622"/>
      <c r="H133" s="622"/>
      <c r="I133" s="622"/>
      <c r="J133" s="622"/>
      <c r="K133" s="622"/>
      <c r="L133" s="622"/>
      <c r="M133" s="622"/>
      <c r="N133" s="622"/>
      <c r="O133" s="622"/>
      <c r="P133" s="622"/>
      <c r="Q133" s="622"/>
      <c r="R133" s="622"/>
      <c r="S133" s="622"/>
      <c r="T133" s="622"/>
      <c r="U133" s="622"/>
      <c r="V133" s="622"/>
      <c r="W133" s="622"/>
      <c r="X133" s="622"/>
      <c r="Y133" s="622"/>
      <c r="Z133" s="622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3">
        <v>4680115882584</v>
      </c>
      <c r="E134" s="623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109</v>
      </c>
      <c r="N134" s="38"/>
      <c r="O134" s="37">
        <v>60</v>
      </c>
      <c r="P134" s="6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5"/>
      <c r="R134" s="625"/>
      <c r="S134" s="625"/>
      <c r="T134" s="626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100</v>
      </c>
      <c r="M135" s="38" t="s">
        <v>109</v>
      </c>
      <c r="N135" s="38"/>
      <c r="O135" s="37">
        <v>60</v>
      </c>
      <c r="P135" s="6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101</v>
      </c>
      <c r="AK135" s="84">
        <v>36.96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30"/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1"/>
      <c r="P136" s="627" t="s">
        <v>40</v>
      </c>
      <c r="Q136" s="628"/>
      <c r="R136" s="628"/>
      <c r="S136" s="628"/>
      <c r="T136" s="628"/>
      <c r="U136" s="628"/>
      <c r="V136" s="629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30"/>
      <c r="B137" s="630"/>
      <c r="C137" s="630"/>
      <c r="D137" s="630"/>
      <c r="E137" s="630"/>
      <c r="F137" s="630"/>
      <c r="G137" s="630"/>
      <c r="H137" s="630"/>
      <c r="I137" s="630"/>
      <c r="J137" s="630"/>
      <c r="K137" s="630"/>
      <c r="L137" s="630"/>
      <c r="M137" s="630"/>
      <c r="N137" s="630"/>
      <c r="O137" s="631"/>
      <c r="P137" s="627" t="s">
        <v>40</v>
      </c>
      <c r="Q137" s="628"/>
      <c r="R137" s="628"/>
      <c r="S137" s="628"/>
      <c r="T137" s="628"/>
      <c r="U137" s="628"/>
      <c r="V137" s="629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21" t="s">
        <v>110</v>
      </c>
      <c r="B138" s="621"/>
      <c r="C138" s="621"/>
      <c r="D138" s="621"/>
      <c r="E138" s="621"/>
      <c r="F138" s="621"/>
      <c r="G138" s="621"/>
      <c r="H138" s="621"/>
      <c r="I138" s="621"/>
      <c r="J138" s="621"/>
      <c r="K138" s="621"/>
      <c r="L138" s="621"/>
      <c r="M138" s="621"/>
      <c r="N138" s="621"/>
      <c r="O138" s="621"/>
      <c r="P138" s="621"/>
      <c r="Q138" s="621"/>
      <c r="R138" s="621"/>
      <c r="S138" s="621"/>
      <c r="T138" s="621"/>
      <c r="U138" s="621"/>
      <c r="V138" s="621"/>
      <c r="W138" s="621"/>
      <c r="X138" s="621"/>
      <c r="Y138" s="621"/>
      <c r="Z138" s="621"/>
      <c r="AA138" s="65"/>
      <c r="AB138" s="65"/>
      <c r="AC138" s="79"/>
    </row>
    <row r="139" spans="1:68" ht="14.25" customHeight="1" x14ac:dyDescent="0.25">
      <c r="A139" s="622" t="s">
        <v>112</v>
      </c>
      <c r="B139" s="622"/>
      <c r="C139" s="622"/>
      <c r="D139" s="622"/>
      <c r="E139" s="622"/>
      <c r="F139" s="622"/>
      <c r="G139" s="622"/>
      <c r="H139" s="622"/>
      <c r="I139" s="622"/>
      <c r="J139" s="622"/>
      <c r="K139" s="622"/>
      <c r="L139" s="622"/>
      <c r="M139" s="622"/>
      <c r="N139" s="622"/>
      <c r="O139" s="622"/>
      <c r="P139" s="622"/>
      <c r="Q139" s="622"/>
      <c r="R139" s="622"/>
      <c r="S139" s="622"/>
      <c r="T139" s="622"/>
      <c r="U139" s="622"/>
      <c r="V139" s="622"/>
      <c r="W139" s="622"/>
      <c r="X139" s="622"/>
      <c r="Y139" s="622"/>
      <c r="Z139" s="622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3">
        <v>4680115887374</v>
      </c>
      <c r="E140" s="623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117</v>
      </c>
      <c r="L140" s="37" t="s">
        <v>45</v>
      </c>
      <c r="M140" s="38" t="s">
        <v>116</v>
      </c>
      <c r="N140" s="38"/>
      <c r="O140" s="37">
        <v>55</v>
      </c>
      <c r="P140" s="68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5"/>
      <c r="R140" s="625"/>
      <c r="S140" s="625"/>
      <c r="T140" s="626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3">
        <v>4607091384604</v>
      </c>
      <c r="E141" s="623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121</v>
      </c>
      <c r="L141" s="37" t="s">
        <v>122</v>
      </c>
      <c r="M141" s="38" t="s">
        <v>116</v>
      </c>
      <c r="N141" s="38"/>
      <c r="O141" s="37">
        <v>50</v>
      </c>
      <c r="P141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101</v>
      </c>
      <c r="AK141" s="84">
        <v>48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30"/>
      <c r="B142" s="630"/>
      <c r="C142" s="630"/>
      <c r="D142" s="630"/>
      <c r="E142" s="630"/>
      <c r="F142" s="630"/>
      <c r="G142" s="630"/>
      <c r="H142" s="630"/>
      <c r="I142" s="630"/>
      <c r="J142" s="630"/>
      <c r="K142" s="630"/>
      <c r="L142" s="630"/>
      <c r="M142" s="630"/>
      <c r="N142" s="630"/>
      <c r="O142" s="631"/>
      <c r="P142" s="627" t="s">
        <v>40</v>
      </c>
      <c r="Q142" s="628"/>
      <c r="R142" s="628"/>
      <c r="S142" s="628"/>
      <c r="T142" s="628"/>
      <c r="U142" s="628"/>
      <c r="V142" s="629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30"/>
      <c r="B143" s="630"/>
      <c r="C143" s="630"/>
      <c r="D143" s="630"/>
      <c r="E143" s="630"/>
      <c r="F143" s="630"/>
      <c r="G143" s="630"/>
      <c r="H143" s="630"/>
      <c r="I143" s="630"/>
      <c r="J143" s="630"/>
      <c r="K143" s="630"/>
      <c r="L143" s="630"/>
      <c r="M143" s="630"/>
      <c r="N143" s="630"/>
      <c r="O143" s="631"/>
      <c r="P143" s="627" t="s">
        <v>40</v>
      </c>
      <c r="Q143" s="628"/>
      <c r="R143" s="628"/>
      <c r="S143" s="628"/>
      <c r="T143" s="628"/>
      <c r="U143" s="628"/>
      <c r="V143" s="629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2" t="s">
        <v>78</v>
      </c>
      <c r="B144" s="622"/>
      <c r="C144" s="622"/>
      <c r="D144" s="622"/>
      <c r="E144" s="622"/>
      <c r="F144" s="622"/>
      <c r="G144" s="622"/>
      <c r="H144" s="622"/>
      <c r="I144" s="622"/>
      <c r="J144" s="622"/>
      <c r="K144" s="622"/>
      <c r="L144" s="622"/>
      <c r="M144" s="622"/>
      <c r="N144" s="622"/>
      <c r="O144" s="622"/>
      <c r="P144" s="622"/>
      <c r="Q144" s="622"/>
      <c r="R144" s="622"/>
      <c r="S144" s="622"/>
      <c r="T144" s="622"/>
      <c r="U144" s="622"/>
      <c r="V144" s="622"/>
      <c r="W144" s="622"/>
      <c r="X144" s="622"/>
      <c r="Y144" s="622"/>
      <c r="Z144" s="622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3">
        <v>4607091387667</v>
      </c>
      <c r="E145" s="623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117</v>
      </c>
      <c r="L145" s="37" t="s">
        <v>118</v>
      </c>
      <c r="M145" s="38" t="s">
        <v>116</v>
      </c>
      <c r="N145" s="38"/>
      <c r="O145" s="37">
        <v>40</v>
      </c>
      <c r="P145" s="68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5"/>
      <c r="R145" s="625"/>
      <c r="S145" s="625"/>
      <c r="T145" s="626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101</v>
      </c>
      <c r="AK145" s="84">
        <v>72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3">
        <v>4607091387636</v>
      </c>
      <c r="E146" s="623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3">
        <v>4607091382426</v>
      </c>
      <c r="E147" s="623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117</v>
      </c>
      <c r="L147" s="37" t="s">
        <v>118</v>
      </c>
      <c r="M147" s="38" t="s">
        <v>82</v>
      </c>
      <c r="N147" s="38"/>
      <c r="O147" s="37">
        <v>40</v>
      </c>
      <c r="P147" s="68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101</v>
      </c>
      <c r="AK147" s="84">
        <v>72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30"/>
      <c r="B148" s="630"/>
      <c r="C148" s="630"/>
      <c r="D148" s="630"/>
      <c r="E148" s="630"/>
      <c r="F148" s="630"/>
      <c r="G148" s="630"/>
      <c r="H148" s="630"/>
      <c r="I148" s="630"/>
      <c r="J148" s="630"/>
      <c r="K148" s="630"/>
      <c r="L148" s="630"/>
      <c r="M148" s="630"/>
      <c r="N148" s="630"/>
      <c r="O148" s="631"/>
      <c r="P148" s="627" t="s">
        <v>40</v>
      </c>
      <c r="Q148" s="628"/>
      <c r="R148" s="628"/>
      <c r="S148" s="628"/>
      <c r="T148" s="628"/>
      <c r="U148" s="628"/>
      <c r="V148" s="629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30"/>
      <c r="B149" s="630"/>
      <c r="C149" s="630"/>
      <c r="D149" s="630"/>
      <c r="E149" s="630"/>
      <c r="F149" s="630"/>
      <c r="G149" s="630"/>
      <c r="H149" s="630"/>
      <c r="I149" s="630"/>
      <c r="J149" s="630"/>
      <c r="K149" s="630"/>
      <c r="L149" s="630"/>
      <c r="M149" s="630"/>
      <c r="N149" s="630"/>
      <c r="O149" s="631"/>
      <c r="P149" s="627" t="s">
        <v>40</v>
      </c>
      <c r="Q149" s="628"/>
      <c r="R149" s="628"/>
      <c r="S149" s="628"/>
      <c r="T149" s="628"/>
      <c r="U149" s="628"/>
      <c r="V149" s="629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2" t="s">
        <v>84</v>
      </c>
      <c r="B150" s="622"/>
      <c r="C150" s="622"/>
      <c r="D150" s="622"/>
      <c r="E150" s="622"/>
      <c r="F150" s="622"/>
      <c r="G150" s="622"/>
      <c r="H150" s="622"/>
      <c r="I150" s="622"/>
      <c r="J150" s="622"/>
      <c r="K150" s="622"/>
      <c r="L150" s="622"/>
      <c r="M150" s="622"/>
      <c r="N150" s="622"/>
      <c r="O150" s="622"/>
      <c r="P150" s="622"/>
      <c r="Q150" s="622"/>
      <c r="R150" s="622"/>
      <c r="S150" s="622"/>
      <c r="T150" s="622"/>
      <c r="U150" s="622"/>
      <c r="V150" s="622"/>
      <c r="W150" s="622"/>
      <c r="X150" s="622"/>
      <c r="Y150" s="622"/>
      <c r="Z150" s="622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3">
        <v>4680115887459</v>
      </c>
      <c r="E151" s="623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5"/>
      <c r="R151" s="625"/>
      <c r="S151" s="625"/>
      <c r="T151" s="626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30"/>
      <c r="B152" s="630"/>
      <c r="C152" s="630"/>
      <c r="D152" s="630"/>
      <c r="E152" s="630"/>
      <c r="F152" s="630"/>
      <c r="G152" s="630"/>
      <c r="H152" s="630"/>
      <c r="I152" s="630"/>
      <c r="J152" s="630"/>
      <c r="K152" s="630"/>
      <c r="L152" s="630"/>
      <c r="M152" s="630"/>
      <c r="N152" s="630"/>
      <c r="O152" s="631"/>
      <c r="P152" s="627" t="s">
        <v>40</v>
      </c>
      <c r="Q152" s="628"/>
      <c r="R152" s="628"/>
      <c r="S152" s="628"/>
      <c r="T152" s="628"/>
      <c r="U152" s="628"/>
      <c r="V152" s="629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30"/>
      <c r="B153" s="630"/>
      <c r="C153" s="630"/>
      <c r="D153" s="630"/>
      <c r="E153" s="630"/>
      <c r="F153" s="630"/>
      <c r="G153" s="630"/>
      <c r="H153" s="630"/>
      <c r="I153" s="630"/>
      <c r="J153" s="630"/>
      <c r="K153" s="630"/>
      <c r="L153" s="630"/>
      <c r="M153" s="630"/>
      <c r="N153" s="630"/>
      <c r="O153" s="631"/>
      <c r="P153" s="627" t="s">
        <v>40</v>
      </c>
      <c r="Q153" s="628"/>
      <c r="R153" s="628"/>
      <c r="S153" s="628"/>
      <c r="T153" s="628"/>
      <c r="U153" s="628"/>
      <c r="V153" s="629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20" t="s">
        <v>261</v>
      </c>
      <c r="B154" s="620"/>
      <c r="C154" s="620"/>
      <c r="D154" s="620"/>
      <c r="E154" s="620"/>
      <c r="F154" s="620"/>
      <c r="G154" s="620"/>
      <c r="H154" s="620"/>
      <c r="I154" s="620"/>
      <c r="J154" s="620"/>
      <c r="K154" s="620"/>
      <c r="L154" s="620"/>
      <c r="M154" s="620"/>
      <c r="N154" s="620"/>
      <c r="O154" s="620"/>
      <c r="P154" s="620"/>
      <c r="Q154" s="620"/>
      <c r="R154" s="620"/>
      <c r="S154" s="620"/>
      <c r="T154" s="620"/>
      <c r="U154" s="620"/>
      <c r="V154" s="620"/>
      <c r="W154" s="620"/>
      <c r="X154" s="620"/>
      <c r="Y154" s="620"/>
      <c r="Z154" s="620"/>
      <c r="AA154" s="54"/>
      <c r="AB154" s="54"/>
      <c r="AC154" s="54"/>
    </row>
    <row r="155" spans="1:68" ht="16.5" customHeight="1" x14ac:dyDescent="0.25">
      <c r="A155" s="621" t="s">
        <v>262</v>
      </c>
      <c r="B155" s="621"/>
      <c r="C155" s="621"/>
      <c r="D155" s="621"/>
      <c r="E155" s="621"/>
      <c r="F155" s="621"/>
      <c r="G155" s="621"/>
      <c r="H155" s="621"/>
      <c r="I155" s="621"/>
      <c r="J155" s="621"/>
      <c r="K155" s="621"/>
      <c r="L155" s="621"/>
      <c r="M155" s="621"/>
      <c r="N155" s="621"/>
      <c r="O155" s="621"/>
      <c r="P155" s="621"/>
      <c r="Q155" s="621"/>
      <c r="R155" s="621"/>
      <c r="S155" s="621"/>
      <c r="T155" s="621"/>
      <c r="U155" s="621"/>
      <c r="V155" s="621"/>
      <c r="W155" s="621"/>
      <c r="X155" s="621"/>
      <c r="Y155" s="621"/>
      <c r="Z155" s="621"/>
      <c r="AA155" s="65"/>
      <c r="AB155" s="65"/>
      <c r="AC155" s="79"/>
    </row>
    <row r="156" spans="1:68" ht="14.25" customHeight="1" x14ac:dyDescent="0.25">
      <c r="A156" s="622" t="s">
        <v>147</v>
      </c>
      <c r="B156" s="622"/>
      <c r="C156" s="622"/>
      <c r="D156" s="622"/>
      <c r="E156" s="622"/>
      <c r="F156" s="622"/>
      <c r="G156" s="622"/>
      <c r="H156" s="622"/>
      <c r="I156" s="622"/>
      <c r="J156" s="622"/>
      <c r="K156" s="622"/>
      <c r="L156" s="622"/>
      <c r="M156" s="622"/>
      <c r="N156" s="622"/>
      <c r="O156" s="622"/>
      <c r="P156" s="622"/>
      <c r="Q156" s="622"/>
      <c r="R156" s="622"/>
      <c r="S156" s="622"/>
      <c r="T156" s="622"/>
      <c r="U156" s="622"/>
      <c r="V156" s="622"/>
      <c r="W156" s="622"/>
      <c r="X156" s="622"/>
      <c r="Y156" s="622"/>
      <c r="Z156" s="622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23">
        <v>4680115886223</v>
      </c>
      <c r="E157" s="623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5"/>
      <c r="R157" s="625"/>
      <c r="S157" s="625"/>
      <c r="T157" s="62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30"/>
      <c r="B158" s="630"/>
      <c r="C158" s="630"/>
      <c r="D158" s="630"/>
      <c r="E158" s="630"/>
      <c r="F158" s="630"/>
      <c r="G158" s="630"/>
      <c r="H158" s="630"/>
      <c r="I158" s="630"/>
      <c r="J158" s="630"/>
      <c r="K158" s="630"/>
      <c r="L158" s="630"/>
      <c r="M158" s="630"/>
      <c r="N158" s="630"/>
      <c r="O158" s="631"/>
      <c r="P158" s="627" t="s">
        <v>40</v>
      </c>
      <c r="Q158" s="628"/>
      <c r="R158" s="628"/>
      <c r="S158" s="628"/>
      <c r="T158" s="628"/>
      <c r="U158" s="628"/>
      <c r="V158" s="629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30"/>
      <c r="B159" s="630"/>
      <c r="C159" s="630"/>
      <c r="D159" s="630"/>
      <c r="E159" s="630"/>
      <c r="F159" s="630"/>
      <c r="G159" s="630"/>
      <c r="H159" s="630"/>
      <c r="I159" s="630"/>
      <c r="J159" s="630"/>
      <c r="K159" s="630"/>
      <c r="L159" s="630"/>
      <c r="M159" s="630"/>
      <c r="N159" s="630"/>
      <c r="O159" s="631"/>
      <c r="P159" s="627" t="s">
        <v>40</v>
      </c>
      <c r="Q159" s="628"/>
      <c r="R159" s="628"/>
      <c r="S159" s="628"/>
      <c r="T159" s="628"/>
      <c r="U159" s="628"/>
      <c r="V159" s="629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2" t="s">
        <v>78</v>
      </c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  <c r="Y160" s="622"/>
      <c r="Z160" s="622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23">
        <v>4680115880993</v>
      </c>
      <c r="E161" s="623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121</v>
      </c>
      <c r="L161" s="37" t="s">
        <v>122</v>
      </c>
      <c r="M161" s="38" t="s">
        <v>82</v>
      </c>
      <c r="N161" s="38"/>
      <c r="O161" s="37">
        <v>40</v>
      </c>
      <c r="P161" s="6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5"/>
      <c r="R161" s="625"/>
      <c r="S161" s="625"/>
      <c r="T161" s="626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101</v>
      </c>
      <c r="AK161" s="84">
        <v>50.4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23">
        <v>4680115881761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121</v>
      </c>
      <c r="L162" s="37" t="s">
        <v>45</v>
      </c>
      <c r="M162" s="38" t="s">
        <v>82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23">
        <v>4680115881563</v>
      </c>
      <c r="E163" s="623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121</v>
      </c>
      <c r="L163" s="37" t="s">
        <v>122</v>
      </c>
      <c r="M163" s="38" t="s">
        <v>82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101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23">
        <v>4680115880986</v>
      </c>
      <c r="E164" s="623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277</v>
      </c>
      <c r="M164" s="38" t="s">
        <v>82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101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23">
        <v>4680115887213</v>
      </c>
      <c r="E165" s="623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6" t="s">
        <v>280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23">
        <v>4680115881785</v>
      </c>
      <c r="E166" s="623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277</v>
      </c>
      <c r="M166" s="38" t="s">
        <v>82</v>
      </c>
      <c r="N166" s="38"/>
      <c r="O166" s="37">
        <v>40</v>
      </c>
      <c r="P166" s="6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101</v>
      </c>
      <c r="AK166" s="84">
        <v>37.799999999999997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23">
        <v>4680115886537</v>
      </c>
      <c r="E167" s="623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23">
        <v>4680115881679</v>
      </c>
      <c r="E168" s="623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277</v>
      </c>
      <c r="M168" s="38" t="s">
        <v>82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101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23">
        <v>4680115880191</v>
      </c>
      <c r="E169" s="623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23">
        <v>4680115883963</v>
      </c>
      <c r="E170" s="623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30"/>
      <c r="B171" s="630"/>
      <c r="C171" s="630"/>
      <c r="D171" s="630"/>
      <c r="E171" s="630"/>
      <c r="F171" s="630"/>
      <c r="G171" s="630"/>
      <c r="H171" s="630"/>
      <c r="I171" s="630"/>
      <c r="J171" s="630"/>
      <c r="K171" s="630"/>
      <c r="L171" s="630"/>
      <c r="M171" s="630"/>
      <c r="N171" s="630"/>
      <c r="O171" s="631"/>
      <c r="P171" s="627" t="s">
        <v>40</v>
      </c>
      <c r="Q171" s="628"/>
      <c r="R171" s="628"/>
      <c r="S171" s="628"/>
      <c r="T171" s="628"/>
      <c r="U171" s="628"/>
      <c r="V171" s="629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30"/>
      <c r="B172" s="630"/>
      <c r="C172" s="630"/>
      <c r="D172" s="630"/>
      <c r="E172" s="630"/>
      <c r="F172" s="630"/>
      <c r="G172" s="630"/>
      <c r="H172" s="630"/>
      <c r="I172" s="630"/>
      <c r="J172" s="630"/>
      <c r="K172" s="630"/>
      <c r="L172" s="630"/>
      <c r="M172" s="630"/>
      <c r="N172" s="630"/>
      <c r="O172" s="631"/>
      <c r="P172" s="627" t="s">
        <v>40</v>
      </c>
      <c r="Q172" s="628"/>
      <c r="R172" s="628"/>
      <c r="S172" s="628"/>
      <c r="T172" s="628"/>
      <c r="U172" s="628"/>
      <c r="V172" s="629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2" t="s">
        <v>104</v>
      </c>
      <c r="B173" s="622"/>
      <c r="C173" s="622"/>
      <c r="D173" s="622"/>
      <c r="E173" s="622"/>
      <c r="F173" s="622"/>
      <c r="G173" s="622"/>
      <c r="H173" s="622"/>
      <c r="I173" s="622"/>
      <c r="J173" s="622"/>
      <c r="K173" s="622"/>
      <c r="L173" s="622"/>
      <c r="M173" s="622"/>
      <c r="N173" s="622"/>
      <c r="O173" s="622"/>
      <c r="P173" s="622"/>
      <c r="Q173" s="622"/>
      <c r="R173" s="622"/>
      <c r="S173" s="622"/>
      <c r="T173" s="622"/>
      <c r="U173" s="622"/>
      <c r="V173" s="622"/>
      <c r="W173" s="622"/>
      <c r="X173" s="622"/>
      <c r="Y173" s="622"/>
      <c r="Z173" s="622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23">
        <v>4680115886780</v>
      </c>
      <c r="E174" s="623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5"/>
      <c r="R174" s="625"/>
      <c r="S174" s="625"/>
      <c r="T174" s="626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23">
        <v>4680115886742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23">
        <v>4680115886766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30"/>
      <c r="B177" s="630"/>
      <c r="C177" s="630"/>
      <c r="D177" s="630"/>
      <c r="E177" s="630"/>
      <c r="F177" s="630"/>
      <c r="G177" s="630"/>
      <c r="H177" s="630"/>
      <c r="I177" s="630"/>
      <c r="J177" s="630"/>
      <c r="K177" s="630"/>
      <c r="L177" s="630"/>
      <c r="M177" s="630"/>
      <c r="N177" s="630"/>
      <c r="O177" s="631"/>
      <c r="P177" s="627" t="s">
        <v>40</v>
      </c>
      <c r="Q177" s="628"/>
      <c r="R177" s="628"/>
      <c r="S177" s="628"/>
      <c r="T177" s="628"/>
      <c r="U177" s="628"/>
      <c r="V177" s="629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30"/>
      <c r="B178" s="630"/>
      <c r="C178" s="630"/>
      <c r="D178" s="630"/>
      <c r="E178" s="630"/>
      <c r="F178" s="630"/>
      <c r="G178" s="630"/>
      <c r="H178" s="630"/>
      <c r="I178" s="630"/>
      <c r="J178" s="630"/>
      <c r="K178" s="630"/>
      <c r="L178" s="630"/>
      <c r="M178" s="630"/>
      <c r="N178" s="630"/>
      <c r="O178" s="631"/>
      <c r="P178" s="627" t="s">
        <v>40</v>
      </c>
      <c r="Q178" s="628"/>
      <c r="R178" s="628"/>
      <c r="S178" s="628"/>
      <c r="T178" s="628"/>
      <c r="U178" s="628"/>
      <c r="V178" s="629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2" t="s">
        <v>304</v>
      </c>
      <c r="B179" s="622"/>
      <c r="C179" s="622"/>
      <c r="D179" s="622"/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O179" s="622"/>
      <c r="P179" s="622"/>
      <c r="Q179" s="622"/>
      <c r="R179" s="622"/>
      <c r="S179" s="622"/>
      <c r="T179" s="622"/>
      <c r="U179" s="622"/>
      <c r="V179" s="622"/>
      <c r="W179" s="622"/>
      <c r="X179" s="622"/>
      <c r="Y179" s="622"/>
      <c r="Z179" s="622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23">
        <v>4680115886797</v>
      </c>
      <c r="E180" s="623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5"/>
      <c r="R180" s="625"/>
      <c r="S180" s="625"/>
      <c r="T180" s="626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30"/>
      <c r="B181" s="630"/>
      <c r="C181" s="630"/>
      <c r="D181" s="630"/>
      <c r="E181" s="630"/>
      <c r="F181" s="630"/>
      <c r="G181" s="630"/>
      <c r="H181" s="630"/>
      <c r="I181" s="630"/>
      <c r="J181" s="630"/>
      <c r="K181" s="630"/>
      <c r="L181" s="630"/>
      <c r="M181" s="630"/>
      <c r="N181" s="630"/>
      <c r="O181" s="631"/>
      <c r="P181" s="627" t="s">
        <v>40</v>
      </c>
      <c r="Q181" s="628"/>
      <c r="R181" s="628"/>
      <c r="S181" s="628"/>
      <c r="T181" s="628"/>
      <c r="U181" s="628"/>
      <c r="V181" s="629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30"/>
      <c r="B182" s="630"/>
      <c r="C182" s="630"/>
      <c r="D182" s="630"/>
      <c r="E182" s="630"/>
      <c r="F182" s="630"/>
      <c r="G182" s="630"/>
      <c r="H182" s="630"/>
      <c r="I182" s="630"/>
      <c r="J182" s="630"/>
      <c r="K182" s="630"/>
      <c r="L182" s="630"/>
      <c r="M182" s="630"/>
      <c r="N182" s="630"/>
      <c r="O182" s="631"/>
      <c r="P182" s="627" t="s">
        <v>40</v>
      </c>
      <c r="Q182" s="628"/>
      <c r="R182" s="628"/>
      <c r="S182" s="628"/>
      <c r="T182" s="628"/>
      <c r="U182" s="628"/>
      <c r="V182" s="629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21" t="s">
        <v>307</v>
      </c>
      <c r="B183" s="621"/>
      <c r="C183" s="621"/>
      <c r="D183" s="621"/>
      <c r="E183" s="621"/>
      <c r="F183" s="621"/>
      <c r="G183" s="621"/>
      <c r="H183" s="621"/>
      <c r="I183" s="621"/>
      <c r="J183" s="621"/>
      <c r="K183" s="621"/>
      <c r="L183" s="621"/>
      <c r="M183" s="621"/>
      <c r="N183" s="621"/>
      <c r="O183" s="621"/>
      <c r="P183" s="621"/>
      <c r="Q183" s="621"/>
      <c r="R183" s="621"/>
      <c r="S183" s="621"/>
      <c r="T183" s="621"/>
      <c r="U183" s="621"/>
      <c r="V183" s="621"/>
      <c r="W183" s="621"/>
      <c r="X183" s="621"/>
      <c r="Y183" s="621"/>
      <c r="Z183" s="621"/>
      <c r="AA183" s="65"/>
      <c r="AB183" s="65"/>
      <c r="AC183" s="79"/>
    </row>
    <row r="184" spans="1:68" ht="14.25" customHeight="1" x14ac:dyDescent="0.25">
      <c r="A184" s="622" t="s">
        <v>112</v>
      </c>
      <c r="B184" s="622"/>
      <c r="C184" s="622"/>
      <c r="D184" s="622"/>
      <c r="E184" s="622"/>
      <c r="F184" s="622"/>
      <c r="G184" s="622"/>
      <c r="H184" s="622"/>
      <c r="I184" s="622"/>
      <c r="J184" s="622"/>
      <c r="K184" s="622"/>
      <c r="L184" s="622"/>
      <c r="M184" s="622"/>
      <c r="N184" s="622"/>
      <c r="O184" s="622"/>
      <c r="P184" s="622"/>
      <c r="Q184" s="622"/>
      <c r="R184" s="622"/>
      <c r="S184" s="622"/>
      <c r="T184" s="622"/>
      <c r="U184" s="622"/>
      <c r="V184" s="622"/>
      <c r="W184" s="622"/>
      <c r="X184" s="622"/>
      <c r="Y184" s="622"/>
      <c r="Z184" s="622"/>
      <c r="AA184" s="66"/>
      <c r="AB184" s="66"/>
      <c r="AC184" s="80"/>
    </row>
    <row r="185" spans="1:68" ht="27" customHeight="1" x14ac:dyDescent="0.25">
      <c r="A185" s="63" t="s">
        <v>308</v>
      </c>
      <c r="B185" s="63" t="s">
        <v>309</v>
      </c>
      <c r="C185" s="36">
        <v>4301011450</v>
      </c>
      <c r="D185" s="623">
        <v>4680115881402</v>
      </c>
      <c r="E185" s="623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117</v>
      </c>
      <c r="L185" s="37" t="s">
        <v>45</v>
      </c>
      <c r="M185" s="38" t="s">
        <v>116</v>
      </c>
      <c r="N185" s="38"/>
      <c r="O185" s="37">
        <v>55</v>
      </c>
      <c r="P185" s="7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5"/>
      <c r="R185" s="625"/>
      <c r="S185" s="625"/>
      <c r="T185" s="62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23">
        <v>4680115881396</v>
      </c>
      <c r="E186" s="623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100</v>
      </c>
      <c r="M186" s="38" t="s">
        <v>116</v>
      </c>
      <c r="N186" s="38"/>
      <c r="O186" s="37">
        <v>55</v>
      </c>
      <c r="P186" s="7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101</v>
      </c>
      <c r="AK186" s="84">
        <v>37.799999999999997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30"/>
      <c r="B187" s="630"/>
      <c r="C187" s="630"/>
      <c r="D187" s="630"/>
      <c r="E187" s="630"/>
      <c r="F187" s="630"/>
      <c r="G187" s="630"/>
      <c r="H187" s="630"/>
      <c r="I187" s="630"/>
      <c r="J187" s="630"/>
      <c r="K187" s="630"/>
      <c r="L187" s="630"/>
      <c r="M187" s="630"/>
      <c r="N187" s="630"/>
      <c r="O187" s="631"/>
      <c r="P187" s="627" t="s">
        <v>40</v>
      </c>
      <c r="Q187" s="628"/>
      <c r="R187" s="628"/>
      <c r="S187" s="628"/>
      <c r="T187" s="628"/>
      <c r="U187" s="628"/>
      <c r="V187" s="629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30"/>
      <c r="B188" s="630"/>
      <c r="C188" s="630"/>
      <c r="D188" s="630"/>
      <c r="E188" s="630"/>
      <c r="F188" s="630"/>
      <c r="G188" s="630"/>
      <c r="H188" s="630"/>
      <c r="I188" s="630"/>
      <c r="J188" s="630"/>
      <c r="K188" s="630"/>
      <c r="L188" s="630"/>
      <c r="M188" s="630"/>
      <c r="N188" s="630"/>
      <c r="O188" s="631"/>
      <c r="P188" s="627" t="s">
        <v>40</v>
      </c>
      <c r="Q188" s="628"/>
      <c r="R188" s="628"/>
      <c r="S188" s="628"/>
      <c r="T188" s="628"/>
      <c r="U188" s="628"/>
      <c r="V188" s="629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2" t="s">
        <v>147</v>
      </c>
      <c r="B189" s="622"/>
      <c r="C189" s="622"/>
      <c r="D189" s="622"/>
      <c r="E189" s="622"/>
      <c r="F189" s="622"/>
      <c r="G189" s="622"/>
      <c r="H189" s="622"/>
      <c r="I189" s="622"/>
      <c r="J189" s="622"/>
      <c r="K189" s="622"/>
      <c r="L189" s="622"/>
      <c r="M189" s="622"/>
      <c r="N189" s="622"/>
      <c r="O189" s="622"/>
      <c r="P189" s="622"/>
      <c r="Q189" s="622"/>
      <c r="R189" s="622"/>
      <c r="S189" s="622"/>
      <c r="T189" s="622"/>
      <c r="U189" s="622"/>
      <c r="V189" s="622"/>
      <c r="W189" s="622"/>
      <c r="X189" s="622"/>
      <c r="Y189" s="622"/>
      <c r="Z189" s="622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23">
        <v>4680115882935</v>
      </c>
      <c r="E190" s="623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117</v>
      </c>
      <c r="L190" s="37" t="s">
        <v>45</v>
      </c>
      <c r="M190" s="38" t="s">
        <v>116</v>
      </c>
      <c r="N190" s="38"/>
      <c r="O190" s="37">
        <v>50</v>
      </c>
      <c r="P190" s="7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5"/>
      <c r="R190" s="625"/>
      <c r="S190" s="625"/>
      <c r="T190" s="62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23">
        <v>4680115880764</v>
      </c>
      <c r="E191" s="623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116</v>
      </c>
      <c r="N191" s="38"/>
      <c r="O191" s="37">
        <v>50</v>
      </c>
      <c r="P191" s="7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30"/>
      <c r="B192" s="630"/>
      <c r="C192" s="630"/>
      <c r="D192" s="630"/>
      <c r="E192" s="630"/>
      <c r="F192" s="630"/>
      <c r="G192" s="630"/>
      <c r="H192" s="630"/>
      <c r="I192" s="630"/>
      <c r="J192" s="630"/>
      <c r="K192" s="630"/>
      <c r="L192" s="630"/>
      <c r="M192" s="630"/>
      <c r="N192" s="630"/>
      <c r="O192" s="631"/>
      <c r="P192" s="627" t="s">
        <v>40</v>
      </c>
      <c r="Q192" s="628"/>
      <c r="R192" s="628"/>
      <c r="S192" s="628"/>
      <c r="T192" s="628"/>
      <c r="U192" s="628"/>
      <c r="V192" s="629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30"/>
      <c r="B193" s="630"/>
      <c r="C193" s="630"/>
      <c r="D193" s="630"/>
      <c r="E193" s="630"/>
      <c r="F193" s="630"/>
      <c r="G193" s="630"/>
      <c r="H193" s="630"/>
      <c r="I193" s="630"/>
      <c r="J193" s="630"/>
      <c r="K193" s="630"/>
      <c r="L193" s="630"/>
      <c r="M193" s="630"/>
      <c r="N193" s="630"/>
      <c r="O193" s="631"/>
      <c r="P193" s="627" t="s">
        <v>40</v>
      </c>
      <c r="Q193" s="628"/>
      <c r="R193" s="628"/>
      <c r="S193" s="628"/>
      <c r="T193" s="628"/>
      <c r="U193" s="628"/>
      <c r="V193" s="629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2" t="s">
        <v>78</v>
      </c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O194" s="622"/>
      <c r="P194" s="622"/>
      <c r="Q194" s="622"/>
      <c r="R194" s="622"/>
      <c r="S194" s="622"/>
      <c r="T194" s="622"/>
      <c r="U194" s="622"/>
      <c r="V194" s="622"/>
      <c r="W194" s="622"/>
      <c r="X194" s="622"/>
      <c r="Y194" s="622"/>
      <c r="Z194" s="622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23">
        <v>4680115882683</v>
      </c>
      <c r="E195" s="623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121</v>
      </c>
      <c r="L195" s="37" t="s">
        <v>122</v>
      </c>
      <c r="M195" s="38" t="s">
        <v>82</v>
      </c>
      <c r="N195" s="38"/>
      <c r="O195" s="37">
        <v>40</v>
      </c>
      <c r="P19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5"/>
      <c r="R195" s="625"/>
      <c r="S195" s="625"/>
      <c r="T195" s="626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101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23">
        <v>4680115882690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121</v>
      </c>
      <c r="L196" s="37" t="s">
        <v>122</v>
      </c>
      <c r="M196" s="38" t="s">
        <v>82</v>
      </c>
      <c r="N196" s="38"/>
      <c r="O196" s="37">
        <v>40</v>
      </c>
      <c r="P196" s="7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101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23">
        <v>4680115882669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121</v>
      </c>
      <c r="L197" s="37" t="s">
        <v>122</v>
      </c>
      <c r="M197" s="38" t="s">
        <v>82</v>
      </c>
      <c r="N197" s="38"/>
      <c r="O197" s="37">
        <v>40</v>
      </c>
      <c r="P197" s="7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101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23">
        <v>4680115882676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121</v>
      </c>
      <c r="L198" s="37" t="s">
        <v>122</v>
      </c>
      <c r="M198" s="38" t="s">
        <v>82</v>
      </c>
      <c r="N198" s="38"/>
      <c r="O198" s="37">
        <v>40</v>
      </c>
      <c r="P19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101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23">
        <v>4680115884014</v>
      </c>
      <c r="E199" s="623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277</v>
      </c>
      <c r="M199" s="38" t="s">
        <v>82</v>
      </c>
      <c r="N199" s="38"/>
      <c r="O199" s="37">
        <v>40</v>
      </c>
      <c r="P199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101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23">
        <v>4680115884007</v>
      </c>
      <c r="E200" s="623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277</v>
      </c>
      <c r="M200" s="38" t="s">
        <v>82</v>
      </c>
      <c r="N200" s="38"/>
      <c r="O200" s="37">
        <v>40</v>
      </c>
      <c r="P200" s="7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101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23">
        <v>4680115884038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23">
        <v>4680115884021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277</v>
      </c>
      <c r="M202" s="38" t="s">
        <v>82</v>
      </c>
      <c r="N202" s="38"/>
      <c r="O202" s="37">
        <v>40</v>
      </c>
      <c r="P202" s="71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101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30"/>
      <c r="B203" s="630"/>
      <c r="C203" s="630"/>
      <c r="D203" s="630"/>
      <c r="E203" s="630"/>
      <c r="F203" s="630"/>
      <c r="G203" s="630"/>
      <c r="H203" s="630"/>
      <c r="I203" s="630"/>
      <c r="J203" s="630"/>
      <c r="K203" s="630"/>
      <c r="L203" s="630"/>
      <c r="M203" s="630"/>
      <c r="N203" s="630"/>
      <c r="O203" s="631"/>
      <c r="P203" s="627" t="s">
        <v>40</v>
      </c>
      <c r="Q203" s="628"/>
      <c r="R203" s="628"/>
      <c r="S203" s="628"/>
      <c r="T203" s="628"/>
      <c r="U203" s="628"/>
      <c r="V203" s="629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30"/>
      <c r="B204" s="630"/>
      <c r="C204" s="630"/>
      <c r="D204" s="630"/>
      <c r="E204" s="630"/>
      <c r="F204" s="630"/>
      <c r="G204" s="630"/>
      <c r="H204" s="630"/>
      <c r="I204" s="630"/>
      <c r="J204" s="630"/>
      <c r="K204" s="630"/>
      <c r="L204" s="630"/>
      <c r="M204" s="630"/>
      <c r="N204" s="630"/>
      <c r="O204" s="631"/>
      <c r="P204" s="627" t="s">
        <v>40</v>
      </c>
      <c r="Q204" s="628"/>
      <c r="R204" s="628"/>
      <c r="S204" s="628"/>
      <c r="T204" s="628"/>
      <c r="U204" s="628"/>
      <c r="V204" s="629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2" t="s">
        <v>84</v>
      </c>
      <c r="B205" s="622"/>
      <c r="C205" s="622"/>
      <c r="D205" s="622"/>
      <c r="E205" s="622"/>
      <c r="F205" s="622"/>
      <c r="G205" s="622"/>
      <c r="H205" s="622"/>
      <c r="I205" s="622"/>
      <c r="J205" s="622"/>
      <c r="K205" s="622"/>
      <c r="L205" s="622"/>
      <c r="M205" s="622"/>
      <c r="N205" s="622"/>
      <c r="O205" s="622"/>
      <c r="P205" s="622"/>
      <c r="Q205" s="622"/>
      <c r="R205" s="622"/>
      <c r="S205" s="622"/>
      <c r="T205" s="622"/>
      <c r="U205" s="622"/>
      <c r="V205" s="622"/>
      <c r="W205" s="622"/>
      <c r="X205" s="622"/>
      <c r="Y205" s="622"/>
      <c r="Z205" s="622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23">
        <v>4680115881594</v>
      </c>
      <c r="E206" s="623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117</v>
      </c>
      <c r="L206" s="37" t="s">
        <v>45</v>
      </c>
      <c r="M206" s="38" t="s">
        <v>88</v>
      </c>
      <c r="N206" s="38"/>
      <c r="O206" s="37">
        <v>40</v>
      </c>
      <c r="P206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5"/>
      <c r="R206" s="625"/>
      <c r="S206" s="625"/>
      <c r="T206" s="62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45</v>
      </c>
      <c r="AK206" s="84">
        <v>0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23">
        <v>4680115881617</v>
      </c>
      <c r="E207" s="623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117</v>
      </c>
      <c r="L207" s="37" t="s">
        <v>45</v>
      </c>
      <c r="M207" s="38" t="s">
        <v>88</v>
      </c>
      <c r="N207" s="38"/>
      <c r="O207" s="37">
        <v>40</v>
      </c>
      <c r="P207" s="71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23">
        <v>4680115880573</v>
      </c>
      <c r="E208" s="623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117</v>
      </c>
      <c r="L208" s="37" t="s">
        <v>118</v>
      </c>
      <c r="M208" s="38" t="s">
        <v>88</v>
      </c>
      <c r="N208" s="38"/>
      <c r="O208" s="37">
        <v>45</v>
      </c>
      <c r="P208" s="72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101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23">
        <v>4680115882195</v>
      </c>
      <c r="E209" s="623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100</v>
      </c>
      <c r="M209" s="38" t="s">
        <v>88</v>
      </c>
      <c r="N209" s="38"/>
      <c r="O209" s="37">
        <v>40</v>
      </c>
      <c r="P209" s="72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101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23">
        <v>4680115882607</v>
      </c>
      <c r="E210" s="623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100</v>
      </c>
      <c r="M210" s="38" t="s">
        <v>96</v>
      </c>
      <c r="N210" s="38"/>
      <c r="O210" s="37">
        <v>45</v>
      </c>
      <c r="P210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101</v>
      </c>
      <c r="AK210" s="84">
        <v>25.2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23">
        <v>4680115880092</v>
      </c>
      <c r="E211" s="623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100</v>
      </c>
      <c r="M211" s="38" t="s">
        <v>88</v>
      </c>
      <c r="N211" s="38"/>
      <c r="O211" s="37">
        <v>45</v>
      </c>
      <c r="P211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101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23">
        <v>4680115880221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100</v>
      </c>
      <c r="M212" s="38" t="s">
        <v>88</v>
      </c>
      <c r="N212" s="38"/>
      <c r="O212" s="37">
        <v>45</v>
      </c>
      <c r="P212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101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23">
        <v>4680115880504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100</v>
      </c>
      <c r="M213" s="38" t="s">
        <v>96</v>
      </c>
      <c r="N213" s="38"/>
      <c r="O213" s="37">
        <v>40</v>
      </c>
      <c r="P213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101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23">
        <v>4680115882164</v>
      </c>
      <c r="E214" s="623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100</v>
      </c>
      <c r="M214" s="38" t="s">
        <v>88</v>
      </c>
      <c r="N214" s="38"/>
      <c r="O214" s="37">
        <v>40</v>
      </c>
      <c r="P214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101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30"/>
      <c r="B215" s="630"/>
      <c r="C215" s="630"/>
      <c r="D215" s="630"/>
      <c r="E215" s="630"/>
      <c r="F215" s="630"/>
      <c r="G215" s="630"/>
      <c r="H215" s="630"/>
      <c r="I215" s="630"/>
      <c r="J215" s="630"/>
      <c r="K215" s="630"/>
      <c r="L215" s="630"/>
      <c r="M215" s="630"/>
      <c r="N215" s="630"/>
      <c r="O215" s="631"/>
      <c r="P215" s="627" t="s">
        <v>40</v>
      </c>
      <c r="Q215" s="628"/>
      <c r="R215" s="628"/>
      <c r="S215" s="628"/>
      <c r="T215" s="628"/>
      <c r="U215" s="628"/>
      <c r="V215" s="629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30"/>
      <c r="B216" s="630"/>
      <c r="C216" s="630"/>
      <c r="D216" s="630"/>
      <c r="E216" s="630"/>
      <c r="F216" s="630"/>
      <c r="G216" s="630"/>
      <c r="H216" s="630"/>
      <c r="I216" s="630"/>
      <c r="J216" s="630"/>
      <c r="K216" s="630"/>
      <c r="L216" s="630"/>
      <c r="M216" s="630"/>
      <c r="N216" s="630"/>
      <c r="O216" s="631"/>
      <c r="P216" s="627" t="s">
        <v>40</v>
      </c>
      <c r="Q216" s="628"/>
      <c r="R216" s="628"/>
      <c r="S216" s="628"/>
      <c r="T216" s="628"/>
      <c r="U216" s="628"/>
      <c r="V216" s="629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2" t="s">
        <v>175</v>
      </c>
      <c r="B217" s="622"/>
      <c r="C217" s="622"/>
      <c r="D217" s="622"/>
      <c r="E217" s="622"/>
      <c r="F217" s="622"/>
      <c r="G217" s="622"/>
      <c r="H217" s="622"/>
      <c r="I217" s="622"/>
      <c r="J217" s="622"/>
      <c r="K217" s="622"/>
      <c r="L217" s="622"/>
      <c r="M217" s="622"/>
      <c r="N217" s="622"/>
      <c r="O217" s="622"/>
      <c r="P217" s="622"/>
      <c r="Q217" s="622"/>
      <c r="R217" s="622"/>
      <c r="S217" s="622"/>
      <c r="T217" s="622"/>
      <c r="U217" s="622"/>
      <c r="V217" s="622"/>
      <c r="W217" s="622"/>
      <c r="X217" s="622"/>
      <c r="Y217" s="622"/>
      <c r="Z217" s="622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23">
        <v>4680115880818</v>
      </c>
      <c r="E218" s="623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100</v>
      </c>
      <c r="M218" s="38" t="s">
        <v>96</v>
      </c>
      <c r="N218" s="38"/>
      <c r="O218" s="37">
        <v>40</v>
      </c>
      <c r="P218" s="72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5"/>
      <c r="R218" s="625"/>
      <c r="S218" s="625"/>
      <c r="T218" s="626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101</v>
      </c>
      <c r="AK218" s="84">
        <v>33.6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23">
        <v>4680115880801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30"/>
      <c r="B220" s="630"/>
      <c r="C220" s="630"/>
      <c r="D220" s="630"/>
      <c r="E220" s="630"/>
      <c r="F220" s="630"/>
      <c r="G220" s="630"/>
      <c r="H220" s="630"/>
      <c r="I220" s="630"/>
      <c r="J220" s="630"/>
      <c r="K220" s="630"/>
      <c r="L220" s="630"/>
      <c r="M220" s="630"/>
      <c r="N220" s="630"/>
      <c r="O220" s="631"/>
      <c r="P220" s="627" t="s">
        <v>40</v>
      </c>
      <c r="Q220" s="628"/>
      <c r="R220" s="628"/>
      <c r="S220" s="628"/>
      <c r="T220" s="628"/>
      <c r="U220" s="628"/>
      <c r="V220" s="629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30"/>
      <c r="B221" s="630"/>
      <c r="C221" s="630"/>
      <c r="D221" s="630"/>
      <c r="E221" s="630"/>
      <c r="F221" s="630"/>
      <c r="G221" s="630"/>
      <c r="H221" s="630"/>
      <c r="I221" s="630"/>
      <c r="J221" s="630"/>
      <c r="K221" s="630"/>
      <c r="L221" s="630"/>
      <c r="M221" s="630"/>
      <c r="N221" s="630"/>
      <c r="O221" s="631"/>
      <c r="P221" s="627" t="s">
        <v>40</v>
      </c>
      <c r="Q221" s="628"/>
      <c r="R221" s="628"/>
      <c r="S221" s="628"/>
      <c r="T221" s="628"/>
      <c r="U221" s="628"/>
      <c r="V221" s="629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21" t="s">
        <v>366</v>
      </c>
      <c r="B222" s="621"/>
      <c r="C222" s="621"/>
      <c r="D222" s="621"/>
      <c r="E222" s="621"/>
      <c r="F222" s="621"/>
      <c r="G222" s="621"/>
      <c r="H222" s="621"/>
      <c r="I222" s="621"/>
      <c r="J222" s="621"/>
      <c r="K222" s="621"/>
      <c r="L222" s="621"/>
      <c r="M222" s="621"/>
      <c r="N222" s="621"/>
      <c r="O222" s="621"/>
      <c r="P222" s="621"/>
      <c r="Q222" s="621"/>
      <c r="R222" s="621"/>
      <c r="S222" s="621"/>
      <c r="T222" s="621"/>
      <c r="U222" s="621"/>
      <c r="V222" s="621"/>
      <c r="W222" s="621"/>
      <c r="X222" s="621"/>
      <c r="Y222" s="621"/>
      <c r="Z222" s="621"/>
      <c r="AA222" s="65"/>
      <c r="AB222" s="65"/>
      <c r="AC222" s="79"/>
    </row>
    <row r="223" spans="1:68" ht="14.25" customHeight="1" x14ac:dyDescent="0.25">
      <c r="A223" s="622" t="s">
        <v>112</v>
      </c>
      <c r="B223" s="622"/>
      <c r="C223" s="622"/>
      <c r="D223" s="622"/>
      <c r="E223" s="622"/>
      <c r="F223" s="622"/>
      <c r="G223" s="622"/>
      <c r="H223" s="622"/>
      <c r="I223" s="622"/>
      <c r="J223" s="622"/>
      <c r="K223" s="622"/>
      <c r="L223" s="622"/>
      <c r="M223" s="622"/>
      <c r="N223" s="622"/>
      <c r="O223" s="622"/>
      <c r="P223" s="622"/>
      <c r="Q223" s="622"/>
      <c r="R223" s="622"/>
      <c r="S223" s="622"/>
      <c r="T223" s="622"/>
      <c r="U223" s="622"/>
      <c r="V223" s="622"/>
      <c r="W223" s="622"/>
      <c r="X223" s="622"/>
      <c r="Y223" s="622"/>
      <c r="Z223" s="622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23">
        <v>4680115884137</v>
      </c>
      <c r="E224" s="623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117</v>
      </c>
      <c r="L224" s="37" t="s">
        <v>45</v>
      </c>
      <c r="M224" s="38" t="s">
        <v>116</v>
      </c>
      <c r="N224" s="38"/>
      <c r="O224" s="37">
        <v>55</v>
      </c>
      <c r="P224" s="72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5"/>
      <c r="R224" s="625"/>
      <c r="S224" s="625"/>
      <c r="T224" s="62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23">
        <v>4680115884236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117</v>
      </c>
      <c r="L225" s="37" t="s">
        <v>45</v>
      </c>
      <c r="M225" s="38" t="s">
        <v>116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23">
        <v>4680115884175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117</v>
      </c>
      <c r="L226" s="37" t="s">
        <v>45</v>
      </c>
      <c r="M226" s="38" t="s">
        <v>116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23">
        <v>4680115884144</v>
      </c>
      <c r="E227" s="623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121</v>
      </c>
      <c r="L227" s="37" t="s">
        <v>122</v>
      </c>
      <c r="M227" s="38" t="s">
        <v>116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101</v>
      </c>
      <c r="AK227" s="84">
        <v>48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121</v>
      </c>
      <c r="L228" s="37" t="s">
        <v>45</v>
      </c>
      <c r="M228" s="38" t="s">
        <v>116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23">
        <v>4680115886551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121</v>
      </c>
      <c r="L229" s="37" t="s">
        <v>45</v>
      </c>
      <c r="M229" s="38" t="s">
        <v>116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23">
        <v>4680115884182</v>
      </c>
      <c r="E230" s="623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121</v>
      </c>
      <c r="L230" s="37" t="s">
        <v>45</v>
      </c>
      <c r="M230" s="38" t="s">
        <v>116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23">
        <v>4680115887282</v>
      </c>
      <c r="E231" s="62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116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23">
        <v>4680115884205</v>
      </c>
      <c r="E232" s="623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121</v>
      </c>
      <c r="L232" s="37" t="s">
        <v>122</v>
      </c>
      <c r="M232" s="38" t="s">
        <v>116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101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121</v>
      </c>
      <c r="L233" s="37" t="s">
        <v>45</v>
      </c>
      <c r="M233" s="38" t="s">
        <v>116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30"/>
      <c r="B234" s="630"/>
      <c r="C234" s="630"/>
      <c r="D234" s="630"/>
      <c r="E234" s="630"/>
      <c r="F234" s="630"/>
      <c r="G234" s="630"/>
      <c r="H234" s="630"/>
      <c r="I234" s="630"/>
      <c r="J234" s="630"/>
      <c r="K234" s="630"/>
      <c r="L234" s="630"/>
      <c r="M234" s="630"/>
      <c r="N234" s="630"/>
      <c r="O234" s="631"/>
      <c r="P234" s="627" t="s">
        <v>40</v>
      </c>
      <c r="Q234" s="628"/>
      <c r="R234" s="628"/>
      <c r="S234" s="628"/>
      <c r="T234" s="628"/>
      <c r="U234" s="628"/>
      <c r="V234" s="629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30"/>
      <c r="B235" s="630"/>
      <c r="C235" s="630"/>
      <c r="D235" s="630"/>
      <c r="E235" s="630"/>
      <c r="F235" s="630"/>
      <c r="G235" s="630"/>
      <c r="H235" s="630"/>
      <c r="I235" s="630"/>
      <c r="J235" s="630"/>
      <c r="K235" s="630"/>
      <c r="L235" s="630"/>
      <c r="M235" s="630"/>
      <c r="N235" s="630"/>
      <c r="O235" s="631"/>
      <c r="P235" s="627" t="s">
        <v>40</v>
      </c>
      <c r="Q235" s="628"/>
      <c r="R235" s="628"/>
      <c r="S235" s="628"/>
      <c r="T235" s="628"/>
      <c r="U235" s="628"/>
      <c r="V235" s="629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2" t="s">
        <v>147</v>
      </c>
      <c r="B236" s="622"/>
      <c r="C236" s="622"/>
      <c r="D236" s="622"/>
      <c r="E236" s="622"/>
      <c r="F236" s="622"/>
      <c r="G236" s="622"/>
      <c r="H236" s="622"/>
      <c r="I236" s="622"/>
      <c r="J236" s="622"/>
      <c r="K236" s="622"/>
      <c r="L236" s="622"/>
      <c r="M236" s="622"/>
      <c r="N236" s="622"/>
      <c r="O236" s="622"/>
      <c r="P236" s="622"/>
      <c r="Q236" s="622"/>
      <c r="R236" s="622"/>
      <c r="S236" s="622"/>
      <c r="T236" s="622"/>
      <c r="U236" s="622"/>
      <c r="V236" s="622"/>
      <c r="W236" s="622"/>
      <c r="X236" s="622"/>
      <c r="Y236" s="622"/>
      <c r="Z236" s="622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23">
        <v>4680115885981</v>
      </c>
      <c r="E237" s="623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5"/>
      <c r="R237" s="625"/>
      <c r="S237" s="625"/>
      <c r="T237" s="626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30"/>
      <c r="B238" s="630"/>
      <c r="C238" s="630"/>
      <c r="D238" s="630"/>
      <c r="E238" s="630"/>
      <c r="F238" s="630"/>
      <c r="G238" s="630"/>
      <c r="H238" s="630"/>
      <c r="I238" s="630"/>
      <c r="J238" s="630"/>
      <c r="K238" s="630"/>
      <c r="L238" s="630"/>
      <c r="M238" s="630"/>
      <c r="N238" s="630"/>
      <c r="O238" s="631"/>
      <c r="P238" s="627" t="s">
        <v>40</v>
      </c>
      <c r="Q238" s="628"/>
      <c r="R238" s="628"/>
      <c r="S238" s="628"/>
      <c r="T238" s="628"/>
      <c r="U238" s="628"/>
      <c r="V238" s="629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30"/>
      <c r="B239" s="630"/>
      <c r="C239" s="630"/>
      <c r="D239" s="630"/>
      <c r="E239" s="630"/>
      <c r="F239" s="630"/>
      <c r="G239" s="630"/>
      <c r="H239" s="630"/>
      <c r="I239" s="630"/>
      <c r="J239" s="630"/>
      <c r="K239" s="630"/>
      <c r="L239" s="630"/>
      <c r="M239" s="630"/>
      <c r="N239" s="630"/>
      <c r="O239" s="631"/>
      <c r="P239" s="627" t="s">
        <v>40</v>
      </c>
      <c r="Q239" s="628"/>
      <c r="R239" s="628"/>
      <c r="S239" s="628"/>
      <c r="T239" s="628"/>
      <c r="U239" s="628"/>
      <c r="V239" s="629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2" t="s">
        <v>392</v>
      </c>
      <c r="B240" s="622"/>
      <c r="C240" s="622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  <c r="O240" s="622"/>
      <c r="P240" s="622"/>
      <c r="Q240" s="622"/>
      <c r="R240" s="622"/>
      <c r="S240" s="622"/>
      <c r="T240" s="622"/>
      <c r="U240" s="622"/>
      <c r="V240" s="622"/>
      <c r="W240" s="622"/>
      <c r="X240" s="622"/>
      <c r="Y240" s="622"/>
      <c r="Z240" s="622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23">
        <v>4680115886803</v>
      </c>
      <c r="E241" s="623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4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5"/>
      <c r="R241" s="625"/>
      <c r="S241" s="625"/>
      <c r="T241" s="626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30"/>
      <c r="B242" s="630"/>
      <c r="C242" s="630"/>
      <c r="D242" s="630"/>
      <c r="E242" s="630"/>
      <c r="F242" s="630"/>
      <c r="G242" s="630"/>
      <c r="H242" s="630"/>
      <c r="I242" s="630"/>
      <c r="J242" s="630"/>
      <c r="K242" s="630"/>
      <c r="L242" s="630"/>
      <c r="M242" s="630"/>
      <c r="N242" s="630"/>
      <c r="O242" s="631"/>
      <c r="P242" s="627" t="s">
        <v>40</v>
      </c>
      <c r="Q242" s="628"/>
      <c r="R242" s="628"/>
      <c r="S242" s="628"/>
      <c r="T242" s="628"/>
      <c r="U242" s="628"/>
      <c r="V242" s="629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30"/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1"/>
      <c r="P243" s="627" t="s">
        <v>40</v>
      </c>
      <c r="Q243" s="628"/>
      <c r="R243" s="628"/>
      <c r="S243" s="628"/>
      <c r="T243" s="628"/>
      <c r="U243" s="628"/>
      <c r="V243" s="629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2" t="s">
        <v>396</v>
      </c>
      <c r="B244" s="622"/>
      <c r="C244" s="622"/>
      <c r="D244" s="622"/>
      <c r="E244" s="622"/>
      <c r="F244" s="622"/>
      <c r="G244" s="622"/>
      <c r="H244" s="622"/>
      <c r="I244" s="622"/>
      <c r="J244" s="622"/>
      <c r="K244" s="622"/>
      <c r="L244" s="622"/>
      <c r="M244" s="622"/>
      <c r="N244" s="622"/>
      <c r="O244" s="622"/>
      <c r="P244" s="622"/>
      <c r="Q244" s="622"/>
      <c r="R244" s="622"/>
      <c r="S244" s="622"/>
      <c r="T244" s="622"/>
      <c r="U244" s="622"/>
      <c r="V244" s="622"/>
      <c r="W244" s="622"/>
      <c r="X244" s="622"/>
      <c r="Y244" s="622"/>
      <c r="Z244" s="622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23">
        <v>4680115886704</v>
      </c>
      <c r="E245" s="623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4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5"/>
      <c r="R245" s="625"/>
      <c r="S245" s="625"/>
      <c r="T245" s="626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23">
        <v>4680115886681</v>
      </c>
      <c r="E246" s="623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23">
        <v>4680115886735</v>
      </c>
      <c r="E247" s="623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23">
        <v>4680115886728</v>
      </c>
      <c r="E248" s="623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23">
        <v>4680115886711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30"/>
      <c r="B250" s="630"/>
      <c r="C250" s="630"/>
      <c r="D250" s="630"/>
      <c r="E250" s="630"/>
      <c r="F250" s="630"/>
      <c r="G250" s="630"/>
      <c r="H250" s="630"/>
      <c r="I250" s="630"/>
      <c r="J250" s="630"/>
      <c r="K250" s="630"/>
      <c r="L250" s="630"/>
      <c r="M250" s="630"/>
      <c r="N250" s="630"/>
      <c r="O250" s="631"/>
      <c r="P250" s="627" t="s">
        <v>40</v>
      </c>
      <c r="Q250" s="628"/>
      <c r="R250" s="628"/>
      <c r="S250" s="628"/>
      <c r="T250" s="628"/>
      <c r="U250" s="628"/>
      <c r="V250" s="629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30"/>
      <c r="B251" s="630"/>
      <c r="C251" s="630"/>
      <c r="D251" s="630"/>
      <c r="E251" s="630"/>
      <c r="F251" s="630"/>
      <c r="G251" s="630"/>
      <c r="H251" s="630"/>
      <c r="I251" s="630"/>
      <c r="J251" s="630"/>
      <c r="K251" s="630"/>
      <c r="L251" s="630"/>
      <c r="M251" s="630"/>
      <c r="N251" s="630"/>
      <c r="O251" s="631"/>
      <c r="P251" s="627" t="s">
        <v>40</v>
      </c>
      <c r="Q251" s="628"/>
      <c r="R251" s="628"/>
      <c r="S251" s="628"/>
      <c r="T251" s="628"/>
      <c r="U251" s="628"/>
      <c r="V251" s="629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21" t="s">
        <v>408</v>
      </c>
      <c r="B252" s="621"/>
      <c r="C252" s="621"/>
      <c r="D252" s="621"/>
      <c r="E252" s="621"/>
      <c r="F252" s="621"/>
      <c r="G252" s="621"/>
      <c r="H252" s="621"/>
      <c r="I252" s="621"/>
      <c r="J252" s="621"/>
      <c r="K252" s="621"/>
      <c r="L252" s="621"/>
      <c r="M252" s="621"/>
      <c r="N252" s="621"/>
      <c r="O252" s="621"/>
      <c r="P252" s="621"/>
      <c r="Q252" s="621"/>
      <c r="R252" s="621"/>
      <c r="S252" s="621"/>
      <c r="T252" s="621"/>
      <c r="U252" s="621"/>
      <c r="V252" s="621"/>
      <c r="W252" s="621"/>
      <c r="X252" s="621"/>
      <c r="Y252" s="621"/>
      <c r="Z252" s="621"/>
      <c r="AA252" s="65"/>
      <c r="AB252" s="65"/>
      <c r="AC252" s="79"/>
    </row>
    <row r="253" spans="1:68" ht="14.25" customHeight="1" x14ac:dyDescent="0.25">
      <c r="A253" s="622" t="s">
        <v>112</v>
      </c>
      <c r="B253" s="622"/>
      <c r="C253" s="622"/>
      <c r="D253" s="622"/>
      <c r="E253" s="622"/>
      <c r="F253" s="622"/>
      <c r="G253" s="622"/>
      <c r="H253" s="622"/>
      <c r="I253" s="622"/>
      <c r="J253" s="622"/>
      <c r="K253" s="622"/>
      <c r="L253" s="622"/>
      <c r="M253" s="622"/>
      <c r="N253" s="622"/>
      <c r="O253" s="622"/>
      <c r="P253" s="622"/>
      <c r="Q253" s="622"/>
      <c r="R253" s="622"/>
      <c r="S253" s="622"/>
      <c r="T253" s="622"/>
      <c r="U253" s="622"/>
      <c r="V253" s="622"/>
      <c r="W253" s="622"/>
      <c r="X253" s="622"/>
      <c r="Y253" s="622"/>
      <c r="Z253" s="622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23">
        <v>4680115885837</v>
      </c>
      <c r="E254" s="623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117</v>
      </c>
      <c r="L254" s="37" t="s">
        <v>118</v>
      </c>
      <c r="M254" s="38" t="s">
        <v>116</v>
      </c>
      <c r="N254" s="38"/>
      <c r="O254" s="37">
        <v>55</v>
      </c>
      <c r="P254" s="7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5"/>
      <c r="R254" s="625"/>
      <c r="S254" s="625"/>
      <c r="T254" s="62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101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23">
        <v>4680115885851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117</v>
      </c>
      <c r="L255" s="37" t="s">
        <v>45</v>
      </c>
      <c r="M255" s="38" t="s">
        <v>116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23">
        <v>4680115885806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117</v>
      </c>
      <c r="L256" s="37" t="s">
        <v>118</v>
      </c>
      <c r="M256" s="38" t="s">
        <v>116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101</v>
      </c>
      <c r="AK256" s="84">
        <v>86.4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23">
        <v>4680115885844</v>
      </c>
      <c r="E257" s="623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121</v>
      </c>
      <c r="L257" s="37" t="s">
        <v>45</v>
      </c>
      <c r="M257" s="38" t="s">
        <v>116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23">
        <v>4680115885820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121</v>
      </c>
      <c r="L258" s="37" t="s">
        <v>122</v>
      </c>
      <c r="M258" s="38" t="s">
        <v>116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101</v>
      </c>
      <c r="AK258" s="84">
        <v>48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30"/>
      <c r="B259" s="630"/>
      <c r="C259" s="630"/>
      <c r="D259" s="630"/>
      <c r="E259" s="630"/>
      <c r="F259" s="630"/>
      <c r="G259" s="630"/>
      <c r="H259" s="630"/>
      <c r="I259" s="630"/>
      <c r="J259" s="630"/>
      <c r="K259" s="630"/>
      <c r="L259" s="630"/>
      <c r="M259" s="630"/>
      <c r="N259" s="630"/>
      <c r="O259" s="631"/>
      <c r="P259" s="627" t="s">
        <v>40</v>
      </c>
      <c r="Q259" s="628"/>
      <c r="R259" s="628"/>
      <c r="S259" s="628"/>
      <c r="T259" s="628"/>
      <c r="U259" s="628"/>
      <c r="V259" s="629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30"/>
      <c r="B260" s="630"/>
      <c r="C260" s="630"/>
      <c r="D260" s="630"/>
      <c r="E260" s="630"/>
      <c r="F260" s="630"/>
      <c r="G260" s="630"/>
      <c r="H260" s="630"/>
      <c r="I260" s="630"/>
      <c r="J260" s="630"/>
      <c r="K260" s="630"/>
      <c r="L260" s="630"/>
      <c r="M260" s="630"/>
      <c r="N260" s="630"/>
      <c r="O260" s="631"/>
      <c r="P260" s="627" t="s">
        <v>40</v>
      </c>
      <c r="Q260" s="628"/>
      <c r="R260" s="628"/>
      <c r="S260" s="628"/>
      <c r="T260" s="628"/>
      <c r="U260" s="628"/>
      <c r="V260" s="629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21" t="s">
        <v>424</v>
      </c>
      <c r="B261" s="621"/>
      <c r="C261" s="621"/>
      <c r="D261" s="621"/>
      <c r="E261" s="621"/>
      <c r="F261" s="621"/>
      <c r="G261" s="621"/>
      <c r="H261" s="621"/>
      <c r="I261" s="621"/>
      <c r="J261" s="621"/>
      <c r="K261" s="621"/>
      <c r="L261" s="621"/>
      <c r="M261" s="621"/>
      <c r="N261" s="621"/>
      <c r="O261" s="621"/>
      <c r="P261" s="621"/>
      <c r="Q261" s="621"/>
      <c r="R261" s="621"/>
      <c r="S261" s="621"/>
      <c r="T261" s="621"/>
      <c r="U261" s="621"/>
      <c r="V261" s="621"/>
      <c r="W261" s="621"/>
      <c r="X261" s="621"/>
      <c r="Y261" s="621"/>
      <c r="Z261" s="621"/>
      <c r="AA261" s="65"/>
      <c r="AB261" s="65"/>
      <c r="AC261" s="79"/>
    </row>
    <row r="262" spans="1:68" ht="14.25" customHeight="1" x14ac:dyDescent="0.25">
      <c r="A262" s="622" t="s">
        <v>112</v>
      </c>
      <c r="B262" s="622"/>
      <c r="C262" s="622"/>
      <c r="D262" s="622"/>
      <c r="E262" s="622"/>
      <c r="F262" s="622"/>
      <c r="G262" s="622"/>
      <c r="H262" s="622"/>
      <c r="I262" s="622"/>
      <c r="J262" s="622"/>
      <c r="K262" s="622"/>
      <c r="L262" s="622"/>
      <c r="M262" s="622"/>
      <c r="N262" s="622"/>
      <c r="O262" s="622"/>
      <c r="P262" s="622"/>
      <c r="Q262" s="622"/>
      <c r="R262" s="622"/>
      <c r="S262" s="622"/>
      <c r="T262" s="622"/>
      <c r="U262" s="622"/>
      <c r="V262" s="622"/>
      <c r="W262" s="622"/>
      <c r="X262" s="622"/>
      <c r="Y262" s="622"/>
      <c r="Z262" s="622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23">
        <v>4607091383423</v>
      </c>
      <c r="E263" s="623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117</v>
      </c>
      <c r="L263" s="37" t="s">
        <v>45</v>
      </c>
      <c r="M263" s="38" t="s">
        <v>88</v>
      </c>
      <c r="N263" s="38"/>
      <c r="O263" s="37">
        <v>35</v>
      </c>
      <c r="P263" s="75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5"/>
      <c r="R263" s="625"/>
      <c r="S263" s="625"/>
      <c r="T263" s="62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115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23">
        <v>4680115886957</v>
      </c>
      <c r="E264" s="62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88</v>
      </c>
      <c r="N264" s="38"/>
      <c r="O264" s="37">
        <v>30</v>
      </c>
      <c r="P264" s="75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23">
        <v>4680115885660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88</v>
      </c>
      <c r="N265" s="38"/>
      <c r="O265" s="37">
        <v>35</v>
      </c>
      <c r="P265" s="75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23">
        <v>4680115886773</v>
      </c>
      <c r="E266" s="623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117</v>
      </c>
      <c r="L266" s="37" t="s">
        <v>45</v>
      </c>
      <c r="M266" s="38" t="s">
        <v>116</v>
      </c>
      <c r="N266" s="38"/>
      <c r="O266" s="37">
        <v>31</v>
      </c>
      <c r="P266" s="75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30"/>
      <c r="B267" s="630"/>
      <c r="C267" s="630"/>
      <c r="D267" s="630"/>
      <c r="E267" s="630"/>
      <c r="F267" s="630"/>
      <c r="G267" s="630"/>
      <c r="H267" s="630"/>
      <c r="I267" s="630"/>
      <c r="J267" s="630"/>
      <c r="K267" s="630"/>
      <c r="L267" s="630"/>
      <c r="M267" s="630"/>
      <c r="N267" s="630"/>
      <c r="O267" s="631"/>
      <c r="P267" s="627" t="s">
        <v>40</v>
      </c>
      <c r="Q267" s="628"/>
      <c r="R267" s="628"/>
      <c r="S267" s="628"/>
      <c r="T267" s="628"/>
      <c r="U267" s="628"/>
      <c r="V267" s="629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30"/>
      <c r="B268" s="630"/>
      <c r="C268" s="630"/>
      <c r="D268" s="630"/>
      <c r="E268" s="630"/>
      <c r="F268" s="630"/>
      <c r="G268" s="630"/>
      <c r="H268" s="630"/>
      <c r="I268" s="630"/>
      <c r="J268" s="630"/>
      <c r="K268" s="630"/>
      <c r="L268" s="630"/>
      <c r="M268" s="630"/>
      <c r="N268" s="630"/>
      <c r="O268" s="631"/>
      <c r="P268" s="627" t="s">
        <v>40</v>
      </c>
      <c r="Q268" s="628"/>
      <c r="R268" s="628"/>
      <c r="S268" s="628"/>
      <c r="T268" s="628"/>
      <c r="U268" s="628"/>
      <c r="V268" s="629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21" t="s">
        <v>435</v>
      </c>
      <c r="B269" s="621"/>
      <c r="C269" s="621"/>
      <c r="D269" s="621"/>
      <c r="E269" s="621"/>
      <c r="F269" s="621"/>
      <c r="G269" s="621"/>
      <c r="H269" s="621"/>
      <c r="I269" s="621"/>
      <c r="J269" s="621"/>
      <c r="K269" s="621"/>
      <c r="L269" s="621"/>
      <c r="M269" s="621"/>
      <c r="N269" s="621"/>
      <c r="O269" s="621"/>
      <c r="P269" s="621"/>
      <c r="Q269" s="621"/>
      <c r="R269" s="621"/>
      <c r="S269" s="621"/>
      <c r="T269" s="621"/>
      <c r="U269" s="621"/>
      <c r="V269" s="621"/>
      <c r="W269" s="621"/>
      <c r="X269" s="621"/>
      <c r="Y269" s="621"/>
      <c r="Z269" s="621"/>
      <c r="AA269" s="65"/>
      <c r="AB269" s="65"/>
      <c r="AC269" s="79"/>
    </row>
    <row r="270" spans="1:68" ht="14.25" customHeight="1" x14ac:dyDescent="0.25">
      <c r="A270" s="622" t="s">
        <v>84</v>
      </c>
      <c r="B270" s="622"/>
      <c r="C270" s="622"/>
      <c r="D270" s="622"/>
      <c r="E270" s="622"/>
      <c r="F270" s="622"/>
      <c r="G270" s="622"/>
      <c r="H270" s="622"/>
      <c r="I270" s="622"/>
      <c r="J270" s="622"/>
      <c r="K270" s="622"/>
      <c r="L270" s="622"/>
      <c r="M270" s="622"/>
      <c r="N270" s="622"/>
      <c r="O270" s="622"/>
      <c r="P270" s="622"/>
      <c r="Q270" s="622"/>
      <c r="R270" s="622"/>
      <c r="S270" s="622"/>
      <c r="T270" s="622"/>
      <c r="U270" s="622"/>
      <c r="V270" s="622"/>
      <c r="W270" s="622"/>
      <c r="X270" s="622"/>
      <c r="Y270" s="622"/>
      <c r="Z270" s="622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23">
        <v>4680115886186</v>
      </c>
      <c r="E271" s="623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5"/>
      <c r="R271" s="625"/>
      <c r="S271" s="625"/>
      <c r="T271" s="626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23">
        <v>4680115881228</v>
      </c>
      <c r="E272" s="623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45</v>
      </c>
      <c r="M272" s="38" t="s">
        <v>96</v>
      </c>
      <c r="N272" s="38"/>
      <c r="O272" s="37">
        <v>40</v>
      </c>
      <c r="P272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23">
        <v>4680115881211</v>
      </c>
      <c r="E273" s="623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100</v>
      </c>
      <c r="M273" s="38" t="s">
        <v>88</v>
      </c>
      <c r="N273" s="38"/>
      <c r="O273" s="37">
        <v>45</v>
      </c>
      <c r="P273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101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30"/>
      <c r="B274" s="630"/>
      <c r="C274" s="630"/>
      <c r="D274" s="630"/>
      <c r="E274" s="630"/>
      <c r="F274" s="630"/>
      <c r="G274" s="630"/>
      <c r="H274" s="630"/>
      <c r="I274" s="630"/>
      <c r="J274" s="630"/>
      <c r="K274" s="630"/>
      <c r="L274" s="630"/>
      <c r="M274" s="630"/>
      <c r="N274" s="630"/>
      <c r="O274" s="631"/>
      <c r="P274" s="627" t="s">
        <v>40</v>
      </c>
      <c r="Q274" s="628"/>
      <c r="R274" s="628"/>
      <c r="S274" s="628"/>
      <c r="T274" s="628"/>
      <c r="U274" s="628"/>
      <c r="V274" s="629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30"/>
      <c r="B275" s="630"/>
      <c r="C275" s="630"/>
      <c r="D275" s="630"/>
      <c r="E275" s="630"/>
      <c r="F275" s="630"/>
      <c r="G275" s="630"/>
      <c r="H275" s="630"/>
      <c r="I275" s="630"/>
      <c r="J275" s="630"/>
      <c r="K275" s="630"/>
      <c r="L275" s="630"/>
      <c r="M275" s="630"/>
      <c r="N275" s="630"/>
      <c r="O275" s="631"/>
      <c r="P275" s="627" t="s">
        <v>40</v>
      </c>
      <c r="Q275" s="628"/>
      <c r="R275" s="628"/>
      <c r="S275" s="628"/>
      <c r="T275" s="628"/>
      <c r="U275" s="628"/>
      <c r="V275" s="629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21" t="s">
        <v>444</v>
      </c>
      <c r="B276" s="621"/>
      <c r="C276" s="621"/>
      <c r="D276" s="621"/>
      <c r="E276" s="621"/>
      <c r="F276" s="621"/>
      <c r="G276" s="621"/>
      <c r="H276" s="621"/>
      <c r="I276" s="621"/>
      <c r="J276" s="621"/>
      <c r="K276" s="621"/>
      <c r="L276" s="621"/>
      <c r="M276" s="621"/>
      <c r="N276" s="621"/>
      <c r="O276" s="621"/>
      <c r="P276" s="621"/>
      <c r="Q276" s="621"/>
      <c r="R276" s="621"/>
      <c r="S276" s="621"/>
      <c r="T276" s="621"/>
      <c r="U276" s="621"/>
      <c r="V276" s="621"/>
      <c r="W276" s="621"/>
      <c r="X276" s="621"/>
      <c r="Y276" s="621"/>
      <c r="Z276" s="621"/>
      <c r="AA276" s="65"/>
      <c r="AB276" s="65"/>
      <c r="AC276" s="79"/>
    </row>
    <row r="277" spans="1:68" ht="14.25" customHeight="1" x14ac:dyDescent="0.25">
      <c r="A277" s="622" t="s">
        <v>78</v>
      </c>
      <c r="B277" s="622"/>
      <c r="C277" s="622"/>
      <c r="D277" s="622"/>
      <c r="E277" s="622"/>
      <c r="F277" s="622"/>
      <c r="G277" s="622"/>
      <c r="H277" s="622"/>
      <c r="I277" s="622"/>
      <c r="J277" s="622"/>
      <c r="K277" s="622"/>
      <c r="L277" s="622"/>
      <c r="M277" s="622"/>
      <c r="N277" s="622"/>
      <c r="O277" s="622"/>
      <c r="P277" s="622"/>
      <c r="Q277" s="622"/>
      <c r="R277" s="622"/>
      <c r="S277" s="622"/>
      <c r="T277" s="622"/>
      <c r="U277" s="622"/>
      <c r="V277" s="622"/>
      <c r="W277" s="622"/>
      <c r="X277" s="622"/>
      <c r="Y277" s="622"/>
      <c r="Z277" s="622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23">
        <v>4680115880344</v>
      </c>
      <c r="E278" s="623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5"/>
      <c r="R278" s="625"/>
      <c r="S278" s="625"/>
      <c r="T278" s="626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23">
        <v>4680115886919</v>
      </c>
      <c r="E279" s="623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30"/>
      <c r="B280" s="630"/>
      <c r="C280" s="630"/>
      <c r="D280" s="630"/>
      <c r="E280" s="630"/>
      <c r="F280" s="630"/>
      <c r="G280" s="630"/>
      <c r="H280" s="630"/>
      <c r="I280" s="630"/>
      <c r="J280" s="630"/>
      <c r="K280" s="630"/>
      <c r="L280" s="630"/>
      <c r="M280" s="630"/>
      <c r="N280" s="630"/>
      <c r="O280" s="631"/>
      <c r="P280" s="627" t="s">
        <v>40</v>
      </c>
      <c r="Q280" s="628"/>
      <c r="R280" s="628"/>
      <c r="S280" s="628"/>
      <c r="T280" s="628"/>
      <c r="U280" s="628"/>
      <c r="V280" s="629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30"/>
      <c r="B281" s="630"/>
      <c r="C281" s="630"/>
      <c r="D281" s="630"/>
      <c r="E281" s="630"/>
      <c r="F281" s="630"/>
      <c r="G281" s="630"/>
      <c r="H281" s="630"/>
      <c r="I281" s="630"/>
      <c r="J281" s="630"/>
      <c r="K281" s="630"/>
      <c r="L281" s="630"/>
      <c r="M281" s="630"/>
      <c r="N281" s="630"/>
      <c r="O281" s="631"/>
      <c r="P281" s="627" t="s">
        <v>40</v>
      </c>
      <c r="Q281" s="628"/>
      <c r="R281" s="628"/>
      <c r="S281" s="628"/>
      <c r="T281" s="628"/>
      <c r="U281" s="628"/>
      <c r="V281" s="629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2" t="s">
        <v>84</v>
      </c>
      <c r="B282" s="622"/>
      <c r="C282" s="622"/>
      <c r="D282" s="622"/>
      <c r="E282" s="622"/>
      <c r="F282" s="622"/>
      <c r="G282" s="622"/>
      <c r="H282" s="622"/>
      <c r="I282" s="622"/>
      <c r="J282" s="622"/>
      <c r="K282" s="622"/>
      <c r="L282" s="622"/>
      <c r="M282" s="622"/>
      <c r="N282" s="622"/>
      <c r="O282" s="622"/>
      <c r="P282" s="622"/>
      <c r="Q282" s="622"/>
      <c r="R282" s="622"/>
      <c r="S282" s="622"/>
      <c r="T282" s="622"/>
      <c r="U282" s="622"/>
      <c r="V282" s="622"/>
      <c r="W282" s="622"/>
      <c r="X282" s="622"/>
      <c r="Y282" s="622"/>
      <c r="Z282" s="622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23">
        <v>4680115884618</v>
      </c>
      <c r="E283" s="623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121</v>
      </c>
      <c r="L283" s="37" t="s">
        <v>122</v>
      </c>
      <c r="M283" s="38" t="s">
        <v>88</v>
      </c>
      <c r="N283" s="38"/>
      <c r="O283" s="37">
        <v>45</v>
      </c>
      <c r="P283" s="76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5"/>
      <c r="R283" s="625"/>
      <c r="S283" s="625"/>
      <c r="T283" s="626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101</v>
      </c>
      <c r="AK283" s="84">
        <v>43.2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23">
        <v>4680115887114</v>
      </c>
      <c r="E284" s="623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121</v>
      </c>
      <c r="L284" s="37" t="s">
        <v>45</v>
      </c>
      <c r="M284" s="38" t="s">
        <v>88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30"/>
      <c r="B285" s="630"/>
      <c r="C285" s="630"/>
      <c r="D285" s="630"/>
      <c r="E285" s="630"/>
      <c r="F285" s="630"/>
      <c r="G285" s="630"/>
      <c r="H285" s="630"/>
      <c r="I285" s="630"/>
      <c r="J285" s="630"/>
      <c r="K285" s="630"/>
      <c r="L285" s="630"/>
      <c r="M285" s="630"/>
      <c r="N285" s="630"/>
      <c r="O285" s="631"/>
      <c r="P285" s="627" t="s">
        <v>40</v>
      </c>
      <c r="Q285" s="628"/>
      <c r="R285" s="628"/>
      <c r="S285" s="628"/>
      <c r="T285" s="628"/>
      <c r="U285" s="628"/>
      <c r="V285" s="629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30"/>
      <c r="B286" s="630"/>
      <c r="C286" s="630"/>
      <c r="D286" s="630"/>
      <c r="E286" s="630"/>
      <c r="F286" s="630"/>
      <c r="G286" s="630"/>
      <c r="H286" s="630"/>
      <c r="I286" s="630"/>
      <c r="J286" s="630"/>
      <c r="K286" s="630"/>
      <c r="L286" s="630"/>
      <c r="M286" s="630"/>
      <c r="N286" s="630"/>
      <c r="O286" s="631"/>
      <c r="P286" s="627" t="s">
        <v>40</v>
      </c>
      <c r="Q286" s="628"/>
      <c r="R286" s="628"/>
      <c r="S286" s="628"/>
      <c r="T286" s="628"/>
      <c r="U286" s="628"/>
      <c r="V286" s="629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21" t="s">
        <v>457</v>
      </c>
      <c r="B287" s="621"/>
      <c r="C287" s="621"/>
      <c r="D287" s="621"/>
      <c r="E287" s="621"/>
      <c r="F287" s="621"/>
      <c r="G287" s="621"/>
      <c r="H287" s="621"/>
      <c r="I287" s="621"/>
      <c r="J287" s="621"/>
      <c r="K287" s="621"/>
      <c r="L287" s="621"/>
      <c r="M287" s="621"/>
      <c r="N287" s="621"/>
      <c r="O287" s="621"/>
      <c r="P287" s="621"/>
      <c r="Q287" s="621"/>
      <c r="R287" s="621"/>
      <c r="S287" s="621"/>
      <c r="T287" s="621"/>
      <c r="U287" s="621"/>
      <c r="V287" s="621"/>
      <c r="W287" s="621"/>
      <c r="X287" s="621"/>
      <c r="Y287" s="621"/>
      <c r="Z287" s="621"/>
      <c r="AA287" s="65"/>
      <c r="AB287" s="65"/>
      <c r="AC287" s="79"/>
    </row>
    <row r="288" spans="1:68" ht="14.25" customHeight="1" x14ac:dyDescent="0.25">
      <c r="A288" s="622" t="s">
        <v>112</v>
      </c>
      <c r="B288" s="622"/>
      <c r="C288" s="622"/>
      <c r="D288" s="622"/>
      <c r="E288" s="622"/>
      <c r="F288" s="622"/>
      <c r="G288" s="622"/>
      <c r="H288" s="622"/>
      <c r="I288" s="622"/>
      <c r="J288" s="622"/>
      <c r="K288" s="622"/>
      <c r="L288" s="622"/>
      <c r="M288" s="622"/>
      <c r="N288" s="622"/>
      <c r="O288" s="622"/>
      <c r="P288" s="622"/>
      <c r="Q288" s="622"/>
      <c r="R288" s="622"/>
      <c r="S288" s="622"/>
      <c r="T288" s="622"/>
      <c r="U288" s="622"/>
      <c r="V288" s="622"/>
      <c r="W288" s="622"/>
      <c r="X288" s="622"/>
      <c r="Y288" s="622"/>
      <c r="Z288" s="622"/>
      <c r="AA288" s="66"/>
      <c r="AB288" s="66"/>
      <c r="AC288" s="80"/>
    </row>
    <row r="289" spans="1:68" ht="27" customHeight="1" x14ac:dyDescent="0.25">
      <c r="A289" s="63" t="s">
        <v>458</v>
      </c>
      <c r="B289" s="63" t="s">
        <v>459</v>
      </c>
      <c r="C289" s="36">
        <v>4301012126</v>
      </c>
      <c r="D289" s="623">
        <v>4607091386004</v>
      </c>
      <c r="E289" s="623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117</v>
      </c>
      <c r="L289" s="37" t="s">
        <v>45</v>
      </c>
      <c r="M289" s="38" t="s">
        <v>116</v>
      </c>
      <c r="N289" s="38"/>
      <c r="O289" s="37">
        <v>55</v>
      </c>
      <c r="P289" s="76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625"/>
      <c r="R289" s="625"/>
      <c r="S289" s="625"/>
      <c r="T289" s="626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26"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460</v>
      </c>
      <c r="AG289" s="78"/>
      <c r="AJ289" s="84" t="s">
        <v>45</v>
      </c>
      <c r="AK289" s="84">
        <v>0</v>
      </c>
      <c r="BB289" s="349" t="s">
        <v>66</v>
      </c>
      <c r="BM289" s="78">
        <f t="shared" ref="BM289:BM294" si="27">IFERROR(X289*I289/H289,"0")</f>
        <v>0</v>
      </c>
      <c r="BN289" s="78">
        <f t="shared" ref="BN289:BN294" si="28">IFERROR(Y289*I289/H289,"0")</f>
        <v>0</v>
      </c>
      <c r="BO289" s="78">
        <f t="shared" ref="BO289:BO294" si="29">IFERROR(1/J289*(X289/H289),"0")</f>
        <v>0</v>
      </c>
      <c r="BP289" s="78">
        <f t="shared" ref="BP289:BP294" si="30">IFERROR(1/J289*(Y289/H289),"0")</f>
        <v>0</v>
      </c>
    </row>
    <row r="290" spans="1:68" ht="27" customHeight="1" x14ac:dyDescent="0.25">
      <c r="A290" s="63" t="s">
        <v>461</v>
      </c>
      <c r="B290" s="63" t="s">
        <v>462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117</v>
      </c>
      <c r="L290" s="37" t="s">
        <v>118</v>
      </c>
      <c r="M290" s="38" t="s">
        <v>88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26"/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101</v>
      </c>
      <c r="AK290" s="84">
        <v>86.4</v>
      </c>
      <c r="BB290" s="351" t="s">
        <v>66</v>
      </c>
      <c r="BM290" s="78">
        <f t="shared" si="27"/>
        <v>0</v>
      </c>
      <c r="BN290" s="78">
        <f t="shared" si="28"/>
        <v>0</v>
      </c>
      <c r="BO290" s="78">
        <f t="shared" si="29"/>
        <v>0</v>
      </c>
      <c r="BP290" s="78">
        <f t="shared" si="30"/>
        <v>0</v>
      </c>
    </row>
    <row r="291" spans="1:68" ht="37.5" customHeight="1" x14ac:dyDescent="0.25">
      <c r="A291" s="63" t="s">
        <v>464</v>
      </c>
      <c r="B291" s="63" t="s">
        <v>465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117</v>
      </c>
      <c r="L291" s="37" t="s">
        <v>118</v>
      </c>
      <c r="M291" s="38" t="s">
        <v>116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26"/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101</v>
      </c>
      <c r="AK291" s="84">
        <v>86.4</v>
      </c>
      <c r="BB291" s="353" t="s">
        <v>66</v>
      </c>
      <c r="BM291" s="78">
        <f t="shared" si="27"/>
        <v>0</v>
      </c>
      <c r="BN291" s="78">
        <f t="shared" si="28"/>
        <v>0</v>
      </c>
      <c r="BO291" s="78">
        <f t="shared" si="29"/>
        <v>0</v>
      </c>
      <c r="BP291" s="78">
        <f t="shared" si="30"/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117</v>
      </c>
      <c r="L292" s="37" t="s">
        <v>45</v>
      </c>
      <c r="M292" s="38" t="s">
        <v>88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26"/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 t="shared" si="27"/>
        <v>0</v>
      </c>
      <c r="BN292" s="78">
        <f t="shared" si="28"/>
        <v>0</v>
      </c>
      <c r="BO292" s="78">
        <f t="shared" si="29"/>
        <v>0</v>
      </c>
      <c r="BP292" s="78">
        <f t="shared" si="30"/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121</v>
      </c>
      <c r="L293" s="37" t="s">
        <v>122</v>
      </c>
      <c r="M293" s="38" t="s">
        <v>116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26"/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463</v>
      </c>
      <c r="AG293" s="78"/>
      <c r="AJ293" s="84" t="s">
        <v>101</v>
      </c>
      <c r="AK293" s="84">
        <v>48</v>
      </c>
      <c r="BB293" s="357" t="s">
        <v>66</v>
      </c>
      <c r="BM293" s="78">
        <f t="shared" si="27"/>
        <v>0</v>
      </c>
      <c r="BN293" s="78">
        <f t="shared" si="28"/>
        <v>0</v>
      </c>
      <c r="BO293" s="78">
        <f t="shared" si="29"/>
        <v>0</v>
      </c>
      <c r="BP293" s="78">
        <f t="shared" si="30"/>
        <v>0</v>
      </c>
    </row>
    <row r="294" spans="1:68" ht="27" customHeight="1" x14ac:dyDescent="0.25">
      <c r="A294" s="63" t="s">
        <v>472</v>
      </c>
      <c r="B294" s="63" t="s">
        <v>473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121</v>
      </c>
      <c r="L294" s="37" t="s">
        <v>122</v>
      </c>
      <c r="M294" s="38" t="s">
        <v>116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26"/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474</v>
      </c>
      <c r="AG294" s="78"/>
      <c r="AJ294" s="84" t="s">
        <v>101</v>
      </c>
      <c r="AK294" s="84">
        <v>48</v>
      </c>
      <c r="BB294" s="359" t="s">
        <v>66</v>
      </c>
      <c r="BM294" s="78">
        <f t="shared" si="27"/>
        <v>0</v>
      </c>
      <c r="BN294" s="78">
        <f t="shared" si="28"/>
        <v>0</v>
      </c>
      <c r="BO294" s="78">
        <f t="shared" si="29"/>
        <v>0</v>
      </c>
      <c r="BP294" s="78">
        <f t="shared" si="30"/>
        <v>0</v>
      </c>
    </row>
    <row r="295" spans="1:68" x14ac:dyDescent="0.2">
      <c r="A295" s="630"/>
      <c r="B295" s="630"/>
      <c r="C295" s="630"/>
      <c r="D295" s="630"/>
      <c r="E295" s="630"/>
      <c r="F295" s="630"/>
      <c r="G295" s="630"/>
      <c r="H295" s="630"/>
      <c r="I295" s="630"/>
      <c r="J295" s="630"/>
      <c r="K295" s="630"/>
      <c r="L295" s="630"/>
      <c r="M295" s="630"/>
      <c r="N295" s="630"/>
      <c r="O295" s="631"/>
      <c r="P295" s="627" t="s">
        <v>40</v>
      </c>
      <c r="Q295" s="628"/>
      <c r="R295" s="628"/>
      <c r="S295" s="628"/>
      <c r="T295" s="628"/>
      <c r="U295" s="628"/>
      <c r="V295" s="629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0"/>
      <c r="B296" s="630"/>
      <c r="C296" s="630"/>
      <c r="D296" s="630"/>
      <c r="E296" s="630"/>
      <c r="F296" s="630"/>
      <c r="G296" s="630"/>
      <c r="H296" s="630"/>
      <c r="I296" s="630"/>
      <c r="J296" s="630"/>
      <c r="K296" s="630"/>
      <c r="L296" s="630"/>
      <c r="M296" s="630"/>
      <c r="N296" s="630"/>
      <c r="O296" s="631"/>
      <c r="P296" s="627" t="s">
        <v>40</v>
      </c>
      <c r="Q296" s="628"/>
      <c r="R296" s="628"/>
      <c r="S296" s="628"/>
      <c r="T296" s="628"/>
      <c r="U296" s="628"/>
      <c r="V296" s="629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475</v>
      </c>
      <c r="B298" s="63" t="s">
        <v>476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121</v>
      </c>
      <c r="L298" s="37" t="s">
        <v>122</v>
      </c>
      <c r="M298" s="38" t="s">
        <v>82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4" si="31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101</v>
      </c>
      <c r="AK298" s="84">
        <v>50.4</v>
      </c>
      <c r="BB298" s="361" t="s">
        <v>66</v>
      </c>
      <c r="BM298" s="78">
        <f t="shared" ref="BM298:BM304" si="32">IFERROR(X298*I298/H298,"0")</f>
        <v>0</v>
      </c>
      <c r="BN298" s="78">
        <f t="shared" ref="BN298:BN304" si="33">IFERROR(Y298*I298/H298,"0")</f>
        <v>0</v>
      </c>
      <c r="BO298" s="78">
        <f t="shared" ref="BO298:BO304" si="34">IFERROR(1/J298*(X298/H298),"0")</f>
        <v>0</v>
      </c>
      <c r="BP298" s="78">
        <f t="shared" ref="BP298:BP304" si="35">IFERROR(1/J298*(Y298/H298),"0")</f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121</v>
      </c>
      <c r="L299" s="37" t="s">
        <v>122</v>
      </c>
      <c r="M299" s="38" t="s">
        <v>82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31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101</v>
      </c>
      <c r="AK299" s="84">
        <v>50.4</v>
      </c>
      <c r="BB299" s="363" t="s">
        <v>66</v>
      </c>
      <c r="BM299" s="78">
        <f t="shared" si="32"/>
        <v>0</v>
      </c>
      <c r="BN299" s="78">
        <f t="shared" si="33"/>
        <v>0</v>
      </c>
      <c r="BO299" s="78">
        <f t="shared" si="34"/>
        <v>0</v>
      </c>
      <c r="BP299" s="78">
        <f t="shared" si="35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121</v>
      </c>
      <c r="L300" s="37" t="s">
        <v>45</v>
      </c>
      <c r="M300" s="38" t="s">
        <v>82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31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32"/>
        <v>0</v>
      </c>
      <c r="BN300" s="78">
        <f t="shared" si="33"/>
        <v>0</v>
      </c>
      <c r="BO300" s="78">
        <f t="shared" si="34"/>
        <v>0</v>
      </c>
      <c r="BP300" s="78">
        <f t="shared" si="35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83</v>
      </c>
      <c r="L301" s="37" t="s">
        <v>277</v>
      </c>
      <c r="M301" s="38" t="s">
        <v>82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31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101</v>
      </c>
      <c r="AK301" s="84">
        <v>37.799999999999997</v>
      </c>
      <c r="BB301" s="367" t="s">
        <v>66</v>
      </c>
      <c r="BM301" s="78">
        <f t="shared" si="32"/>
        <v>0</v>
      </c>
      <c r="BN301" s="78">
        <f t="shared" si="33"/>
        <v>0</v>
      </c>
      <c r="BO301" s="78">
        <f t="shared" si="34"/>
        <v>0</v>
      </c>
      <c r="BP301" s="78">
        <f t="shared" si="35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83</v>
      </c>
      <c r="L302" s="37" t="s">
        <v>277</v>
      </c>
      <c r="M302" s="38" t="s">
        <v>82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31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101</v>
      </c>
      <c r="AK302" s="84">
        <v>37.799999999999997</v>
      </c>
      <c r="BB302" s="369" t="s">
        <v>66</v>
      </c>
      <c r="BM302" s="78">
        <f t="shared" si="32"/>
        <v>0</v>
      </c>
      <c r="BN302" s="78">
        <f t="shared" si="33"/>
        <v>0</v>
      </c>
      <c r="BO302" s="78">
        <f t="shared" si="34"/>
        <v>0</v>
      </c>
      <c r="BP302" s="78">
        <f t="shared" si="35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4301031306</v>
      </c>
      <c r="D303" s="623">
        <v>4680115882881</v>
      </c>
      <c r="E303" s="623"/>
      <c r="F303" s="62">
        <v>0.28000000000000003</v>
      </c>
      <c r="G303" s="37">
        <v>6</v>
      </c>
      <c r="H303" s="62">
        <v>1.68</v>
      </c>
      <c r="I303" s="62">
        <v>1.81</v>
      </c>
      <c r="J303" s="37">
        <v>234</v>
      </c>
      <c r="K303" s="37" t="s">
        <v>83</v>
      </c>
      <c r="L303" s="37" t="s">
        <v>45</v>
      </c>
      <c r="M303" s="38" t="s">
        <v>82</v>
      </c>
      <c r="N303" s="38"/>
      <c r="O303" s="37">
        <v>40</v>
      </c>
      <c r="P303" s="773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31"/>
        <v>0</v>
      </c>
      <c r="Z303" s="41" t="str">
        <f>IFERROR(IF(Y303=0,"",ROUNDUP(Y303/H303,0)*0.00502),"")</f>
        <v/>
      </c>
      <c r="AA303" s="68" t="s">
        <v>45</v>
      </c>
      <c r="AB303" s="69" t="s">
        <v>45</v>
      </c>
      <c r="AC303" s="370" t="s">
        <v>488</v>
      </c>
      <c r="AG303" s="78"/>
      <c r="AJ303" s="84" t="s">
        <v>45</v>
      </c>
      <c r="AK303" s="84">
        <v>0</v>
      </c>
      <c r="BB303" s="371" t="s">
        <v>66</v>
      </c>
      <c r="BM303" s="78">
        <f t="shared" si="32"/>
        <v>0</v>
      </c>
      <c r="BN303" s="78">
        <f t="shared" si="33"/>
        <v>0</v>
      </c>
      <c r="BO303" s="78">
        <f t="shared" si="34"/>
        <v>0</v>
      </c>
      <c r="BP303" s="78">
        <f t="shared" si="35"/>
        <v>0</v>
      </c>
    </row>
    <row r="304" spans="1:68" ht="27" customHeight="1" x14ac:dyDescent="0.25">
      <c r="A304" s="63" t="s">
        <v>491</v>
      </c>
      <c r="B304" s="63" t="s">
        <v>492</v>
      </c>
      <c r="C304" s="36">
        <v>4301031066</v>
      </c>
      <c r="D304" s="623">
        <v>4607091383836</v>
      </c>
      <c r="E304" s="623"/>
      <c r="F304" s="62">
        <v>0.3</v>
      </c>
      <c r="G304" s="37">
        <v>6</v>
      </c>
      <c r="H304" s="62">
        <v>1.8</v>
      </c>
      <c r="I304" s="62">
        <v>2.028</v>
      </c>
      <c r="J304" s="37">
        <v>182</v>
      </c>
      <c r="K304" s="37" t="s">
        <v>89</v>
      </c>
      <c r="L304" s="37" t="s">
        <v>100</v>
      </c>
      <c r="M304" s="38" t="s">
        <v>82</v>
      </c>
      <c r="N304" s="38"/>
      <c r="O304" s="37">
        <v>40</v>
      </c>
      <c r="P304" s="7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625"/>
      <c r="R304" s="625"/>
      <c r="S304" s="625"/>
      <c r="T304" s="626"/>
      <c r="U304" s="39" t="s">
        <v>45</v>
      </c>
      <c r="V304" s="39" t="s">
        <v>45</v>
      </c>
      <c r="W304" s="40" t="s">
        <v>0</v>
      </c>
      <c r="X304" s="58">
        <v>0</v>
      </c>
      <c r="Y304" s="55">
        <f t="shared" si="31"/>
        <v>0</v>
      </c>
      <c r="Z304" s="41" t="str">
        <f>IFERROR(IF(Y304=0,"",ROUNDUP(Y304/H304,0)*0.00651),"")</f>
        <v/>
      </c>
      <c r="AA304" s="68" t="s">
        <v>45</v>
      </c>
      <c r="AB304" s="69" t="s">
        <v>45</v>
      </c>
      <c r="AC304" s="372" t="s">
        <v>493</v>
      </c>
      <c r="AG304" s="78"/>
      <c r="AJ304" s="84" t="s">
        <v>101</v>
      </c>
      <c r="AK304" s="84">
        <v>25.2</v>
      </c>
      <c r="BB304" s="373" t="s">
        <v>66</v>
      </c>
      <c r="BM304" s="78">
        <f t="shared" si="32"/>
        <v>0</v>
      </c>
      <c r="BN304" s="78">
        <f t="shared" si="33"/>
        <v>0</v>
      </c>
      <c r="BO304" s="78">
        <f t="shared" si="34"/>
        <v>0</v>
      </c>
      <c r="BP304" s="78">
        <f t="shared" si="35"/>
        <v>0</v>
      </c>
    </row>
    <row r="305" spans="1:68" x14ac:dyDescent="0.2">
      <c r="A305" s="630"/>
      <c r="B305" s="630"/>
      <c r="C305" s="630"/>
      <c r="D305" s="630"/>
      <c r="E305" s="630"/>
      <c r="F305" s="630"/>
      <c r="G305" s="630"/>
      <c r="H305" s="630"/>
      <c r="I305" s="630"/>
      <c r="J305" s="630"/>
      <c r="K305" s="630"/>
      <c r="L305" s="630"/>
      <c r="M305" s="630"/>
      <c r="N305" s="630"/>
      <c r="O305" s="631"/>
      <c r="P305" s="627" t="s">
        <v>40</v>
      </c>
      <c r="Q305" s="628"/>
      <c r="R305" s="628"/>
      <c r="S305" s="628"/>
      <c r="T305" s="628"/>
      <c r="U305" s="628"/>
      <c r="V305" s="629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">
      <c r="A306" s="630"/>
      <c r="B306" s="630"/>
      <c r="C306" s="630"/>
      <c r="D306" s="630"/>
      <c r="E306" s="630"/>
      <c r="F306" s="630"/>
      <c r="G306" s="630"/>
      <c r="H306" s="630"/>
      <c r="I306" s="630"/>
      <c r="J306" s="630"/>
      <c r="K306" s="630"/>
      <c r="L306" s="630"/>
      <c r="M306" s="630"/>
      <c r="N306" s="630"/>
      <c r="O306" s="631"/>
      <c r="P306" s="627" t="s">
        <v>40</v>
      </c>
      <c r="Q306" s="628"/>
      <c r="R306" s="628"/>
      <c r="S306" s="628"/>
      <c r="T306" s="628"/>
      <c r="U306" s="628"/>
      <c r="V306" s="629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22" t="s">
        <v>84</v>
      </c>
      <c r="B307" s="622"/>
      <c r="C307" s="622"/>
      <c r="D307" s="622"/>
      <c r="E307" s="622"/>
      <c r="F307" s="622"/>
      <c r="G307" s="622"/>
      <c r="H307" s="622"/>
      <c r="I307" s="622"/>
      <c r="J307" s="622"/>
      <c r="K307" s="622"/>
      <c r="L307" s="622"/>
      <c r="M307" s="622"/>
      <c r="N307" s="622"/>
      <c r="O307" s="622"/>
      <c r="P307" s="622"/>
      <c r="Q307" s="622"/>
      <c r="R307" s="622"/>
      <c r="S307" s="622"/>
      <c r="T307" s="622"/>
      <c r="U307" s="622"/>
      <c r="V307" s="622"/>
      <c r="W307" s="622"/>
      <c r="X307" s="622"/>
      <c r="Y307" s="622"/>
      <c r="Z307" s="622"/>
      <c r="AA307" s="66"/>
      <c r="AB307" s="66"/>
      <c r="AC307" s="80"/>
    </row>
    <row r="308" spans="1:68" ht="27" customHeight="1" x14ac:dyDescent="0.25">
      <c r="A308" s="63" t="s">
        <v>494</v>
      </c>
      <c r="B308" s="63" t="s">
        <v>495</v>
      </c>
      <c r="C308" s="36">
        <v>4301051100</v>
      </c>
      <c r="D308" s="623">
        <v>4607091387766</v>
      </c>
      <c r="E308" s="623"/>
      <c r="F308" s="62">
        <v>1.3</v>
      </c>
      <c r="G308" s="37">
        <v>6</v>
      </c>
      <c r="H308" s="62">
        <v>7.8</v>
      </c>
      <c r="I308" s="62">
        <v>8.2880000000000003</v>
      </c>
      <c r="J308" s="37">
        <v>64</v>
      </c>
      <c r="K308" s="37" t="s">
        <v>117</v>
      </c>
      <c r="L308" s="37" t="s">
        <v>118</v>
      </c>
      <c r="M308" s="38" t="s">
        <v>88</v>
      </c>
      <c r="N308" s="38"/>
      <c r="O308" s="37">
        <v>40</v>
      </c>
      <c r="P308" s="7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101</v>
      </c>
      <c r="AK308" s="84">
        <v>62.4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4301051818</v>
      </c>
      <c r="D309" s="623">
        <v>4607091387957</v>
      </c>
      <c r="E309" s="623"/>
      <c r="F309" s="62">
        <v>1.3</v>
      </c>
      <c r="G309" s="37">
        <v>6</v>
      </c>
      <c r="H309" s="62">
        <v>7.8</v>
      </c>
      <c r="I309" s="62">
        <v>8.2940000000000005</v>
      </c>
      <c r="J309" s="37">
        <v>64</v>
      </c>
      <c r="K309" s="37" t="s">
        <v>117</v>
      </c>
      <c r="L309" s="37" t="s">
        <v>45</v>
      </c>
      <c r="M309" s="38" t="s">
        <v>88</v>
      </c>
      <c r="N309" s="38"/>
      <c r="O309" s="37">
        <v>40</v>
      </c>
      <c r="P309" s="77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4301051819</v>
      </c>
      <c r="D310" s="623">
        <v>4607091387964</v>
      </c>
      <c r="E310" s="623"/>
      <c r="F310" s="62">
        <v>1.35</v>
      </c>
      <c r="G310" s="37">
        <v>6</v>
      </c>
      <c r="H310" s="62">
        <v>8.1</v>
      </c>
      <c r="I310" s="62">
        <v>8.5760000000000005</v>
      </c>
      <c r="J310" s="37">
        <v>64</v>
      </c>
      <c r="K310" s="37" t="s">
        <v>117</v>
      </c>
      <c r="L310" s="37" t="s">
        <v>45</v>
      </c>
      <c r="M310" s="38" t="s">
        <v>88</v>
      </c>
      <c r="N310" s="38"/>
      <c r="O310" s="37">
        <v>40</v>
      </c>
      <c r="P310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IFERROR(IF(Y310=0,"",ROUNDUP(Y310/H310,0)*0.01898),"")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503</v>
      </c>
      <c r="B311" s="63" t="s">
        <v>504</v>
      </c>
      <c r="C311" s="36">
        <v>4301051734</v>
      </c>
      <c r="D311" s="623">
        <v>4680115884588</v>
      </c>
      <c r="E311" s="623"/>
      <c r="F311" s="62">
        <v>0.5</v>
      </c>
      <c r="G311" s="37">
        <v>6</v>
      </c>
      <c r="H311" s="62">
        <v>3</v>
      </c>
      <c r="I311" s="62">
        <v>3.246</v>
      </c>
      <c r="J311" s="37">
        <v>182</v>
      </c>
      <c r="K311" s="37" t="s">
        <v>89</v>
      </c>
      <c r="L311" s="37" t="s">
        <v>100</v>
      </c>
      <c r="M311" s="38" t="s">
        <v>88</v>
      </c>
      <c r="N311" s="38"/>
      <c r="O311" s="37">
        <v>40</v>
      </c>
      <c r="P311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625"/>
      <c r="R311" s="625"/>
      <c r="S311" s="625"/>
      <c r="T311" s="626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0" t="s">
        <v>505</v>
      </c>
      <c r="AG311" s="78"/>
      <c r="AJ311" s="84" t="s">
        <v>101</v>
      </c>
      <c r="AK311" s="84">
        <v>42</v>
      </c>
      <c r="BB311" s="38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30"/>
      <c r="B312" s="630"/>
      <c r="C312" s="630"/>
      <c r="D312" s="630"/>
      <c r="E312" s="630"/>
      <c r="F312" s="630"/>
      <c r="G312" s="630"/>
      <c r="H312" s="630"/>
      <c r="I312" s="630"/>
      <c r="J312" s="630"/>
      <c r="K312" s="630"/>
      <c r="L312" s="630"/>
      <c r="M312" s="630"/>
      <c r="N312" s="630"/>
      <c r="O312" s="631"/>
      <c r="P312" s="627" t="s">
        <v>40</v>
      </c>
      <c r="Q312" s="628"/>
      <c r="R312" s="628"/>
      <c r="S312" s="628"/>
      <c r="T312" s="628"/>
      <c r="U312" s="628"/>
      <c r="V312" s="629"/>
      <c r="W312" s="42" t="s">
        <v>39</v>
      </c>
      <c r="X312" s="43">
        <f>IFERROR(X308/H308,"0")+IFERROR(X309/H309,"0")+IFERROR(X310/H310,"0")+IFERROR(X311/H311,"0")</f>
        <v>0</v>
      </c>
      <c r="Y312" s="43">
        <f>IFERROR(Y308/H308,"0")+IFERROR(Y309/H309,"0")+IFERROR(Y310/H310,"0")+IFERROR(Y311/H311,"0")</f>
        <v>0</v>
      </c>
      <c r="Z312" s="43">
        <f>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30"/>
      <c r="B313" s="630"/>
      <c r="C313" s="630"/>
      <c r="D313" s="630"/>
      <c r="E313" s="630"/>
      <c r="F313" s="630"/>
      <c r="G313" s="630"/>
      <c r="H313" s="630"/>
      <c r="I313" s="630"/>
      <c r="J313" s="630"/>
      <c r="K313" s="630"/>
      <c r="L313" s="630"/>
      <c r="M313" s="630"/>
      <c r="N313" s="630"/>
      <c r="O313" s="631"/>
      <c r="P313" s="627" t="s">
        <v>40</v>
      </c>
      <c r="Q313" s="628"/>
      <c r="R313" s="628"/>
      <c r="S313" s="628"/>
      <c r="T313" s="628"/>
      <c r="U313" s="628"/>
      <c r="V313" s="629"/>
      <c r="W313" s="42" t="s">
        <v>0</v>
      </c>
      <c r="X313" s="43">
        <f>IFERROR(SUM(X308:X311),"0")</f>
        <v>0</v>
      </c>
      <c r="Y313" s="43">
        <f>IFERROR(SUM(Y308:Y311),"0")</f>
        <v>0</v>
      </c>
      <c r="Z313" s="42"/>
      <c r="AA313" s="67"/>
      <c r="AB313" s="67"/>
      <c r="AC313" s="67"/>
    </row>
    <row r="314" spans="1:68" ht="14.25" customHeight="1" x14ac:dyDescent="0.25">
      <c r="A314" s="622" t="s">
        <v>175</v>
      </c>
      <c r="B314" s="622"/>
      <c r="C314" s="622"/>
      <c r="D314" s="622"/>
      <c r="E314" s="622"/>
      <c r="F314" s="622"/>
      <c r="G314" s="622"/>
      <c r="H314" s="622"/>
      <c r="I314" s="622"/>
      <c r="J314" s="622"/>
      <c r="K314" s="622"/>
      <c r="L314" s="622"/>
      <c r="M314" s="622"/>
      <c r="N314" s="622"/>
      <c r="O314" s="622"/>
      <c r="P314" s="622"/>
      <c r="Q314" s="622"/>
      <c r="R314" s="622"/>
      <c r="S314" s="622"/>
      <c r="T314" s="622"/>
      <c r="U314" s="622"/>
      <c r="V314" s="622"/>
      <c r="W314" s="622"/>
      <c r="X314" s="622"/>
      <c r="Y314" s="622"/>
      <c r="Z314" s="622"/>
      <c r="AA314" s="66"/>
      <c r="AB314" s="66"/>
      <c r="AC314" s="80"/>
    </row>
    <row r="315" spans="1:68" ht="27" customHeight="1" x14ac:dyDescent="0.25">
      <c r="A315" s="63" t="s">
        <v>506</v>
      </c>
      <c r="B315" s="63" t="s">
        <v>507</v>
      </c>
      <c r="C315" s="36">
        <v>4301060387</v>
      </c>
      <c r="D315" s="623">
        <v>4607091380880</v>
      </c>
      <c r="E315" s="623"/>
      <c r="F315" s="62">
        <v>1.4</v>
      </c>
      <c r="G315" s="37">
        <v>6</v>
      </c>
      <c r="H315" s="62">
        <v>8.4</v>
      </c>
      <c r="I315" s="62">
        <v>8.8940000000000001</v>
      </c>
      <c r="J315" s="37">
        <v>64</v>
      </c>
      <c r="K315" s="37" t="s">
        <v>117</v>
      </c>
      <c r="L315" s="37" t="s">
        <v>118</v>
      </c>
      <c r="M315" s="38" t="s">
        <v>88</v>
      </c>
      <c r="N315" s="38"/>
      <c r="O315" s="37">
        <v>30</v>
      </c>
      <c r="P315" s="7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101</v>
      </c>
      <c r="AK315" s="84">
        <v>67.2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509</v>
      </c>
      <c r="B316" s="63" t="s">
        <v>510</v>
      </c>
      <c r="C316" s="36">
        <v>4301060406</v>
      </c>
      <c r="D316" s="623">
        <v>4607091384482</v>
      </c>
      <c r="E316" s="623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118</v>
      </c>
      <c r="M316" s="38" t="s">
        <v>88</v>
      </c>
      <c r="N316" s="38"/>
      <c r="O316" s="37">
        <v>30</v>
      </c>
      <c r="P316" s="7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101</v>
      </c>
      <c r="AK316" s="84">
        <v>62.4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16.5" customHeight="1" x14ac:dyDescent="0.25">
      <c r="A317" s="63" t="s">
        <v>512</v>
      </c>
      <c r="B317" s="63" t="s">
        <v>513</v>
      </c>
      <c r="C317" s="36">
        <v>4301060484</v>
      </c>
      <c r="D317" s="623">
        <v>4607091380897</v>
      </c>
      <c r="E317" s="623"/>
      <c r="F317" s="62">
        <v>1.4</v>
      </c>
      <c r="G317" s="37">
        <v>6</v>
      </c>
      <c r="H317" s="62">
        <v>8.4</v>
      </c>
      <c r="I317" s="62">
        <v>8.8940000000000001</v>
      </c>
      <c r="J317" s="37">
        <v>64</v>
      </c>
      <c r="K317" s="37" t="s">
        <v>117</v>
      </c>
      <c r="L317" s="37" t="s">
        <v>118</v>
      </c>
      <c r="M317" s="38" t="s">
        <v>96</v>
      </c>
      <c r="N317" s="38"/>
      <c r="O317" s="37">
        <v>30</v>
      </c>
      <c r="P317" s="7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625"/>
      <c r="R317" s="625"/>
      <c r="S317" s="625"/>
      <c r="T317" s="62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86" t="s">
        <v>514</v>
      </c>
      <c r="AG317" s="78"/>
      <c r="AJ317" s="84" t="s">
        <v>101</v>
      </c>
      <c r="AK317" s="84">
        <v>67.2</v>
      </c>
      <c r="BB317" s="387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x14ac:dyDescent="0.2">
      <c r="A318" s="630"/>
      <c r="B318" s="630"/>
      <c r="C318" s="630"/>
      <c r="D318" s="630"/>
      <c r="E318" s="630"/>
      <c r="F318" s="630"/>
      <c r="G318" s="630"/>
      <c r="H318" s="630"/>
      <c r="I318" s="630"/>
      <c r="J318" s="630"/>
      <c r="K318" s="630"/>
      <c r="L318" s="630"/>
      <c r="M318" s="630"/>
      <c r="N318" s="630"/>
      <c r="O318" s="631"/>
      <c r="P318" s="627" t="s">
        <v>40</v>
      </c>
      <c r="Q318" s="628"/>
      <c r="R318" s="628"/>
      <c r="S318" s="628"/>
      <c r="T318" s="628"/>
      <c r="U318" s="628"/>
      <c r="V318" s="629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630"/>
      <c r="B319" s="630"/>
      <c r="C319" s="630"/>
      <c r="D319" s="630"/>
      <c r="E319" s="630"/>
      <c r="F319" s="630"/>
      <c r="G319" s="630"/>
      <c r="H319" s="630"/>
      <c r="I319" s="630"/>
      <c r="J319" s="630"/>
      <c r="K319" s="630"/>
      <c r="L319" s="630"/>
      <c r="M319" s="630"/>
      <c r="N319" s="630"/>
      <c r="O319" s="631"/>
      <c r="P319" s="627" t="s">
        <v>40</v>
      </c>
      <c r="Q319" s="628"/>
      <c r="R319" s="628"/>
      <c r="S319" s="628"/>
      <c r="T319" s="628"/>
      <c r="U319" s="628"/>
      <c r="V319" s="629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4.25" customHeight="1" x14ac:dyDescent="0.25">
      <c r="A320" s="622" t="s">
        <v>104</v>
      </c>
      <c r="B320" s="622"/>
      <c r="C320" s="622"/>
      <c r="D320" s="622"/>
      <c r="E320" s="622"/>
      <c r="F320" s="622"/>
      <c r="G320" s="622"/>
      <c r="H320" s="622"/>
      <c r="I320" s="622"/>
      <c r="J320" s="622"/>
      <c r="K320" s="622"/>
      <c r="L320" s="622"/>
      <c r="M320" s="622"/>
      <c r="N320" s="622"/>
      <c r="O320" s="622"/>
      <c r="P320" s="622"/>
      <c r="Q320" s="622"/>
      <c r="R320" s="622"/>
      <c r="S320" s="622"/>
      <c r="T320" s="622"/>
      <c r="U320" s="622"/>
      <c r="V320" s="622"/>
      <c r="W320" s="622"/>
      <c r="X320" s="622"/>
      <c r="Y320" s="622"/>
      <c r="Z320" s="622"/>
      <c r="AA320" s="66"/>
      <c r="AB320" s="66"/>
      <c r="AC320" s="80"/>
    </row>
    <row r="321" spans="1:68" ht="27" customHeight="1" x14ac:dyDescent="0.25">
      <c r="A321" s="63" t="s">
        <v>515</v>
      </c>
      <c r="B321" s="63" t="s">
        <v>516</v>
      </c>
      <c r="C321" s="36">
        <v>4301030235</v>
      </c>
      <c r="D321" s="623">
        <v>4607091388381</v>
      </c>
      <c r="E321" s="623"/>
      <c r="F321" s="62">
        <v>0.38</v>
      </c>
      <c r="G321" s="37">
        <v>8</v>
      </c>
      <c r="H321" s="62">
        <v>3.04</v>
      </c>
      <c r="I321" s="62">
        <v>3.31</v>
      </c>
      <c r="J321" s="37">
        <v>132</v>
      </c>
      <c r="K321" s="37" t="s">
        <v>121</v>
      </c>
      <c r="L321" s="37" t="s">
        <v>45</v>
      </c>
      <c r="M321" s="38" t="s">
        <v>109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517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4301030232</v>
      </c>
      <c r="D322" s="623">
        <v>4607091388374</v>
      </c>
      <c r="E322" s="623"/>
      <c r="F322" s="62">
        <v>0.38</v>
      </c>
      <c r="G322" s="37">
        <v>8</v>
      </c>
      <c r="H322" s="62">
        <v>3.04</v>
      </c>
      <c r="I322" s="62">
        <v>3.27</v>
      </c>
      <c r="J322" s="37">
        <v>132</v>
      </c>
      <c r="K322" s="37" t="s">
        <v>121</v>
      </c>
      <c r="L322" s="37" t="s">
        <v>45</v>
      </c>
      <c r="M322" s="38" t="s">
        <v>109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90" t="s">
        <v>517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4301032015</v>
      </c>
      <c r="D323" s="623">
        <v>4607091383102</v>
      </c>
      <c r="E323" s="623"/>
      <c r="F323" s="62">
        <v>0.17</v>
      </c>
      <c r="G323" s="37">
        <v>15</v>
      </c>
      <c r="H323" s="62">
        <v>2.5499999999999998</v>
      </c>
      <c r="I323" s="62">
        <v>2.9550000000000001</v>
      </c>
      <c r="J323" s="37">
        <v>182</v>
      </c>
      <c r="K323" s="37" t="s">
        <v>89</v>
      </c>
      <c r="L323" s="37" t="s">
        <v>45</v>
      </c>
      <c r="M323" s="38" t="s">
        <v>109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522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customHeight="1" x14ac:dyDescent="0.25">
      <c r="A324" s="63" t="s">
        <v>523</v>
      </c>
      <c r="B324" s="63" t="s">
        <v>524</v>
      </c>
      <c r="C324" s="36">
        <v>4301030233</v>
      </c>
      <c r="D324" s="623">
        <v>4607091388404</v>
      </c>
      <c r="E324" s="623"/>
      <c r="F324" s="62">
        <v>0.17</v>
      </c>
      <c r="G324" s="37">
        <v>15</v>
      </c>
      <c r="H324" s="62">
        <v>2.5499999999999998</v>
      </c>
      <c r="I324" s="62">
        <v>2.88</v>
      </c>
      <c r="J324" s="37">
        <v>182</v>
      </c>
      <c r="K324" s="37" t="s">
        <v>89</v>
      </c>
      <c r="L324" s="37" t="s">
        <v>100</v>
      </c>
      <c r="M324" s="38" t="s">
        <v>109</v>
      </c>
      <c r="N324" s="38"/>
      <c r="O324" s="37">
        <v>180</v>
      </c>
      <c r="P324" s="78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625"/>
      <c r="R324" s="625"/>
      <c r="S324" s="625"/>
      <c r="T324" s="62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IFERROR(IF(Y324=0,"",ROUNDUP(Y324/H324,0)*0.00651),"")</f>
        <v/>
      </c>
      <c r="AA324" s="68" t="s">
        <v>45</v>
      </c>
      <c r="AB324" s="69" t="s">
        <v>45</v>
      </c>
      <c r="AC324" s="394" t="s">
        <v>517</v>
      </c>
      <c r="AG324" s="78"/>
      <c r="AJ324" s="84" t="s">
        <v>101</v>
      </c>
      <c r="AK324" s="84">
        <v>35.700000000000003</v>
      </c>
      <c r="BB324" s="395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30"/>
      <c r="B325" s="630"/>
      <c r="C325" s="630"/>
      <c r="D325" s="630"/>
      <c r="E325" s="630"/>
      <c r="F325" s="630"/>
      <c r="G325" s="630"/>
      <c r="H325" s="630"/>
      <c r="I325" s="630"/>
      <c r="J325" s="630"/>
      <c r="K325" s="630"/>
      <c r="L325" s="630"/>
      <c r="M325" s="630"/>
      <c r="N325" s="630"/>
      <c r="O325" s="631"/>
      <c r="P325" s="627" t="s">
        <v>40</v>
      </c>
      <c r="Q325" s="628"/>
      <c r="R325" s="628"/>
      <c r="S325" s="628"/>
      <c r="T325" s="628"/>
      <c r="U325" s="628"/>
      <c r="V325" s="629"/>
      <c r="W325" s="42" t="s">
        <v>39</v>
      </c>
      <c r="X325" s="43">
        <f>IFERROR(X321/H321,"0")+IFERROR(X322/H322,"0")+IFERROR(X323/H323,"0")+IFERROR(X324/H324,"0")</f>
        <v>0</v>
      </c>
      <c r="Y325" s="43">
        <f>IFERROR(Y321/H321,"0")+IFERROR(Y322/H322,"0")+IFERROR(Y323/H323,"0")+IFERROR(Y324/H324,"0")</f>
        <v>0</v>
      </c>
      <c r="Z325" s="43">
        <f>IFERROR(IF(Z321="",0,Z321),"0")+IFERROR(IF(Z322="",0,Z322),"0")+IFERROR(IF(Z323="",0,Z323),"0")+IFERROR(IF(Z324="",0,Z324),"0")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30"/>
      <c r="B326" s="630"/>
      <c r="C326" s="630"/>
      <c r="D326" s="630"/>
      <c r="E326" s="630"/>
      <c r="F326" s="630"/>
      <c r="G326" s="630"/>
      <c r="H326" s="630"/>
      <c r="I326" s="630"/>
      <c r="J326" s="630"/>
      <c r="K326" s="630"/>
      <c r="L326" s="630"/>
      <c r="M326" s="630"/>
      <c r="N326" s="630"/>
      <c r="O326" s="631"/>
      <c r="P326" s="627" t="s">
        <v>40</v>
      </c>
      <c r="Q326" s="628"/>
      <c r="R326" s="628"/>
      <c r="S326" s="628"/>
      <c r="T326" s="628"/>
      <c r="U326" s="628"/>
      <c r="V326" s="629"/>
      <c r="W326" s="42" t="s">
        <v>0</v>
      </c>
      <c r="X326" s="43">
        <f>IFERROR(SUM(X321:X324),"0")</f>
        <v>0</v>
      </c>
      <c r="Y326" s="43">
        <f>IFERROR(SUM(Y321:Y324),"0")</f>
        <v>0</v>
      </c>
      <c r="Z326" s="42"/>
      <c r="AA326" s="67"/>
      <c r="AB326" s="67"/>
      <c r="AC326" s="67"/>
    </row>
    <row r="327" spans="1:68" ht="14.25" customHeight="1" x14ac:dyDescent="0.25">
      <c r="A327" s="622" t="s">
        <v>525</v>
      </c>
      <c r="B327" s="622"/>
      <c r="C327" s="622"/>
      <c r="D327" s="622"/>
      <c r="E327" s="622"/>
      <c r="F327" s="622"/>
      <c r="G327" s="622"/>
      <c r="H327" s="622"/>
      <c r="I327" s="622"/>
      <c r="J327" s="622"/>
      <c r="K327" s="622"/>
      <c r="L327" s="622"/>
      <c r="M327" s="622"/>
      <c r="N327" s="622"/>
      <c r="O327" s="622"/>
      <c r="P327" s="622"/>
      <c r="Q327" s="622"/>
      <c r="R327" s="622"/>
      <c r="S327" s="622"/>
      <c r="T327" s="622"/>
      <c r="U327" s="622"/>
      <c r="V327" s="622"/>
      <c r="W327" s="622"/>
      <c r="X327" s="622"/>
      <c r="Y327" s="622"/>
      <c r="Z327" s="622"/>
      <c r="AA327" s="66"/>
      <c r="AB327" s="66"/>
      <c r="AC327" s="80"/>
    </row>
    <row r="328" spans="1:68" ht="16.5" customHeight="1" x14ac:dyDescent="0.25">
      <c r="A328" s="63" t="s">
        <v>526</v>
      </c>
      <c r="B328" s="63" t="s">
        <v>527</v>
      </c>
      <c r="C328" s="36">
        <v>4301180007</v>
      </c>
      <c r="D328" s="623">
        <v>4680115881808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529</v>
      </c>
      <c r="N328" s="38"/>
      <c r="O328" s="37">
        <v>730</v>
      </c>
      <c r="P328" s="78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528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4301180006</v>
      </c>
      <c r="D329" s="623">
        <v>4680115881822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529</v>
      </c>
      <c r="N329" s="38"/>
      <c r="O329" s="37">
        <v>730</v>
      </c>
      <c r="P329" s="78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528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532</v>
      </c>
      <c r="B330" s="63" t="s">
        <v>533</v>
      </c>
      <c r="C330" s="36">
        <v>4301180001</v>
      </c>
      <c r="D330" s="623">
        <v>4680115880016</v>
      </c>
      <c r="E330" s="623"/>
      <c r="F330" s="62">
        <v>0.1</v>
      </c>
      <c r="G330" s="37">
        <v>20</v>
      </c>
      <c r="H330" s="62">
        <v>2</v>
      </c>
      <c r="I330" s="62">
        <v>2.2400000000000002</v>
      </c>
      <c r="J330" s="37">
        <v>238</v>
      </c>
      <c r="K330" s="37" t="s">
        <v>89</v>
      </c>
      <c r="L330" s="37" t="s">
        <v>45</v>
      </c>
      <c r="M330" s="38" t="s">
        <v>529</v>
      </c>
      <c r="N330" s="38"/>
      <c r="O330" s="37">
        <v>730</v>
      </c>
      <c r="P330" s="78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625"/>
      <c r="R330" s="625"/>
      <c r="S330" s="625"/>
      <c r="T330" s="62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IFERROR(IF(Y330=0,"",ROUNDUP(Y330/H330,0)*0.00474),"")</f>
        <v/>
      </c>
      <c r="AA330" s="68" t="s">
        <v>45</v>
      </c>
      <c r="AB330" s="69" t="s">
        <v>45</v>
      </c>
      <c r="AC330" s="400" t="s">
        <v>528</v>
      </c>
      <c r="AG330" s="78"/>
      <c r="AJ330" s="84" t="s">
        <v>45</v>
      </c>
      <c r="AK330" s="84">
        <v>0</v>
      </c>
      <c r="BB330" s="40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30"/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1"/>
      <c r="P331" s="627" t="s">
        <v>40</v>
      </c>
      <c r="Q331" s="628"/>
      <c r="R331" s="628"/>
      <c r="S331" s="628"/>
      <c r="T331" s="628"/>
      <c r="U331" s="628"/>
      <c r="V331" s="629"/>
      <c r="W331" s="42" t="s">
        <v>39</v>
      </c>
      <c r="X331" s="43">
        <f>IFERROR(X328/H328,"0")+IFERROR(X329/H329,"0")+IFERROR(X330/H330,"0")</f>
        <v>0</v>
      </c>
      <c r="Y331" s="43">
        <f>IFERROR(Y328/H328,"0")+IFERROR(Y329/H329,"0")+IFERROR(Y330/H330,"0")</f>
        <v>0</v>
      </c>
      <c r="Z331" s="43">
        <f>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30"/>
      <c r="B332" s="630"/>
      <c r="C332" s="630"/>
      <c r="D332" s="630"/>
      <c r="E332" s="630"/>
      <c r="F332" s="630"/>
      <c r="G332" s="630"/>
      <c r="H332" s="630"/>
      <c r="I332" s="630"/>
      <c r="J332" s="630"/>
      <c r="K332" s="630"/>
      <c r="L332" s="630"/>
      <c r="M332" s="630"/>
      <c r="N332" s="630"/>
      <c r="O332" s="631"/>
      <c r="P332" s="627" t="s">
        <v>40</v>
      </c>
      <c r="Q332" s="628"/>
      <c r="R332" s="628"/>
      <c r="S332" s="628"/>
      <c r="T332" s="628"/>
      <c r="U332" s="628"/>
      <c r="V332" s="629"/>
      <c r="W332" s="42" t="s">
        <v>0</v>
      </c>
      <c r="X332" s="43">
        <f>IFERROR(SUM(X328:X330),"0")</f>
        <v>0</v>
      </c>
      <c r="Y332" s="43">
        <f>IFERROR(SUM(Y328:Y330),"0")</f>
        <v>0</v>
      </c>
      <c r="Z332" s="42"/>
      <c r="AA332" s="67"/>
      <c r="AB332" s="67"/>
      <c r="AC332" s="67"/>
    </row>
    <row r="333" spans="1:68" ht="16.5" customHeight="1" x14ac:dyDescent="0.25">
      <c r="A333" s="621" t="s">
        <v>534</v>
      </c>
      <c r="B333" s="621"/>
      <c r="C333" s="621"/>
      <c r="D333" s="621"/>
      <c r="E333" s="621"/>
      <c r="F333" s="621"/>
      <c r="G333" s="621"/>
      <c r="H333" s="621"/>
      <c r="I333" s="621"/>
      <c r="J333" s="621"/>
      <c r="K333" s="621"/>
      <c r="L333" s="621"/>
      <c r="M333" s="621"/>
      <c r="N333" s="621"/>
      <c r="O333" s="621"/>
      <c r="P333" s="621"/>
      <c r="Q333" s="621"/>
      <c r="R333" s="621"/>
      <c r="S333" s="621"/>
      <c r="T333" s="621"/>
      <c r="U333" s="621"/>
      <c r="V333" s="621"/>
      <c r="W333" s="621"/>
      <c r="X333" s="621"/>
      <c r="Y333" s="621"/>
      <c r="Z333" s="621"/>
      <c r="AA333" s="65"/>
      <c r="AB333" s="65"/>
      <c r="AC333" s="79"/>
    </row>
    <row r="334" spans="1:68" ht="14.25" customHeight="1" x14ac:dyDescent="0.25">
      <c r="A334" s="622" t="s">
        <v>84</v>
      </c>
      <c r="B334" s="622"/>
      <c r="C334" s="622"/>
      <c r="D334" s="622"/>
      <c r="E334" s="622"/>
      <c r="F334" s="622"/>
      <c r="G334" s="622"/>
      <c r="H334" s="622"/>
      <c r="I334" s="622"/>
      <c r="J334" s="622"/>
      <c r="K334" s="622"/>
      <c r="L334" s="622"/>
      <c r="M334" s="622"/>
      <c r="N334" s="622"/>
      <c r="O334" s="622"/>
      <c r="P334" s="622"/>
      <c r="Q334" s="622"/>
      <c r="R334" s="622"/>
      <c r="S334" s="622"/>
      <c r="T334" s="622"/>
      <c r="U334" s="622"/>
      <c r="V334" s="622"/>
      <c r="W334" s="622"/>
      <c r="X334" s="622"/>
      <c r="Y334" s="622"/>
      <c r="Z334" s="622"/>
      <c r="AA334" s="66"/>
      <c r="AB334" s="66"/>
      <c r="AC334" s="80"/>
    </row>
    <row r="335" spans="1:68" ht="27" customHeight="1" x14ac:dyDescent="0.25">
      <c r="A335" s="63" t="s">
        <v>535</v>
      </c>
      <c r="B335" s="63" t="s">
        <v>536</v>
      </c>
      <c r="C335" s="36">
        <v>4301051489</v>
      </c>
      <c r="D335" s="623">
        <v>4607091387919</v>
      </c>
      <c r="E335" s="623"/>
      <c r="F335" s="62">
        <v>1.35</v>
      </c>
      <c r="G335" s="37">
        <v>6</v>
      </c>
      <c r="H335" s="62">
        <v>8.1</v>
      </c>
      <c r="I335" s="62">
        <v>8.5939999999999994</v>
      </c>
      <c r="J335" s="37">
        <v>64</v>
      </c>
      <c r="K335" s="37" t="s">
        <v>117</v>
      </c>
      <c r="L335" s="37" t="s">
        <v>118</v>
      </c>
      <c r="M335" s="38" t="s">
        <v>96</v>
      </c>
      <c r="N335" s="38"/>
      <c r="O335" s="37">
        <v>45</v>
      </c>
      <c r="P335" s="7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101</v>
      </c>
      <c r="AK335" s="84">
        <v>64.8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4301051461</v>
      </c>
      <c r="D336" s="623">
        <v>4680115883604</v>
      </c>
      <c r="E336" s="623"/>
      <c r="F336" s="62">
        <v>0.35</v>
      </c>
      <c r="G336" s="37">
        <v>6</v>
      </c>
      <c r="H336" s="62">
        <v>2.1</v>
      </c>
      <c r="I336" s="62">
        <v>2.3519999999999999</v>
      </c>
      <c r="J336" s="37">
        <v>182</v>
      </c>
      <c r="K336" s="37" t="s">
        <v>89</v>
      </c>
      <c r="L336" s="37" t="s">
        <v>100</v>
      </c>
      <c r="M336" s="38" t="s">
        <v>88</v>
      </c>
      <c r="N336" s="38"/>
      <c r="O336" s="37">
        <v>45</v>
      </c>
      <c r="P336" s="79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101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541</v>
      </c>
      <c r="B337" s="63" t="s">
        <v>542</v>
      </c>
      <c r="C337" s="36">
        <v>4301051864</v>
      </c>
      <c r="D337" s="623">
        <v>4680115883567</v>
      </c>
      <c r="E337" s="623"/>
      <c r="F337" s="62">
        <v>0.35</v>
      </c>
      <c r="G337" s="37">
        <v>6</v>
      </c>
      <c r="H337" s="62">
        <v>2.1</v>
      </c>
      <c r="I337" s="62">
        <v>2.34</v>
      </c>
      <c r="J337" s="37">
        <v>182</v>
      </c>
      <c r="K337" s="37" t="s">
        <v>89</v>
      </c>
      <c r="L337" s="37" t="s">
        <v>100</v>
      </c>
      <c r="M337" s="38" t="s">
        <v>96</v>
      </c>
      <c r="N337" s="38"/>
      <c r="O337" s="37">
        <v>40</v>
      </c>
      <c r="P337" s="79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625"/>
      <c r="R337" s="625"/>
      <c r="S337" s="625"/>
      <c r="T337" s="62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45</v>
      </c>
      <c r="AB337" s="69" t="s">
        <v>45</v>
      </c>
      <c r="AC337" s="406" t="s">
        <v>543</v>
      </c>
      <c r="AG337" s="78"/>
      <c r="AJ337" s="84" t="s">
        <v>101</v>
      </c>
      <c r="AK337" s="84">
        <v>29.4</v>
      </c>
      <c r="BB337" s="407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30"/>
      <c r="B338" s="630"/>
      <c r="C338" s="630"/>
      <c r="D338" s="630"/>
      <c r="E338" s="630"/>
      <c r="F338" s="630"/>
      <c r="G338" s="630"/>
      <c r="H338" s="630"/>
      <c r="I338" s="630"/>
      <c r="J338" s="630"/>
      <c r="K338" s="630"/>
      <c r="L338" s="630"/>
      <c r="M338" s="630"/>
      <c r="N338" s="630"/>
      <c r="O338" s="631"/>
      <c r="P338" s="627" t="s">
        <v>40</v>
      </c>
      <c r="Q338" s="628"/>
      <c r="R338" s="628"/>
      <c r="S338" s="628"/>
      <c r="T338" s="628"/>
      <c r="U338" s="628"/>
      <c r="V338" s="62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30"/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1"/>
      <c r="P339" s="627" t="s">
        <v>40</v>
      </c>
      <c r="Q339" s="628"/>
      <c r="R339" s="628"/>
      <c r="S339" s="628"/>
      <c r="T339" s="628"/>
      <c r="U339" s="628"/>
      <c r="V339" s="62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27.75" customHeight="1" x14ac:dyDescent="0.2">
      <c r="A340" s="620" t="s">
        <v>544</v>
      </c>
      <c r="B340" s="620"/>
      <c r="C340" s="620"/>
      <c r="D340" s="620"/>
      <c r="E340" s="620"/>
      <c r="F340" s="620"/>
      <c r="G340" s="620"/>
      <c r="H340" s="620"/>
      <c r="I340" s="620"/>
      <c r="J340" s="620"/>
      <c r="K340" s="620"/>
      <c r="L340" s="620"/>
      <c r="M340" s="620"/>
      <c r="N340" s="620"/>
      <c r="O340" s="620"/>
      <c r="P340" s="620"/>
      <c r="Q340" s="620"/>
      <c r="R340" s="620"/>
      <c r="S340" s="620"/>
      <c r="T340" s="620"/>
      <c r="U340" s="620"/>
      <c r="V340" s="620"/>
      <c r="W340" s="620"/>
      <c r="X340" s="620"/>
      <c r="Y340" s="620"/>
      <c r="Z340" s="620"/>
      <c r="AA340" s="54"/>
      <c r="AB340" s="54"/>
      <c r="AC340" s="54"/>
    </row>
    <row r="341" spans="1:68" ht="16.5" customHeight="1" x14ac:dyDescent="0.25">
      <c r="A341" s="621" t="s">
        <v>545</v>
      </c>
      <c r="B341" s="621"/>
      <c r="C341" s="621"/>
      <c r="D341" s="621"/>
      <c r="E341" s="621"/>
      <c r="F341" s="621"/>
      <c r="G341" s="621"/>
      <c r="H341" s="621"/>
      <c r="I341" s="621"/>
      <c r="J341" s="621"/>
      <c r="K341" s="621"/>
      <c r="L341" s="621"/>
      <c r="M341" s="621"/>
      <c r="N341" s="621"/>
      <c r="O341" s="621"/>
      <c r="P341" s="621"/>
      <c r="Q341" s="621"/>
      <c r="R341" s="621"/>
      <c r="S341" s="621"/>
      <c r="T341" s="621"/>
      <c r="U341" s="621"/>
      <c r="V341" s="621"/>
      <c r="W341" s="621"/>
      <c r="X341" s="621"/>
      <c r="Y341" s="621"/>
      <c r="Z341" s="621"/>
      <c r="AA341" s="65"/>
      <c r="AB341" s="65"/>
      <c r="AC341" s="79"/>
    </row>
    <row r="342" spans="1:68" ht="14.25" customHeight="1" x14ac:dyDescent="0.25">
      <c r="A342" s="622" t="s">
        <v>112</v>
      </c>
      <c r="B342" s="622"/>
      <c r="C342" s="622"/>
      <c r="D342" s="622"/>
      <c r="E342" s="622"/>
      <c r="F342" s="622"/>
      <c r="G342" s="622"/>
      <c r="H342" s="622"/>
      <c r="I342" s="622"/>
      <c r="J342" s="622"/>
      <c r="K342" s="622"/>
      <c r="L342" s="622"/>
      <c r="M342" s="622"/>
      <c r="N342" s="622"/>
      <c r="O342" s="622"/>
      <c r="P342" s="622"/>
      <c r="Q342" s="622"/>
      <c r="R342" s="622"/>
      <c r="S342" s="622"/>
      <c r="T342" s="622"/>
      <c r="U342" s="622"/>
      <c r="V342" s="622"/>
      <c r="W342" s="622"/>
      <c r="X342" s="622"/>
      <c r="Y342" s="622"/>
      <c r="Z342" s="622"/>
      <c r="AA342" s="66"/>
      <c r="AB342" s="66"/>
      <c r="AC342" s="80"/>
    </row>
    <row r="343" spans="1:68" ht="37.5" customHeight="1" x14ac:dyDescent="0.25">
      <c r="A343" s="63" t="s">
        <v>546</v>
      </c>
      <c r="B343" s="63" t="s">
        <v>547</v>
      </c>
      <c r="C343" s="36">
        <v>4301011869</v>
      </c>
      <c r="D343" s="623">
        <v>4680115884847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117</v>
      </c>
      <c r="L343" s="37" t="s">
        <v>45</v>
      </c>
      <c r="M343" s="38" t="s">
        <v>82</v>
      </c>
      <c r="N343" s="38"/>
      <c r="O343" s="37">
        <v>60</v>
      </c>
      <c r="P343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ref="Y343:Y349" si="36"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45</v>
      </c>
      <c r="AK343" s="84">
        <v>0</v>
      </c>
      <c r="BB343" s="409" t="s">
        <v>66</v>
      </c>
      <c r="BM343" s="78">
        <f t="shared" ref="BM343:BM349" si="37">IFERROR(X343*I343/H343,"0")</f>
        <v>0</v>
      </c>
      <c r="BN343" s="78">
        <f t="shared" ref="BN343:BN349" si="38">IFERROR(Y343*I343/H343,"0")</f>
        <v>0</v>
      </c>
      <c r="BO343" s="78">
        <f t="shared" ref="BO343:BO349" si="39">IFERROR(1/J343*(X343/H343),"0")</f>
        <v>0</v>
      </c>
      <c r="BP343" s="78">
        <f t="shared" ref="BP343:BP349" si="40">IFERROR(1/J343*(Y343/H343),"0")</f>
        <v>0</v>
      </c>
    </row>
    <row r="344" spans="1:68" ht="27" customHeight="1" x14ac:dyDescent="0.25">
      <c r="A344" s="63" t="s">
        <v>549</v>
      </c>
      <c r="B344" s="63" t="s">
        <v>550</v>
      </c>
      <c r="C344" s="36">
        <v>4301011870</v>
      </c>
      <c r="D344" s="623">
        <v>4680115884854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117</v>
      </c>
      <c r="L344" s="37" t="s">
        <v>45</v>
      </c>
      <c r="M344" s="38" t="s">
        <v>82</v>
      </c>
      <c r="N344" s="38"/>
      <c r="O344" s="37">
        <v>60</v>
      </c>
      <c r="P344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6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45</v>
      </c>
      <c r="AK344" s="84">
        <v>0</v>
      </c>
      <c r="BB344" s="411" t="s">
        <v>66</v>
      </c>
      <c r="BM344" s="78">
        <f t="shared" si="37"/>
        <v>0</v>
      </c>
      <c r="BN344" s="78">
        <f t="shared" si="38"/>
        <v>0</v>
      </c>
      <c r="BO344" s="78">
        <f t="shared" si="39"/>
        <v>0</v>
      </c>
      <c r="BP344" s="78">
        <f t="shared" si="40"/>
        <v>0</v>
      </c>
    </row>
    <row r="345" spans="1:68" ht="37.5" customHeight="1" x14ac:dyDescent="0.25">
      <c r="A345" s="63" t="s">
        <v>552</v>
      </c>
      <c r="B345" s="63" t="s">
        <v>553</v>
      </c>
      <c r="C345" s="36">
        <v>4301011867</v>
      </c>
      <c r="D345" s="623">
        <v>4680115884830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117</v>
      </c>
      <c r="L345" s="37" t="s">
        <v>45</v>
      </c>
      <c r="M345" s="38" t="s">
        <v>82</v>
      </c>
      <c r="N345" s="38"/>
      <c r="O345" s="37">
        <v>60</v>
      </c>
      <c r="P345" s="79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6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7"/>
        <v>0</v>
      </c>
      <c r="BN345" s="78">
        <f t="shared" si="38"/>
        <v>0</v>
      </c>
      <c r="BO345" s="78">
        <f t="shared" si="39"/>
        <v>0</v>
      </c>
      <c r="BP345" s="78">
        <f t="shared" si="40"/>
        <v>0</v>
      </c>
    </row>
    <row r="346" spans="1:68" ht="27" customHeight="1" x14ac:dyDescent="0.25">
      <c r="A346" s="63" t="s">
        <v>555</v>
      </c>
      <c r="B346" s="63" t="s">
        <v>556</v>
      </c>
      <c r="C346" s="36">
        <v>4301012215</v>
      </c>
      <c r="D346" s="623">
        <v>4680115887046</v>
      </c>
      <c r="E346" s="623"/>
      <c r="F346" s="62">
        <v>2.5</v>
      </c>
      <c r="G346" s="37">
        <v>6</v>
      </c>
      <c r="H346" s="62">
        <v>15</v>
      </c>
      <c r="I346" s="62">
        <v>15.47</v>
      </c>
      <c r="J346" s="37">
        <v>48</v>
      </c>
      <c r="K346" s="37" t="s">
        <v>117</v>
      </c>
      <c r="L346" s="37" t="s">
        <v>45</v>
      </c>
      <c r="M346" s="38" t="s">
        <v>96</v>
      </c>
      <c r="N346" s="38"/>
      <c r="O346" s="37">
        <v>60</v>
      </c>
      <c r="P346" s="7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6"/>
        <v>0</v>
      </c>
      <c r="Z346" s="41" t="str">
        <f>IFERROR(IF(Y346=0,"",ROUNDUP(Y346/H346,0)*0.02175),"")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45</v>
      </c>
      <c r="AK346" s="84">
        <v>0</v>
      </c>
      <c r="BB346" s="415" t="s">
        <v>66</v>
      </c>
      <c r="BM346" s="78">
        <f t="shared" si="37"/>
        <v>0</v>
      </c>
      <c r="BN346" s="78">
        <f t="shared" si="38"/>
        <v>0</v>
      </c>
      <c r="BO346" s="78">
        <f t="shared" si="39"/>
        <v>0</v>
      </c>
      <c r="BP346" s="78">
        <f t="shared" si="40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4301011433</v>
      </c>
      <c r="D347" s="623">
        <v>4680115882638</v>
      </c>
      <c r="E347" s="623"/>
      <c r="F347" s="62">
        <v>0.4</v>
      </c>
      <c r="G347" s="37">
        <v>10</v>
      </c>
      <c r="H347" s="62">
        <v>4</v>
      </c>
      <c r="I347" s="62">
        <v>4.1900000000000004</v>
      </c>
      <c r="J347" s="37">
        <v>132</v>
      </c>
      <c r="K347" s="37" t="s">
        <v>121</v>
      </c>
      <c r="L347" s="37" t="s">
        <v>45</v>
      </c>
      <c r="M347" s="38" t="s">
        <v>116</v>
      </c>
      <c r="N347" s="38"/>
      <c r="O347" s="37">
        <v>90</v>
      </c>
      <c r="P347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6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560</v>
      </c>
      <c r="AG347" s="78"/>
      <c r="AJ347" s="84" t="s">
        <v>45</v>
      </c>
      <c r="AK347" s="84">
        <v>0</v>
      </c>
      <c r="BB347" s="417" t="s">
        <v>66</v>
      </c>
      <c r="BM347" s="78">
        <f t="shared" si="37"/>
        <v>0</v>
      </c>
      <c r="BN347" s="78">
        <f t="shared" si="38"/>
        <v>0</v>
      </c>
      <c r="BO347" s="78">
        <f t="shared" si="39"/>
        <v>0</v>
      </c>
      <c r="BP347" s="78">
        <f t="shared" si="40"/>
        <v>0</v>
      </c>
    </row>
    <row r="348" spans="1:68" ht="27" customHeight="1" x14ac:dyDescent="0.25">
      <c r="A348" s="63" t="s">
        <v>561</v>
      </c>
      <c r="B348" s="63" t="s">
        <v>562</v>
      </c>
      <c r="C348" s="36">
        <v>4301011952</v>
      </c>
      <c r="D348" s="623">
        <v>4680115884922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121</v>
      </c>
      <c r="L348" s="37" t="s">
        <v>45</v>
      </c>
      <c r="M348" s="38" t="s">
        <v>82</v>
      </c>
      <c r="N348" s="38"/>
      <c r="O348" s="37">
        <v>60</v>
      </c>
      <c r="P348" s="79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6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7"/>
        <v>0</v>
      </c>
      <c r="BN348" s="78">
        <f t="shared" si="38"/>
        <v>0</v>
      </c>
      <c r="BO348" s="78">
        <f t="shared" si="39"/>
        <v>0</v>
      </c>
      <c r="BP348" s="78">
        <f t="shared" si="40"/>
        <v>0</v>
      </c>
    </row>
    <row r="349" spans="1:68" ht="37.5" customHeight="1" x14ac:dyDescent="0.25">
      <c r="A349" s="63" t="s">
        <v>563</v>
      </c>
      <c r="B349" s="63" t="s">
        <v>564</v>
      </c>
      <c r="C349" s="36">
        <v>4301011868</v>
      </c>
      <c r="D349" s="623">
        <v>4680115884861</v>
      </c>
      <c r="E349" s="623"/>
      <c r="F349" s="62">
        <v>0.5</v>
      </c>
      <c r="G349" s="37">
        <v>10</v>
      </c>
      <c r="H349" s="62">
        <v>5</v>
      </c>
      <c r="I349" s="62">
        <v>5.19</v>
      </c>
      <c r="J349" s="37">
        <v>132</v>
      </c>
      <c r="K349" s="37" t="s">
        <v>121</v>
      </c>
      <c r="L349" s="37" t="s">
        <v>122</v>
      </c>
      <c r="M349" s="38" t="s">
        <v>82</v>
      </c>
      <c r="N349" s="38"/>
      <c r="O349" s="37">
        <v>60</v>
      </c>
      <c r="P349" s="79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625"/>
      <c r="R349" s="625"/>
      <c r="S349" s="625"/>
      <c r="T349" s="626"/>
      <c r="U349" s="39" t="s">
        <v>45</v>
      </c>
      <c r="V349" s="39" t="s">
        <v>45</v>
      </c>
      <c r="W349" s="40" t="s">
        <v>0</v>
      </c>
      <c r="X349" s="58">
        <v>0</v>
      </c>
      <c r="Y349" s="55">
        <f t="shared" si="36"/>
        <v>0</v>
      </c>
      <c r="Z349" s="41" t="str">
        <f>IFERROR(IF(Y349=0,"",ROUNDUP(Y349/H349,0)*0.00902),"")</f>
        <v/>
      </c>
      <c r="AA349" s="68" t="s">
        <v>45</v>
      </c>
      <c r="AB349" s="69" t="s">
        <v>45</v>
      </c>
      <c r="AC349" s="420" t="s">
        <v>554</v>
      </c>
      <c r="AG349" s="78"/>
      <c r="AJ349" s="84" t="s">
        <v>101</v>
      </c>
      <c r="AK349" s="84">
        <v>60</v>
      </c>
      <c r="BB349" s="421" t="s">
        <v>66</v>
      </c>
      <c r="BM349" s="78">
        <f t="shared" si="37"/>
        <v>0</v>
      </c>
      <c r="BN349" s="78">
        <f t="shared" si="38"/>
        <v>0</v>
      </c>
      <c r="BO349" s="78">
        <f t="shared" si="39"/>
        <v>0</v>
      </c>
      <c r="BP349" s="78">
        <f t="shared" si="40"/>
        <v>0</v>
      </c>
    </row>
    <row r="350" spans="1:68" x14ac:dyDescent="0.2">
      <c r="A350" s="630"/>
      <c r="B350" s="630"/>
      <c r="C350" s="630"/>
      <c r="D350" s="630"/>
      <c r="E350" s="630"/>
      <c r="F350" s="630"/>
      <c r="G350" s="630"/>
      <c r="H350" s="630"/>
      <c r="I350" s="630"/>
      <c r="J350" s="630"/>
      <c r="K350" s="630"/>
      <c r="L350" s="630"/>
      <c r="M350" s="630"/>
      <c r="N350" s="630"/>
      <c r="O350" s="631"/>
      <c r="P350" s="627" t="s">
        <v>40</v>
      </c>
      <c r="Q350" s="628"/>
      <c r="R350" s="628"/>
      <c r="S350" s="628"/>
      <c r="T350" s="628"/>
      <c r="U350" s="628"/>
      <c r="V350" s="629"/>
      <c r="W350" s="42" t="s">
        <v>39</v>
      </c>
      <c r="X350" s="43">
        <f>IFERROR(X343/H343,"0")+IFERROR(X344/H344,"0")+IFERROR(X345/H345,"0")+IFERROR(X346/H346,"0")+IFERROR(X347/H347,"0")+IFERROR(X348/H348,"0")+IFERROR(X349/H349,"0")</f>
        <v>0</v>
      </c>
      <c r="Y350" s="43">
        <f>IFERROR(Y343/H343,"0")+IFERROR(Y344/H344,"0")+IFERROR(Y345/H345,"0")+IFERROR(Y346/H346,"0")+IFERROR(Y347/H347,"0")+IFERROR(Y348/H348,"0")+IFERROR(Y349/H349,"0")</f>
        <v>0</v>
      </c>
      <c r="Z350" s="43">
        <f>IFERROR(IF(Z343="",0,Z343),"0")+IFERROR(IF(Z344="",0,Z344),"0")+IFERROR(IF(Z345="",0,Z345),"0")+IFERROR(IF(Z346="",0,Z346),"0")+IFERROR(IF(Z347="",0,Z347),"0")+IFERROR(IF(Z348="",0,Z348),"0")+IFERROR(IF(Z349="",0,Z349),"0")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x14ac:dyDescent="0.2">
      <c r="A351" s="630"/>
      <c r="B351" s="630"/>
      <c r="C351" s="630"/>
      <c r="D351" s="630"/>
      <c r="E351" s="630"/>
      <c r="F351" s="630"/>
      <c r="G351" s="630"/>
      <c r="H351" s="630"/>
      <c r="I351" s="630"/>
      <c r="J351" s="630"/>
      <c r="K351" s="630"/>
      <c r="L351" s="630"/>
      <c r="M351" s="630"/>
      <c r="N351" s="630"/>
      <c r="O351" s="631"/>
      <c r="P351" s="627" t="s">
        <v>40</v>
      </c>
      <c r="Q351" s="628"/>
      <c r="R351" s="628"/>
      <c r="S351" s="628"/>
      <c r="T351" s="628"/>
      <c r="U351" s="628"/>
      <c r="V351" s="629"/>
      <c r="W351" s="42" t="s">
        <v>0</v>
      </c>
      <c r="X351" s="43">
        <f>IFERROR(SUM(X343:X349),"0")</f>
        <v>0</v>
      </c>
      <c r="Y351" s="43">
        <f>IFERROR(SUM(Y343:Y349),"0")</f>
        <v>0</v>
      </c>
      <c r="Z351" s="42"/>
      <c r="AA351" s="67"/>
      <c r="AB351" s="67"/>
      <c r="AC351" s="67"/>
    </row>
    <row r="352" spans="1:68" ht="14.25" customHeight="1" x14ac:dyDescent="0.25">
      <c r="A352" s="622" t="s">
        <v>147</v>
      </c>
      <c r="B352" s="622"/>
      <c r="C352" s="622"/>
      <c r="D352" s="622"/>
      <c r="E352" s="622"/>
      <c r="F352" s="622"/>
      <c r="G352" s="622"/>
      <c r="H352" s="622"/>
      <c r="I352" s="622"/>
      <c r="J352" s="622"/>
      <c r="K352" s="622"/>
      <c r="L352" s="622"/>
      <c r="M352" s="622"/>
      <c r="N352" s="622"/>
      <c r="O352" s="622"/>
      <c r="P352" s="622"/>
      <c r="Q352" s="622"/>
      <c r="R352" s="622"/>
      <c r="S352" s="622"/>
      <c r="T352" s="622"/>
      <c r="U352" s="622"/>
      <c r="V352" s="622"/>
      <c r="W352" s="622"/>
      <c r="X352" s="622"/>
      <c r="Y352" s="622"/>
      <c r="Z352" s="622"/>
      <c r="AA352" s="66"/>
      <c r="AB352" s="66"/>
      <c r="AC352" s="80"/>
    </row>
    <row r="353" spans="1:68" ht="27" customHeight="1" x14ac:dyDescent="0.25">
      <c r="A353" s="63" t="s">
        <v>565</v>
      </c>
      <c r="B353" s="63" t="s">
        <v>566</v>
      </c>
      <c r="C353" s="36">
        <v>4301020178</v>
      </c>
      <c r="D353" s="623">
        <v>4607091383980</v>
      </c>
      <c r="E353" s="623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116</v>
      </c>
      <c r="N353" s="38"/>
      <c r="O353" s="37">
        <v>50</v>
      </c>
      <c r="P353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568</v>
      </c>
      <c r="B354" s="63" t="s">
        <v>569</v>
      </c>
      <c r="C354" s="36">
        <v>4301020179</v>
      </c>
      <c r="D354" s="623">
        <v>4607091384178</v>
      </c>
      <c r="E354" s="62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121</v>
      </c>
      <c r="L354" s="37" t="s">
        <v>45</v>
      </c>
      <c r="M354" s="38" t="s">
        <v>116</v>
      </c>
      <c r="N354" s="38"/>
      <c r="O354" s="37">
        <v>50</v>
      </c>
      <c r="P354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625"/>
      <c r="R354" s="625"/>
      <c r="S354" s="625"/>
      <c r="T354" s="626"/>
      <c r="U354" s="39" t="s">
        <v>45</v>
      </c>
      <c r="V354" s="39" t="s">
        <v>45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24" t="s">
        <v>570</v>
      </c>
      <c r="AG354" s="78"/>
      <c r="AJ354" s="84" t="s">
        <v>45</v>
      </c>
      <c r="AK354" s="84">
        <v>0</v>
      </c>
      <c r="BB354" s="425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30"/>
      <c r="B355" s="630"/>
      <c r="C355" s="630"/>
      <c r="D355" s="630"/>
      <c r="E355" s="630"/>
      <c r="F355" s="630"/>
      <c r="G355" s="630"/>
      <c r="H355" s="630"/>
      <c r="I355" s="630"/>
      <c r="J355" s="630"/>
      <c r="K355" s="630"/>
      <c r="L355" s="630"/>
      <c r="M355" s="630"/>
      <c r="N355" s="630"/>
      <c r="O355" s="631"/>
      <c r="P355" s="627" t="s">
        <v>40</v>
      </c>
      <c r="Q355" s="628"/>
      <c r="R355" s="628"/>
      <c r="S355" s="628"/>
      <c r="T355" s="628"/>
      <c r="U355" s="628"/>
      <c r="V355" s="629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x14ac:dyDescent="0.2">
      <c r="A356" s="630"/>
      <c r="B356" s="630"/>
      <c r="C356" s="630"/>
      <c r="D356" s="630"/>
      <c r="E356" s="630"/>
      <c r="F356" s="630"/>
      <c r="G356" s="630"/>
      <c r="H356" s="630"/>
      <c r="I356" s="630"/>
      <c r="J356" s="630"/>
      <c r="K356" s="630"/>
      <c r="L356" s="630"/>
      <c r="M356" s="630"/>
      <c r="N356" s="630"/>
      <c r="O356" s="631"/>
      <c r="P356" s="627" t="s">
        <v>40</v>
      </c>
      <c r="Q356" s="628"/>
      <c r="R356" s="628"/>
      <c r="S356" s="628"/>
      <c r="T356" s="628"/>
      <c r="U356" s="628"/>
      <c r="V356" s="629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4.25" customHeight="1" x14ac:dyDescent="0.25">
      <c r="A357" s="622" t="s">
        <v>84</v>
      </c>
      <c r="B357" s="622"/>
      <c r="C357" s="622"/>
      <c r="D357" s="622"/>
      <c r="E357" s="622"/>
      <c r="F357" s="622"/>
      <c r="G357" s="622"/>
      <c r="H357" s="622"/>
      <c r="I357" s="622"/>
      <c r="J357" s="622"/>
      <c r="K357" s="622"/>
      <c r="L357" s="622"/>
      <c r="M357" s="622"/>
      <c r="N357" s="622"/>
      <c r="O357" s="622"/>
      <c r="P357" s="622"/>
      <c r="Q357" s="622"/>
      <c r="R357" s="622"/>
      <c r="S357" s="622"/>
      <c r="T357" s="622"/>
      <c r="U357" s="622"/>
      <c r="V357" s="622"/>
      <c r="W357" s="622"/>
      <c r="X357" s="622"/>
      <c r="Y357" s="622"/>
      <c r="Z357" s="622"/>
      <c r="AA357" s="66"/>
      <c r="AB357" s="66"/>
      <c r="AC357" s="80"/>
    </row>
    <row r="358" spans="1:68" ht="27" customHeight="1" x14ac:dyDescent="0.25">
      <c r="A358" s="63" t="s">
        <v>571</v>
      </c>
      <c r="B358" s="63" t="s">
        <v>572</v>
      </c>
      <c r="C358" s="36">
        <v>4301051903</v>
      </c>
      <c r="D358" s="623">
        <v>4607091383928</v>
      </c>
      <c r="E358" s="623"/>
      <c r="F358" s="62">
        <v>1.5</v>
      </c>
      <c r="G358" s="37">
        <v>6</v>
      </c>
      <c r="H358" s="62">
        <v>9</v>
      </c>
      <c r="I358" s="62">
        <v>9.5</v>
      </c>
      <c r="J358" s="37">
        <v>64</v>
      </c>
      <c r="K358" s="37" t="s">
        <v>117</v>
      </c>
      <c r="L358" s="37" t="s">
        <v>118</v>
      </c>
      <c r="M358" s="38" t="s">
        <v>88</v>
      </c>
      <c r="N358" s="38"/>
      <c r="O358" s="37">
        <v>40</v>
      </c>
      <c r="P358" s="8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101</v>
      </c>
      <c r="AK358" s="84">
        <v>72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574</v>
      </c>
      <c r="B359" s="63" t="s">
        <v>575</v>
      </c>
      <c r="C359" s="36">
        <v>4301051897</v>
      </c>
      <c r="D359" s="623">
        <v>4607091384260</v>
      </c>
      <c r="E359" s="623"/>
      <c r="F359" s="62">
        <v>1.5</v>
      </c>
      <c r="G359" s="37">
        <v>6</v>
      </c>
      <c r="H359" s="62">
        <v>9</v>
      </c>
      <c r="I359" s="62">
        <v>9.4939999999999998</v>
      </c>
      <c r="J359" s="37">
        <v>64</v>
      </c>
      <c r="K359" s="37" t="s">
        <v>117</v>
      </c>
      <c r="L359" s="37" t="s">
        <v>118</v>
      </c>
      <c r="M359" s="38" t="s">
        <v>88</v>
      </c>
      <c r="N359" s="38"/>
      <c r="O359" s="37">
        <v>40</v>
      </c>
      <c r="P359" s="8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625"/>
      <c r="R359" s="625"/>
      <c r="S359" s="625"/>
      <c r="T359" s="626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45</v>
      </c>
      <c r="AB359" s="69" t="s">
        <v>45</v>
      </c>
      <c r="AC359" s="428" t="s">
        <v>576</v>
      </c>
      <c r="AG359" s="78"/>
      <c r="AJ359" s="84" t="s">
        <v>101</v>
      </c>
      <c r="AK359" s="84">
        <v>72</v>
      </c>
      <c r="BB359" s="42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30"/>
      <c r="B360" s="630"/>
      <c r="C360" s="630"/>
      <c r="D360" s="630"/>
      <c r="E360" s="630"/>
      <c r="F360" s="630"/>
      <c r="G360" s="630"/>
      <c r="H360" s="630"/>
      <c r="I360" s="630"/>
      <c r="J360" s="630"/>
      <c r="K360" s="630"/>
      <c r="L360" s="630"/>
      <c r="M360" s="630"/>
      <c r="N360" s="630"/>
      <c r="O360" s="631"/>
      <c r="P360" s="627" t="s">
        <v>40</v>
      </c>
      <c r="Q360" s="628"/>
      <c r="R360" s="628"/>
      <c r="S360" s="628"/>
      <c r="T360" s="628"/>
      <c r="U360" s="628"/>
      <c r="V360" s="629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30"/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1"/>
      <c r="P361" s="627" t="s">
        <v>40</v>
      </c>
      <c r="Q361" s="628"/>
      <c r="R361" s="628"/>
      <c r="S361" s="628"/>
      <c r="T361" s="628"/>
      <c r="U361" s="628"/>
      <c r="V361" s="629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22" t="s">
        <v>175</v>
      </c>
      <c r="B362" s="622"/>
      <c r="C362" s="622"/>
      <c r="D362" s="622"/>
      <c r="E362" s="622"/>
      <c r="F362" s="622"/>
      <c r="G362" s="622"/>
      <c r="H362" s="622"/>
      <c r="I362" s="622"/>
      <c r="J362" s="622"/>
      <c r="K362" s="622"/>
      <c r="L362" s="622"/>
      <c r="M362" s="622"/>
      <c r="N362" s="622"/>
      <c r="O362" s="622"/>
      <c r="P362" s="622"/>
      <c r="Q362" s="622"/>
      <c r="R362" s="622"/>
      <c r="S362" s="622"/>
      <c r="T362" s="622"/>
      <c r="U362" s="622"/>
      <c r="V362" s="622"/>
      <c r="W362" s="622"/>
      <c r="X362" s="622"/>
      <c r="Y362" s="622"/>
      <c r="Z362" s="622"/>
      <c r="AA362" s="66"/>
      <c r="AB362" s="66"/>
      <c r="AC362" s="80"/>
    </row>
    <row r="363" spans="1:68" ht="16.5" customHeight="1" x14ac:dyDescent="0.25">
      <c r="A363" s="63" t="s">
        <v>577</v>
      </c>
      <c r="B363" s="63" t="s">
        <v>578</v>
      </c>
      <c r="C363" s="36">
        <v>4301060524</v>
      </c>
      <c r="D363" s="623">
        <v>4607091384673</v>
      </c>
      <c r="E363" s="623"/>
      <c r="F363" s="62">
        <v>1.5</v>
      </c>
      <c r="G363" s="37">
        <v>6</v>
      </c>
      <c r="H363" s="62">
        <v>9</v>
      </c>
      <c r="I363" s="62">
        <v>9.4939999999999998</v>
      </c>
      <c r="J363" s="37">
        <v>64</v>
      </c>
      <c r="K363" s="37" t="s">
        <v>117</v>
      </c>
      <c r="L363" s="37" t="s">
        <v>45</v>
      </c>
      <c r="M363" s="38" t="s">
        <v>88</v>
      </c>
      <c r="N363" s="38"/>
      <c r="O363" s="37">
        <v>40</v>
      </c>
      <c r="P363" s="80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625"/>
      <c r="R363" s="625"/>
      <c r="S363" s="625"/>
      <c r="T363" s="626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45</v>
      </c>
      <c r="AB363" s="69" t="s">
        <v>45</v>
      </c>
      <c r="AC363" s="430" t="s">
        <v>579</v>
      </c>
      <c r="AG363" s="78"/>
      <c r="AJ363" s="84" t="s">
        <v>45</v>
      </c>
      <c r="AK363" s="84">
        <v>0</v>
      </c>
      <c r="BB363" s="431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x14ac:dyDescent="0.2">
      <c r="A364" s="630"/>
      <c r="B364" s="630"/>
      <c r="C364" s="630"/>
      <c r="D364" s="630"/>
      <c r="E364" s="630"/>
      <c r="F364" s="630"/>
      <c r="G364" s="630"/>
      <c r="H364" s="630"/>
      <c r="I364" s="630"/>
      <c r="J364" s="630"/>
      <c r="K364" s="630"/>
      <c r="L364" s="630"/>
      <c r="M364" s="630"/>
      <c r="N364" s="630"/>
      <c r="O364" s="631"/>
      <c r="P364" s="627" t="s">
        <v>40</v>
      </c>
      <c r="Q364" s="628"/>
      <c r="R364" s="628"/>
      <c r="S364" s="628"/>
      <c r="T364" s="628"/>
      <c r="U364" s="628"/>
      <c r="V364" s="629"/>
      <c r="W364" s="42" t="s">
        <v>39</v>
      </c>
      <c r="X364" s="43">
        <f>IFERROR(X363/H363,"0")</f>
        <v>0</v>
      </c>
      <c r="Y364" s="43">
        <f>IFERROR(Y363/H363,"0")</f>
        <v>0</v>
      </c>
      <c r="Z364" s="43">
        <f>IFERROR(IF(Z363="",0,Z363),"0")</f>
        <v>0</v>
      </c>
      <c r="AA364" s="67"/>
      <c r="AB364" s="67"/>
      <c r="AC364" s="67"/>
    </row>
    <row r="365" spans="1:68" x14ac:dyDescent="0.2">
      <c r="A365" s="630"/>
      <c r="B365" s="630"/>
      <c r="C365" s="630"/>
      <c r="D365" s="630"/>
      <c r="E365" s="630"/>
      <c r="F365" s="630"/>
      <c r="G365" s="630"/>
      <c r="H365" s="630"/>
      <c r="I365" s="630"/>
      <c r="J365" s="630"/>
      <c r="K365" s="630"/>
      <c r="L365" s="630"/>
      <c r="M365" s="630"/>
      <c r="N365" s="630"/>
      <c r="O365" s="631"/>
      <c r="P365" s="627" t="s">
        <v>40</v>
      </c>
      <c r="Q365" s="628"/>
      <c r="R365" s="628"/>
      <c r="S365" s="628"/>
      <c r="T365" s="628"/>
      <c r="U365" s="628"/>
      <c r="V365" s="629"/>
      <c r="W365" s="42" t="s">
        <v>0</v>
      </c>
      <c r="X365" s="43">
        <f>IFERROR(SUM(X363:X363),"0")</f>
        <v>0</v>
      </c>
      <c r="Y365" s="43">
        <f>IFERROR(SUM(Y363:Y363),"0")</f>
        <v>0</v>
      </c>
      <c r="Z365" s="42"/>
      <c r="AA365" s="67"/>
      <c r="AB365" s="67"/>
      <c r="AC365" s="67"/>
    </row>
    <row r="366" spans="1:68" ht="16.5" customHeight="1" x14ac:dyDescent="0.25">
      <c r="A366" s="621" t="s">
        <v>580</v>
      </c>
      <c r="B366" s="621"/>
      <c r="C366" s="621"/>
      <c r="D366" s="621"/>
      <c r="E366" s="621"/>
      <c r="F366" s="621"/>
      <c r="G366" s="621"/>
      <c r="H366" s="621"/>
      <c r="I366" s="621"/>
      <c r="J366" s="621"/>
      <c r="K366" s="621"/>
      <c r="L366" s="621"/>
      <c r="M366" s="621"/>
      <c r="N366" s="621"/>
      <c r="O366" s="621"/>
      <c r="P366" s="621"/>
      <c r="Q366" s="621"/>
      <c r="R366" s="621"/>
      <c r="S366" s="621"/>
      <c r="T366" s="621"/>
      <c r="U366" s="621"/>
      <c r="V366" s="621"/>
      <c r="W366" s="621"/>
      <c r="X366" s="621"/>
      <c r="Y366" s="621"/>
      <c r="Z366" s="621"/>
      <c r="AA366" s="65"/>
      <c r="AB366" s="65"/>
      <c r="AC366" s="79"/>
    </row>
    <row r="367" spans="1:68" ht="14.25" customHeight="1" x14ac:dyDescent="0.25">
      <c r="A367" s="622" t="s">
        <v>112</v>
      </c>
      <c r="B367" s="622"/>
      <c r="C367" s="622"/>
      <c r="D367" s="622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2"/>
      <c r="P367" s="622"/>
      <c r="Q367" s="622"/>
      <c r="R367" s="622"/>
      <c r="S367" s="622"/>
      <c r="T367" s="622"/>
      <c r="U367" s="622"/>
      <c r="V367" s="622"/>
      <c r="W367" s="622"/>
      <c r="X367" s="622"/>
      <c r="Y367" s="622"/>
      <c r="Z367" s="622"/>
      <c r="AA367" s="66"/>
      <c r="AB367" s="66"/>
      <c r="AC367" s="80"/>
    </row>
    <row r="368" spans="1:68" ht="37.5" customHeight="1" x14ac:dyDescent="0.25">
      <c r="A368" s="63" t="s">
        <v>581</v>
      </c>
      <c r="B368" s="63" t="s">
        <v>582</v>
      </c>
      <c r="C368" s="36">
        <v>4301011875</v>
      </c>
      <c r="D368" s="623">
        <v>4680115884885</v>
      </c>
      <c r="E368" s="623"/>
      <c r="F368" s="62">
        <v>0.8</v>
      </c>
      <c r="G368" s="37">
        <v>15</v>
      </c>
      <c r="H368" s="62">
        <v>12</v>
      </c>
      <c r="I368" s="62">
        <v>12.41</v>
      </c>
      <c r="J368" s="37">
        <v>64</v>
      </c>
      <c r="K368" s="37" t="s">
        <v>117</v>
      </c>
      <c r="L368" s="37" t="s">
        <v>118</v>
      </c>
      <c r="M368" s="38" t="s">
        <v>82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32" t="s">
        <v>583</v>
      </c>
      <c r="AG368" s="78"/>
      <c r="AJ368" s="84" t="s">
        <v>101</v>
      </c>
      <c r="AK368" s="84">
        <v>96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37.5" customHeight="1" x14ac:dyDescent="0.25">
      <c r="A369" s="63" t="s">
        <v>584</v>
      </c>
      <c r="B369" s="63" t="s">
        <v>585</v>
      </c>
      <c r="C369" s="36">
        <v>4301011871</v>
      </c>
      <c r="D369" s="623">
        <v>4680115884908</v>
      </c>
      <c r="E369" s="6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121</v>
      </c>
      <c r="L369" s="37" t="s">
        <v>122</v>
      </c>
      <c r="M369" s="38" t="s">
        <v>82</v>
      </c>
      <c r="N369" s="38"/>
      <c r="O369" s="37">
        <v>60</v>
      </c>
      <c r="P369" s="8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625"/>
      <c r="R369" s="625"/>
      <c r="S369" s="625"/>
      <c r="T369" s="626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IFERROR(IF(Y369=0,"",ROUNDUP(Y369/H369,0)*0.00902),"")</f>
        <v/>
      </c>
      <c r="AA369" s="68" t="s">
        <v>45</v>
      </c>
      <c r="AB369" s="69" t="s">
        <v>45</v>
      </c>
      <c r="AC369" s="434" t="s">
        <v>583</v>
      </c>
      <c r="AG369" s="78"/>
      <c r="AJ369" s="84" t="s">
        <v>101</v>
      </c>
      <c r="AK369" s="84">
        <v>48</v>
      </c>
      <c r="BB369" s="435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x14ac:dyDescent="0.2">
      <c r="A370" s="630"/>
      <c r="B370" s="630"/>
      <c r="C370" s="630"/>
      <c r="D370" s="630"/>
      <c r="E370" s="630"/>
      <c r="F370" s="630"/>
      <c r="G370" s="630"/>
      <c r="H370" s="630"/>
      <c r="I370" s="630"/>
      <c r="J370" s="630"/>
      <c r="K370" s="630"/>
      <c r="L370" s="630"/>
      <c r="M370" s="630"/>
      <c r="N370" s="630"/>
      <c r="O370" s="631"/>
      <c r="P370" s="627" t="s">
        <v>40</v>
      </c>
      <c r="Q370" s="628"/>
      <c r="R370" s="628"/>
      <c r="S370" s="628"/>
      <c r="T370" s="628"/>
      <c r="U370" s="628"/>
      <c r="V370" s="629"/>
      <c r="W370" s="42" t="s">
        <v>39</v>
      </c>
      <c r="X370" s="43">
        <f>IFERROR(X368/H368,"0")+IFERROR(X369/H369,"0")</f>
        <v>0</v>
      </c>
      <c r="Y370" s="43">
        <f>IFERROR(Y368/H368,"0")+IFERROR(Y369/H369,"0")</f>
        <v>0</v>
      </c>
      <c r="Z370" s="43">
        <f>IFERROR(IF(Z368="",0,Z368),"0")+IFERROR(IF(Z369="",0,Z369),"0")</f>
        <v>0</v>
      </c>
      <c r="AA370" s="67"/>
      <c r="AB370" s="67"/>
      <c r="AC370" s="67"/>
    </row>
    <row r="371" spans="1:68" x14ac:dyDescent="0.2">
      <c r="A371" s="630"/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1"/>
      <c r="P371" s="627" t="s">
        <v>40</v>
      </c>
      <c r="Q371" s="628"/>
      <c r="R371" s="628"/>
      <c r="S371" s="628"/>
      <c r="T371" s="628"/>
      <c r="U371" s="628"/>
      <c r="V371" s="629"/>
      <c r="W371" s="42" t="s">
        <v>0</v>
      </c>
      <c r="X371" s="43">
        <f>IFERROR(SUM(X368:X369),"0")</f>
        <v>0</v>
      </c>
      <c r="Y371" s="43">
        <f>IFERROR(SUM(Y368:Y369),"0")</f>
        <v>0</v>
      </c>
      <c r="Z371" s="42"/>
      <c r="AA371" s="67"/>
      <c r="AB371" s="67"/>
      <c r="AC371" s="67"/>
    </row>
    <row r="372" spans="1:68" ht="14.25" customHeight="1" x14ac:dyDescent="0.25">
      <c r="A372" s="622" t="s">
        <v>78</v>
      </c>
      <c r="B372" s="622"/>
      <c r="C372" s="622"/>
      <c r="D372" s="622"/>
      <c r="E372" s="622"/>
      <c r="F372" s="622"/>
      <c r="G372" s="622"/>
      <c r="H372" s="622"/>
      <c r="I372" s="622"/>
      <c r="J372" s="622"/>
      <c r="K372" s="622"/>
      <c r="L372" s="622"/>
      <c r="M372" s="622"/>
      <c r="N372" s="622"/>
      <c r="O372" s="622"/>
      <c r="P372" s="622"/>
      <c r="Q372" s="622"/>
      <c r="R372" s="622"/>
      <c r="S372" s="622"/>
      <c r="T372" s="622"/>
      <c r="U372" s="622"/>
      <c r="V372" s="622"/>
      <c r="W372" s="622"/>
      <c r="X372" s="622"/>
      <c r="Y372" s="622"/>
      <c r="Z372" s="622"/>
      <c r="AA372" s="66"/>
      <c r="AB372" s="66"/>
      <c r="AC372" s="80"/>
    </row>
    <row r="373" spans="1:68" ht="27" customHeight="1" x14ac:dyDescent="0.25">
      <c r="A373" s="63" t="s">
        <v>586</v>
      </c>
      <c r="B373" s="63" t="s">
        <v>587</v>
      </c>
      <c r="C373" s="36">
        <v>4301031303</v>
      </c>
      <c r="D373" s="623">
        <v>4607091384802</v>
      </c>
      <c r="E373" s="62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121</v>
      </c>
      <c r="L373" s="37" t="s">
        <v>122</v>
      </c>
      <c r="M373" s="38" t="s">
        <v>82</v>
      </c>
      <c r="N373" s="38"/>
      <c r="O373" s="37">
        <v>35</v>
      </c>
      <c r="P373" s="80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101</v>
      </c>
      <c r="AK373" s="84">
        <v>52.56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586</v>
      </c>
      <c r="B374" s="63" t="s">
        <v>589</v>
      </c>
      <c r="C374" s="36">
        <v>4301031457</v>
      </c>
      <c r="D374" s="623">
        <v>4607091384802</v>
      </c>
      <c r="E374" s="6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121</v>
      </c>
      <c r="L374" s="37" t="s">
        <v>45</v>
      </c>
      <c r="M374" s="38" t="s">
        <v>82</v>
      </c>
      <c r="N374" s="38"/>
      <c r="O374" s="37">
        <v>50</v>
      </c>
      <c r="P374" s="8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625"/>
      <c r="R374" s="625"/>
      <c r="S374" s="625"/>
      <c r="T374" s="626"/>
      <c r="U374" s="39" t="s">
        <v>45</v>
      </c>
      <c r="V374" s="39" t="s">
        <v>45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IFERROR(IF(Y374=0,"",ROUNDUP(Y374/H374,0)*0.00902),"")</f>
        <v/>
      </c>
      <c r="AA374" s="68" t="s">
        <v>45</v>
      </c>
      <c r="AB374" s="69" t="s">
        <v>45</v>
      </c>
      <c r="AC374" s="438" t="s">
        <v>590</v>
      </c>
      <c r="AG374" s="78"/>
      <c r="AJ374" s="84" t="s">
        <v>45</v>
      </c>
      <c r="AK374" s="84">
        <v>0</v>
      </c>
      <c r="BB374" s="43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30"/>
      <c r="B375" s="630"/>
      <c r="C375" s="630"/>
      <c r="D375" s="630"/>
      <c r="E375" s="630"/>
      <c r="F375" s="630"/>
      <c r="G375" s="630"/>
      <c r="H375" s="630"/>
      <c r="I375" s="630"/>
      <c r="J375" s="630"/>
      <c r="K375" s="630"/>
      <c r="L375" s="630"/>
      <c r="M375" s="630"/>
      <c r="N375" s="630"/>
      <c r="O375" s="631"/>
      <c r="P375" s="627" t="s">
        <v>40</v>
      </c>
      <c r="Q375" s="628"/>
      <c r="R375" s="628"/>
      <c r="S375" s="628"/>
      <c r="T375" s="628"/>
      <c r="U375" s="628"/>
      <c r="V375" s="629"/>
      <c r="W375" s="42" t="s">
        <v>39</v>
      </c>
      <c r="X375" s="43">
        <f>IFERROR(X373/H373,"0")+IFERROR(X374/H374,"0")</f>
        <v>0</v>
      </c>
      <c r="Y375" s="43">
        <f>IFERROR(Y373/H373,"0")+IFERROR(Y374/H374,"0")</f>
        <v>0</v>
      </c>
      <c r="Z375" s="43">
        <f>IFERROR(IF(Z373="",0,Z373),"0")+IFERROR(IF(Z374="",0,Z374),"0")</f>
        <v>0</v>
      </c>
      <c r="AA375" s="67"/>
      <c r="AB375" s="67"/>
      <c r="AC375" s="67"/>
    </row>
    <row r="376" spans="1:68" x14ac:dyDescent="0.2">
      <c r="A376" s="630"/>
      <c r="B376" s="630"/>
      <c r="C376" s="630"/>
      <c r="D376" s="630"/>
      <c r="E376" s="630"/>
      <c r="F376" s="630"/>
      <c r="G376" s="630"/>
      <c r="H376" s="630"/>
      <c r="I376" s="630"/>
      <c r="J376" s="630"/>
      <c r="K376" s="630"/>
      <c r="L376" s="630"/>
      <c r="M376" s="630"/>
      <c r="N376" s="630"/>
      <c r="O376" s="631"/>
      <c r="P376" s="627" t="s">
        <v>40</v>
      </c>
      <c r="Q376" s="628"/>
      <c r="R376" s="628"/>
      <c r="S376" s="628"/>
      <c r="T376" s="628"/>
      <c r="U376" s="628"/>
      <c r="V376" s="629"/>
      <c r="W376" s="42" t="s">
        <v>0</v>
      </c>
      <c r="X376" s="43">
        <f>IFERROR(SUM(X373:X374),"0")</f>
        <v>0</v>
      </c>
      <c r="Y376" s="43">
        <f>IFERROR(SUM(Y373:Y374),"0")</f>
        <v>0</v>
      </c>
      <c r="Z376" s="42"/>
      <c r="AA376" s="67"/>
      <c r="AB376" s="67"/>
      <c r="AC376" s="67"/>
    </row>
    <row r="377" spans="1:68" ht="14.25" customHeight="1" x14ac:dyDescent="0.25">
      <c r="A377" s="622" t="s">
        <v>84</v>
      </c>
      <c r="B377" s="622"/>
      <c r="C377" s="622"/>
      <c r="D377" s="622"/>
      <c r="E377" s="622"/>
      <c r="F377" s="622"/>
      <c r="G377" s="622"/>
      <c r="H377" s="622"/>
      <c r="I377" s="622"/>
      <c r="J377" s="622"/>
      <c r="K377" s="622"/>
      <c r="L377" s="622"/>
      <c r="M377" s="622"/>
      <c r="N377" s="622"/>
      <c r="O377" s="622"/>
      <c r="P377" s="622"/>
      <c r="Q377" s="622"/>
      <c r="R377" s="622"/>
      <c r="S377" s="622"/>
      <c r="T377" s="622"/>
      <c r="U377" s="622"/>
      <c r="V377" s="622"/>
      <c r="W377" s="622"/>
      <c r="X377" s="622"/>
      <c r="Y377" s="622"/>
      <c r="Z377" s="622"/>
      <c r="AA377" s="66"/>
      <c r="AB377" s="66"/>
      <c r="AC377" s="80"/>
    </row>
    <row r="378" spans="1:68" ht="27" customHeight="1" x14ac:dyDescent="0.25">
      <c r="A378" s="63" t="s">
        <v>591</v>
      </c>
      <c r="B378" s="63" t="s">
        <v>592</v>
      </c>
      <c r="C378" s="36">
        <v>4301051899</v>
      </c>
      <c r="D378" s="623">
        <v>4607091384246</v>
      </c>
      <c r="E378" s="623"/>
      <c r="F378" s="62">
        <v>1.5</v>
      </c>
      <c r="G378" s="37">
        <v>6</v>
      </c>
      <c r="H378" s="62">
        <v>9</v>
      </c>
      <c r="I378" s="62">
        <v>9.4939999999999998</v>
      </c>
      <c r="J378" s="37">
        <v>64</v>
      </c>
      <c r="K378" s="37" t="s">
        <v>117</v>
      </c>
      <c r="L378" s="37" t="s">
        <v>118</v>
      </c>
      <c r="M378" s="38" t="s">
        <v>88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45</v>
      </c>
      <c r="AB378" s="69" t="s">
        <v>45</v>
      </c>
      <c r="AC378" s="440" t="s">
        <v>593</v>
      </c>
      <c r="AG378" s="78"/>
      <c r="AJ378" s="84" t="s">
        <v>101</v>
      </c>
      <c r="AK378" s="84">
        <v>72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594</v>
      </c>
      <c r="B379" s="63" t="s">
        <v>595</v>
      </c>
      <c r="C379" s="36">
        <v>4301051660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100</v>
      </c>
      <c r="M379" s="38" t="s">
        <v>88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593</v>
      </c>
      <c r="AG379" s="78"/>
      <c r="AJ379" s="84" t="s">
        <v>101</v>
      </c>
      <c r="AK379" s="84">
        <v>33.6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594</v>
      </c>
      <c r="B380" s="63" t="s">
        <v>596</v>
      </c>
      <c r="C380" s="36">
        <v>4301052069</v>
      </c>
      <c r="D380" s="623">
        <v>4607091384253</v>
      </c>
      <c r="E380" s="623"/>
      <c r="F380" s="62">
        <v>0.4</v>
      </c>
      <c r="G380" s="37">
        <v>6</v>
      </c>
      <c r="H380" s="62">
        <v>2.4</v>
      </c>
      <c r="I380" s="62">
        <v>2.6640000000000001</v>
      </c>
      <c r="J380" s="37">
        <v>182</v>
      </c>
      <c r="K380" s="37" t="s">
        <v>89</v>
      </c>
      <c r="L380" s="37" t="s">
        <v>45</v>
      </c>
      <c r="M380" s="38" t="s">
        <v>88</v>
      </c>
      <c r="N380" s="38"/>
      <c r="O380" s="37">
        <v>40</v>
      </c>
      <c r="P380" s="810" t="s">
        <v>597</v>
      </c>
      <c r="Q380" s="625"/>
      <c r="R380" s="625"/>
      <c r="S380" s="625"/>
      <c r="T380" s="62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IFERROR(IF(Y380=0,"",ROUNDUP(Y380/H380,0)*0.00651),"")</f>
        <v/>
      </c>
      <c r="AA380" s="68" t="s">
        <v>45</v>
      </c>
      <c r="AB380" s="69" t="s">
        <v>45</v>
      </c>
      <c r="AC380" s="444" t="s">
        <v>598</v>
      </c>
      <c r="AG380" s="78"/>
      <c r="AJ380" s="84" t="s">
        <v>45</v>
      </c>
      <c r="AK380" s="84">
        <v>0</v>
      </c>
      <c r="BB380" s="44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30"/>
      <c r="B381" s="630"/>
      <c r="C381" s="630"/>
      <c r="D381" s="630"/>
      <c r="E381" s="630"/>
      <c r="F381" s="630"/>
      <c r="G381" s="630"/>
      <c r="H381" s="630"/>
      <c r="I381" s="630"/>
      <c r="J381" s="630"/>
      <c r="K381" s="630"/>
      <c r="L381" s="630"/>
      <c r="M381" s="630"/>
      <c r="N381" s="630"/>
      <c r="O381" s="631"/>
      <c r="P381" s="627" t="s">
        <v>40</v>
      </c>
      <c r="Q381" s="628"/>
      <c r="R381" s="628"/>
      <c r="S381" s="628"/>
      <c r="T381" s="628"/>
      <c r="U381" s="628"/>
      <c r="V381" s="629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30"/>
      <c r="B382" s="630"/>
      <c r="C382" s="630"/>
      <c r="D382" s="630"/>
      <c r="E382" s="630"/>
      <c r="F382" s="630"/>
      <c r="G382" s="630"/>
      <c r="H382" s="630"/>
      <c r="I382" s="630"/>
      <c r="J382" s="630"/>
      <c r="K382" s="630"/>
      <c r="L382" s="630"/>
      <c r="M382" s="630"/>
      <c r="N382" s="630"/>
      <c r="O382" s="631"/>
      <c r="P382" s="627" t="s">
        <v>40</v>
      </c>
      <c r="Q382" s="628"/>
      <c r="R382" s="628"/>
      <c r="S382" s="628"/>
      <c r="T382" s="628"/>
      <c r="U382" s="628"/>
      <c r="V382" s="629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27.75" customHeight="1" x14ac:dyDescent="0.2">
      <c r="A383" s="620" t="s">
        <v>599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54"/>
      <c r="AB383" s="54"/>
      <c r="AC383" s="54"/>
    </row>
    <row r="384" spans="1:68" ht="16.5" customHeight="1" x14ac:dyDescent="0.25">
      <c r="A384" s="621" t="s">
        <v>600</v>
      </c>
      <c r="B384" s="621"/>
      <c r="C384" s="621"/>
      <c r="D384" s="621"/>
      <c r="E384" s="621"/>
      <c r="F384" s="621"/>
      <c r="G384" s="621"/>
      <c r="H384" s="621"/>
      <c r="I384" s="621"/>
      <c r="J384" s="621"/>
      <c r="K384" s="621"/>
      <c r="L384" s="621"/>
      <c r="M384" s="621"/>
      <c r="N384" s="621"/>
      <c r="O384" s="621"/>
      <c r="P384" s="621"/>
      <c r="Q384" s="621"/>
      <c r="R384" s="621"/>
      <c r="S384" s="621"/>
      <c r="T384" s="621"/>
      <c r="U384" s="621"/>
      <c r="V384" s="621"/>
      <c r="W384" s="621"/>
      <c r="X384" s="621"/>
      <c r="Y384" s="621"/>
      <c r="Z384" s="621"/>
      <c r="AA384" s="65"/>
      <c r="AB384" s="65"/>
      <c r="AC384" s="79"/>
    </row>
    <row r="385" spans="1:68" ht="14.25" customHeight="1" x14ac:dyDescent="0.25">
      <c r="A385" s="622" t="s">
        <v>78</v>
      </c>
      <c r="B385" s="622"/>
      <c r="C385" s="622"/>
      <c r="D385" s="622"/>
      <c r="E385" s="622"/>
      <c r="F385" s="622"/>
      <c r="G385" s="622"/>
      <c r="H385" s="622"/>
      <c r="I385" s="622"/>
      <c r="J385" s="622"/>
      <c r="K385" s="622"/>
      <c r="L385" s="622"/>
      <c r="M385" s="622"/>
      <c r="N385" s="622"/>
      <c r="O385" s="622"/>
      <c r="P385" s="622"/>
      <c r="Q385" s="622"/>
      <c r="R385" s="622"/>
      <c r="S385" s="622"/>
      <c r="T385" s="622"/>
      <c r="U385" s="622"/>
      <c r="V385" s="622"/>
      <c r="W385" s="622"/>
      <c r="X385" s="622"/>
      <c r="Y385" s="622"/>
      <c r="Z385" s="622"/>
      <c r="AA385" s="66"/>
      <c r="AB385" s="66"/>
      <c r="AC385" s="80"/>
    </row>
    <row r="386" spans="1:68" ht="27" customHeight="1" x14ac:dyDescent="0.25">
      <c r="A386" s="63" t="s">
        <v>601</v>
      </c>
      <c r="B386" s="63" t="s">
        <v>602</v>
      </c>
      <c r="C386" s="36">
        <v>4301031405</v>
      </c>
      <c r="D386" s="623">
        <v>4680115886100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121</v>
      </c>
      <c r="L386" s="37" t="s">
        <v>122</v>
      </c>
      <c r="M386" s="38" t="s">
        <v>82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ref="Y386:Y394" si="41">IFERROR(IF(X386="",0,CEILING((X386/$H386),1)*$H386),"")</f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101</v>
      </c>
      <c r="AK386" s="84">
        <v>64.8</v>
      </c>
      <c r="BB386" s="447" t="s">
        <v>66</v>
      </c>
      <c r="BM386" s="78">
        <f t="shared" ref="BM386:BM394" si="42">IFERROR(X386*I386/H386,"0")</f>
        <v>0</v>
      </c>
      <c r="BN386" s="78">
        <f t="shared" ref="BN386:BN394" si="43">IFERROR(Y386*I386/H386,"0")</f>
        <v>0</v>
      </c>
      <c r="BO386" s="78">
        <f t="shared" ref="BO386:BO394" si="44">IFERROR(1/J386*(X386/H386),"0")</f>
        <v>0</v>
      </c>
      <c r="BP386" s="78">
        <f t="shared" ref="BP386:BP394" si="45">IFERROR(1/J386*(Y386/H386),"0")</f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4301031406</v>
      </c>
      <c r="D387" s="623">
        <v>4680115886117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121</v>
      </c>
      <c r="L387" s="37" t="s">
        <v>45</v>
      </c>
      <c r="M387" s="38" t="s">
        <v>82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41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42"/>
        <v>0</v>
      </c>
      <c r="BN387" s="78">
        <f t="shared" si="43"/>
        <v>0</v>
      </c>
      <c r="BO387" s="78">
        <f t="shared" si="44"/>
        <v>0</v>
      </c>
      <c r="BP387" s="78">
        <f t="shared" si="45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4301031402</v>
      </c>
      <c r="D388" s="623">
        <v>4680115886124</v>
      </c>
      <c r="E388" s="623"/>
      <c r="F388" s="62">
        <v>0.9</v>
      </c>
      <c r="G388" s="37">
        <v>6</v>
      </c>
      <c r="H388" s="62">
        <v>5.4</v>
      </c>
      <c r="I388" s="62">
        <v>5.59</v>
      </c>
      <c r="J388" s="37">
        <v>132</v>
      </c>
      <c r="K388" s="37" t="s">
        <v>121</v>
      </c>
      <c r="L388" s="37" t="s">
        <v>122</v>
      </c>
      <c r="M388" s="38" t="s">
        <v>82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41"/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50" t="s">
        <v>609</v>
      </c>
      <c r="AG388" s="78"/>
      <c r="AJ388" s="84" t="s">
        <v>101</v>
      </c>
      <c r="AK388" s="84">
        <v>64.8</v>
      </c>
      <c r="BB388" s="451" t="s">
        <v>66</v>
      </c>
      <c r="BM388" s="78">
        <f t="shared" si="42"/>
        <v>0</v>
      </c>
      <c r="BN388" s="78">
        <f t="shared" si="43"/>
        <v>0</v>
      </c>
      <c r="BO388" s="78">
        <f t="shared" si="44"/>
        <v>0</v>
      </c>
      <c r="BP388" s="78">
        <f t="shared" si="45"/>
        <v>0</v>
      </c>
    </row>
    <row r="389" spans="1:68" ht="27" customHeight="1" x14ac:dyDescent="0.25">
      <c r="A389" s="63" t="s">
        <v>610</v>
      </c>
      <c r="B389" s="63" t="s">
        <v>611</v>
      </c>
      <c r="C389" s="36">
        <v>4301031366</v>
      </c>
      <c r="D389" s="623">
        <v>4680115883147</v>
      </c>
      <c r="E389" s="623"/>
      <c r="F389" s="62">
        <v>0.28000000000000003</v>
      </c>
      <c r="G389" s="37">
        <v>6</v>
      </c>
      <c r="H389" s="62">
        <v>1.68</v>
      </c>
      <c r="I389" s="62">
        <v>1.81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41"/>
        <v>0</v>
      </c>
      <c r="Z389" s="41" t="str">
        <f t="shared" ref="Z389:Z394" si="46">IFERROR(IF(Y389=0,"",ROUNDUP(Y389/H389,0)*0.00502),"")</f>
        <v/>
      </c>
      <c r="AA389" s="68" t="s">
        <v>45</v>
      </c>
      <c r="AB389" s="69" t="s">
        <v>45</v>
      </c>
      <c r="AC389" s="452" t="s">
        <v>603</v>
      </c>
      <c r="AG389" s="78"/>
      <c r="AJ389" s="84" t="s">
        <v>45</v>
      </c>
      <c r="AK389" s="84">
        <v>0</v>
      </c>
      <c r="BB389" s="453" t="s">
        <v>66</v>
      </c>
      <c r="BM389" s="78">
        <f t="shared" si="42"/>
        <v>0</v>
      </c>
      <c r="BN389" s="78">
        <f t="shared" si="43"/>
        <v>0</v>
      </c>
      <c r="BO389" s="78">
        <f t="shared" si="44"/>
        <v>0</v>
      </c>
      <c r="BP389" s="78">
        <f t="shared" si="45"/>
        <v>0</v>
      </c>
    </row>
    <row r="390" spans="1:68" ht="27" customHeight="1" x14ac:dyDescent="0.25">
      <c r="A390" s="63" t="s">
        <v>612</v>
      </c>
      <c r="B390" s="63" t="s">
        <v>613</v>
      </c>
      <c r="C390" s="36">
        <v>4301031362</v>
      </c>
      <c r="D390" s="623">
        <v>4607091384338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41"/>
        <v>0</v>
      </c>
      <c r="Z390" s="41" t="str">
        <f t="shared" si="46"/>
        <v/>
      </c>
      <c r="AA390" s="68" t="s">
        <v>45</v>
      </c>
      <c r="AB390" s="69" t="s">
        <v>45</v>
      </c>
      <c r="AC390" s="454" t="s">
        <v>603</v>
      </c>
      <c r="AG390" s="78"/>
      <c r="AJ390" s="84" t="s">
        <v>45</v>
      </c>
      <c r="AK390" s="84">
        <v>0</v>
      </c>
      <c r="BB390" s="455" t="s">
        <v>66</v>
      </c>
      <c r="BM390" s="78">
        <f t="shared" si="42"/>
        <v>0</v>
      </c>
      <c r="BN390" s="78">
        <f t="shared" si="43"/>
        <v>0</v>
      </c>
      <c r="BO390" s="78">
        <f t="shared" si="44"/>
        <v>0</v>
      </c>
      <c r="BP390" s="78">
        <f t="shared" si="45"/>
        <v>0</v>
      </c>
    </row>
    <row r="391" spans="1:68" ht="37.5" customHeight="1" x14ac:dyDescent="0.25">
      <c r="A391" s="63" t="s">
        <v>614</v>
      </c>
      <c r="B391" s="63" t="s">
        <v>615</v>
      </c>
      <c r="C391" s="36">
        <v>4301031361</v>
      </c>
      <c r="D391" s="623">
        <v>4607091389524</v>
      </c>
      <c r="E391" s="623"/>
      <c r="F391" s="62">
        <v>0.35</v>
      </c>
      <c r="G391" s="37">
        <v>6</v>
      </c>
      <c r="H391" s="62">
        <v>2.1</v>
      </c>
      <c r="I391" s="62">
        <v>2.23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41"/>
        <v>0</v>
      </c>
      <c r="Z391" s="41" t="str">
        <f t="shared" si="46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42"/>
        <v>0</v>
      </c>
      <c r="BN391" s="78">
        <f t="shared" si="43"/>
        <v>0</v>
      </c>
      <c r="BO391" s="78">
        <f t="shared" si="44"/>
        <v>0</v>
      </c>
      <c r="BP391" s="78">
        <f t="shared" si="45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4301031364</v>
      </c>
      <c r="D392" s="623">
        <v>4680115883161</v>
      </c>
      <c r="E392" s="623"/>
      <c r="F392" s="62">
        <v>0.28000000000000003</v>
      </c>
      <c r="G392" s="37">
        <v>6</v>
      </c>
      <c r="H392" s="62">
        <v>1.68</v>
      </c>
      <c r="I392" s="62">
        <v>1.81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41"/>
        <v>0</v>
      </c>
      <c r="Z392" s="41" t="str">
        <f t="shared" si="46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42"/>
        <v>0</v>
      </c>
      <c r="BN392" s="78">
        <f t="shared" si="43"/>
        <v>0</v>
      </c>
      <c r="BO392" s="78">
        <f t="shared" si="44"/>
        <v>0</v>
      </c>
      <c r="BP392" s="78">
        <f t="shared" si="45"/>
        <v>0</v>
      </c>
    </row>
    <row r="393" spans="1:68" ht="27" customHeight="1" x14ac:dyDescent="0.25">
      <c r="A393" s="63" t="s">
        <v>620</v>
      </c>
      <c r="B393" s="63" t="s">
        <v>621</v>
      </c>
      <c r="C393" s="36">
        <v>4301031358</v>
      </c>
      <c r="D393" s="623">
        <v>4607091389531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41"/>
        <v>0</v>
      </c>
      <c r="Z393" s="41" t="str">
        <f t="shared" si="46"/>
        <v/>
      </c>
      <c r="AA393" s="68" t="s">
        <v>45</v>
      </c>
      <c r="AB393" s="69" t="s">
        <v>45</v>
      </c>
      <c r="AC393" s="460" t="s">
        <v>622</v>
      </c>
      <c r="AG393" s="78"/>
      <c r="AJ393" s="84" t="s">
        <v>45</v>
      </c>
      <c r="AK393" s="84">
        <v>0</v>
      </c>
      <c r="BB393" s="461" t="s">
        <v>66</v>
      </c>
      <c r="BM393" s="78">
        <f t="shared" si="42"/>
        <v>0</v>
      </c>
      <c r="BN393" s="78">
        <f t="shared" si="43"/>
        <v>0</v>
      </c>
      <c r="BO393" s="78">
        <f t="shared" si="44"/>
        <v>0</v>
      </c>
      <c r="BP393" s="78">
        <f t="shared" si="45"/>
        <v>0</v>
      </c>
    </row>
    <row r="394" spans="1:68" ht="37.5" customHeight="1" x14ac:dyDescent="0.25">
      <c r="A394" s="63" t="s">
        <v>623</v>
      </c>
      <c r="B394" s="63" t="s">
        <v>624</v>
      </c>
      <c r="C394" s="36">
        <v>4301031360</v>
      </c>
      <c r="D394" s="623">
        <v>4607091384345</v>
      </c>
      <c r="E394" s="623"/>
      <c r="F394" s="62">
        <v>0.35</v>
      </c>
      <c r="G394" s="37">
        <v>6</v>
      </c>
      <c r="H394" s="62">
        <v>2.1</v>
      </c>
      <c r="I394" s="62">
        <v>2.23</v>
      </c>
      <c r="J394" s="37">
        <v>234</v>
      </c>
      <c r="K394" s="37" t="s">
        <v>83</v>
      </c>
      <c r="L394" s="37" t="s">
        <v>45</v>
      </c>
      <c r="M394" s="38" t="s">
        <v>82</v>
      </c>
      <c r="N394" s="38"/>
      <c r="O394" s="37">
        <v>50</v>
      </c>
      <c r="P394" s="81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625"/>
      <c r="R394" s="625"/>
      <c r="S394" s="625"/>
      <c r="T394" s="62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 t="shared" si="46"/>
        <v/>
      </c>
      <c r="AA394" s="68" t="s">
        <v>45</v>
      </c>
      <c r="AB394" s="69" t="s">
        <v>45</v>
      </c>
      <c r="AC394" s="462" t="s">
        <v>619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x14ac:dyDescent="0.2">
      <c r="A395" s="630"/>
      <c r="B395" s="630"/>
      <c r="C395" s="630"/>
      <c r="D395" s="630"/>
      <c r="E395" s="630"/>
      <c r="F395" s="630"/>
      <c r="G395" s="630"/>
      <c r="H395" s="630"/>
      <c r="I395" s="630"/>
      <c r="J395" s="630"/>
      <c r="K395" s="630"/>
      <c r="L395" s="630"/>
      <c r="M395" s="630"/>
      <c r="N395" s="630"/>
      <c r="O395" s="631"/>
      <c r="P395" s="627" t="s">
        <v>40</v>
      </c>
      <c r="Q395" s="628"/>
      <c r="R395" s="628"/>
      <c r="S395" s="628"/>
      <c r="T395" s="628"/>
      <c r="U395" s="628"/>
      <c r="V395" s="629"/>
      <c r="W395" s="42" t="s">
        <v>39</v>
      </c>
      <c r="X395" s="43">
        <f>IFERROR(X386/H386,"0")+IFERROR(X387/H387,"0")+IFERROR(X388/H388,"0")+IFERROR(X389/H389,"0")+IFERROR(X390/H390,"0")+IFERROR(X391/H391,"0")+IFERROR(X392/H392,"0")+IFERROR(X393/H393,"0")+IFERROR(X394/H394,"0")</f>
        <v>0</v>
      </c>
      <c r="Y395" s="43">
        <f>IFERROR(Y386/H386,"0")+IFERROR(Y387/H387,"0")+IFERROR(Y388/H388,"0")+IFERROR(Y389/H389,"0")+IFERROR(Y390/H390,"0")+IFERROR(Y391/H391,"0")+IFERROR(Y392/H392,"0")+IFERROR(Y393/H393,"0")+IFERROR(Y394/H394,"0")</f>
        <v>0</v>
      </c>
      <c r="Z395" s="43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x14ac:dyDescent="0.2">
      <c r="A396" s="630"/>
      <c r="B396" s="630"/>
      <c r="C396" s="630"/>
      <c r="D396" s="630"/>
      <c r="E396" s="630"/>
      <c r="F396" s="630"/>
      <c r="G396" s="630"/>
      <c r="H396" s="630"/>
      <c r="I396" s="630"/>
      <c r="J396" s="630"/>
      <c r="K396" s="630"/>
      <c r="L396" s="630"/>
      <c r="M396" s="630"/>
      <c r="N396" s="630"/>
      <c r="O396" s="631"/>
      <c r="P396" s="627" t="s">
        <v>40</v>
      </c>
      <c r="Q396" s="628"/>
      <c r="R396" s="628"/>
      <c r="S396" s="628"/>
      <c r="T396" s="628"/>
      <c r="U396" s="628"/>
      <c r="V396" s="629"/>
      <c r="W396" s="42" t="s">
        <v>0</v>
      </c>
      <c r="X396" s="43">
        <f>IFERROR(SUM(X386:X394),"0")</f>
        <v>0</v>
      </c>
      <c r="Y396" s="43">
        <f>IFERROR(SUM(Y386:Y394),"0")</f>
        <v>0</v>
      </c>
      <c r="Z396" s="42"/>
      <c r="AA396" s="67"/>
      <c r="AB396" s="67"/>
      <c r="AC396" s="67"/>
    </row>
    <row r="397" spans="1:68" ht="14.25" customHeight="1" x14ac:dyDescent="0.25">
      <c r="A397" s="622" t="s">
        <v>84</v>
      </c>
      <c r="B397" s="622"/>
      <c r="C397" s="622"/>
      <c r="D397" s="622"/>
      <c r="E397" s="622"/>
      <c r="F397" s="622"/>
      <c r="G397" s="622"/>
      <c r="H397" s="622"/>
      <c r="I397" s="622"/>
      <c r="J397" s="622"/>
      <c r="K397" s="622"/>
      <c r="L397" s="622"/>
      <c r="M397" s="622"/>
      <c r="N397" s="622"/>
      <c r="O397" s="622"/>
      <c r="P397" s="622"/>
      <c r="Q397" s="622"/>
      <c r="R397" s="622"/>
      <c r="S397" s="622"/>
      <c r="T397" s="622"/>
      <c r="U397" s="622"/>
      <c r="V397" s="622"/>
      <c r="W397" s="622"/>
      <c r="X397" s="622"/>
      <c r="Y397" s="622"/>
      <c r="Z397" s="622"/>
      <c r="AA397" s="66"/>
      <c r="AB397" s="66"/>
      <c r="AC397" s="80"/>
    </row>
    <row r="398" spans="1:68" ht="27" customHeight="1" x14ac:dyDescent="0.25">
      <c r="A398" s="63" t="s">
        <v>625</v>
      </c>
      <c r="B398" s="63" t="s">
        <v>626</v>
      </c>
      <c r="C398" s="36">
        <v>4301051284</v>
      </c>
      <c r="D398" s="623">
        <v>4607091384352</v>
      </c>
      <c r="E398" s="623"/>
      <c r="F398" s="62">
        <v>0.6</v>
      </c>
      <c r="G398" s="37">
        <v>4</v>
      </c>
      <c r="H398" s="62">
        <v>2.4</v>
      </c>
      <c r="I398" s="62">
        <v>2.6259999999999999</v>
      </c>
      <c r="J398" s="37">
        <v>132</v>
      </c>
      <c r="K398" s="37" t="s">
        <v>121</v>
      </c>
      <c r="L398" s="37" t="s">
        <v>122</v>
      </c>
      <c r="M398" s="38" t="s">
        <v>88</v>
      </c>
      <c r="N398" s="38"/>
      <c r="O398" s="37">
        <v>45</v>
      </c>
      <c r="P398" s="82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101</v>
      </c>
      <c r="AK398" s="84">
        <v>28.8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628</v>
      </c>
      <c r="B399" s="63" t="s">
        <v>629</v>
      </c>
      <c r="C399" s="36">
        <v>4301051431</v>
      </c>
      <c r="D399" s="623">
        <v>4607091389654</v>
      </c>
      <c r="E399" s="623"/>
      <c r="F399" s="62">
        <v>0.33</v>
      </c>
      <c r="G399" s="37">
        <v>6</v>
      </c>
      <c r="H399" s="62">
        <v>1.98</v>
      </c>
      <c r="I399" s="62">
        <v>2.238</v>
      </c>
      <c r="J399" s="37">
        <v>182</v>
      </c>
      <c r="K399" s="37" t="s">
        <v>89</v>
      </c>
      <c r="L399" s="37" t="s">
        <v>100</v>
      </c>
      <c r="M399" s="38" t="s">
        <v>88</v>
      </c>
      <c r="N399" s="38"/>
      <c r="O399" s="37">
        <v>45</v>
      </c>
      <c r="P399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625"/>
      <c r="R399" s="625"/>
      <c r="S399" s="625"/>
      <c r="T399" s="626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45</v>
      </c>
      <c r="AB399" s="69" t="s">
        <v>45</v>
      </c>
      <c r="AC399" s="466" t="s">
        <v>630</v>
      </c>
      <c r="AG399" s="78"/>
      <c r="AJ399" s="84" t="s">
        <v>101</v>
      </c>
      <c r="AK399" s="84">
        <v>27.72</v>
      </c>
      <c r="BB399" s="46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x14ac:dyDescent="0.2">
      <c r="A400" s="630"/>
      <c r="B400" s="630"/>
      <c r="C400" s="630"/>
      <c r="D400" s="630"/>
      <c r="E400" s="630"/>
      <c r="F400" s="630"/>
      <c r="G400" s="630"/>
      <c r="H400" s="630"/>
      <c r="I400" s="630"/>
      <c r="J400" s="630"/>
      <c r="K400" s="630"/>
      <c r="L400" s="630"/>
      <c r="M400" s="630"/>
      <c r="N400" s="630"/>
      <c r="O400" s="631"/>
      <c r="P400" s="627" t="s">
        <v>40</v>
      </c>
      <c r="Q400" s="628"/>
      <c r="R400" s="628"/>
      <c r="S400" s="628"/>
      <c r="T400" s="628"/>
      <c r="U400" s="628"/>
      <c r="V400" s="629"/>
      <c r="W400" s="42" t="s">
        <v>39</v>
      </c>
      <c r="X400" s="43">
        <f>IFERROR(X398/H398,"0")+IFERROR(X399/H399,"0")</f>
        <v>0</v>
      </c>
      <c r="Y400" s="43">
        <f>IFERROR(Y398/H398,"0")+IFERROR(Y399/H399,"0")</f>
        <v>0</v>
      </c>
      <c r="Z400" s="43">
        <f>IFERROR(IF(Z398="",0,Z398),"0")+IFERROR(IF(Z399="",0,Z399),"0")</f>
        <v>0</v>
      </c>
      <c r="AA400" s="67"/>
      <c r="AB400" s="67"/>
      <c r="AC400" s="67"/>
    </row>
    <row r="401" spans="1:68" x14ac:dyDescent="0.2">
      <c r="A401" s="630"/>
      <c r="B401" s="630"/>
      <c r="C401" s="630"/>
      <c r="D401" s="630"/>
      <c r="E401" s="630"/>
      <c r="F401" s="630"/>
      <c r="G401" s="630"/>
      <c r="H401" s="630"/>
      <c r="I401" s="630"/>
      <c r="J401" s="630"/>
      <c r="K401" s="630"/>
      <c r="L401" s="630"/>
      <c r="M401" s="630"/>
      <c r="N401" s="630"/>
      <c r="O401" s="631"/>
      <c r="P401" s="627" t="s">
        <v>40</v>
      </c>
      <c r="Q401" s="628"/>
      <c r="R401" s="628"/>
      <c r="S401" s="628"/>
      <c r="T401" s="628"/>
      <c r="U401" s="628"/>
      <c r="V401" s="629"/>
      <c r="W401" s="42" t="s">
        <v>0</v>
      </c>
      <c r="X401" s="43">
        <f>IFERROR(SUM(X398:X399),"0")</f>
        <v>0</v>
      </c>
      <c r="Y401" s="43">
        <f>IFERROR(SUM(Y398:Y399),"0")</f>
        <v>0</v>
      </c>
      <c r="Z401" s="42"/>
      <c r="AA401" s="67"/>
      <c r="AB401" s="67"/>
      <c r="AC401" s="67"/>
    </row>
    <row r="402" spans="1:68" ht="16.5" customHeight="1" x14ac:dyDescent="0.25">
      <c r="A402" s="621" t="s">
        <v>631</v>
      </c>
      <c r="B402" s="621"/>
      <c r="C402" s="621"/>
      <c r="D402" s="621"/>
      <c r="E402" s="621"/>
      <c r="F402" s="621"/>
      <c r="G402" s="621"/>
      <c r="H402" s="621"/>
      <c r="I402" s="621"/>
      <c r="J402" s="621"/>
      <c r="K402" s="621"/>
      <c r="L402" s="621"/>
      <c r="M402" s="621"/>
      <c r="N402" s="621"/>
      <c r="O402" s="621"/>
      <c r="P402" s="621"/>
      <c r="Q402" s="621"/>
      <c r="R402" s="621"/>
      <c r="S402" s="621"/>
      <c r="T402" s="621"/>
      <c r="U402" s="621"/>
      <c r="V402" s="621"/>
      <c r="W402" s="621"/>
      <c r="X402" s="621"/>
      <c r="Y402" s="621"/>
      <c r="Z402" s="621"/>
      <c r="AA402" s="65"/>
      <c r="AB402" s="65"/>
      <c r="AC402" s="79"/>
    </row>
    <row r="403" spans="1:68" ht="14.25" customHeight="1" x14ac:dyDescent="0.25">
      <c r="A403" s="622" t="s">
        <v>147</v>
      </c>
      <c r="B403" s="622"/>
      <c r="C403" s="622"/>
      <c r="D403" s="622"/>
      <c r="E403" s="622"/>
      <c r="F403" s="622"/>
      <c r="G403" s="622"/>
      <c r="H403" s="622"/>
      <c r="I403" s="622"/>
      <c r="J403" s="622"/>
      <c r="K403" s="622"/>
      <c r="L403" s="622"/>
      <c r="M403" s="622"/>
      <c r="N403" s="622"/>
      <c r="O403" s="622"/>
      <c r="P403" s="622"/>
      <c r="Q403" s="622"/>
      <c r="R403" s="622"/>
      <c r="S403" s="622"/>
      <c r="T403" s="622"/>
      <c r="U403" s="622"/>
      <c r="V403" s="622"/>
      <c r="W403" s="622"/>
      <c r="X403" s="622"/>
      <c r="Y403" s="622"/>
      <c r="Z403" s="622"/>
      <c r="AA403" s="66"/>
      <c r="AB403" s="66"/>
      <c r="AC403" s="80"/>
    </row>
    <row r="404" spans="1:68" ht="27" customHeight="1" x14ac:dyDescent="0.25">
      <c r="A404" s="63" t="s">
        <v>632</v>
      </c>
      <c r="B404" s="63" t="s">
        <v>633</v>
      </c>
      <c r="C404" s="36">
        <v>4301020319</v>
      </c>
      <c r="D404" s="623">
        <v>4680115885240</v>
      </c>
      <c r="E404" s="623"/>
      <c r="F404" s="62">
        <v>0.35</v>
      </c>
      <c r="G404" s="37">
        <v>6</v>
      </c>
      <c r="H404" s="62">
        <v>2.1</v>
      </c>
      <c r="I404" s="62">
        <v>2.31</v>
      </c>
      <c r="J404" s="37">
        <v>182</v>
      </c>
      <c r="K404" s="37" t="s">
        <v>89</v>
      </c>
      <c r="L404" s="37" t="s">
        <v>45</v>
      </c>
      <c r="M404" s="38" t="s">
        <v>82</v>
      </c>
      <c r="N404" s="38"/>
      <c r="O404" s="37">
        <v>40</v>
      </c>
      <c r="P404" s="8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625"/>
      <c r="R404" s="625"/>
      <c r="S404" s="625"/>
      <c r="T404" s="626"/>
      <c r="U404" s="39" t="s">
        <v>45</v>
      </c>
      <c r="V404" s="39" t="s">
        <v>45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45</v>
      </c>
      <c r="AB404" s="69" t="s">
        <v>45</v>
      </c>
      <c r="AC404" s="468" t="s">
        <v>634</v>
      </c>
      <c r="AG404" s="78"/>
      <c r="AJ404" s="84" t="s">
        <v>45</v>
      </c>
      <c r="AK404" s="84">
        <v>0</v>
      </c>
      <c r="BB404" s="469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630"/>
      <c r="B405" s="630"/>
      <c r="C405" s="630"/>
      <c r="D405" s="630"/>
      <c r="E405" s="630"/>
      <c r="F405" s="630"/>
      <c r="G405" s="630"/>
      <c r="H405" s="630"/>
      <c r="I405" s="630"/>
      <c r="J405" s="630"/>
      <c r="K405" s="630"/>
      <c r="L405" s="630"/>
      <c r="M405" s="630"/>
      <c r="N405" s="630"/>
      <c r="O405" s="631"/>
      <c r="P405" s="627" t="s">
        <v>40</v>
      </c>
      <c r="Q405" s="628"/>
      <c r="R405" s="628"/>
      <c r="S405" s="628"/>
      <c r="T405" s="628"/>
      <c r="U405" s="628"/>
      <c r="V405" s="629"/>
      <c r="W405" s="42" t="s">
        <v>39</v>
      </c>
      <c r="X405" s="43">
        <f>IFERROR(X404/H404,"0")</f>
        <v>0</v>
      </c>
      <c r="Y405" s="43">
        <f>IFERROR(Y404/H404,"0")</f>
        <v>0</v>
      </c>
      <c r="Z405" s="43">
        <f>IFERROR(IF(Z404="",0,Z404),"0")</f>
        <v>0</v>
      </c>
      <c r="AA405" s="67"/>
      <c r="AB405" s="67"/>
      <c r="AC405" s="67"/>
    </row>
    <row r="406" spans="1:68" x14ac:dyDescent="0.2">
      <c r="A406" s="630"/>
      <c r="B406" s="630"/>
      <c r="C406" s="630"/>
      <c r="D406" s="630"/>
      <c r="E406" s="630"/>
      <c r="F406" s="630"/>
      <c r="G406" s="630"/>
      <c r="H406" s="630"/>
      <c r="I406" s="630"/>
      <c r="J406" s="630"/>
      <c r="K406" s="630"/>
      <c r="L406" s="630"/>
      <c r="M406" s="630"/>
      <c r="N406" s="630"/>
      <c r="O406" s="631"/>
      <c r="P406" s="627" t="s">
        <v>40</v>
      </c>
      <c r="Q406" s="628"/>
      <c r="R406" s="628"/>
      <c r="S406" s="628"/>
      <c r="T406" s="628"/>
      <c r="U406" s="628"/>
      <c r="V406" s="629"/>
      <c r="W406" s="42" t="s">
        <v>0</v>
      </c>
      <c r="X406" s="43">
        <f>IFERROR(SUM(X404:X404),"0")</f>
        <v>0</v>
      </c>
      <c r="Y406" s="43">
        <f>IFERROR(SUM(Y404:Y404),"0")</f>
        <v>0</v>
      </c>
      <c r="Z406" s="42"/>
      <c r="AA406" s="67"/>
      <c r="AB406" s="67"/>
      <c r="AC406" s="67"/>
    </row>
    <row r="407" spans="1:68" ht="14.25" customHeight="1" x14ac:dyDescent="0.25">
      <c r="A407" s="622" t="s">
        <v>78</v>
      </c>
      <c r="B407" s="622"/>
      <c r="C407" s="622"/>
      <c r="D407" s="622"/>
      <c r="E407" s="622"/>
      <c r="F407" s="622"/>
      <c r="G407" s="622"/>
      <c r="H407" s="622"/>
      <c r="I407" s="622"/>
      <c r="J407" s="622"/>
      <c r="K407" s="622"/>
      <c r="L407" s="622"/>
      <c r="M407" s="622"/>
      <c r="N407" s="622"/>
      <c r="O407" s="622"/>
      <c r="P407" s="622"/>
      <c r="Q407" s="622"/>
      <c r="R407" s="622"/>
      <c r="S407" s="622"/>
      <c r="T407" s="622"/>
      <c r="U407" s="622"/>
      <c r="V407" s="622"/>
      <c r="W407" s="622"/>
      <c r="X407" s="622"/>
      <c r="Y407" s="622"/>
      <c r="Z407" s="622"/>
      <c r="AA407" s="66"/>
      <c r="AB407" s="66"/>
      <c r="AC407" s="80"/>
    </row>
    <row r="408" spans="1:68" ht="27" customHeight="1" x14ac:dyDescent="0.25">
      <c r="A408" s="63" t="s">
        <v>635</v>
      </c>
      <c r="B408" s="63" t="s">
        <v>636</v>
      </c>
      <c r="C408" s="36">
        <v>4301031403</v>
      </c>
      <c r="D408" s="623">
        <v>4680115886094</v>
      </c>
      <c r="E408" s="623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121</v>
      </c>
      <c r="L408" s="37" t="s">
        <v>122</v>
      </c>
      <c r="M408" s="38" t="s">
        <v>116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IFERROR(IF(Y408=0,"",ROUNDUP(Y408/H408,0)*0.00902),"")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101</v>
      </c>
      <c r="AK408" s="84">
        <v>64.8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4301031363</v>
      </c>
      <c r="D409" s="623">
        <v>4607091389425</v>
      </c>
      <c r="E409" s="623"/>
      <c r="F409" s="62">
        <v>0.35</v>
      </c>
      <c r="G409" s="37">
        <v>6</v>
      </c>
      <c r="H409" s="62">
        <v>2.1</v>
      </c>
      <c r="I409" s="62">
        <v>2.23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4301031373</v>
      </c>
      <c r="D410" s="623">
        <v>4680115880771</v>
      </c>
      <c r="E410" s="623"/>
      <c r="F410" s="62">
        <v>0.28000000000000003</v>
      </c>
      <c r="G410" s="37">
        <v>6</v>
      </c>
      <c r="H410" s="62">
        <v>1.68</v>
      </c>
      <c r="I410" s="62">
        <v>1.81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643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644</v>
      </c>
      <c r="B411" s="63" t="s">
        <v>645</v>
      </c>
      <c r="C411" s="36">
        <v>4301031359</v>
      </c>
      <c r="D411" s="623">
        <v>4607091389500</v>
      </c>
      <c r="E411" s="623"/>
      <c r="F411" s="62">
        <v>0.35</v>
      </c>
      <c r="G411" s="37">
        <v>6</v>
      </c>
      <c r="H411" s="62">
        <v>2.1</v>
      </c>
      <c r="I411" s="62">
        <v>2.23</v>
      </c>
      <c r="J411" s="37">
        <v>234</v>
      </c>
      <c r="K411" s="37" t="s">
        <v>83</v>
      </c>
      <c r="L411" s="37" t="s">
        <v>45</v>
      </c>
      <c r="M411" s="38" t="s">
        <v>82</v>
      </c>
      <c r="N411" s="38"/>
      <c r="O411" s="37">
        <v>50</v>
      </c>
      <c r="P411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625"/>
      <c r="R411" s="625"/>
      <c r="S411" s="625"/>
      <c r="T411" s="62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IFERROR(IF(Y411=0,"",ROUNDUP(Y411/H411,0)*0.00502),"")</f>
        <v/>
      </c>
      <c r="AA411" s="68" t="s">
        <v>45</v>
      </c>
      <c r="AB411" s="69" t="s">
        <v>45</v>
      </c>
      <c r="AC411" s="476" t="s">
        <v>643</v>
      </c>
      <c r="AG411" s="78"/>
      <c r="AJ411" s="84" t="s">
        <v>45</v>
      </c>
      <c r="AK411" s="84">
        <v>0</v>
      </c>
      <c r="BB411" s="477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30"/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1"/>
      <c r="P412" s="627" t="s">
        <v>40</v>
      </c>
      <c r="Q412" s="628"/>
      <c r="R412" s="628"/>
      <c r="S412" s="628"/>
      <c r="T412" s="628"/>
      <c r="U412" s="628"/>
      <c r="V412" s="629"/>
      <c r="W412" s="42" t="s">
        <v>39</v>
      </c>
      <c r="X412" s="43">
        <f>IFERROR(X408/H408,"0")+IFERROR(X409/H409,"0")+IFERROR(X410/H410,"0")+IFERROR(X411/H411,"0")</f>
        <v>0</v>
      </c>
      <c r="Y412" s="43">
        <f>IFERROR(Y408/H408,"0")+IFERROR(Y409/H409,"0")+IFERROR(Y410/H410,"0")+IFERROR(Y411/H411,"0")</f>
        <v>0</v>
      </c>
      <c r="Z412" s="43">
        <f>IFERROR(IF(Z408="",0,Z408),"0")+IFERROR(IF(Z409="",0,Z409),"0")+IFERROR(IF(Z410="",0,Z410),"0")+IFERROR(IF(Z411="",0,Z411),"0")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30"/>
      <c r="B413" s="630"/>
      <c r="C413" s="630"/>
      <c r="D413" s="630"/>
      <c r="E413" s="630"/>
      <c r="F413" s="630"/>
      <c r="G413" s="630"/>
      <c r="H413" s="630"/>
      <c r="I413" s="630"/>
      <c r="J413" s="630"/>
      <c r="K413" s="630"/>
      <c r="L413" s="630"/>
      <c r="M413" s="630"/>
      <c r="N413" s="630"/>
      <c r="O413" s="631"/>
      <c r="P413" s="627" t="s">
        <v>40</v>
      </c>
      <c r="Q413" s="628"/>
      <c r="R413" s="628"/>
      <c r="S413" s="628"/>
      <c r="T413" s="628"/>
      <c r="U413" s="628"/>
      <c r="V413" s="629"/>
      <c r="W413" s="42" t="s">
        <v>0</v>
      </c>
      <c r="X413" s="43">
        <f>IFERROR(SUM(X408:X411),"0")</f>
        <v>0</v>
      </c>
      <c r="Y413" s="43">
        <f>IFERROR(SUM(Y408:Y411),"0")</f>
        <v>0</v>
      </c>
      <c r="Z413" s="42"/>
      <c r="AA413" s="67"/>
      <c r="AB413" s="67"/>
      <c r="AC413" s="67"/>
    </row>
    <row r="414" spans="1:68" ht="16.5" customHeight="1" x14ac:dyDescent="0.25">
      <c r="A414" s="621" t="s">
        <v>646</v>
      </c>
      <c r="B414" s="621"/>
      <c r="C414" s="621"/>
      <c r="D414" s="621"/>
      <c r="E414" s="621"/>
      <c r="F414" s="621"/>
      <c r="G414" s="621"/>
      <c r="H414" s="621"/>
      <c r="I414" s="621"/>
      <c r="J414" s="621"/>
      <c r="K414" s="621"/>
      <c r="L414" s="621"/>
      <c r="M414" s="621"/>
      <c r="N414" s="621"/>
      <c r="O414" s="621"/>
      <c r="P414" s="621"/>
      <c r="Q414" s="621"/>
      <c r="R414" s="621"/>
      <c r="S414" s="621"/>
      <c r="T414" s="621"/>
      <c r="U414" s="621"/>
      <c r="V414" s="621"/>
      <c r="W414" s="621"/>
      <c r="X414" s="621"/>
      <c r="Y414" s="621"/>
      <c r="Z414" s="621"/>
      <c r="AA414" s="65"/>
      <c r="AB414" s="65"/>
      <c r="AC414" s="79"/>
    </row>
    <row r="415" spans="1:68" ht="14.25" customHeight="1" x14ac:dyDescent="0.25">
      <c r="A415" s="622" t="s">
        <v>78</v>
      </c>
      <c r="B415" s="622"/>
      <c r="C415" s="622"/>
      <c r="D415" s="622"/>
      <c r="E415" s="622"/>
      <c r="F415" s="622"/>
      <c r="G415" s="622"/>
      <c r="H415" s="622"/>
      <c r="I415" s="622"/>
      <c r="J415" s="622"/>
      <c r="K415" s="622"/>
      <c r="L415" s="622"/>
      <c r="M415" s="622"/>
      <c r="N415" s="622"/>
      <c r="O415" s="622"/>
      <c r="P415" s="622"/>
      <c r="Q415" s="622"/>
      <c r="R415" s="622"/>
      <c r="S415" s="622"/>
      <c r="T415" s="622"/>
      <c r="U415" s="622"/>
      <c r="V415" s="622"/>
      <c r="W415" s="622"/>
      <c r="X415" s="622"/>
      <c r="Y415" s="622"/>
      <c r="Z415" s="622"/>
      <c r="AA415" s="66"/>
      <c r="AB415" s="66"/>
      <c r="AC415" s="80"/>
    </row>
    <row r="416" spans="1:68" ht="27" customHeight="1" x14ac:dyDescent="0.25">
      <c r="A416" s="63" t="s">
        <v>647</v>
      </c>
      <c r="B416" s="63" t="s">
        <v>648</v>
      </c>
      <c r="C416" s="36">
        <v>4301031347</v>
      </c>
      <c r="D416" s="623">
        <v>4680115885110</v>
      </c>
      <c r="E416" s="623"/>
      <c r="F416" s="62">
        <v>0.2</v>
      </c>
      <c r="G416" s="37">
        <v>6</v>
      </c>
      <c r="H416" s="62">
        <v>1.2</v>
      </c>
      <c r="I416" s="62">
        <v>2.1</v>
      </c>
      <c r="J416" s="37">
        <v>182</v>
      </c>
      <c r="K416" s="37" t="s">
        <v>89</v>
      </c>
      <c r="L416" s="37" t="s">
        <v>45</v>
      </c>
      <c r="M416" s="38" t="s">
        <v>82</v>
      </c>
      <c r="N416" s="38"/>
      <c r="O416" s="37">
        <v>50</v>
      </c>
      <c r="P416" s="82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625"/>
      <c r="R416" s="625"/>
      <c r="S416" s="625"/>
      <c r="T416" s="62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45</v>
      </c>
      <c r="AB416" s="69" t="s">
        <v>45</v>
      </c>
      <c r="AC416" s="478" t="s">
        <v>649</v>
      </c>
      <c r="AG416" s="78"/>
      <c r="AJ416" s="84" t="s">
        <v>45</v>
      </c>
      <c r="AK416" s="84">
        <v>0</v>
      </c>
      <c r="BB416" s="479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30"/>
      <c r="B417" s="630"/>
      <c r="C417" s="630"/>
      <c r="D417" s="630"/>
      <c r="E417" s="630"/>
      <c r="F417" s="630"/>
      <c r="G417" s="630"/>
      <c r="H417" s="630"/>
      <c r="I417" s="630"/>
      <c r="J417" s="630"/>
      <c r="K417" s="630"/>
      <c r="L417" s="630"/>
      <c r="M417" s="630"/>
      <c r="N417" s="630"/>
      <c r="O417" s="631"/>
      <c r="P417" s="627" t="s">
        <v>40</v>
      </c>
      <c r="Q417" s="628"/>
      <c r="R417" s="628"/>
      <c r="S417" s="628"/>
      <c r="T417" s="628"/>
      <c r="U417" s="628"/>
      <c r="V417" s="629"/>
      <c r="W417" s="42" t="s">
        <v>39</v>
      </c>
      <c r="X417" s="43">
        <f>IFERROR(X416/H416,"0")</f>
        <v>0</v>
      </c>
      <c r="Y417" s="43">
        <f>IFERROR(Y416/H416,"0")</f>
        <v>0</v>
      </c>
      <c r="Z417" s="43">
        <f>IFERROR(IF(Z416="",0,Z416),"0")</f>
        <v>0</v>
      </c>
      <c r="AA417" s="67"/>
      <c r="AB417" s="67"/>
      <c r="AC417" s="67"/>
    </row>
    <row r="418" spans="1:68" x14ac:dyDescent="0.2">
      <c r="A418" s="630"/>
      <c r="B418" s="630"/>
      <c r="C418" s="630"/>
      <c r="D418" s="630"/>
      <c r="E418" s="630"/>
      <c r="F418" s="630"/>
      <c r="G418" s="630"/>
      <c r="H418" s="630"/>
      <c r="I418" s="630"/>
      <c r="J418" s="630"/>
      <c r="K418" s="630"/>
      <c r="L418" s="630"/>
      <c r="M418" s="630"/>
      <c r="N418" s="630"/>
      <c r="O418" s="631"/>
      <c r="P418" s="627" t="s">
        <v>40</v>
      </c>
      <c r="Q418" s="628"/>
      <c r="R418" s="628"/>
      <c r="S418" s="628"/>
      <c r="T418" s="628"/>
      <c r="U418" s="628"/>
      <c r="V418" s="629"/>
      <c r="W418" s="42" t="s">
        <v>0</v>
      </c>
      <c r="X418" s="43">
        <f>IFERROR(SUM(X416:X416),"0")</f>
        <v>0</v>
      </c>
      <c r="Y418" s="43">
        <f>IFERROR(SUM(Y416:Y416),"0")</f>
        <v>0</v>
      </c>
      <c r="Z418" s="42"/>
      <c r="AA418" s="67"/>
      <c r="AB418" s="67"/>
      <c r="AC418" s="67"/>
    </row>
    <row r="419" spans="1:68" ht="27.75" customHeight="1" x14ac:dyDescent="0.2">
      <c r="A419" s="620" t="s">
        <v>650</v>
      </c>
      <c r="B419" s="620"/>
      <c r="C419" s="620"/>
      <c r="D419" s="620"/>
      <c r="E419" s="620"/>
      <c r="F419" s="620"/>
      <c r="G419" s="620"/>
      <c r="H419" s="620"/>
      <c r="I419" s="620"/>
      <c r="J419" s="620"/>
      <c r="K419" s="620"/>
      <c r="L419" s="620"/>
      <c r="M419" s="620"/>
      <c r="N419" s="620"/>
      <c r="O419" s="620"/>
      <c r="P419" s="620"/>
      <c r="Q419" s="620"/>
      <c r="R419" s="620"/>
      <c r="S419" s="620"/>
      <c r="T419" s="620"/>
      <c r="U419" s="620"/>
      <c r="V419" s="620"/>
      <c r="W419" s="620"/>
      <c r="X419" s="620"/>
      <c r="Y419" s="620"/>
      <c r="Z419" s="620"/>
      <c r="AA419" s="54"/>
      <c r="AB419" s="54"/>
      <c r="AC419" s="54"/>
    </row>
    <row r="420" spans="1:68" ht="16.5" customHeight="1" x14ac:dyDescent="0.25">
      <c r="A420" s="621" t="s">
        <v>650</v>
      </c>
      <c r="B420" s="621"/>
      <c r="C420" s="621"/>
      <c r="D420" s="621"/>
      <c r="E420" s="621"/>
      <c r="F420" s="621"/>
      <c r="G420" s="621"/>
      <c r="H420" s="621"/>
      <c r="I420" s="621"/>
      <c r="J420" s="621"/>
      <c r="K420" s="621"/>
      <c r="L420" s="621"/>
      <c r="M420" s="621"/>
      <c r="N420" s="621"/>
      <c r="O420" s="621"/>
      <c r="P420" s="621"/>
      <c r="Q420" s="621"/>
      <c r="R420" s="621"/>
      <c r="S420" s="621"/>
      <c r="T420" s="621"/>
      <c r="U420" s="621"/>
      <c r="V420" s="621"/>
      <c r="W420" s="621"/>
      <c r="X420" s="621"/>
      <c r="Y420" s="621"/>
      <c r="Z420" s="621"/>
      <c r="AA420" s="65"/>
      <c r="AB420" s="65"/>
      <c r="AC420" s="79"/>
    </row>
    <row r="421" spans="1:68" ht="14.25" customHeight="1" x14ac:dyDescent="0.25">
      <c r="A421" s="622" t="s">
        <v>112</v>
      </c>
      <c r="B421" s="622"/>
      <c r="C421" s="622"/>
      <c r="D421" s="622"/>
      <c r="E421" s="622"/>
      <c r="F421" s="622"/>
      <c r="G421" s="622"/>
      <c r="H421" s="622"/>
      <c r="I421" s="622"/>
      <c r="J421" s="622"/>
      <c r="K421" s="622"/>
      <c r="L421" s="622"/>
      <c r="M421" s="622"/>
      <c r="N421" s="622"/>
      <c r="O421" s="622"/>
      <c r="P421" s="622"/>
      <c r="Q421" s="622"/>
      <c r="R421" s="622"/>
      <c r="S421" s="622"/>
      <c r="T421" s="622"/>
      <c r="U421" s="622"/>
      <c r="V421" s="622"/>
      <c r="W421" s="622"/>
      <c r="X421" s="622"/>
      <c r="Y421" s="622"/>
      <c r="Z421" s="622"/>
      <c r="AA421" s="66"/>
      <c r="AB421" s="66"/>
      <c r="AC421" s="80"/>
    </row>
    <row r="422" spans="1:68" ht="27" customHeight="1" x14ac:dyDescent="0.25">
      <c r="A422" s="63" t="s">
        <v>651</v>
      </c>
      <c r="B422" s="63" t="s">
        <v>652</v>
      </c>
      <c r="C422" s="36">
        <v>4301011795</v>
      </c>
      <c r="D422" s="623">
        <v>4607091389067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117</v>
      </c>
      <c r="L422" s="37" t="s">
        <v>118</v>
      </c>
      <c r="M422" s="38" t="s">
        <v>116</v>
      </c>
      <c r="N422" s="38"/>
      <c r="O422" s="37">
        <v>60</v>
      </c>
      <c r="P422" s="8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ref="Y422:Y432" si="47">IFERROR(IF(X422="",0,CEILING((X422/$H422),1)*$H422),"")</f>
        <v>0</v>
      </c>
      <c r="Z422" s="41" t="str">
        <f t="shared" ref="Z422:Z427" si="48">IFERROR(IF(Y422=0,"",ROUNDUP(Y422/H422,0)*0.01196),"")</f>
        <v/>
      </c>
      <c r="AA422" s="68" t="s">
        <v>45</v>
      </c>
      <c r="AB422" s="69" t="s">
        <v>45</v>
      </c>
      <c r="AC422" s="480" t="s">
        <v>115</v>
      </c>
      <c r="AG422" s="78"/>
      <c r="AJ422" s="84" t="s">
        <v>101</v>
      </c>
      <c r="AK422" s="84">
        <v>42.24</v>
      </c>
      <c r="BB422" s="481" t="s">
        <v>66</v>
      </c>
      <c r="BM422" s="78">
        <f t="shared" ref="BM422:BM432" si="49">IFERROR(X422*I422/H422,"0")</f>
        <v>0</v>
      </c>
      <c r="BN422" s="78">
        <f t="shared" ref="BN422:BN432" si="50">IFERROR(Y422*I422/H422,"0")</f>
        <v>0</v>
      </c>
      <c r="BO422" s="78">
        <f t="shared" ref="BO422:BO432" si="51">IFERROR(1/J422*(X422/H422),"0")</f>
        <v>0</v>
      </c>
      <c r="BP422" s="78">
        <f t="shared" ref="BP422:BP432" si="52">IFERROR(1/J422*(Y422/H422),"0")</f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4301012145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117</v>
      </c>
      <c r="L423" s="37" t="s">
        <v>45</v>
      </c>
      <c r="M423" s="38" t="s">
        <v>116</v>
      </c>
      <c r="N423" s="38"/>
      <c r="O423" s="37">
        <v>60</v>
      </c>
      <c r="P423" s="82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7"/>
        <v>0</v>
      </c>
      <c r="Z423" s="41" t="str">
        <f t="shared" si="48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45</v>
      </c>
      <c r="AK423" s="84">
        <v>0</v>
      </c>
      <c r="BB423" s="483" t="s">
        <v>66</v>
      </c>
      <c r="BM423" s="78">
        <f t="shared" si="49"/>
        <v>0</v>
      </c>
      <c r="BN423" s="78">
        <f t="shared" si="50"/>
        <v>0</v>
      </c>
      <c r="BO423" s="78">
        <f t="shared" si="51"/>
        <v>0</v>
      </c>
      <c r="BP423" s="78">
        <f t="shared" si="52"/>
        <v>0</v>
      </c>
    </row>
    <row r="424" spans="1:68" ht="27" customHeight="1" x14ac:dyDescent="0.25">
      <c r="A424" s="63" t="s">
        <v>656</v>
      </c>
      <c r="B424" s="63" t="s">
        <v>657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117</v>
      </c>
      <c r="L424" s="37" t="s">
        <v>118</v>
      </c>
      <c r="M424" s="38" t="s">
        <v>116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7"/>
        <v>0</v>
      </c>
      <c r="Z424" s="41" t="str">
        <f t="shared" si="48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101</v>
      </c>
      <c r="AK424" s="84">
        <v>42.24</v>
      </c>
      <c r="BB424" s="485" t="s">
        <v>66</v>
      </c>
      <c r="BM424" s="78">
        <f t="shared" si="49"/>
        <v>0</v>
      </c>
      <c r="BN424" s="78">
        <f t="shared" si="50"/>
        <v>0</v>
      </c>
      <c r="BO424" s="78">
        <f t="shared" si="51"/>
        <v>0</v>
      </c>
      <c r="BP424" s="78">
        <f t="shared" si="52"/>
        <v>0</v>
      </c>
    </row>
    <row r="425" spans="1:68" ht="27" customHeight="1" x14ac:dyDescent="0.25">
      <c r="A425" s="63" t="s">
        <v>659</v>
      </c>
      <c r="B425" s="63" t="s">
        <v>660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117</v>
      </c>
      <c r="L425" s="37" t="s">
        <v>118</v>
      </c>
      <c r="M425" s="38" t="s">
        <v>88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7"/>
        <v>0</v>
      </c>
      <c r="Z425" s="41" t="str">
        <f t="shared" si="48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101</v>
      </c>
      <c r="AK425" s="84">
        <v>42.24</v>
      </c>
      <c r="BB425" s="487" t="s">
        <v>66</v>
      </c>
      <c r="BM425" s="78">
        <f t="shared" si="49"/>
        <v>0</v>
      </c>
      <c r="BN425" s="78">
        <f t="shared" si="50"/>
        <v>0</v>
      </c>
      <c r="BO425" s="78">
        <f t="shared" si="51"/>
        <v>0</v>
      </c>
      <c r="BP425" s="78">
        <f t="shared" si="52"/>
        <v>0</v>
      </c>
    </row>
    <row r="426" spans="1:68" ht="16.5" customHeight="1" x14ac:dyDescent="0.25">
      <c r="A426" s="63" t="s">
        <v>662</v>
      </c>
      <c r="B426" s="63" t="s">
        <v>663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117</v>
      </c>
      <c r="L426" s="37" t="s">
        <v>45</v>
      </c>
      <c r="M426" s="38" t="s">
        <v>116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7"/>
        <v>0</v>
      </c>
      <c r="Z426" s="41" t="str">
        <f t="shared" si="48"/>
        <v/>
      </c>
      <c r="AA426" s="68" t="s">
        <v>45</v>
      </c>
      <c r="AB426" s="69" t="s">
        <v>45</v>
      </c>
      <c r="AC426" s="488" t="s">
        <v>664</v>
      </c>
      <c r="AG426" s="78"/>
      <c r="AJ426" s="84" t="s">
        <v>45</v>
      </c>
      <c r="AK426" s="84">
        <v>0</v>
      </c>
      <c r="BB426" s="489" t="s">
        <v>66</v>
      </c>
      <c r="BM426" s="78">
        <f t="shared" si="49"/>
        <v>0</v>
      </c>
      <c r="BN426" s="78">
        <f t="shared" si="50"/>
        <v>0</v>
      </c>
      <c r="BO426" s="78">
        <f t="shared" si="51"/>
        <v>0</v>
      </c>
      <c r="BP426" s="78">
        <f t="shared" si="52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117</v>
      </c>
      <c r="L427" s="37" t="s">
        <v>118</v>
      </c>
      <c r="M427" s="38" t="s">
        <v>116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7"/>
        <v>0</v>
      </c>
      <c r="Z427" s="41" t="str">
        <f t="shared" si="48"/>
        <v/>
      </c>
      <c r="AA427" s="68" t="s">
        <v>45</v>
      </c>
      <c r="AB427" s="69" t="s">
        <v>45</v>
      </c>
      <c r="AC427" s="490" t="s">
        <v>667</v>
      </c>
      <c r="AG427" s="78"/>
      <c r="AJ427" s="84" t="s">
        <v>101</v>
      </c>
      <c r="AK427" s="84">
        <v>42.24</v>
      </c>
      <c r="BB427" s="491" t="s">
        <v>66</v>
      </c>
      <c r="BM427" s="78">
        <f t="shared" si="49"/>
        <v>0</v>
      </c>
      <c r="BN427" s="78">
        <f t="shared" si="50"/>
        <v>0</v>
      </c>
      <c r="BO427" s="78">
        <f t="shared" si="51"/>
        <v>0</v>
      </c>
      <c r="BP427" s="78">
        <f t="shared" si="52"/>
        <v>0</v>
      </c>
    </row>
    <row r="428" spans="1:68" ht="27" customHeight="1" x14ac:dyDescent="0.25">
      <c r="A428" s="63" t="s">
        <v>668</v>
      </c>
      <c r="B428" s="63" t="s">
        <v>669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89</v>
      </c>
      <c r="L428" s="37" t="s">
        <v>45</v>
      </c>
      <c r="M428" s="38" t="s">
        <v>88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115</v>
      </c>
      <c r="AG428" s="78"/>
      <c r="AJ428" s="84" t="s">
        <v>45</v>
      </c>
      <c r="AK428" s="84">
        <v>0</v>
      </c>
      <c r="BB428" s="493" t="s">
        <v>66</v>
      </c>
      <c r="BM428" s="78">
        <f t="shared" si="49"/>
        <v>0</v>
      </c>
      <c r="BN428" s="78">
        <f t="shared" si="50"/>
        <v>0</v>
      </c>
      <c r="BO428" s="78">
        <f t="shared" si="51"/>
        <v>0</v>
      </c>
      <c r="BP428" s="78">
        <f t="shared" si="52"/>
        <v>0</v>
      </c>
    </row>
    <row r="429" spans="1:68" ht="27" customHeight="1" x14ac:dyDescent="0.25">
      <c r="A429" s="63" t="s">
        <v>670</v>
      </c>
      <c r="B429" s="63" t="s">
        <v>671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121</v>
      </c>
      <c r="L429" s="37" t="s">
        <v>45</v>
      </c>
      <c r="M429" s="38" t="s">
        <v>116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45</v>
      </c>
      <c r="AK429" s="84">
        <v>0</v>
      </c>
      <c r="BB429" s="495" t="s">
        <v>66</v>
      </c>
      <c r="BM429" s="78">
        <f t="shared" si="49"/>
        <v>0</v>
      </c>
      <c r="BN429" s="78">
        <f t="shared" si="50"/>
        <v>0</v>
      </c>
      <c r="BO429" s="78">
        <f t="shared" si="51"/>
        <v>0</v>
      </c>
      <c r="BP429" s="78">
        <f t="shared" si="52"/>
        <v>0</v>
      </c>
    </row>
    <row r="430" spans="1:68" ht="27" customHeight="1" x14ac:dyDescent="0.25">
      <c r="A430" s="63" t="s">
        <v>672</v>
      </c>
      <c r="B430" s="63" t="s">
        <v>673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121</v>
      </c>
      <c r="L430" s="37" t="s">
        <v>45</v>
      </c>
      <c r="M430" s="38" t="s">
        <v>116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658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89</v>
      </c>
      <c r="L431" s="37" t="s">
        <v>45</v>
      </c>
      <c r="M431" s="38" t="s">
        <v>116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676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677</v>
      </c>
      <c r="B432" s="63" t="s">
        <v>678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121</v>
      </c>
      <c r="L432" s="37" t="s">
        <v>45</v>
      </c>
      <c r="M432" s="38" t="s">
        <v>116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667</v>
      </c>
      <c r="AG432" s="78"/>
      <c r="AJ432" s="84" t="s">
        <v>45</v>
      </c>
      <c r="AK432" s="84">
        <v>0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x14ac:dyDescent="0.2">
      <c r="A433" s="630"/>
      <c r="B433" s="630"/>
      <c r="C433" s="630"/>
      <c r="D433" s="630"/>
      <c r="E433" s="630"/>
      <c r="F433" s="630"/>
      <c r="G433" s="630"/>
      <c r="H433" s="630"/>
      <c r="I433" s="630"/>
      <c r="J433" s="630"/>
      <c r="K433" s="630"/>
      <c r="L433" s="630"/>
      <c r="M433" s="630"/>
      <c r="N433" s="630"/>
      <c r="O433" s="631"/>
      <c r="P433" s="627" t="s">
        <v>40</v>
      </c>
      <c r="Q433" s="628"/>
      <c r="R433" s="628"/>
      <c r="S433" s="628"/>
      <c r="T433" s="628"/>
      <c r="U433" s="628"/>
      <c r="V433" s="629"/>
      <c r="W433" s="42" t="s">
        <v>39</v>
      </c>
      <c r="X433" s="43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0"/>
      <c r="B434" s="630"/>
      <c r="C434" s="630"/>
      <c r="D434" s="630"/>
      <c r="E434" s="630"/>
      <c r="F434" s="630"/>
      <c r="G434" s="630"/>
      <c r="H434" s="630"/>
      <c r="I434" s="630"/>
      <c r="J434" s="630"/>
      <c r="K434" s="630"/>
      <c r="L434" s="630"/>
      <c r="M434" s="630"/>
      <c r="N434" s="630"/>
      <c r="O434" s="631"/>
      <c r="P434" s="627" t="s">
        <v>40</v>
      </c>
      <c r="Q434" s="628"/>
      <c r="R434" s="628"/>
      <c r="S434" s="628"/>
      <c r="T434" s="628"/>
      <c r="U434" s="628"/>
      <c r="V434" s="629"/>
      <c r="W434" s="42" t="s">
        <v>0</v>
      </c>
      <c r="X434" s="43">
        <f>IFERROR(SUM(X422:X432),"0")</f>
        <v>0</v>
      </c>
      <c r="Y434" s="43">
        <f>IFERROR(SUM(Y422:Y432),"0")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147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679</v>
      </c>
      <c r="B436" s="63" t="s">
        <v>680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117</v>
      </c>
      <c r="L436" s="37" t="s">
        <v>118</v>
      </c>
      <c r="M436" s="38" t="s">
        <v>88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681</v>
      </c>
      <c r="AG436" s="78"/>
      <c r="AJ436" s="84" t="s">
        <v>101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682</v>
      </c>
      <c r="B437" s="63" t="s">
        <v>683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89</v>
      </c>
      <c r="L437" s="37" t="s">
        <v>45</v>
      </c>
      <c r="M437" s="38" t="s">
        <v>88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681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684</v>
      </c>
      <c r="B438" s="63" t="s">
        <v>685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121</v>
      </c>
      <c r="L438" s="37" t="s">
        <v>45</v>
      </c>
      <c r="M438" s="38" t="s">
        <v>116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681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0"/>
      <c r="B439" s="630"/>
      <c r="C439" s="630"/>
      <c r="D439" s="630"/>
      <c r="E439" s="630"/>
      <c r="F439" s="630"/>
      <c r="G439" s="630"/>
      <c r="H439" s="630"/>
      <c r="I439" s="630"/>
      <c r="J439" s="630"/>
      <c r="K439" s="630"/>
      <c r="L439" s="630"/>
      <c r="M439" s="630"/>
      <c r="N439" s="630"/>
      <c r="O439" s="631"/>
      <c r="P439" s="627" t="s">
        <v>40</v>
      </c>
      <c r="Q439" s="628"/>
      <c r="R439" s="628"/>
      <c r="S439" s="628"/>
      <c r="T439" s="628"/>
      <c r="U439" s="628"/>
      <c r="V439" s="629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0"/>
      <c r="B440" s="630"/>
      <c r="C440" s="630"/>
      <c r="D440" s="630"/>
      <c r="E440" s="630"/>
      <c r="F440" s="630"/>
      <c r="G440" s="630"/>
      <c r="H440" s="630"/>
      <c r="I440" s="630"/>
      <c r="J440" s="630"/>
      <c r="K440" s="630"/>
      <c r="L440" s="630"/>
      <c r="M440" s="630"/>
      <c r="N440" s="630"/>
      <c r="O440" s="631"/>
      <c r="P440" s="627" t="s">
        <v>40</v>
      </c>
      <c r="Q440" s="628"/>
      <c r="R440" s="628"/>
      <c r="S440" s="628"/>
      <c r="T440" s="628"/>
      <c r="U440" s="628"/>
      <c r="V440" s="629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686</v>
      </c>
      <c r="B442" s="63" t="s">
        <v>687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117</v>
      </c>
      <c r="L442" s="37" t="s">
        <v>118</v>
      </c>
      <c r="M442" s="38" t="s">
        <v>116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53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101</v>
      </c>
      <c r="AK442" s="84">
        <v>42.24</v>
      </c>
      <c r="BB442" s="509" t="s">
        <v>66</v>
      </c>
      <c r="BM442" s="78">
        <f t="shared" ref="BM442:BM447" si="54">IFERROR(X442*I442/H442,"0")</f>
        <v>0</v>
      </c>
      <c r="BN442" s="78">
        <f t="shared" ref="BN442:BN447" si="55">IFERROR(Y442*I442/H442,"0")</f>
        <v>0</v>
      </c>
      <c r="BO442" s="78">
        <f t="shared" ref="BO442:BO447" si="56">IFERROR(1/J442*(X442/H442),"0")</f>
        <v>0</v>
      </c>
      <c r="BP442" s="78">
        <f t="shared" ref="BP442:BP447" si="57">IFERROR(1/J442*(Y442/H442),"0")</f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117</v>
      </c>
      <c r="L443" s="37" t="s">
        <v>118</v>
      </c>
      <c r="M443" s="38" t="s">
        <v>82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53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691</v>
      </c>
      <c r="AG443" s="78"/>
      <c r="AJ443" s="84" t="s">
        <v>101</v>
      </c>
      <c r="AK443" s="84">
        <v>42.24</v>
      </c>
      <c r="BB443" s="511" t="s">
        <v>66</v>
      </c>
      <c r="BM443" s="78">
        <f t="shared" si="54"/>
        <v>0</v>
      </c>
      <c r="BN443" s="78">
        <f t="shared" si="55"/>
        <v>0</v>
      </c>
      <c r="BO443" s="78">
        <f t="shared" si="56"/>
        <v>0</v>
      </c>
      <c r="BP443" s="78">
        <f t="shared" si="57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82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53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694</v>
      </c>
      <c r="AG444" s="78"/>
      <c r="AJ444" s="84" t="s">
        <v>101</v>
      </c>
      <c r="AK444" s="84">
        <v>42.24</v>
      </c>
      <c r="BB444" s="513" t="s">
        <v>66</v>
      </c>
      <c r="BM444" s="78">
        <f t="shared" si="54"/>
        <v>0</v>
      </c>
      <c r="BN444" s="78">
        <f t="shared" si="55"/>
        <v>0</v>
      </c>
      <c r="BO444" s="78">
        <f t="shared" si="56"/>
        <v>0</v>
      </c>
      <c r="BP444" s="78">
        <f t="shared" si="57"/>
        <v>0</v>
      </c>
    </row>
    <row r="445" spans="1:68" ht="27" customHeight="1" x14ac:dyDescent="0.25">
      <c r="A445" s="63" t="s">
        <v>695</v>
      </c>
      <c r="B445" s="63" t="s">
        <v>696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121</v>
      </c>
      <c r="L445" s="37" t="s">
        <v>45</v>
      </c>
      <c r="M445" s="38" t="s">
        <v>116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53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54"/>
        <v>0</v>
      </c>
      <c r="BN445" s="78">
        <f t="shared" si="55"/>
        <v>0</v>
      </c>
      <c r="BO445" s="78">
        <f t="shared" si="56"/>
        <v>0</v>
      </c>
      <c r="BP445" s="78">
        <f t="shared" si="57"/>
        <v>0</v>
      </c>
    </row>
    <row r="446" spans="1:68" ht="27" customHeight="1" x14ac:dyDescent="0.25">
      <c r="A446" s="63" t="s">
        <v>697</v>
      </c>
      <c r="B446" s="63" t="s">
        <v>698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121</v>
      </c>
      <c r="L446" s="37" t="s">
        <v>45</v>
      </c>
      <c r="M446" s="38" t="s">
        <v>82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53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691</v>
      </c>
      <c r="AG446" s="78"/>
      <c r="AJ446" s="84" t="s">
        <v>45</v>
      </c>
      <c r="AK446" s="84">
        <v>0</v>
      </c>
      <c r="BB446" s="517" t="s">
        <v>66</v>
      </c>
      <c r="BM446" s="78">
        <f t="shared" si="54"/>
        <v>0</v>
      </c>
      <c r="BN446" s="78">
        <f t="shared" si="55"/>
        <v>0</v>
      </c>
      <c r="BO446" s="78">
        <f t="shared" si="56"/>
        <v>0</v>
      </c>
      <c r="BP446" s="78">
        <f t="shared" si="57"/>
        <v>0</v>
      </c>
    </row>
    <row r="447" spans="1:68" ht="27" customHeight="1" x14ac:dyDescent="0.25">
      <c r="A447" s="63" t="s">
        <v>699</v>
      </c>
      <c r="B447" s="63" t="s">
        <v>700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121</v>
      </c>
      <c r="L447" s="37" t="s">
        <v>45</v>
      </c>
      <c r="M447" s="38" t="s">
        <v>82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53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694</v>
      </c>
      <c r="AG447" s="78"/>
      <c r="AJ447" s="84" t="s">
        <v>45</v>
      </c>
      <c r="AK447" s="84">
        <v>0</v>
      </c>
      <c r="BB447" s="519" t="s">
        <v>66</v>
      </c>
      <c r="BM447" s="78">
        <f t="shared" si="54"/>
        <v>0</v>
      </c>
      <c r="BN447" s="78">
        <f t="shared" si="55"/>
        <v>0</v>
      </c>
      <c r="BO447" s="78">
        <f t="shared" si="56"/>
        <v>0</v>
      </c>
      <c r="BP447" s="78">
        <f t="shared" si="57"/>
        <v>0</v>
      </c>
    </row>
    <row r="448" spans="1:68" x14ac:dyDescent="0.2">
      <c r="A448" s="630"/>
      <c r="B448" s="630"/>
      <c r="C448" s="630"/>
      <c r="D448" s="630"/>
      <c r="E448" s="630"/>
      <c r="F448" s="630"/>
      <c r="G448" s="630"/>
      <c r="H448" s="630"/>
      <c r="I448" s="630"/>
      <c r="J448" s="630"/>
      <c r="K448" s="630"/>
      <c r="L448" s="630"/>
      <c r="M448" s="630"/>
      <c r="N448" s="630"/>
      <c r="O448" s="631"/>
      <c r="P448" s="627" t="s">
        <v>40</v>
      </c>
      <c r="Q448" s="628"/>
      <c r="R448" s="628"/>
      <c r="S448" s="628"/>
      <c r="T448" s="628"/>
      <c r="U448" s="628"/>
      <c r="V448" s="629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0"/>
      <c r="B449" s="630"/>
      <c r="C449" s="630"/>
      <c r="D449" s="630"/>
      <c r="E449" s="630"/>
      <c r="F449" s="630"/>
      <c r="G449" s="630"/>
      <c r="H449" s="630"/>
      <c r="I449" s="630"/>
      <c r="J449" s="630"/>
      <c r="K449" s="630"/>
      <c r="L449" s="630"/>
      <c r="M449" s="630"/>
      <c r="N449" s="630"/>
      <c r="O449" s="631"/>
      <c r="P449" s="627" t="s">
        <v>40</v>
      </c>
      <c r="Q449" s="628"/>
      <c r="R449" s="628"/>
      <c r="S449" s="628"/>
      <c r="T449" s="628"/>
      <c r="U449" s="628"/>
      <c r="V449" s="629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84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701</v>
      </c>
      <c r="B451" s="63" t="s">
        <v>702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117</v>
      </c>
      <c r="L451" s="37" t="s">
        <v>45</v>
      </c>
      <c r="M451" s="38" t="s">
        <v>88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704</v>
      </c>
      <c r="B452" s="63" t="s">
        <v>705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117</v>
      </c>
      <c r="L452" s="37" t="s">
        <v>45</v>
      </c>
      <c r="M452" s="38" t="s">
        <v>88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707</v>
      </c>
      <c r="B453" s="63" t="s">
        <v>708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89</v>
      </c>
      <c r="L453" s="37" t="s">
        <v>45</v>
      </c>
      <c r="M453" s="38" t="s">
        <v>88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0"/>
      <c r="B454" s="630"/>
      <c r="C454" s="630"/>
      <c r="D454" s="630"/>
      <c r="E454" s="630"/>
      <c r="F454" s="630"/>
      <c r="G454" s="630"/>
      <c r="H454" s="630"/>
      <c r="I454" s="630"/>
      <c r="J454" s="630"/>
      <c r="K454" s="630"/>
      <c r="L454" s="630"/>
      <c r="M454" s="630"/>
      <c r="N454" s="630"/>
      <c r="O454" s="631"/>
      <c r="P454" s="627" t="s">
        <v>40</v>
      </c>
      <c r="Q454" s="628"/>
      <c r="R454" s="628"/>
      <c r="S454" s="628"/>
      <c r="T454" s="628"/>
      <c r="U454" s="628"/>
      <c r="V454" s="629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0"/>
      <c r="B455" s="630"/>
      <c r="C455" s="630"/>
      <c r="D455" s="630"/>
      <c r="E455" s="630"/>
      <c r="F455" s="630"/>
      <c r="G455" s="630"/>
      <c r="H455" s="630"/>
      <c r="I455" s="630"/>
      <c r="J455" s="630"/>
      <c r="K455" s="630"/>
      <c r="L455" s="630"/>
      <c r="M455" s="630"/>
      <c r="N455" s="630"/>
      <c r="O455" s="631"/>
      <c r="P455" s="627" t="s">
        <v>40</v>
      </c>
      <c r="Q455" s="628"/>
      <c r="R455" s="628"/>
      <c r="S455" s="628"/>
      <c r="T455" s="628"/>
      <c r="U455" s="628"/>
      <c r="V455" s="629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112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711</v>
      </c>
      <c r="B459" s="63" t="s">
        <v>712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117</v>
      </c>
      <c r="L459" s="37" t="s">
        <v>45</v>
      </c>
      <c r="M459" s="38" t="s">
        <v>88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117</v>
      </c>
      <c r="L460" s="37" t="s">
        <v>45</v>
      </c>
      <c r="M460" s="38" t="s">
        <v>116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117</v>
      </c>
      <c r="L461" s="37" t="s">
        <v>118</v>
      </c>
      <c r="M461" s="38" t="s">
        <v>116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101</v>
      </c>
      <c r="AK461" s="84">
        <v>96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121</v>
      </c>
      <c r="L462" s="37" t="s">
        <v>45</v>
      </c>
      <c r="M462" s="38" t="s">
        <v>88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0"/>
      <c r="B463" s="630"/>
      <c r="C463" s="630"/>
      <c r="D463" s="630"/>
      <c r="E463" s="630"/>
      <c r="F463" s="630"/>
      <c r="G463" s="630"/>
      <c r="H463" s="630"/>
      <c r="I463" s="630"/>
      <c r="J463" s="630"/>
      <c r="K463" s="630"/>
      <c r="L463" s="630"/>
      <c r="M463" s="630"/>
      <c r="N463" s="630"/>
      <c r="O463" s="631"/>
      <c r="P463" s="627" t="s">
        <v>40</v>
      </c>
      <c r="Q463" s="628"/>
      <c r="R463" s="628"/>
      <c r="S463" s="628"/>
      <c r="T463" s="628"/>
      <c r="U463" s="628"/>
      <c r="V463" s="629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0"/>
      <c r="B464" s="630"/>
      <c r="C464" s="630"/>
      <c r="D464" s="630"/>
      <c r="E464" s="630"/>
      <c r="F464" s="630"/>
      <c r="G464" s="630"/>
      <c r="H464" s="630"/>
      <c r="I464" s="630"/>
      <c r="J464" s="630"/>
      <c r="K464" s="630"/>
      <c r="L464" s="630"/>
      <c r="M464" s="630"/>
      <c r="N464" s="630"/>
      <c r="O464" s="631"/>
      <c r="P464" s="627" t="s">
        <v>40</v>
      </c>
      <c r="Q464" s="628"/>
      <c r="R464" s="628"/>
      <c r="S464" s="628"/>
      <c r="T464" s="628"/>
      <c r="U464" s="628"/>
      <c r="V464" s="629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147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722</v>
      </c>
      <c r="B466" s="63" t="s">
        <v>723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117</v>
      </c>
      <c r="L467" s="37" t="s">
        <v>45</v>
      </c>
      <c r="M467" s="38" t="s">
        <v>116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121</v>
      </c>
      <c r="L468" s="37" t="s">
        <v>45</v>
      </c>
      <c r="M468" s="38" t="s">
        <v>116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0"/>
      <c r="B469" s="630"/>
      <c r="C469" s="630"/>
      <c r="D469" s="630"/>
      <c r="E469" s="630"/>
      <c r="F469" s="630"/>
      <c r="G469" s="630"/>
      <c r="H469" s="630"/>
      <c r="I469" s="630"/>
      <c r="J469" s="630"/>
      <c r="K469" s="630"/>
      <c r="L469" s="630"/>
      <c r="M469" s="630"/>
      <c r="N469" s="630"/>
      <c r="O469" s="631"/>
      <c r="P469" s="627" t="s">
        <v>40</v>
      </c>
      <c r="Q469" s="628"/>
      <c r="R469" s="628"/>
      <c r="S469" s="628"/>
      <c r="T469" s="628"/>
      <c r="U469" s="628"/>
      <c r="V469" s="629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0"/>
      <c r="B470" s="630"/>
      <c r="C470" s="630"/>
      <c r="D470" s="630"/>
      <c r="E470" s="630"/>
      <c r="F470" s="630"/>
      <c r="G470" s="630"/>
      <c r="H470" s="630"/>
      <c r="I470" s="630"/>
      <c r="J470" s="630"/>
      <c r="K470" s="630"/>
      <c r="L470" s="630"/>
      <c r="M470" s="630"/>
      <c r="N470" s="630"/>
      <c r="O470" s="631"/>
      <c r="P470" s="627" t="s">
        <v>40</v>
      </c>
      <c r="Q470" s="628"/>
      <c r="R470" s="628"/>
      <c r="S470" s="628"/>
      <c r="T470" s="628"/>
      <c r="U470" s="628"/>
      <c r="V470" s="629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121</v>
      </c>
      <c r="L472" s="37" t="s">
        <v>122</v>
      </c>
      <c r="M472" s="38" t="s">
        <v>82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101</v>
      </c>
      <c r="AK472" s="84">
        <v>50.4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734</v>
      </c>
      <c r="B473" s="63" t="s">
        <v>735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121</v>
      </c>
      <c r="L473" s="37" t="s">
        <v>122</v>
      </c>
      <c r="M473" s="38" t="s">
        <v>82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101</v>
      </c>
      <c r="AK473" s="84">
        <v>50.4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0"/>
      <c r="B474" s="630"/>
      <c r="C474" s="630"/>
      <c r="D474" s="630"/>
      <c r="E474" s="630"/>
      <c r="F474" s="630"/>
      <c r="G474" s="630"/>
      <c r="H474" s="630"/>
      <c r="I474" s="630"/>
      <c r="J474" s="630"/>
      <c r="K474" s="630"/>
      <c r="L474" s="630"/>
      <c r="M474" s="630"/>
      <c r="N474" s="630"/>
      <c r="O474" s="631"/>
      <c r="P474" s="627" t="s">
        <v>40</v>
      </c>
      <c r="Q474" s="628"/>
      <c r="R474" s="628"/>
      <c r="S474" s="628"/>
      <c r="T474" s="628"/>
      <c r="U474" s="628"/>
      <c r="V474" s="629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0"/>
      <c r="B475" s="630"/>
      <c r="C475" s="630"/>
      <c r="D475" s="630"/>
      <c r="E475" s="630"/>
      <c r="F475" s="630"/>
      <c r="G475" s="630"/>
      <c r="H475" s="630"/>
      <c r="I475" s="630"/>
      <c r="J475" s="630"/>
      <c r="K475" s="630"/>
      <c r="L475" s="630"/>
      <c r="M475" s="630"/>
      <c r="N475" s="630"/>
      <c r="O475" s="631"/>
      <c r="P475" s="627" t="s">
        <v>40</v>
      </c>
      <c r="Q475" s="628"/>
      <c r="R475" s="628"/>
      <c r="S475" s="628"/>
      <c r="T475" s="628"/>
      <c r="U475" s="628"/>
      <c r="V475" s="629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84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117</v>
      </c>
      <c r="L477" s="37" t="s">
        <v>118</v>
      </c>
      <c r="M477" s="38" t="s">
        <v>96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101</v>
      </c>
      <c r="AK477" s="84">
        <v>72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0"/>
      <c r="B478" s="630"/>
      <c r="C478" s="630"/>
      <c r="D478" s="630"/>
      <c r="E478" s="630"/>
      <c r="F478" s="630"/>
      <c r="G478" s="630"/>
      <c r="H478" s="630"/>
      <c r="I478" s="630"/>
      <c r="J478" s="630"/>
      <c r="K478" s="630"/>
      <c r="L478" s="630"/>
      <c r="M478" s="630"/>
      <c r="N478" s="630"/>
      <c r="O478" s="631"/>
      <c r="P478" s="627" t="s">
        <v>40</v>
      </c>
      <c r="Q478" s="628"/>
      <c r="R478" s="628"/>
      <c r="S478" s="628"/>
      <c r="T478" s="628"/>
      <c r="U478" s="628"/>
      <c r="V478" s="629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0"/>
      <c r="B479" s="630"/>
      <c r="C479" s="630"/>
      <c r="D479" s="630"/>
      <c r="E479" s="630"/>
      <c r="F479" s="630"/>
      <c r="G479" s="630"/>
      <c r="H479" s="630"/>
      <c r="I479" s="630"/>
      <c r="J479" s="630"/>
      <c r="K479" s="630"/>
      <c r="L479" s="630"/>
      <c r="M479" s="630"/>
      <c r="N479" s="630"/>
      <c r="O479" s="631"/>
      <c r="P479" s="627" t="s">
        <v>40</v>
      </c>
      <c r="Q479" s="628"/>
      <c r="R479" s="628"/>
      <c r="S479" s="628"/>
      <c r="T479" s="628"/>
      <c r="U479" s="628"/>
      <c r="V479" s="629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175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740</v>
      </c>
      <c r="B481" s="63" t="s">
        <v>741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117</v>
      </c>
      <c r="L481" s="37" t="s">
        <v>45</v>
      </c>
      <c r="M481" s="38" t="s">
        <v>88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743</v>
      </c>
      <c r="B482" s="63" t="s">
        <v>744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117</v>
      </c>
      <c r="L482" s="37" t="s">
        <v>45</v>
      </c>
      <c r="M482" s="38" t="s">
        <v>88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0"/>
      <c r="B483" s="630"/>
      <c r="C483" s="630"/>
      <c r="D483" s="630"/>
      <c r="E483" s="630"/>
      <c r="F483" s="630"/>
      <c r="G483" s="630"/>
      <c r="H483" s="630"/>
      <c r="I483" s="630"/>
      <c r="J483" s="630"/>
      <c r="K483" s="630"/>
      <c r="L483" s="630"/>
      <c r="M483" s="630"/>
      <c r="N483" s="630"/>
      <c r="O483" s="631"/>
      <c r="P483" s="627" t="s">
        <v>40</v>
      </c>
      <c r="Q483" s="628"/>
      <c r="R483" s="628"/>
      <c r="S483" s="628"/>
      <c r="T483" s="628"/>
      <c r="U483" s="628"/>
      <c r="V483" s="629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0"/>
      <c r="B484" s="630"/>
      <c r="C484" s="630"/>
      <c r="D484" s="630"/>
      <c r="E484" s="630"/>
      <c r="F484" s="630"/>
      <c r="G484" s="630"/>
      <c r="H484" s="630"/>
      <c r="I484" s="630"/>
      <c r="J484" s="630"/>
      <c r="K484" s="630"/>
      <c r="L484" s="630"/>
      <c r="M484" s="630"/>
      <c r="N484" s="630"/>
      <c r="O484" s="631"/>
      <c r="P484" s="627" t="s">
        <v>40</v>
      </c>
      <c r="Q484" s="628"/>
      <c r="R484" s="628"/>
      <c r="S484" s="628"/>
      <c r="T484" s="628"/>
      <c r="U484" s="628"/>
      <c r="V484" s="629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147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747</v>
      </c>
      <c r="B487" s="63" t="s">
        <v>748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117</v>
      </c>
      <c r="L487" s="37" t="s">
        <v>45</v>
      </c>
      <c r="M487" s="38" t="s">
        <v>116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0"/>
      <c r="B488" s="630"/>
      <c r="C488" s="630"/>
      <c r="D488" s="630"/>
      <c r="E488" s="630"/>
      <c r="F488" s="630"/>
      <c r="G488" s="630"/>
      <c r="H488" s="630"/>
      <c r="I488" s="630"/>
      <c r="J488" s="630"/>
      <c r="K488" s="630"/>
      <c r="L488" s="630"/>
      <c r="M488" s="630"/>
      <c r="N488" s="630"/>
      <c r="O488" s="631"/>
      <c r="P488" s="627" t="s">
        <v>40</v>
      </c>
      <c r="Q488" s="628"/>
      <c r="R488" s="628"/>
      <c r="S488" s="628"/>
      <c r="T488" s="628"/>
      <c r="U488" s="628"/>
      <c r="V488" s="629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0"/>
      <c r="B489" s="630"/>
      <c r="C489" s="630"/>
      <c r="D489" s="630"/>
      <c r="E489" s="630"/>
      <c r="F489" s="630"/>
      <c r="G489" s="630"/>
      <c r="H489" s="630"/>
      <c r="I489" s="630"/>
      <c r="J489" s="630"/>
      <c r="K489" s="630"/>
      <c r="L489" s="630"/>
      <c r="M489" s="630"/>
      <c r="N489" s="630"/>
      <c r="O489" s="631"/>
      <c r="P489" s="627" t="s">
        <v>40</v>
      </c>
      <c r="Q489" s="628"/>
      <c r="R489" s="628"/>
      <c r="S489" s="628"/>
      <c r="T489" s="628"/>
      <c r="U489" s="628"/>
      <c r="V489" s="629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0"/>
      <c r="B490" s="630"/>
      <c r="C490" s="630"/>
      <c r="D490" s="630"/>
      <c r="E490" s="630"/>
      <c r="F490" s="630"/>
      <c r="G490" s="630"/>
      <c r="H490" s="630"/>
      <c r="I490" s="630"/>
      <c r="J490" s="630"/>
      <c r="K490" s="630"/>
      <c r="L490" s="630"/>
      <c r="M490" s="630"/>
      <c r="N490" s="630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382+X396+X401+X406+X413+X418+X434+X440+X449+X455+X464+X470+X475+X479+X484+X489,"0")</f>
        <v>0</v>
      </c>
      <c r="Y490" s="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382+Y396+Y401+Y406+Y413+Y418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0"/>
      <c r="B491" s="630"/>
      <c r="C491" s="630"/>
      <c r="D491" s="630"/>
      <c r="E491" s="630"/>
      <c r="F491" s="630"/>
      <c r="G491" s="630"/>
      <c r="H491" s="630"/>
      <c r="I491" s="630"/>
      <c r="J491" s="630"/>
      <c r="K491" s="630"/>
      <c r="L491" s="630"/>
      <c r="M491" s="630"/>
      <c r="N491" s="630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0"/>
      <c r="B492" s="630"/>
      <c r="C492" s="630"/>
      <c r="D492" s="630"/>
      <c r="E492" s="630"/>
      <c r="F492" s="630"/>
      <c r="G492" s="630"/>
      <c r="H492" s="630"/>
      <c r="I492" s="630"/>
      <c r="J492" s="630"/>
      <c r="K492" s="630"/>
      <c r="L492" s="630"/>
      <c r="M492" s="630"/>
      <c r="N492" s="630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0"/>
      <c r="B493" s="630"/>
      <c r="C493" s="630"/>
      <c r="D493" s="630"/>
      <c r="E493" s="630"/>
      <c r="F493" s="630"/>
      <c r="G493" s="630"/>
      <c r="H493" s="630"/>
      <c r="I493" s="630"/>
      <c r="J493" s="630"/>
      <c r="K493" s="630"/>
      <c r="L493" s="630"/>
      <c r="M493" s="630"/>
      <c r="N493" s="630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0"/>
      <c r="B494" s="630"/>
      <c r="C494" s="630"/>
      <c r="D494" s="630"/>
      <c r="E494" s="630"/>
      <c r="F494" s="630"/>
      <c r="G494" s="630"/>
      <c r="H494" s="630"/>
      <c r="I494" s="630"/>
      <c r="J494" s="630"/>
      <c r="K494" s="630"/>
      <c r="L494" s="630"/>
      <c r="M494" s="630"/>
      <c r="N494" s="630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381+X395+X400+X405+X412+X417+X433+X439+X448+X454+X463+X469+X474+X478+X483+X488,"0")</f>
        <v>0</v>
      </c>
      <c r="Y494" s="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381+Y395+Y400+Y405+Y412+Y417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0"/>
      <c r="B495" s="630"/>
      <c r="C495" s="630"/>
      <c r="D495" s="630"/>
      <c r="E495" s="630"/>
      <c r="F495" s="630"/>
      <c r="G495" s="630"/>
      <c r="H495" s="630"/>
      <c r="I495" s="630"/>
      <c r="J495" s="630"/>
      <c r="K495" s="630"/>
      <c r="L495" s="630"/>
      <c r="M495" s="630"/>
      <c r="N495" s="630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23+Z31+Z35+Z43+Z47+Z57+Z63+Z69+Z76+Z81+Z88+Z95+Z103+Z109+Z116+Z120+Z126+Z131+Z136+Z142+Z148+Z152+Z158+Z171+Z177+Z181+Z187+Z192+Z203+Z215+Z220+Z234+Z238+Z242+Z250+Z259+Z267+Z274+Z280+Z285+Z295+Z305+Z312+Z318+Z325+Z331+Z338+Z350+Z355+Z360+Z364+Z370+Z375+Z381+Z395+Z400+Z405+Z412+Z417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110</v>
      </c>
      <c r="D497" s="870" t="s">
        <v>110</v>
      </c>
      <c r="E497" s="870" t="s">
        <v>110</v>
      </c>
      <c r="F497" s="870" t="s">
        <v>110</v>
      </c>
      <c r="G497" s="870" t="s">
        <v>110</v>
      </c>
      <c r="H497" s="870" t="s">
        <v>110</v>
      </c>
      <c r="I497" s="870" t="s">
        <v>261</v>
      </c>
      <c r="J497" s="870" t="s">
        <v>261</v>
      </c>
      <c r="K497" s="870" t="s">
        <v>261</v>
      </c>
      <c r="L497" s="870" t="s">
        <v>261</v>
      </c>
      <c r="M497" s="870" t="s">
        <v>261</v>
      </c>
      <c r="N497" s="871"/>
      <c r="O497" s="870" t="s">
        <v>261</v>
      </c>
      <c r="P497" s="870" t="s">
        <v>261</v>
      </c>
      <c r="Q497" s="870" t="s">
        <v>261</v>
      </c>
      <c r="R497" s="870" t="s">
        <v>261</v>
      </c>
      <c r="S497" s="870" t="s">
        <v>544</v>
      </c>
      <c r="T497" s="870" t="s">
        <v>544</v>
      </c>
      <c r="U497" s="870" t="s">
        <v>599</v>
      </c>
      <c r="V497" s="870" t="s">
        <v>599</v>
      </c>
      <c r="W497" s="870" t="s">
        <v>599</v>
      </c>
      <c r="X497" s="85" t="s">
        <v>650</v>
      </c>
      <c r="Y497" s="870" t="s">
        <v>710</v>
      </c>
      <c r="Z497" s="870" t="s">
        <v>710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111</v>
      </c>
      <c r="D498" s="870" t="s">
        <v>128</v>
      </c>
      <c r="E498" s="870" t="s">
        <v>182</v>
      </c>
      <c r="F498" s="870" t="s">
        <v>201</v>
      </c>
      <c r="G498" s="870" t="s">
        <v>231</v>
      </c>
      <c r="H498" s="870" t="s">
        <v>110</v>
      </c>
      <c r="I498" s="870" t="s">
        <v>262</v>
      </c>
      <c r="J498" s="870" t="s">
        <v>307</v>
      </c>
      <c r="K498" s="870" t="s">
        <v>366</v>
      </c>
      <c r="L498" s="870" t="s">
        <v>408</v>
      </c>
      <c r="M498" s="870" t="s">
        <v>424</v>
      </c>
      <c r="N498" s="1"/>
      <c r="O498" s="870" t="s">
        <v>435</v>
      </c>
      <c r="P498" s="870" t="s">
        <v>444</v>
      </c>
      <c r="Q498" s="870" t="s">
        <v>457</v>
      </c>
      <c r="R498" s="870" t="s">
        <v>534</v>
      </c>
      <c r="S498" s="870" t="s">
        <v>545</v>
      </c>
      <c r="T498" s="870" t="s">
        <v>580</v>
      </c>
      <c r="U498" s="870" t="s">
        <v>600</v>
      </c>
      <c r="V498" s="870" t="s">
        <v>631</v>
      </c>
      <c r="W498" s="870" t="s">
        <v>646</v>
      </c>
      <c r="X498" s="870" t="s">
        <v>650</v>
      </c>
      <c r="Y498" s="870" t="s">
        <v>710</v>
      </c>
      <c r="Z498" s="870" t="s">
        <v>746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IFERROR(Y22*1,"0")+IFERROR(Y26*1,"0")+IFERROR(Y27*1,"0")+IFERROR(Y28*1,"0")+IFERROR(Y29*1,"0")+IFERROR(Y30*1,"0")+IFERROR(Y34*1,"0")</f>
        <v>0</v>
      </c>
      <c r="C500" s="52">
        <f>IFERROR(Y40*1,"0")+IFERROR(Y41*1,"0")+IFERROR(Y42*1,"0")+IFERROR(Y46*1,"0")</f>
        <v>0</v>
      </c>
      <c r="D500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52">
        <f>IFERROR(Y85*1,"0")+IFERROR(Y86*1,"0")+IFERROR(Y87*1,"0")+IFERROR(Y91*1,"0")+IFERROR(Y92*1,"0")+IFERROR(Y93*1,"0")+IFERROR(Y94*1,"0")</f>
        <v>0</v>
      </c>
      <c r="F500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52">
        <f>IFERROR(Y124*1,"0")+IFERROR(Y125*1,"0")+IFERROR(Y129*1,"0")+IFERROR(Y130*1,"0")+IFERROR(Y134*1,"0")+IFERROR(Y135*1,"0")</f>
        <v>0</v>
      </c>
      <c r="H500" s="52">
        <f>IFERROR(Y140*1,"0")+IFERROR(Y141*1,"0")+IFERROR(Y145*1,"0")+IFERROR(Y146*1,"0")+IFERROR(Y147*1,"0")+IFERROR(Y151*1,"0")</f>
        <v>0</v>
      </c>
      <c r="I500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500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500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500" s="52">
        <f>IFERROR(Y254*1,"0")+IFERROR(Y255*1,"0")+IFERROR(Y256*1,"0")+IFERROR(Y257*1,"0")+IFERROR(Y258*1,"0")</f>
        <v>0</v>
      </c>
      <c r="M500" s="52">
        <f>IFERROR(Y263*1,"0")+IFERROR(Y264*1,"0")+IFERROR(Y265*1,"0")+IFERROR(Y266*1,"0")</f>
        <v>0</v>
      </c>
      <c r="N500" s="1"/>
      <c r="O500" s="52">
        <f>IFERROR(Y271*1,"0")+IFERROR(Y272*1,"0")+IFERROR(Y273*1,"0")</f>
        <v>0</v>
      </c>
      <c r="P500" s="52">
        <f>IFERROR(Y278*1,"0")+IFERROR(Y279*1,"0")+IFERROR(Y283*1,"0")+IFERROR(Y284*1,"0")</f>
        <v>0</v>
      </c>
      <c r="Q500" s="52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500" s="52">
        <f>IFERROR(Y335*1,"0")+IFERROR(Y336*1,"0")+IFERROR(Y337*1,"0")</f>
        <v>0</v>
      </c>
      <c r="S500" s="52">
        <f>IFERROR(Y343*1,"0")+IFERROR(Y344*1,"0")+IFERROR(Y345*1,"0")+IFERROR(Y346*1,"0")+IFERROR(Y347*1,"0")+IFERROR(Y348*1,"0")+IFERROR(Y349*1,"0")+IFERROR(Y353*1,"0")+IFERROR(Y354*1,"0")+IFERROR(Y358*1,"0")+IFERROR(Y359*1,"0")+IFERROR(Y363*1,"0")</f>
        <v>0</v>
      </c>
      <c r="T500" s="52">
        <f>IFERROR(Y368*1,"0")+IFERROR(Y369*1,"0")+IFERROR(Y373*1,"0")+IFERROR(Y374*1,"0")+IFERROR(Y378*1,"0")+IFERROR(Y379*1,"0")+IFERROR(Y380*1,"0")</f>
        <v>0</v>
      </c>
      <c r="U500" s="52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52">
        <f>IFERROR(Y404*1,"0")+IFERROR(Y408*1,"0")+IFERROR(Y409*1,"0")+IFERROR(Y410*1,"0")+IFERROR(Y411*1,"0")</f>
        <v>0</v>
      </c>
      <c r="W500" s="52">
        <f>IFERROR(Y416*1,"0")</f>
        <v>0</v>
      </c>
      <c r="X500" s="52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QALiwLyuFOlIzJLVCMfcomKOTLKo3VehrKvx9TmydSX9ILdda0n1y2GfiwIblZPl+mdLwf5YIJ2t334pdcq6OA==" saltValue="faOA1ZDOyvbIAJfqAJrEO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12:V412"/>
    <mergeCell ref="A412:O413"/>
    <mergeCell ref="P413:V413"/>
    <mergeCell ref="A414:Z414"/>
    <mergeCell ref="A415:Z415"/>
    <mergeCell ref="D416:E416"/>
    <mergeCell ref="P416:T416"/>
    <mergeCell ref="P417:V417"/>
    <mergeCell ref="A417:O418"/>
    <mergeCell ref="P418:V418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P400:V400"/>
    <mergeCell ref="A400:O401"/>
    <mergeCell ref="P401:V401"/>
    <mergeCell ref="A402:Z402"/>
    <mergeCell ref="A403:Z403"/>
    <mergeCell ref="D404:E404"/>
    <mergeCell ref="P404:T404"/>
    <mergeCell ref="P405:V405"/>
    <mergeCell ref="A405:O406"/>
    <mergeCell ref="P406:V406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A383:Z383"/>
    <mergeCell ref="A384:Z384"/>
    <mergeCell ref="A385:Z385"/>
    <mergeCell ref="D386:E386"/>
    <mergeCell ref="P386:T386"/>
    <mergeCell ref="D387:E387"/>
    <mergeCell ref="P387:T387"/>
    <mergeCell ref="D388:E388"/>
    <mergeCell ref="P388:T388"/>
    <mergeCell ref="A377:Z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7 X472:X473 X461 X442:X444 X436 X427 X424:X425 X422 X408 X398:X399 X388 X386 X378:X379 X373 X368:X369 X358:X359 X349 X335:X337 X324 X315:X317 X311 X308 X304 X301:X302 X298:X299 X293:X294 X290:X291 X283 X273 X258 X256 X254 X232 X227 X218 X208:X214 X202 X195:X200 X186 X168 X166 X163:X164 X161 X147 X145 X141 X135 X129:X130 X124:X125 X119 X112:X115 X99:X101 X94 X91 X87 X85 X79:X80 X75 X73 X60 X55 X51 X46 X40:X41 X29:X30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a9X41r9Xdg+US6IUY2ikkeuh1yGla/1xABoFt1+QI9D7iCE3Nn3FyKTFT9My24bx4U6vepHRCqxDfgs++Cpvmw==" saltValue="JnjrUqJMOvRZ4jTWTMUip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2025-11-27T09:45:42Z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