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888E507-0A0F-4058-ABDC-723D41D5A74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P490" i="2"/>
  <c r="BO490" i="2"/>
  <c r="BN490" i="2"/>
  <c r="BM490" i="2"/>
  <c r="Z490" i="2"/>
  <c r="Z491" i="2" s="1"/>
  <c r="Y490" i="2"/>
  <c r="Z503" i="2" s="1"/>
  <c r="P490" i="2"/>
  <c r="X487" i="2"/>
  <c r="X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X482" i="2"/>
  <c r="Y481" i="2"/>
  <c r="X481" i="2"/>
  <c r="BP480" i="2"/>
  <c r="BO480" i="2"/>
  <c r="BM480" i="2"/>
  <c r="Y480" i="2"/>
  <c r="BN480" i="2" s="1"/>
  <c r="P480" i="2"/>
  <c r="X478" i="2"/>
  <c r="X477" i="2"/>
  <c r="BO476" i="2"/>
  <c r="BM476" i="2"/>
  <c r="Y476" i="2"/>
  <c r="P476" i="2"/>
  <c r="BO475" i="2"/>
  <c r="BM475" i="2"/>
  <c r="Y475" i="2"/>
  <c r="BP475" i="2" s="1"/>
  <c r="P475" i="2"/>
  <c r="X473" i="2"/>
  <c r="X472" i="2"/>
  <c r="BO471" i="2"/>
  <c r="BM471" i="2"/>
  <c r="Y471" i="2"/>
  <c r="P471" i="2"/>
  <c r="BO470" i="2"/>
  <c r="BM470" i="2"/>
  <c r="Y470" i="2"/>
  <c r="P470" i="2"/>
  <c r="X468" i="2"/>
  <c r="X467" i="2"/>
  <c r="BP466" i="2"/>
  <c r="BO466" i="2"/>
  <c r="BN466" i="2"/>
  <c r="BM466" i="2"/>
  <c r="Z466" i="2"/>
  <c r="Y466" i="2"/>
  <c r="P466" i="2"/>
  <c r="BO465" i="2"/>
  <c r="BM465" i="2"/>
  <c r="Y465" i="2"/>
  <c r="BP465" i="2" s="1"/>
  <c r="P465" i="2"/>
  <c r="BO464" i="2"/>
  <c r="BN464" i="2"/>
  <c r="BM464" i="2"/>
  <c r="Z464" i="2"/>
  <c r="Y464" i="2"/>
  <c r="BP464" i="2" s="1"/>
  <c r="P464" i="2"/>
  <c r="BO463" i="2"/>
  <c r="BM463" i="2"/>
  <c r="Y463" i="2"/>
  <c r="P463" i="2"/>
  <c r="Y459" i="2"/>
  <c r="X459" i="2"/>
  <c r="X458" i="2"/>
  <c r="BO457" i="2"/>
  <c r="BM457" i="2"/>
  <c r="Y457" i="2"/>
  <c r="P457" i="2"/>
  <c r="X455" i="2"/>
  <c r="X454" i="2"/>
  <c r="BO453" i="2"/>
  <c r="BM453" i="2"/>
  <c r="Y453" i="2"/>
  <c r="P453" i="2"/>
  <c r="BO452" i="2"/>
  <c r="BM452" i="2"/>
  <c r="Y452" i="2"/>
  <c r="P452" i="2"/>
  <c r="BO451" i="2"/>
  <c r="BM451" i="2"/>
  <c r="Y451" i="2"/>
  <c r="BP451" i="2" s="1"/>
  <c r="P451" i="2"/>
  <c r="BP450" i="2"/>
  <c r="BO450" i="2"/>
  <c r="BN450" i="2"/>
  <c r="BM450" i="2"/>
  <c r="Z450" i="2"/>
  <c r="Y450" i="2"/>
  <c r="P450" i="2"/>
  <c r="BO449" i="2"/>
  <c r="BM449" i="2"/>
  <c r="Y449" i="2"/>
  <c r="Z449" i="2" s="1"/>
  <c r="P449" i="2"/>
  <c r="BO448" i="2"/>
  <c r="BM448" i="2"/>
  <c r="Y448" i="2"/>
  <c r="P448" i="2"/>
  <c r="X446" i="2"/>
  <c r="X445" i="2"/>
  <c r="BP444" i="2"/>
  <c r="BO444" i="2"/>
  <c r="BN444" i="2"/>
  <c r="BM444" i="2"/>
  <c r="Z444" i="2"/>
  <c r="Y444" i="2"/>
  <c r="P444" i="2"/>
  <c r="BO443" i="2"/>
  <c r="BM443" i="2"/>
  <c r="Y443" i="2"/>
  <c r="P443" i="2"/>
  <c r="BO442" i="2"/>
  <c r="BM442" i="2"/>
  <c r="Y442" i="2"/>
  <c r="P442" i="2"/>
  <c r="X440" i="2"/>
  <c r="X439" i="2"/>
  <c r="BO438" i="2"/>
  <c r="BM438" i="2"/>
  <c r="Y438" i="2"/>
  <c r="Z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Z435" i="2" s="1"/>
  <c r="P435" i="2"/>
  <c r="BP434" i="2"/>
  <c r="BO434" i="2"/>
  <c r="BN434" i="2"/>
  <c r="BM434" i="2"/>
  <c r="Z434" i="2"/>
  <c r="Y434" i="2"/>
  <c r="P434" i="2"/>
  <c r="BO433" i="2"/>
  <c r="BM433" i="2"/>
  <c r="Y433" i="2"/>
  <c r="P433" i="2"/>
  <c r="BO432" i="2"/>
  <c r="BM432" i="2"/>
  <c r="Y432" i="2"/>
  <c r="P432" i="2"/>
  <c r="BO431" i="2"/>
  <c r="BM431" i="2"/>
  <c r="Y431" i="2"/>
  <c r="BP431" i="2" s="1"/>
  <c r="P431" i="2"/>
  <c r="BP430" i="2"/>
  <c r="BO430" i="2"/>
  <c r="BN430" i="2"/>
  <c r="BM430" i="2"/>
  <c r="Z430" i="2"/>
  <c r="Y430" i="2"/>
  <c r="P430" i="2"/>
  <c r="BO429" i="2"/>
  <c r="BM429" i="2"/>
  <c r="Y429" i="2"/>
  <c r="Z429" i="2" s="1"/>
  <c r="P429" i="2"/>
  <c r="BO428" i="2"/>
  <c r="BM428" i="2"/>
  <c r="Y428" i="2"/>
  <c r="P428" i="2"/>
  <c r="BP427" i="2"/>
  <c r="BO427" i="2"/>
  <c r="BM427" i="2"/>
  <c r="Y427" i="2"/>
  <c r="P427" i="2"/>
  <c r="X423" i="2"/>
  <c r="X422" i="2"/>
  <c r="BO421" i="2"/>
  <c r="BM421" i="2"/>
  <c r="Y421" i="2"/>
  <c r="P421" i="2"/>
  <c r="X418" i="2"/>
  <c r="X417" i="2"/>
  <c r="BP416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P414" i="2"/>
  <c r="BO413" i="2"/>
  <c r="BM413" i="2"/>
  <c r="Y413" i="2"/>
  <c r="P413" i="2"/>
  <c r="Y411" i="2"/>
  <c r="X411" i="2"/>
  <c r="Y410" i="2"/>
  <c r="X410" i="2"/>
  <c r="BP409" i="2"/>
  <c r="BO409" i="2"/>
  <c r="BN409" i="2"/>
  <c r="BM409" i="2"/>
  <c r="Z409" i="2"/>
  <c r="Z410" i="2" s="1"/>
  <c r="Y409" i="2"/>
  <c r="P409" i="2"/>
  <c r="X406" i="2"/>
  <c r="X405" i="2"/>
  <c r="BP404" i="2"/>
  <c r="BO404" i="2"/>
  <c r="BN404" i="2"/>
  <c r="BM404" i="2"/>
  <c r="Z404" i="2"/>
  <c r="Y404" i="2"/>
  <c r="P404" i="2"/>
  <c r="BO403" i="2"/>
  <c r="BM403" i="2"/>
  <c r="Y403" i="2"/>
  <c r="Z403" i="2" s="1"/>
  <c r="Z405" i="2" s="1"/>
  <c r="P403" i="2"/>
  <c r="X401" i="2"/>
  <c r="X400" i="2"/>
  <c r="BO399" i="2"/>
  <c r="BM399" i="2"/>
  <c r="Y399" i="2"/>
  <c r="Z399" i="2" s="1"/>
  <c r="P399" i="2"/>
  <c r="BP398" i="2"/>
  <c r="BO398" i="2"/>
  <c r="BN398" i="2"/>
  <c r="BM398" i="2"/>
  <c r="Z398" i="2"/>
  <c r="Y398" i="2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BP395" i="2" s="1"/>
  <c r="P395" i="2"/>
  <c r="BP394" i="2"/>
  <c r="BO394" i="2"/>
  <c r="BN394" i="2"/>
  <c r="BM394" i="2"/>
  <c r="Z394" i="2"/>
  <c r="Y394" i="2"/>
  <c r="P394" i="2"/>
  <c r="BO393" i="2"/>
  <c r="BM393" i="2"/>
  <c r="Y393" i="2"/>
  <c r="Z393" i="2" s="1"/>
  <c r="P393" i="2"/>
  <c r="BO392" i="2"/>
  <c r="BM392" i="2"/>
  <c r="Y392" i="2"/>
  <c r="P392" i="2"/>
  <c r="BP391" i="2"/>
  <c r="BO391" i="2"/>
  <c r="BM391" i="2"/>
  <c r="Y391" i="2"/>
  <c r="P391" i="2"/>
  <c r="X387" i="2"/>
  <c r="X386" i="2"/>
  <c r="BO385" i="2"/>
  <c r="BM385" i="2"/>
  <c r="Y385" i="2"/>
  <c r="P385" i="2"/>
  <c r="BO384" i="2"/>
  <c r="BM384" i="2"/>
  <c r="Y384" i="2"/>
  <c r="P384" i="2"/>
  <c r="BO383" i="2"/>
  <c r="BM383" i="2"/>
  <c r="Y383" i="2"/>
  <c r="BP383" i="2" s="1"/>
  <c r="P383" i="2"/>
  <c r="X381" i="2"/>
  <c r="X380" i="2"/>
  <c r="BO379" i="2"/>
  <c r="BM379" i="2"/>
  <c r="Y379" i="2"/>
  <c r="P379" i="2"/>
  <c r="BP378" i="2"/>
  <c r="BO378" i="2"/>
  <c r="BM378" i="2"/>
  <c r="Y378" i="2"/>
  <c r="P378" i="2"/>
  <c r="X376" i="2"/>
  <c r="X375" i="2"/>
  <c r="BP374" i="2"/>
  <c r="BO374" i="2"/>
  <c r="BN374" i="2"/>
  <c r="BM374" i="2"/>
  <c r="Z374" i="2"/>
  <c r="Y374" i="2"/>
  <c r="P374" i="2"/>
  <c r="BO373" i="2"/>
  <c r="BM373" i="2"/>
  <c r="Y373" i="2"/>
  <c r="P373" i="2"/>
  <c r="X370" i="2"/>
  <c r="X369" i="2"/>
  <c r="BO368" i="2"/>
  <c r="BM368" i="2"/>
  <c r="Y368" i="2"/>
  <c r="Z368" i="2" s="1"/>
  <c r="Z369" i="2" s="1"/>
  <c r="P368" i="2"/>
  <c r="X366" i="2"/>
  <c r="X365" i="2"/>
  <c r="BO364" i="2"/>
  <c r="BM364" i="2"/>
  <c r="Y364" i="2"/>
  <c r="Z364" i="2" s="1"/>
  <c r="P364" i="2"/>
  <c r="BP363" i="2"/>
  <c r="BO363" i="2"/>
  <c r="BN363" i="2"/>
  <c r="BM363" i="2"/>
  <c r="Z363" i="2"/>
  <c r="Y363" i="2"/>
  <c r="P363" i="2"/>
  <c r="X361" i="2"/>
  <c r="X360" i="2"/>
  <c r="BO359" i="2"/>
  <c r="BN359" i="2"/>
  <c r="BM359" i="2"/>
  <c r="Z359" i="2"/>
  <c r="Y359" i="2"/>
  <c r="BP359" i="2" s="1"/>
  <c r="P359" i="2"/>
  <c r="BO358" i="2"/>
  <c r="BM358" i="2"/>
  <c r="Z358" i="2"/>
  <c r="Z360" i="2" s="1"/>
  <c r="Y358" i="2"/>
  <c r="BN358" i="2" s="1"/>
  <c r="P358" i="2"/>
  <c r="X356" i="2"/>
  <c r="X355" i="2"/>
  <c r="BO354" i="2"/>
  <c r="BM354" i="2"/>
  <c r="Y354" i="2"/>
  <c r="P354" i="2"/>
  <c r="BP353" i="2"/>
  <c r="BO353" i="2"/>
  <c r="BM353" i="2"/>
  <c r="Y353" i="2"/>
  <c r="BN353" i="2" s="1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BO349" i="2"/>
  <c r="BM349" i="2"/>
  <c r="Y349" i="2"/>
  <c r="P349" i="2"/>
  <c r="BP348" i="2"/>
  <c r="BO348" i="2"/>
  <c r="BM348" i="2"/>
  <c r="Y348" i="2"/>
  <c r="P348" i="2"/>
  <c r="X344" i="2"/>
  <c r="X343" i="2"/>
  <c r="BP342" i="2"/>
  <c r="BO342" i="2"/>
  <c r="BM342" i="2"/>
  <c r="Y342" i="2"/>
  <c r="BN342" i="2" s="1"/>
  <c r="P342" i="2"/>
  <c r="BO341" i="2"/>
  <c r="BM341" i="2"/>
  <c r="Y341" i="2"/>
  <c r="P341" i="2"/>
  <c r="BO340" i="2"/>
  <c r="BM340" i="2"/>
  <c r="Y340" i="2"/>
  <c r="Y344" i="2" s="1"/>
  <c r="P340" i="2"/>
  <c r="X337" i="2"/>
  <c r="X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Z333" i="2" s="1"/>
  <c r="P333" i="2"/>
  <c r="X331" i="2"/>
  <c r="X330" i="2"/>
  <c r="BO329" i="2"/>
  <c r="BM329" i="2"/>
  <c r="Y329" i="2"/>
  <c r="Z329" i="2" s="1"/>
  <c r="P329" i="2"/>
  <c r="BO328" i="2"/>
  <c r="BM328" i="2"/>
  <c r="Y328" i="2"/>
  <c r="P328" i="2"/>
  <c r="BP327" i="2"/>
  <c r="BO327" i="2"/>
  <c r="BN327" i="2"/>
  <c r="BM327" i="2"/>
  <c r="Z327" i="2"/>
  <c r="Y327" i="2"/>
  <c r="P327" i="2"/>
  <c r="BO326" i="2"/>
  <c r="BM326" i="2"/>
  <c r="Y326" i="2"/>
  <c r="P326" i="2"/>
  <c r="X324" i="2"/>
  <c r="X323" i="2"/>
  <c r="BO322" i="2"/>
  <c r="BM322" i="2"/>
  <c r="Y322" i="2"/>
  <c r="Z322" i="2" s="1"/>
  <c r="P322" i="2"/>
  <c r="BO321" i="2"/>
  <c r="BM321" i="2"/>
  <c r="Y321" i="2"/>
  <c r="P321" i="2"/>
  <c r="BO320" i="2"/>
  <c r="BM320" i="2"/>
  <c r="Z320" i="2"/>
  <c r="Y320" i="2"/>
  <c r="Y324" i="2" s="1"/>
  <c r="P320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P314" i="2"/>
  <c r="BP313" i="2"/>
  <c r="BO313" i="2"/>
  <c r="BM313" i="2"/>
  <c r="Y313" i="2"/>
  <c r="P313" i="2"/>
  <c r="X311" i="2"/>
  <c r="X310" i="2"/>
  <c r="BP309" i="2"/>
  <c r="BO309" i="2"/>
  <c r="BM309" i="2"/>
  <c r="Y309" i="2"/>
  <c r="BN309" i="2" s="1"/>
  <c r="P309" i="2"/>
  <c r="BO308" i="2"/>
  <c r="BM308" i="2"/>
  <c r="Y308" i="2"/>
  <c r="P308" i="2"/>
  <c r="BO307" i="2"/>
  <c r="BM307" i="2"/>
  <c r="Y307" i="2"/>
  <c r="BP307" i="2" s="1"/>
  <c r="P307" i="2"/>
  <c r="BP306" i="2"/>
  <c r="BO306" i="2"/>
  <c r="BN306" i="2"/>
  <c r="BM306" i="2"/>
  <c r="Z306" i="2"/>
  <c r="Y306" i="2"/>
  <c r="P306" i="2"/>
  <c r="BO305" i="2"/>
  <c r="BM305" i="2"/>
  <c r="Y305" i="2"/>
  <c r="P305" i="2"/>
  <c r="BO304" i="2"/>
  <c r="BM304" i="2"/>
  <c r="Y304" i="2"/>
  <c r="P304" i="2"/>
  <c r="X302" i="2"/>
  <c r="X301" i="2"/>
  <c r="BO300" i="2"/>
  <c r="BN300" i="2"/>
  <c r="BM300" i="2"/>
  <c r="Z300" i="2"/>
  <c r="Y300" i="2"/>
  <c r="BP300" i="2" s="1"/>
  <c r="P300" i="2"/>
  <c r="BO299" i="2"/>
  <c r="BM299" i="2"/>
  <c r="Y299" i="2"/>
  <c r="P299" i="2"/>
  <c r="BP298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X293" i="2"/>
  <c r="X292" i="2"/>
  <c r="BO291" i="2"/>
  <c r="BM291" i="2"/>
  <c r="Y291" i="2"/>
  <c r="P291" i="2"/>
  <c r="BO290" i="2"/>
  <c r="BM290" i="2"/>
  <c r="Y290" i="2"/>
  <c r="Z290" i="2" s="1"/>
  <c r="P290" i="2"/>
  <c r="X288" i="2"/>
  <c r="X287" i="2"/>
  <c r="BO286" i="2"/>
  <c r="BM286" i="2"/>
  <c r="Y286" i="2"/>
  <c r="P286" i="2"/>
  <c r="BO285" i="2"/>
  <c r="BM285" i="2"/>
  <c r="Y285" i="2"/>
  <c r="Z285" i="2" s="1"/>
  <c r="P285" i="2"/>
  <c r="X282" i="2"/>
  <c r="X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Y282" i="2" s="1"/>
  <c r="P278" i="2"/>
  <c r="X275" i="2"/>
  <c r="X274" i="2"/>
  <c r="BP273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Z265" i="2" s="1"/>
  <c r="P265" i="2"/>
  <c r="BO264" i="2"/>
  <c r="BN264" i="2"/>
  <c r="BM264" i="2"/>
  <c r="Z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BO261" i="2"/>
  <c r="BM261" i="2"/>
  <c r="Y261" i="2"/>
  <c r="BP261" i="2" s="1"/>
  <c r="P261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Z254" i="2" s="1"/>
  <c r="P254" i="2"/>
  <c r="BO253" i="2"/>
  <c r="BN253" i="2"/>
  <c r="BM253" i="2"/>
  <c r="Z253" i="2"/>
  <c r="Y253" i="2"/>
  <c r="BP253" i="2" s="1"/>
  <c r="P253" i="2"/>
  <c r="BO252" i="2"/>
  <c r="BM252" i="2"/>
  <c r="Y252" i="2"/>
  <c r="BP252" i="2" s="1"/>
  <c r="P252" i="2"/>
  <c r="X250" i="2"/>
  <c r="X249" i="2"/>
  <c r="BO248" i="2"/>
  <c r="BM248" i="2"/>
  <c r="Y248" i="2"/>
  <c r="Y250" i="2" s="1"/>
  <c r="P248" i="2"/>
  <c r="Y246" i="2"/>
  <c r="X246" i="2"/>
  <c r="X245" i="2"/>
  <c r="BO244" i="2"/>
  <c r="BM244" i="2"/>
  <c r="Z244" i="2"/>
  <c r="Z245" i="2" s="1"/>
  <c r="Y244" i="2"/>
  <c r="BN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BP237" i="2"/>
  <c r="BO237" i="2"/>
  <c r="BN237" i="2"/>
  <c r="BM237" i="2"/>
  <c r="Z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Z233" i="2" s="1"/>
  <c r="P233" i="2"/>
  <c r="BO232" i="2"/>
  <c r="BM232" i="2"/>
  <c r="Z232" i="2"/>
  <c r="Y232" i="2"/>
  <c r="P232" i="2"/>
  <c r="X229" i="2"/>
  <c r="X228" i="2"/>
  <c r="BO227" i="2"/>
  <c r="BM227" i="2"/>
  <c r="Y227" i="2"/>
  <c r="P227" i="2"/>
  <c r="BO226" i="2"/>
  <c r="BM226" i="2"/>
  <c r="Y226" i="2"/>
  <c r="BP226" i="2" s="1"/>
  <c r="P226" i="2"/>
  <c r="X224" i="2"/>
  <c r="X223" i="2"/>
  <c r="BP222" i="2"/>
  <c r="BO222" i="2"/>
  <c r="BN222" i="2"/>
  <c r="BM222" i="2"/>
  <c r="Z222" i="2"/>
  <c r="Y222" i="2"/>
  <c r="P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P218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P215" i="2"/>
  <c r="BP214" i="2"/>
  <c r="BO214" i="2"/>
  <c r="BN214" i="2"/>
  <c r="BM214" i="2"/>
  <c r="Z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P209" i="2"/>
  <c r="BP208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BP204" i="2"/>
  <c r="BO204" i="2"/>
  <c r="BN204" i="2"/>
  <c r="BM204" i="2"/>
  <c r="Z204" i="2"/>
  <c r="Y204" i="2"/>
  <c r="P204" i="2"/>
  <c r="BO203" i="2"/>
  <c r="BM203" i="2"/>
  <c r="Z203" i="2"/>
  <c r="Y203" i="2"/>
  <c r="BN203" i="2" s="1"/>
  <c r="P203" i="2"/>
  <c r="X201" i="2"/>
  <c r="X200" i="2"/>
  <c r="BO199" i="2"/>
  <c r="BM199" i="2"/>
  <c r="Y199" i="2"/>
  <c r="P199" i="2"/>
  <c r="BO198" i="2"/>
  <c r="BM198" i="2"/>
  <c r="Y198" i="2"/>
  <c r="BN198" i="2" s="1"/>
  <c r="P198" i="2"/>
  <c r="X196" i="2"/>
  <c r="X195" i="2"/>
  <c r="BO194" i="2"/>
  <c r="BM194" i="2"/>
  <c r="Y194" i="2"/>
  <c r="P194" i="2"/>
  <c r="BO193" i="2"/>
  <c r="BM193" i="2"/>
  <c r="Y193" i="2"/>
  <c r="BP193" i="2" s="1"/>
  <c r="P193" i="2"/>
  <c r="X190" i="2"/>
  <c r="X189" i="2"/>
  <c r="BO188" i="2"/>
  <c r="BM188" i="2"/>
  <c r="Z188" i="2"/>
  <c r="Z189" i="2" s="1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P176" i="2"/>
  <c r="BP175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P171" i="2"/>
  <c r="BO171" i="2"/>
  <c r="BN171" i="2"/>
  <c r="BM171" i="2"/>
  <c r="Z171" i="2"/>
  <c r="Y171" i="2"/>
  <c r="P171" i="2"/>
  <c r="BO170" i="2"/>
  <c r="BM170" i="2"/>
  <c r="Z170" i="2"/>
  <c r="Y170" i="2"/>
  <c r="BN170" i="2" s="1"/>
  <c r="P170" i="2"/>
  <c r="BO169" i="2"/>
  <c r="BM169" i="2"/>
  <c r="Y169" i="2"/>
  <c r="Z169" i="2" s="1"/>
  <c r="P169" i="2"/>
  <c r="BO168" i="2"/>
  <c r="BM168" i="2"/>
  <c r="Y168" i="2"/>
  <c r="P168" i="2"/>
  <c r="BO167" i="2"/>
  <c r="BM167" i="2"/>
  <c r="Z167" i="2"/>
  <c r="Y167" i="2"/>
  <c r="BN167" i="2" s="1"/>
  <c r="P167" i="2"/>
  <c r="X165" i="2"/>
  <c r="X164" i="2"/>
  <c r="BO163" i="2"/>
  <c r="BM163" i="2"/>
  <c r="Y163" i="2"/>
  <c r="Y165" i="2" s="1"/>
  <c r="P163" i="2"/>
  <c r="Y159" i="2"/>
  <c r="X159" i="2"/>
  <c r="Y158" i="2"/>
  <c r="X158" i="2"/>
  <c r="BP157" i="2"/>
  <c r="BO157" i="2"/>
  <c r="BN157" i="2"/>
  <c r="BM157" i="2"/>
  <c r="Z157" i="2"/>
  <c r="Z158" i="2" s="1"/>
  <c r="Y157" i="2"/>
  <c r="P157" i="2"/>
  <c r="X155" i="2"/>
  <c r="X154" i="2"/>
  <c r="BO153" i="2"/>
  <c r="BM153" i="2"/>
  <c r="Y153" i="2"/>
  <c r="BN153" i="2" s="1"/>
  <c r="P153" i="2"/>
  <c r="BO152" i="2"/>
  <c r="BM152" i="2"/>
  <c r="Y152" i="2"/>
  <c r="Z152" i="2" s="1"/>
  <c r="P152" i="2"/>
  <c r="BO151" i="2"/>
  <c r="BM151" i="2"/>
  <c r="Y151" i="2"/>
  <c r="Z151" i="2" s="1"/>
  <c r="P151" i="2"/>
  <c r="BP150" i="2"/>
  <c r="BO150" i="2"/>
  <c r="BN150" i="2"/>
  <c r="BM150" i="2"/>
  <c r="Z150" i="2"/>
  <c r="Y150" i="2"/>
  <c r="P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Z144" i="2" s="1"/>
  <c r="P144" i="2"/>
  <c r="BO143" i="2"/>
  <c r="BM143" i="2"/>
  <c r="Y143" i="2"/>
  <c r="BN143" i="2" s="1"/>
  <c r="P143" i="2"/>
  <c r="Y140" i="2"/>
  <c r="X140" i="2"/>
  <c r="Y139" i="2"/>
  <c r="X139" i="2"/>
  <c r="BP138" i="2"/>
  <c r="BO138" i="2"/>
  <c r="BN138" i="2"/>
  <c r="BM138" i="2"/>
  <c r="Z138" i="2"/>
  <c r="Y138" i="2"/>
  <c r="P138" i="2"/>
  <c r="BO137" i="2"/>
  <c r="BM137" i="2"/>
  <c r="Y137" i="2"/>
  <c r="P137" i="2"/>
  <c r="X135" i="2"/>
  <c r="X134" i="2"/>
  <c r="BO133" i="2"/>
  <c r="BM133" i="2"/>
  <c r="Y133" i="2"/>
  <c r="Z133" i="2" s="1"/>
  <c r="P133" i="2"/>
  <c r="BO132" i="2"/>
  <c r="BM132" i="2"/>
  <c r="Y132" i="2"/>
  <c r="P132" i="2"/>
  <c r="X130" i="2"/>
  <c r="X129" i="2"/>
  <c r="BO128" i="2"/>
  <c r="BM128" i="2"/>
  <c r="Y128" i="2"/>
  <c r="Z128" i="2" s="1"/>
  <c r="P128" i="2"/>
  <c r="BP127" i="2"/>
  <c r="BO127" i="2"/>
  <c r="BN127" i="2"/>
  <c r="BM127" i="2"/>
  <c r="Z127" i="2"/>
  <c r="Z129" i="2" s="1"/>
  <c r="Y127" i="2"/>
  <c r="P127" i="2"/>
  <c r="X124" i="2"/>
  <c r="X123" i="2"/>
  <c r="BO122" i="2"/>
  <c r="BM122" i="2"/>
  <c r="Y122" i="2"/>
  <c r="BN122" i="2" s="1"/>
  <c r="P122" i="2"/>
  <c r="X120" i="2"/>
  <c r="X119" i="2"/>
  <c r="BO118" i="2"/>
  <c r="BM118" i="2"/>
  <c r="Y118" i="2"/>
  <c r="P118" i="2"/>
  <c r="BP117" i="2"/>
  <c r="BO117" i="2"/>
  <c r="BM117" i="2"/>
  <c r="Y117" i="2"/>
  <c r="BN117" i="2" s="1"/>
  <c r="P117" i="2"/>
  <c r="BO116" i="2"/>
  <c r="BM116" i="2"/>
  <c r="Y116" i="2"/>
  <c r="P116" i="2"/>
  <c r="BO115" i="2"/>
  <c r="BM115" i="2"/>
  <c r="Y115" i="2"/>
  <c r="BP115" i="2" s="1"/>
  <c r="P115" i="2"/>
  <c r="X113" i="2"/>
  <c r="X112" i="2"/>
  <c r="BP111" i="2"/>
  <c r="BO111" i="2"/>
  <c r="BN111" i="2"/>
  <c r="BM111" i="2"/>
  <c r="Z111" i="2"/>
  <c r="Y111" i="2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N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P92" i="2"/>
  <c r="X90" i="2"/>
  <c r="X89" i="2"/>
  <c r="BO88" i="2"/>
  <c r="BM88" i="2"/>
  <c r="Y88" i="2"/>
  <c r="Z88" i="2" s="1"/>
  <c r="P88" i="2"/>
  <c r="BO87" i="2"/>
  <c r="BM87" i="2"/>
  <c r="Z87" i="2"/>
  <c r="Y87" i="2"/>
  <c r="P87" i="2"/>
  <c r="BO86" i="2"/>
  <c r="BM86" i="2"/>
  <c r="Z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P80" i="2"/>
  <c r="BP79" i="2"/>
  <c r="BO79" i="2"/>
  <c r="BN79" i="2"/>
  <c r="BM79" i="2"/>
  <c r="Z79" i="2"/>
  <c r="Y79" i="2"/>
  <c r="P79" i="2"/>
  <c r="X77" i="2"/>
  <c r="X76" i="2"/>
  <c r="BO75" i="2"/>
  <c r="BM75" i="2"/>
  <c r="Y75" i="2"/>
  <c r="Z75" i="2" s="1"/>
  <c r="P75" i="2"/>
  <c r="BO74" i="2"/>
  <c r="BM74" i="2"/>
  <c r="Y74" i="2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Y69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X59" i="2"/>
  <c r="X58" i="2"/>
  <c r="BP57" i="2"/>
  <c r="BO57" i="2"/>
  <c r="BN57" i="2"/>
  <c r="BM57" i="2"/>
  <c r="Z57" i="2"/>
  <c r="Y57" i="2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BO54" i="2"/>
  <c r="BM54" i="2"/>
  <c r="Y54" i="2"/>
  <c r="P54" i="2"/>
  <c r="BO53" i="2"/>
  <c r="BM53" i="2"/>
  <c r="Z53" i="2"/>
  <c r="Y53" i="2"/>
  <c r="BN53" i="2" s="1"/>
  <c r="P53" i="2"/>
  <c r="BO52" i="2"/>
  <c r="BM52" i="2"/>
  <c r="Y52" i="2"/>
  <c r="Y58" i="2" s="1"/>
  <c r="P52" i="2"/>
  <c r="X49" i="2"/>
  <c r="X48" i="2"/>
  <c r="BO47" i="2"/>
  <c r="BM47" i="2"/>
  <c r="Y47" i="2"/>
  <c r="Y49" i="2" s="1"/>
  <c r="P47" i="2"/>
  <c r="X45" i="2"/>
  <c r="X44" i="2"/>
  <c r="BO43" i="2"/>
  <c r="BM43" i="2"/>
  <c r="Y43" i="2"/>
  <c r="Z43" i="2" s="1"/>
  <c r="P43" i="2"/>
  <c r="BO42" i="2"/>
  <c r="BN42" i="2"/>
  <c r="BM42" i="2"/>
  <c r="Z42" i="2"/>
  <c r="Y42" i="2"/>
  <c r="BP42" i="2" s="1"/>
  <c r="P42" i="2"/>
  <c r="BO41" i="2"/>
  <c r="BM41" i="2"/>
  <c r="Y41" i="2"/>
  <c r="P41" i="2"/>
  <c r="X37" i="2"/>
  <c r="X36" i="2"/>
  <c r="BO35" i="2"/>
  <c r="BM35" i="2"/>
  <c r="Z35" i="2"/>
  <c r="Z36" i="2" s="1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Y27" i="2"/>
  <c r="Y33" i="2" s="1"/>
  <c r="P27" i="2"/>
  <c r="X25" i="2"/>
  <c r="X493" i="2" s="1"/>
  <c r="X24" i="2"/>
  <c r="BO23" i="2"/>
  <c r="BM23" i="2"/>
  <c r="Y23" i="2"/>
  <c r="P23" i="2"/>
  <c r="BP22" i="2"/>
  <c r="BO22" i="2"/>
  <c r="BN22" i="2"/>
  <c r="BM22" i="2"/>
  <c r="Z22" i="2"/>
  <c r="Y22" i="2"/>
  <c r="P22" i="2"/>
  <c r="H10" i="2"/>
  <c r="A9" i="2"/>
  <c r="A10" i="2" s="1"/>
  <c r="D7" i="2"/>
  <c r="Q6" i="2"/>
  <c r="P2" i="2"/>
  <c r="F10" i="2" l="1"/>
  <c r="BN30" i="2"/>
  <c r="BP30" i="2"/>
  <c r="BP31" i="2"/>
  <c r="BN61" i="2"/>
  <c r="BP61" i="2"/>
  <c r="BP63" i="2"/>
  <c r="BN88" i="2"/>
  <c r="BP88" i="2"/>
  <c r="BN110" i="2"/>
  <c r="BP122" i="2"/>
  <c r="Y123" i="2"/>
  <c r="BN128" i="2"/>
  <c r="BP128" i="2"/>
  <c r="Y129" i="2"/>
  <c r="Y130" i="2"/>
  <c r="BN133" i="2"/>
  <c r="BP143" i="2"/>
  <c r="BN151" i="2"/>
  <c r="BP151" i="2"/>
  <c r="BN152" i="2"/>
  <c r="BP152" i="2"/>
  <c r="BP153" i="2"/>
  <c r="Y154" i="2"/>
  <c r="BN221" i="2"/>
  <c r="BN233" i="2"/>
  <c r="BP233" i="2"/>
  <c r="BP234" i="2"/>
  <c r="BN278" i="2"/>
  <c r="BP278" i="2"/>
  <c r="BP279" i="2"/>
  <c r="BN285" i="2"/>
  <c r="BP285" i="2"/>
  <c r="P503" i="2"/>
  <c r="BP286" i="2"/>
  <c r="BN286" i="2"/>
  <c r="BN299" i="2"/>
  <c r="BP299" i="2"/>
  <c r="BN308" i="2"/>
  <c r="BP308" i="2"/>
  <c r="BP314" i="2"/>
  <c r="BN314" i="2"/>
  <c r="Z314" i="2"/>
  <c r="BP316" i="2"/>
  <c r="BN316" i="2"/>
  <c r="Z316" i="2"/>
  <c r="BP328" i="2"/>
  <c r="BN328" i="2"/>
  <c r="Z328" i="2"/>
  <c r="BP334" i="2"/>
  <c r="BN334" i="2"/>
  <c r="Z334" i="2"/>
  <c r="BN341" i="2"/>
  <c r="BP341" i="2"/>
  <c r="BP349" i="2"/>
  <c r="BN349" i="2"/>
  <c r="Z349" i="2"/>
  <c r="BP351" i="2"/>
  <c r="BN351" i="2"/>
  <c r="Z351" i="2"/>
  <c r="BP385" i="2"/>
  <c r="BN385" i="2"/>
  <c r="Z385" i="2"/>
  <c r="BN399" i="2"/>
  <c r="BP399" i="2"/>
  <c r="BN403" i="2"/>
  <c r="Y405" i="2"/>
  <c r="BN413" i="2"/>
  <c r="Z413" i="2"/>
  <c r="W503" i="2"/>
  <c r="Y423" i="2"/>
  <c r="Y422" i="2"/>
  <c r="BP421" i="2"/>
  <c r="BN421" i="2"/>
  <c r="Z421" i="2"/>
  <c r="Z422" i="2" s="1"/>
  <c r="BN435" i="2"/>
  <c r="BP435" i="2"/>
  <c r="BN436" i="2"/>
  <c r="Z436" i="2"/>
  <c r="Y454" i="2"/>
  <c r="BN448" i="2"/>
  <c r="Z448" i="2"/>
  <c r="BN449" i="2"/>
  <c r="BP453" i="2"/>
  <c r="BN453" i="2"/>
  <c r="Z453" i="2"/>
  <c r="BN463" i="2"/>
  <c r="BP463" i="2"/>
  <c r="Y24" i="2"/>
  <c r="Y25" i="2"/>
  <c r="BP28" i="2"/>
  <c r="Z31" i="2"/>
  <c r="BP35" i="2"/>
  <c r="Y36" i="2"/>
  <c r="Y37" i="2"/>
  <c r="BN43" i="2"/>
  <c r="BP53" i="2"/>
  <c r="BN55" i="2"/>
  <c r="BP55" i="2"/>
  <c r="BP56" i="2"/>
  <c r="Z63" i="2"/>
  <c r="Z67" i="2"/>
  <c r="BN67" i="2"/>
  <c r="BP67" i="2"/>
  <c r="BP73" i="2"/>
  <c r="Y81" i="2"/>
  <c r="Y82" i="2"/>
  <c r="Y90" i="2"/>
  <c r="BN85" i="2"/>
  <c r="BP85" i="2"/>
  <c r="BP86" i="2"/>
  <c r="Z93" i="2"/>
  <c r="BN93" i="2"/>
  <c r="BN94" i="2"/>
  <c r="BP94" i="2"/>
  <c r="BN95" i="2"/>
  <c r="BP95" i="2"/>
  <c r="BN100" i="2"/>
  <c r="Z101" i="2"/>
  <c r="BN101" i="2"/>
  <c r="BP103" i="2"/>
  <c r="Z115" i="2"/>
  <c r="BN115" i="2"/>
  <c r="Z122" i="2"/>
  <c r="Z123" i="2" s="1"/>
  <c r="Y124" i="2"/>
  <c r="Z143" i="2"/>
  <c r="BP149" i="2"/>
  <c r="Z153" i="2"/>
  <c r="Z163" i="2"/>
  <c r="Z164" i="2" s="1"/>
  <c r="BN163" i="2"/>
  <c r="BP163" i="2"/>
  <c r="Y164" i="2"/>
  <c r="BP167" i="2"/>
  <c r="BN169" i="2"/>
  <c r="BP169" i="2"/>
  <c r="BP170" i="2"/>
  <c r="Z173" i="2"/>
  <c r="BN173" i="2"/>
  <c r="Z177" i="2"/>
  <c r="BN178" i="2"/>
  <c r="Z183" i="2"/>
  <c r="BN183" i="2"/>
  <c r="BP198" i="2"/>
  <c r="BP203" i="2"/>
  <c r="Z206" i="2"/>
  <c r="BN206" i="2"/>
  <c r="Z210" i="2"/>
  <c r="BN210" i="2"/>
  <c r="Y212" i="2"/>
  <c r="Z216" i="2"/>
  <c r="BN216" i="2"/>
  <c r="Z220" i="2"/>
  <c r="BN220" i="2"/>
  <c r="Z226" i="2"/>
  <c r="BN226" i="2"/>
  <c r="Y229" i="2"/>
  <c r="Z234" i="2"/>
  <c r="Z235" i="2"/>
  <c r="BN235" i="2"/>
  <c r="BP239" i="2"/>
  <c r="BP244" i="2"/>
  <c r="Y245" i="2"/>
  <c r="Z248" i="2"/>
  <c r="Z249" i="2" s="1"/>
  <c r="BN248" i="2"/>
  <c r="BP248" i="2"/>
  <c r="Y249" i="2"/>
  <c r="BN254" i="2"/>
  <c r="Z255" i="2"/>
  <c r="BN255" i="2"/>
  <c r="Y257" i="2"/>
  <c r="BP262" i="2"/>
  <c r="BN265" i="2"/>
  <c r="Z271" i="2"/>
  <c r="BN271" i="2"/>
  <c r="Z279" i="2"/>
  <c r="Z280" i="2"/>
  <c r="BN280" i="2"/>
  <c r="Y281" i="2"/>
  <c r="BP291" i="2"/>
  <c r="BN291" i="2"/>
  <c r="Z291" i="2"/>
  <c r="BP296" i="2"/>
  <c r="BN296" i="2"/>
  <c r="Z296" i="2"/>
  <c r="Y302" i="2"/>
  <c r="BP304" i="2"/>
  <c r="BN304" i="2"/>
  <c r="Z304" i="2"/>
  <c r="BN313" i="2"/>
  <c r="Z313" i="2"/>
  <c r="BN348" i="2"/>
  <c r="Z348" i="2"/>
  <c r="BN354" i="2"/>
  <c r="BP354" i="2"/>
  <c r="Z365" i="2"/>
  <c r="BN364" i="2"/>
  <c r="BP364" i="2"/>
  <c r="BN368" i="2"/>
  <c r="BN378" i="2"/>
  <c r="Z378" i="2"/>
  <c r="BP392" i="2"/>
  <c r="BN392" i="2"/>
  <c r="Z392" i="2"/>
  <c r="BN393" i="2"/>
  <c r="BP397" i="2"/>
  <c r="BN397" i="2"/>
  <c r="Z397" i="2"/>
  <c r="BP413" i="2"/>
  <c r="BN415" i="2"/>
  <c r="BP415" i="2"/>
  <c r="BN416" i="2"/>
  <c r="Z416" i="2"/>
  <c r="BP428" i="2"/>
  <c r="BN428" i="2"/>
  <c r="Z428" i="2"/>
  <c r="BN429" i="2"/>
  <c r="BP433" i="2"/>
  <c r="BN433" i="2"/>
  <c r="Z433" i="2"/>
  <c r="BP436" i="2"/>
  <c r="BN438" i="2"/>
  <c r="BP438" i="2"/>
  <c r="BP443" i="2"/>
  <c r="BN443" i="2"/>
  <c r="Z443" i="2"/>
  <c r="Y455" i="2"/>
  <c r="Y458" i="2"/>
  <c r="BP457" i="2"/>
  <c r="BP470" i="2"/>
  <c r="Z470" i="2"/>
  <c r="Z292" i="2"/>
  <c r="BN290" i="2"/>
  <c r="Y292" i="2"/>
  <c r="Y301" i="2"/>
  <c r="BP320" i="2"/>
  <c r="BN322" i="2"/>
  <c r="BP322" i="2"/>
  <c r="BN329" i="2"/>
  <c r="BP329" i="2"/>
  <c r="BN333" i="2"/>
  <c r="Y336" i="2"/>
  <c r="BP358" i="2"/>
  <c r="Y360" i="2"/>
  <c r="Y361" i="2"/>
  <c r="Y366" i="2"/>
  <c r="Y440" i="2"/>
  <c r="BN484" i="2"/>
  <c r="BP484" i="2"/>
  <c r="Y487" i="2"/>
  <c r="Y492" i="2"/>
  <c r="X497" i="2"/>
  <c r="Y145" i="2"/>
  <c r="BP144" i="2"/>
  <c r="BN144" i="2"/>
  <c r="H503" i="2"/>
  <c r="BP209" i="2"/>
  <c r="BN209" i="2"/>
  <c r="Z209" i="2"/>
  <c r="BP384" i="2"/>
  <c r="BN384" i="2"/>
  <c r="Z384" i="2"/>
  <c r="D503" i="2"/>
  <c r="Y59" i="2"/>
  <c r="BN52" i="2"/>
  <c r="Z52" i="2"/>
  <c r="Y446" i="2"/>
  <c r="BP442" i="2"/>
  <c r="Y445" i="2"/>
  <c r="BN442" i="2"/>
  <c r="Z442" i="2"/>
  <c r="Z445" i="2" s="1"/>
  <c r="BN109" i="2"/>
  <c r="BP109" i="2"/>
  <c r="BP118" i="2"/>
  <c r="BN118" i="2"/>
  <c r="Z118" i="2"/>
  <c r="BN132" i="2"/>
  <c r="BP132" i="2"/>
  <c r="Y135" i="2"/>
  <c r="Y134" i="2"/>
  <c r="BP194" i="2"/>
  <c r="BN194" i="2"/>
  <c r="J503" i="2"/>
  <c r="Y223" i="2"/>
  <c r="Y224" i="2"/>
  <c r="BP215" i="2"/>
  <c r="BN215" i="2"/>
  <c r="Z215" i="2"/>
  <c r="Y76" i="2"/>
  <c r="BP72" i="2"/>
  <c r="Z72" i="2"/>
  <c r="Z109" i="2"/>
  <c r="G503" i="2"/>
  <c r="Z132" i="2"/>
  <c r="Z134" i="2" s="1"/>
  <c r="BP168" i="2"/>
  <c r="BN168" i="2"/>
  <c r="I503" i="2"/>
  <c r="Z194" i="2"/>
  <c r="BN75" i="2"/>
  <c r="BP75" i="2"/>
  <c r="BP52" i="2"/>
  <c r="Z168" i="2"/>
  <c r="Y473" i="2"/>
  <c r="Y472" i="2"/>
  <c r="BP471" i="2"/>
  <c r="BN471" i="2"/>
  <c r="BN27" i="2"/>
  <c r="Z27" i="2"/>
  <c r="Z32" i="2" s="1"/>
  <c r="Y32" i="2"/>
  <c r="BN72" i="2"/>
  <c r="Y77" i="2"/>
  <c r="Y242" i="2"/>
  <c r="Y241" i="2"/>
  <c r="BP232" i="2"/>
  <c r="K503" i="2"/>
  <c r="BN232" i="2"/>
  <c r="BP373" i="2"/>
  <c r="BN373" i="2"/>
  <c r="T503" i="2"/>
  <c r="Z373" i="2"/>
  <c r="Z375" i="2" s="1"/>
  <c r="Y376" i="2"/>
  <c r="Y375" i="2"/>
  <c r="BP396" i="2"/>
  <c r="BN396" i="2"/>
  <c r="Z396" i="2"/>
  <c r="Z471" i="2"/>
  <c r="Z472" i="2" s="1"/>
  <c r="Y119" i="2"/>
  <c r="Y146" i="2"/>
  <c r="Y380" i="2"/>
  <c r="BP379" i="2"/>
  <c r="BN379" i="2"/>
  <c r="BP437" i="2"/>
  <c r="BN437" i="2"/>
  <c r="Y64" i="2"/>
  <c r="BP270" i="2"/>
  <c r="BN270" i="2"/>
  <c r="Z270" i="2"/>
  <c r="M503" i="2"/>
  <c r="Y275" i="2"/>
  <c r="Y274" i="2"/>
  <c r="Z379" i="2"/>
  <c r="Z380" i="2" s="1"/>
  <c r="Z437" i="2"/>
  <c r="BP452" i="2"/>
  <c r="BN452" i="2"/>
  <c r="Z452" i="2"/>
  <c r="BP27" i="2"/>
  <c r="Y189" i="2"/>
  <c r="BP188" i="2"/>
  <c r="BN188" i="2"/>
  <c r="Q503" i="2"/>
  <c r="Y331" i="2"/>
  <c r="Y330" i="2"/>
  <c r="BP326" i="2"/>
  <c r="BN326" i="2"/>
  <c r="Z326" i="2"/>
  <c r="Z330" i="2" s="1"/>
  <c r="V503" i="2"/>
  <c r="Y418" i="2"/>
  <c r="BP414" i="2"/>
  <c r="BN414" i="2"/>
  <c r="Y186" i="2"/>
  <c r="BP182" i="2"/>
  <c r="Y185" i="2"/>
  <c r="BN182" i="2"/>
  <c r="Z182" i="2"/>
  <c r="Y311" i="2"/>
  <c r="BP305" i="2"/>
  <c r="BN305" i="2"/>
  <c r="Z305" i="2"/>
  <c r="Y310" i="2"/>
  <c r="X494" i="2"/>
  <c r="Y120" i="2"/>
  <c r="BP116" i="2"/>
  <c r="Z116" i="2"/>
  <c r="Z414" i="2"/>
  <c r="Z417" i="2" s="1"/>
  <c r="Y48" i="2"/>
  <c r="BP47" i="2"/>
  <c r="BN47" i="2"/>
  <c r="Z47" i="2"/>
  <c r="Z48" i="2" s="1"/>
  <c r="Y97" i="2"/>
  <c r="Y96" i="2"/>
  <c r="BN92" i="2"/>
  <c r="Y356" i="2"/>
  <c r="BP350" i="2"/>
  <c r="BN350" i="2"/>
  <c r="Z350" i="2"/>
  <c r="S503" i="2"/>
  <c r="Y355" i="2"/>
  <c r="BP172" i="2"/>
  <c r="BN172" i="2"/>
  <c r="Z172" i="2"/>
  <c r="C503" i="2"/>
  <c r="Y45" i="2"/>
  <c r="BP41" i="2"/>
  <c r="Y44" i="2"/>
  <c r="BN41" i="2"/>
  <c r="Z41" i="2"/>
  <c r="Z44" i="2" s="1"/>
  <c r="BP236" i="2"/>
  <c r="BN236" i="2"/>
  <c r="Z236" i="2"/>
  <c r="BP54" i="2"/>
  <c r="BN54" i="2"/>
  <c r="Z92" i="2"/>
  <c r="Z96" i="2" s="1"/>
  <c r="BN116" i="2"/>
  <c r="Y381" i="2"/>
  <c r="Y387" i="2"/>
  <c r="BP432" i="2"/>
  <c r="BN432" i="2"/>
  <c r="Z432" i="2"/>
  <c r="X495" i="2"/>
  <c r="Z54" i="2"/>
  <c r="BP68" i="2"/>
  <c r="BN68" i="2"/>
  <c r="Z68" i="2"/>
  <c r="Z69" i="2" s="1"/>
  <c r="Y70" i="2"/>
  <c r="BP74" i="2"/>
  <c r="BN74" i="2"/>
  <c r="Z74" i="2"/>
  <c r="Z145" i="2"/>
  <c r="BP315" i="2"/>
  <c r="BN315" i="2"/>
  <c r="Z315" i="2"/>
  <c r="Z317" i="2" s="1"/>
  <c r="Y318" i="2"/>
  <c r="Y317" i="2"/>
  <c r="BP80" i="2"/>
  <c r="BN80" i="2"/>
  <c r="Z80" i="2"/>
  <c r="Z81" i="2" s="1"/>
  <c r="Y106" i="2"/>
  <c r="Y190" i="2"/>
  <c r="Y201" i="2"/>
  <c r="Y200" i="2"/>
  <c r="BP199" i="2"/>
  <c r="BN199" i="2"/>
  <c r="Z199" i="2"/>
  <c r="BP321" i="2"/>
  <c r="BN321" i="2"/>
  <c r="Y401" i="2"/>
  <c r="B503" i="2"/>
  <c r="BP23" i="2"/>
  <c r="BN23" i="2"/>
  <c r="Z23" i="2"/>
  <c r="Z24" i="2" s="1"/>
  <c r="BP92" i="2"/>
  <c r="BP137" i="2"/>
  <c r="BN137" i="2"/>
  <c r="Z137" i="2"/>
  <c r="Z139" i="2" s="1"/>
  <c r="Z321" i="2"/>
  <c r="Z323" i="2" s="1"/>
  <c r="BP476" i="2"/>
  <c r="BN476" i="2"/>
  <c r="Z476" i="2"/>
  <c r="BN62" i="2"/>
  <c r="Z62" i="2"/>
  <c r="Z64" i="2" s="1"/>
  <c r="BP176" i="2"/>
  <c r="BN176" i="2"/>
  <c r="Z176" i="2"/>
  <c r="BP29" i="2"/>
  <c r="BN29" i="2"/>
  <c r="BP87" i="2"/>
  <c r="BN87" i="2"/>
  <c r="Y113" i="2"/>
  <c r="Y112" i="2"/>
  <c r="BP108" i="2"/>
  <c r="BN108" i="2"/>
  <c r="Z108" i="2"/>
  <c r="Z112" i="2" s="1"/>
  <c r="Y211" i="2"/>
  <c r="BP205" i="2"/>
  <c r="BN205" i="2"/>
  <c r="Z205" i="2"/>
  <c r="BP43" i="2"/>
  <c r="Y65" i="2"/>
  <c r="BP100" i="2"/>
  <c r="BP110" i="2"/>
  <c r="BP133" i="2"/>
  <c r="Y155" i="2"/>
  <c r="BP178" i="2"/>
  <c r="Z219" i="2"/>
  <c r="BP221" i="2"/>
  <c r="Z240" i="2"/>
  <c r="Z252" i="2"/>
  <c r="BP254" i="2"/>
  <c r="Z263" i="2"/>
  <c r="BP265" i="2"/>
  <c r="BP290" i="2"/>
  <c r="Z299" i="2"/>
  <c r="Z309" i="2"/>
  <c r="BP333" i="2"/>
  <c r="Z342" i="2"/>
  <c r="Z354" i="2"/>
  <c r="BP368" i="2"/>
  <c r="Z391" i="2"/>
  <c r="BP393" i="2"/>
  <c r="BP403" i="2"/>
  <c r="Y417" i="2"/>
  <c r="Z427" i="2"/>
  <c r="BP429" i="2"/>
  <c r="BP449" i="2"/>
  <c r="Z457" i="2"/>
  <c r="Z458" i="2" s="1"/>
  <c r="Y486" i="2"/>
  <c r="L503" i="2"/>
  <c r="Y258" i="2"/>
  <c r="Y337" i="2"/>
  <c r="Z85" i="2"/>
  <c r="Z89" i="2" s="1"/>
  <c r="Y179" i="2"/>
  <c r="BN219" i="2"/>
  <c r="BN240" i="2"/>
  <c r="BN252" i="2"/>
  <c r="BN263" i="2"/>
  <c r="Y266" i="2"/>
  <c r="Z286" i="2"/>
  <c r="Z287" i="2" s="1"/>
  <c r="Y369" i="2"/>
  <c r="BN391" i="2"/>
  <c r="BN427" i="2"/>
  <c r="BN457" i="2"/>
  <c r="Y482" i="2"/>
  <c r="Y467" i="2"/>
  <c r="O503" i="2"/>
  <c r="Z174" i="2"/>
  <c r="Z207" i="2"/>
  <c r="Z217" i="2"/>
  <c r="Z227" i="2"/>
  <c r="Z228" i="2" s="1"/>
  <c r="Z238" i="2"/>
  <c r="Z261" i="2"/>
  <c r="Z352" i="2"/>
  <c r="Z184" i="2"/>
  <c r="Z272" i="2"/>
  <c r="Z297" i="2"/>
  <c r="Z307" i="2"/>
  <c r="Z340" i="2"/>
  <c r="Y180" i="2"/>
  <c r="Y195" i="2"/>
  <c r="Y267" i="2"/>
  <c r="Z278" i="2"/>
  <c r="Z281" i="2" s="1"/>
  <c r="Y370" i="2"/>
  <c r="Y477" i="2"/>
  <c r="BN174" i="2"/>
  <c r="BN184" i="2"/>
  <c r="BN207" i="2"/>
  <c r="BN217" i="2"/>
  <c r="BN227" i="2"/>
  <c r="BN238" i="2"/>
  <c r="BN261" i="2"/>
  <c r="BN272" i="2"/>
  <c r="BN297" i="2"/>
  <c r="BN307" i="2"/>
  <c r="BN340" i="2"/>
  <c r="Y343" i="2"/>
  <c r="BN352" i="2"/>
  <c r="Y468" i="2"/>
  <c r="R503" i="2"/>
  <c r="Y196" i="2"/>
  <c r="BP227" i="2"/>
  <c r="Y287" i="2"/>
  <c r="BP297" i="2"/>
  <c r="BP340" i="2"/>
  <c r="Y365" i="2"/>
  <c r="Y400" i="2"/>
  <c r="Z465" i="2"/>
  <c r="Y478" i="2"/>
  <c r="Z102" i="2"/>
  <c r="Z105" i="2" s="1"/>
  <c r="Z193" i="2"/>
  <c r="Z195" i="2" s="1"/>
  <c r="Y228" i="2"/>
  <c r="Z256" i="2"/>
  <c r="Z335" i="2"/>
  <c r="Z336" i="2" s="1"/>
  <c r="Z383" i="2"/>
  <c r="Z395" i="2"/>
  <c r="Z431" i="2"/>
  <c r="Z451" i="2"/>
  <c r="Z454" i="2" s="1"/>
  <c r="BN465" i="2"/>
  <c r="Z475" i="2"/>
  <c r="F9" i="2"/>
  <c r="Z73" i="2"/>
  <c r="Y89" i="2"/>
  <c r="Z117" i="2"/>
  <c r="Z175" i="2"/>
  <c r="BP177" i="2"/>
  <c r="Z198" i="2"/>
  <c r="Z200" i="2" s="1"/>
  <c r="Z208" i="2"/>
  <c r="Z218" i="2"/>
  <c r="Z239" i="2"/>
  <c r="Z262" i="2"/>
  <c r="Z273" i="2"/>
  <c r="Y288" i="2"/>
  <c r="Z298" i="2"/>
  <c r="Z308" i="2"/>
  <c r="BN320" i="2"/>
  <c r="Y323" i="2"/>
  <c r="Z341" i="2"/>
  <c r="Z353" i="2"/>
  <c r="Y439" i="2"/>
  <c r="BP448" i="2"/>
  <c r="BN470" i="2"/>
  <c r="Z480" i="2"/>
  <c r="Z481" i="2" s="1"/>
  <c r="H9" i="2"/>
  <c r="Y105" i="2"/>
  <c r="BN148" i="2"/>
  <c r="BN193" i="2"/>
  <c r="BN256" i="2"/>
  <c r="Y293" i="2"/>
  <c r="BN335" i="2"/>
  <c r="BN383" i="2"/>
  <c r="Y386" i="2"/>
  <c r="BN395" i="2"/>
  <c r="Y406" i="2"/>
  <c r="BN431" i="2"/>
  <c r="BN451" i="2"/>
  <c r="Z463" i="2"/>
  <c r="BN475" i="2"/>
  <c r="Z485" i="2"/>
  <c r="Z486" i="2" s="1"/>
  <c r="Y491" i="2"/>
  <c r="E503" i="2"/>
  <c r="X503" i="2"/>
  <c r="U503" i="2"/>
  <c r="Z148" i="2"/>
  <c r="Z154" i="2" s="1"/>
  <c r="F503" i="2"/>
  <c r="Y503" i="2"/>
  <c r="BN102" i="2"/>
  <c r="J9" i="2"/>
  <c r="Z257" i="2" l="1"/>
  <c r="Y497" i="2"/>
  <c r="Y493" i="2"/>
  <c r="Z185" i="2"/>
  <c r="Z301" i="2"/>
  <c r="Z266" i="2"/>
  <c r="Z211" i="2"/>
  <c r="Y494" i="2"/>
  <c r="Z119" i="2"/>
  <c r="Z223" i="2"/>
  <c r="Z76" i="2"/>
  <c r="Z477" i="2"/>
  <c r="Z439" i="2"/>
  <c r="X496" i="2"/>
  <c r="Z274" i="2"/>
  <c r="Z343" i="2"/>
  <c r="Z355" i="2"/>
  <c r="Z179" i="2"/>
  <c r="Z400" i="2"/>
  <c r="Z310" i="2"/>
  <c r="Y495" i="2"/>
  <c r="Y496" i="2" s="1"/>
  <c r="Z386" i="2"/>
  <c r="Z241" i="2"/>
  <c r="Z58" i="2"/>
  <c r="Z467" i="2"/>
  <c r="Z498" i="2" l="1"/>
</calcChain>
</file>

<file path=xl/sharedStrings.xml><?xml version="1.0" encoding="utf-8"?>
<sst xmlns="http://schemas.openxmlformats.org/spreadsheetml/2006/main" count="3633" uniqueCount="775">
  <si>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</si>
  <si>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</si>
  <si>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</si>
  <si>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</si>
  <si>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</si>
  <si>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</si>
  <si>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</si>
  <si>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</si>
  <si>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</si>
  <si>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</si>
  <si>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</si>
  <si>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</si>
  <si>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</si>
  <si>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</si>
  <si>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</si>
  <si>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</si>
  <si>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</si>
  <si>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</si>
  <si>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</si>
  <si>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</si>
  <si>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</si>
  <si>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</si>
  <si>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</si>
  <si>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</si>
  <si>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</si>
  <si>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</si>
  <si>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</si>
  <si>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</si>
  <si>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</si>
  <si>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</si>
  <si>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</si>
  <si>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</si>
  <si>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</si>
  <si>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</si>
  <si>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</si>
  <si>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</si>
  <si>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</si>
  <si>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</si>
  <si>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</si>
  <si>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</si>
  <si>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</si>
  <si>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</si>
  <si>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</si>
  <si>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</si>
  <si>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</si>
  <si>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</si>
  <si>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</si>
  <si>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</si>
  <si>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</si>
  <si>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</si>
  <si>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</si>
  <si>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</si>
  <si>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</si>
  <si>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</si>
  <si>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</si>
  <si>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</si>
  <si>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</si>
  <si>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</si>
  <si>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</si>
  <si>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</si>
  <si>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</si>
  <si>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</si>
  <si>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</si>
  <si>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</si>
  <si>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</si>
  <si>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</si>
  <si>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</si>
  <si>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</si>
  <si>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23.12.2025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</si>
  <si>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</si>
  <si>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</si>
  <si>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</si>
  <si>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</si>
  <si>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</si>
  <si>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</si>
  <si>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</si>
  <si>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</si>
  <si>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</si>
  <si>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</si>
  <si>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</si>
  <si>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</si>
  <si>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</si>
  <si>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</si>
  <si>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</si>
  <si>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</si>
  <si>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</si>
  <si>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</si>
  <si>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</si>
  <si>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</si>
  <si>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</si>
  <si>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</si>
  <si>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</si>
  <si>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</si>
  <si>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</si>
  <si>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</si>
  <si>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</si>
  <si>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</si>
  <si>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</si>
  <si>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</si>
  <si>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</si>
  <si>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</si>
  <si>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</si>
  <si>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</si>
  <si>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</si>
  <si>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</si>
  <si>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</si>
  <si>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</si>
  <si>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</si>
  <si>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</si>
  <si>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</si>
  <si>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</si>
  <si>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</si>
  <si>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</si>
  <si>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</si>
  <si>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</si>
  <si>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</si>
  <si>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</si>
  <si>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</si>
  <si>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</si>
  <si>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</si>
  <si>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</si>
  <si>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</si>
  <si>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</si>
  <si>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</si>
  <si>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</si>
  <si>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</si>
  <si>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</si>
  <si>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</si>
  <si>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</si>
  <si>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</si>
  <si>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</si>
  <si>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</si>
  <si>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</si>
  <si>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</si>
  <si>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</si>
  <si>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</si>
  <si>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</si>
  <si>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</si>
  <si>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</si>
  <si>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</si>
  <si>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</si>
  <si>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</si>
  <si>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</si>
  <si>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</si>
  <si>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</si>
  <si>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</si>
  <si>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</si>
  <si>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</si>
  <si>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</si>
  <si>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</si>
  <si>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</si>
  <si>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</si>
  <si>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</si>
  <si>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</si>
  <si>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</si>
  <si>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</si>
  <si>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</si>
  <si>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</si>
  <si>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</si>
  <si>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</si>
  <si>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</si>
  <si>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</si>
  <si>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</si>
  <si>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</si>
  <si>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</si>
  <si>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</si>
  <si>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</si>
  <si>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</si>
  <si>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</si>
  <si>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</si>
  <si>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</si>
  <si>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</si>
  <si>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</si>
  <si>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</si>
  <si>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</si>
  <si>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</si>
  <si>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</si>
  <si>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</si>
  <si>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</si>
  <si>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</si>
  <si>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</si>
  <si>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</si>
  <si>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</si>
  <si>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</si>
  <si>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</si>
  <si>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</si>
  <si>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</si>
  <si>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</si>
  <si>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</si>
  <si>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</si>
  <si>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</si>
  <si>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</si>
  <si>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</si>
  <si>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</si>
  <si>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</si>
  <si>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</si>
  <si>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</si>
  <si>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</si>
  <si>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</si>
  <si>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</si>
  <si>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</si>
  <si>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</si>
  <si>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</si>
  <si>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</si>
  <si>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</si>
  <si>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</si>
  <si>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</si>
  <si>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</si>
  <si>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</si>
  <si>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</si>
  <si>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</si>
  <si>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</si>
  <si>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</si>
  <si>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</si>
  <si>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</si>
  <si>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</si>
  <si>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</si>
  <si>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</si>
  <si>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</si>
  <si>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</si>
  <si>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</si>
  <si>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</si>
  <si>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</si>
  <si>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</si>
  <si>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</si>
  <si>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</si>
  <si>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</si>
  <si>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</si>
  <si>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</si>
  <si>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</si>
  <si>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</si>
  <si>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</si>
  <si>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</si>
  <si>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</si>
  <si>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</si>
  <si>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</si>
  <si>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</si>
  <si>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</si>
  <si>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</si>
  <si>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</si>
  <si>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</si>
  <si>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</si>
  <si>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</si>
  <si>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</si>
  <si>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</si>
  <si>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</si>
  <si>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</si>
  <si>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</si>
  <si>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</si>
  <si>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</si>
  <si>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</si>
  <si>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</si>
  <si>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</si>
  <si>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</si>
  <si>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</si>
  <si>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</si>
  <si>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</si>
  <si>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</si>
  <si>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</si>
  <si>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</si>
  <si>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Новинка</t>
  </si>
  <si>
    <t>SU004044</t>
  </si>
  <si>
    <t>P005168</t>
  </si>
  <si>
    <t>ЕАЭС N RU Д-RU.РА11.В.22922/25</t>
  </si>
  <si>
    <t>SU004047</t>
  </si>
  <si>
    <t>P005171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</si>
  <si>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</si>
  <si>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</si>
  <si>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</si>
  <si>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</si>
  <si>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</si>
  <si>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</si>
  <si>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</si>
  <si>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</si>
  <si>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</si>
  <si>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</si>
  <si>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</si>
  <si>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</si>
  <si>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</si>
  <si>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</si>
  <si>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</si>
  <si>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</si>
  <si>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</si>
  <si>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</si>
  <si>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</si>
  <si>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</si>
  <si>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</si>
  <si>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</si>
  <si>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</si>
  <si>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</si>
  <si>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</si>
  <si>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</si>
  <si>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</si>
  <si>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</si>
  <si>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</si>
  <si>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</si>
  <si>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</si>
  <si>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</si>
  <si>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</si>
  <si>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</si>
  <si>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</si>
  <si>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</si>
  <si>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</si>
  <si>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</si>
  <si>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</si>
  <si>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</si>
  <si>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</si>
  <si>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</si>
  <si>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</si>
  <si>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</si>
  <si>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</si>
  <si>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</si>
  <si>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</si>
  <si>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</si>
  <si>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</si>
  <si>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</si>
  <si>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</si>
  <si>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</si>
  <si>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</si>
  <si>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</si>
  <si>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</si>
  <si>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</si>
  <si>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</si>
  <si>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</si>
  <si>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</si>
  <si>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</si>
  <si>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</si>
  <si>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</si>
  <si>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</si>
  <si>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</si>
  <si>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</si>
  <si>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</si>
  <si>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</si>
  <si>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</si>
  <si>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</si>
  <si>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</si>
  <si>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</si>
  <si>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</si>
  <si>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</si>
  <si>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</si>
  <si>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</si>
  <si>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</si>
  <si>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</si>
  <si>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</si>
  <si>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</si>
  <si>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</si>
  <si>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</si>
  <si>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</si>
  <si>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</si>
  <si>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</si>
  <si>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</si>
  <si>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</si>
  <si>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</si>
  <si>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</si>
  <si>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</si>
  <si>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</si>
  <si>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</si>
  <si>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</si>
  <si>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</si>
  <si>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</si>
  <si>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</si>
  <si>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</si>
  <si>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</si>
  <si>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</si>
  <si>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</si>
  <si>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</si>
  <si>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</si>
  <si>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</si>
  <si>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</si>
  <si>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</si>
  <si>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</si>
  <si>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</si>
  <si>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</si>
  <si>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</si>
  <si>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</si>
  <si>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</si>
  <si>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</si>
  <si>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</si>
  <si>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</si>
  <si>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</si>
  <si>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</si>
  <si>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</si>
  <si>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</si>
  <si>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</si>
  <si>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</si>
  <si>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</si>
  <si>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</si>
  <si>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</si>
  <si>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</si>
  <si>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</si>
  <si>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</si>
  <si>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</si>
  <si>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</si>
  <si>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</si>
  <si>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</si>
  <si>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</si>
  <si>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</si>
  <si>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</si>
  <si>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</si>
  <si>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</si>
  <si>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</si>
  <si>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</si>
  <si>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</si>
  <si>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</si>
  <si>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</si>
  <si>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</si>
  <si>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</si>
  <si>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</si>
  <si>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</si>
  <si>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</si>
  <si>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</si>
  <si>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</si>
  <si>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</si>
  <si>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</si>
  <si>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</si>
  <si>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</si>
  <si>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</si>
  <si>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</si>
  <si>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</si>
  <si>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</si>
  <si>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</si>
  <si>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</si>
  <si>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</si>
  <si>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</si>
  <si>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</si>
  <si>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</si>
  <si>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</si>
  <si>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</si>
  <si>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</si>
  <si>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</si>
  <si>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</si>
  <si>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</si>
  <si>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</si>
  <si>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</si>
  <si>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</si>
  <si>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</si>
  <si>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</si>
  <si>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</si>
  <si>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</si>
  <si>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</si>
  <si>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</si>
  <si>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</si>
  <si>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</si>
  <si>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</si>
  <si>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</si>
  <si>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</si>
  <si>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</si>
  <si>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</si>
  <si>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</si>
  <si>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</si>
  <si>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</si>
  <si>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</si>
  <si>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</si>
  <si>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</si>
  <si>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</si>
  <si>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</si>
  <si>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</si>
  <si>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</si>
  <si>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</si>
  <si>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</si>
  <si>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</si>
  <si>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</si>
  <si>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</si>
  <si>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</si>
  <si>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</si>
  <si>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</si>
  <si>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</si>
  <si>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</si>
  <si>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</si>
  <si>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</si>
  <si>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</si>
  <si>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</si>
  <si>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</si>
  <si>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</si>
  <si>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</si>
  <si>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</si>
  <si>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</si>
  <si>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</si>
  <si>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</si>
  <si>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</si>
  <si>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</si>
  <si>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</si>
  <si>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</si>
  <si>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</si>
  <si>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</si>
  <si>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</si>
  <si>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</si>
  <si>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</si>
  <si>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</si>
  <si>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</si>
  <si>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</si>
  <si>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</si>
  <si>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</si>
  <si>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</si>
  <si>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</si>
  <si>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</si>
  <si>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</si>
  <si>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</si>
  <si>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</si>
  <si>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</si>
  <si>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</si>
  <si>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</si>
  <si>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</si>
  <si>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</si>
  <si>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</si>
  <si>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</si>
  <si>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</si>
  <si>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</si>
  <si>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</si>
  <si>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</si>
  <si>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</si>
  <si>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</si>
  <si>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</si>
  <si>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</si>
  <si>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</si>
  <si>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</si>
  <si>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</si>
  <si>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</si>
  <si>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</si>
  <si>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</si>
  <si>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</si>
  <si>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</si>
  <si>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</si>
  <si>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</si>
  <si>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</si>
  <si>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</si>
  <si>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</si>
  <si>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</si>
  <si>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</si>
  <si>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</si>
  <si>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</si>
  <si>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</si>
  <si>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</si>
  <si>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</si>
  <si>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</si>
  <si>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</si>
  <si>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</si>
  <si>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</si>
  <si>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</si>
  <si>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</si>
  <si>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</si>
  <si>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</si>
  <si>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</si>
  <si>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</si>
  <si>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</si>
  <si>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</si>
  <si>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</si>
  <si>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</si>
  <si>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</si>
  <si>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</si>
  <si>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</si>
  <si>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</si>
  <si>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</si>
  <si>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</si>
  <si>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</si>
  <si>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</si>
  <si>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</si>
  <si>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</si>
  <si>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</si>
  <si>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</si>
  <si>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</si>
  <si>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</si>
  <si>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</si>
  <si>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</si>
  <si>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</si>
  <si>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</si>
  <si>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</si>
  <si>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</si>
  <si>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</si>
  <si>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</si>
  <si>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</si>
  <si>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</si>
  <si>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</si>
  <si>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</si>
  <si>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</si>
  <si>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</si>
  <si>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</si>
  <si>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</si>
  <si>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</si>
  <si>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</si>
  <si>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</si>
  <si>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</si>
  <si>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</si>
  <si>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</si>
  <si>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</si>
  <si>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</si>
  <si>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</si>
  <si>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</si>
  <si>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</si>
  <si>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</si>
  <si>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</si>
  <si>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</si>
  <si>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</si>
  <si>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</si>
  <si>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</si>
  <si>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</si>
  <si>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</si>
  <si>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</si>
  <si>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</si>
  <si>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</si>
  <si>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</si>
  <si>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</si>
  <si>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</si>
  <si>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</si>
  <si>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</si>
  <si>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</si>
  <si>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</si>
  <si>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</si>
  <si>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</si>
  <si>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</si>
  <si>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</si>
  <si>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</si>
  <si>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</si>
  <si>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</si>
  <si>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</si>
  <si>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</si>
  <si>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</si>
  <si>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</si>
  <si>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</si>
  <si>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</si>
  <si>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</si>
  <si>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</si>
  <si>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</si>
  <si>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</si>
  <si>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</si>
  <si>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</si>
  <si>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</si>
  <si>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</si>
  <si>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</si>
  <si>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</si>
  <si>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</si>
  <si>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</si>
  <si>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</si>
  <si>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</si>
  <si>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</si>
  <si>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</si>
  <si>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</si>
  <si>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</si>
  <si>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</si>
  <si>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</si>
  <si>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</si>
  <si>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</si>
  <si>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</si>
  <si>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</si>
  <si>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</si>
  <si>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</si>
  <si>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</si>
  <si>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</si>
  <si>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</si>
  <si>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</si>
  <si>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</si>
  <si>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</si>
  <si>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</si>
  <si>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</si>
  <si>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</si>
  <si>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</si>
  <si>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</si>
  <si>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</si>
  <si>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</si>
  <si>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</si>
  <si>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</si>
  <si>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</si>
  <si>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</si>
  <si>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</si>
  <si>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</si>
  <si>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</si>
  <si>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</si>
  <si>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</si>
  <si>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</si>
  <si>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</si>
  <si>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</si>
  <si>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</si>
  <si>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</si>
  <si>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</si>
  <si>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</si>
  <si>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</si>
  <si>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</si>
  <si>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</si>
  <si>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</si>
  <si>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</si>
  <si>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</si>
  <si>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</si>
  <si>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</si>
  <si>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</si>
  <si>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</si>
  <si>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</si>
  <si>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</si>
  <si>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</si>
  <si>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</si>
  <si>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</si>
  <si>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</si>
  <si>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</si>
  <si>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</si>
  <si>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</si>
  <si>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</si>
  <si>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</si>
  <si>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</si>
  <si>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</si>
  <si>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</si>
  <si>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</si>
  <si>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</si>
  <si>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</si>
  <si>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</si>
  <si>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</si>
  <si>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</si>
  <si>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</si>
  <si>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</si>
  <si>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</si>
  <si>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</si>
  <si>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</si>
  <si>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</si>
  <si>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</si>
  <si>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</si>
  <si>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</si>
  <si>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</si>
  <si>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</si>
  <si>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</si>
  <si>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</si>
  <si>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</si>
  <si>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</si>
  <si>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</si>
  <si>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</si>
  <si>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</si>
  <si>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</si>
  <si>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</si>
  <si>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</si>
  <si>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</si>
  <si>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</si>
  <si>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</si>
  <si>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</si>
  <si>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</si>
  <si>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</si>
  <si>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</si>
  <si>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</si>
  <si>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</si>
  <si>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</si>
  <si>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</si>
  <si>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</si>
  <si>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</si>
  <si>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</si>
  <si>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</si>
  <si>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</si>
  <si>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</si>
  <si>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27.12.2025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</si>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</sst>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46017</v>
      </c>
      <c r="R5" s="565"/>
      <c r="T5" s="566" t="s">
        <v>3</v>
      </c>
      <c r="U5" s="567"/>
      <c r="V5" s="568" t="s">
        <v>761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Пятница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0.375</v>
      </c>
      <c r="R8" s="585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6"/>
      <c r="C9" s="586"/>
      <c r="D9" s="587" t="s">
        <v>45</v>
      </c>
      <c r="E9" s="588"/>
      <c r="F9" s="5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6"/>
      <c r="H9" s="589" t="str">
        <f>IF(AND($A$9="Тип доверенности/получателя при получении в адресе перегруза:",$D$9="Разовая доверенность"),"Введите ФИО","")</f>
        <v/>
      </c>
      <c r="I9" s="589"/>
      <c r="J9" s="5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9"/>
      <c r="L9" s="589"/>
      <c r="M9" s="589"/>
      <c r="N9" s="70"/>
      <c r="P9" s="31" t="s">
        <v>15</v>
      </c>
      <c r="Q9" s="590"/>
      <c r="R9" s="590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6"/>
      <c r="C10" s="586"/>
      <c r="D10" s="587"/>
      <c r="E10" s="588"/>
      <c r="F10" s="5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6"/>
      <c r="H10" s="591" t="str">
        <f>IFERROR(VLOOKUP($D$10,Proxy,2,FALSE),"")</f>
        <v/>
      </c>
      <c r="I10" s="591"/>
      <c r="J10" s="591"/>
      <c r="K10" s="591"/>
      <c r="L10" s="591"/>
      <c r="M10" s="591"/>
      <c r="N10" s="71"/>
      <c r="P10" s="31" t="s">
        <v>32</v>
      </c>
      <c r="Q10" s="592"/>
      <c r="R10" s="592"/>
      <c r="U10" s="29" t="s">
        <v>12</v>
      </c>
      <c r="V10" s="593" t="s">
        <v>70</v>
      </c>
      <c r="W10" s="59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5"/>
      <c r="R11" s="595"/>
      <c r="U11" s="29" t="s">
        <v>28</v>
      </c>
      <c r="V11" s="596" t="s">
        <v>54</v>
      </c>
      <c r="W11" s="59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7" t="s">
        <v>71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76"/>
      <c r="P12" s="27" t="s">
        <v>30</v>
      </c>
      <c r="Q12" s="585"/>
      <c r="R12" s="585"/>
      <c r="S12" s="28"/>
      <c r="T12"/>
      <c r="U12" s="29" t="s">
        <v>45</v>
      </c>
      <c r="V12" s="598"/>
      <c r="W12" s="598"/>
      <c r="X12"/>
      <c r="AB12" s="59"/>
      <c r="AC12" s="59"/>
      <c r="AD12" s="59"/>
      <c r="AE12" s="59"/>
    </row>
    <row r="13" spans="1:32" s="17" customFormat="1" ht="23.25" customHeight="1" x14ac:dyDescent="0.2">
      <c r="A13" s="597" t="s">
        <v>72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76"/>
      <c r="O13" s="31"/>
      <c r="P13" s="31" t="s">
        <v>31</v>
      </c>
      <c r="Q13" s="596"/>
      <c r="R13" s="59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7" t="s">
        <v>73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9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9" t="s">
        <v>74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99"/>
      <c r="N15" s="77"/>
      <c r="O15"/>
      <c r="P15" s="600" t="s">
        <v>60</v>
      </c>
      <c r="Q15" s="600"/>
      <c r="R15" s="600"/>
      <c r="S15" s="600"/>
      <c r="T15" s="60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1"/>
      <c r="Q16" s="601"/>
      <c r="R16" s="601"/>
      <c r="S16" s="601"/>
      <c r="T16" s="6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4" t="s">
        <v>58</v>
      </c>
      <c r="B17" s="604" t="s">
        <v>48</v>
      </c>
      <c r="C17" s="606" t="s">
        <v>47</v>
      </c>
      <c r="D17" s="608" t="s">
        <v>49</v>
      </c>
      <c r="E17" s="609"/>
      <c r="F17" s="604" t="s">
        <v>21</v>
      </c>
      <c r="G17" s="604" t="s">
        <v>24</v>
      </c>
      <c r="H17" s="604" t="s">
        <v>22</v>
      </c>
      <c r="I17" s="604" t="s">
        <v>23</v>
      </c>
      <c r="J17" s="604" t="s">
        <v>16</v>
      </c>
      <c r="K17" s="604" t="s">
        <v>65</v>
      </c>
      <c r="L17" s="604" t="s">
        <v>63</v>
      </c>
      <c r="M17" s="604" t="s">
        <v>2</v>
      </c>
      <c r="N17" s="604" t="s">
        <v>62</v>
      </c>
      <c r="O17" s="604" t="s">
        <v>25</v>
      </c>
      <c r="P17" s="608" t="s">
        <v>17</v>
      </c>
      <c r="Q17" s="612"/>
      <c r="R17" s="612"/>
      <c r="S17" s="612"/>
      <c r="T17" s="609"/>
      <c r="U17" s="602" t="s">
        <v>55</v>
      </c>
      <c r="V17" s="603"/>
      <c r="W17" s="604" t="s">
        <v>6</v>
      </c>
      <c r="X17" s="604" t="s">
        <v>41</v>
      </c>
      <c r="Y17" s="614" t="s">
        <v>53</v>
      </c>
      <c r="Z17" s="616" t="s">
        <v>18</v>
      </c>
      <c r="AA17" s="618" t="s">
        <v>59</v>
      </c>
      <c r="AB17" s="618" t="s">
        <v>19</v>
      </c>
      <c r="AC17" s="618" t="s">
        <v>64</v>
      </c>
      <c r="AD17" s="620" t="s">
        <v>56</v>
      </c>
      <c r="AE17" s="621"/>
      <c r="AF17" s="622"/>
      <c r="AG17" s="82"/>
      <c r="BD17" s="81" t="s">
        <v>61</v>
      </c>
    </row>
    <row r="18" spans="1:68" ht="14.25" customHeight="1" x14ac:dyDescent="0.2">
      <c r="A18" s="605"/>
      <c r="B18" s="605"/>
      <c r="C18" s="607"/>
      <c r="D18" s="610"/>
      <c r="E18" s="611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10"/>
      <c r="Q18" s="613"/>
      <c r="R18" s="613"/>
      <c r="S18" s="613"/>
      <c r="T18" s="611"/>
      <c r="U18" s="83" t="s">
        <v>44</v>
      </c>
      <c r="V18" s="83" t="s">
        <v>43</v>
      </c>
      <c r="W18" s="605"/>
      <c r="X18" s="605"/>
      <c r="Y18" s="615"/>
      <c r="Z18" s="617"/>
      <c r="AA18" s="619"/>
      <c r="AB18" s="619"/>
      <c r="AC18" s="619"/>
      <c r="AD18" s="623"/>
      <c r="AE18" s="624"/>
      <c r="AF18" s="625"/>
      <c r="AG18" s="82"/>
      <c r="BD18" s="81"/>
    </row>
    <row r="19" spans="1:68" ht="27.75" customHeight="1" x14ac:dyDescent="0.2">
      <c r="A19" s="626" t="s">
        <v>77</v>
      </c>
      <c r="B19" s="626"/>
      <c r="C19" s="626"/>
      <c r="D19" s="626"/>
      <c r="E19" s="626"/>
      <c r="F19" s="626"/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  <c r="AA19" s="54"/>
      <c r="AB19" s="54"/>
      <c r="AC19" s="54"/>
    </row>
    <row r="20" spans="1:68" ht="16.5" customHeight="1" x14ac:dyDescent="0.25">
      <c r="A20" s="627" t="s">
        <v>77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5"/>
      <c r="AB20" s="65"/>
      <c r="AC20" s="79"/>
    </row>
    <row r="21" spans="1:68" ht="14.25" customHeight="1" x14ac:dyDescent="0.25">
      <c r="A21" s="628" t="s">
        <v>78</v>
      </c>
      <c r="B21" s="628"/>
      <c r="C21" s="628"/>
      <c r="D21" s="628"/>
      <c r="E21" s="628"/>
      <c r="F21" s="628"/>
      <c r="G21" s="628"/>
      <c r="H21" s="628"/>
      <c r="I21" s="628"/>
      <c r="J21" s="628"/>
      <c r="K21" s="628"/>
      <c r="L21" s="628"/>
      <c r="M21" s="628"/>
      <c r="N21" s="628"/>
      <c r="O21" s="628"/>
      <c r="P21" s="628"/>
      <c r="Q21" s="628"/>
      <c r="R21" s="628"/>
      <c r="S21" s="628"/>
      <c r="T21" s="628"/>
      <c r="U21" s="628"/>
      <c r="V21" s="628"/>
      <c r="W21" s="628"/>
      <c r="X21" s="628"/>
      <c r="Y21" s="628"/>
      <c r="Z21" s="62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9">
        <v>4680115887510</v>
      </c>
      <c r="E22" s="62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1"/>
      <c r="R22" s="631"/>
      <c r="S22" s="631"/>
      <c r="T22" s="63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9">
        <v>4680115886643</v>
      </c>
      <c r="E23" s="62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1"/>
      <c r="R23" s="631"/>
      <c r="S23" s="631"/>
      <c r="T23" s="632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7"/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  <c r="O24" s="638"/>
      <c r="P24" s="634" t="s">
        <v>40</v>
      </c>
      <c r="Q24" s="635"/>
      <c r="R24" s="635"/>
      <c r="S24" s="635"/>
      <c r="T24" s="635"/>
      <c r="U24" s="635"/>
      <c r="V24" s="63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7"/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N25" s="637"/>
      <c r="O25" s="638"/>
      <c r="P25" s="634" t="s">
        <v>40</v>
      </c>
      <c r="Q25" s="635"/>
      <c r="R25" s="635"/>
      <c r="S25" s="635"/>
      <c r="T25" s="635"/>
      <c r="U25" s="635"/>
      <c r="V25" s="63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8" t="s">
        <v>88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  <c r="L26" s="628"/>
      <c r="M26" s="628"/>
      <c r="N26" s="628"/>
      <c r="O26" s="628"/>
      <c r="P26" s="628"/>
      <c r="Q26" s="628"/>
      <c r="R26" s="628"/>
      <c r="S26" s="628"/>
      <c r="T26" s="628"/>
      <c r="U26" s="628"/>
      <c r="V26" s="628"/>
      <c r="W26" s="628"/>
      <c r="X26" s="628"/>
      <c r="Y26" s="628"/>
      <c r="Z26" s="628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9">
        <v>4680115885912</v>
      </c>
      <c r="E27" s="62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1"/>
      <c r="R27" s="631"/>
      <c r="S27" s="631"/>
      <c r="T27" s="63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9">
        <v>4607091388237</v>
      </c>
      <c r="E28" s="62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1"/>
      <c r="R28" s="631"/>
      <c r="S28" s="631"/>
      <c r="T28" s="63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9">
        <v>4680115887350</v>
      </c>
      <c r="E29" s="62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1"/>
      <c r="R29" s="631"/>
      <c r="S29" s="631"/>
      <c r="T29" s="63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9">
        <v>4680115885905</v>
      </c>
      <c r="E30" s="62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1"/>
      <c r="R30" s="631"/>
      <c r="S30" s="631"/>
      <c r="T30" s="63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9">
        <v>4607091388244</v>
      </c>
      <c r="E31" s="629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1"/>
      <c r="R31" s="631"/>
      <c r="S31" s="631"/>
      <c r="T31" s="632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7"/>
      <c r="B32" s="637"/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O32" s="638"/>
      <c r="P32" s="634" t="s">
        <v>40</v>
      </c>
      <c r="Q32" s="635"/>
      <c r="R32" s="635"/>
      <c r="S32" s="635"/>
      <c r="T32" s="635"/>
      <c r="U32" s="635"/>
      <c r="V32" s="63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7"/>
      <c r="B33" s="637"/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  <c r="O33" s="638"/>
      <c r="P33" s="634" t="s">
        <v>40</v>
      </c>
      <c r="Q33" s="635"/>
      <c r="R33" s="635"/>
      <c r="S33" s="635"/>
      <c r="T33" s="635"/>
      <c r="U33" s="635"/>
      <c r="V33" s="63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8" t="s">
        <v>104</v>
      </c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8"/>
      <c r="P34" s="628"/>
      <c r="Q34" s="628"/>
      <c r="R34" s="628"/>
      <c r="S34" s="628"/>
      <c r="T34" s="628"/>
      <c r="U34" s="628"/>
      <c r="V34" s="628"/>
      <c r="W34" s="628"/>
      <c r="X34" s="628"/>
      <c r="Y34" s="628"/>
      <c r="Z34" s="62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9">
        <v>4607091388503</v>
      </c>
      <c r="E35" s="62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1"/>
      <c r="R35" s="631"/>
      <c r="S35" s="631"/>
      <c r="T35" s="632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7"/>
      <c r="B36" s="637"/>
      <c r="C36" s="637"/>
      <c r="D36" s="637"/>
      <c r="E36" s="637"/>
      <c r="F36" s="637"/>
      <c r="G36" s="637"/>
      <c r="H36" s="637"/>
      <c r="I36" s="637"/>
      <c r="J36" s="637"/>
      <c r="K36" s="637"/>
      <c r="L36" s="637"/>
      <c r="M36" s="637"/>
      <c r="N36" s="637"/>
      <c r="O36" s="638"/>
      <c r="P36" s="634" t="s">
        <v>40</v>
      </c>
      <c r="Q36" s="635"/>
      <c r="R36" s="635"/>
      <c r="S36" s="635"/>
      <c r="T36" s="635"/>
      <c r="U36" s="635"/>
      <c r="V36" s="63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7"/>
      <c r="B37" s="637"/>
      <c r="C37" s="637"/>
      <c r="D37" s="637"/>
      <c r="E37" s="637"/>
      <c r="F37" s="637"/>
      <c r="G37" s="637"/>
      <c r="H37" s="637"/>
      <c r="I37" s="637"/>
      <c r="J37" s="637"/>
      <c r="K37" s="637"/>
      <c r="L37" s="637"/>
      <c r="M37" s="637"/>
      <c r="N37" s="637"/>
      <c r="O37" s="638"/>
      <c r="P37" s="634" t="s">
        <v>40</v>
      </c>
      <c r="Q37" s="635"/>
      <c r="R37" s="635"/>
      <c r="S37" s="635"/>
      <c r="T37" s="635"/>
      <c r="U37" s="635"/>
      <c r="V37" s="63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6" t="s">
        <v>110</v>
      </c>
      <c r="B38" s="626"/>
      <c r="C38" s="626"/>
      <c r="D38" s="626"/>
      <c r="E38" s="626"/>
      <c r="F38" s="626"/>
      <c r="G38" s="626"/>
      <c r="H38" s="626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  <c r="Z38" s="626"/>
      <c r="AA38" s="54"/>
      <c r="AB38" s="54"/>
      <c r="AC38" s="54"/>
    </row>
    <row r="39" spans="1:68" ht="16.5" customHeight="1" x14ac:dyDescent="0.25">
      <c r="A39" s="627" t="s">
        <v>111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5"/>
      <c r="AB39" s="65"/>
      <c r="AC39" s="79"/>
    </row>
    <row r="40" spans="1:68" ht="14.25" customHeight="1" x14ac:dyDescent="0.25">
      <c r="A40" s="628" t="s">
        <v>112</v>
      </c>
      <c r="B40" s="628"/>
      <c r="C40" s="628"/>
      <c r="D40" s="628"/>
      <c r="E40" s="628"/>
      <c r="F40" s="628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9">
        <v>4607091385670</v>
      </c>
      <c r="E41" s="629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45</v>
      </c>
      <c r="M41" s="38" t="s">
        <v>116</v>
      </c>
      <c r="N41" s="38"/>
      <c r="O41" s="37">
        <v>50</v>
      </c>
      <c r="P41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1"/>
      <c r="R41" s="631"/>
      <c r="S41" s="631"/>
      <c r="T41" s="63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4301011382</v>
      </c>
      <c r="D42" s="629">
        <v>4607091385687</v>
      </c>
      <c r="E42" s="629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31"/>
      <c r="R42" s="631"/>
      <c r="S42" s="631"/>
      <c r="T42" s="63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121</v>
      </c>
      <c r="B43" s="63" t="s">
        <v>122</v>
      </c>
      <c r="C43" s="36">
        <v>4301011565</v>
      </c>
      <c r="D43" s="629">
        <v>4680115882539</v>
      </c>
      <c r="E43" s="629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120</v>
      </c>
      <c r="L43" s="37" t="s">
        <v>45</v>
      </c>
      <c r="M43" s="38" t="s">
        <v>92</v>
      </c>
      <c r="N43" s="38"/>
      <c r="O43" s="37">
        <v>50</v>
      </c>
      <c r="P43" s="6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31"/>
      <c r="R43" s="631"/>
      <c r="S43" s="631"/>
      <c r="T43" s="632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7"/>
      <c r="B44" s="637"/>
      <c r="C44" s="637"/>
      <c r="D44" s="637"/>
      <c r="E44" s="637"/>
      <c r="F44" s="637"/>
      <c r="G44" s="637"/>
      <c r="H44" s="637"/>
      <c r="I44" s="637"/>
      <c r="J44" s="637"/>
      <c r="K44" s="637"/>
      <c r="L44" s="637"/>
      <c r="M44" s="637"/>
      <c r="N44" s="637"/>
      <c r="O44" s="638"/>
      <c r="P44" s="634" t="s">
        <v>40</v>
      </c>
      <c r="Q44" s="635"/>
      <c r="R44" s="635"/>
      <c r="S44" s="635"/>
      <c r="T44" s="635"/>
      <c r="U44" s="635"/>
      <c r="V44" s="636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7"/>
      <c r="B45" s="637"/>
      <c r="C45" s="637"/>
      <c r="D45" s="637"/>
      <c r="E45" s="637"/>
      <c r="F45" s="637"/>
      <c r="G45" s="637"/>
      <c r="H45" s="637"/>
      <c r="I45" s="637"/>
      <c r="J45" s="637"/>
      <c r="K45" s="637"/>
      <c r="L45" s="637"/>
      <c r="M45" s="637"/>
      <c r="N45" s="637"/>
      <c r="O45" s="638"/>
      <c r="P45" s="634" t="s">
        <v>40</v>
      </c>
      <c r="Q45" s="635"/>
      <c r="R45" s="635"/>
      <c r="S45" s="635"/>
      <c r="T45" s="635"/>
      <c r="U45" s="635"/>
      <c r="V45" s="636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8" t="s">
        <v>88</v>
      </c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8"/>
      <c r="P46" s="628"/>
      <c r="Q46" s="628"/>
      <c r="R46" s="628"/>
      <c r="S46" s="628"/>
      <c r="T46" s="628"/>
      <c r="U46" s="628"/>
      <c r="V46" s="628"/>
      <c r="W46" s="628"/>
      <c r="X46" s="628"/>
      <c r="Y46" s="628"/>
      <c r="Z46" s="628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4301051820</v>
      </c>
      <c r="D47" s="629">
        <v>4680115884915</v>
      </c>
      <c r="E47" s="629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1"/>
      <c r="R47" s="631"/>
      <c r="S47" s="631"/>
      <c r="T47" s="632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125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7"/>
      <c r="B48" s="637"/>
      <c r="C48" s="637"/>
      <c r="D48" s="637"/>
      <c r="E48" s="637"/>
      <c r="F48" s="637"/>
      <c r="G48" s="637"/>
      <c r="H48" s="637"/>
      <c r="I48" s="637"/>
      <c r="J48" s="637"/>
      <c r="K48" s="637"/>
      <c r="L48" s="637"/>
      <c r="M48" s="637"/>
      <c r="N48" s="637"/>
      <c r="O48" s="638"/>
      <c r="P48" s="634" t="s">
        <v>40</v>
      </c>
      <c r="Q48" s="635"/>
      <c r="R48" s="635"/>
      <c r="S48" s="635"/>
      <c r="T48" s="635"/>
      <c r="U48" s="635"/>
      <c r="V48" s="636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7"/>
      <c r="B49" s="637"/>
      <c r="C49" s="637"/>
      <c r="D49" s="637"/>
      <c r="E49" s="637"/>
      <c r="F49" s="637"/>
      <c r="G49" s="637"/>
      <c r="H49" s="637"/>
      <c r="I49" s="637"/>
      <c r="J49" s="637"/>
      <c r="K49" s="637"/>
      <c r="L49" s="637"/>
      <c r="M49" s="637"/>
      <c r="N49" s="637"/>
      <c r="O49" s="638"/>
      <c r="P49" s="634" t="s">
        <v>40</v>
      </c>
      <c r="Q49" s="635"/>
      <c r="R49" s="635"/>
      <c r="S49" s="635"/>
      <c r="T49" s="635"/>
      <c r="U49" s="635"/>
      <c r="V49" s="636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7" t="s">
        <v>126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5"/>
      <c r="AB50" s="65"/>
      <c r="AC50" s="79"/>
    </row>
    <row r="51" spans="1:68" ht="14.25" customHeight="1" x14ac:dyDescent="0.25">
      <c r="A51" s="628" t="s">
        <v>112</v>
      </c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8"/>
      <c r="P51" s="628"/>
      <c r="Q51" s="628"/>
      <c r="R51" s="628"/>
      <c r="S51" s="628"/>
      <c r="T51" s="628"/>
      <c r="U51" s="628"/>
      <c r="V51" s="628"/>
      <c r="W51" s="628"/>
      <c r="X51" s="628"/>
      <c r="Y51" s="628"/>
      <c r="Z51" s="628"/>
      <c r="AA51" s="66"/>
      <c r="AB51" s="66"/>
      <c r="AC51" s="80"/>
    </row>
    <row r="52" spans="1:68" ht="27" customHeight="1" x14ac:dyDescent="0.25">
      <c r="A52" s="63" t="s">
        <v>127</v>
      </c>
      <c r="B52" s="63" t="s">
        <v>128</v>
      </c>
      <c r="C52" s="36">
        <v>4301012030</v>
      </c>
      <c r="D52" s="629">
        <v>4680115885882</v>
      </c>
      <c r="E52" s="629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1"/>
      <c r="R52" s="631"/>
      <c r="S52" s="631"/>
      <c r="T52" s="63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129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4301011816</v>
      </c>
      <c r="D53" s="629">
        <v>4680115881426</v>
      </c>
      <c r="E53" s="629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1"/>
      <c r="R53" s="631"/>
      <c r="S53" s="631"/>
      <c r="T53" s="63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132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4301011386</v>
      </c>
      <c r="D54" s="629">
        <v>4680115880283</v>
      </c>
      <c r="E54" s="629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120</v>
      </c>
      <c r="L54" s="37" t="s">
        <v>45</v>
      </c>
      <c r="M54" s="38" t="s">
        <v>116</v>
      </c>
      <c r="N54" s="38"/>
      <c r="O54" s="37">
        <v>45</v>
      </c>
      <c r="P54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1"/>
      <c r="R54" s="631"/>
      <c r="S54" s="631"/>
      <c r="T54" s="63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135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136</v>
      </c>
      <c r="B55" s="63" t="s">
        <v>137</v>
      </c>
      <c r="C55" s="36">
        <v>4301011806</v>
      </c>
      <c r="D55" s="629">
        <v>4680115881525</v>
      </c>
      <c r="E55" s="629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120</v>
      </c>
      <c r="L55" s="37" t="s">
        <v>45</v>
      </c>
      <c r="M55" s="38" t="s">
        <v>116</v>
      </c>
      <c r="N55" s="38"/>
      <c r="O55" s="37">
        <v>50</v>
      </c>
      <c r="P55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1"/>
      <c r="R55" s="631"/>
      <c r="S55" s="631"/>
      <c r="T55" s="63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138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4301011589</v>
      </c>
      <c r="D56" s="629">
        <v>4680115885899</v>
      </c>
      <c r="E56" s="629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1"/>
      <c r="R56" s="631"/>
      <c r="S56" s="631"/>
      <c r="T56" s="63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141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4301011801</v>
      </c>
      <c r="D57" s="629">
        <v>4680115881419</v>
      </c>
      <c r="E57" s="629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120</v>
      </c>
      <c r="L57" s="37" t="s">
        <v>45</v>
      </c>
      <c r="M57" s="38" t="s">
        <v>116</v>
      </c>
      <c r="N57" s="38"/>
      <c r="O57" s="37">
        <v>50</v>
      </c>
      <c r="P57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1"/>
      <c r="R57" s="631"/>
      <c r="S57" s="631"/>
      <c r="T57" s="632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144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7"/>
      <c r="B58" s="637"/>
      <c r="C58" s="637"/>
      <c r="D58" s="637"/>
      <c r="E58" s="637"/>
      <c r="F58" s="637"/>
      <c r="G58" s="637"/>
      <c r="H58" s="637"/>
      <c r="I58" s="637"/>
      <c r="J58" s="637"/>
      <c r="K58" s="637"/>
      <c r="L58" s="637"/>
      <c r="M58" s="637"/>
      <c r="N58" s="637"/>
      <c r="O58" s="638"/>
      <c r="P58" s="634" t="s">
        <v>40</v>
      </c>
      <c r="Q58" s="635"/>
      <c r="R58" s="635"/>
      <c r="S58" s="635"/>
      <c r="T58" s="635"/>
      <c r="U58" s="635"/>
      <c r="V58" s="636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7"/>
      <c r="B59" s="637"/>
      <c r="C59" s="637"/>
      <c r="D59" s="637"/>
      <c r="E59" s="637"/>
      <c r="F59" s="637"/>
      <c r="G59" s="637"/>
      <c r="H59" s="637"/>
      <c r="I59" s="637"/>
      <c r="J59" s="637"/>
      <c r="K59" s="637"/>
      <c r="L59" s="637"/>
      <c r="M59" s="637"/>
      <c r="N59" s="637"/>
      <c r="O59" s="638"/>
      <c r="P59" s="634" t="s">
        <v>40</v>
      </c>
      <c r="Q59" s="635"/>
      <c r="R59" s="635"/>
      <c r="S59" s="635"/>
      <c r="T59" s="635"/>
      <c r="U59" s="635"/>
      <c r="V59" s="636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8" t="s">
        <v>145</v>
      </c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  <c r="R60" s="628"/>
      <c r="S60" s="628"/>
      <c r="T60" s="628"/>
      <c r="U60" s="628"/>
      <c r="V60" s="628"/>
      <c r="W60" s="628"/>
      <c r="X60" s="628"/>
      <c r="Y60" s="628"/>
      <c r="Z60" s="628"/>
      <c r="AA60" s="66"/>
      <c r="AB60" s="66"/>
      <c r="AC60" s="80"/>
    </row>
    <row r="61" spans="1:68" ht="16.5" customHeight="1" x14ac:dyDescent="0.25">
      <c r="A61" s="63" t="s">
        <v>146</v>
      </c>
      <c r="B61" s="63" t="s">
        <v>147</v>
      </c>
      <c r="C61" s="36">
        <v>4301020298</v>
      </c>
      <c r="D61" s="629">
        <v>4680115881440</v>
      </c>
      <c r="E61" s="62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45</v>
      </c>
      <c r="M61" s="38" t="s">
        <v>116</v>
      </c>
      <c r="N61" s="38"/>
      <c r="O61" s="37">
        <v>50</v>
      </c>
      <c r="P61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1"/>
      <c r="R61" s="631"/>
      <c r="S61" s="631"/>
      <c r="T61" s="63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149</v>
      </c>
      <c r="B62" s="63" t="s">
        <v>150</v>
      </c>
      <c r="C62" s="36">
        <v>4301020358</v>
      </c>
      <c r="D62" s="629">
        <v>4680115885950</v>
      </c>
      <c r="E62" s="629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1"/>
      <c r="R62" s="631"/>
      <c r="S62" s="631"/>
      <c r="T62" s="63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151</v>
      </c>
      <c r="B63" s="63" t="s">
        <v>152</v>
      </c>
      <c r="C63" s="36">
        <v>4301020296</v>
      </c>
      <c r="D63" s="629">
        <v>4680115881433</v>
      </c>
      <c r="E63" s="629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1"/>
      <c r="R63" s="631"/>
      <c r="S63" s="631"/>
      <c r="T63" s="632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148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7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8"/>
      <c r="P64" s="634" t="s">
        <v>40</v>
      </c>
      <c r="Q64" s="635"/>
      <c r="R64" s="635"/>
      <c r="S64" s="635"/>
      <c r="T64" s="635"/>
      <c r="U64" s="635"/>
      <c r="V64" s="636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7"/>
      <c r="B65" s="637"/>
      <c r="C65" s="637"/>
      <c r="D65" s="637"/>
      <c r="E65" s="637"/>
      <c r="F65" s="637"/>
      <c r="G65" s="637"/>
      <c r="H65" s="637"/>
      <c r="I65" s="637"/>
      <c r="J65" s="637"/>
      <c r="K65" s="637"/>
      <c r="L65" s="637"/>
      <c r="M65" s="637"/>
      <c r="N65" s="637"/>
      <c r="O65" s="638"/>
      <c r="P65" s="634" t="s">
        <v>40</v>
      </c>
      <c r="Q65" s="635"/>
      <c r="R65" s="635"/>
      <c r="S65" s="635"/>
      <c r="T65" s="635"/>
      <c r="U65" s="635"/>
      <c r="V65" s="636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8" t="s">
        <v>78</v>
      </c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8"/>
      <c r="P66" s="628"/>
      <c r="Q66" s="628"/>
      <c r="R66" s="628"/>
      <c r="S66" s="628"/>
      <c r="T66" s="628"/>
      <c r="U66" s="628"/>
      <c r="V66" s="628"/>
      <c r="W66" s="628"/>
      <c r="X66" s="628"/>
      <c r="Y66" s="628"/>
      <c r="Z66" s="628"/>
      <c r="AA66" s="66"/>
      <c r="AB66" s="66"/>
      <c r="AC66" s="80"/>
    </row>
    <row r="67" spans="1:68" ht="27" customHeight="1" x14ac:dyDescent="0.25">
      <c r="A67" s="63" t="s">
        <v>153</v>
      </c>
      <c r="B67" s="63" t="s">
        <v>154</v>
      </c>
      <c r="C67" s="36">
        <v>4301031243</v>
      </c>
      <c r="D67" s="629">
        <v>4680115885073</v>
      </c>
      <c r="E67" s="62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1"/>
      <c r="R67" s="631"/>
      <c r="S67" s="631"/>
      <c r="T67" s="63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155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156</v>
      </c>
      <c r="B68" s="63" t="s">
        <v>157</v>
      </c>
      <c r="C68" s="36">
        <v>4301031316</v>
      </c>
      <c r="D68" s="629">
        <v>4680115885097</v>
      </c>
      <c r="E68" s="62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1"/>
      <c r="R68" s="631"/>
      <c r="S68" s="631"/>
      <c r="T68" s="63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158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7"/>
      <c r="B69" s="637"/>
      <c r="C69" s="637"/>
      <c r="D69" s="637"/>
      <c r="E69" s="637"/>
      <c r="F69" s="637"/>
      <c r="G69" s="637"/>
      <c r="H69" s="637"/>
      <c r="I69" s="637"/>
      <c r="J69" s="637"/>
      <c r="K69" s="637"/>
      <c r="L69" s="637"/>
      <c r="M69" s="637"/>
      <c r="N69" s="637"/>
      <c r="O69" s="638"/>
      <c r="P69" s="634" t="s">
        <v>40</v>
      </c>
      <c r="Q69" s="635"/>
      <c r="R69" s="635"/>
      <c r="S69" s="635"/>
      <c r="T69" s="635"/>
      <c r="U69" s="635"/>
      <c r="V69" s="636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7"/>
      <c r="B70" s="637"/>
      <c r="C70" s="637"/>
      <c r="D70" s="637"/>
      <c r="E70" s="637"/>
      <c r="F70" s="637"/>
      <c r="G70" s="637"/>
      <c r="H70" s="637"/>
      <c r="I70" s="637"/>
      <c r="J70" s="637"/>
      <c r="K70" s="637"/>
      <c r="L70" s="637"/>
      <c r="M70" s="637"/>
      <c r="N70" s="637"/>
      <c r="O70" s="638"/>
      <c r="P70" s="634" t="s">
        <v>40</v>
      </c>
      <c r="Q70" s="635"/>
      <c r="R70" s="635"/>
      <c r="S70" s="635"/>
      <c r="T70" s="635"/>
      <c r="U70" s="635"/>
      <c r="V70" s="636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8" t="s">
        <v>88</v>
      </c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8"/>
      <c r="P71" s="628"/>
      <c r="Q71" s="628"/>
      <c r="R71" s="628"/>
      <c r="S71" s="628"/>
      <c r="T71" s="628"/>
      <c r="U71" s="628"/>
      <c r="V71" s="628"/>
      <c r="W71" s="628"/>
      <c r="X71" s="628"/>
      <c r="Y71" s="628"/>
      <c r="Z71" s="628"/>
      <c r="AA71" s="66"/>
      <c r="AB71" s="66"/>
      <c r="AC71" s="80"/>
    </row>
    <row r="72" spans="1:68" ht="27" customHeight="1" x14ac:dyDescent="0.25">
      <c r="A72" s="63" t="s">
        <v>159</v>
      </c>
      <c r="B72" s="63" t="s">
        <v>160</v>
      </c>
      <c r="C72" s="36">
        <v>4301051846</v>
      </c>
      <c r="D72" s="629">
        <v>4680115885769</v>
      </c>
      <c r="E72" s="62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1"/>
      <c r="R72" s="631"/>
      <c r="S72" s="631"/>
      <c r="T72" s="63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161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162</v>
      </c>
      <c r="B73" s="63" t="s">
        <v>163</v>
      </c>
      <c r="C73" s="36">
        <v>4301051837</v>
      </c>
      <c r="D73" s="629">
        <v>4680115884311</v>
      </c>
      <c r="E73" s="62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1"/>
      <c r="R73" s="631"/>
      <c r="S73" s="631"/>
      <c r="T73" s="63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165</v>
      </c>
      <c r="B74" s="63" t="s">
        <v>166</v>
      </c>
      <c r="C74" s="36">
        <v>4301051844</v>
      </c>
      <c r="D74" s="629">
        <v>4680115885929</v>
      </c>
      <c r="E74" s="62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1"/>
      <c r="R74" s="631"/>
      <c r="S74" s="631"/>
      <c r="T74" s="63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167</v>
      </c>
      <c r="B75" s="63" t="s">
        <v>168</v>
      </c>
      <c r="C75" s="36">
        <v>4301051929</v>
      </c>
      <c r="D75" s="629">
        <v>4680115884403</v>
      </c>
      <c r="E75" s="62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1"/>
      <c r="R75" s="631"/>
      <c r="S75" s="631"/>
      <c r="T75" s="63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7"/>
      <c r="B76" s="637"/>
      <c r="C76" s="637"/>
      <c r="D76" s="637"/>
      <c r="E76" s="637"/>
      <c r="F76" s="637"/>
      <c r="G76" s="637"/>
      <c r="H76" s="637"/>
      <c r="I76" s="637"/>
      <c r="J76" s="637"/>
      <c r="K76" s="637"/>
      <c r="L76" s="637"/>
      <c r="M76" s="637"/>
      <c r="N76" s="637"/>
      <c r="O76" s="638"/>
      <c r="P76" s="634" t="s">
        <v>40</v>
      </c>
      <c r="Q76" s="635"/>
      <c r="R76" s="635"/>
      <c r="S76" s="635"/>
      <c r="T76" s="635"/>
      <c r="U76" s="635"/>
      <c r="V76" s="636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7"/>
      <c r="B77" s="637"/>
      <c r="C77" s="637"/>
      <c r="D77" s="637"/>
      <c r="E77" s="637"/>
      <c r="F77" s="637"/>
      <c r="G77" s="637"/>
      <c r="H77" s="637"/>
      <c r="I77" s="637"/>
      <c r="J77" s="637"/>
      <c r="K77" s="637"/>
      <c r="L77" s="637"/>
      <c r="M77" s="637"/>
      <c r="N77" s="637"/>
      <c r="O77" s="638"/>
      <c r="P77" s="634" t="s">
        <v>40</v>
      </c>
      <c r="Q77" s="635"/>
      <c r="R77" s="635"/>
      <c r="S77" s="635"/>
      <c r="T77" s="635"/>
      <c r="U77" s="635"/>
      <c r="V77" s="636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8" t="s">
        <v>170</v>
      </c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8"/>
      <c r="P78" s="628"/>
      <c r="Q78" s="628"/>
      <c r="R78" s="628"/>
      <c r="S78" s="628"/>
      <c r="T78" s="628"/>
      <c r="U78" s="628"/>
      <c r="V78" s="628"/>
      <c r="W78" s="628"/>
      <c r="X78" s="628"/>
      <c r="Y78" s="628"/>
      <c r="Z78" s="628"/>
      <c r="AA78" s="66"/>
      <c r="AB78" s="66"/>
      <c r="AC78" s="80"/>
    </row>
    <row r="79" spans="1:68" ht="27" customHeight="1" x14ac:dyDescent="0.25">
      <c r="A79" s="63" t="s">
        <v>171</v>
      </c>
      <c r="B79" s="63" t="s">
        <v>172</v>
      </c>
      <c r="C79" s="36">
        <v>4301060455</v>
      </c>
      <c r="D79" s="629">
        <v>4680115881532</v>
      </c>
      <c r="E79" s="62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1"/>
      <c r="R79" s="631"/>
      <c r="S79" s="631"/>
      <c r="T79" s="63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173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174</v>
      </c>
      <c r="B80" s="63" t="s">
        <v>175</v>
      </c>
      <c r="C80" s="36">
        <v>4301060351</v>
      </c>
      <c r="D80" s="629">
        <v>4680115881464</v>
      </c>
      <c r="E80" s="62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92</v>
      </c>
      <c r="N80" s="38"/>
      <c r="O80" s="37">
        <v>30</v>
      </c>
      <c r="P80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1"/>
      <c r="R80" s="631"/>
      <c r="S80" s="631"/>
      <c r="T80" s="63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7"/>
      <c r="B81" s="637"/>
      <c r="C81" s="637"/>
      <c r="D81" s="637"/>
      <c r="E81" s="637"/>
      <c r="F81" s="637"/>
      <c r="G81" s="637"/>
      <c r="H81" s="637"/>
      <c r="I81" s="637"/>
      <c r="J81" s="637"/>
      <c r="K81" s="637"/>
      <c r="L81" s="637"/>
      <c r="M81" s="637"/>
      <c r="N81" s="637"/>
      <c r="O81" s="638"/>
      <c r="P81" s="634" t="s">
        <v>40</v>
      </c>
      <c r="Q81" s="635"/>
      <c r="R81" s="635"/>
      <c r="S81" s="635"/>
      <c r="T81" s="635"/>
      <c r="U81" s="635"/>
      <c r="V81" s="636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7"/>
      <c r="B82" s="637"/>
      <c r="C82" s="637"/>
      <c r="D82" s="637"/>
      <c r="E82" s="637"/>
      <c r="F82" s="637"/>
      <c r="G82" s="637"/>
      <c r="H82" s="637"/>
      <c r="I82" s="637"/>
      <c r="J82" s="637"/>
      <c r="K82" s="637"/>
      <c r="L82" s="637"/>
      <c r="M82" s="637"/>
      <c r="N82" s="637"/>
      <c r="O82" s="638"/>
      <c r="P82" s="634" t="s">
        <v>40</v>
      </c>
      <c r="Q82" s="635"/>
      <c r="R82" s="635"/>
      <c r="S82" s="635"/>
      <c r="T82" s="635"/>
      <c r="U82" s="635"/>
      <c r="V82" s="636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7" t="s">
        <v>177</v>
      </c>
      <c r="B83" s="627"/>
      <c r="C83" s="627"/>
      <c r="D83" s="627"/>
      <c r="E83" s="627"/>
      <c r="F83" s="627"/>
      <c r="G83" s="627"/>
      <c r="H83" s="627"/>
      <c r="I83" s="627"/>
      <c r="J83" s="627"/>
      <c r="K83" s="627"/>
      <c r="L83" s="627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  <c r="AA83" s="65"/>
      <c r="AB83" s="65"/>
      <c r="AC83" s="79"/>
    </row>
    <row r="84" spans="1:68" ht="14.25" customHeight="1" x14ac:dyDescent="0.25">
      <c r="A84" s="628" t="s">
        <v>112</v>
      </c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8"/>
      <c r="P84" s="628"/>
      <c r="Q84" s="628"/>
      <c r="R84" s="628"/>
      <c r="S84" s="628"/>
      <c r="T84" s="628"/>
      <c r="U84" s="628"/>
      <c r="V84" s="628"/>
      <c r="W84" s="628"/>
      <c r="X84" s="628"/>
      <c r="Y84" s="628"/>
      <c r="Z84" s="628"/>
      <c r="AA84" s="66"/>
      <c r="AB84" s="66"/>
      <c r="AC84" s="80"/>
    </row>
    <row r="85" spans="1:68" ht="27" customHeight="1" x14ac:dyDescent="0.25">
      <c r="A85" s="63" t="s">
        <v>178</v>
      </c>
      <c r="B85" s="63" t="s">
        <v>179</v>
      </c>
      <c r="C85" s="36">
        <v>4301011468</v>
      </c>
      <c r="D85" s="629">
        <v>4680115881327</v>
      </c>
      <c r="E85" s="62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45</v>
      </c>
      <c r="M85" s="38" t="s">
        <v>98</v>
      </c>
      <c r="N85" s="38"/>
      <c r="O85" s="37">
        <v>50</v>
      </c>
      <c r="P85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1"/>
      <c r="R85" s="631"/>
      <c r="S85" s="631"/>
      <c r="T85" s="63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180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181</v>
      </c>
      <c r="B86" s="63" t="s">
        <v>182</v>
      </c>
      <c r="C86" s="36">
        <v>4301011261</v>
      </c>
      <c r="D86" s="629">
        <v>4680115887732</v>
      </c>
      <c r="E86" s="62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184</v>
      </c>
      <c r="L86" s="37" t="s">
        <v>45</v>
      </c>
      <c r="M86" s="38" t="s">
        <v>82</v>
      </c>
      <c r="N86" s="38"/>
      <c r="O86" s="37">
        <v>30</v>
      </c>
      <c r="P86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1"/>
      <c r="R86" s="631"/>
      <c r="S86" s="631"/>
      <c r="T86" s="63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4301011476</v>
      </c>
      <c r="D87" s="629">
        <v>4680115881518</v>
      </c>
      <c r="E87" s="62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120</v>
      </c>
      <c r="L87" s="37" t="s">
        <v>45</v>
      </c>
      <c r="M87" s="38" t="s">
        <v>92</v>
      </c>
      <c r="N87" s="38"/>
      <c r="O87" s="37">
        <v>50</v>
      </c>
      <c r="P87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1"/>
      <c r="R87" s="631"/>
      <c r="S87" s="631"/>
      <c r="T87" s="63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4301011443</v>
      </c>
      <c r="D88" s="629">
        <v>4680115881303</v>
      </c>
      <c r="E88" s="629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120</v>
      </c>
      <c r="L88" s="37" t="s">
        <v>45</v>
      </c>
      <c r="M88" s="38" t="s">
        <v>98</v>
      </c>
      <c r="N88" s="38"/>
      <c r="O88" s="37">
        <v>50</v>
      </c>
      <c r="P88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1"/>
      <c r="R88" s="631"/>
      <c r="S88" s="631"/>
      <c r="T88" s="632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180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7"/>
      <c r="B89" s="637"/>
      <c r="C89" s="637"/>
      <c r="D89" s="637"/>
      <c r="E89" s="637"/>
      <c r="F89" s="637"/>
      <c r="G89" s="637"/>
      <c r="H89" s="637"/>
      <c r="I89" s="637"/>
      <c r="J89" s="637"/>
      <c r="K89" s="637"/>
      <c r="L89" s="637"/>
      <c r="M89" s="637"/>
      <c r="N89" s="637"/>
      <c r="O89" s="638"/>
      <c r="P89" s="634" t="s">
        <v>40</v>
      </c>
      <c r="Q89" s="635"/>
      <c r="R89" s="635"/>
      <c r="S89" s="635"/>
      <c r="T89" s="635"/>
      <c r="U89" s="635"/>
      <c r="V89" s="636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7"/>
      <c r="B90" s="637"/>
      <c r="C90" s="637"/>
      <c r="D90" s="637"/>
      <c r="E90" s="637"/>
      <c r="F90" s="637"/>
      <c r="G90" s="637"/>
      <c r="H90" s="637"/>
      <c r="I90" s="637"/>
      <c r="J90" s="637"/>
      <c r="K90" s="637"/>
      <c r="L90" s="637"/>
      <c r="M90" s="637"/>
      <c r="N90" s="637"/>
      <c r="O90" s="638"/>
      <c r="P90" s="634" t="s">
        <v>40</v>
      </c>
      <c r="Q90" s="635"/>
      <c r="R90" s="635"/>
      <c r="S90" s="635"/>
      <c r="T90" s="635"/>
      <c r="U90" s="635"/>
      <c r="V90" s="636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8" t="s">
        <v>88</v>
      </c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8"/>
      <c r="P91" s="628"/>
      <c r="Q91" s="628"/>
      <c r="R91" s="628"/>
      <c r="S91" s="628"/>
      <c r="T91" s="628"/>
      <c r="U91" s="628"/>
      <c r="V91" s="628"/>
      <c r="W91" s="628"/>
      <c r="X91" s="628"/>
      <c r="Y91" s="628"/>
      <c r="Z91" s="628"/>
      <c r="AA91" s="66"/>
      <c r="AB91" s="66"/>
      <c r="AC91" s="80"/>
    </row>
    <row r="92" spans="1:68" ht="27" customHeight="1" x14ac:dyDescent="0.25">
      <c r="A92" s="63" t="s">
        <v>189</v>
      </c>
      <c r="B92" s="63" t="s">
        <v>190</v>
      </c>
      <c r="C92" s="36">
        <v>4301051712</v>
      </c>
      <c r="D92" s="629">
        <v>4607091386967</v>
      </c>
      <c r="E92" s="629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45</v>
      </c>
      <c r="M92" s="38" t="s">
        <v>98</v>
      </c>
      <c r="N92" s="38"/>
      <c r="O92" s="37">
        <v>45</v>
      </c>
      <c r="P92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1"/>
      <c r="R92" s="631"/>
      <c r="S92" s="631"/>
      <c r="T92" s="63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4301051788</v>
      </c>
      <c r="D93" s="629">
        <v>4680115884953</v>
      </c>
      <c r="E93" s="629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1"/>
      <c r="R93" s="631"/>
      <c r="S93" s="631"/>
      <c r="T93" s="63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4301051718</v>
      </c>
      <c r="D94" s="629">
        <v>4607091385731</v>
      </c>
      <c r="E94" s="629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1"/>
      <c r="R94" s="631"/>
      <c r="S94" s="631"/>
      <c r="T94" s="63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191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196</v>
      </c>
      <c r="B95" s="63" t="s">
        <v>197</v>
      </c>
      <c r="C95" s="36">
        <v>4301051438</v>
      </c>
      <c r="D95" s="629">
        <v>4680115880894</v>
      </c>
      <c r="E95" s="629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1"/>
      <c r="R95" s="631"/>
      <c r="S95" s="631"/>
      <c r="T95" s="632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198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7"/>
      <c r="B96" s="637"/>
      <c r="C96" s="637"/>
      <c r="D96" s="637"/>
      <c r="E96" s="637"/>
      <c r="F96" s="637"/>
      <c r="G96" s="637"/>
      <c r="H96" s="637"/>
      <c r="I96" s="637"/>
      <c r="J96" s="637"/>
      <c r="K96" s="637"/>
      <c r="L96" s="637"/>
      <c r="M96" s="637"/>
      <c r="N96" s="637"/>
      <c r="O96" s="638"/>
      <c r="P96" s="634" t="s">
        <v>40</v>
      </c>
      <c r="Q96" s="635"/>
      <c r="R96" s="635"/>
      <c r="S96" s="635"/>
      <c r="T96" s="635"/>
      <c r="U96" s="635"/>
      <c r="V96" s="636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7"/>
      <c r="B97" s="637"/>
      <c r="C97" s="637"/>
      <c r="D97" s="637"/>
      <c r="E97" s="637"/>
      <c r="F97" s="637"/>
      <c r="G97" s="637"/>
      <c r="H97" s="637"/>
      <c r="I97" s="637"/>
      <c r="J97" s="637"/>
      <c r="K97" s="637"/>
      <c r="L97" s="637"/>
      <c r="M97" s="637"/>
      <c r="N97" s="637"/>
      <c r="O97" s="638"/>
      <c r="P97" s="634" t="s">
        <v>40</v>
      </c>
      <c r="Q97" s="635"/>
      <c r="R97" s="635"/>
      <c r="S97" s="635"/>
      <c r="T97" s="635"/>
      <c r="U97" s="635"/>
      <c r="V97" s="636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7" t="s">
        <v>199</v>
      </c>
      <c r="B98" s="627"/>
      <c r="C98" s="627"/>
      <c r="D98" s="627"/>
      <c r="E98" s="627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  <c r="Y98" s="627"/>
      <c r="Z98" s="627"/>
      <c r="AA98" s="65"/>
      <c r="AB98" s="65"/>
      <c r="AC98" s="79"/>
    </row>
    <row r="99" spans="1:68" ht="14.25" customHeight="1" x14ac:dyDescent="0.25">
      <c r="A99" s="628" t="s">
        <v>112</v>
      </c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8"/>
      <c r="P99" s="628"/>
      <c r="Q99" s="628"/>
      <c r="R99" s="628"/>
      <c r="S99" s="628"/>
      <c r="T99" s="628"/>
      <c r="U99" s="628"/>
      <c r="V99" s="628"/>
      <c r="W99" s="628"/>
      <c r="X99" s="628"/>
      <c r="Y99" s="628"/>
      <c r="Z99" s="628"/>
      <c r="AA99" s="66"/>
      <c r="AB99" s="66"/>
      <c r="AC99" s="80"/>
    </row>
    <row r="100" spans="1:68" ht="37.5" customHeight="1" x14ac:dyDescent="0.25">
      <c r="A100" s="63" t="s">
        <v>200</v>
      </c>
      <c r="B100" s="63" t="s">
        <v>201</v>
      </c>
      <c r="C100" s="36">
        <v>4301011514</v>
      </c>
      <c r="D100" s="629">
        <v>4680115882133</v>
      </c>
      <c r="E100" s="629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45</v>
      </c>
      <c r="M100" s="38" t="s">
        <v>116</v>
      </c>
      <c r="N100" s="38"/>
      <c r="O100" s="37">
        <v>50</v>
      </c>
      <c r="P100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1"/>
      <c r="R100" s="631"/>
      <c r="S100" s="631"/>
      <c r="T100" s="63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202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203</v>
      </c>
      <c r="B101" s="63" t="s">
        <v>204</v>
      </c>
      <c r="C101" s="36">
        <v>4301012051</v>
      </c>
      <c r="D101" s="629">
        <v>4680115887718</v>
      </c>
      <c r="E101" s="629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184</v>
      </c>
      <c r="L101" s="37" t="s">
        <v>45</v>
      </c>
      <c r="M101" s="38" t="s">
        <v>82</v>
      </c>
      <c r="N101" s="38"/>
      <c r="O101" s="37">
        <v>30</v>
      </c>
      <c r="P101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1"/>
      <c r="R101" s="631"/>
      <c r="S101" s="631"/>
      <c r="T101" s="63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205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206</v>
      </c>
      <c r="B102" s="63" t="s">
        <v>207</v>
      </c>
      <c r="C102" s="36">
        <v>4301011417</v>
      </c>
      <c r="D102" s="629">
        <v>4680115880269</v>
      </c>
      <c r="E102" s="62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1"/>
      <c r="R102" s="631"/>
      <c r="S102" s="631"/>
      <c r="T102" s="63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4301011415</v>
      </c>
      <c r="D103" s="629">
        <v>4680115880429</v>
      </c>
      <c r="E103" s="62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210</v>
      </c>
      <c r="M103" s="38" t="s">
        <v>92</v>
      </c>
      <c r="N103" s="38"/>
      <c r="O103" s="37">
        <v>50</v>
      </c>
      <c r="P103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1"/>
      <c r="R103" s="631"/>
      <c r="S103" s="631"/>
      <c r="T103" s="632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202</v>
      </c>
      <c r="AG103" s="78"/>
      <c r="AJ103" s="84" t="s">
        <v>211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212</v>
      </c>
      <c r="B104" s="63" t="s">
        <v>213</v>
      </c>
      <c r="C104" s="36">
        <v>4301011462</v>
      </c>
      <c r="D104" s="629">
        <v>4680115881457</v>
      </c>
      <c r="E104" s="62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120</v>
      </c>
      <c r="L104" s="37" t="s">
        <v>45</v>
      </c>
      <c r="M104" s="38" t="s">
        <v>92</v>
      </c>
      <c r="N104" s="38"/>
      <c r="O104" s="37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1"/>
      <c r="R104" s="631"/>
      <c r="S104" s="631"/>
      <c r="T104" s="632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202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7"/>
      <c r="B105" s="637"/>
      <c r="C105" s="637"/>
      <c r="D105" s="637"/>
      <c r="E105" s="637"/>
      <c r="F105" s="637"/>
      <c r="G105" s="637"/>
      <c r="H105" s="637"/>
      <c r="I105" s="637"/>
      <c r="J105" s="637"/>
      <c r="K105" s="637"/>
      <c r="L105" s="637"/>
      <c r="M105" s="637"/>
      <c r="N105" s="637"/>
      <c r="O105" s="638"/>
      <c r="P105" s="634" t="s">
        <v>40</v>
      </c>
      <c r="Q105" s="635"/>
      <c r="R105" s="635"/>
      <c r="S105" s="635"/>
      <c r="T105" s="635"/>
      <c r="U105" s="635"/>
      <c r="V105" s="636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7"/>
      <c r="B106" s="637"/>
      <c r="C106" s="637"/>
      <c r="D106" s="637"/>
      <c r="E106" s="637"/>
      <c r="F106" s="637"/>
      <c r="G106" s="637"/>
      <c r="H106" s="637"/>
      <c r="I106" s="637"/>
      <c r="J106" s="637"/>
      <c r="K106" s="637"/>
      <c r="L106" s="637"/>
      <c r="M106" s="637"/>
      <c r="N106" s="637"/>
      <c r="O106" s="638"/>
      <c r="P106" s="634" t="s">
        <v>40</v>
      </c>
      <c r="Q106" s="635"/>
      <c r="R106" s="635"/>
      <c r="S106" s="635"/>
      <c r="T106" s="635"/>
      <c r="U106" s="635"/>
      <c r="V106" s="636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8" t="s">
        <v>145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8"/>
      <c r="P107" s="628"/>
      <c r="Q107" s="628"/>
      <c r="R107" s="628"/>
      <c r="S107" s="628"/>
      <c r="T107" s="628"/>
      <c r="U107" s="628"/>
      <c r="V107" s="628"/>
      <c r="W107" s="628"/>
      <c r="X107" s="628"/>
      <c r="Y107" s="628"/>
      <c r="Z107" s="628"/>
      <c r="AA107" s="66"/>
      <c r="AB107" s="66"/>
      <c r="AC107" s="80"/>
    </row>
    <row r="108" spans="1:68" ht="16.5" customHeight="1" x14ac:dyDescent="0.25">
      <c r="A108" s="63" t="s">
        <v>214</v>
      </c>
      <c r="B108" s="63" t="s">
        <v>215</v>
      </c>
      <c r="C108" s="36">
        <v>4301020345</v>
      </c>
      <c r="D108" s="629">
        <v>4680115881488</v>
      </c>
      <c r="E108" s="62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45</v>
      </c>
      <c r="M108" s="38" t="s">
        <v>116</v>
      </c>
      <c r="N108" s="38"/>
      <c r="O108" s="37">
        <v>55</v>
      </c>
      <c r="P108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1"/>
      <c r="R108" s="631"/>
      <c r="S108" s="631"/>
      <c r="T108" s="63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216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217</v>
      </c>
      <c r="B109" s="63" t="s">
        <v>218</v>
      </c>
      <c r="C109" s="36">
        <v>4301020186</v>
      </c>
      <c r="D109" s="629">
        <v>4680115887664</v>
      </c>
      <c r="E109" s="62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220</v>
      </c>
      <c r="L109" s="37" t="s">
        <v>45</v>
      </c>
      <c r="M109" s="38" t="s">
        <v>82</v>
      </c>
      <c r="N109" s="38"/>
      <c r="O109" s="37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1"/>
      <c r="R109" s="631"/>
      <c r="S109" s="631"/>
      <c r="T109" s="632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219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221</v>
      </c>
      <c r="B110" s="63" t="s">
        <v>222</v>
      </c>
      <c r="C110" s="36">
        <v>4301020346</v>
      </c>
      <c r="D110" s="629">
        <v>4680115882775</v>
      </c>
      <c r="E110" s="629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1"/>
      <c r="R110" s="631"/>
      <c r="S110" s="631"/>
      <c r="T110" s="632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223</v>
      </c>
      <c r="B111" s="63" t="s">
        <v>224</v>
      </c>
      <c r="C111" s="36">
        <v>4301020344</v>
      </c>
      <c r="D111" s="629">
        <v>4680115880658</v>
      </c>
      <c r="E111" s="629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1"/>
      <c r="R111" s="631"/>
      <c r="S111" s="631"/>
      <c r="T111" s="632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7"/>
      <c r="B112" s="637"/>
      <c r="C112" s="637"/>
      <c r="D112" s="637"/>
      <c r="E112" s="637"/>
      <c r="F112" s="637"/>
      <c r="G112" s="637"/>
      <c r="H112" s="637"/>
      <c r="I112" s="637"/>
      <c r="J112" s="637"/>
      <c r="K112" s="637"/>
      <c r="L112" s="637"/>
      <c r="M112" s="637"/>
      <c r="N112" s="637"/>
      <c r="O112" s="638"/>
      <c r="P112" s="634" t="s">
        <v>40</v>
      </c>
      <c r="Q112" s="635"/>
      <c r="R112" s="635"/>
      <c r="S112" s="635"/>
      <c r="T112" s="635"/>
      <c r="U112" s="635"/>
      <c r="V112" s="636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7"/>
      <c r="B113" s="637"/>
      <c r="C113" s="637"/>
      <c r="D113" s="637"/>
      <c r="E113" s="637"/>
      <c r="F113" s="637"/>
      <c r="G113" s="637"/>
      <c r="H113" s="637"/>
      <c r="I113" s="637"/>
      <c r="J113" s="637"/>
      <c r="K113" s="637"/>
      <c r="L113" s="637"/>
      <c r="M113" s="637"/>
      <c r="N113" s="637"/>
      <c r="O113" s="638"/>
      <c r="P113" s="634" t="s">
        <v>40</v>
      </c>
      <c r="Q113" s="635"/>
      <c r="R113" s="635"/>
      <c r="S113" s="635"/>
      <c r="T113" s="635"/>
      <c r="U113" s="635"/>
      <c r="V113" s="636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8" t="s">
        <v>88</v>
      </c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8"/>
      <c r="P114" s="628"/>
      <c r="Q114" s="628"/>
      <c r="R114" s="628"/>
      <c r="S114" s="628"/>
      <c r="T114" s="628"/>
      <c r="U114" s="628"/>
      <c r="V114" s="628"/>
      <c r="W114" s="628"/>
      <c r="X114" s="628"/>
      <c r="Y114" s="628"/>
      <c r="Z114" s="628"/>
      <c r="AA114" s="66"/>
      <c r="AB114" s="66"/>
      <c r="AC114" s="80"/>
    </row>
    <row r="115" spans="1:68" ht="27" customHeight="1" x14ac:dyDescent="0.25">
      <c r="A115" s="63" t="s">
        <v>225</v>
      </c>
      <c r="B115" s="63" t="s">
        <v>226</v>
      </c>
      <c r="C115" s="36">
        <v>4301051724</v>
      </c>
      <c r="D115" s="629">
        <v>4607091385168</v>
      </c>
      <c r="E115" s="629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45</v>
      </c>
      <c r="M115" s="38" t="s">
        <v>98</v>
      </c>
      <c r="N115" s="38"/>
      <c r="O115" s="37">
        <v>45</v>
      </c>
      <c r="P115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1"/>
      <c r="R115" s="631"/>
      <c r="S115" s="631"/>
      <c r="T115" s="63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228</v>
      </c>
      <c r="B116" s="63" t="s">
        <v>229</v>
      </c>
      <c r="C116" s="36">
        <v>4301051730</v>
      </c>
      <c r="D116" s="629">
        <v>4607091383256</v>
      </c>
      <c r="E116" s="629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1"/>
      <c r="R116" s="631"/>
      <c r="S116" s="631"/>
      <c r="T116" s="632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230</v>
      </c>
      <c r="B117" s="63" t="s">
        <v>231</v>
      </c>
      <c r="C117" s="36">
        <v>4301051721</v>
      </c>
      <c r="D117" s="629">
        <v>4607091385748</v>
      </c>
      <c r="E117" s="629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232</v>
      </c>
      <c r="M117" s="38" t="s">
        <v>98</v>
      </c>
      <c r="N117" s="38"/>
      <c r="O117" s="37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1"/>
      <c r="R117" s="631"/>
      <c r="S117" s="631"/>
      <c r="T117" s="632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211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233</v>
      </c>
      <c r="B118" s="63" t="s">
        <v>234</v>
      </c>
      <c r="C118" s="36">
        <v>4301051740</v>
      </c>
      <c r="D118" s="629">
        <v>4680115884533</v>
      </c>
      <c r="E118" s="629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1"/>
      <c r="R118" s="631"/>
      <c r="S118" s="631"/>
      <c r="T118" s="632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235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7"/>
      <c r="B119" s="637"/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7"/>
      <c r="O119" s="638"/>
      <c r="P119" s="634" t="s">
        <v>40</v>
      </c>
      <c r="Q119" s="635"/>
      <c r="R119" s="635"/>
      <c r="S119" s="635"/>
      <c r="T119" s="635"/>
      <c r="U119" s="635"/>
      <c r="V119" s="636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7"/>
      <c r="B120" s="637"/>
      <c r="C120" s="637"/>
      <c r="D120" s="637"/>
      <c r="E120" s="637"/>
      <c r="F120" s="637"/>
      <c r="G120" s="637"/>
      <c r="H120" s="637"/>
      <c r="I120" s="637"/>
      <c r="J120" s="637"/>
      <c r="K120" s="637"/>
      <c r="L120" s="637"/>
      <c r="M120" s="637"/>
      <c r="N120" s="637"/>
      <c r="O120" s="638"/>
      <c r="P120" s="634" t="s">
        <v>40</v>
      </c>
      <c r="Q120" s="635"/>
      <c r="R120" s="635"/>
      <c r="S120" s="635"/>
      <c r="T120" s="635"/>
      <c r="U120" s="635"/>
      <c r="V120" s="636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8" t="s">
        <v>170</v>
      </c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8"/>
      <c r="P121" s="628"/>
      <c r="Q121" s="628"/>
      <c r="R121" s="628"/>
      <c r="S121" s="628"/>
      <c r="T121" s="628"/>
      <c r="U121" s="628"/>
      <c r="V121" s="628"/>
      <c r="W121" s="628"/>
      <c r="X121" s="628"/>
      <c r="Y121" s="628"/>
      <c r="Z121" s="628"/>
      <c r="AA121" s="66"/>
      <c r="AB121" s="66"/>
      <c r="AC121" s="80"/>
    </row>
    <row r="122" spans="1:68" ht="16.5" customHeight="1" x14ac:dyDescent="0.25">
      <c r="A122" s="63" t="s">
        <v>236</v>
      </c>
      <c r="B122" s="63" t="s">
        <v>237</v>
      </c>
      <c r="C122" s="36">
        <v>4301060317</v>
      </c>
      <c r="D122" s="629">
        <v>4680115880238</v>
      </c>
      <c r="E122" s="629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1"/>
      <c r="R122" s="631"/>
      <c r="S122" s="631"/>
      <c r="T122" s="632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238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7"/>
      <c r="B123" s="637"/>
      <c r="C123" s="637"/>
      <c r="D123" s="637"/>
      <c r="E123" s="637"/>
      <c r="F123" s="637"/>
      <c r="G123" s="637"/>
      <c r="H123" s="637"/>
      <c r="I123" s="637"/>
      <c r="J123" s="637"/>
      <c r="K123" s="637"/>
      <c r="L123" s="637"/>
      <c r="M123" s="637"/>
      <c r="N123" s="637"/>
      <c r="O123" s="638"/>
      <c r="P123" s="634" t="s">
        <v>40</v>
      </c>
      <c r="Q123" s="635"/>
      <c r="R123" s="635"/>
      <c r="S123" s="635"/>
      <c r="T123" s="635"/>
      <c r="U123" s="635"/>
      <c r="V123" s="636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7"/>
      <c r="B124" s="637"/>
      <c r="C124" s="637"/>
      <c r="D124" s="637"/>
      <c r="E124" s="637"/>
      <c r="F124" s="637"/>
      <c r="G124" s="637"/>
      <c r="H124" s="637"/>
      <c r="I124" s="637"/>
      <c r="J124" s="637"/>
      <c r="K124" s="637"/>
      <c r="L124" s="637"/>
      <c r="M124" s="637"/>
      <c r="N124" s="637"/>
      <c r="O124" s="638"/>
      <c r="P124" s="634" t="s">
        <v>40</v>
      </c>
      <c r="Q124" s="635"/>
      <c r="R124" s="635"/>
      <c r="S124" s="635"/>
      <c r="T124" s="635"/>
      <c r="U124" s="635"/>
      <c r="V124" s="636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7" t="s">
        <v>239</v>
      </c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  <c r="Y125" s="627"/>
      <c r="Z125" s="627"/>
      <c r="AA125" s="65"/>
      <c r="AB125" s="65"/>
      <c r="AC125" s="79"/>
    </row>
    <row r="126" spans="1:68" ht="14.25" customHeight="1" x14ac:dyDescent="0.25">
      <c r="A126" s="628" t="s">
        <v>112</v>
      </c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8"/>
      <c r="P126" s="628"/>
      <c r="Q126" s="628"/>
      <c r="R126" s="628"/>
      <c r="S126" s="628"/>
      <c r="T126" s="628"/>
      <c r="U126" s="628"/>
      <c r="V126" s="628"/>
      <c r="W126" s="628"/>
      <c r="X126" s="628"/>
      <c r="Y126" s="628"/>
      <c r="Z126" s="628"/>
      <c r="AA126" s="66"/>
      <c r="AB126" s="66"/>
      <c r="AC126" s="80"/>
    </row>
    <row r="127" spans="1:68" ht="27" customHeight="1" x14ac:dyDescent="0.25">
      <c r="A127" s="63" t="s">
        <v>240</v>
      </c>
      <c r="B127" s="63" t="s">
        <v>241</v>
      </c>
      <c r="C127" s="36">
        <v>4301011562</v>
      </c>
      <c r="D127" s="629">
        <v>4680115882577</v>
      </c>
      <c r="E127" s="629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1"/>
      <c r="R127" s="631"/>
      <c r="S127" s="631"/>
      <c r="T127" s="632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242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240</v>
      </c>
      <c r="B128" s="63" t="s">
        <v>243</v>
      </c>
      <c r="C128" s="36">
        <v>4301011564</v>
      </c>
      <c r="D128" s="629">
        <v>4680115882577</v>
      </c>
      <c r="E128" s="629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1"/>
      <c r="R128" s="631"/>
      <c r="S128" s="631"/>
      <c r="T128" s="632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242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7"/>
      <c r="B129" s="637"/>
      <c r="C129" s="637"/>
      <c r="D129" s="637"/>
      <c r="E129" s="637"/>
      <c r="F129" s="637"/>
      <c r="G129" s="637"/>
      <c r="H129" s="637"/>
      <c r="I129" s="637"/>
      <c r="J129" s="637"/>
      <c r="K129" s="637"/>
      <c r="L129" s="637"/>
      <c r="M129" s="637"/>
      <c r="N129" s="637"/>
      <c r="O129" s="638"/>
      <c r="P129" s="634" t="s">
        <v>40</v>
      </c>
      <c r="Q129" s="635"/>
      <c r="R129" s="635"/>
      <c r="S129" s="635"/>
      <c r="T129" s="635"/>
      <c r="U129" s="635"/>
      <c r="V129" s="636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7"/>
      <c r="B130" s="637"/>
      <c r="C130" s="637"/>
      <c r="D130" s="637"/>
      <c r="E130" s="637"/>
      <c r="F130" s="637"/>
      <c r="G130" s="637"/>
      <c r="H130" s="637"/>
      <c r="I130" s="637"/>
      <c r="J130" s="637"/>
      <c r="K130" s="637"/>
      <c r="L130" s="637"/>
      <c r="M130" s="637"/>
      <c r="N130" s="637"/>
      <c r="O130" s="638"/>
      <c r="P130" s="634" t="s">
        <v>40</v>
      </c>
      <c r="Q130" s="635"/>
      <c r="R130" s="635"/>
      <c r="S130" s="635"/>
      <c r="T130" s="635"/>
      <c r="U130" s="635"/>
      <c r="V130" s="636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8" t="s">
        <v>78</v>
      </c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8"/>
      <c r="P131" s="628"/>
      <c r="Q131" s="628"/>
      <c r="R131" s="628"/>
      <c r="S131" s="628"/>
      <c r="T131" s="628"/>
      <c r="U131" s="628"/>
      <c r="V131" s="628"/>
      <c r="W131" s="628"/>
      <c r="X131" s="628"/>
      <c r="Y131" s="628"/>
      <c r="Z131" s="628"/>
      <c r="AA131" s="66"/>
      <c r="AB131" s="66"/>
      <c r="AC131" s="80"/>
    </row>
    <row r="132" spans="1:68" ht="27" customHeight="1" x14ac:dyDescent="0.25">
      <c r="A132" s="63" t="s">
        <v>244</v>
      </c>
      <c r="B132" s="63" t="s">
        <v>245</v>
      </c>
      <c r="C132" s="36">
        <v>4301031235</v>
      </c>
      <c r="D132" s="629">
        <v>4680115883444</v>
      </c>
      <c r="E132" s="629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1"/>
      <c r="R132" s="631"/>
      <c r="S132" s="631"/>
      <c r="T132" s="632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246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244</v>
      </c>
      <c r="B133" s="63" t="s">
        <v>247</v>
      </c>
      <c r="C133" s="36">
        <v>4301031234</v>
      </c>
      <c r="D133" s="629">
        <v>4680115883444</v>
      </c>
      <c r="E133" s="629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109</v>
      </c>
      <c r="N133" s="38"/>
      <c r="O133" s="37">
        <v>90</v>
      </c>
      <c r="P133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1"/>
      <c r="R133" s="631"/>
      <c r="S133" s="631"/>
      <c r="T133" s="632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246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7"/>
      <c r="B134" s="637"/>
      <c r="C134" s="637"/>
      <c r="D134" s="637"/>
      <c r="E134" s="637"/>
      <c r="F134" s="637"/>
      <c r="G134" s="637"/>
      <c r="H134" s="637"/>
      <c r="I134" s="637"/>
      <c r="J134" s="637"/>
      <c r="K134" s="637"/>
      <c r="L134" s="637"/>
      <c r="M134" s="637"/>
      <c r="N134" s="637"/>
      <c r="O134" s="638"/>
      <c r="P134" s="634" t="s">
        <v>40</v>
      </c>
      <c r="Q134" s="635"/>
      <c r="R134" s="635"/>
      <c r="S134" s="635"/>
      <c r="T134" s="635"/>
      <c r="U134" s="635"/>
      <c r="V134" s="63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7"/>
      <c r="B135" s="637"/>
      <c r="C135" s="637"/>
      <c r="D135" s="637"/>
      <c r="E135" s="637"/>
      <c r="F135" s="637"/>
      <c r="G135" s="637"/>
      <c r="H135" s="637"/>
      <c r="I135" s="637"/>
      <c r="J135" s="637"/>
      <c r="K135" s="637"/>
      <c r="L135" s="637"/>
      <c r="M135" s="637"/>
      <c r="N135" s="637"/>
      <c r="O135" s="638"/>
      <c r="P135" s="634" t="s">
        <v>40</v>
      </c>
      <c r="Q135" s="635"/>
      <c r="R135" s="635"/>
      <c r="S135" s="635"/>
      <c r="T135" s="635"/>
      <c r="U135" s="635"/>
      <c r="V135" s="63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8" t="s">
        <v>88</v>
      </c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8"/>
      <c r="P136" s="628"/>
      <c r="Q136" s="628"/>
      <c r="R136" s="628"/>
      <c r="S136" s="628"/>
      <c r="T136" s="628"/>
      <c r="U136" s="628"/>
      <c r="V136" s="628"/>
      <c r="W136" s="628"/>
      <c r="X136" s="628"/>
      <c r="Y136" s="628"/>
      <c r="Z136" s="628"/>
      <c r="AA136" s="66"/>
      <c r="AB136" s="66"/>
      <c r="AC136" s="80"/>
    </row>
    <row r="137" spans="1:68" ht="16.5" customHeight="1" x14ac:dyDescent="0.25">
      <c r="A137" s="63" t="s">
        <v>248</v>
      </c>
      <c r="B137" s="63" t="s">
        <v>249</v>
      </c>
      <c r="C137" s="36">
        <v>4301051477</v>
      </c>
      <c r="D137" s="629">
        <v>4680115882584</v>
      </c>
      <c r="E137" s="629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1"/>
      <c r="R137" s="631"/>
      <c r="S137" s="631"/>
      <c r="T137" s="632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242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248</v>
      </c>
      <c r="B138" s="63" t="s">
        <v>250</v>
      </c>
      <c r="C138" s="36">
        <v>4301051476</v>
      </c>
      <c r="D138" s="629">
        <v>4680115882584</v>
      </c>
      <c r="E138" s="629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1"/>
      <c r="R138" s="631"/>
      <c r="S138" s="631"/>
      <c r="T138" s="632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242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7"/>
      <c r="B139" s="637"/>
      <c r="C139" s="637"/>
      <c r="D139" s="637"/>
      <c r="E139" s="637"/>
      <c r="F139" s="637"/>
      <c r="G139" s="637"/>
      <c r="H139" s="637"/>
      <c r="I139" s="637"/>
      <c r="J139" s="637"/>
      <c r="K139" s="637"/>
      <c r="L139" s="637"/>
      <c r="M139" s="637"/>
      <c r="N139" s="637"/>
      <c r="O139" s="638"/>
      <c r="P139" s="634" t="s">
        <v>40</v>
      </c>
      <c r="Q139" s="635"/>
      <c r="R139" s="635"/>
      <c r="S139" s="635"/>
      <c r="T139" s="635"/>
      <c r="U139" s="635"/>
      <c r="V139" s="63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7"/>
      <c r="B140" s="637"/>
      <c r="C140" s="637"/>
      <c r="D140" s="637"/>
      <c r="E140" s="637"/>
      <c r="F140" s="637"/>
      <c r="G140" s="637"/>
      <c r="H140" s="637"/>
      <c r="I140" s="637"/>
      <c r="J140" s="637"/>
      <c r="K140" s="637"/>
      <c r="L140" s="637"/>
      <c r="M140" s="637"/>
      <c r="N140" s="637"/>
      <c r="O140" s="638"/>
      <c r="P140" s="634" t="s">
        <v>40</v>
      </c>
      <c r="Q140" s="635"/>
      <c r="R140" s="635"/>
      <c r="S140" s="635"/>
      <c r="T140" s="635"/>
      <c r="U140" s="635"/>
      <c r="V140" s="63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7" t="s">
        <v>110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5"/>
      <c r="AB141" s="65"/>
      <c r="AC141" s="79"/>
    </row>
    <row r="142" spans="1:68" ht="14.25" customHeight="1" x14ac:dyDescent="0.25">
      <c r="A142" s="628" t="s">
        <v>112</v>
      </c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8"/>
      <c r="P142" s="628"/>
      <c r="Q142" s="628"/>
      <c r="R142" s="628"/>
      <c r="S142" s="628"/>
      <c r="T142" s="628"/>
      <c r="U142" s="628"/>
      <c r="V142" s="628"/>
      <c r="W142" s="628"/>
      <c r="X142" s="628"/>
      <c r="Y142" s="628"/>
      <c r="Z142" s="628"/>
      <c r="AA142" s="66"/>
      <c r="AB142" s="66"/>
      <c r="AC142" s="80"/>
    </row>
    <row r="143" spans="1:68" ht="27" customHeight="1" x14ac:dyDescent="0.25">
      <c r="A143" s="63" t="s">
        <v>251</v>
      </c>
      <c r="B143" s="63" t="s">
        <v>252</v>
      </c>
      <c r="C143" s="36">
        <v>4301012244</v>
      </c>
      <c r="D143" s="629">
        <v>4680115887374</v>
      </c>
      <c r="E143" s="629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1"/>
      <c r="R143" s="631"/>
      <c r="S143" s="631"/>
      <c r="T143" s="632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253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254</v>
      </c>
      <c r="B144" s="63" t="s">
        <v>255</v>
      </c>
      <c r="C144" s="36">
        <v>4301011705</v>
      </c>
      <c r="D144" s="629">
        <v>4607091384604</v>
      </c>
      <c r="E144" s="629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120</v>
      </c>
      <c r="L144" s="37" t="s">
        <v>45</v>
      </c>
      <c r="M144" s="38" t="s">
        <v>116</v>
      </c>
      <c r="N144" s="38"/>
      <c r="O144" s="37">
        <v>50</v>
      </c>
      <c r="P144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1"/>
      <c r="R144" s="631"/>
      <c r="S144" s="631"/>
      <c r="T144" s="632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256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7"/>
      <c r="B145" s="637"/>
      <c r="C145" s="637"/>
      <c r="D145" s="637"/>
      <c r="E145" s="637"/>
      <c r="F145" s="637"/>
      <c r="G145" s="637"/>
      <c r="H145" s="637"/>
      <c r="I145" s="637"/>
      <c r="J145" s="637"/>
      <c r="K145" s="637"/>
      <c r="L145" s="637"/>
      <c r="M145" s="637"/>
      <c r="N145" s="637"/>
      <c r="O145" s="638"/>
      <c r="P145" s="634" t="s">
        <v>40</v>
      </c>
      <c r="Q145" s="635"/>
      <c r="R145" s="635"/>
      <c r="S145" s="635"/>
      <c r="T145" s="635"/>
      <c r="U145" s="635"/>
      <c r="V145" s="636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7"/>
      <c r="B146" s="637"/>
      <c r="C146" s="637"/>
      <c r="D146" s="637"/>
      <c r="E146" s="637"/>
      <c r="F146" s="637"/>
      <c r="G146" s="637"/>
      <c r="H146" s="637"/>
      <c r="I146" s="637"/>
      <c r="J146" s="637"/>
      <c r="K146" s="637"/>
      <c r="L146" s="637"/>
      <c r="M146" s="637"/>
      <c r="N146" s="637"/>
      <c r="O146" s="638"/>
      <c r="P146" s="634" t="s">
        <v>40</v>
      </c>
      <c r="Q146" s="635"/>
      <c r="R146" s="635"/>
      <c r="S146" s="635"/>
      <c r="T146" s="635"/>
      <c r="U146" s="635"/>
      <c r="V146" s="636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8" t="s">
        <v>78</v>
      </c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8"/>
      <c r="P147" s="628"/>
      <c r="Q147" s="628"/>
      <c r="R147" s="628"/>
      <c r="S147" s="628"/>
      <c r="T147" s="628"/>
      <c r="U147" s="628"/>
      <c r="V147" s="628"/>
      <c r="W147" s="628"/>
      <c r="X147" s="628"/>
      <c r="Y147" s="628"/>
      <c r="Z147" s="628"/>
      <c r="AA147" s="66"/>
      <c r="AB147" s="66"/>
      <c r="AC147" s="80"/>
    </row>
    <row r="148" spans="1:68" ht="16.5" customHeight="1" x14ac:dyDescent="0.25">
      <c r="A148" s="63" t="s">
        <v>257</v>
      </c>
      <c r="B148" s="63" t="s">
        <v>258</v>
      </c>
      <c r="C148" s="36">
        <v>4301031450</v>
      </c>
      <c r="D148" s="629">
        <v>4680115887428</v>
      </c>
      <c r="E148" s="629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9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1"/>
      <c r="R148" s="631"/>
      <c r="S148" s="631"/>
      <c r="T148" s="632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260</v>
      </c>
      <c r="AC148" s="204" t="s">
        <v>259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261</v>
      </c>
      <c r="B149" s="63" t="s">
        <v>262</v>
      </c>
      <c r="C149" s="36">
        <v>4301031453</v>
      </c>
      <c r="D149" s="629">
        <v>4680115887336</v>
      </c>
      <c r="E149" s="629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6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31"/>
      <c r="R149" s="631"/>
      <c r="S149" s="631"/>
      <c r="T149" s="632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260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264</v>
      </c>
      <c r="B150" s="63" t="s">
        <v>265</v>
      </c>
      <c r="C150" s="36">
        <v>4301031456</v>
      </c>
      <c r="D150" s="629">
        <v>4680115887398</v>
      </c>
      <c r="E150" s="629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31"/>
      <c r="R150" s="631"/>
      <c r="S150" s="631"/>
      <c r="T150" s="63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260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267</v>
      </c>
      <c r="B151" s="63" t="s">
        <v>268</v>
      </c>
      <c r="C151" s="36">
        <v>4301030895</v>
      </c>
      <c r="D151" s="629">
        <v>4607091387667</v>
      </c>
      <c r="E151" s="629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31"/>
      <c r="R151" s="631"/>
      <c r="S151" s="631"/>
      <c r="T151" s="63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270</v>
      </c>
      <c r="B152" s="63" t="s">
        <v>271</v>
      </c>
      <c r="C152" s="36">
        <v>4301030961</v>
      </c>
      <c r="D152" s="629">
        <v>4607091387636</v>
      </c>
      <c r="E152" s="629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70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31"/>
      <c r="R152" s="631"/>
      <c r="S152" s="631"/>
      <c r="T152" s="63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4301030963</v>
      </c>
      <c r="D153" s="629">
        <v>4607091382426</v>
      </c>
      <c r="E153" s="629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70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31"/>
      <c r="R153" s="631"/>
      <c r="S153" s="631"/>
      <c r="T153" s="632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7"/>
      <c r="B154" s="637"/>
      <c r="C154" s="637"/>
      <c r="D154" s="637"/>
      <c r="E154" s="637"/>
      <c r="F154" s="637"/>
      <c r="G154" s="637"/>
      <c r="H154" s="637"/>
      <c r="I154" s="637"/>
      <c r="J154" s="637"/>
      <c r="K154" s="637"/>
      <c r="L154" s="637"/>
      <c r="M154" s="637"/>
      <c r="N154" s="637"/>
      <c r="O154" s="638"/>
      <c r="P154" s="634" t="s">
        <v>40</v>
      </c>
      <c r="Q154" s="635"/>
      <c r="R154" s="635"/>
      <c r="S154" s="635"/>
      <c r="T154" s="635"/>
      <c r="U154" s="635"/>
      <c r="V154" s="63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7"/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8"/>
      <c r="P155" s="634" t="s">
        <v>40</v>
      </c>
      <c r="Q155" s="635"/>
      <c r="R155" s="635"/>
      <c r="S155" s="635"/>
      <c r="T155" s="635"/>
      <c r="U155" s="635"/>
      <c r="V155" s="63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8" t="s">
        <v>88</v>
      </c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29">
        <v>4680115887459</v>
      </c>
      <c r="E157" s="629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1"/>
      <c r="R157" s="631"/>
      <c r="S157" s="631"/>
      <c r="T157" s="63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7"/>
      <c r="B158" s="637"/>
      <c r="C158" s="637"/>
      <c r="D158" s="637"/>
      <c r="E158" s="637"/>
      <c r="F158" s="637"/>
      <c r="G158" s="637"/>
      <c r="H158" s="637"/>
      <c r="I158" s="637"/>
      <c r="J158" s="637"/>
      <c r="K158" s="637"/>
      <c r="L158" s="637"/>
      <c r="M158" s="637"/>
      <c r="N158" s="637"/>
      <c r="O158" s="638"/>
      <c r="P158" s="634" t="s">
        <v>40</v>
      </c>
      <c r="Q158" s="635"/>
      <c r="R158" s="635"/>
      <c r="S158" s="635"/>
      <c r="T158" s="635"/>
      <c r="U158" s="635"/>
      <c r="V158" s="63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7"/>
      <c r="B159" s="637"/>
      <c r="C159" s="637"/>
      <c r="D159" s="637"/>
      <c r="E159" s="637"/>
      <c r="F159" s="637"/>
      <c r="G159" s="637"/>
      <c r="H159" s="637"/>
      <c r="I159" s="637"/>
      <c r="J159" s="637"/>
      <c r="K159" s="637"/>
      <c r="L159" s="637"/>
      <c r="M159" s="637"/>
      <c r="N159" s="637"/>
      <c r="O159" s="638"/>
      <c r="P159" s="634" t="s">
        <v>40</v>
      </c>
      <c r="Q159" s="635"/>
      <c r="R159" s="635"/>
      <c r="S159" s="635"/>
      <c r="T159" s="635"/>
      <c r="U159" s="635"/>
      <c r="V159" s="63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6" t="s">
        <v>279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54"/>
      <c r="AB160" s="54"/>
      <c r="AC160" s="54"/>
    </row>
    <row r="161" spans="1:68" ht="16.5" customHeight="1" x14ac:dyDescent="0.25">
      <c r="A161" s="627" t="s">
        <v>280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5"/>
      <c r="AB161" s="65"/>
      <c r="AC161" s="79"/>
    </row>
    <row r="162" spans="1:68" ht="14.25" customHeight="1" x14ac:dyDescent="0.25">
      <c r="A162" s="628" t="s">
        <v>145</v>
      </c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8"/>
      <c r="P162" s="628"/>
      <c r="Q162" s="628"/>
      <c r="R162" s="628"/>
      <c r="S162" s="628"/>
      <c r="T162" s="628"/>
      <c r="U162" s="628"/>
      <c r="V162" s="628"/>
      <c r="W162" s="628"/>
      <c r="X162" s="628"/>
      <c r="Y162" s="628"/>
      <c r="Z162" s="628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29">
        <v>4680115886223</v>
      </c>
      <c r="E163" s="629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1"/>
      <c r="R163" s="631"/>
      <c r="S163" s="631"/>
      <c r="T163" s="632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7"/>
      <c r="B164" s="637"/>
      <c r="C164" s="637"/>
      <c r="D164" s="637"/>
      <c r="E164" s="637"/>
      <c r="F164" s="637"/>
      <c r="G164" s="637"/>
      <c r="H164" s="637"/>
      <c r="I164" s="637"/>
      <c r="J164" s="637"/>
      <c r="K164" s="637"/>
      <c r="L164" s="637"/>
      <c r="M164" s="637"/>
      <c r="N164" s="637"/>
      <c r="O164" s="638"/>
      <c r="P164" s="634" t="s">
        <v>40</v>
      </c>
      <c r="Q164" s="635"/>
      <c r="R164" s="635"/>
      <c r="S164" s="635"/>
      <c r="T164" s="635"/>
      <c r="U164" s="635"/>
      <c r="V164" s="63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7"/>
      <c r="B165" s="637"/>
      <c r="C165" s="637"/>
      <c r="D165" s="637"/>
      <c r="E165" s="637"/>
      <c r="F165" s="637"/>
      <c r="G165" s="637"/>
      <c r="H165" s="637"/>
      <c r="I165" s="637"/>
      <c r="J165" s="637"/>
      <c r="K165" s="637"/>
      <c r="L165" s="637"/>
      <c r="M165" s="637"/>
      <c r="N165" s="637"/>
      <c r="O165" s="638"/>
      <c r="P165" s="634" t="s">
        <v>40</v>
      </c>
      <c r="Q165" s="635"/>
      <c r="R165" s="635"/>
      <c r="S165" s="635"/>
      <c r="T165" s="635"/>
      <c r="U165" s="635"/>
      <c r="V165" s="63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8" t="s">
        <v>78</v>
      </c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8"/>
      <c r="P166" s="628"/>
      <c r="Q166" s="628"/>
      <c r="R166" s="628"/>
      <c r="S166" s="628"/>
      <c r="T166" s="628"/>
      <c r="U166" s="628"/>
      <c r="V166" s="628"/>
      <c r="W166" s="628"/>
      <c r="X166" s="628"/>
      <c r="Y166" s="628"/>
      <c r="Z166" s="628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4301031191</v>
      </c>
      <c r="D167" s="629">
        <v>4680115880993</v>
      </c>
      <c r="E167" s="629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31"/>
      <c r="R167" s="631"/>
      <c r="S167" s="631"/>
      <c r="T167" s="63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4301031204</v>
      </c>
      <c r="D168" s="629">
        <v>4680115881761</v>
      </c>
      <c r="E168" s="629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120</v>
      </c>
      <c r="L168" s="37" t="s">
        <v>45</v>
      </c>
      <c r="M168" s="38" t="s">
        <v>82</v>
      </c>
      <c r="N168" s="38"/>
      <c r="O168" s="37">
        <v>40</v>
      </c>
      <c r="P168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31"/>
      <c r="R168" s="631"/>
      <c r="S168" s="631"/>
      <c r="T168" s="63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4301031201</v>
      </c>
      <c r="D169" s="629">
        <v>4680115881563</v>
      </c>
      <c r="E169" s="629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120</v>
      </c>
      <c r="L169" s="37" t="s">
        <v>45</v>
      </c>
      <c r="M169" s="38" t="s">
        <v>82</v>
      </c>
      <c r="N169" s="38"/>
      <c r="O169" s="37">
        <v>40</v>
      </c>
      <c r="P169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31"/>
      <c r="R169" s="631"/>
      <c r="S169" s="631"/>
      <c r="T169" s="63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292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293</v>
      </c>
      <c r="B170" s="63" t="s">
        <v>294</v>
      </c>
      <c r="C170" s="36">
        <v>4301031447</v>
      </c>
      <c r="D170" s="629">
        <v>4680115887565</v>
      </c>
      <c r="E170" s="629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31"/>
      <c r="R170" s="631"/>
      <c r="S170" s="631"/>
      <c r="T170" s="63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295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4301031199</v>
      </c>
      <c r="D171" s="629">
        <v>4680115880986</v>
      </c>
      <c r="E171" s="629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31"/>
      <c r="R171" s="631"/>
      <c r="S171" s="631"/>
      <c r="T171" s="632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286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298</v>
      </c>
      <c r="B172" s="63" t="s">
        <v>299</v>
      </c>
      <c r="C172" s="36">
        <v>4301031443</v>
      </c>
      <c r="D172" s="629">
        <v>4680115887213</v>
      </c>
      <c r="E172" s="629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31"/>
      <c r="R172" s="631"/>
      <c r="S172" s="631"/>
      <c r="T172" s="632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300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301</v>
      </c>
      <c r="B173" s="63" t="s">
        <v>302</v>
      </c>
      <c r="C173" s="36">
        <v>4301031205</v>
      </c>
      <c r="D173" s="629">
        <v>4680115881785</v>
      </c>
      <c r="E173" s="629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31"/>
      <c r="R173" s="631"/>
      <c r="S173" s="631"/>
      <c r="T173" s="632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289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4301031399</v>
      </c>
      <c r="D174" s="629">
        <v>4680115886537</v>
      </c>
      <c r="E174" s="629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31"/>
      <c r="R174" s="631"/>
      <c r="S174" s="631"/>
      <c r="T174" s="632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305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4301031279</v>
      </c>
      <c r="D175" s="629">
        <v>4680115887596</v>
      </c>
      <c r="E175" s="629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184</v>
      </c>
      <c r="L175" s="37" t="s">
        <v>45</v>
      </c>
      <c r="M175" s="38" t="s">
        <v>82</v>
      </c>
      <c r="N175" s="38"/>
      <c r="O175" s="37">
        <v>45</v>
      </c>
      <c r="P175" s="7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31"/>
      <c r="R175" s="631"/>
      <c r="S175" s="631"/>
      <c r="T175" s="632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308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309</v>
      </c>
      <c r="B176" s="63" t="s">
        <v>310</v>
      </c>
      <c r="C176" s="36">
        <v>4301031202</v>
      </c>
      <c r="D176" s="629">
        <v>4680115881679</v>
      </c>
      <c r="E176" s="629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31"/>
      <c r="R176" s="631"/>
      <c r="S176" s="631"/>
      <c r="T176" s="632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292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4301031158</v>
      </c>
      <c r="D177" s="629">
        <v>4680115880191</v>
      </c>
      <c r="E177" s="629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31"/>
      <c r="R177" s="631"/>
      <c r="S177" s="631"/>
      <c r="T177" s="632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292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4301031245</v>
      </c>
      <c r="D178" s="629">
        <v>4680115883963</v>
      </c>
      <c r="E178" s="62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31"/>
      <c r="R178" s="631"/>
      <c r="S178" s="631"/>
      <c r="T178" s="632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315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7"/>
      <c r="B179" s="637"/>
      <c r="C179" s="637"/>
      <c r="D179" s="637"/>
      <c r="E179" s="637"/>
      <c r="F179" s="637"/>
      <c r="G179" s="637"/>
      <c r="H179" s="637"/>
      <c r="I179" s="637"/>
      <c r="J179" s="637"/>
      <c r="K179" s="637"/>
      <c r="L179" s="637"/>
      <c r="M179" s="637"/>
      <c r="N179" s="637"/>
      <c r="O179" s="638"/>
      <c r="P179" s="634" t="s">
        <v>40</v>
      </c>
      <c r="Q179" s="635"/>
      <c r="R179" s="635"/>
      <c r="S179" s="635"/>
      <c r="T179" s="635"/>
      <c r="U179" s="635"/>
      <c r="V179" s="636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7"/>
      <c r="B180" s="637"/>
      <c r="C180" s="637"/>
      <c r="D180" s="637"/>
      <c r="E180" s="637"/>
      <c r="F180" s="637"/>
      <c r="G180" s="637"/>
      <c r="H180" s="637"/>
      <c r="I180" s="637"/>
      <c r="J180" s="637"/>
      <c r="K180" s="637"/>
      <c r="L180" s="637"/>
      <c r="M180" s="637"/>
      <c r="N180" s="637"/>
      <c r="O180" s="638"/>
      <c r="P180" s="634" t="s">
        <v>40</v>
      </c>
      <c r="Q180" s="635"/>
      <c r="R180" s="635"/>
      <c r="S180" s="635"/>
      <c r="T180" s="635"/>
      <c r="U180" s="635"/>
      <c r="V180" s="636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8" t="s">
        <v>104</v>
      </c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8"/>
      <c r="P181" s="628"/>
      <c r="Q181" s="628"/>
      <c r="R181" s="628"/>
      <c r="S181" s="628"/>
      <c r="T181" s="628"/>
      <c r="U181" s="628"/>
      <c r="V181" s="628"/>
      <c r="W181" s="628"/>
      <c r="X181" s="628"/>
      <c r="Y181" s="628"/>
      <c r="Z181" s="628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4301032053</v>
      </c>
      <c r="D182" s="629">
        <v>4680115886780</v>
      </c>
      <c r="E182" s="629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320</v>
      </c>
      <c r="L182" s="37" t="s">
        <v>45</v>
      </c>
      <c r="M182" s="38" t="s">
        <v>319</v>
      </c>
      <c r="N182" s="38"/>
      <c r="O182" s="37">
        <v>60</v>
      </c>
      <c r="P182" s="7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31"/>
      <c r="R182" s="631"/>
      <c r="S182" s="631"/>
      <c r="T182" s="632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318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4301032051</v>
      </c>
      <c r="D183" s="629">
        <v>4680115886742</v>
      </c>
      <c r="E183" s="629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320</v>
      </c>
      <c r="L183" s="37" t="s">
        <v>45</v>
      </c>
      <c r="M183" s="38" t="s">
        <v>319</v>
      </c>
      <c r="N183" s="38"/>
      <c r="O183" s="37">
        <v>90</v>
      </c>
      <c r="P183" s="7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31"/>
      <c r="R183" s="631"/>
      <c r="S183" s="631"/>
      <c r="T183" s="632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4301032052</v>
      </c>
      <c r="D184" s="629">
        <v>4680115886766</v>
      </c>
      <c r="E184" s="629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320</v>
      </c>
      <c r="L184" s="37" t="s">
        <v>45</v>
      </c>
      <c r="M184" s="38" t="s">
        <v>319</v>
      </c>
      <c r="N184" s="38"/>
      <c r="O184" s="37">
        <v>90</v>
      </c>
      <c r="P184" s="7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31"/>
      <c r="R184" s="631"/>
      <c r="S184" s="631"/>
      <c r="T184" s="632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323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7"/>
      <c r="B185" s="637"/>
      <c r="C185" s="637"/>
      <c r="D185" s="637"/>
      <c r="E185" s="637"/>
      <c r="F185" s="637"/>
      <c r="G185" s="637"/>
      <c r="H185" s="637"/>
      <c r="I185" s="637"/>
      <c r="J185" s="637"/>
      <c r="K185" s="637"/>
      <c r="L185" s="637"/>
      <c r="M185" s="637"/>
      <c r="N185" s="637"/>
      <c r="O185" s="638"/>
      <c r="P185" s="634" t="s">
        <v>40</v>
      </c>
      <c r="Q185" s="635"/>
      <c r="R185" s="635"/>
      <c r="S185" s="635"/>
      <c r="T185" s="635"/>
      <c r="U185" s="635"/>
      <c r="V185" s="636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7"/>
      <c r="B186" s="637"/>
      <c r="C186" s="637"/>
      <c r="D186" s="637"/>
      <c r="E186" s="637"/>
      <c r="F186" s="637"/>
      <c r="G186" s="637"/>
      <c r="H186" s="637"/>
      <c r="I186" s="637"/>
      <c r="J186" s="637"/>
      <c r="K186" s="637"/>
      <c r="L186" s="637"/>
      <c r="M186" s="637"/>
      <c r="N186" s="637"/>
      <c r="O186" s="638"/>
      <c r="P186" s="634" t="s">
        <v>40</v>
      </c>
      <c r="Q186" s="635"/>
      <c r="R186" s="635"/>
      <c r="S186" s="635"/>
      <c r="T186" s="635"/>
      <c r="U186" s="635"/>
      <c r="V186" s="636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8" t="s">
        <v>326</v>
      </c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8"/>
      <c r="P187" s="628"/>
      <c r="Q187" s="628"/>
      <c r="R187" s="628"/>
      <c r="S187" s="628"/>
      <c r="T187" s="628"/>
      <c r="U187" s="628"/>
      <c r="V187" s="628"/>
      <c r="W187" s="628"/>
      <c r="X187" s="628"/>
      <c r="Y187" s="628"/>
      <c r="Z187" s="628"/>
      <c r="AA187" s="66"/>
      <c r="AB187" s="66"/>
      <c r="AC187" s="80"/>
    </row>
    <row r="188" spans="1:68" ht="27" customHeight="1" x14ac:dyDescent="0.25">
      <c r="A188" s="63" t="s">
        <v>327</v>
      </c>
      <c r="B188" s="63" t="s">
        <v>328</v>
      </c>
      <c r="C188" s="36">
        <v>4301170013</v>
      </c>
      <c r="D188" s="629">
        <v>4680115886797</v>
      </c>
      <c r="E188" s="629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320</v>
      </c>
      <c r="L188" s="37" t="s">
        <v>45</v>
      </c>
      <c r="M188" s="38" t="s">
        <v>319</v>
      </c>
      <c r="N188" s="38"/>
      <c r="O188" s="37">
        <v>90</v>
      </c>
      <c r="P188" s="7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31"/>
      <c r="R188" s="631"/>
      <c r="S188" s="631"/>
      <c r="T188" s="632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323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7"/>
      <c r="B189" s="637"/>
      <c r="C189" s="637"/>
      <c r="D189" s="637"/>
      <c r="E189" s="637"/>
      <c r="F189" s="637"/>
      <c r="G189" s="637"/>
      <c r="H189" s="637"/>
      <c r="I189" s="637"/>
      <c r="J189" s="637"/>
      <c r="K189" s="637"/>
      <c r="L189" s="637"/>
      <c r="M189" s="637"/>
      <c r="N189" s="637"/>
      <c r="O189" s="638"/>
      <c r="P189" s="634" t="s">
        <v>40</v>
      </c>
      <c r="Q189" s="635"/>
      <c r="R189" s="635"/>
      <c r="S189" s="635"/>
      <c r="T189" s="635"/>
      <c r="U189" s="635"/>
      <c r="V189" s="636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7"/>
      <c r="B190" s="637"/>
      <c r="C190" s="637"/>
      <c r="D190" s="637"/>
      <c r="E190" s="637"/>
      <c r="F190" s="637"/>
      <c r="G190" s="637"/>
      <c r="H190" s="637"/>
      <c r="I190" s="637"/>
      <c r="J190" s="637"/>
      <c r="K190" s="637"/>
      <c r="L190" s="637"/>
      <c r="M190" s="637"/>
      <c r="N190" s="637"/>
      <c r="O190" s="638"/>
      <c r="P190" s="634" t="s">
        <v>40</v>
      </c>
      <c r="Q190" s="635"/>
      <c r="R190" s="635"/>
      <c r="S190" s="635"/>
      <c r="T190" s="635"/>
      <c r="U190" s="635"/>
      <c r="V190" s="636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7" t="s">
        <v>329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5"/>
      <c r="AB191" s="65"/>
      <c r="AC191" s="79"/>
    </row>
    <row r="192" spans="1:68" ht="14.25" customHeight="1" x14ac:dyDescent="0.25">
      <c r="A192" s="628" t="s">
        <v>112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6"/>
      <c r="AB192" s="66"/>
      <c r="AC192" s="80"/>
    </row>
    <row r="193" spans="1:68" ht="27" customHeight="1" x14ac:dyDescent="0.25">
      <c r="A193" s="63" t="s">
        <v>330</v>
      </c>
      <c r="B193" s="63" t="s">
        <v>331</v>
      </c>
      <c r="C193" s="36">
        <v>4301011450</v>
      </c>
      <c r="D193" s="629">
        <v>4680115881402</v>
      </c>
      <c r="E193" s="629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31"/>
      <c r="R193" s="631"/>
      <c r="S193" s="631"/>
      <c r="T193" s="632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332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333</v>
      </c>
      <c r="B194" s="63" t="s">
        <v>334</v>
      </c>
      <c r="C194" s="36">
        <v>4301011768</v>
      </c>
      <c r="D194" s="629">
        <v>4680115881396</v>
      </c>
      <c r="E194" s="629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31"/>
      <c r="R194" s="631"/>
      <c r="S194" s="631"/>
      <c r="T194" s="632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332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7"/>
      <c r="B195" s="637"/>
      <c r="C195" s="637"/>
      <c r="D195" s="637"/>
      <c r="E195" s="637"/>
      <c r="F195" s="637"/>
      <c r="G195" s="637"/>
      <c r="H195" s="637"/>
      <c r="I195" s="637"/>
      <c r="J195" s="637"/>
      <c r="K195" s="637"/>
      <c r="L195" s="637"/>
      <c r="M195" s="637"/>
      <c r="N195" s="637"/>
      <c r="O195" s="638"/>
      <c r="P195" s="634" t="s">
        <v>40</v>
      </c>
      <c r="Q195" s="635"/>
      <c r="R195" s="635"/>
      <c r="S195" s="635"/>
      <c r="T195" s="635"/>
      <c r="U195" s="635"/>
      <c r="V195" s="636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7"/>
      <c r="B196" s="637"/>
      <c r="C196" s="637"/>
      <c r="D196" s="637"/>
      <c r="E196" s="637"/>
      <c r="F196" s="637"/>
      <c r="G196" s="637"/>
      <c r="H196" s="637"/>
      <c r="I196" s="637"/>
      <c r="J196" s="637"/>
      <c r="K196" s="637"/>
      <c r="L196" s="637"/>
      <c r="M196" s="637"/>
      <c r="N196" s="637"/>
      <c r="O196" s="638"/>
      <c r="P196" s="634" t="s">
        <v>40</v>
      </c>
      <c r="Q196" s="635"/>
      <c r="R196" s="635"/>
      <c r="S196" s="635"/>
      <c r="T196" s="635"/>
      <c r="U196" s="635"/>
      <c r="V196" s="636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8" t="s">
        <v>145</v>
      </c>
      <c r="B197" s="628"/>
      <c r="C197" s="628"/>
      <c r="D197" s="628"/>
      <c r="E197" s="628"/>
      <c r="F197" s="628"/>
      <c r="G197" s="628"/>
      <c r="H197" s="628"/>
      <c r="I197" s="628"/>
      <c r="J197" s="628"/>
      <c r="K197" s="628"/>
      <c r="L197" s="628"/>
      <c r="M197" s="628"/>
      <c r="N197" s="628"/>
      <c r="O197" s="628"/>
      <c r="P197" s="628"/>
      <c r="Q197" s="628"/>
      <c r="R197" s="628"/>
      <c r="S197" s="628"/>
      <c r="T197" s="628"/>
      <c r="U197" s="628"/>
      <c r="V197" s="628"/>
      <c r="W197" s="628"/>
      <c r="X197" s="628"/>
      <c r="Y197" s="628"/>
      <c r="Z197" s="628"/>
      <c r="AA197" s="66"/>
      <c r="AB197" s="66"/>
      <c r="AC197" s="80"/>
    </row>
    <row r="198" spans="1:68" ht="16.5" customHeight="1" x14ac:dyDescent="0.25">
      <c r="A198" s="63" t="s">
        <v>335</v>
      </c>
      <c r="B198" s="63" t="s">
        <v>336</v>
      </c>
      <c r="C198" s="36">
        <v>4301020261</v>
      </c>
      <c r="D198" s="629">
        <v>4680115882935</v>
      </c>
      <c r="E198" s="629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31"/>
      <c r="R198" s="631"/>
      <c r="S198" s="631"/>
      <c r="T198" s="632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337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338</v>
      </c>
      <c r="B199" s="63" t="s">
        <v>339</v>
      </c>
      <c r="C199" s="36">
        <v>4301020220</v>
      </c>
      <c r="D199" s="629">
        <v>4680115880764</v>
      </c>
      <c r="E199" s="629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31"/>
      <c r="R199" s="631"/>
      <c r="S199" s="631"/>
      <c r="T199" s="632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337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7"/>
      <c r="B200" s="637"/>
      <c r="C200" s="637"/>
      <c r="D200" s="637"/>
      <c r="E200" s="637"/>
      <c r="F200" s="637"/>
      <c r="G200" s="637"/>
      <c r="H200" s="637"/>
      <c r="I200" s="637"/>
      <c r="J200" s="637"/>
      <c r="K200" s="637"/>
      <c r="L200" s="637"/>
      <c r="M200" s="637"/>
      <c r="N200" s="637"/>
      <c r="O200" s="638"/>
      <c r="P200" s="634" t="s">
        <v>40</v>
      </c>
      <c r="Q200" s="635"/>
      <c r="R200" s="635"/>
      <c r="S200" s="635"/>
      <c r="T200" s="635"/>
      <c r="U200" s="635"/>
      <c r="V200" s="636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7"/>
      <c r="B201" s="637"/>
      <c r="C201" s="637"/>
      <c r="D201" s="637"/>
      <c r="E201" s="637"/>
      <c r="F201" s="637"/>
      <c r="G201" s="637"/>
      <c r="H201" s="637"/>
      <c r="I201" s="637"/>
      <c r="J201" s="637"/>
      <c r="K201" s="637"/>
      <c r="L201" s="637"/>
      <c r="M201" s="637"/>
      <c r="N201" s="637"/>
      <c r="O201" s="638"/>
      <c r="P201" s="634" t="s">
        <v>40</v>
      </c>
      <c r="Q201" s="635"/>
      <c r="R201" s="635"/>
      <c r="S201" s="635"/>
      <c r="T201" s="635"/>
      <c r="U201" s="635"/>
      <c r="V201" s="636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8" t="s">
        <v>78</v>
      </c>
      <c r="B202" s="628"/>
      <c r="C202" s="628"/>
      <c r="D202" s="628"/>
      <c r="E202" s="628"/>
      <c r="F202" s="628"/>
      <c r="G202" s="628"/>
      <c r="H202" s="628"/>
      <c r="I202" s="628"/>
      <c r="J202" s="628"/>
      <c r="K202" s="628"/>
      <c r="L202" s="628"/>
      <c r="M202" s="628"/>
      <c r="N202" s="628"/>
      <c r="O202" s="628"/>
      <c r="P202" s="628"/>
      <c r="Q202" s="628"/>
      <c r="R202" s="628"/>
      <c r="S202" s="628"/>
      <c r="T202" s="628"/>
      <c r="U202" s="628"/>
      <c r="V202" s="628"/>
      <c r="W202" s="628"/>
      <c r="X202" s="628"/>
      <c r="Y202" s="628"/>
      <c r="Z202" s="628"/>
      <c r="AA202" s="66"/>
      <c r="AB202" s="66"/>
      <c r="AC202" s="80"/>
    </row>
    <row r="203" spans="1:68" ht="27" customHeight="1" x14ac:dyDescent="0.25">
      <c r="A203" s="63" t="s">
        <v>340</v>
      </c>
      <c r="B203" s="63" t="s">
        <v>341</v>
      </c>
      <c r="C203" s="36">
        <v>4301031224</v>
      </c>
      <c r="D203" s="629">
        <v>4680115882683</v>
      </c>
      <c r="E203" s="629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45</v>
      </c>
      <c r="M203" s="38" t="s">
        <v>82</v>
      </c>
      <c r="N203" s="38"/>
      <c r="O203" s="37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31"/>
      <c r="R203" s="631"/>
      <c r="S203" s="631"/>
      <c r="T203" s="632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342</v>
      </c>
      <c r="AG203" s="78"/>
      <c r="AJ203" s="84" t="s">
        <v>45</v>
      </c>
      <c r="AK203" s="84">
        <v>0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343</v>
      </c>
      <c r="B204" s="63" t="s">
        <v>344</v>
      </c>
      <c r="C204" s="36">
        <v>4301031230</v>
      </c>
      <c r="D204" s="629">
        <v>4680115882690</v>
      </c>
      <c r="E204" s="629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45</v>
      </c>
      <c r="M204" s="38" t="s">
        <v>82</v>
      </c>
      <c r="N204" s="38"/>
      <c r="O204" s="37">
        <v>40</v>
      </c>
      <c r="P204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31"/>
      <c r="R204" s="631"/>
      <c r="S204" s="631"/>
      <c r="T204" s="632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345</v>
      </c>
      <c r="AG204" s="78"/>
      <c r="AJ204" s="84" t="s">
        <v>45</v>
      </c>
      <c r="AK204" s="84">
        <v>0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346</v>
      </c>
      <c r="B205" s="63" t="s">
        <v>347</v>
      </c>
      <c r="C205" s="36">
        <v>4301031220</v>
      </c>
      <c r="D205" s="629">
        <v>4680115882669</v>
      </c>
      <c r="E205" s="629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45</v>
      </c>
      <c r="M205" s="38" t="s">
        <v>82</v>
      </c>
      <c r="N205" s="38"/>
      <c r="O205" s="37">
        <v>40</v>
      </c>
      <c r="P205" s="7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31"/>
      <c r="R205" s="631"/>
      <c r="S205" s="631"/>
      <c r="T205" s="632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348</v>
      </c>
      <c r="AG205" s="78"/>
      <c r="AJ205" s="84" t="s">
        <v>45</v>
      </c>
      <c r="AK205" s="84">
        <v>0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349</v>
      </c>
      <c r="B206" s="63" t="s">
        <v>350</v>
      </c>
      <c r="C206" s="36">
        <v>4301031221</v>
      </c>
      <c r="D206" s="629">
        <v>4680115882676</v>
      </c>
      <c r="E206" s="629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31"/>
      <c r="R206" s="631"/>
      <c r="S206" s="631"/>
      <c r="T206" s="63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351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4301031223</v>
      </c>
      <c r="D207" s="629">
        <v>4680115884014</v>
      </c>
      <c r="E207" s="629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354</v>
      </c>
      <c r="M207" s="38" t="s">
        <v>82</v>
      </c>
      <c r="N207" s="38"/>
      <c r="O207" s="37">
        <v>40</v>
      </c>
      <c r="P207" s="7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31"/>
      <c r="R207" s="631"/>
      <c r="S207" s="631"/>
      <c r="T207" s="63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342</v>
      </c>
      <c r="AG207" s="78"/>
      <c r="AJ207" s="84" t="s">
        <v>211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9">
        <v>4680115884007</v>
      </c>
      <c r="E208" s="629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31"/>
      <c r="R208" s="631"/>
      <c r="S208" s="631"/>
      <c r="T208" s="63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345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9">
        <v>4680115884038</v>
      </c>
      <c r="E209" s="629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31"/>
      <c r="R209" s="631"/>
      <c r="S209" s="631"/>
      <c r="T209" s="63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348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9">
        <v>4680115884021</v>
      </c>
      <c r="E210" s="629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31"/>
      <c r="R210" s="631"/>
      <c r="S210" s="631"/>
      <c r="T210" s="63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351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7"/>
      <c r="B211" s="637"/>
      <c r="C211" s="637"/>
      <c r="D211" s="637"/>
      <c r="E211" s="637"/>
      <c r="F211" s="637"/>
      <c r="G211" s="637"/>
      <c r="H211" s="637"/>
      <c r="I211" s="637"/>
      <c r="J211" s="637"/>
      <c r="K211" s="637"/>
      <c r="L211" s="637"/>
      <c r="M211" s="637"/>
      <c r="N211" s="637"/>
      <c r="O211" s="638"/>
      <c r="P211" s="634" t="s">
        <v>40</v>
      </c>
      <c r="Q211" s="635"/>
      <c r="R211" s="635"/>
      <c r="S211" s="635"/>
      <c r="T211" s="635"/>
      <c r="U211" s="635"/>
      <c r="V211" s="636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7"/>
      <c r="B212" s="637"/>
      <c r="C212" s="637"/>
      <c r="D212" s="637"/>
      <c r="E212" s="637"/>
      <c r="F212" s="637"/>
      <c r="G212" s="637"/>
      <c r="H212" s="637"/>
      <c r="I212" s="637"/>
      <c r="J212" s="637"/>
      <c r="K212" s="637"/>
      <c r="L212" s="637"/>
      <c r="M212" s="637"/>
      <c r="N212" s="637"/>
      <c r="O212" s="638"/>
      <c r="P212" s="634" t="s">
        <v>40</v>
      </c>
      <c r="Q212" s="635"/>
      <c r="R212" s="635"/>
      <c r="S212" s="635"/>
      <c r="T212" s="635"/>
      <c r="U212" s="635"/>
      <c r="V212" s="636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8" t="s">
        <v>88</v>
      </c>
      <c r="B213" s="628"/>
      <c r="C213" s="628"/>
      <c r="D213" s="628"/>
      <c r="E213" s="628"/>
      <c r="F213" s="628"/>
      <c r="G213" s="628"/>
      <c r="H213" s="628"/>
      <c r="I213" s="628"/>
      <c r="J213" s="628"/>
      <c r="K213" s="628"/>
      <c r="L213" s="628"/>
      <c r="M213" s="628"/>
      <c r="N213" s="628"/>
      <c r="O213" s="628"/>
      <c r="P213" s="628"/>
      <c r="Q213" s="628"/>
      <c r="R213" s="628"/>
      <c r="S213" s="628"/>
      <c r="T213" s="628"/>
      <c r="U213" s="628"/>
      <c r="V213" s="628"/>
      <c r="W213" s="628"/>
      <c r="X213" s="628"/>
      <c r="Y213" s="628"/>
      <c r="Z213" s="628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9">
        <v>4680115881594</v>
      </c>
      <c r="E214" s="629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31"/>
      <c r="R214" s="631"/>
      <c r="S214" s="631"/>
      <c r="T214" s="63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9">
        <v>4680115881617</v>
      </c>
      <c r="E215" s="629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31"/>
      <c r="R215" s="631"/>
      <c r="S215" s="631"/>
      <c r="T215" s="632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9">
        <v>4680115880573</v>
      </c>
      <c r="E216" s="629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45</v>
      </c>
      <c r="P216" s="7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31"/>
      <c r="R216" s="631"/>
      <c r="S216" s="631"/>
      <c r="T216" s="632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9">
        <v>4680115882195</v>
      </c>
      <c r="E217" s="629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232</v>
      </c>
      <c r="M217" s="38" t="s">
        <v>92</v>
      </c>
      <c r="N217" s="38"/>
      <c r="O217" s="37">
        <v>40</v>
      </c>
      <c r="P217" s="7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31"/>
      <c r="R217" s="631"/>
      <c r="S217" s="631"/>
      <c r="T217" s="63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211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9">
        <v>4680115882607</v>
      </c>
      <c r="E218" s="629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31"/>
      <c r="R218" s="631"/>
      <c r="S218" s="631"/>
      <c r="T218" s="632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9">
        <v>4680115880092</v>
      </c>
      <c r="E219" s="62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232</v>
      </c>
      <c r="M219" s="38" t="s">
        <v>92</v>
      </c>
      <c r="N219" s="38"/>
      <c r="O219" s="37">
        <v>45</v>
      </c>
      <c r="P219" s="7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31"/>
      <c r="R219" s="631"/>
      <c r="S219" s="631"/>
      <c r="T219" s="632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211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9">
        <v>4680115880221</v>
      </c>
      <c r="E220" s="629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31"/>
      <c r="R220" s="631"/>
      <c r="S220" s="631"/>
      <c r="T220" s="632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9">
        <v>4680115880504</v>
      </c>
      <c r="E221" s="629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45</v>
      </c>
      <c r="M221" s="38" t="s">
        <v>98</v>
      </c>
      <c r="N221" s="38"/>
      <c r="O221" s="37">
        <v>40</v>
      </c>
      <c r="P22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31"/>
      <c r="R221" s="631"/>
      <c r="S221" s="631"/>
      <c r="T221" s="632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45</v>
      </c>
      <c r="AK221" s="84">
        <v>0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9">
        <v>4680115882164</v>
      </c>
      <c r="E222" s="629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40</v>
      </c>
      <c r="P22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31"/>
      <c r="R222" s="631"/>
      <c r="S222" s="631"/>
      <c r="T222" s="632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7"/>
      <c r="B223" s="637"/>
      <c r="C223" s="637"/>
      <c r="D223" s="637"/>
      <c r="E223" s="637"/>
      <c r="F223" s="637"/>
      <c r="G223" s="637"/>
      <c r="H223" s="637"/>
      <c r="I223" s="637"/>
      <c r="J223" s="637"/>
      <c r="K223" s="637"/>
      <c r="L223" s="637"/>
      <c r="M223" s="637"/>
      <c r="N223" s="637"/>
      <c r="O223" s="638"/>
      <c r="P223" s="634" t="s">
        <v>40</v>
      </c>
      <c r="Q223" s="635"/>
      <c r="R223" s="635"/>
      <c r="S223" s="635"/>
      <c r="T223" s="635"/>
      <c r="U223" s="635"/>
      <c r="V223" s="636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7"/>
      <c r="B224" s="637"/>
      <c r="C224" s="637"/>
      <c r="D224" s="637"/>
      <c r="E224" s="637"/>
      <c r="F224" s="637"/>
      <c r="G224" s="637"/>
      <c r="H224" s="637"/>
      <c r="I224" s="637"/>
      <c r="J224" s="637"/>
      <c r="K224" s="637"/>
      <c r="L224" s="637"/>
      <c r="M224" s="637"/>
      <c r="N224" s="637"/>
      <c r="O224" s="638"/>
      <c r="P224" s="634" t="s">
        <v>40</v>
      </c>
      <c r="Q224" s="635"/>
      <c r="R224" s="635"/>
      <c r="S224" s="635"/>
      <c r="T224" s="635"/>
      <c r="U224" s="635"/>
      <c r="V224" s="636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8" t="s">
        <v>170</v>
      </c>
      <c r="B225" s="628"/>
      <c r="C225" s="628"/>
      <c r="D225" s="628"/>
      <c r="E225" s="628"/>
      <c r="F225" s="628"/>
      <c r="G225" s="628"/>
      <c r="H225" s="628"/>
      <c r="I225" s="628"/>
      <c r="J225" s="628"/>
      <c r="K225" s="628"/>
      <c r="L225" s="628"/>
      <c r="M225" s="628"/>
      <c r="N225" s="628"/>
      <c r="O225" s="628"/>
      <c r="P225" s="628"/>
      <c r="Q225" s="628"/>
      <c r="R225" s="628"/>
      <c r="S225" s="628"/>
      <c r="T225" s="628"/>
      <c r="U225" s="628"/>
      <c r="V225" s="628"/>
      <c r="W225" s="628"/>
      <c r="X225" s="628"/>
      <c r="Y225" s="628"/>
      <c r="Z225" s="628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9">
        <v>4680115880818</v>
      </c>
      <c r="E226" s="629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31"/>
      <c r="R226" s="631"/>
      <c r="S226" s="631"/>
      <c r="T226" s="632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9">
        <v>4680115880801</v>
      </c>
      <c r="E227" s="629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31"/>
      <c r="R227" s="631"/>
      <c r="S227" s="631"/>
      <c r="T227" s="632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7"/>
      <c r="B228" s="637"/>
      <c r="C228" s="637"/>
      <c r="D228" s="637"/>
      <c r="E228" s="637"/>
      <c r="F228" s="637"/>
      <c r="G228" s="637"/>
      <c r="H228" s="637"/>
      <c r="I228" s="637"/>
      <c r="J228" s="637"/>
      <c r="K228" s="637"/>
      <c r="L228" s="637"/>
      <c r="M228" s="637"/>
      <c r="N228" s="637"/>
      <c r="O228" s="638"/>
      <c r="P228" s="634" t="s">
        <v>40</v>
      </c>
      <c r="Q228" s="635"/>
      <c r="R228" s="635"/>
      <c r="S228" s="635"/>
      <c r="T228" s="635"/>
      <c r="U228" s="635"/>
      <c r="V228" s="636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7"/>
      <c r="B229" s="637"/>
      <c r="C229" s="637"/>
      <c r="D229" s="637"/>
      <c r="E229" s="637"/>
      <c r="F229" s="637"/>
      <c r="G229" s="637"/>
      <c r="H229" s="637"/>
      <c r="I229" s="637"/>
      <c r="J229" s="637"/>
      <c r="K229" s="637"/>
      <c r="L229" s="637"/>
      <c r="M229" s="637"/>
      <c r="N229" s="637"/>
      <c r="O229" s="638"/>
      <c r="P229" s="634" t="s">
        <v>40</v>
      </c>
      <c r="Q229" s="635"/>
      <c r="R229" s="635"/>
      <c r="S229" s="635"/>
      <c r="T229" s="635"/>
      <c r="U229" s="635"/>
      <c r="V229" s="636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7" t="s">
        <v>390</v>
      </c>
      <c r="B230" s="627"/>
      <c r="C230" s="627"/>
      <c r="D230" s="627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T230" s="627"/>
      <c r="U230" s="627"/>
      <c r="V230" s="627"/>
      <c r="W230" s="627"/>
      <c r="X230" s="627"/>
      <c r="Y230" s="627"/>
      <c r="Z230" s="627"/>
      <c r="AA230" s="65"/>
      <c r="AB230" s="65"/>
      <c r="AC230" s="79"/>
    </row>
    <row r="231" spans="1:68" ht="14.25" customHeight="1" x14ac:dyDescent="0.25">
      <c r="A231" s="628" t="s">
        <v>112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9">
        <v>4680115884137</v>
      </c>
      <c r="E232" s="629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4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31"/>
      <c r="R232" s="631"/>
      <c r="S232" s="631"/>
      <c r="T232" s="63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9">
        <v>4680115884236</v>
      </c>
      <c r="E233" s="629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31"/>
      <c r="R233" s="631"/>
      <c r="S233" s="631"/>
      <c r="T233" s="63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9">
        <v>4680115884175</v>
      </c>
      <c r="E234" s="629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31"/>
      <c r="R234" s="631"/>
      <c r="S234" s="631"/>
      <c r="T234" s="632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4301011824</v>
      </c>
      <c r="D235" s="629">
        <v>4680115884144</v>
      </c>
      <c r="E235" s="629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116</v>
      </c>
      <c r="N235" s="38"/>
      <c r="O235" s="37">
        <v>55</v>
      </c>
      <c r="P235" s="7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31"/>
      <c r="R235" s="631"/>
      <c r="S235" s="631"/>
      <c r="T235" s="632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4301012196</v>
      </c>
      <c r="D236" s="629">
        <v>4680115884144</v>
      </c>
      <c r="E236" s="629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116</v>
      </c>
      <c r="N236" s="38"/>
      <c r="O236" s="37">
        <v>55</v>
      </c>
      <c r="P236" s="7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31"/>
      <c r="R236" s="631"/>
      <c r="S236" s="631"/>
      <c r="T236" s="632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9">
        <v>4680115886551</v>
      </c>
      <c r="E237" s="629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116</v>
      </c>
      <c r="N237" s="38"/>
      <c r="O237" s="37">
        <v>55</v>
      </c>
      <c r="P237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31"/>
      <c r="R237" s="631"/>
      <c r="S237" s="631"/>
      <c r="T237" s="632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9">
        <v>4680115887282</v>
      </c>
      <c r="E238" s="629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31"/>
      <c r="R238" s="631"/>
      <c r="S238" s="631"/>
      <c r="T238" s="632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4301011722</v>
      </c>
      <c r="D239" s="629">
        <v>4680115884205</v>
      </c>
      <c r="E239" s="629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116</v>
      </c>
      <c r="N239" s="38"/>
      <c r="O239" s="37">
        <v>55</v>
      </c>
      <c r="P239" s="7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31"/>
      <c r="R239" s="631"/>
      <c r="S239" s="631"/>
      <c r="T239" s="632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4301012195</v>
      </c>
      <c r="D240" s="629">
        <v>4680115884205</v>
      </c>
      <c r="E240" s="629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116</v>
      </c>
      <c r="N240" s="38"/>
      <c r="O240" s="37">
        <v>55</v>
      </c>
      <c r="P240" s="75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31"/>
      <c r="R240" s="631"/>
      <c r="S240" s="631"/>
      <c r="T240" s="632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7"/>
      <c r="B241" s="637"/>
      <c r="C241" s="637"/>
      <c r="D241" s="637"/>
      <c r="E241" s="637"/>
      <c r="F241" s="637"/>
      <c r="G241" s="637"/>
      <c r="H241" s="637"/>
      <c r="I241" s="637"/>
      <c r="J241" s="637"/>
      <c r="K241" s="637"/>
      <c r="L241" s="637"/>
      <c r="M241" s="637"/>
      <c r="N241" s="637"/>
      <c r="O241" s="638"/>
      <c r="P241" s="634" t="s">
        <v>40</v>
      </c>
      <c r="Q241" s="635"/>
      <c r="R241" s="635"/>
      <c r="S241" s="635"/>
      <c r="T241" s="635"/>
      <c r="U241" s="635"/>
      <c r="V241" s="636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7"/>
      <c r="B242" s="637"/>
      <c r="C242" s="637"/>
      <c r="D242" s="637"/>
      <c r="E242" s="637"/>
      <c r="F242" s="637"/>
      <c r="G242" s="637"/>
      <c r="H242" s="637"/>
      <c r="I242" s="637"/>
      <c r="J242" s="637"/>
      <c r="K242" s="637"/>
      <c r="L242" s="637"/>
      <c r="M242" s="637"/>
      <c r="N242" s="637"/>
      <c r="O242" s="638"/>
      <c r="P242" s="634" t="s">
        <v>40</v>
      </c>
      <c r="Q242" s="635"/>
      <c r="R242" s="635"/>
      <c r="S242" s="635"/>
      <c r="T242" s="635"/>
      <c r="U242" s="635"/>
      <c r="V242" s="636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8" t="s">
        <v>145</v>
      </c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8"/>
      <c r="P243" s="628"/>
      <c r="Q243" s="628"/>
      <c r="R243" s="628"/>
      <c r="S243" s="628"/>
      <c r="T243" s="628"/>
      <c r="U243" s="628"/>
      <c r="V243" s="628"/>
      <c r="W243" s="628"/>
      <c r="X243" s="628"/>
      <c r="Y243" s="628"/>
      <c r="Z243" s="628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9">
        <v>4680115885981</v>
      </c>
      <c r="E244" s="629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31"/>
      <c r="R244" s="631"/>
      <c r="S244" s="631"/>
      <c r="T244" s="632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7"/>
      <c r="B245" s="637"/>
      <c r="C245" s="637"/>
      <c r="D245" s="637"/>
      <c r="E245" s="637"/>
      <c r="F245" s="637"/>
      <c r="G245" s="637"/>
      <c r="H245" s="637"/>
      <c r="I245" s="637"/>
      <c r="J245" s="637"/>
      <c r="K245" s="637"/>
      <c r="L245" s="637"/>
      <c r="M245" s="637"/>
      <c r="N245" s="637"/>
      <c r="O245" s="638"/>
      <c r="P245" s="634" t="s">
        <v>40</v>
      </c>
      <c r="Q245" s="635"/>
      <c r="R245" s="635"/>
      <c r="S245" s="635"/>
      <c r="T245" s="635"/>
      <c r="U245" s="635"/>
      <c r="V245" s="636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7"/>
      <c r="B246" s="637"/>
      <c r="C246" s="637"/>
      <c r="D246" s="637"/>
      <c r="E246" s="637"/>
      <c r="F246" s="637"/>
      <c r="G246" s="637"/>
      <c r="H246" s="637"/>
      <c r="I246" s="637"/>
      <c r="J246" s="637"/>
      <c r="K246" s="637"/>
      <c r="L246" s="637"/>
      <c r="M246" s="637"/>
      <c r="N246" s="637"/>
      <c r="O246" s="638"/>
      <c r="P246" s="634" t="s">
        <v>40</v>
      </c>
      <c r="Q246" s="635"/>
      <c r="R246" s="635"/>
      <c r="S246" s="635"/>
      <c r="T246" s="635"/>
      <c r="U246" s="635"/>
      <c r="V246" s="636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8" t="s">
        <v>415</v>
      </c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8"/>
      <c r="P247" s="628"/>
      <c r="Q247" s="628"/>
      <c r="R247" s="628"/>
      <c r="S247" s="628"/>
      <c r="T247" s="628"/>
      <c r="U247" s="628"/>
      <c r="V247" s="628"/>
      <c r="W247" s="628"/>
      <c r="X247" s="628"/>
      <c r="Y247" s="628"/>
      <c r="Z247" s="628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9">
        <v>4680115886803</v>
      </c>
      <c r="E248" s="629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320</v>
      </c>
      <c r="L248" s="37" t="s">
        <v>45</v>
      </c>
      <c r="M248" s="38" t="s">
        <v>319</v>
      </c>
      <c r="N248" s="38"/>
      <c r="O248" s="37">
        <v>45</v>
      </c>
      <c r="P248" s="7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31"/>
      <c r="R248" s="631"/>
      <c r="S248" s="631"/>
      <c r="T248" s="63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7"/>
      <c r="B249" s="637"/>
      <c r="C249" s="637"/>
      <c r="D249" s="637"/>
      <c r="E249" s="637"/>
      <c r="F249" s="637"/>
      <c r="G249" s="637"/>
      <c r="H249" s="637"/>
      <c r="I249" s="637"/>
      <c r="J249" s="637"/>
      <c r="K249" s="637"/>
      <c r="L249" s="637"/>
      <c r="M249" s="637"/>
      <c r="N249" s="637"/>
      <c r="O249" s="638"/>
      <c r="P249" s="634" t="s">
        <v>40</v>
      </c>
      <c r="Q249" s="635"/>
      <c r="R249" s="635"/>
      <c r="S249" s="635"/>
      <c r="T249" s="635"/>
      <c r="U249" s="635"/>
      <c r="V249" s="636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7"/>
      <c r="B250" s="637"/>
      <c r="C250" s="637"/>
      <c r="D250" s="637"/>
      <c r="E250" s="637"/>
      <c r="F250" s="637"/>
      <c r="G250" s="637"/>
      <c r="H250" s="637"/>
      <c r="I250" s="637"/>
      <c r="J250" s="637"/>
      <c r="K250" s="637"/>
      <c r="L250" s="637"/>
      <c r="M250" s="637"/>
      <c r="N250" s="637"/>
      <c r="O250" s="638"/>
      <c r="P250" s="634" t="s">
        <v>40</v>
      </c>
      <c r="Q250" s="635"/>
      <c r="R250" s="635"/>
      <c r="S250" s="635"/>
      <c r="T250" s="635"/>
      <c r="U250" s="635"/>
      <c r="V250" s="636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8" t="s">
        <v>419</v>
      </c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8"/>
      <c r="P251" s="628"/>
      <c r="Q251" s="628"/>
      <c r="R251" s="628"/>
      <c r="S251" s="628"/>
      <c r="T251" s="628"/>
      <c r="U251" s="628"/>
      <c r="V251" s="628"/>
      <c r="W251" s="628"/>
      <c r="X251" s="628"/>
      <c r="Y251" s="628"/>
      <c r="Z251" s="628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9">
        <v>4680115886704</v>
      </c>
      <c r="E252" s="629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320</v>
      </c>
      <c r="L252" s="37" t="s">
        <v>45</v>
      </c>
      <c r="M252" s="38" t="s">
        <v>319</v>
      </c>
      <c r="N252" s="38"/>
      <c r="O252" s="37">
        <v>90</v>
      </c>
      <c r="P252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31"/>
      <c r="R252" s="631"/>
      <c r="S252" s="631"/>
      <c r="T252" s="632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9">
        <v>4680115886681</v>
      </c>
      <c r="E253" s="629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320</v>
      </c>
      <c r="L253" s="37" t="s">
        <v>45</v>
      </c>
      <c r="M253" s="38" t="s">
        <v>319</v>
      </c>
      <c r="N253" s="38"/>
      <c r="O253" s="37">
        <v>90</v>
      </c>
      <c r="P253" s="7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31"/>
      <c r="R253" s="631"/>
      <c r="S253" s="631"/>
      <c r="T253" s="632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9">
        <v>4680115886735</v>
      </c>
      <c r="E254" s="629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320</v>
      </c>
      <c r="L254" s="37" t="s">
        <v>45</v>
      </c>
      <c r="M254" s="38" t="s">
        <v>319</v>
      </c>
      <c r="N254" s="38"/>
      <c r="O254" s="37">
        <v>90</v>
      </c>
      <c r="P254" s="75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31"/>
      <c r="R254" s="631"/>
      <c r="S254" s="631"/>
      <c r="T254" s="63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9">
        <v>4680115886728</v>
      </c>
      <c r="E255" s="629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320</v>
      </c>
      <c r="L255" s="37" t="s">
        <v>45</v>
      </c>
      <c r="M255" s="38" t="s">
        <v>319</v>
      </c>
      <c r="N255" s="38"/>
      <c r="O255" s="37">
        <v>90</v>
      </c>
      <c r="P255" s="7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31"/>
      <c r="R255" s="631"/>
      <c r="S255" s="631"/>
      <c r="T255" s="63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9">
        <v>4680115886711</v>
      </c>
      <c r="E256" s="629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320</v>
      </c>
      <c r="L256" s="37" t="s">
        <v>45</v>
      </c>
      <c r="M256" s="38" t="s">
        <v>319</v>
      </c>
      <c r="N256" s="38"/>
      <c r="O256" s="37">
        <v>90</v>
      </c>
      <c r="P256" s="75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31"/>
      <c r="R256" s="631"/>
      <c r="S256" s="631"/>
      <c r="T256" s="63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7"/>
      <c r="B257" s="637"/>
      <c r="C257" s="637"/>
      <c r="D257" s="637"/>
      <c r="E257" s="637"/>
      <c r="F257" s="637"/>
      <c r="G257" s="637"/>
      <c r="H257" s="637"/>
      <c r="I257" s="637"/>
      <c r="J257" s="637"/>
      <c r="K257" s="637"/>
      <c r="L257" s="637"/>
      <c r="M257" s="637"/>
      <c r="N257" s="637"/>
      <c r="O257" s="638"/>
      <c r="P257" s="634" t="s">
        <v>40</v>
      </c>
      <c r="Q257" s="635"/>
      <c r="R257" s="635"/>
      <c r="S257" s="635"/>
      <c r="T257" s="635"/>
      <c r="U257" s="635"/>
      <c r="V257" s="636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7"/>
      <c r="B258" s="637"/>
      <c r="C258" s="637"/>
      <c r="D258" s="637"/>
      <c r="E258" s="637"/>
      <c r="F258" s="637"/>
      <c r="G258" s="637"/>
      <c r="H258" s="637"/>
      <c r="I258" s="637"/>
      <c r="J258" s="637"/>
      <c r="K258" s="637"/>
      <c r="L258" s="637"/>
      <c r="M258" s="637"/>
      <c r="N258" s="637"/>
      <c r="O258" s="638"/>
      <c r="P258" s="634" t="s">
        <v>40</v>
      </c>
      <c r="Q258" s="635"/>
      <c r="R258" s="635"/>
      <c r="S258" s="635"/>
      <c r="T258" s="635"/>
      <c r="U258" s="635"/>
      <c r="V258" s="636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7" t="s">
        <v>431</v>
      </c>
      <c r="B259" s="627"/>
      <c r="C259" s="627"/>
      <c r="D259" s="627"/>
      <c r="E259" s="627"/>
      <c r="F259" s="627"/>
      <c r="G259" s="627"/>
      <c r="H259" s="627"/>
      <c r="I259" s="627"/>
      <c r="J259" s="627"/>
      <c r="K259" s="627"/>
      <c r="L259" s="627"/>
      <c r="M259" s="627"/>
      <c r="N259" s="627"/>
      <c r="O259" s="627"/>
      <c r="P259" s="627"/>
      <c r="Q259" s="627"/>
      <c r="R259" s="627"/>
      <c r="S259" s="627"/>
      <c r="T259" s="627"/>
      <c r="U259" s="627"/>
      <c r="V259" s="627"/>
      <c r="W259" s="627"/>
      <c r="X259" s="627"/>
      <c r="Y259" s="627"/>
      <c r="Z259" s="627"/>
      <c r="AA259" s="65"/>
      <c r="AB259" s="65"/>
      <c r="AC259" s="79"/>
    </row>
    <row r="260" spans="1:68" ht="14.25" customHeight="1" x14ac:dyDescent="0.25">
      <c r="A260" s="628" t="s">
        <v>112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9">
        <v>4680115885837</v>
      </c>
      <c r="E261" s="62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31"/>
      <c r="R261" s="631"/>
      <c r="S261" s="631"/>
      <c r="T261" s="632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9">
        <v>4680115885851</v>
      </c>
      <c r="E262" s="629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6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31"/>
      <c r="R262" s="631"/>
      <c r="S262" s="631"/>
      <c r="T262" s="632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9">
        <v>4680115885806</v>
      </c>
      <c r="E263" s="629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31"/>
      <c r="R263" s="631"/>
      <c r="S263" s="631"/>
      <c r="T263" s="63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9">
        <v>4680115885844</v>
      </c>
      <c r="E264" s="629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116</v>
      </c>
      <c r="N264" s="38"/>
      <c r="O264" s="37">
        <v>55</v>
      </c>
      <c r="P264" s="7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31"/>
      <c r="R264" s="631"/>
      <c r="S264" s="631"/>
      <c r="T264" s="63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9">
        <v>4680115885820</v>
      </c>
      <c r="E265" s="629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116</v>
      </c>
      <c r="N265" s="38"/>
      <c r="O265" s="37">
        <v>55</v>
      </c>
      <c r="P265" s="76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31"/>
      <c r="R265" s="631"/>
      <c r="S265" s="631"/>
      <c r="T265" s="63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7"/>
      <c r="B266" s="637"/>
      <c r="C266" s="637"/>
      <c r="D266" s="637"/>
      <c r="E266" s="637"/>
      <c r="F266" s="637"/>
      <c r="G266" s="637"/>
      <c r="H266" s="637"/>
      <c r="I266" s="637"/>
      <c r="J266" s="637"/>
      <c r="K266" s="637"/>
      <c r="L266" s="637"/>
      <c r="M266" s="637"/>
      <c r="N266" s="637"/>
      <c r="O266" s="638"/>
      <c r="P266" s="634" t="s">
        <v>40</v>
      </c>
      <c r="Q266" s="635"/>
      <c r="R266" s="635"/>
      <c r="S266" s="635"/>
      <c r="T266" s="635"/>
      <c r="U266" s="635"/>
      <c r="V266" s="636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7"/>
      <c r="B267" s="637"/>
      <c r="C267" s="637"/>
      <c r="D267" s="637"/>
      <c r="E267" s="637"/>
      <c r="F267" s="637"/>
      <c r="G267" s="637"/>
      <c r="H267" s="637"/>
      <c r="I267" s="637"/>
      <c r="J267" s="637"/>
      <c r="K267" s="637"/>
      <c r="L267" s="637"/>
      <c r="M267" s="637"/>
      <c r="N267" s="637"/>
      <c r="O267" s="638"/>
      <c r="P267" s="634" t="s">
        <v>40</v>
      </c>
      <c r="Q267" s="635"/>
      <c r="R267" s="635"/>
      <c r="S267" s="635"/>
      <c r="T267" s="635"/>
      <c r="U267" s="635"/>
      <c r="V267" s="636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7" t="s">
        <v>447</v>
      </c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7"/>
      <c r="P268" s="627"/>
      <c r="Q268" s="627"/>
      <c r="R268" s="627"/>
      <c r="S268" s="627"/>
      <c r="T268" s="627"/>
      <c r="U268" s="627"/>
      <c r="V268" s="627"/>
      <c r="W268" s="627"/>
      <c r="X268" s="627"/>
      <c r="Y268" s="627"/>
      <c r="Z268" s="627"/>
      <c r="AA268" s="65"/>
      <c r="AB268" s="65"/>
      <c r="AC268" s="79"/>
    </row>
    <row r="269" spans="1:68" ht="14.25" customHeight="1" x14ac:dyDescent="0.25">
      <c r="A269" s="628" t="s">
        <v>112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9">
        <v>4607091383423</v>
      </c>
      <c r="E270" s="629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31"/>
      <c r="R270" s="631"/>
      <c r="S270" s="631"/>
      <c r="T270" s="632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9">
        <v>4680115886957</v>
      </c>
      <c r="E271" s="629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31"/>
      <c r="R271" s="631"/>
      <c r="S271" s="631"/>
      <c r="T271" s="63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9">
        <v>4680115885660</v>
      </c>
      <c r="E272" s="629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31"/>
      <c r="R272" s="631"/>
      <c r="S272" s="631"/>
      <c r="T272" s="63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9">
        <v>4680115886773</v>
      </c>
      <c r="E273" s="629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31"/>
      <c r="R273" s="631"/>
      <c r="S273" s="631"/>
      <c r="T273" s="63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7"/>
      <c r="B274" s="637"/>
      <c r="C274" s="637"/>
      <c r="D274" s="637"/>
      <c r="E274" s="637"/>
      <c r="F274" s="637"/>
      <c r="G274" s="637"/>
      <c r="H274" s="637"/>
      <c r="I274" s="637"/>
      <c r="J274" s="637"/>
      <c r="K274" s="637"/>
      <c r="L274" s="637"/>
      <c r="M274" s="637"/>
      <c r="N274" s="637"/>
      <c r="O274" s="638"/>
      <c r="P274" s="634" t="s">
        <v>40</v>
      </c>
      <c r="Q274" s="635"/>
      <c r="R274" s="635"/>
      <c r="S274" s="635"/>
      <c r="T274" s="635"/>
      <c r="U274" s="635"/>
      <c r="V274" s="636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7"/>
      <c r="B275" s="637"/>
      <c r="C275" s="637"/>
      <c r="D275" s="637"/>
      <c r="E275" s="637"/>
      <c r="F275" s="637"/>
      <c r="G275" s="637"/>
      <c r="H275" s="637"/>
      <c r="I275" s="637"/>
      <c r="J275" s="637"/>
      <c r="K275" s="637"/>
      <c r="L275" s="637"/>
      <c r="M275" s="637"/>
      <c r="N275" s="637"/>
      <c r="O275" s="638"/>
      <c r="P275" s="634" t="s">
        <v>40</v>
      </c>
      <c r="Q275" s="635"/>
      <c r="R275" s="635"/>
      <c r="S275" s="635"/>
      <c r="T275" s="635"/>
      <c r="U275" s="635"/>
      <c r="V275" s="636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7" t="s">
        <v>458</v>
      </c>
      <c r="B276" s="627"/>
      <c r="C276" s="627"/>
      <c r="D276" s="627"/>
      <c r="E276" s="627"/>
      <c r="F276" s="627"/>
      <c r="G276" s="627"/>
      <c r="H276" s="627"/>
      <c r="I276" s="627"/>
      <c r="J276" s="627"/>
      <c r="K276" s="627"/>
      <c r="L276" s="627"/>
      <c r="M276" s="627"/>
      <c r="N276" s="627"/>
      <c r="O276" s="627"/>
      <c r="P276" s="627"/>
      <c r="Q276" s="627"/>
      <c r="R276" s="627"/>
      <c r="S276" s="627"/>
      <c r="T276" s="627"/>
      <c r="U276" s="627"/>
      <c r="V276" s="627"/>
      <c r="W276" s="627"/>
      <c r="X276" s="627"/>
      <c r="Y276" s="627"/>
      <c r="Z276" s="627"/>
      <c r="AA276" s="65"/>
      <c r="AB276" s="65"/>
      <c r="AC276" s="79"/>
    </row>
    <row r="277" spans="1:68" ht="14.25" customHeight="1" x14ac:dyDescent="0.25">
      <c r="A277" s="628" t="s">
        <v>88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9">
        <v>4680115886186</v>
      </c>
      <c r="E278" s="629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31"/>
      <c r="R278" s="631"/>
      <c r="S278" s="631"/>
      <c r="T278" s="63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9">
        <v>4680115881228</v>
      </c>
      <c r="E279" s="62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45</v>
      </c>
      <c r="M279" s="38" t="s">
        <v>98</v>
      </c>
      <c r="N279" s="38"/>
      <c r="O279" s="37">
        <v>40</v>
      </c>
      <c r="P279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31"/>
      <c r="R279" s="631"/>
      <c r="S279" s="631"/>
      <c r="T279" s="63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9">
        <v>4680115881211</v>
      </c>
      <c r="E280" s="629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31"/>
      <c r="R280" s="631"/>
      <c r="S280" s="631"/>
      <c r="T280" s="632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7"/>
      <c r="B281" s="637"/>
      <c r="C281" s="637"/>
      <c r="D281" s="637"/>
      <c r="E281" s="637"/>
      <c r="F281" s="637"/>
      <c r="G281" s="637"/>
      <c r="H281" s="637"/>
      <c r="I281" s="637"/>
      <c r="J281" s="637"/>
      <c r="K281" s="637"/>
      <c r="L281" s="637"/>
      <c r="M281" s="637"/>
      <c r="N281" s="637"/>
      <c r="O281" s="638"/>
      <c r="P281" s="634" t="s">
        <v>40</v>
      </c>
      <c r="Q281" s="635"/>
      <c r="R281" s="635"/>
      <c r="S281" s="635"/>
      <c r="T281" s="635"/>
      <c r="U281" s="635"/>
      <c r="V281" s="636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7"/>
      <c r="B282" s="637"/>
      <c r="C282" s="637"/>
      <c r="D282" s="637"/>
      <c r="E282" s="637"/>
      <c r="F282" s="637"/>
      <c r="G282" s="637"/>
      <c r="H282" s="637"/>
      <c r="I282" s="637"/>
      <c r="J282" s="637"/>
      <c r="K282" s="637"/>
      <c r="L282" s="637"/>
      <c r="M282" s="637"/>
      <c r="N282" s="637"/>
      <c r="O282" s="638"/>
      <c r="P282" s="634" t="s">
        <v>40</v>
      </c>
      <c r="Q282" s="635"/>
      <c r="R282" s="635"/>
      <c r="S282" s="635"/>
      <c r="T282" s="635"/>
      <c r="U282" s="635"/>
      <c r="V282" s="636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7" t="s">
        <v>467</v>
      </c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7"/>
      <c r="P283" s="627"/>
      <c r="Q283" s="627"/>
      <c r="R283" s="627"/>
      <c r="S283" s="627"/>
      <c r="T283" s="627"/>
      <c r="U283" s="627"/>
      <c r="V283" s="627"/>
      <c r="W283" s="627"/>
      <c r="X283" s="627"/>
      <c r="Y283" s="627"/>
      <c r="Z283" s="627"/>
      <c r="AA283" s="65"/>
      <c r="AB283" s="65"/>
      <c r="AC283" s="79"/>
    </row>
    <row r="284" spans="1:68" ht="14.25" customHeight="1" x14ac:dyDescent="0.25">
      <c r="A284" s="628" t="s">
        <v>78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9">
        <v>4680115880344</v>
      </c>
      <c r="E285" s="629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31"/>
      <c r="R285" s="631"/>
      <c r="S285" s="631"/>
      <c r="T285" s="632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9">
        <v>4680115886919</v>
      </c>
      <c r="E286" s="629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31"/>
      <c r="R286" s="631"/>
      <c r="S286" s="631"/>
      <c r="T286" s="632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7"/>
      <c r="B287" s="637"/>
      <c r="C287" s="637"/>
      <c r="D287" s="637"/>
      <c r="E287" s="637"/>
      <c r="F287" s="637"/>
      <c r="G287" s="637"/>
      <c r="H287" s="637"/>
      <c r="I287" s="637"/>
      <c r="J287" s="637"/>
      <c r="K287" s="637"/>
      <c r="L287" s="637"/>
      <c r="M287" s="637"/>
      <c r="N287" s="637"/>
      <c r="O287" s="638"/>
      <c r="P287" s="634" t="s">
        <v>40</v>
      </c>
      <c r="Q287" s="635"/>
      <c r="R287" s="635"/>
      <c r="S287" s="635"/>
      <c r="T287" s="635"/>
      <c r="U287" s="635"/>
      <c r="V287" s="636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7"/>
      <c r="B288" s="637"/>
      <c r="C288" s="637"/>
      <c r="D288" s="637"/>
      <c r="E288" s="637"/>
      <c r="F288" s="637"/>
      <c r="G288" s="637"/>
      <c r="H288" s="637"/>
      <c r="I288" s="637"/>
      <c r="J288" s="637"/>
      <c r="K288" s="637"/>
      <c r="L288" s="637"/>
      <c r="M288" s="637"/>
      <c r="N288" s="637"/>
      <c r="O288" s="638"/>
      <c r="P288" s="634" t="s">
        <v>40</v>
      </c>
      <c r="Q288" s="635"/>
      <c r="R288" s="635"/>
      <c r="S288" s="635"/>
      <c r="T288" s="635"/>
      <c r="U288" s="635"/>
      <c r="V288" s="636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8" t="s">
        <v>88</v>
      </c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8"/>
      <c r="P289" s="628"/>
      <c r="Q289" s="628"/>
      <c r="R289" s="628"/>
      <c r="S289" s="628"/>
      <c r="T289" s="628"/>
      <c r="U289" s="628"/>
      <c r="V289" s="628"/>
      <c r="W289" s="628"/>
      <c r="X289" s="628"/>
      <c r="Y289" s="628"/>
      <c r="Z289" s="628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9">
        <v>4680115884618</v>
      </c>
      <c r="E290" s="629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31"/>
      <c r="R290" s="631"/>
      <c r="S290" s="631"/>
      <c r="T290" s="63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9">
        <v>4680115887114</v>
      </c>
      <c r="E291" s="629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31"/>
      <c r="R291" s="631"/>
      <c r="S291" s="631"/>
      <c r="T291" s="63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7"/>
      <c r="B292" s="637"/>
      <c r="C292" s="637"/>
      <c r="D292" s="637"/>
      <c r="E292" s="637"/>
      <c r="F292" s="637"/>
      <c r="G292" s="637"/>
      <c r="H292" s="637"/>
      <c r="I292" s="637"/>
      <c r="J292" s="637"/>
      <c r="K292" s="637"/>
      <c r="L292" s="637"/>
      <c r="M292" s="637"/>
      <c r="N292" s="637"/>
      <c r="O292" s="638"/>
      <c r="P292" s="634" t="s">
        <v>40</v>
      </c>
      <c r="Q292" s="635"/>
      <c r="R292" s="635"/>
      <c r="S292" s="635"/>
      <c r="T292" s="635"/>
      <c r="U292" s="635"/>
      <c r="V292" s="636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7"/>
      <c r="B293" s="637"/>
      <c r="C293" s="637"/>
      <c r="D293" s="637"/>
      <c r="E293" s="637"/>
      <c r="F293" s="637"/>
      <c r="G293" s="637"/>
      <c r="H293" s="637"/>
      <c r="I293" s="637"/>
      <c r="J293" s="637"/>
      <c r="K293" s="637"/>
      <c r="L293" s="637"/>
      <c r="M293" s="637"/>
      <c r="N293" s="637"/>
      <c r="O293" s="638"/>
      <c r="P293" s="634" t="s">
        <v>40</v>
      </c>
      <c r="Q293" s="635"/>
      <c r="R293" s="635"/>
      <c r="S293" s="635"/>
      <c r="T293" s="635"/>
      <c r="U293" s="635"/>
      <c r="V293" s="636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7" t="s">
        <v>480</v>
      </c>
      <c r="B294" s="627"/>
      <c r="C294" s="627"/>
      <c r="D294" s="627"/>
      <c r="E294" s="627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T294" s="627"/>
      <c r="U294" s="627"/>
      <c r="V294" s="627"/>
      <c r="W294" s="627"/>
      <c r="X294" s="627"/>
      <c r="Y294" s="627"/>
      <c r="Z294" s="627"/>
      <c r="AA294" s="65"/>
      <c r="AB294" s="65"/>
      <c r="AC294" s="79"/>
    </row>
    <row r="295" spans="1:68" ht="14.25" customHeight="1" x14ac:dyDescent="0.25">
      <c r="A295" s="628" t="s">
        <v>112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9">
        <v>4680115885615</v>
      </c>
      <c r="E296" s="629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31"/>
      <c r="R296" s="631"/>
      <c r="S296" s="631"/>
      <c r="T296" s="632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9">
        <v>4680115885646</v>
      </c>
      <c r="E297" s="629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31"/>
      <c r="R297" s="631"/>
      <c r="S297" s="631"/>
      <c r="T297" s="632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9">
        <v>4680115885554</v>
      </c>
      <c r="E298" s="629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31"/>
      <c r="R298" s="631"/>
      <c r="S298" s="631"/>
      <c r="T298" s="632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9">
        <v>4680115885622</v>
      </c>
      <c r="E299" s="629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116</v>
      </c>
      <c r="N299" s="38"/>
      <c r="O299" s="37">
        <v>55</v>
      </c>
      <c r="P299" s="77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31"/>
      <c r="R299" s="631"/>
      <c r="S299" s="631"/>
      <c r="T299" s="632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9">
        <v>4680115885608</v>
      </c>
      <c r="E300" s="62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116</v>
      </c>
      <c r="N300" s="38"/>
      <c r="O300" s="37">
        <v>55</v>
      </c>
      <c r="P300" s="77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31"/>
      <c r="R300" s="631"/>
      <c r="S300" s="631"/>
      <c r="T300" s="632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7"/>
      <c r="B301" s="637"/>
      <c r="C301" s="637"/>
      <c r="D301" s="637"/>
      <c r="E301" s="637"/>
      <c r="F301" s="637"/>
      <c r="G301" s="637"/>
      <c r="H301" s="637"/>
      <c r="I301" s="637"/>
      <c r="J301" s="637"/>
      <c r="K301" s="637"/>
      <c r="L301" s="637"/>
      <c r="M301" s="637"/>
      <c r="N301" s="637"/>
      <c r="O301" s="638"/>
      <c r="P301" s="634" t="s">
        <v>40</v>
      </c>
      <c r="Q301" s="635"/>
      <c r="R301" s="635"/>
      <c r="S301" s="635"/>
      <c r="T301" s="635"/>
      <c r="U301" s="635"/>
      <c r="V301" s="636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7"/>
      <c r="B302" s="637"/>
      <c r="C302" s="637"/>
      <c r="D302" s="637"/>
      <c r="E302" s="637"/>
      <c r="F302" s="637"/>
      <c r="G302" s="637"/>
      <c r="H302" s="637"/>
      <c r="I302" s="637"/>
      <c r="J302" s="637"/>
      <c r="K302" s="637"/>
      <c r="L302" s="637"/>
      <c r="M302" s="637"/>
      <c r="N302" s="637"/>
      <c r="O302" s="638"/>
      <c r="P302" s="634" t="s">
        <v>40</v>
      </c>
      <c r="Q302" s="635"/>
      <c r="R302" s="635"/>
      <c r="S302" s="635"/>
      <c r="T302" s="635"/>
      <c r="U302" s="635"/>
      <c r="V302" s="636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8" t="s">
        <v>78</v>
      </c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8"/>
      <c r="P303" s="628"/>
      <c r="Q303" s="628"/>
      <c r="R303" s="628"/>
      <c r="S303" s="628"/>
      <c r="T303" s="628"/>
      <c r="U303" s="628"/>
      <c r="V303" s="628"/>
      <c r="W303" s="628"/>
      <c r="X303" s="628"/>
      <c r="Y303" s="628"/>
      <c r="Z303" s="628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9">
        <v>4607091387193</v>
      </c>
      <c r="E304" s="629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35</v>
      </c>
      <c r="P304" s="78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31"/>
      <c r="R304" s="631"/>
      <c r="S304" s="631"/>
      <c r="T304" s="632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9">
        <v>4607091387230</v>
      </c>
      <c r="E305" s="629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40</v>
      </c>
      <c r="P305" s="7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31"/>
      <c r="R305" s="631"/>
      <c r="S305" s="631"/>
      <c r="T305" s="632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9">
        <v>4607091387292</v>
      </c>
      <c r="E306" s="629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45</v>
      </c>
      <c r="P30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31"/>
      <c r="R306" s="631"/>
      <c r="S306" s="631"/>
      <c r="T306" s="632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9">
        <v>4607091387285</v>
      </c>
      <c r="E307" s="629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31"/>
      <c r="R307" s="631"/>
      <c r="S307" s="631"/>
      <c r="T307" s="632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9">
        <v>4607091389845</v>
      </c>
      <c r="E308" s="629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31"/>
      <c r="R308" s="631"/>
      <c r="S308" s="631"/>
      <c r="T308" s="632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9">
        <v>4607091383836</v>
      </c>
      <c r="E309" s="629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31"/>
      <c r="R309" s="631"/>
      <c r="S309" s="631"/>
      <c r="T309" s="632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7"/>
      <c r="B310" s="637"/>
      <c r="C310" s="637"/>
      <c r="D310" s="637"/>
      <c r="E310" s="637"/>
      <c r="F310" s="637"/>
      <c r="G310" s="637"/>
      <c r="H310" s="637"/>
      <c r="I310" s="637"/>
      <c r="J310" s="637"/>
      <c r="K310" s="637"/>
      <c r="L310" s="637"/>
      <c r="M310" s="637"/>
      <c r="N310" s="637"/>
      <c r="O310" s="638"/>
      <c r="P310" s="634" t="s">
        <v>40</v>
      </c>
      <c r="Q310" s="635"/>
      <c r="R310" s="635"/>
      <c r="S310" s="635"/>
      <c r="T310" s="635"/>
      <c r="U310" s="635"/>
      <c r="V310" s="636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7"/>
      <c r="B311" s="63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637"/>
      <c r="O311" s="638"/>
      <c r="P311" s="634" t="s">
        <v>40</v>
      </c>
      <c r="Q311" s="635"/>
      <c r="R311" s="635"/>
      <c r="S311" s="635"/>
      <c r="T311" s="635"/>
      <c r="U311" s="635"/>
      <c r="V311" s="636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8" t="s">
        <v>88</v>
      </c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8"/>
      <c r="P312" s="628"/>
      <c r="Q312" s="628"/>
      <c r="R312" s="628"/>
      <c r="S312" s="628"/>
      <c r="T312" s="628"/>
      <c r="U312" s="628"/>
      <c r="V312" s="628"/>
      <c r="W312" s="628"/>
      <c r="X312" s="628"/>
      <c r="Y312" s="628"/>
      <c r="Z312" s="628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9">
        <v>4607091387766</v>
      </c>
      <c r="E313" s="629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45</v>
      </c>
      <c r="M313" s="38" t="s">
        <v>92</v>
      </c>
      <c r="N313" s="38"/>
      <c r="O313" s="37">
        <v>40</v>
      </c>
      <c r="P313" s="7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31"/>
      <c r="R313" s="631"/>
      <c r="S313" s="631"/>
      <c r="T313" s="632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9">
        <v>4607091387957</v>
      </c>
      <c r="E314" s="629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31"/>
      <c r="R314" s="631"/>
      <c r="S314" s="631"/>
      <c r="T314" s="63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9">
        <v>4607091387964</v>
      </c>
      <c r="E315" s="629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31"/>
      <c r="R315" s="631"/>
      <c r="S315" s="631"/>
      <c r="T315" s="63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9">
        <v>4680115884588</v>
      </c>
      <c r="E316" s="629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31"/>
      <c r="R316" s="631"/>
      <c r="S316" s="631"/>
      <c r="T316" s="63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7"/>
      <c r="B317" s="637"/>
      <c r="C317" s="637"/>
      <c r="D317" s="637"/>
      <c r="E317" s="637"/>
      <c r="F317" s="637"/>
      <c r="G317" s="637"/>
      <c r="H317" s="637"/>
      <c r="I317" s="637"/>
      <c r="J317" s="637"/>
      <c r="K317" s="637"/>
      <c r="L317" s="637"/>
      <c r="M317" s="637"/>
      <c r="N317" s="637"/>
      <c r="O317" s="638"/>
      <c r="P317" s="634" t="s">
        <v>40</v>
      </c>
      <c r="Q317" s="635"/>
      <c r="R317" s="635"/>
      <c r="S317" s="635"/>
      <c r="T317" s="635"/>
      <c r="U317" s="635"/>
      <c r="V317" s="636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7"/>
      <c r="B318" s="63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637"/>
      <c r="O318" s="638"/>
      <c r="P318" s="634" t="s">
        <v>40</v>
      </c>
      <c r="Q318" s="635"/>
      <c r="R318" s="635"/>
      <c r="S318" s="635"/>
      <c r="T318" s="635"/>
      <c r="U318" s="635"/>
      <c r="V318" s="636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8" t="s">
        <v>170</v>
      </c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8"/>
      <c r="V319" s="628"/>
      <c r="W319" s="628"/>
      <c r="X319" s="628"/>
      <c r="Y319" s="628"/>
      <c r="Z319" s="628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9">
        <v>4607091380880</v>
      </c>
      <c r="E320" s="629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45</v>
      </c>
      <c r="M320" s="38" t="s">
        <v>92</v>
      </c>
      <c r="N320" s="38"/>
      <c r="O320" s="37">
        <v>30</v>
      </c>
      <c r="P320" s="7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31"/>
      <c r="R320" s="631"/>
      <c r="S320" s="631"/>
      <c r="T320" s="63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9">
        <v>4607091384482</v>
      </c>
      <c r="E321" s="629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45</v>
      </c>
      <c r="M321" s="38" t="s">
        <v>92</v>
      </c>
      <c r="N321" s="38"/>
      <c r="O321" s="37">
        <v>30</v>
      </c>
      <c r="P321" s="7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31"/>
      <c r="R321" s="631"/>
      <c r="S321" s="631"/>
      <c r="T321" s="63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9">
        <v>4607091380897</v>
      </c>
      <c r="E322" s="629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98</v>
      </c>
      <c r="N322" s="38"/>
      <c r="O322" s="37">
        <v>30</v>
      </c>
      <c r="P322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31"/>
      <c r="R322" s="631"/>
      <c r="S322" s="631"/>
      <c r="T322" s="63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7"/>
      <c r="B323" s="637"/>
      <c r="C323" s="637"/>
      <c r="D323" s="637"/>
      <c r="E323" s="637"/>
      <c r="F323" s="637"/>
      <c r="G323" s="637"/>
      <c r="H323" s="637"/>
      <c r="I323" s="637"/>
      <c r="J323" s="637"/>
      <c r="K323" s="637"/>
      <c r="L323" s="637"/>
      <c r="M323" s="637"/>
      <c r="N323" s="637"/>
      <c r="O323" s="638"/>
      <c r="P323" s="634" t="s">
        <v>40</v>
      </c>
      <c r="Q323" s="635"/>
      <c r="R323" s="635"/>
      <c r="S323" s="635"/>
      <c r="T323" s="635"/>
      <c r="U323" s="635"/>
      <c r="V323" s="636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7"/>
      <c r="B324" s="63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637"/>
      <c r="O324" s="638"/>
      <c r="P324" s="634" t="s">
        <v>40</v>
      </c>
      <c r="Q324" s="635"/>
      <c r="R324" s="635"/>
      <c r="S324" s="635"/>
      <c r="T324" s="635"/>
      <c r="U324" s="635"/>
      <c r="V324" s="636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8" t="s">
        <v>104</v>
      </c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8"/>
      <c r="P325" s="628"/>
      <c r="Q325" s="628"/>
      <c r="R325" s="628"/>
      <c r="S325" s="628"/>
      <c r="T325" s="628"/>
      <c r="U325" s="628"/>
      <c r="V325" s="628"/>
      <c r="W325" s="628"/>
      <c r="X325" s="628"/>
      <c r="Y325" s="628"/>
      <c r="Z325" s="628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9">
        <v>4607091388381</v>
      </c>
      <c r="E326" s="629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120</v>
      </c>
      <c r="L326" s="37" t="s">
        <v>45</v>
      </c>
      <c r="M326" s="38" t="s">
        <v>109</v>
      </c>
      <c r="N326" s="38"/>
      <c r="O326" s="37">
        <v>180</v>
      </c>
      <c r="P326" s="7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31"/>
      <c r="R326" s="631"/>
      <c r="S326" s="631"/>
      <c r="T326" s="632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9">
        <v>4607091388374</v>
      </c>
      <c r="E327" s="629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120</v>
      </c>
      <c r="L327" s="37" t="s">
        <v>45</v>
      </c>
      <c r="M327" s="38" t="s">
        <v>109</v>
      </c>
      <c r="N327" s="38"/>
      <c r="O327" s="37">
        <v>180</v>
      </c>
      <c r="P327" s="7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31"/>
      <c r="R327" s="631"/>
      <c r="S327" s="631"/>
      <c r="T327" s="63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9">
        <v>4607091383102</v>
      </c>
      <c r="E328" s="629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109</v>
      </c>
      <c r="N328" s="38"/>
      <c r="O328" s="37">
        <v>180</v>
      </c>
      <c r="P328" s="7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31"/>
      <c r="R328" s="631"/>
      <c r="S328" s="631"/>
      <c r="T328" s="63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540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4301030233</v>
      </c>
      <c r="D329" s="629">
        <v>4607091388404</v>
      </c>
      <c r="E329" s="629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45</v>
      </c>
      <c r="M329" s="38" t="s">
        <v>109</v>
      </c>
      <c r="N329" s="38"/>
      <c r="O329" s="37">
        <v>180</v>
      </c>
      <c r="P329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31"/>
      <c r="R329" s="631"/>
      <c r="S329" s="631"/>
      <c r="T329" s="63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7"/>
      <c r="B330" s="637"/>
      <c r="C330" s="637"/>
      <c r="D330" s="637"/>
      <c r="E330" s="637"/>
      <c r="F330" s="637"/>
      <c r="G330" s="637"/>
      <c r="H330" s="637"/>
      <c r="I330" s="637"/>
      <c r="J330" s="637"/>
      <c r="K330" s="637"/>
      <c r="L330" s="637"/>
      <c r="M330" s="637"/>
      <c r="N330" s="637"/>
      <c r="O330" s="638"/>
      <c r="P330" s="634" t="s">
        <v>40</v>
      </c>
      <c r="Q330" s="635"/>
      <c r="R330" s="635"/>
      <c r="S330" s="635"/>
      <c r="T330" s="635"/>
      <c r="U330" s="635"/>
      <c r="V330" s="636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7"/>
      <c r="B331" s="63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637"/>
      <c r="O331" s="638"/>
      <c r="P331" s="634" t="s">
        <v>40</v>
      </c>
      <c r="Q331" s="635"/>
      <c r="R331" s="635"/>
      <c r="S331" s="635"/>
      <c r="T331" s="635"/>
      <c r="U331" s="635"/>
      <c r="V331" s="636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8" t="s">
        <v>543</v>
      </c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8"/>
      <c r="P332" s="628"/>
      <c r="Q332" s="628"/>
      <c r="R332" s="628"/>
      <c r="S332" s="628"/>
      <c r="T332" s="628"/>
      <c r="U332" s="628"/>
      <c r="V332" s="628"/>
      <c r="W332" s="628"/>
      <c r="X332" s="628"/>
      <c r="Y332" s="628"/>
      <c r="Z332" s="628"/>
      <c r="AA332" s="66"/>
      <c r="AB332" s="66"/>
      <c r="AC332" s="80"/>
    </row>
    <row r="333" spans="1:68" ht="16.5" customHeight="1" x14ac:dyDescent="0.25">
      <c r="A333" s="63" t="s">
        <v>544</v>
      </c>
      <c r="B333" s="63" t="s">
        <v>545</v>
      </c>
      <c r="C333" s="36">
        <v>4301180007</v>
      </c>
      <c r="D333" s="629">
        <v>4680115881808</v>
      </c>
      <c r="E333" s="629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547</v>
      </c>
      <c r="N333" s="38"/>
      <c r="O333" s="37">
        <v>730</v>
      </c>
      <c r="P333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31"/>
      <c r="R333" s="631"/>
      <c r="S333" s="631"/>
      <c r="T333" s="632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546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548</v>
      </c>
      <c r="B334" s="63" t="s">
        <v>549</v>
      </c>
      <c r="C334" s="36">
        <v>4301180006</v>
      </c>
      <c r="D334" s="629">
        <v>4680115881822</v>
      </c>
      <c r="E334" s="629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547</v>
      </c>
      <c r="N334" s="38"/>
      <c r="O334" s="37">
        <v>730</v>
      </c>
      <c r="P334" s="7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31"/>
      <c r="R334" s="631"/>
      <c r="S334" s="631"/>
      <c r="T334" s="63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546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4301180001</v>
      </c>
      <c r="D335" s="629">
        <v>4680115880016</v>
      </c>
      <c r="E335" s="629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547</v>
      </c>
      <c r="N335" s="38"/>
      <c r="O335" s="37">
        <v>730</v>
      </c>
      <c r="P335" s="7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31"/>
      <c r="R335" s="631"/>
      <c r="S335" s="631"/>
      <c r="T335" s="63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546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7"/>
      <c r="B336" s="637"/>
      <c r="C336" s="637"/>
      <c r="D336" s="637"/>
      <c r="E336" s="637"/>
      <c r="F336" s="637"/>
      <c r="G336" s="637"/>
      <c r="H336" s="637"/>
      <c r="I336" s="637"/>
      <c r="J336" s="637"/>
      <c r="K336" s="637"/>
      <c r="L336" s="637"/>
      <c r="M336" s="637"/>
      <c r="N336" s="637"/>
      <c r="O336" s="638"/>
      <c r="P336" s="634" t="s">
        <v>40</v>
      </c>
      <c r="Q336" s="635"/>
      <c r="R336" s="635"/>
      <c r="S336" s="635"/>
      <c r="T336" s="635"/>
      <c r="U336" s="635"/>
      <c r="V336" s="636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7"/>
      <c r="B337" s="63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637"/>
      <c r="O337" s="638"/>
      <c r="P337" s="634" t="s">
        <v>40</v>
      </c>
      <c r="Q337" s="635"/>
      <c r="R337" s="635"/>
      <c r="S337" s="635"/>
      <c r="T337" s="635"/>
      <c r="U337" s="635"/>
      <c r="V337" s="636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7" t="s">
        <v>552</v>
      </c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27"/>
      <c r="U338" s="627"/>
      <c r="V338" s="627"/>
      <c r="W338" s="627"/>
      <c r="X338" s="627"/>
      <c r="Y338" s="627"/>
      <c r="Z338" s="627"/>
      <c r="AA338" s="65"/>
      <c r="AB338" s="65"/>
      <c r="AC338" s="79"/>
    </row>
    <row r="339" spans="1:68" ht="14.25" customHeight="1" x14ac:dyDescent="0.25">
      <c r="A339" s="628" t="s">
        <v>88</v>
      </c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8"/>
      <c r="P339" s="628"/>
      <c r="Q339" s="628"/>
      <c r="R339" s="628"/>
      <c r="S339" s="628"/>
      <c r="T339" s="628"/>
      <c r="U339" s="628"/>
      <c r="V339" s="628"/>
      <c r="W339" s="628"/>
      <c r="X339" s="628"/>
      <c r="Y339" s="628"/>
      <c r="Z339" s="628"/>
      <c r="AA339" s="66"/>
      <c r="AB339" s="66"/>
      <c r="AC339" s="80"/>
    </row>
    <row r="340" spans="1:68" ht="27" customHeight="1" x14ac:dyDescent="0.25">
      <c r="A340" s="63" t="s">
        <v>553</v>
      </c>
      <c r="B340" s="63" t="s">
        <v>554</v>
      </c>
      <c r="C340" s="36">
        <v>4301051489</v>
      </c>
      <c r="D340" s="629">
        <v>4607091387919</v>
      </c>
      <c r="E340" s="629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45</v>
      </c>
      <c r="M340" s="38" t="s">
        <v>98</v>
      </c>
      <c r="N340" s="38"/>
      <c r="O340" s="37">
        <v>45</v>
      </c>
      <c r="P340" s="80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31"/>
      <c r="R340" s="631"/>
      <c r="S340" s="631"/>
      <c r="T340" s="632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555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556</v>
      </c>
      <c r="B341" s="63" t="s">
        <v>557</v>
      </c>
      <c r="C341" s="36">
        <v>4301051461</v>
      </c>
      <c r="D341" s="629">
        <v>4680115883604</v>
      </c>
      <c r="E341" s="629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232</v>
      </c>
      <c r="M341" s="38" t="s">
        <v>92</v>
      </c>
      <c r="N341" s="38"/>
      <c r="O341" s="37">
        <v>45</v>
      </c>
      <c r="P341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31"/>
      <c r="R341" s="631"/>
      <c r="S341" s="631"/>
      <c r="T341" s="632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558</v>
      </c>
      <c r="AG341" s="78"/>
      <c r="AJ341" s="84" t="s">
        <v>211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559</v>
      </c>
      <c r="B342" s="63" t="s">
        <v>560</v>
      </c>
      <c r="C342" s="36">
        <v>4301051864</v>
      </c>
      <c r="D342" s="629">
        <v>4680115883567</v>
      </c>
      <c r="E342" s="629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232</v>
      </c>
      <c r="M342" s="38" t="s">
        <v>98</v>
      </c>
      <c r="N342" s="38"/>
      <c r="O342" s="37">
        <v>40</v>
      </c>
      <c r="P342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31"/>
      <c r="R342" s="631"/>
      <c r="S342" s="631"/>
      <c r="T342" s="632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561</v>
      </c>
      <c r="AG342" s="78"/>
      <c r="AJ342" s="84" t="s">
        <v>211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7"/>
      <c r="B343" s="637"/>
      <c r="C343" s="637"/>
      <c r="D343" s="637"/>
      <c r="E343" s="637"/>
      <c r="F343" s="637"/>
      <c r="G343" s="637"/>
      <c r="H343" s="637"/>
      <c r="I343" s="637"/>
      <c r="J343" s="637"/>
      <c r="K343" s="637"/>
      <c r="L343" s="637"/>
      <c r="M343" s="637"/>
      <c r="N343" s="637"/>
      <c r="O343" s="638"/>
      <c r="P343" s="634" t="s">
        <v>40</v>
      </c>
      <c r="Q343" s="635"/>
      <c r="R343" s="635"/>
      <c r="S343" s="635"/>
      <c r="T343" s="635"/>
      <c r="U343" s="635"/>
      <c r="V343" s="636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7"/>
      <c r="B344" s="63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637"/>
      <c r="O344" s="638"/>
      <c r="P344" s="634" t="s">
        <v>40</v>
      </c>
      <c r="Q344" s="635"/>
      <c r="R344" s="635"/>
      <c r="S344" s="635"/>
      <c r="T344" s="635"/>
      <c r="U344" s="635"/>
      <c r="V344" s="636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6" t="s">
        <v>562</v>
      </c>
      <c r="B345" s="626"/>
      <c r="C345" s="626"/>
      <c r="D345" s="626"/>
      <c r="E345" s="626"/>
      <c r="F345" s="626"/>
      <c r="G345" s="626"/>
      <c r="H345" s="626"/>
      <c r="I345" s="626"/>
      <c r="J345" s="626"/>
      <c r="K345" s="626"/>
      <c r="L345" s="626"/>
      <c r="M345" s="626"/>
      <c r="N345" s="626"/>
      <c r="O345" s="626"/>
      <c r="P345" s="626"/>
      <c r="Q345" s="626"/>
      <c r="R345" s="626"/>
      <c r="S345" s="626"/>
      <c r="T345" s="626"/>
      <c r="U345" s="626"/>
      <c r="V345" s="626"/>
      <c r="W345" s="626"/>
      <c r="X345" s="626"/>
      <c r="Y345" s="626"/>
      <c r="Z345" s="626"/>
      <c r="AA345" s="54"/>
      <c r="AB345" s="54"/>
      <c r="AC345" s="54"/>
    </row>
    <row r="346" spans="1:68" ht="16.5" customHeight="1" x14ac:dyDescent="0.25">
      <c r="A346" s="627" t="s">
        <v>563</v>
      </c>
      <c r="B346" s="627"/>
      <c r="C346" s="627"/>
      <c r="D346" s="627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S346" s="627"/>
      <c r="T346" s="627"/>
      <c r="U346" s="627"/>
      <c r="V346" s="627"/>
      <c r="W346" s="627"/>
      <c r="X346" s="627"/>
      <c r="Y346" s="627"/>
      <c r="Z346" s="627"/>
      <c r="AA346" s="65"/>
      <c r="AB346" s="65"/>
      <c r="AC346" s="79"/>
    </row>
    <row r="347" spans="1:68" ht="14.25" customHeight="1" x14ac:dyDescent="0.25">
      <c r="A347" s="628" t="s">
        <v>112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6"/>
      <c r="AB347" s="66"/>
      <c r="AC347" s="80"/>
    </row>
    <row r="348" spans="1:68" ht="37.5" customHeight="1" x14ac:dyDescent="0.25">
      <c r="A348" s="63" t="s">
        <v>564</v>
      </c>
      <c r="B348" s="63" t="s">
        <v>565</v>
      </c>
      <c r="C348" s="36">
        <v>4301011869</v>
      </c>
      <c r="D348" s="629">
        <v>4680115884847</v>
      </c>
      <c r="E348" s="629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45</v>
      </c>
      <c r="M348" s="38" t="s">
        <v>82</v>
      </c>
      <c r="N348" s="38"/>
      <c r="O348" s="37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31"/>
      <c r="R348" s="631"/>
      <c r="S348" s="631"/>
      <c r="T348" s="63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566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567</v>
      </c>
      <c r="B349" s="63" t="s">
        <v>568</v>
      </c>
      <c r="C349" s="36">
        <v>4301011870</v>
      </c>
      <c r="D349" s="629">
        <v>4680115884854</v>
      </c>
      <c r="E349" s="629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45</v>
      </c>
      <c r="M349" s="38" t="s">
        <v>82</v>
      </c>
      <c r="N349" s="38"/>
      <c r="O349" s="37">
        <v>60</v>
      </c>
      <c r="P349" s="8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31"/>
      <c r="R349" s="631"/>
      <c r="S349" s="631"/>
      <c r="T349" s="632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569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570</v>
      </c>
      <c r="B350" s="63" t="s">
        <v>571</v>
      </c>
      <c r="C350" s="36">
        <v>4301011867</v>
      </c>
      <c r="D350" s="629">
        <v>4680115884830</v>
      </c>
      <c r="E350" s="629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31"/>
      <c r="R350" s="631"/>
      <c r="S350" s="631"/>
      <c r="T350" s="632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572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573</v>
      </c>
      <c r="B351" s="63" t="s">
        <v>574</v>
      </c>
      <c r="C351" s="36">
        <v>4301012215</v>
      </c>
      <c r="D351" s="629">
        <v>4680115887046</v>
      </c>
      <c r="E351" s="629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98</v>
      </c>
      <c r="N351" s="38"/>
      <c r="O351" s="37">
        <v>60</v>
      </c>
      <c r="P351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31"/>
      <c r="R351" s="631"/>
      <c r="S351" s="631"/>
      <c r="T351" s="632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575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576</v>
      </c>
      <c r="B352" s="63" t="s">
        <v>577</v>
      </c>
      <c r="C352" s="36">
        <v>4301011433</v>
      </c>
      <c r="D352" s="629">
        <v>4680115882638</v>
      </c>
      <c r="E352" s="629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120</v>
      </c>
      <c r="L352" s="37" t="s">
        <v>45</v>
      </c>
      <c r="M352" s="38" t="s">
        <v>116</v>
      </c>
      <c r="N352" s="38"/>
      <c r="O352" s="37">
        <v>90</v>
      </c>
      <c r="P352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31"/>
      <c r="R352" s="631"/>
      <c r="S352" s="631"/>
      <c r="T352" s="632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578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579</v>
      </c>
      <c r="B353" s="63" t="s">
        <v>580</v>
      </c>
      <c r="C353" s="36">
        <v>4301011952</v>
      </c>
      <c r="D353" s="629">
        <v>4680115884922</v>
      </c>
      <c r="E353" s="629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31"/>
      <c r="R353" s="631"/>
      <c r="S353" s="631"/>
      <c r="T353" s="632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569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581</v>
      </c>
      <c r="B354" s="63" t="s">
        <v>582</v>
      </c>
      <c r="C354" s="36">
        <v>4301011868</v>
      </c>
      <c r="D354" s="629">
        <v>4680115884861</v>
      </c>
      <c r="E354" s="629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31"/>
      <c r="R354" s="631"/>
      <c r="S354" s="631"/>
      <c r="T354" s="632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572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7"/>
      <c r="B355" s="637"/>
      <c r="C355" s="637"/>
      <c r="D355" s="637"/>
      <c r="E355" s="637"/>
      <c r="F355" s="637"/>
      <c r="G355" s="637"/>
      <c r="H355" s="637"/>
      <c r="I355" s="637"/>
      <c r="J355" s="637"/>
      <c r="K355" s="637"/>
      <c r="L355" s="637"/>
      <c r="M355" s="637"/>
      <c r="N355" s="637"/>
      <c r="O355" s="638"/>
      <c r="P355" s="634" t="s">
        <v>40</v>
      </c>
      <c r="Q355" s="635"/>
      <c r="R355" s="635"/>
      <c r="S355" s="635"/>
      <c r="T355" s="635"/>
      <c r="U355" s="635"/>
      <c r="V355" s="636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7"/>
      <c r="B356" s="63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637"/>
      <c r="O356" s="638"/>
      <c r="P356" s="634" t="s">
        <v>40</v>
      </c>
      <c r="Q356" s="635"/>
      <c r="R356" s="635"/>
      <c r="S356" s="635"/>
      <c r="T356" s="635"/>
      <c r="U356" s="635"/>
      <c r="V356" s="636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8" t="s">
        <v>145</v>
      </c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8"/>
      <c r="P357" s="628"/>
      <c r="Q357" s="628"/>
      <c r="R357" s="628"/>
      <c r="S357" s="628"/>
      <c r="T357" s="628"/>
      <c r="U357" s="628"/>
      <c r="V357" s="628"/>
      <c r="W357" s="628"/>
      <c r="X357" s="628"/>
      <c r="Y357" s="628"/>
      <c r="Z357" s="628"/>
      <c r="AA357" s="66"/>
      <c r="AB357" s="66"/>
      <c r="AC357" s="80"/>
    </row>
    <row r="358" spans="1:68" ht="27" customHeight="1" x14ac:dyDescent="0.25">
      <c r="A358" s="63" t="s">
        <v>583</v>
      </c>
      <c r="B358" s="63" t="s">
        <v>584</v>
      </c>
      <c r="C358" s="36">
        <v>4301020178</v>
      </c>
      <c r="D358" s="629">
        <v>4607091383980</v>
      </c>
      <c r="E358" s="629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45</v>
      </c>
      <c r="M358" s="38" t="s">
        <v>116</v>
      </c>
      <c r="N358" s="38"/>
      <c r="O358" s="37">
        <v>50</v>
      </c>
      <c r="P358" s="8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31"/>
      <c r="R358" s="631"/>
      <c r="S358" s="631"/>
      <c r="T358" s="63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586</v>
      </c>
      <c r="B359" s="63" t="s">
        <v>587</v>
      </c>
      <c r="C359" s="36">
        <v>4301020179</v>
      </c>
      <c r="D359" s="629">
        <v>4607091384178</v>
      </c>
      <c r="E359" s="62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120</v>
      </c>
      <c r="L359" s="37" t="s">
        <v>45</v>
      </c>
      <c r="M359" s="38" t="s">
        <v>116</v>
      </c>
      <c r="N359" s="38"/>
      <c r="O359" s="37">
        <v>50</v>
      </c>
      <c r="P359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31"/>
      <c r="R359" s="631"/>
      <c r="S359" s="631"/>
      <c r="T359" s="632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588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7"/>
      <c r="B360" s="637"/>
      <c r="C360" s="637"/>
      <c r="D360" s="637"/>
      <c r="E360" s="637"/>
      <c r="F360" s="637"/>
      <c r="G360" s="637"/>
      <c r="H360" s="637"/>
      <c r="I360" s="637"/>
      <c r="J360" s="637"/>
      <c r="K360" s="637"/>
      <c r="L360" s="637"/>
      <c r="M360" s="637"/>
      <c r="N360" s="637"/>
      <c r="O360" s="638"/>
      <c r="P360" s="634" t="s">
        <v>40</v>
      </c>
      <c r="Q360" s="635"/>
      <c r="R360" s="635"/>
      <c r="S360" s="635"/>
      <c r="T360" s="635"/>
      <c r="U360" s="635"/>
      <c r="V360" s="636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7"/>
      <c r="B361" s="63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637"/>
      <c r="O361" s="638"/>
      <c r="P361" s="634" t="s">
        <v>40</v>
      </c>
      <c r="Q361" s="635"/>
      <c r="R361" s="635"/>
      <c r="S361" s="635"/>
      <c r="T361" s="635"/>
      <c r="U361" s="635"/>
      <c r="V361" s="636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8" t="s">
        <v>88</v>
      </c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8"/>
      <c r="P362" s="628"/>
      <c r="Q362" s="628"/>
      <c r="R362" s="628"/>
      <c r="S362" s="628"/>
      <c r="T362" s="628"/>
      <c r="U362" s="628"/>
      <c r="V362" s="628"/>
      <c r="W362" s="628"/>
      <c r="X362" s="628"/>
      <c r="Y362" s="628"/>
      <c r="Z362" s="628"/>
      <c r="AA362" s="66"/>
      <c r="AB362" s="66"/>
      <c r="AC362" s="80"/>
    </row>
    <row r="363" spans="1:68" ht="27" customHeight="1" x14ac:dyDescent="0.25">
      <c r="A363" s="63" t="s">
        <v>589</v>
      </c>
      <c r="B363" s="63" t="s">
        <v>590</v>
      </c>
      <c r="C363" s="36">
        <v>4301051903</v>
      </c>
      <c r="D363" s="629">
        <v>4607091383928</v>
      </c>
      <c r="E363" s="629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31"/>
      <c r="R363" s="631"/>
      <c r="S363" s="631"/>
      <c r="T363" s="632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592</v>
      </c>
      <c r="B364" s="63" t="s">
        <v>593</v>
      </c>
      <c r="C364" s="36">
        <v>4301051897</v>
      </c>
      <c r="D364" s="629">
        <v>4607091384260</v>
      </c>
      <c r="E364" s="629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92</v>
      </c>
      <c r="N364" s="38"/>
      <c r="O364" s="37">
        <v>40</v>
      </c>
      <c r="P364" s="8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31"/>
      <c r="R364" s="631"/>
      <c r="S364" s="631"/>
      <c r="T364" s="632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594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7"/>
      <c r="B365" s="637"/>
      <c r="C365" s="637"/>
      <c r="D365" s="637"/>
      <c r="E365" s="637"/>
      <c r="F365" s="637"/>
      <c r="G365" s="637"/>
      <c r="H365" s="637"/>
      <c r="I365" s="637"/>
      <c r="J365" s="637"/>
      <c r="K365" s="637"/>
      <c r="L365" s="637"/>
      <c r="M365" s="637"/>
      <c r="N365" s="637"/>
      <c r="O365" s="638"/>
      <c r="P365" s="634" t="s">
        <v>40</v>
      </c>
      <c r="Q365" s="635"/>
      <c r="R365" s="635"/>
      <c r="S365" s="635"/>
      <c r="T365" s="635"/>
      <c r="U365" s="635"/>
      <c r="V365" s="636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7"/>
      <c r="B366" s="63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637"/>
      <c r="O366" s="638"/>
      <c r="P366" s="634" t="s">
        <v>40</v>
      </c>
      <c r="Q366" s="635"/>
      <c r="R366" s="635"/>
      <c r="S366" s="635"/>
      <c r="T366" s="635"/>
      <c r="U366" s="635"/>
      <c r="V366" s="636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8" t="s">
        <v>170</v>
      </c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8"/>
      <c r="P367" s="628"/>
      <c r="Q367" s="628"/>
      <c r="R367" s="628"/>
      <c r="S367" s="628"/>
      <c r="T367" s="628"/>
      <c r="U367" s="628"/>
      <c r="V367" s="628"/>
      <c r="W367" s="628"/>
      <c r="X367" s="628"/>
      <c r="Y367" s="628"/>
      <c r="Z367" s="628"/>
      <c r="AA367" s="66"/>
      <c r="AB367" s="66"/>
      <c r="AC367" s="80"/>
    </row>
    <row r="368" spans="1:68" ht="16.5" customHeight="1" x14ac:dyDescent="0.25">
      <c r="A368" s="63" t="s">
        <v>595</v>
      </c>
      <c r="B368" s="63" t="s">
        <v>596</v>
      </c>
      <c r="C368" s="36">
        <v>4301060524</v>
      </c>
      <c r="D368" s="629">
        <v>4607091384673</v>
      </c>
      <c r="E368" s="629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31"/>
      <c r="R368" s="631"/>
      <c r="S368" s="631"/>
      <c r="T368" s="63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597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7"/>
      <c r="B369" s="637"/>
      <c r="C369" s="637"/>
      <c r="D369" s="637"/>
      <c r="E369" s="637"/>
      <c r="F369" s="637"/>
      <c r="G369" s="637"/>
      <c r="H369" s="637"/>
      <c r="I369" s="637"/>
      <c r="J369" s="637"/>
      <c r="K369" s="637"/>
      <c r="L369" s="637"/>
      <c r="M369" s="637"/>
      <c r="N369" s="637"/>
      <c r="O369" s="638"/>
      <c r="P369" s="634" t="s">
        <v>40</v>
      </c>
      <c r="Q369" s="635"/>
      <c r="R369" s="635"/>
      <c r="S369" s="635"/>
      <c r="T369" s="635"/>
      <c r="U369" s="635"/>
      <c r="V369" s="636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7"/>
      <c r="B370" s="63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637"/>
      <c r="O370" s="638"/>
      <c r="P370" s="634" t="s">
        <v>40</v>
      </c>
      <c r="Q370" s="635"/>
      <c r="R370" s="635"/>
      <c r="S370" s="635"/>
      <c r="T370" s="635"/>
      <c r="U370" s="635"/>
      <c r="V370" s="636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7" t="s">
        <v>598</v>
      </c>
      <c r="B371" s="627"/>
      <c r="C371" s="627"/>
      <c r="D371" s="627"/>
      <c r="E371" s="627"/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S371" s="627"/>
      <c r="T371" s="627"/>
      <c r="U371" s="627"/>
      <c r="V371" s="627"/>
      <c r="W371" s="627"/>
      <c r="X371" s="627"/>
      <c r="Y371" s="627"/>
      <c r="Z371" s="627"/>
      <c r="AA371" s="65"/>
      <c r="AB371" s="65"/>
      <c r="AC371" s="79"/>
    </row>
    <row r="372" spans="1:68" ht="14.25" customHeight="1" x14ac:dyDescent="0.25">
      <c r="A372" s="628" t="s">
        <v>112</v>
      </c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8"/>
      <c r="P372" s="628"/>
      <c r="Q372" s="628"/>
      <c r="R372" s="628"/>
      <c r="S372" s="628"/>
      <c r="T372" s="628"/>
      <c r="U372" s="628"/>
      <c r="V372" s="628"/>
      <c r="W372" s="628"/>
      <c r="X372" s="628"/>
      <c r="Y372" s="628"/>
      <c r="Z372" s="628"/>
      <c r="AA372" s="66"/>
      <c r="AB372" s="66"/>
      <c r="AC372" s="80"/>
    </row>
    <row r="373" spans="1:68" ht="37.5" customHeight="1" x14ac:dyDescent="0.25">
      <c r="A373" s="63" t="s">
        <v>599</v>
      </c>
      <c r="B373" s="63" t="s">
        <v>600</v>
      </c>
      <c r="C373" s="36">
        <v>4301011875</v>
      </c>
      <c r="D373" s="629">
        <v>4680115884885</v>
      </c>
      <c r="E373" s="629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45</v>
      </c>
      <c r="M373" s="38" t="s">
        <v>82</v>
      </c>
      <c r="N373" s="38"/>
      <c r="O373" s="37">
        <v>60</v>
      </c>
      <c r="P373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31"/>
      <c r="R373" s="631"/>
      <c r="S373" s="631"/>
      <c r="T373" s="63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601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602</v>
      </c>
      <c r="B374" s="63" t="s">
        <v>603</v>
      </c>
      <c r="C374" s="36">
        <v>4301011871</v>
      </c>
      <c r="D374" s="629">
        <v>4680115884908</v>
      </c>
      <c r="E374" s="629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60</v>
      </c>
      <c r="P374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31"/>
      <c r="R374" s="631"/>
      <c r="S374" s="631"/>
      <c r="T374" s="632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601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7"/>
      <c r="B375" s="637"/>
      <c r="C375" s="637"/>
      <c r="D375" s="637"/>
      <c r="E375" s="637"/>
      <c r="F375" s="637"/>
      <c r="G375" s="637"/>
      <c r="H375" s="637"/>
      <c r="I375" s="637"/>
      <c r="J375" s="637"/>
      <c r="K375" s="637"/>
      <c r="L375" s="637"/>
      <c r="M375" s="637"/>
      <c r="N375" s="637"/>
      <c r="O375" s="638"/>
      <c r="P375" s="634" t="s">
        <v>40</v>
      </c>
      <c r="Q375" s="635"/>
      <c r="R375" s="635"/>
      <c r="S375" s="635"/>
      <c r="T375" s="635"/>
      <c r="U375" s="635"/>
      <c r="V375" s="636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7"/>
      <c r="B376" s="63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637"/>
      <c r="O376" s="638"/>
      <c r="P376" s="634" t="s">
        <v>40</v>
      </c>
      <c r="Q376" s="635"/>
      <c r="R376" s="635"/>
      <c r="S376" s="635"/>
      <c r="T376" s="635"/>
      <c r="U376" s="635"/>
      <c r="V376" s="636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8" t="s">
        <v>78</v>
      </c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8"/>
      <c r="P377" s="628"/>
      <c r="Q377" s="628"/>
      <c r="R377" s="628"/>
      <c r="S377" s="628"/>
      <c r="T377" s="628"/>
      <c r="U377" s="628"/>
      <c r="V377" s="628"/>
      <c r="W377" s="628"/>
      <c r="X377" s="628"/>
      <c r="Y377" s="628"/>
      <c r="Z377" s="628"/>
      <c r="AA377" s="66"/>
      <c r="AB377" s="66"/>
      <c r="AC377" s="80"/>
    </row>
    <row r="378" spans="1:68" ht="27" customHeight="1" x14ac:dyDescent="0.25">
      <c r="A378" s="63" t="s">
        <v>604</v>
      </c>
      <c r="B378" s="63" t="s">
        <v>605</v>
      </c>
      <c r="C378" s="36">
        <v>4301031303</v>
      </c>
      <c r="D378" s="629">
        <v>4607091384802</v>
      </c>
      <c r="E378" s="629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120</v>
      </c>
      <c r="L378" s="37" t="s">
        <v>45</v>
      </c>
      <c r="M378" s="38" t="s">
        <v>82</v>
      </c>
      <c r="N378" s="38"/>
      <c r="O378" s="37">
        <v>35</v>
      </c>
      <c r="P378" s="81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31"/>
      <c r="R378" s="631"/>
      <c r="S378" s="631"/>
      <c r="T378" s="63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606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604</v>
      </c>
      <c r="B379" s="63" t="s">
        <v>607</v>
      </c>
      <c r="C379" s="36">
        <v>4301031457</v>
      </c>
      <c r="D379" s="629">
        <v>4607091384802</v>
      </c>
      <c r="E379" s="629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31"/>
      <c r="R379" s="631"/>
      <c r="S379" s="631"/>
      <c r="T379" s="632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7"/>
      <c r="B380" s="637"/>
      <c r="C380" s="637"/>
      <c r="D380" s="637"/>
      <c r="E380" s="637"/>
      <c r="F380" s="637"/>
      <c r="G380" s="637"/>
      <c r="H380" s="637"/>
      <c r="I380" s="637"/>
      <c r="J380" s="637"/>
      <c r="K380" s="637"/>
      <c r="L380" s="637"/>
      <c r="M380" s="637"/>
      <c r="N380" s="637"/>
      <c r="O380" s="638"/>
      <c r="P380" s="634" t="s">
        <v>40</v>
      </c>
      <c r="Q380" s="635"/>
      <c r="R380" s="635"/>
      <c r="S380" s="635"/>
      <c r="T380" s="635"/>
      <c r="U380" s="635"/>
      <c r="V380" s="636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7"/>
      <c r="B381" s="63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637"/>
      <c r="O381" s="638"/>
      <c r="P381" s="634" t="s">
        <v>40</v>
      </c>
      <c r="Q381" s="635"/>
      <c r="R381" s="635"/>
      <c r="S381" s="635"/>
      <c r="T381" s="635"/>
      <c r="U381" s="635"/>
      <c r="V381" s="636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8" t="s">
        <v>88</v>
      </c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8"/>
      <c r="P382" s="628"/>
      <c r="Q382" s="628"/>
      <c r="R382" s="628"/>
      <c r="S382" s="628"/>
      <c r="T382" s="628"/>
      <c r="U382" s="628"/>
      <c r="V382" s="628"/>
      <c r="W382" s="628"/>
      <c r="X382" s="628"/>
      <c r="Y382" s="628"/>
      <c r="Z382" s="628"/>
      <c r="AA382" s="66"/>
      <c r="AB382" s="66"/>
      <c r="AC382" s="80"/>
    </row>
    <row r="383" spans="1:68" ht="27" customHeight="1" x14ac:dyDescent="0.25">
      <c r="A383" s="63" t="s">
        <v>609</v>
      </c>
      <c r="B383" s="63" t="s">
        <v>610</v>
      </c>
      <c r="C383" s="36">
        <v>4301051899</v>
      </c>
      <c r="D383" s="629">
        <v>4607091384246</v>
      </c>
      <c r="E383" s="629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45</v>
      </c>
      <c r="M383" s="38" t="s">
        <v>92</v>
      </c>
      <c r="N383" s="38"/>
      <c r="O383" s="37">
        <v>40</v>
      </c>
      <c r="P383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31"/>
      <c r="R383" s="631"/>
      <c r="S383" s="631"/>
      <c r="T383" s="632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611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612</v>
      </c>
      <c r="B384" s="63" t="s">
        <v>613</v>
      </c>
      <c r="C384" s="36">
        <v>4301051660</v>
      </c>
      <c r="D384" s="629">
        <v>4607091384253</v>
      </c>
      <c r="E384" s="629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31"/>
      <c r="R384" s="631"/>
      <c r="S384" s="631"/>
      <c r="T384" s="632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611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612</v>
      </c>
      <c r="B385" s="63" t="s">
        <v>614</v>
      </c>
      <c r="C385" s="36">
        <v>4301052069</v>
      </c>
      <c r="D385" s="629">
        <v>4607091384253</v>
      </c>
      <c r="E385" s="629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31"/>
      <c r="R385" s="631"/>
      <c r="S385" s="631"/>
      <c r="T385" s="632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615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7"/>
      <c r="B386" s="637"/>
      <c r="C386" s="637"/>
      <c r="D386" s="637"/>
      <c r="E386" s="637"/>
      <c r="F386" s="637"/>
      <c r="G386" s="637"/>
      <c r="H386" s="637"/>
      <c r="I386" s="637"/>
      <c r="J386" s="637"/>
      <c r="K386" s="637"/>
      <c r="L386" s="637"/>
      <c r="M386" s="637"/>
      <c r="N386" s="637"/>
      <c r="O386" s="638"/>
      <c r="P386" s="634" t="s">
        <v>40</v>
      </c>
      <c r="Q386" s="635"/>
      <c r="R386" s="635"/>
      <c r="S386" s="635"/>
      <c r="T386" s="635"/>
      <c r="U386" s="635"/>
      <c r="V386" s="636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7"/>
      <c r="B387" s="63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637"/>
      <c r="O387" s="638"/>
      <c r="P387" s="634" t="s">
        <v>40</v>
      </c>
      <c r="Q387" s="635"/>
      <c r="R387" s="635"/>
      <c r="S387" s="635"/>
      <c r="T387" s="635"/>
      <c r="U387" s="635"/>
      <c r="V387" s="636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6" t="s">
        <v>616</v>
      </c>
      <c r="B388" s="626"/>
      <c r="C388" s="626"/>
      <c r="D388" s="626"/>
      <c r="E388" s="626"/>
      <c r="F388" s="626"/>
      <c r="G388" s="626"/>
      <c r="H388" s="626"/>
      <c r="I388" s="626"/>
      <c r="J388" s="626"/>
      <c r="K388" s="626"/>
      <c r="L388" s="626"/>
      <c r="M388" s="626"/>
      <c r="N388" s="626"/>
      <c r="O388" s="626"/>
      <c r="P388" s="626"/>
      <c r="Q388" s="626"/>
      <c r="R388" s="626"/>
      <c r="S388" s="626"/>
      <c r="T388" s="626"/>
      <c r="U388" s="626"/>
      <c r="V388" s="626"/>
      <c r="W388" s="626"/>
      <c r="X388" s="626"/>
      <c r="Y388" s="626"/>
      <c r="Z388" s="626"/>
      <c r="AA388" s="54"/>
      <c r="AB388" s="54"/>
      <c r="AC388" s="54"/>
    </row>
    <row r="389" spans="1:68" ht="16.5" customHeight="1" x14ac:dyDescent="0.25">
      <c r="A389" s="627" t="s">
        <v>617</v>
      </c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7"/>
      <c r="P389" s="627"/>
      <c r="Q389" s="627"/>
      <c r="R389" s="627"/>
      <c r="S389" s="627"/>
      <c r="T389" s="627"/>
      <c r="U389" s="627"/>
      <c r="V389" s="627"/>
      <c r="W389" s="627"/>
      <c r="X389" s="627"/>
      <c r="Y389" s="627"/>
      <c r="Z389" s="627"/>
      <c r="AA389" s="65"/>
      <c r="AB389" s="65"/>
      <c r="AC389" s="79"/>
    </row>
    <row r="390" spans="1:68" ht="14.25" customHeight="1" x14ac:dyDescent="0.25">
      <c r="A390" s="628" t="s">
        <v>78</v>
      </c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8"/>
      <c r="P390" s="628"/>
      <c r="Q390" s="628"/>
      <c r="R390" s="628"/>
      <c r="S390" s="628"/>
      <c r="T390" s="628"/>
      <c r="U390" s="628"/>
      <c r="V390" s="628"/>
      <c r="W390" s="628"/>
      <c r="X390" s="628"/>
      <c r="Y390" s="628"/>
      <c r="Z390" s="628"/>
      <c r="AA390" s="66"/>
      <c r="AB390" s="66"/>
      <c r="AC390" s="80"/>
    </row>
    <row r="391" spans="1:68" ht="27" customHeight="1" x14ac:dyDescent="0.25">
      <c r="A391" s="63" t="s">
        <v>618</v>
      </c>
      <c r="B391" s="63" t="s">
        <v>619</v>
      </c>
      <c r="C391" s="36">
        <v>4301031405</v>
      </c>
      <c r="D391" s="629">
        <v>4680115886100</v>
      </c>
      <c r="E391" s="629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31"/>
      <c r="R391" s="631"/>
      <c r="S391" s="631"/>
      <c r="T391" s="63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620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621</v>
      </c>
      <c r="B392" s="63" t="s">
        <v>622</v>
      </c>
      <c r="C392" s="36">
        <v>4301031406</v>
      </c>
      <c r="D392" s="629">
        <v>4680115886117</v>
      </c>
      <c r="E392" s="629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31"/>
      <c r="R392" s="631"/>
      <c r="S392" s="631"/>
      <c r="T392" s="63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623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624</v>
      </c>
      <c r="B393" s="63" t="s">
        <v>625</v>
      </c>
      <c r="C393" s="36">
        <v>4301031402</v>
      </c>
      <c r="D393" s="629">
        <v>4680115886124</v>
      </c>
      <c r="E393" s="629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31"/>
      <c r="R393" s="631"/>
      <c r="S393" s="631"/>
      <c r="T393" s="632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626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627</v>
      </c>
      <c r="B394" s="63" t="s">
        <v>628</v>
      </c>
      <c r="C394" s="36">
        <v>4301031366</v>
      </c>
      <c r="D394" s="629">
        <v>4680115883147</v>
      </c>
      <c r="E394" s="629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31"/>
      <c r="R394" s="631"/>
      <c r="S394" s="631"/>
      <c r="T394" s="632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620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4301031362</v>
      </c>
      <c r="D395" s="629">
        <v>4607091384338</v>
      </c>
      <c r="E395" s="629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31"/>
      <c r="R395" s="631"/>
      <c r="S395" s="631"/>
      <c r="T395" s="632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620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631</v>
      </c>
      <c r="B396" s="63" t="s">
        <v>632</v>
      </c>
      <c r="C396" s="36">
        <v>4301031361</v>
      </c>
      <c r="D396" s="629">
        <v>4607091389524</v>
      </c>
      <c r="E396" s="629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31"/>
      <c r="R396" s="631"/>
      <c r="S396" s="631"/>
      <c r="T396" s="632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633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634</v>
      </c>
      <c r="B397" s="63" t="s">
        <v>635</v>
      </c>
      <c r="C397" s="36">
        <v>4301031364</v>
      </c>
      <c r="D397" s="629">
        <v>4680115883161</v>
      </c>
      <c r="E397" s="629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31"/>
      <c r="R397" s="631"/>
      <c r="S397" s="631"/>
      <c r="T397" s="632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636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637</v>
      </c>
      <c r="B398" s="63" t="s">
        <v>638</v>
      </c>
      <c r="C398" s="36">
        <v>4301031358</v>
      </c>
      <c r="D398" s="629">
        <v>4607091389531</v>
      </c>
      <c r="E398" s="629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31"/>
      <c r="R398" s="631"/>
      <c r="S398" s="631"/>
      <c r="T398" s="632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639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640</v>
      </c>
      <c r="B399" s="63" t="s">
        <v>641</v>
      </c>
      <c r="C399" s="36">
        <v>4301031360</v>
      </c>
      <c r="D399" s="629">
        <v>4607091384345</v>
      </c>
      <c r="E399" s="629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31"/>
      <c r="R399" s="631"/>
      <c r="S399" s="631"/>
      <c r="T399" s="632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636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7"/>
      <c r="B400" s="637"/>
      <c r="C400" s="637"/>
      <c r="D400" s="637"/>
      <c r="E400" s="637"/>
      <c r="F400" s="637"/>
      <c r="G400" s="637"/>
      <c r="H400" s="637"/>
      <c r="I400" s="637"/>
      <c r="J400" s="637"/>
      <c r="K400" s="637"/>
      <c r="L400" s="637"/>
      <c r="M400" s="637"/>
      <c r="N400" s="637"/>
      <c r="O400" s="638"/>
      <c r="P400" s="634" t="s">
        <v>40</v>
      </c>
      <c r="Q400" s="635"/>
      <c r="R400" s="635"/>
      <c r="S400" s="635"/>
      <c r="T400" s="635"/>
      <c r="U400" s="635"/>
      <c r="V400" s="636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7"/>
      <c r="B401" s="63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637"/>
      <c r="O401" s="638"/>
      <c r="P401" s="634" t="s">
        <v>40</v>
      </c>
      <c r="Q401" s="635"/>
      <c r="R401" s="635"/>
      <c r="S401" s="635"/>
      <c r="T401" s="635"/>
      <c r="U401" s="635"/>
      <c r="V401" s="636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8" t="s">
        <v>88</v>
      </c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8"/>
      <c r="P402" s="628"/>
      <c r="Q402" s="628"/>
      <c r="R402" s="628"/>
      <c r="S402" s="628"/>
      <c r="T402" s="628"/>
      <c r="U402" s="628"/>
      <c r="V402" s="628"/>
      <c r="W402" s="628"/>
      <c r="X402" s="628"/>
      <c r="Y402" s="628"/>
      <c r="Z402" s="628"/>
      <c r="AA402" s="66"/>
      <c r="AB402" s="66"/>
      <c r="AC402" s="80"/>
    </row>
    <row r="403" spans="1:68" ht="27" customHeight="1" x14ac:dyDescent="0.25">
      <c r="A403" s="63" t="s">
        <v>642</v>
      </c>
      <c r="B403" s="63" t="s">
        <v>643</v>
      </c>
      <c r="C403" s="36">
        <v>4301051284</v>
      </c>
      <c r="D403" s="629">
        <v>4607091384352</v>
      </c>
      <c r="E403" s="629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120</v>
      </c>
      <c r="L403" s="37" t="s">
        <v>45</v>
      </c>
      <c r="M403" s="38" t="s">
        <v>92</v>
      </c>
      <c r="N403" s="38"/>
      <c r="O403" s="37">
        <v>45</v>
      </c>
      <c r="P403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31"/>
      <c r="R403" s="631"/>
      <c r="S403" s="631"/>
      <c r="T403" s="632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644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645</v>
      </c>
      <c r="B404" s="63" t="s">
        <v>646</v>
      </c>
      <c r="C404" s="36">
        <v>4301051431</v>
      </c>
      <c r="D404" s="629">
        <v>4607091389654</v>
      </c>
      <c r="E404" s="629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31"/>
      <c r="R404" s="631"/>
      <c r="S404" s="631"/>
      <c r="T404" s="632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647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7"/>
      <c r="B405" s="637"/>
      <c r="C405" s="637"/>
      <c r="D405" s="637"/>
      <c r="E405" s="637"/>
      <c r="F405" s="637"/>
      <c r="G405" s="637"/>
      <c r="H405" s="637"/>
      <c r="I405" s="637"/>
      <c r="J405" s="637"/>
      <c r="K405" s="637"/>
      <c r="L405" s="637"/>
      <c r="M405" s="637"/>
      <c r="N405" s="637"/>
      <c r="O405" s="638"/>
      <c r="P405" s="634" t="s">
        <v>40</v>
      </c>
      <c r="Q405" s="635"/>
      <c r="R405" s="635"/>
      <c r="S405" s="635"/>
      <c r="T405" s="635"/>
      <c r="U405" s="635"/>
      <c r="V405" s="636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7"/>
      <c r="B406" s="63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637"/>
      <c r="O406" s="638"/>
      <c r="P406" s="634" t="s">
        <v>40</v>
      </c>
      <c r="Q406" s="635"/>
      <c r="R406" s="635"/>
      <c r="S406" s="635"/>
      <c r="T406" s="635"/>
      <c r="U406" s="635"/>
      <c r="V406" s="636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7" t="s">
        <v>648</v>
      </c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7"/>
      <c r="P407" s="627"/>
      <c r="Q407" s="627"/>
      <c r="R407" s="627"/>
      <c r="S407" s="627"/>
      <c r="T407" s="627"/>
      <c r="U407" s="627"/>
      <c r="V407" s="627"/>
      <c r="W407" s="627"/>
      <c r="X407" s="627"/>
      <c r="Y407" s="627"/>
      <c r="Z407" s="627"/>
      <c r="AA407" s="65"/>
      <c r="AB407" s="65"/>
      <c r="AC407" s="79"/>
    </row>
    <row r="408" spans="1:68" ht="14.25" customHeight="1" x14ac:dyDescent="0.25">
      <c r="A408" s="628" t="s">
        <v>145</v>
      </c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8"/>
      <c r="W408" s="628"/>
      <c r="X408" s="628"/>
      <c r="Y408" s="628"/>
      <c r="Z408" s="628"/>
      <c r="AA408" s="66"/>
      <c r="AB408" s="66"/>
      <c r="AC408" s="80"/>
    </row>
    <row r="409" spans="1:68" ht="27" customHeight="1" x14ac:dyDescent="0.25">
      <c r="A409" s="63" t="s">
        <v>649</v>
      </c>
      <c r="B409" s="63" t="s">
        <v>650</v>
      </c>
      <c r="C409" s="36">
        <v>4301020319</v>
      </c>
      <c r="D409" s="629">
        <v>4680115885240</v>
      </c>
      <c r="E409" s="629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31"/>
      <c r="R409" s="631"/>
      <c r="S409" s="631"/>
      <c r="T409" s="63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651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7"/>
      <c r="B410" s="637"/>
      <c r="C410" s="637"/>
      <c r="D410" s="637"/>
      <c r="E410" s="637"/>
      <c r="F410" s="637"/>
      <c r="G410" s="637"/>
      <c r="H410" s="637"/>
      <c r="I410" s="637"/>
      <c r="J410" s="637"/>
      <c r="K410" s="637"/>
      <c r="L410" s="637"/>
      <c r="M410" s="637"/>
      <c r="N410" s="637"/>
      <c r="O410" s="638"/>
      <c r="P410" s="634" t="s">
        <v>40</v>
      </c>
      <c r="Q410" s="635"/>
      <c r="R410" s="635"/>
      <c r="S410" s="635"/>
      <c r="T410" s="635"/>
      <c r="U410" s="635"/>
      <c r="V410" s="636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7"/>
      <c r="B411" s="63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637"/>
      <c r="O411" s="638"/>
      <c r="P411" s="634" t="s">
        <v>40</v>
      </c>
      <c r="Q411" s="635"/>
      <c r="R411" s="635"/>
      <c r="S411" s="635"/>
      <c r="T411" s="635"/>
      <c r="U411" s="635"/>
      <c r="V411" s="636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8" t="s">
        <v>78</v>
      </c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8"/>
      <c r="P412" s="628"/>
      <c r="Q412" s="628"/>
      <c r="R412" s="628"/>
      <c r="S412" s="628"/>
      <c r="T412" s="628"/>
      <c r="U412" s="628"/>
      <c r="V412" s="628"/>
      <c r="W412" s="628"/>
      <c r="X412" s="628"/>
      <c r="Y412" s="628"/>
      <c r="Z412" s="628"/>
      <c r="AA412" s="66"/>
      <c r="AB412" s="66"/>
      <c r="AC412" s="80"/>
    </row>
    <row r="413" spans="1:68" ht="27" customHeight="1" x14ac:dyDescent="0.25">
      <c r="A413" s="63" t="s">
        <v>652</v>
      </c>
      <c r="B413" s="63" t="s">
        <v>653</v>
      </c>
      <c r="C413" s="36">
        <v>4301031403</v>
      </c>
      <c r="D413" s="629">
        <v>4680115886094</v>
      </c>
      <c r="E413" s="629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120</v>
      </c>
      <c r="L413" s="37" t="s">
        <v>45</v>
      </c>
      <c r="M413" s="38" t="s">
        <v>116</v>
      </c>
      <c r="N413" s="38"/>
      <c r="O413" s="37">
        <v>50</v>
      </c>
      <c r="P413" s="8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31"/>
      <c r="R413" s="631"/>
      <c r="S413" s="631"/>
      <c r="T413" s="632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654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655</v>
      </c>
      <c r="B414" s="63" t="s">
        <v>656</v>
      </c>
      <c r="C414" s="36">
        <v>4301031363</v>
      </c>
      <c r="D414" s="629">
        <v>4607091389425</v>
      </c>
      <c r="E414" s="629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31"/>
      <c r="R414" s="631"/>
      <c r="S414" s="631"/>
      <c r="T414" s="63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657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658</v>
      </c>
      <c r="B415" s="63" t="s">
        <v>659</v>
      </c>
      <c r="C415" s="36">
        <v>4301031373</v>
      </c>
      <c r="D415" s="629">
        <v>4680115880771</v>
      </c>
      <c r="E415" s="629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31"/>
      <c r="R415" s="631"/>
      <c r="S415" s="631"/>
      <c r="T415" s="632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660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661</v>
      </c>
      <c r="B416" s="63" t="s">
        <v>662</v>
      </c>
      <c r="C416" s="36">
        <v>4301031359</v>
      </c>
      <c r="D416" s="629">
        <v>4607091389500</v>
      </c>
      <c r="E416" s="629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354</v>
      </c>
      <c r="M416" s="38" t="s">
        <v>82</v>
      </c>
      <c r="N416" s="38"/>
      <c r="O416" s="37">
        <v>50</v>
      </c>
      <c r="P416" s="8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31"/>
      <c r="R416" s="631"/>
      <c r="S416" s="631"/>
      <c r="T416" s="632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660</v>
      </c>
      <c r="AG416" s="78"/>
      <c r="AJ416" s="84" t="s">
        <v>211</v>
      </c>
      <c r="AK416" s="84">
        <v>37.799999999999997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7"/>
      <c r="B417" s="637"/>
      <c r="C417" s="637"/>
      <c r="D417" s="637"/>
      <c r="E417" s="637"/>
      <c r="F417" s="637"/>
      <c r="G417" s="637"/>
      <c r="H417" s="637"/>
      <c r="I417" s="637"/>
      <c r="J417" s="637"/>
      <c r="K417" s="637"/>
      <c r="L417" s="637"/>
      <c r="M417" s="637"/>
      <c r="N417" s="637"/>
      <c r="O417" s="638"/>
      <c r="P417" s="634" t="s">
        <v>40</v>
      </c>
      <c r="Q417" s="635"/>
      <c r="R417" s="635"/>
      <c r="S417" s="635"/>
      <c r="T417" s="635"/>
      <c r="U417" s="635"/>
      <c r="V417" s="636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7"/>
      <c r="B418" s="63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637"/>
      <c r="O418" s="638"/>
      <c r="P418" s="634" t="s">
        <v>40</v>
      </c>
      <c r="Q418" s="635"/>
      <c r="R418" s="635"/>
      <c r="S418" s="635"/>
      <c r="T418" s="635"/>
      <c r="U418" s="635"/>
      <c r="V418" s="636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7" t="s">
        <v>663</v>
      </c>
      <c r="B419" s="627"/>
      <c r="C419" s="627"/>
      <c r="D419" s="627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7"/>
      <c r="W419" s="627"/>
      <c r="X419" s="627"/>
      <c r="Y419" s="627"/>
      <c r="Z419" s="627"/>
      <c r="AA419" s="65"/>
      <c r="AB419" s="65"/>
      <c r="AC419" s="79"/>
    </row>
    <row r="420" spans="1:68" ht="14.25" customHeight="1" x14ac:dyDescent="0.25">
      <c r="A420" s="628" t="s">
        <v>78</v>
      </c>
      <c r="B420" s="628"/>
      <c r="C420" s="628"/>
      <c r="D420" s="628"/>
      <c r="E420" s="628"/>
      <c r="F420" s="628"/>
      <c r="G420" s="628"/>
      <c r="H420" s="628"/>
      <c r="I420" s="628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8"/>
      <c r="W420" s="628"/>
      <c r="X420" s="628"/>
      <c r="Y420" s="628"/>
      <c r="Z420" s="628"/>
      <c r="AA420" s="66"/>
      <c r="AB420" s="66"/>
      <c r="AC420" s="80"/>
    </row>
    <row r="421" spans="1:68" ht="27" customHeight="1" x14ac:dyDescent="0.25">
      <c r="A421" s="63" t="s">
        <v>664</v>
      </c>
      <c r="B421" s="63" t="s">
        <v>665</v>
      </c>
      <c r="C421" s="36">
        <v>4301031347</v>
      </c>
      <c r="D421" s="629">
        <v>4680115885110</v>
      </c>
      <c r="E421" s="629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31"/>
      <c r="R421" s="631"/>
      <c r="S421" s="631"/>
      <c r="T421" s="632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666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7"/>
      <c r="B422" s="637"/>
      <c r="C422" s="637"/>
      <c r="D422" s="637"/>
      <c r="E422" s="637"/>
      <c r="F422" s="637"/>
      <c r="G422" s="637"/>
      <c r="H422" s="637"/>
      <c r="I422" s="637"/>
      <c r="J422" s="637"/>
      <c r="K422" s="637"/>
      <c r="L422" s="637"/>
      <c r="M422" s="637"/>
      <c r="N422" s="637"/>
      <c r="O422" s="638"/>
      <c r="P422" s="634" t="s">
        <v>40</v>
      </c>
      <c r="Q422" s="635"/>
      <c r="R422" s="635"/>
      <c r="S422" s="635"/>
      <c r="T422" s="635"/>
      <c r="U422" s="635"/>
      <c r="V422" s="63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7"/>
      <c r="B423" s="637"/>
      <c r="C423" s="637"/>
      <c r="D423" s="637"/>
      <c r="E423" s="637"/>
      <c r="F423" s="637"/>
      <c r="G423" s="637"/>
      <c r="H423" s="637"/>
      <c r="I423" s="637"/>
      <c r="J423" s="637"/>
      <c r="K423" s="637"/>
      <c r="L423" s="637"/>
      <c r="M423" s="637"/>
      <c r="N423" s="637"/>
      <c r="O423" s="638"/>
      <c r="P423" s="634" t="s">
        <v>40</v>
      </c>
      <c r="Q423" s="635"/>
      <c r="R423" s="635"/>
      <c r="S423" s="635"/>
      <c r="T423" s="635"/>
      <c r="U423" s="635"/>
      <c r="V423" s="63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6" t="s">
        <v>667</v>
      </c>
      <c r="B424" s="626"/>
      <c r="C424" s="626"/>
      <c r="D424" s="626"/>
      <c r="E424" s="626"/>
      <c r="F424" s="626"/>
      <c r="G424" s="626"/>
      <c r="H424" s="626"/>
      <c r="I424" s="626"/>
      <c r="J424" s="626"/>
      <c r="K424" s="626"/>
      <c r="L424" s="626"/>
      <c r="M424" s="626"/>
      <c r="N424" s="626"/>
      <c r="O424" s="626"/>
      <c r="P424" s="626"/>
      <c r="Q424" s="626"/>
      <c r="R424" s="626"/>
      <c r="S424" s="626"/>
      <c r="T424" s="626"/>
      <c r="U424" s="626"/>
      <c r="V424" s="626"/>
      <c r="W424" s="626"/>
      <c r="X424" s="626"/>
      <c r="Y424" s="626"/>
      <c r="Z424" s="626"/>
      <c r="AA424" s="54"/>
      <c r="AB424" s="54"/>
      <c r="AC424" s="54"/>
    </row>
    <row r="425" spans="1:68" ht="16.5" customHeight="1" x14ac:dyDescent="0.25">
      <c r="A425" s="627" t="s">
        <v>667</v>
      </c>
      <c r="B425" s="627"/>
      <c r="C425" s="627"/>
      <c r="D425" s="627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S425" s="627"/>
      <c r="T425" s="627"/>
      <c r="U425" s="627"/>
      <c r="V425" s="627"/>
      <c r="W425" s="627"/>
      <c r="X425" s="627"/>
      <c r="Y425" s="627"/>
      <c r="Z425" s="627"/>
      <c r="AA425" s="65"/>
      <c r="AB425" s="65"/>
      <c r="AC425" s="79"/>
    </row>
    <row r="426" spans="1:68" ht="14.25" customHeight="1" x14ac:dyDescent="0.25">
      <c r="A426" s="628" t="s">
        <v>112</v>
      </c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8"/>
      <c r="P426" s="628"/>
      <c r="Q426" s="628"/>
      <c r="R426" s="628"/>
      <c r="S426" s="628"/>
      <c r="T426" s="628"/>
      <c r="U426" s="628"/>
      <c r="V426" s="628"/>
      <c r="W426" s="628"/>
      <c r="X426" s="628"/>
      <c r="Y426" s="628"/>
      <c r="Z426" s="628"/>
      <c r="AA426" s="66"/>
      <c r="AB426" s="66"/>
      <c r="AC426" s="80"/>
    </row>
    <row r="427" spans="1:68" ht="27" customHeight="1" x14ac:dyDescent="0.25">
      <c r="A427" s="63" t="s">
        <v>668</v>
      </c>
      <c r="B427" s="63" t="s">
        <v>669</v>
      </c>
      <c r="C427" s="36">
        <v>4301011795</v>
      </c>
      <c r="D427" s="629">
        <v>4607091389067</v>
      </c>
      <c r="E427" s="629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45</v>
      </c>
      <c r="M427" s="38" t="s">
        <v>116</v>
      </c>
      <c r="N427" s="38"/>
      <c r="O427" s="37">
        <v>60</v>
      </c>
      <c r="P427" s="8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31"/>
      <c r="R427" s="631"/>
      <c r="S427" s="631"/>
      <c r="T427" s="63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670</v>
      </c>
      <c r="B428" s="63" t="s">
        <v>671</v>
      </c>
      <c r="C428" s="36">
        <v>4301012145</v>
      </c>
      <c r="D428" s="629">
        <v>4607091383522</v>
      </c>
      <c r="E428" s="629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4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31"/>
      <c r="R428" s="631"/>
      <c r="S428" s="631"/>
      <c r="T428" s="63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672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670</v>
      </c>
      <c r="B429" s="63" t="s">
        <v>673</v>
      </c>
      <c r="C429" s="36">
        <v>4301012210</v>
      </c>
      <c r="D429" s="629">
        <v>4607091383522</v>
      </c>
      <c r="E429" s="629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4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31"/>
      <c r="R429" s="631"/>
      <c r="S429" s="631"/>
      <c r="T429" s="63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672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4301011961</v>
      </c>
      <c r="D430" s="629">
        <v>4680115885271</v>
      </c>
      <c r="E430" s="629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31"/>
      <c r="R430" s="631"/>
      <c r="S430" s="631"/>
      <c r="T430" s="63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676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677</v>
      </c>
      <c r="B431" s="63" t="s">
        <v>678</v>
      </c>
      <c r="C431" s="36">
        <v>4301011376</v>
      </c>
      <c r="D431" s="629">
        <v>4680115885226</v>
      </c>
      <c r="E431" s="629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92</v>
      </c>
      <c r="N431" s="38"/>
      <c r="O431" s="37">
        <v>60</v>
      </c>
      <c r="P431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31"/>
      <c r="R431" s="631"/>
      <c r="S431" s="631"/>
      <c r="T431" s="632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679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680</v>
      </c>
      <c r="B432" s="63" t="s">
        <v>681</v>
      </c>
      <c r="C432" s="36">
        <v>4301011774</v>
      </c>
      <c r="D432" s="629">
        <v>4680115884502</v>
      </c>
      <c r="E432" s="629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31"/>
      <c r="R432" s="631"/>
      <c r="S432" s="631"/>
      <c r="T432" s="632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682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683</v>
      </c>
      <c r="B433" s="63" t="s">
        <v>684</v>
      </c>
      <c r="C433" s="36">
        <v>4301011771</v>
      </c>
      <c r="D433" s="629">
        <v>4607091389104</v>
      </c>
      <c r="E433" s="629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45</v>
      </c>
      <c r="M433" s="38" t="s">
        <v>116</v>
      </c>
      <c r="N433" s="38"/>
      <c r="O433" s="37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31"/>
      <c r="R433" s="631"/>
      <c r="S433" s="631"/>
      <c r="T433" s="632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685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686</v>
      </c>
      <c r="B434" s="63" t="s">
        <v>687</v>
      </c>
      <c r="C434" s="36">
        <v>4301012125</v>
      </c>
      <c r="D434" s="629">
        <v>4680115886391</v>
      </c>
      <c r="E434" s="629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31"/>
      <c r="R434" s="631"/>
      <c r="S434" s="631"/>
      <c r="T434" s="632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4301012035</v>
      </c>
      <c r="D435" s="629">
        <v>4680115880603</v>
      </c>
      <c r="E435" s="629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120</v>
      </c>
      <c r="L435" s="37" t="s">
        <v>45</v>
      </c>
      <c r="M435" s="38" t="s">
        <v>116</v>
      </c>
      <c r="N435" s="38"/>
      <c r="O435" s="37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31"/>
      <c r="R435" s="631"/>
      <c r="S435" s="631"/>
      <c r="T435" s="632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4301012036</v>
      </c>
      <c r="D436" s="629">
        <v>4680115882782</v>
      </c>
      <c r="E436" s="629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120</v>
      </c>
      <c r="L436" s="37" t="s">
        <v>45</v>
      </c>
      <c r="M436" s="38" t="s">
        <v>116</v>
      </c>
      <c r="N436" s="38"/>
      <c r="O436" s="37">
        <v>60</v>
      </c>
      <c r="P436" s="84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31"/>
      <c r="R436" s="631"/>
      <c r="S436" s="631"/>
      <c r="T436" s="632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676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4301012050</v>
      </c>
      <c r="D437" s="629">
        <v>4680115885479</v>
      </c>
      <c r="E437" s="629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31"/>
      <c r="R437" s="631"/>
      <c r="S437" s="631"/>
      <c r="T437" s="632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694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695</v>
      </c>
      <c r="B438" s="63" t="s">
        <v>696</v>
      </c>
      <c r="C438" s="36">
        <v>4301012034</v>
      </c>
      <c r="D438" s="629">
        <v>4607091389982</v>
      </c>
      <c r="E438" s="629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120</v>
      </c>
      <c r="L438" s="37" t="s">
        <v>45</v>
      </c>
      <c r="M438" s="38" t="s">
        <v>116</v>
      </c>
      <c r="N438" s="38"/>
      <c r="O438" s="37">
        <v>60</v>
      </c>
      <c r="P438" s="8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31"/>
      <c r="R438" s="631"/>
      <c r="S438" s="631"/>
      <c r="T438" s="632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685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7"/>
      <c r="B439" s="637"/>
      <c r="C439" s="637"/>
      <c r="D439" s="637"/>
      <c r="E439" s="637"/>
      <c r="F439" s="637"/>
      <c r="G439" s="637"/>
      <c r="H439" s="637"/>
      <c r="I439" s="637"/>
      <c r="J439" s="637"/>
      <c r="K439" s="637"/>
      <c r="L439" s="637"/>
      <c r="M439" s="637"/>
      <c r="N439" s="637"/>
      <c r="O439" s="638"/>
      <c r="P439" s="634" t="s">
        <v>40</v>
      </c>
      <c r="Q439" s="635"/>
      <c r="R439" s="635"/>
      <c r="S439" s="635"/>
      <c r="T439" s="635"/>
      <c r="U439" s="635"/>
      <c r="V439" s="63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7"/>
      <c r="B440" s="637"/>
      <c r="C440" s="637"/>
      <c r="D440" s="637"/>
      <c r="E440" s="637"/>
      <c r="F440" s="637"/>
      <c r="G440" s="637"/>
      <c r="H440" s="637"/>
      <c r="I440" s="637"/>
      <c r="J440" s="637"/>
      <c r="K440" s="637"/>
      <c r="L440" s="637"/>
      <c r="M440" s="637"/>
      <c r="N440" s="637"/>
      <c r="O440" s="638"/>
      <c r="P440" s="634" t="s">
        <v>40</v>
      </c>
      <c r="Q440" s="635"/>
      <c r="R440" s="635"/>
      <c r="S440" s="635"/>
      <c r="T440" s="635"/>
      <c r="U440" s="635"/>
      <c r="V440" s="636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8" t="s">
        <v>145</v>
      </c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8"/>
      <c r="P441" s="628"/>
      <c r="Q441" s="628"/>
      <c r="R441" s="628"/>
      <c r="S441" s="628"/>
      <c r="T441" s="628"/>
      <c r="U441" s="628"/>
      <c r="V441" s="628"/>
      <c r="W441" s="628"/>
      <c r="X441" s="628"/>
      <c r="Y441" s="628"/>
      <c r="Z441" s="628"/>
      <c r="AA441" s="66"/>
      <c r="AB441" s="66"/>
      <c r="AC441" s="80"/>
    </row>
    <row r="442" spans="1:68" ht="16.5" customHeight="1" x14ac:dyDescent="0.25">
      <c r="A442" s="63" t="s">
        <v>697</v>
      </c>
      <c r="B442" s="63" t="s">
        <v>698</v>
      </c>
      <c r="C442" s="36">
        <v>4301020334</v>
      </c>
      <c r="D442" s="629">
        <v>4607091388930</v>
      </c>
      <c r="E442" s="62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45</v>
      </c>
      <c r="M442" s="38" t="s">
        <v>92</v>
      </c>
      <c r="N442" s="38"/>
      <c r="O442" s="37">
        <v>70</v>
      </c>
      <c r="P442" s="8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31"/>
      <c r="R442" s="631"/>
      <c r="S442" s="631"/>
      <c r="T442" s="632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699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700</v>
      </c>
      <c r="B443" s="63" t="s">
        <v>701</v>
      </c>
      <c r="C443" s="36">
        <v>4301020384</v>
      </c>
      <c r="D443" s="629">
        <v>4680115886407</v>
      </c>
      <c r="E443" s="629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31"/>
      <c r="R443" s="631"/>
      <c r="S443" s="631"/>
      <c r="T443" s="63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699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4301020385</v>
      </c>
      <c r="D444" s="629">
        <v>4680115880054</v>
      </c>
      <c r="E444" s="629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116</v>
      </c>
      <c r="N444" s="38"/>
      <c r="O444" s="37">
        <v>70</v>
      </c>
      <c r="P444" s="8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31"/>
      <c r="R444" s="631"/>
      <c r="S444" s="631"/>
      <c r="T444" s="632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699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7"/>
      <c r="B445" s="637"/>
      <c r="C445" s="637"/>
      <c r="D445" s="637"/>
      <c r="E445" s="637"/>
      <c r="F445" s="637"/>
      <c r="G445" s="637"/>
      <c r="H445" s="637"/>
      <c r="I445" s="637"/>
      <c r="J445" s="637"/>
      <c r="K445" s="637"/>
      <c r="L445" s="637"/>
      <c r="M445" s="637"/>
      <c r="N445" s="637"/>
      <c r="O445" s="638"/>
      <c r="P445" s="634" t="s">
        <v>40</v>
      </c>
      <c r="Q445" s="635"/>
      <c r="R445" s="635"/>
      <c r="S445" s="635"/>
      <c r="T445" s="635"/>
      <c r="U445" s="635"/>
      <c r="V445" s="63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7"/>
      <c r="B446" s="637"/>
      <c r="C446" s="637"/>
      <c r="D446" s="637"/>
      <c r="E446" s="637"/>
      <c r="F446" s="637"/>
      <c r="G446" s="637"/>
      <c r="H446" s="637"/>
      <c r="I446" s="637"/>
      <c r="J446" s="637"/>
      <c r="K446" s="637"/>
      <c r="L446" s="637"/>
      <c r="M446" s="637"/>
      <c r="N446" s="637"/>
      <c r="O446" s="638"/>
      <c r="P446" s="634" t="s">
        <v>40</v>
      </c>
      <c r="Q446" s="635"/>
      <c r="R446" s="635"/>
      <c r="S446" s="635"/>
      <c r="T446" s="635"/>
      <c r="U446" s="635"/>
      <c r="V446" s="63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8" t="s">
        <v>78</v>
      </c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8"/>
      <c r="P447" s="628"/>
      <c r="Q447" s="628"/>
      <c r="R447" s="628"/>
      <c r="S447" s="628"/>
      <c r="T447" s="628"/>
      <c r="U447" s="628"/>
      <c r="V447" s="628"/>
      <c r="W447" s="628"/>
      <c r="X447" s="628"/>
      <c r="Y447" s="628"/>
      <c r="Z447" s="628"/>
      <c r="AA447" s="66"/>
      <c r="AB447" s="66"/>
      <c r="AC447" s="80"/>
    </row>
    <row r="448" spans="1:68" ht="27" customHeight="1" x14ac:dyDescent="0.25">
      <c r="A448" s="63" t="s">
        <v>704</v>
      </c>
      <c r="B448" s="63" t="s">
        <v>705</v>
      </c>
      <c r="C448" s="36">
        <v>4301031349</v>
      </c>
      <c r="D448" s="629">
        <v>4680115883116</v>
      </c>
      <c r="E448" s="629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45</v>
      </c>
      <c r="M448" s="38" t="s">
        <v>116</v>
      </c>
      <c r="N448" s="38"/>
      <c r="O448" s="37">
        <v>70</v>
      </c>
      <c r="P448" s="8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31"/>
      <c r="R448" s="631"/>
      <c r="S448" s="631"/>
      <c r="T448" s="632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4301031350</v>
      </c>
      <c r="D449" s="629">
        <v>4680115883093</v>
      </c>
      <c r="E449" s="629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45</v>
      </c>
      <c r="M449" s="38" t="s">
        <v>82</v>
      </c>
      <c r="N449" s="38"/>
      <c r="O449" s="37">
        <v>70</v>
      </c>
      <c r="P449" s="85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31"/>
      <c r="R449" s="631"/>
      <c r="S449" s="631"/>
      <c r="T449" s="632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709</v>
      </c>
      <c r="AG449" s="78"/>
      <c r="AJ449" s="84" t="s">
        <v>45</v>
      </c>
      <c r="AK449" s="84">
        <v>0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710</v>
      </c>
      <c r="B450" s="63" t="s">
        <v>711</v>
      </c>
      <c r="C450" s="36">
        <v>4301031353</v>
      </c>
      <c r="D450" s="629">
        <v>4680115883109</v>
      </c>
      <c r="E450" s="629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45</v>
      </c>
      <c r="M450" s="38" t="s">
        <v>82</v>
      </c>
      <c r="N450" s="38"/>
      <c r="O450" s="37">
        <v>70</v>
      </c>
      <c r="P450" s="85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31"/>
      <c r="R450" s="631"/>
      <c r="S450" s="631"/>
      <c r="T450" s="632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712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713</v>
      </c>
      <c r="B451" s="63" t="s">
        <v>714</v>
      </c>
      <c r="C451" s="36">
        <v>4301031419</v>
      </c>
      <c r="D451" s="629">
        <v>4680115882072</v>
      </c>
      <c r="E451" s="629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120</v>
      </c>
      <c r="L451" s="37" t="s">
        <v>45</v>
      </c>
      <c r="M451" s="38" t="s">
        <v>116</v>
      </c>
      <c r="N451" s="38"/>
      <c r="O451" s="37">
        <v>70</v>
      </c>
      <c r="P451" s="8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31"/>
      <c r="R451" s="631"/>
      <c r="S451" s="631"/>
      <c r="T451" s="632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4301031418</v>
      </c>
      <c r="D452" s="629">
        <v>4680115882102</v>
      </c>
      <c r="E452" s="629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120</v>
      </c>
      <c r="L452" s="37" t="s">
        <v>45</v>
      </c>
      <c r="M452" s="38" t="s">
        <v>82</v>
      </c>
      <c r="N452" s="38"/>
      <c r="O452" s="37">
        <v>70</v>
      </c>
      <c r="P45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31"/>
      <c r="R452" s="631"/>
      <c r="S452" s="631"/>
      <c r="T452" s="632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709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4301031417</v>
      </c>
      <c r="D453" s="629">
        <v>4680115882096</v>
      </c>
      <c r="E453" s="629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31"/>
      <c r="R453" s="631"/>
      <c r="S453" s="631"/>
      <c r="T453" s="632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712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7"/>
      <c r="B454" s="637"/>
      <c r="C454" s="637"/>
      <c r="D454" s="637"/>
      <c r="E454" s="637"/>
      <c r="F454" s="637"/>
      <c r="G454" s="637"/>
      <c r="H454" s="637"/>
      <c r="I454" s="637"/>
      <c r="J454" s="637"/>
      <c r="K454" s="637"/>
      <c r="L454" s="637"/>
      <c r="M454" s="637"/>
      <c r="N454" s="637"/>
      <c r="O454" s="638"/>
      <c r="P454" s="634" t="s">
        <v>40</v>
      </c>
      <c r="Q454" s="635"/>
      <c r="R454" s="635"/>
      <c r="S454" s="635"/>
      <c r="T454" s="635"/>
      <c r="U454" s="635"/>
      <c r="V454" s="636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7"/>
      <c r="B455" s="637"/>
      <c r="C455" s="637"/>
      <c r="D455" s="637"/>
      <c r="E455" s="637"/>
      <c r="F455" s="637"/>
      <c r="G455" s="637"/>
      <c r="H455" s="637"/>
      <c r="I455" s="637"/>
      <c r="J455" s="637"/>
      <c r="K455" s="637"/>
      <c r="L455" s="637"/>
      <c r="M455" s="637"/>
      <c r="N455" s="637"/>
      <c r="O455" s="638"/>
      <c r="P455" s="634" t="s">
        <v>40</v>
      </c>
      <c r="Q455" s="635"/>
      <c r="R455" s="635"/>
      <c r="S455" s="635"/>
      <c r="T455" s="635"/>
      <c r="U455" s="635"/>
      <c r="V455" s="636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8" t="s">
        <v>88</v>
      </c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8"/>
      <c r="P456" s="628"/>
      <c r="Q456" s="628"/>
      <c r="R456" s="628"/>
      <c r="S456" s="628"/>
      <c r="T456" s="628"/>
      <c r="U456" s="628"/>
      <c r="V456" s="628"/>
      <c r="W456" s="628"/>
      <c r="X456" s="628"/>
      <c r="Y456" s="628"/>
      <c r="Z456" s="628"/>
      <c r="AA456" s="66"/>
      <c r="AB456" s="66"/>
      <c r="AC456" s="80"/>
    </row>
    <row r="457" spans="1:68" ht="27" customHeight="1" x14ac:dyDescent="0.25">
      <c r="A457" s="63" t="s">
        <v>719</v>
      </c>
      <c r="B457" s="63" t="s">
        <v>720</v>
      </c>
      <c r="C457" s="36">
        <v>4301051064</v>
      </c>
      <c r="D457" s="629">
        <v>4680115883536</v>
      </c>
      <c r="E457" s="629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31"/>
      <c r="R457" s="631"/>
      <c r="S457" s="631"/>
      <c r="T457" s="63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721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7"/>
      <c r="B458" s="637"/>
      <c r="C458" s="637"/>
      <c r="D458" s="637"/>
      <c r="E458" s="637"/>
      <c r="F458" s="637"/>
      <c r="G458" s="637"/>
      <c r="H458" s="637"/>
      <c r="I458" s="637"/>
      <c r="J458" s="637"/>
      <c r="K458" s="637"/>
      <c r="L458" s="637"/>
      <c r="M458" s="637"/>
      <c r="N458" s="637"/>
      <c r="O458" s="638"/>
      <c r="P458" s="634" t="s">
        <v>40</v>
      </c>
      <c r="Q458" s="635"/>
      <c r="R458" s="635"/>
      <c r="S458" s="635"/>
      <c r="T458" s="635"/>
      <c r="U458" s="635"/>
      <c r="V458" s="63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7"/>
      <c r="B459" s="637"/>
      <c r="C459" s="637"/>
      <c r="D459" s="637"/>
      <c r="E459" s="637"/>
      <c r="F459" s="637"/>
      <c r="G459" s="637"/>
      <c r="H459" s="637"/>
      <c r="I459" s="637"/>
      <c r="J459" s="637"/>
      <c r="K459" s="637"/>
      <c r="L459" s="637"/>
      <c r="M459" s="637"/>
      <c r="N459" s="637"/>
      <c r="O459" s="638"/>
      <c r="P459" s="634" t="s">
        <v>40</v>
      </c>
      <c r="Q459" s="635"/>
      <c r="R459" s="635"/>
      <c r="S459" s="635"/>
      <c r="T459" s="635"/>
      <c r="U459" s="635"/>
      <c r="V459" s="63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6" t="s">
        <v>722</v>
      </c>
      <c r="B460" s="626"/>
      <c r="C460" s="626"/>
      <c r="D460" s="626"/>
      <c r="E460" s="626"/>
      <c r="F460" s="626"/>
      <c r="G460" s="626"/>
      <c r="H460" s="626"/>
      <c r="I460" s="626"/>
      <c r="J460" s="626"/>
      <c r="K460" s="626"/>
      <c r="L460" s="626"/>
      <c r="M460" s="626"/>
      <c r="N460" s="626"/>
      <c r="O460" s="626"/>
      <c r="P460" s="626"/>
      <c r="Q460" s="626"/>
      <c r="R460" s="626"/>
      <c r="S460" s="626"/>
      <c r="T460" s="626"/>
      <c r="U460" s="626"/>
      <c r="V460" s="626"/>
      <c r="W460" s="626"/>
      <c r="X460" s="626"/>
      <c r="Y460" s="626"/>
      <c r="Z460" s="626"/>
      <c r="AA460" s="54"/>
      <c r="AB460" s="54"/>
      <c r="AC460" s="54"/>
    </row>
    <row r="461" spans="1:68" ht="16.5" customHeight="1" x14ac:dyDescent="0.25">
      <c r="A461" s="627" t="s">
        <v>722</v>
      </c>
      <c r="B461" s="627"/>
      <c r="C461" s="627"/>
      <c r="D461" s="627"/>
      <c r="E461" s="627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T461" s="627"/>
      <c r="U461" s="627"/>
      <c r="V461" s="627"/>
      <c r="W461" s="627"/>
      <c r="X461" s="627"/>
      <c r="Y461" s="627"/>
      <c r="Z461" s="627"/>
      <c r="AA461" s="65"/>
      <c r="AB461" s="65"/>
      <c r="AC461" s="79"/>
    </row>
    <row r="462" spans="1:68" ht="14.25" customHeight="1" x14ac:dyDescent="0.25">
      <c r="A462" s="628" t="s">
        <v>112</v>
      </c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8"/>
      <c r="P462" s="628"/>
      <c r="Q462" s="628"/>
      <c r="R462" s="628"/>
      <c r="S462" s="628"/>
      <c r="T462" s="628"/>
      <c r="U462" s="628"/>
      <c r="V462" s="628"/>
      <c r="W462" s="628"/>
      <c r="X462" s="628"/>
      <c r="Y462" s="628"/>
      <c r="Z462" s="628"/>
      <c r="AA462" s="66"/>
      <c r="AB462" s="66"/>
      <c r="AC462" s="80"/>
    </row>
    <row r="463" spans="1:68" ht="27" customHeight="1" x14ac:dyDescent="0.25">
      <c r="A463" s="63" t="s">
        <v>723</v>
      </c>
      <c r="B463" s="63" t="s">
        <v>724</v>
      </c>
      <c r="C463" s="36">
        <v>4301011763</v>
      </c>
      <c r="D463" s="629">
        <v>4640242181011</v>
      </c>
      <c r="E463" s="629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6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31"/>
      <c r="R463" s="631"/>
      <c r="S463" s="631"/>
      <c r="T463" s="632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725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726</v>
      </c>
      <c r="B464" s="63" t="s">
        <v>727</v>
      </c>
      <c r="C464" s="36">
        <v>4301011585</v>
      </c>
      <c r="D464" s="629">
        <v>4640242180441</v>
      </c>
      <c r="E464" s="62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31"/>
      <c r="R464" s="631"/>
      <c r="S464" s="631"/>
      <c r="T464" s="63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728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729</v>
      </c>
      <c r="B465" s="63" t="s">
        <v>730</v>
      </c>
      <c r="C465" s="36">
        <v>4301011584</v>
      </c>
      <c r="D465" s="629">
        <v>4640242180564</v>
      </c>
      <c r="E465" s="629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31"/>
      <c r="R465" s="631"/>
      <c r="S465" s="631"/>
      <c r="T465" s="63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731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732</v>
      </c>
      <c r="B466" s="63" t="s">
        <v>733</v>
      </c>
      <c r="C466" s="36">
        <v>4301011764</v>
      </c>
      <c r="D466" s="629">
        <v>4640242181189</v>
      </c>
      <c r="E466" s="62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92</v>
      </c>
      <c r="N466" s="38"/>
      <c r="O466" s="37">
        <v>55</v>
      </c>
      <c r="P466" s="86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31"/>
      <c r="R466" s="631"/>
      <c r="S466" s="631"/>
      <c r="T466" s="63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725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7"/>
      <c r="B467" s="637"/>
      <c r="C467" s="637"/>
      <c r="D467" s="637"/>
      <c r="E467" s="637"/>
      <c r="F467" s="637"/>
      <c r="G467" s="637"/>
      <c r="H467" s="637"/>
      <c r="I467" s="637"/>
      <c r="J467" s="637"/>
      <c r="K467" s="637"/>
      <c r="L467" s="637"/>
      <c r="M467" s="637"/>
      <c r="N467" s="637"/>
      <c r="O467" s="638"/>
      <c r="P467" s="634" t="s">
        <v>40</v>
      </c>
      <c r="Q467" s="635"/>
      <c r="R467" s="635"/>
      <c r="S467" s="635"/>
      <c r="T467" s="635"/>
      <c r="U467" s="635"/>
      <c r="V467" s="636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7"/>
      <c r="B468" s="637"/>
      <c r="C468" s="637"/>
      <c r="D468" s="637"/>
      <c r="E468" s="637"/>
      <c r="F468" s="637"/>
      <c r="G468" s="637"/>
      <c r="H468" s="637"/>
      <c r="I468" s="637"/>
      <c r="J468" s="637"/>
      <c r="K468" s="637"/>
      <c r="L468" s="637"/>
      <c r="M468" s="637"/>
      <c r="N468" s="637"/>
      <c r="O468" s="638"/>
      <c r="P468" s="634" t="s">
        <v>40</v>
      </c>
      <c r="Q468" s="635"/>
      <c r="R468" s="635"/>
      <c r="S468" s="635"/>
      <c r="T468" s="635"/>
      <c r="U468" s="635"/>
      <c r="V468" s="636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8" t="s">
        <v>145</v>
      </c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8"/>
      <c r="P469" s="628"/>
      <c r="Q469" s="628"/>
      <c r="R469" s="628"/>
      <c r="S469" s="628"/>
      <c r="T469" s="628"/>
      <c r="U469" s="628"/>
      <c r="V469" s="628"/>
      <c r="W469" s="628"/>
      <c r="X469" s="628"/>
      <c r="Y469" s="628"/>
      <c r="Z469" s="628"/>
      <c r="AA469" s="66"/>
      <c r="AB469" s="66"/>
      <c r="AC469" s="80"/>
    </row>
    <row r="470" spans="1:68" ht="27" customHeight="1" x14ac:dyDescent="0.25">
      <c r="A470" s="63" t="s">
        <v>734</v>
      </c>
      <c r="B470" s="63" t="s">
        <v>735</v>
      </c>
      <c r="C470" s="36">
        <v>4301020400</v>
      </c>
      <c r="D470" s="629">
        <v>4640242180519</v>
      </c>
      <c r="E470" s="629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31"/>
      <c r="R470" s="631"/>
      <c r="S470" s="631"/>
      <c r="T470" s="63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736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737</v>
      </c>
      <c r="B471" s="63" t="s">
        <v>738</v>
      </c>
      <c r="C471" s="36">
        <v>4301020260</v>
      </c>
      <c r="D471" s="629">
        <v>4640242180526</v>
      </c>
      <c r="E471" s="629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31"/>
      <c r="R471" s="631"/>
      <c r="S471" s="631"/>
      <c r="T471" s="63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739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7"/>
      <c r="B472" s="637"/>
      <c r="C472" s="637"/>
      <c r="D472" s="637"/>
      <c r="E472" s="637"/>
      <c r="F472" s="637"/>
      <c r="G472" s="637"/>
      <c r="H472" s="637"/>
      <c r="I472" s="637"/>
      <c r="J472" s="637"/>
      <c r="K472" s="637"/>
      <c r="L472" s="637"/>
      <c r="M472" s="637"/>
      <c r="N472" s="637"/>
      <c r="O472" s="638"/>
      <c r="P472" s="634" t="s">
        <v>40</v>
      </c>
      <c r="Q472" s="635"/>
      <c r="R472" s="635"/>
      <c r="S472" s="635"/>
      <c r="T472" s="635"/>
      <c r="U472" s="635"/>
      <c r="V472" s="636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7"/>
      <c r="B473" s="637"/>
      <c r="C473" s="637"/>
      <c r="D473" s="637"/>
      <c r="E473" s="637"/>
      <c r="F473" s="637"/>
      <c r="G473" s="637"/>
      <c r="H473" s="637"/>
      <c r="I473" s="637"/>
      <c r="J473" s="637"/>
      <c r="K473" s="637"/>
      <c r="L473" s="637"/>
      <c r="M473" s="637"/>
      <c r="N473" s="637"/>
      <c r="O473" s="638"/>
      <c r="P473" s="634" t="s">
        <v>40</v>
      </c>
      <c r="Q473" s="635"/>
      <c r="R473" s="635"/>
      <c r="S473" s="635"/>
      <c r="T473" s="635"/>
      <c r="U473" s="635"/>
      <c r="V473" s="636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8" t="s">
        <v>78</v>
      </c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8"/>
      <c r="P474" s="628"/>
      <c r="Q474" s="628"/>
      <c r="R474" s="628"/>
      <c r="S474" s="628"/>
      <c r="T474" s="628"/>
      <c r="U474" s="628"/>
      <c r="V474" s="628"/>
      <c r="W474" s="628"/>
      <c r="X474" s="628"/>
      <c r="Y474" s="628"/>
      <c r="Z474" s="628"/>
      <c r="AA474" s="66"/>
      <c r="AB474" s="66"/>
      <c r="AC474" s="80"/>
    </row>
    <row r="475" spans="1:68" ht="27" customHeight="1" x14ac:dyDescent="0.25">
      <c r="A475" s="63" t="s">
        <v>740</v>
      </c>
      <c r="B475" s="63" t="s">
        <v>741</v>
      </c>
      <c r="C475" s="36">
        <v>4301031244</v>
      </c>
      <c r="D475" s="629">
        <v>4640242180595</v>
      </c>
      <c r="E475" s="629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120</v>
      </c>
      <c r="L475" s="37" t="s">
        <v>45</v>
      </c>
      <c r="M475" s="38" t="s">
        <v>82</v>
      </c>
      <c r="N475" s="38"/>
      <c r="O475" s="37">
        <v>40</v>
      </c>
      <c r="P475" s="86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31"/>
      <c r="R475" s="631"/>
      <c r="S475" s="631"/>
      <c r="T475" s="63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742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740</v>
      </c>
      <c r="B476" s="63" t="s">
        <v>744</v>
      </c>
      <c r="C476" s="36">
        <v>4301031467</v>
      </c>
      <c r="D476" s="629">
        <v>4640242180595</v>
      </c>
      <c r="E476" s="629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86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631"/>
      <c r="R476" s="631"/>
      <c r="S476" s="631"/>
      <c r="T476" s="632"/>
      <c r="U476" s="39" t="s">
        <v>743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745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7"/>
      <c r="B477" s="637"/>
      <c r="C477" s="637"/>
      <c r="D477" s="637"/>
      <c r="E477" s="637"/>
      <c r="F477" s="637"/>
      <c r="G477" s="637"/>
      <c r="H477" s="637"/>
      <c r="I477" s="637"/>
      <c r="J477" s="637"/>
      <c r="K477" s="637"/>
      <c r="L477" s="637"/>
      <c r="M477" s="637"/>
      <c r="N477" s="637"/>
      <c r="O477" s="638"/>
      <c r="P477" s="634" t="s">
        <v>40</v>
      </c>
      <c r="Q477" s="635"/>
      <c r="R477" s="635"/>
      <c r="S477" s="635"/>
      <c r="T477" s="635"/>
      <c r="U477" s="635"/>
      <c r="V477" s="636"/>
      <c r="W477" s="42" t="s">
        <v>39</v>
      </c>
      <c r="X477" s="43">
        <f>IFERROR(X475/H475,"0")+IFERROR(X476/H476,"0")</f>
        <v>0</v>
      </c>
      <c r="Y477" s="43">
        <f>IFERROR(Y475/H475,"0")+IFERROR(Y476/H476,"0")</f>
        <v>0</v>
      </c>
      <c r="Z477" s="43">
        <f>IFERROR(IF(Z475="",0,Z475),"0")+IFERROR(IF(Z476="",0,Z476),"0")</f>
        <v>0</v>
      </c>
      <c r="AA477" s="67"/>
      <c r="AB477" s="67"/>
      <c r="AC477" s="67"/>
    </row>
    <row r="478" spans="1:68" x14ac:dyDescent="0.2">
      <c r="A478" s="637"/>
      <c r="B478" s="637"/>
      <c r="C478" s="637"/>
      <c r="D478" s="637"/>
      <c r="E478" s="637"/>
      <c r="F478" s="637"/>
      <c r="G478" s="637"/>
      <c r="H478" s="637"/>
      <c r="I478" s="637"/>
      <c r="J478" s="637"/>
      <c r="K478" s="637"/>
      <c r="L478" s="637"/>
      <c r="M478" s="637"/>
      <c r="N478" s="637"/>
      <c r="O478" s="638"/>
      <c r="P478" s="634" t="s">
        <v>40</v>
      </c>
      <c r="Q478" s="635"/>
      <c r="R478" s="635"/>
      <c r="S478" s="635"/>
      <c r="T478" s="635"/>
      <c r="U478" s="635"/>
      <c r="V478" s="636"/>
      <c r="W478" s="42" t="s">
        <v>0</v>
      </c>
      <c r="X478" s="43">
        <f>IFERROR(SUM(X475:X476),"0")</f>
        <v>0</v>
      </c>
      <c r="Y478" s="43">
        <f>IFERROR(SUM(Y475:Y476),"0")</f>
        <v>0</v>
      </c>
      <c r="Z478" s="42"/>
      <c r="AA478" s="67"/>
      <c r="AB478" s="67"/>
      <c r="AC478" s="67"/>
    </row>
    <row r="479" spans="1:68" ht="14.25" customHeight="1" x14ac:dyDescent="0.25">
      <c r="A479" s="628" t="s">
        <v>88</v>
      </c>
      <c r="B479" s="628"/>
      <c r="C479" s="628"/>
      <c r="D479" s="628"/>
      <c r="E479" s="628"/>
      <c r="F479" s="628"/>
      <c r="G479" s="628"/>
      <c r="H479" s="628"/>
      <c r="I479" s="628"/>
      <c r="J479" s="628"/>
      <c r="K479" s="628"/>
      <c r="L479" s="628"/>
      <c r="M479" s="628"/>
      <c r="N479" s="628"/>
      <c r="O479" s="628"/>
      <c r="P479" s="628"/>
      <c r="Q479" s="628"/>
      <c r="R479" s="628"/>
      <c r="S479" s="628"/>
      <c r="T479" s="628"/>
      <c r="U479" s="628"/>
      <c r="V479" s="628"/>
      <c r="W479" s="628"/>
      <c r="X479" s="628"/>
      <c r="Y479" s="628"/>
      <c r="Z479" s="628"/>
      <c r="AA479" s="66"/>
      <c r="AB479" s="66"/>
      <c r="AC479" s="80"/>
    </row>
    <row r="480" spans="1:68" ht="27" customHeight="1" x14ac:dyDescent="0.25">
      <c r="A480" s="63" t="s">
        <v>746</v>
      </c>
      <c r="B480" s="63" t="s">
        <v>747</v>
      </c>
      <c r="C480" s="36">
        <v>4301052046</v>
      </c>
      <c r="D480" s="629">
        <v>4640242180533</v>
      </c>
      <c r="E480" s="629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117</v>
      </c>
      <c r="L480" s="37" t="s">
        <v>45</v>
      </c>
      <c r="M480" s="38" t="s">
        <v>98</v>
      </c>
      <c r="N480" s="38"/>
      <c r="O480" s="37">
        <v>45</v>
      </c>
      <c r="P480" s="8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1"/>
      <c r="R480" s="631"/>
      <c r="S480" s="631"/>
      <c r="T480" s="63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748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7"/>
      <c r="B481" s="637"/>
      <c r="C481" s="637"/>
      <c r="D481" s="637"/>
      <c r="E481" s="637"/>
      <c r="F481" s="637"/>
      <c r="G481" s="637"/>
      <c r="H481" s="637"/>
      <c r="I481" s="637"/>
      <c r="J481" s="637"/>
      <c r="K481" s="637"/>
      <c r="L481" s="637"/>
      <c r="M481" s="637"/>
      <c r="N481" s="637"/>
      <c r="O481" s="638"/>
      <c r="P481" s="634" t="s">
        <v>40</v>
      </c>
      <c r="Q481" s="635"/>
      <c r="R481" s="635"/>
      <c r="S481" s="635"/>
      <c r="T481" s="635"/>
      <c r="U481" s="635"/>
      <c r="V481" s="636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7"/>
      <c r="B482" s="637"/>
      <c r="C482" s="637"/>
      <c r="D482" s="637"/>
      <c r="E482" s="637"/>
      <c r="F482" s="637"/>
      <c r="G482" s="637"/>
      <c r="H482" s="637"/>
      <c r="I482" s="637"/>
      <c r="J482" s="637"/>
      <c r="K482" s="637"/>
      <c r="L482" s="637"/>
      <c r="M482" s="637"/>
      <c r="N482" s="637"/>
      <c r="O482" s="638"/>
      <c r="P482" s="634" t="s">
        <v>40</v>
      </c>
      <c r="Q482" s="635"/>
      <c r="R482" s="635"/>
      <c r="S482" s="635"/>
      <c r="T482" s="635"/>
      <c r="U482" s="635"/>
      <c r="V482" s="636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8" t="s">
        <v>170</v>
      </c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8"/>
      <c r="P483" s="628"/>
      <c r="Q483" s="628"/>
      <c r="R483" s="628"/>
      <c r="S483" s="628"/>
      <c r="T483" s="628"/>
      <c r="U483" s="628"/>
      <c r="V483" s="628"/>
      <c r="W483" s="628"/>
      <c r="X483" s="628"/>
      <c r="Y483" s="628"/>
      <c r="Z483" s="628"/>
      <c r="AA483" s="66"/>
      <c r="AB483" s="66"/>
      <c r="AC483" s="80"/>
    </row>
    <row r="484" spans="1:68" ht="27" customHeight="1" x14ac:dyDescent="0.25">
      <c r="A484" s="63" t="s">
        <v>749</v>
      </c>
      <c r="B484" s="63" t="s">
        <v>750</v>
      </c>
      <c r="C484" s="36">
        <v>4301060491</v>
      </c>
      <c r="D484" s="629">
        <v>4640242180120</v>
      </c>
      <c r="E484" s="629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7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1"/>
      <c r="R484" s="631"/>
      <c r="S484" s="631"/>
      <c r="T484" s="632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751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752</v>
      </c>
      <c r="B485" s="63" t="s">
        <v>753</v>
      </c>
      <c r="C485" s="36">
        <v>4301060493</v>
      </c>
      <c r="D485" s="629">
        <v>4640242180137</v>
      </c>
      <c r="E485" s="629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117</v>
      </c>
      <c r="L485" s="37" t="s">
        <v>45</v>
      </c>
      <c r="M485" s="38" t="s">
        <v>92</v>
      </c>
      <c r="N485" s="38"/>
      <c r="O485" s="37">
        <v>40</v>
      </c>
      <c r="P485" s="87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1"/>
      <c r="R485" s="631"/>
      <c r="S485" s="631"/>
      <c r="T485" s="63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754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7"/>
      <c r="B486" s="637"/>
      <c r="C486" s="637"/>
      <c r="D486" s="637"/>
      <c r="E486" s="637"/>
      <c r="F486" s="637"/>
      <c r="G486" s="637"/>
      <c r="H486" s="637"/>
      <c r="I486" s="637"/>
      <c r="J486" s="637"/>
      <c r="K486" s="637"/>
      <c r="L486" s="637"/>
      <c r="M486" s="637"/>
      <c r="N486" s="637"/>
      <c r="O486" s="638"/>
      <c r="P486" s="634" t="s">
        <v>40</v>
      </c>
      <c r="Q486" s="635"/>
      <c r="R486" s="635"/>
      <c r="S486" s="635"/>
      <c r="T486" s="635"/>
      <c r="U486" s="635"/>
      <c r="V486" s="636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7"/>
      <c r="B487" s="637"/>
      <c r="C487" s="637"/>
      <c r="D487" s="637"/>
      <c r="E487" s="637"/>
      <c r="F487" s="637"/>
      <c r="G487" s="637"/>
      <c r="H487" s="637"/>
      <c r="I487" s="637"/>
      <c r="J487" s="637"/>
      <c r="K487" s="637"/>
      <c r="L487" s="637"/>
      <c r="M487" s="637"/>
      <c r="N487" s="637"/>
      <c r="O487" s="638"/>
      <c r="P487" s="634" t="s">
        <v>40</v>
      </c>
      <c r="Q487" s="635"/>
      <c r="R487" s="635"/>
      <c r="S487" s="635"/>
      <c r="T487" s="635"/>
      <c r="U487" s="635"/>
      <c r="V487" s="636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7" t="s">
        <v>755</v>
      </c>
      <c r="B488" s="627"/>
      <c r="C488" s="627"/>
      <c r="D488" s="627"/>
      <c r="E488" s="627"/>
      <c r="F488" s="627"/>
      <c r="G488" s="627"/>
      <c r="H488" s="627"/>
      <c r="I488" s="627"/>
      <c r="J488" s="627"/>
      <c r="K488" s="627"/>
      <c r="L488" s="627"/>
      <c r="M488" s="627"/>
      <c r="N488" s="627"/>
      <c r="O488" s="627"/>
      <c r="P488" s="627"/>
      <c r="Q488" s="627"/>
      <c r="R488" s="627"/>
      <c r="S488" s="627"/>
      <c r="T488" s="627"/>
      <c r="U488" s="627"/>
      <c r="V488" s="627"/>
      <c r="W488" s="627"/>
      <c r="X488" s="627"/>
      <c r="Y488" s="627"/>
      <c r="Z488" s="627"/>
      <c r="AA488" s="65"/>
      <c r="AB488" s="65"/>
      <c r="AC488" s="79"/>
    </row>
    <row r="489" spans="1:68" ht="14.25" customHeight="1" x14ac:dyDescent="0.25">
      <c r="A489" s="628" t="s">
        <v>145</v>
      </c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628"/>
      <c r="P489" s="628"/>
      <c r="Q489" s="628"/>
      <c r="R489" s="628"/>
      <c r="S489" s="628"/>
      <c r="T489" s="628"/>
      <c r="U489" s="628"/>
      <c r="V489" s="628"/>
      <c r="W489" s="628"/>
      <c r="X489" s="628"/>
      <c r="Y489" s="628"/>
      <c r="Z489" s="628"/>
      <c r="AA489" s="66"/>
      <c r="AB489" s="66"/>
      <c r="AC489" s="80"/>
    </row>
    <row r="490" spans="1:68" ht="27" customHeight="1" x14ac:dyDescent="0.25">
      <c r="A490" s="63" t="s">
        <v>756</v>
      </c>
      <c r="B490" s="63" t="s">
        <v>757</v>
      </c>
      <c r="C490" s="36">
        <v>4301020314</v>
      </c>
      <c r="D490" s="629">
        <v>4640242180090</v>
      </c>
      <c r="E490" s="629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117</v>
      </c>
      <c r="L490" s="37" t="s">
        <v>45</v>
      </c>
      <c r="M490" s="38" t="s">
        <v>116</v>
      </c>
      <c r="N490" s="38"/>
      <c r="O490" s="37">
        <v>50</v>
      </c>
      <c r="P490" s="87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1"/>
      <c r="R490" s="631"/>
      <c r="S490" s="631"/>
      <c r="T490" s="632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758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7"/>
      <c r="B491" s="637"/>
      <c r="C491" s="637"/>
      <c r="D491" s="637"/>
      <c r="E491" s="637"/>
      <c r="F491" s="637"/>
      <c r="G491" s="637"/>
      <c r="H491" s="637"/>
      <c r="I491" s="637"/>
      <c r="J491" s="637"/>
      <c r="K491" s="637"/>
      <c r="L491" s="637"/>
      <c r="M491" s="637"/>
      <c r="N491" s="637"/>
      <c r="O491" s="638"/>
      <c r="P491" s="634" t="s">
        <v>40</v>
      </c>
      <c r="Q491" s="635"/>
      <c r="R491" s="635"/>
      <c r="S491" s="635"/>
      <c r="T491" s="635"/>
      <c r="U491" s="635"/>
      <c r="V491" s="636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7"/>
      <c r="B492" s="637"/>
      <c r="C492" s="637"/>
      <c r="D492" s="637"/>
      <c r="E492" s="637"/>
      <c r="F492" s="637"/>
      <c r="G492" s="637"/>
      <c r="H492" s="637"/>
      <c r="I492" s="637"/>
      <c r="J492" s="637"/>
      <c r="K492" s="637"/>
      <c r="L492" s="637"/>
      <c r="M492" s="637"/>
      <c r="N492" s="637"/>
      <c r="O492" s="638"/>
      <c r="P492" s="634" t="s">
        <v>40</v>
      </c>
      <c r="Q492" s="635"/>
      <c r="R492" s="635"/>
      <c r="S492" s="635"/>
      <c r="T492" s="635"/>
      <c r="U492" s="635"/>
      <c r="V492" s="636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7"/>
      <c r="B493" s="637"/>
      <c r="C493" s="637"/>
      <c r="D493" s="637"/>
      <c r="E493" s="637"/>
      <c r="F493" s="637"/>
      <c r="G493" s="637"/>
      <c r="H493" s="637"/>
      <c r="I493" s="637"/>
      <c r="J493" s="637"/>
      <c r="K493" s="637"/>
      <c r="L493" s="637"/>
      <c r="M493" s="637"/>
      <c r="N493" s="637"/>
      <c r="O493" s="876"/>
      <c r="P493" s="873" t="s">
        <v>33</v>
      </c>
      <c r="Q493" s="874"/>
      <c r="R493" s="874"/>
      <c r="S493" s="874"/>
      <c r="T493" s="874"/>
      <c r="U493" s="874"/>
      <c r="V493" s="875"/>
      <c r="W493" s="42" t="s">
        <v>0</v>
      </c>
      <c r="X493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478+X482+X487+X492,"0")</f>
        <v>0</v>
      </c>
      <c r="Y493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478+Y482+Y487+Y492,"0")</f>
        <v>0</v>
      </c>
      <c r="Z493" s="42"/>
      <c r="AA493" s="67"/>
      <c r="AB493" s="67"/>
      <c r="AC493" s="67"/>
    </row>
    <row r="494" spans="1:68" x14ac:dyDescent="0.2">
      <c r="A494" s="637"/>
      <c r="B494" s="637"/>
      <c r="C494" s="637"/>
      <c r="D494" s="637"/>
      <c r="E494" s="637"/>
      <c r="F494" s="637"/>
      <c r="G494" s="637"/>
      <c r="H494" s="637"/>
      <c r="I494" s="637"/>
      <c r="J494" s="637"/>
      <c r="K494" s="637"/>
      <c r="L494" s="637"/>
      <c r="M494" s="637"/>
      <c r="N494" s="637"/>
      <c r="O494" s="876"/>
      <c r="P494" s="873" t="s">
        <v>34</v>
      </c>
      <c r="Q494" s="874"/>
      <c r="R494" s="874"/>
      <c r="S494" s="874"/>
      <c r="T494" s="874"/>
      <c r="U494" s="874"/>
      <c r="V494" s="875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7"/>
      <c r="B495" s="637"/>
      <c r="C495" s="637"/>
      <c r="D495" s="637"/>
      <c r="E495" s="637"/>
      <c r="F495" s="637"/>
      <c r="G495" s="637"/>
      <c r="H495" s="637"/>
      <c r="I495" s="637"/>
      <c r="J495" s="637"/>
      <c r="K495" s="637"/>
      <c r="L495" s="637"/>
      <c r="M495" s="637"/>
      <c r="N495" s="637"/>
      <c r="O495" s="876"/>
      <c r="P495" s="873" t="s">
        <v>35</v>
      </c>
      <c r="Q495" s="874"/>
      <c r="R495" s="874"/>
      <c r="S495" s="874"/>
      <c r="T495" s="874"/>
      <c r="U495" s="874"/>
      <c r="V495" s="875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7"/>
      <c r="B496" s="637"/>
      <c r="C496" s="637"/>
      <c r="D496" s="637"/>
      <c r="E496" s="637"/>
      <c r="F496" s="637"/>
      <c r="G496" s="637"/>
      <c r="H496" s="637"/>
      <c r="I496" s="637"/>
      <c r="J496" s="637"/>
      <c r="K496" s="637"/>
      <c r="L496" s="637"/>
      <c r="M496" s="637"/>
      <c r="N496" s="637"/>
      <c r="O496" s="876"/>
      <c r="P496" s="873" t="s">
        <v>36</v>
      </c>
      <c r="Q496" s="874"/>
      <c r="R496" s="874"/>
      <c r="S496" s="874"/>
      <c r="T496" s="874"/>
      <c r="U496" s="874"/>
      <c r="V496" s="875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7"/>
      <c r="B497" s="637"/>
      <c r="C497" s="637"/>
      <c r="D497" s="637"/>
      <c r="E497" s="637"/>
      <c r="F497" s="637"/>
      <c r="G497" s="637"/>
      <c r="H497" s="637"/>
      <c r="I497" s="637"/>
      <c r="J497" s="637"/>
      <c r="K497" s="637"/>
      <c r="L497" s="637"/>
      <c r="M497" s="637"/>
      <c r="N497" s="637"/>
      <c r="O497" s="876"/>
      <c r="P497" s="873" t="s">
        <v>37</v>
      </c>
      <c r="Q497" s="874"/>
      <c r="R497" s="874"/>
      <c r="S497" s="874"/>
      <c r="T497" s="874"/>
      <c r="U497" s="874"/>
      <c r="V497" s="875"/>
      <c r="W497" s="42" t="s">
        <v>20</v>
      </c>
      <c r="X497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477+X481+X486+X491,"0")</f>
        <v>0</v>
      </c>
      <c r="Y497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477+Y481+Y486+Y491,"0")</f>
        <v>0</v>
      </c>
      <c r="Z497" s="42"/>
      <c r="AA497" s="67"/>
      <c r="AB497" s="67"/>
      <c r="AC497" s="67"/>
    </row>
    <row r="498" spans="1:32" ht="14.25" x14ac:dyDescent="0.2">
      <c r="A498" s="637"/>
      <c r="B498" s="637"/>
      <c r="C498" s="637"/>
      <c r="D498" s="637"/>
      <c r="E498" s="637"/>
      <c r="F498" s="637"/>
      <c r="G498" s="637"/>
      <c r="H498" s="637"/>
      <c r="I498" s="637"/>
      <c r="J498" s="637"/>
      <c r="K498" s="637"/>
      <c r="L498" s="637"/>
      <c r="M498" s="637"/>
      <c r="N498" s="637"/>
      <c r="O498" s="876"/>
      <c r="P498" s="873" t="s">
        <v>38</v>
      </c>
      <c r="Q498" s="874"/>
      <c r="R498" s="874"/>
      <c r="S498" s="874"/>
      <c r="T498" s="874"/>
      <c r="U498" s="874"/>
      <c r="V498" s="875"/>
      <c r="W498" s="45" t="s">
        <v>51</v>
      </c>
      <c r="X498" s="42"/>
      <c r="Y498" s="42"/>
      <c r="Z498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79" t="s">
        <v>110</v>
      </c>
      <c r="D500" s="879" t="s">
        <v>110</v>
      </c>
      <c r="E500" s="879" t="s">
        <v>110</v>
      </c>
      <c r="F500" s="879" t="s">
        <v>110</v>
      </c>
      <c r="G500" s="879" t="s">
        <v>110</v>
      </c>
      <c r="H500" s="879" t="s">
        <v>110</v>
      </c>
      <c r="I500" s="879" t="s">
        <v>279</v>
      </c>
      <c r="J500" s="879" t="s">
        <v>279</v>
      </c>
      <c r="K500" s="879" t="s">
        <v>279</v>
      </c>
      <c r="L500" s="879" t="s">
        <v>279</v>
      </c>
      <c r="M500" s="879" t="s">
        <v>279</v>
      </c>
      <c r="N500" s="880"/>
      <c r="O500" s="879" t="s">
        <v>279</v>
      </c>
      <c r="P500" s="879" t="s">
        <v>279</v>
      </c>
      <c r="Q500" s="879" t="s">
        <v>279</v>
      </c>
      <c r="R500" s="879" t="s">
        <v>279</v>
      </c>
      <c r="S500" s="879" t="s">
        <v>562</v>
      </c>
      <c r="T500" s="879" t="s">
        <v>562</v>
      </c>
      <c r="U500" s="879" t="s">
        <v>616</v>
      </c>
      <c r="V500" s="879" t="s">
        <v>616</v>
      </c>
      <c r="W500" s="879" t="s">
        <v>616</v>
      </c>
      <c r="X500" s="85" t="s">
        <v>667</v>
      </c>
      <c r="Y500" s="879" t="s">
        <v>722</v>
      </c>
      <c r="Z500" s="879" t="s">
        <v>722</v>
      </c>
      <c r="AB500" s="60"/>
      <c r="AC500" s="60"/>
      <c r="AF500" s="1"/>
    </row>
    <row r="501" spans="1:32" ht="14.25" customHeight="1" thickTop="1" x14ac:dyDescent="0.2">
      <c r="A501" s="877" t="s">
        <v>10</v>
      </c>
      <c r="B501" s="879" t="s">
        <v>77</v>
      </c>
      <c r="C501" s="879" t="s">
        <v>111</v>
      </c>
      <c r="D501" s="879" t="s">
        <v>126</v>
      </c>
      <c r="E501" s="879" t="s">
        <v>177</v>
      </c>
      <c r="F501" s="879" t="s">
        <v>199</v>
      </c>
      <c r="G501" s="879" t="s">
        <v>239</v>
      </c>
      <c r="H501" s="879" t="s">
        <v>110</v>
      </c>
      <c r="I501" s="879" t="s">
        <v>280</v>
      </c>
      <c r="J501" s="879" t="s">
        <v>329</v>
      </c>
      <c r="K501" s="879" t="s">
        <v>390</v>
      </c>
      <c r="L501" s="879" t="s">
        <v>431</v>
      </c>
      <c r="M501" s="879" t="s">
        <v>447</v>
      </c>
      <c r="N501" s="1"/>
      <c r="O501" s="879" t="s">
        <v>458</v>
      </c>
      <c r="P501" s="879" t="s">
        <v>467</v>
      </c>
      <c r="Q501" s="879" t="s">
        <v>480</v>
      </c>
      <c r="R501" s="879" t="s">
        <v>552</v>
      </c>
      <c r="S501" s="879" t="s">
        <v>563</v>
      </c>
      <c r="T501" s="879" t="s">
        <v>598</v>
      </c>
      <c r="U501" s="879" t="s">
        <v>617</v>
      </c>
      <c r="V501" s="879" t="s">
        <v>648</v>
      </c>
      <c r="W501" s="879" t="s">
        <v>663</v>
      </c>
      <c r="X501" s="879" t="s">
        <v>667</v>
      </c>
      <c r="Y501" s="879" t="s">
        <v>722</v>
      </c>
      <c r="Z501" s="879" t="s">
        <v>755</v>
      </c>
      <c r="AB501" s="60"/>
      <c r="AC501" s="60"/>
      <c r="AF501" s="1"/>
    </row>
    <row r="502" spans="1:32" ht="13.5" thickBot="1" x14ac:dyDescent="0.25">
      <c r="A502" s="878"/>
      <c r="B502" s="879"/>
      <c r="C502" s="879"/>
      <c r="D502" s="879"/>
      <c r="E502" s="879"/>
      <c r="F502" s="879"/>
      <c r="G502" s="879"/>
      <c r="H502" s="879"/>
      <c r="I502" s="879"/>
      <c r="J502" s="879"/>
      <c r="K502" s="879"/>
      <c r="L502" s="879"/>
      <c r="M502" s="879"/>
      <c r="N502" s="1"/>
      <c r="O502" s="879"/>
      <c r="P502" s="879"/>
      <c r="Q502" s="879"/>
      <c r="R502" s="879"/>
      <c r="S502" s="879"/>
      <c r="T502" s="879"/>
      <c r="U502" s="879"/>
      <c r="V502" s="879"/>
      <c r="W502" s="879"/>
      <c r="X502" s="879"/>
      <c r="Y502" s="879"/>
      <c r="Z502" s="879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IFERROR(Y22*1,"0")+IFERROR(Y23*1,"0")+IFERROR(Y27*1,"0")+IFERROR(Y28*1,"0")+IFERROR(Y29*1,"0")+IFERROR(Y30*1,"0")+IFERROR(Y31*1,"0")+IFERROR(Y35*1,"0")</f>
        <v>0</v>
      </c>
      <c r="C503" s="52">
        <f>IFERROR(Y41*1,"0")+IFERROR(Y42*1,"0")+IFERROR(Y43*1,"0")+IFERROR(Y47*1,"0")</f>
        <v>0</v>
      </c>
      <c r="D503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52">
        <f>IFERROR(Y85*1,"0")+IFERROR(Y86*1,"0")+IFERROR(Y87*1,"0")+IFERROR(Y88*1,"0")+IFERROR(Y92*1,"0")+IFERROR(Y93*1,"0")+IFERROR(Y94*1,"0")+IFERROR(Y95*1,"0")</f>
        <v>0</v>
      </c>
      <c r="F503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52">
        <f>IFERROR(Y127*1,"0")+IFERROR(Y128*1,"0")+IFERROR(Y132*1,"0")+IFERROR(Y133*1,"0")+IFERROR(Y137*1,"0")+IFERROR(Y138*1,"0")</f>
        <v>0</v>
      </c>
      <c r="H503" s="52">
        <f>IFERROR(Y143*1,"0")+IFERROR(Y144*1,"0")+IFERROR(Y148*1,"0")+IFERROR(Y149*1,"0")+IFERROR(Y150*1,"0")+IFERROR(Y151*1,"0")+IFERROR(Y152*1,"0")+IFERROR(Y153*1,"0")+IFERROR(Y157*1,"0")</f>
        <v>0</v>
      </c>
      <c r="I503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52">
        <f>IFERROR(Y261*1,"0")+IFERROR(Y262*1,"0")+IFERROR(Y263*1,"0")+IFERROR(Y264*1,"0")+IFERROR(Y265*1,"0")</f>
        <v>0</v>
      </c>
      <c r="M503" s="52">
        <f>IFERROR(Y270*1,"0")+IFERROR(Y271*1,"0")+IFERROR(Y272*1,"0")+IFERROR(Y273*1,"0")</f>
        <v>0</v>
      </c>
      <c r="N503" s="1"/>
      <c r="O503" s="52">
        <f>IFERROR(Y278*1,"0")+IFERROR(Y279*1,"0")+IFERROR(Y280*1,"0")</f>
        <v>0</v>
      </c>
      <c r="P503" s="52">
        <f>IFERROR(Y285*1,"0")+IFERROR(Y286*1,"0")+IFERROR(Y290*1,"0")+IFERROR(Y291*1,"0")</f>
        <v>0</v>
      </c>
      <c r="Q503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3" s="52">
        <f>IFERROR(Y340*1,"0")+IFERROR(Y341*1,"0")+IFERROR(Y342*1,"0")</f>
        <v>0</v>
      </c>
      <c r="S503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3" s="52">
        <f>IFERROR(Y373*1,"0")+IFERROR(Y374*1,"0")+IFERROR(Y378*1,"0")+IFERROR(Y379*1,"0")+IFERROR(Y383*1,"0")+IFERROR(Y384*1,"0")+IFERROR(Y385*1,"0")</f>
        <v>0</v>
      </c>
      <c r="U503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3" s="52">
        <f>IFERROR(Y409*1,"0")+IFERROR(Y413*1,"0")+IFERROR(Y414*1,"0")+IFERROR(Y415*1,"0")+IFERROR(Y416*1,"0")</f>
        <v>0</v>
      </c>
      <c r="W503" s="52">
        <f>IFERROR(Y421*1,"0")</f>
        <v>0</v>
      </c>
      <c r="X503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3" s="52">
        <f>IFERROR(Y463*1,"0")+IFERROR(Y464*1,"0")+IFERROR(Y465*1,"0")+IFERROR(Y466*1,"0")+IFERROR(Y470*1,"0")+IFERROR(Y471*1,"0")+IFERROR(Y475*1,"0")+IFERROR(Y476*1,"0")+IFERROR(Y480*1,"0")+IFERROR(Y484*1,"0")+IFERROR(Y485*1,"0")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RjsBsW7cHpYmkQUAQ2eauCZr/Wa1lwzsC8ssjLRem/4R7LV6lCA/PoURDX5ZSEZTi7B6NCPHdvoEeCJJVoLGOg==" saltValue="387/2KLG5gIuUTbEhiTLY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76:E476"/>
    <mergeCell ref="P476:T476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416 X341:X342 X219 X217 X207 X117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9"/>
    </row>
    <row r="3" spans="2:8" x14ac:dyDescent="0.2">
      <c r="B3" s="53" t="s">
        <v>760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762</v>
      </c>
      <c r="D6" s="53" t="s">
        <v>763</v>
      </c>
      <c r="E6" s="53" t="s">
        <v>45</v>
      </c>
    </row>
    <row r="8" spans="2:8" x14ac:dyDescent="0.2">
      <c r="B8" s="53" t="s">
        <v>76</v>
      </c>
      <c r="C8" s="53" t="s">
        <v>762</v>
      </c>
      <c r="D8" s="53" t="s">
        <v>45</v>
      </c>
      <c r="E8" s="53" t="s">
        <v>45</v>
      </c>
    </row>
    <row r="10" spans="2:8" x14ac:dyDescent="0.2">
      <c r="B10" s="53" t="s">
        <v>764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</sheetData>
  <sheetProtection algorithmName="SHA-512" hashValue="uWcvHth+gvIrfqJdgDfsxWeAZtDgIR55PKHJESf7K5qKr3FJpt5UAL09uGvMJuYNaEPp5JG6Z16nkO8szeKU8A==" saltValue="O8NZoZRsXkhcnEXNM26qV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2025-12-24T08:31:50Z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