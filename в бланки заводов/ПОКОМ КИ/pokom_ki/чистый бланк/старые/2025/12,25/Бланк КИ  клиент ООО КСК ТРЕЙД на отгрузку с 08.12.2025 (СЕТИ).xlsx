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188837D-77BF-401F-97C9-BE197F644C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89" i="2" l="1"/>
  <c r="X489" i="2"/>
  <c r="X488" i="2"/>
  <c r="BO487" i="2"/>
  <c r="BM487" i="2"/>
  <c r="Y487" i="2"/>
  <c r="P487" i="2"/>
  <c r="X484" i="2"/>
  <c r="X483" i="2"/>
  <c r="BP482" i="2"/>
  <c r="BO482" i="2"/>
  <c r="BM482" i="2"/>
  <c r="Y482" i="2"/>
  <c r="BN482" i="2" s="1"/>
  <c r="P482" i="2"/>
  <c r="BO481" i="2"/>
  <c r="BM481" i="2"/>
  <c r="Y481" i="2"/>
  <c r="BP481" i="2" s="1"/>
  <c r="P481" i="2"/>
  <c r="X479" i="2"/>
  <c r="X478" i="2"/>
  <c r="BO477" i="2"/>
  <c r="BM477" i="2"/>
  <c r="Y477" i="2"/>
  <c r="Y478" i="2" s="1"/>
  <c r="P477" i="2"/>
  <c r="X475" i="2"/>
  <c r="X474" i="2"/>
  <c r="BO473" i="2"/>
  <c r="BM473" i="2"/>
  <c r="Y473" i="2"/>
  <c r="P473" i="2"/>
  <c r="BO472" i="2"/>
  <c r="BM472" i="2"/>
  <c r="Y472" i="2"/>
  <c r="BP472" i="2" s="1"/>
  <c r="P472" i="2"/>
  <c r="X470" i="2"/>
  <c r="X469" i="2"/>
  <c r="BO468" i="2"/>
  <c r="BM468" i="2"/>
  <c r="Y468" i="2"/>
  <c r="P468" i="2"/>
  <c r="BO467" i="2"/>
  <c r="BM467" i="2"/>
  <c r="Y467" i="2"/>
  <c r="BP467" i="2" s="1"/>
  <c r="P467" i="2"/>
  <c r="BO466" i="2"/>
  <c r="BM466" i="2"/>
  <c r="Y466" i="2"/>
  <c r="P466" i="2"/>
  <c r="X464" i="2"/>
  <c r="X463" i="2"/>
  <c r="BO462" i="2"/>
  <c r="BM462" i="2"/>
  <c r="Y462" i="2"/>
  <c r="P462" i="2"/>
  <c r="BP461" i="2"/>
  <c r="BO461" i="2"/>
  <c r="BN461" i="2"/>
  <c r="BM461" i="2"/>
  <c r="Z461" i="2"/>
  <c r="Y461" i="2"/>
  <c r="P461" i="2"/>
  <c r="BO460" i="2"/>
  <c r="BM460" i="2"/>
  <c r="Y460" i="2"/>
  <c r="Z460" i="2" s="1"/>
  <c r="P460" i="2"/>
  <c r="BO459" i="2"/>
  <c r="BM459" i="2"/>
  <c r="Y459" i="2"/>
  <c r="P459" i="2"/>
  <c r="X455" i="2"/>
  <c r="X454" i="2"/>
  <c r="BO453" i="2"/>
  <c r="BM453" i="2"/>
  <c r="Z453" i="2"/>
  <c r="Y453" i="2"/>
  <c r="BN453" i="2" s="1"/>
  <c r="P453" i="2"/>
  <c r="BO452" i="2"/>
  <c r="BM452" i="2"/>
  <c r="Y452" i="2"/>
  <c r="P452" i="2"/>
  <c r="BP451" i="2"/>
  <c r="BO451" i="2"/>
  <c r="BN451" i="2"/>
  <c r="BM451" i="2"/>
  <c r="Z451" i="2"/>
  <c r="Y451" i="2"/>
  <c r="P451" i="2"/>
  <c r="X449" i="2"/>
  <c r="X448" i="2"/>
  <c r="BO447" i="2"/>
  <c r="BN447" i="2"/>
  <c r="BM447" i="2"/>
  <c r="Z447" i="2"/>
  <c r="Y447" i="2"/>
  <c r="BP447" i="2" s="1"/>
  <c r="P447" i="2"/>
  <c r="BO446" i="2"/>
  <c r="BM446" i="2"/>
  <c r="Y446" i="2"/>
  <c r="P446" i="2"/>
  <c r="BO445" i="2"/>
  <c r="BM445" i="2"/>
  <c r="Y445" i="2"/>
  <c r="BP445" i="2" s="1"/>
  <c r="P445" i="2"/>
  <c r="BP444" i="2"/>
  <c r="BO444" i="2"/>
  <c r="BM444" i="2"/>
  <c r="Y444" i="2"/>
  <c r="BN444" i="2" s="1"/>
  <c r="P444" i="2"/>
  <c r="BO443" i="2"/>
  <c r="BM443" i="2"/>
  <c r="Z443" i="2"/>
  <c r="Y443" i="2"/>
  <c r="BN443" i="2" s="1"/>
  <c r="P443" i="2"/>
  <c r="BO442" i="2"/>
  <c r="BM442" i="2"/>
  <c r="Y442" i="2"/>
  <c r="P442" i="2"/>
  <c r="Y440" i="2"/>
  <c r="X440" i="2"/>
  <c r="Y439" i="2"/>
  <c r="X439" i="2"/>
  <c r="BP438" i="2"/>
  <c r="BO438" i="2"/>
  <c r="BM438" i="2"/>
  <c r="Y438" i="2"/>
  <c r="BN438" i="2" s="1"/>
  <c r="P438" i="2"/>
  <c r="BO437" i="2"/>
  <c r="BN437" i="2"/>
  <c r="BM437" i="2"/>
  <c r="Z437" i="2"/>
  <c r="Y437" i="2"/>
  <c r="BP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P431" i="2"/>
  <c r="BO430" i="2"/>
  <c r="BM430" i="2"/>
  <c r="Z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P427" i="2"/>
  <c r="BP426" i="2"/>
  <c r="BO426" i="2"/>
  <c r="BN426" i="2"/>
  <c r="BM426" i="2"/>
  <c r="Z426" i="2"/>
  <c r="Y426" i="2"/>
  <c r="P426" i="2"/>
  <c r="BO425" i="2"/>
  <c r="BM425" i="2"/>
  <c r="Y425" i="2"/>
  <c r="BP425" i="2" s="1"/>
  <c r="P425" i="2"/>
  <c r="BO424" i="2"/>
  <c r="BM424" i="2"/>
  <c r="Y424" i="2"/>
  <c r="P424" i="2"/>
  <c r="BP423" i="2"/>
  <c r="BO423" i="2"/>
  <c r="BN423" i="2"/>
  <c r="BM423" i="2"/>
  <c r="Z423" i="2"/>
  <c r="Y423" i="2"/>
  <c r="BO422" i="2"/>
  <c r="BM422" i="2"/>
  <c r="Y422" i="2"/>
  <c r="BP422" i="2" s="1"/>
  <c r="P422" i="2"/>
  <c r="BO421" i="2"/>
  <c r="BM421" i="2"/>
  <c r="Z421" i="2"/>
  <c r="Y421" i="2"/>
  <c r="P421" i="2"/>
  <c r="X417" i="2"/>
  <c r="X416" i="2"/>
  <c r="BO415" i="2"/>
  <c r="BM415" i="2"/>
  <c r="Y415" i="2"/>
  <c r="P415" i="2"/>
  <c r="Y412" i="2"/>
  <c r="X412" i="2"/>
  <c r="Y411" i="2"/>
  <c r="X411" i="2"/>
  <c r="BP410" i="2"/>
  <c r="BO410" i="2"/>
  <c r="BM410" i="2"/>
  <c r="Y410" i="2"/>
  <c r="BN410" i="2" s="1"/>
  <c r="P410" i="2"/>
  <c r="BO409" i="2"/>
  <c r="BN409" i="2"/>
  <c r="BM409" i="2"/>
  <c r="Z409" i="2"/>
  <c r="Y409" i="2"/>
  <c r="BP409" i="2" s="1"/>
  <c r="P409" i="2"/>
  <c r="BO408" i="2"/>
  <c r="BM408" i="2"/>
  <c r="Y408" i="2"/>
  <c r="P408" i="2"/>
  <c r="BO407" i="2"/>
  <c r="BM407" i="2"/>
  <c r="Y407" i="2"/>
  <c r="BP407" i="2" s="1"/>
  <c r="P407" i="2"/>
  <c r="X405" i="2"/>
  <c r="X404" i="2"/>
  <c r="BO403" i="2"/>
  <c r="BM403" i="2"/>
  <c r="Y403" i="2"/>
  <c r="P403" i="2"/>
  <c r="X400" i="2"/>
  <c r="X399" i="2"/>
  <c r="BP398" i="2"/>
  <c r="BO398" i="2"/>
  <c r="BN398" i="2"/>
  <c r="BM398" i="2"/>
  <c r="Z398" i="2"/>
  <c r="Y398" i="2"/>
  <c r="P398" i="2"/>
  <c r="BO397" i="2"/>
  <c r="BM397" i="2"/>
  <c r="Y397" i="2"/>
  <c r="Z397" i="2" s="1"/>
  <c r="P397" i="2"/>
  <c r="X395" i="2"/>
  <c r="X394" i="2"/>
  <c r="BO393" i="2"/>
  <c r="BM393" i="2"/>
  <c r="Y393" i="2"/>
  <c r="P393" i="2"/>
  <c r="BP392" i="2"/>
  <c r="BO392" i="2"/>
  <c r="BN392" i="2"/>
  <c r="BM392" i="2"/>
  <c r="Z392" i="2"/>
  <c r="Y392" i="2"/>
  <c r="P392" i="2"/>
  <c r="BO391" i="2"/>
  <c r="BM391" i="2"/>
  <c r="Y391" i="2"/>
  <c r="P391" i="2"/>
  <c r="BP390" i="2"/>
  <c r="BO390" i="2"/>
  <c r="BN390" i="2"/>
  <c r="BM390" i="2"/>
  <c r="Z390" i="2"/>
  <c r="Y390" i="2"/>
  <c r="P390" i="2"/>
  <c r="BO389" i="2"/>
  <c r="BM389" i="2"/>
  <c r="Y389" i="2"/>
  <c r="P389" i="2"/>
  <c r="BP388" i="2"/>
  <c r="BO388" i="2"/>
  <c r="BN388" i="2"/>
  <c r="BM388" i="2"/>
  <c r="Z388" i="2"/>
  <c r="Y388" i="2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1" i="2"/>
  <c r="X380" i="2"/>
  <c r="BO379" i="2"/>
  <c r="BM379" i="2"/>
  <c r="Y379" i="2"/>
  <c r="BN379" i="2" s="1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Z367" i="2"/>
  <c r="Y367" i="2"/>
  <c r="BP367" i="2" s="1"/>
  <c r="P367" i="2"/>
  <c r="X364" i="2"/>
  <c r="X363" i="2"/>
  <c r="BO362" i="2"/>
  <c r="BM362" i="2"/>
  <c r="Y362" i="2"/>
  <c r="P362" i="2"/>
  <c r="X360" i="2"/>
  <c r="X359" i="2"/>
  <c r="BO358" i="2"/>
  <c r="BM358" i="2"/>
  <c r="Y358" i="2"/>
  <c r="P358" i="2"/>
  <c r="BP357" i="2"/>
  <c r="BO357" i="2"/>
  <c r="BN357" i="2"/>
  <c r="BM357" i="2"/>
  <c r="Z357" i="2"/>
  <c r="Y357" i="2"/>
  <c r="P357" i="2"/>
  <c r="X355" i="2"/>
  <c r="X354" i="2"/>
  <c r="BO353" i="2"/>
  <c r="BM353" i="2"/>
  <c r="Y353" i="2"/>
  <c r="P353" i="2"/>
  <c r="BO352" i="2"/>
  <c r="BM352" i="2"/>
  <c r="Y352" i="2"/>
  <c r="P352" i="2"/>
  <c r="X350" i="2"/>
  <c r="X349" i="2"/>
  <c r="BO348" i="2"/>
  <c r="BM348" i="2"/>
  <c r="Z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P343" i="2"/>
  <c r="BP342" i="2"/>
  <c r="BO342" i="2"/>
  <c r="BM342" i="2"/>
  <c r="Y342" i="2"/>
  <c r="BN342" i="2" s="1"/>
  <c r="P342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BP334" i="2" s="1"/>
  <c r="P334" i="2"/>
  <c r="X331" i="2"/>
  <c r="X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P327" i="2"/>
  <c r="X325" i="2"/>
  <c r="X324" i="2"/>
  <c r="BP323" i="2"/>
  <c r="BO323" i="2"/>
  <c r="BM323" i="2"/>
  <c r="Y323" i="2"/>
  <c r="BN323" i="2" s="1"/>
  <c r="P323" i="2"/>
  <c r="BO322" i="2"/>
  <c r="BM322" i="2"/>
  <c r="Y322" i="2"/>
  <c r="P322" i="2"/>
  <c r="BO321" i="2"/>
  <c r="BM321" i="2"/>
  <c r="Y321" i="2"/>
  <c r="Y324" i="2" s="1"/>
  <c r="P321" i="2"/>
  <c r="BP320" i="2"/>
  <c r="BO320" i="2"/>
  <c r="BN320" i="2"/>
  <c r="BM320" i="2"/>
  <c r="Z320" i="2"/>
  <c r="Y320" i="2"/>
  <c r="P320" i="2"/>
  <c r="X318" i="2"/>
  <c r="X317" i="2"/>
  <c r="BO316" i="2"/>
  <c r="BN316" i="2"/>
  <c r="BM316" i="2"/>
  <c r="Z316" i="2"/>
  <c r="Y316" i="2"/>
  <c r="BP316" i="2" s="1"/>
  <c r="P316" i="2"/>
  <c r="BO315" i="2"/>
  <c r="BM315" i="2"/>
  <c r="Y315" i="2"/>
  <c r="P315" i="2"/>
  <c r="BO314" i="2"/>
  <c r="BM314" i="2"/>
  <c r="Y314" i="2"/>
  <c r="Y318" i="2" s="1"/>
  <c r="P314" i="2"/>
  <c r="X312" i="2"/>
  <c r="X311" i="2"/>
  <c r="BP310" i="2"/>
  <c r="BO310" i="2"/>
  <c r="BN310" i="2"/>
  <c r="BM310" i="2"/>
  <c r="Z310" i="2"/>
  <c r="Y310" i="2"/>
  <c r="P310" i="2"/>
  <c r="BO309" i="2"/>
  <c r="BM309" i="2"/>
  <c r="Y309" i="2"/>
  <c r="P309" i="2"/>
  <c r="BO308" i="2"/>
  <c r="BM308" i="2"/>
  <c r="Y308" i="2"/>
  <c r="P308" i="2"/>
  <c r="BP307" i="2"/>
  <c r="BO307" i="2"/>
  <c r="BM307" i="2"/>
  <c r="Y307" i="2"/>
  <c r="BN307" i="2" s="1"/>
  <c r="P307" i="2"/>
  <c r="X305" i="2"/>
  <c r="X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Z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Z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P290" i="2"/>
  <c r="X287" i="2"/>
  <c r="X286" i="2"/>
  <c r="BP285" i="2"/>
  <c r="BO285" i="2"/>
  <c r="BN285" i="2"/>
  <c r="BM285" i="2"/>
  <c r="Z285" i="2"/>
  <c r="Y285" i="2"/>
  <c r="P285" i="2"/>
  <c r="BO284" i="2"/>
  <c r="BM284" i="2"/>
  <c r="Y284" i="2"/>
  <c r="Z284" i="2" s="1"/>
  <c r="P284" i="2"/>
  <c r="X282" i="2"/>
  <c r="X281" i="2"/>
  <c r="BO280" i="2"/>
  <c r="BM280" i="2"/>
  <c r="Y280" i="2"/>
  <c r="P280" i="2"/>
  <c r="BP279" i="2"/>
  <c r="BO279" i="2"/>
  <c r="BN279" i="2"/>
  <c r="BM279" i="2"/>
  <c r="Z279" i="2"/>
  <c r="Y279" i="2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X269" i="2"/>
  <c r="X268" i="2"/>
  <c r="BO267" i="2"/>
  <c r="BM267" i="2"/>
  <c r="Y267" i="2"/>
  <c r="BP267" i="2" s="1"/>
  <c r="P267" i="2"/>
  <c r="BO266" i="2"/>
  <c r="BM266" i="2"/>
  <c r="Y266" i="2"/>
  <c r="BN266" i="2" s="1"/>
  <c r="P266" i="2"/>
  <c r="BP265" i="2"/>
  <c r="BO265" i="2"/>
  <c r="BN265" i="2"/>
  <c r="BM265" i="2"/>
  <c r="Z265" i="2"/>
  <c r="Y265" i="2"/>
  <c r="P265" i="2"/>
  <c r="BO264" i="2"/>
  <c r="BM264" i="2"/>
  <c r="Y264" i="2"/>
  <c r="P264" i="2"/>
  <c r="X261" i="2"/>
  <c r="X260" i="2"/>
  <c r="BO259" i="2"/>
  <c r="BM259" i="2"/>
  <c r="Y259" i="2"/>
  <c r="Z259" i="2" s="1"/>
  <c r="P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Z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Y244" i="2" s="1"/>
  <c r="P242" i="2"/>
  <c r="Y240" i="2"/>
  <c r="X240" i="2"/>
  <c r="Y239" i="2"/>
  <c r="X239" i="2"/>
  <c r="BP238" i="2"/>
  <c r="BO238" i="2"/>
  <c r="BM238" i="2"/>
  <c r="Y238" i="2"/>
  <c r="BN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M230" i="2"/>
  <c r="Y230" i="2"/>
  <c r="P230" i="2"/>
  <c r="BO229" i="2"/>
  <c r="BM229" i="2"/>
  <c r="Y229" i="2"/>
  <c r="P229" i="2"/>
  <c r="BP228" i="2"/>
  <c r="BO228" i="2"/>
  <c r="BM228" i="2"/>
  <c r="Y228" i="2"/>
  <c r="BN228" i="2" s="1"/>
  <c r="P228" i="2"/>
  <c r="BO227" i="2"/>
  <c r="BN227" i="2"/>
  <c r="BM227" i="2"/>
  <c r="Z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Y222" i="2"/>
  <c r="X222" i="2"/>
  <c r="Y221" i="2"/>
  <c r="X221" i="2"/>
  <c r="BP220" i="2"/>
  <c r="BO220" i="2"/>
  <c r="BN220" i="2"/>
  <c r="BM220" i="2"/>
  <c r="Z220" i="2"/>
  <c r="Y220" i="2"/>
  <c r="P220" i="2"/>
  <c r="BO219" i="2"/>
  <c r="BM219" i="2"/>
  <c r="Y219" i="2"/>
  <c r="P219" i="2"/>
  <c r="X217" i="2"/>
  <c r="X216" i="2"/>
  <c r="BO215" i="2"/>
  <c r="BM215" i="2"/>
  <c r="Y215" i="2"/>
  <c r="Z215" i="2" s="1"/>
  <c r="P215" i="2"/>
  <c r="BO214" i="2"/>
  <c r="BM214" i="2"/>
  <c r="Y214" i="2"/>
  <c r="BP214" i="2" s="1"/>
  <c r="P214" i="2"/>
  <c r="BO213" i="2"/>
  <c r="BM213" i="2"/>
  <c r="Z213" i="2"/>
  <c r="Y213" i="2"/>
  <c r="P213" i="2"/>
  <c r="BO212" i="2"/>
  <c r="BM212" i="2"/>
  <c r="Y212" i="2"/>
  <c r="BP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P209" i="2"/>
  <c r="BO208" i="2"/>
  <c r="BM208" i="2"/>
  <c r="Y208" i="2"/>
  <c r="BN208" i="2" s="1"/>
  <c r="P208" i="2"/>
  <c r="BO207" i="2"/>
  <c r="BM207" i="2"/>
  <c r="Y207" i="2"/>
  <c r="P207" i="2"/>
  <c r="X205" i="2"/>
  <c r="X204" i="2"/>
  <c r="BO203" i="2"/>
  <c r="BM203" i="2"/>
  <c r="Y203" i="2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P200" i="2"/>
  <c r="BO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P197" i="2"/>
  <c r="BO196" i="2"/>
  <c r="BM196" i="2"/>
  <c r="Y196" i="2"/>
  <c r="P196" i="2"/>
  <c r="X194" i="2"/>
  <c r="X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Y183" i="2"/>
  <c r="X183" i="2"/>
  <c r="X182" i="2"/>
  <c r="BO181" i="2"/>
  <c r="BM181" i="2"/>
  <c r="Y181" i="2"/>
  <c r="Y182" i="2" s="1"/>
  <c r="P181" i="2"/>
  <c r="X179" i="2"/>
  <c r="X178" i="2"/>
  <c r="BP177" i="2"/>
  <c r="BO177" i="2"/>
  <c r="BN177" i="2"/>
  <c r="BM177" i="2"/>
  <c r="Z177" i="2"/>
  <c r="Y177" i="2"/>
  <c r="P177" i="2"/>
  <c r="BO176" i="2"/>
  <c r="BM176" i="2"/>
  <c r="Y176" i="2"/>
  <c r="P176" i="2"/>
  <c r="BO175" i="2"/>
  <c r="BM175" i="2"/>
  <c r="Y175" i="2"/>
  <c r="Y178" i="2" s="1"/>
  <c r="P175" i="2"/>
  <c r="X173" i="2"/>
  <c r="X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P167" i="2"/>
  <c r="BO166" i="2"/>
  <c r="BM166" i="2"/>
  <c r="Z166" i="2"/>
  <c r="Y166" i="2"/>
  <c r="BP166" i="2" s="1"/>
  <c r="P166" i="2"/>
  <c r="BO165" i="2"/>
  <c r="BM165" i="2"/>
  <c r="Y165" i="2"/>
  <c r="P165" i="2"/>
  <c r="BO164" i="2"/>
  <c r="BM164" i="2"/>
  <c r="Y164" i="2"/>
  <c r="Z164" i="2" s="1"/>
  <c r="P164" i="2"/>
  <c r="BO163" i="2"/>
  <c r="BN163" i="2"/>
  <c r="BM163" i="2"/>
  <c r="Z163" i="2"/>
  <c r="Y163" i="2"/>
  <c r="P163" i="2"/>
  <c r="BO162" i="2"/>
  <c r="BN162" i="2"/>
  <c r="BM162" i="2"/>
  <c r="Z162" i="2"/>
  <c r="Y162" i="2"/>
  <c r="BP162" i="2" s="1"/>
  <c r="P162" i="2"/>
  <c r="X160" i="2"/>
  <c r="X159" i="2"/>
  <c r="BO158" i="2"/>
  <c r="BM158" i="2"/>
  <c r="Y158" i="2"/>
  <c r="P158" i="2"/>
  <c r="X154" i="2"/>
  <c r="X153" i="2"/>
  <c r="BO152" i="2"/>
  <c r="BM152" i="2"/>
  <c r="Y152" i="2"/>
  <c r="BP152" i="2" s="1"/>
  <c r="P152" i="2"/>
  <c r="X150" i="2"/>
  <c r="X149" i="2"/>
  <c r="BO148" i="2"/>
  <c r="BN148" i="2"/>
  <c r="BM148" i="2"/>
  <c r="Z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Z142" i="2"/>
  <c r="Y142" i="2"/>
  <c r="BP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8" i="2"/>
  <c r="X127" i="2"/>
  <c r="BO126" i="2"/>
  <c r="BM126" i="2"/>
  <c r="Y126" i="2"/>
  <c r="P126" i="2"/>
  <c r="BO125" i="2"/>
  <c r="BM125" i="2"/>
  <c r="Y125" i="2"/>
  <c r="P125" i="2"/>
  <c r="X122" i="2"/>
  <c r="X121" i="2"/>
  <c r="BO120" i="2"/>
  <c r="BM120" i="2"/>
  <c r="Y120" i="2"/>
  <c r="P120" i="2"/>
  <c r="X118" i="2"/>
  <c r="X117" i="2"/>
  <c r="BO116" i="2"/>
  <c r="BM116" i="2"/>
  <c r="Y116" i="2"/>
  <c r="BP116" i="2" s="1"/>
  <c r="P116" i="2"/>
  <c r="BP115" i="2"/>
  <c r="BO115" i="2"/>
  <c r="BN115" i="2"/>
  <c r="BM115" i="2"/>
  <c r="Z115" i="2"/>
  <c r="Y115" i="2"/>
  <c r="P115" i="2"/>
  <c r="BO114" i="2"/>
  <c r="BM114" i="2"/>
  <c r="Y114" i="2"/>
  <c r="Z114" i="2" s="1"/>
  <c r="P114" i="2"/>
  <c r="BO113" i="2"/>
  <c r="BM113" i="2"/>
  <c r="Y113" i="2"/>
  <c r="P113" i="2"/>
  <c r="X111" i="2"/>
  <c r="X110" i="2"/>
  <c r="BO109" i="2"/>
  <c r="BM109" i="2"/>
  <c r="Y109" i="2"/>
  <c r="P109" i="2"/>
  <c r="BO108" i="2"/>
  <c r="BM108" i="2"/>
  <c r="Y108" i="2"/>
  <c r="P108" i="2"/>
  <c r="BP107" i="2"/>
  <c r="BO107" i="2"/>
  <c r="BN107" i="2"/>
  <c r="BM107" i="2"/>
  <c r="Z107" i="2"/>
  <c r="Y107" i="2"/>
  <c r="P107" i="2"/>
  <c r="X105" i="2"/>
  <c r="X104" i="2"/>
  <c r="BO103" i="2"/>
  <c r="BN103" i="2"/>
  <c r="BM103" i="2"/>
  <c r="Z103" i="2"/>
  <c r="Y103" i="2"/>
  <c r="BP103" i="2" s="1"/>
  <c r="P103" i="2"/>
  <c r="BO102" i="2"/>
  <c r="BN102" i="2"/>
  <c r="BM102" i="2"/>
  <c r="Z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P100" i="2" s="1"/>
  <c r="P100" i="2"/>
  <c r="X97" i="2"/>
  <c r="X96" i="2"/>
  <c r="BO95" i="2"/>
  <c r="BM95" i="2"/>
  <c r="Y95" i="2"/>
  <c r="BP95" i="2" s="1"/>
  <c r="P95" i="2"/>
  <c r="BO94" i="2"/>
  <c r="BM94" i="2"/>
  <c r="Y94" i="2"/>
  <c r="Z94" i="2" s="1"/>
  <c r="P94" i="2"/>
  <c r="BP93" i="2"/>
  <c r="BO93" i="2"/>
  <c r="BM93" i="2"/>
  <c r="Y93" i="2"/>
  <c r="BN93" i="2" s="1"/>
  <c r="P93" i="2"/>
  <c r="BO92" i="2"/>
  <c r="BN92" i="2"/>
  <c r="BM92" i="2"/>
  <c r="Z92" i="2"/>
  <c r="Y92" i="2"/>
  <c r="P92" i="2"/>
  <c r="X90" i="2"/>
  <c r="X89" i="2"/>
  <c r="BO88" i="2"/>
  <c r="BM88" i="2"/>
  <c r="Y88" i="2"/>
  <c r="BP88" i="2" s="1"/>
  <c r="P88" i="2"/>
  <c r="BO87" i="2"/>
  <c r="BM87" i="2"/>
  <c r="Y87" i="2"/>
  <c r="P87" i="2"/>
  <c r="BO86" i="2"/>
  <c r="BM86" i="2"/>
  <c r="Y86" i="2"/>
  <c r="P86" i="2"/>
  <c r="X83" i="2"/>
  <c r="X82" i="2"/>
  <c r="BP81" i="2"/>
  <c r="BO81" i="2"/>
  <c r="BN81" i="2"/>
  <c r="BM81" i="2"/>
  <c r="Z81" i="2"/>
  <c r="Y81" i="2"/>
  <c r="P81" i="2"/>
  <c r="BO80" i="2"/>
  <c r="BM80" i="2"/>
  <c r="Y80" i="2"/>
  <c r="P80" i="2"/>
  <c r="X78" i="2"/>
  <c r="X77" i="2"/>
  <c r="BO76" i="2"/>
  <c r="BM76" i="2"/>
  <c r="Y76" i="2"/>
  <c r="BN76" i="2" s="1"/>
  <c r="P76" i="2"/>
  <c r="BP75" i="2"/>
  <c r="BO75" i="2"/>
  <c r="BN75" i="2"/>
  <c r="BM75" i="2"/>
  <c r="Z75" i="2"/>
  <c r="Y75" i="2"/>
  <c r="P75" i="2"/>
  <c r="BO74" i="2"/>
  <c r="BM74" i="2"/>
  <c r="Y74" i="2"/>
  <c r="P74" i="2"/>
  <c r="BO73" i="2"/>
  <c r="BM73" i="2"/>
  <c r="Y73" i="2"/>
  <c r="Y77" i="2" s="1"/>
  <c r="P73" i="2"/>
  <c r="X71" i="2"/>
  <c r="X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Y64" i="2" s="1"/>
  <c r="P61" i="2"/>
  <c r="X59" i="2"/>
  <c r="X58" i="2"/>
  <c r="BO57" i="2"/>
  <c r="BM57" i="2"/>
  <c r="Y57" i="2"/>
  <c r="Z57" i="2" s="1"/>
  <c r="P57" i="2"/>
  <c r="BO56" i="2"/>
  <c r="BM56" i="2"/>
  <c r="Y56" i="2"/>
  <c r="Z56" i="2" s="1"/>
  <c r="P56" i="2"/>
  <c r="BO55" i="2"/>
  <c r="BM55" i="2"/>
  <c r="Y55" i="2"/>
  <c r="Z55" i="2" s="1"/>
  <c r="P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P52" i="2"/>
  <c r="X49" i="2"/>
  <c r="X48" i="2"/>
  <c r="BO47" i="2"/>
  <c r="BM47" i="2"/>
  <c r="Y47" i="2"/>
  <c r="Z47" i="2" s="1"/>
  <c r="Z48" i="2" s="1"/>
  <c r="P47" i="2"/>
  <c r="X45" i="2"/>
  <c r="X44" i="2"/>
  <c r="BP43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P28" i="2"/>
  <c r="BO28" i="2"/>
  <c r="BN28" i="2"/>
  <c r="BM28" i="2"/>
  <c r="Z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H10" i="2"/>
  <c r="A9" i="2"/>
  <c r="D7" i="2"/>
  <c r="Q6" i="2"/>
  <c r="P2" i="2"/>
  <c r="Y25" i="2" l="1"/>
  <c r="Z42" i="2"/>
  <c r="BN42" i="2"/>
  <c r="Z53" i="2"/>
  <c r="BN53" i="2"/>
  <c r="BN55" i="2"/>
  <c r="BP55" i="2"/>
  <c r="Z68" i="2"/>
  <c r="BN68" i="2"/>
  <c r="Z69" i="2"/>
  <c r="BN69" i="2"/>
  <c r="Z73" i="2"/>
  <c r="BN73" i="2"/>
  <c r="BP73" i="2"/>
  <c r="BP76" i="2"/>
  <c r="Z80" i="2"/>
  <c r="Z82" i="2" s="1"/>
  <c r="BP80" i="2"/>
  <c r="BN80" i="2"/>
  <c r="BP109" i="2"/>
  <c r="BN109" i="2"/>
  <c r="Z109" i="2"/>
  <c r="Y150" i="2"/>
  <c r="BP146" i="2"/>
  <c r="Y189" i="2"/>
  <c r="Y188" i="2"/>
  <c r="BP186" i="2"/>
  <c r="BN186" i="2"/>
  <c r="Z186" i="2"/>
  <c r="BP196" i="2"/>
  <c r="BN196" i="2"/>
  <c r="Z196" i="2"/>
  <c r="BN197" i="2"/>
  <c r="BP197" i="2"/>
  <c r="BN212" i="2"/>
  <c r="BN215" i="2"/>
  <c r="BP215" i="2"/>
  <c r="BP219" i="2"/>
  <c r="Z219" i="2"/>
  <c r="Z221" i="2" s="1"/>
  <c r="BP230" i="2"/>
  <c r="Z230" i="2"/>
  <c r="BN267" i="2"/>
  <c r="Y281" i="2"/>
  <c r="BP280" i="2"/>
  <c r="Y360" i="2"/>
  <c r="BP358" i="2"/>
  <c r="Z362" i="2"/>
  <c r="Z363" i="2" s="1"/>
  <c r="Y364" i="2"/>
  <c r="BN362" i="2"/>
  <c r="BP362" i="2"/>
  <c r="Y381" i="2"/>
  <c r="Z377" i="2"/>
  <c r="BP389" i="2"/>
  <c r="Z389" i="2"/>
  <c r="BN393" i="2"/>
  <c r="BP393" i="2"/>
  <c r="Y417" i="2"/>
  <c r="Z415" i="2"/>
  <c r="Z416" i="2" s="1"/>
  <c r="Z24" i="2"/>
  <c r="BN23" i="2"/>
  <c r="BP23" i="2"/>
  <c r="BN30" i="2"/>
  <c r="BP30" i="2"/>
  <c r="BN35" i="2"/>
  <c r="BP35" i="2"/>
  <c r="Y36" i="2"/>
  <c r="Y37" i="2"/>
  <c r="BN47" i="2"/>
  <c r="BP47" i="2"/>
  <c r="Y49" i="2"/>
  <c r="X490" i="2"/>
  <c r="BP86" i="2"/>
  <c r="BN86" i="2"/>
  <c r="Z86" i="2"/>
  <c r="Y89" i="2"/>
  <c r="BN125" i="2"/>
  <c r="Z125" i="2"/>
  <c r="BP126" i="2"/>
  <c r="BN126" i="2"/>
  <c r="Z126" i="2"/>
  <c r="Y133" i="2"/>
  <c r="BP130" i="2"/>
  <c r="BN130" i="2"/>
  <c r="Z130" i="2"/>
  <c r="BP167" i="2"/>
  <c r="BN167" i="2"/>
  <c r="Z167" i="2"/>
  <c r="BP176" i="2"/>
  <c r="Z176" i="2"/>
  <c r="BP200" i="2"/>
  <c r="BN200" i="2"/>
  <c r="Z200" i="2"/>
  <c r="BN207" i="2"/>
  <c r="BP207" i="2"/>
  <c r="BP209" i="2"/>
  <c r="Z209" i="2"/>
  <c r="BP226" i="2"/>
  <c r="BN226" i="2"/>
  <c r="Z226" i="2"/>
  <c r="BN233" i="2"/>
  <c r="BN248" i="2"/>
  <c r="BP248" i="2"/>
  <c r="BP249" i="2"/>
  <c r="BN249" i="2"/>
  <c r="Z249" i="2"/>
  <c r="BN259" i="2"/>
  <c r="BP259" i="2"/>
  <c r="BP264" i="2"/>
  <c r="Y268" i="2"/>
  <c r="Z264" i="2"/>
  <c r="Y276" i="2"/>
  <c r="BN272" i="2"/>
  <c r="Z272" i="2"/>
  <c r="BN273" i="2"/>
  <c r="BP273" i="2"/>
  <c r="BP290" i="2"/>
  <c r="BN290" i="2"/>
  <c r="Z290" i="2"/>
  <c r="BP309" i="2"/>
  <c r="Z309" i="2"/>
  <c r="BP322" i="2"/>
  <c r="BN322" i="2"/>
  <c r="Z322" i="2"/>
  <c r="BP344" i="2"/>
  <c r="Z344" i="2"/>
  <c r="BN88" i="2"/>
  <c r="Y111" i="2"/>
  <c r="Y117" i="2"/>
  <c r="BN114" i="2"/>
  <c r="BP114" i="2"/>
  <c r="BN141" i="2"/>
  <c r="Y153" i="2"/>
  <c r="Y154" i="2"/>
  <c r="BN164" i="2"/>
  <c r="BP164" i="2"/>
  <c r="BN169" i="2"/>
  <c r="BN192" i="2"/>
  <c r="BN202" i="2"/>
  <c r="BN256" i="2"/>
  <c r="P500" i="2"/>
  <c r="Z286" i="2"/>
  <c r="BN284" i="2"/>
  <c r="BP284" i="2"/>
  <c r="BP300" i="2"/>
  <c r="BN300" i="2"/>
  <c r="Z300" i="2"/>
  <c r="BP315" i="2"/>
  <c r="BN315" i="2"/>
  <c r="Z315" i="2"/>
  <c r="Z327" i="2"/>
  <c r="Y331" i="2"/>
  <c r="Y330" i="2"/>
  <c r="BN327" i="2"/>
  <c r="BP327" i="2"/>
  <c r="BP328" i="2"/>
  <c r="BN328" i="2"/>
  <c r="Z328" i="2"/>
  <c r="BP336" i="2"/>
  <c r="Z336" i="2"/>
  <c r="BN347" i="2"/>
  <c r="BN352" i="2"/>
  <c r="BP352" i="2"/>
  <c r="Y359" i="2"/>
  <c r="BP368" i="2"/>
  <c r="BN368" i="2"/>
  <c r="Z368" i="2"/>
  <c r="Z369" i="2" s="1"/>
  <c r="U500" i="2"/>
  <c r="Z385" i="2"/>
  <c r="BN391" i="2"/>
  <c r="Z391" i="2"/>
  <c r="V500" i="2"/>
  <c r="Y404" i="2"/>
  <c r="BP403" i="2"/>
  <c r="BN403" i="2"/>
  <c r="Z403" i="2"/>
  <c r="Z404" i="2" s="1"/>
  <c r="Y405" i="2"/>
  <c r="BP408" i="2"/>
  <c r="BN408" i="2"/>
  <c r="Z408" i="2"/>
  <c r="BN424" i="2"/>
  <c r="BP424" i="2"/>
  <c r="BP431" i="2"/>
  <c r="BN431" i="2"/>
  <c r="Z431" i="2"/>
  <c r="BP436" i="2"/>
  <c r="BN436" i="2"/>
  <c r="Z436" i="2"/>
  <c r="BN452" i="2"/>
  <c r="Z452" i="2"/>
  <c r="Z454" i="2" s="1"/>
  <c r="BP462" i="2"/>
  <c r="BN462" i="2"/>
  <c r="Z462" i="2"/>
  <c r="BP466" i="2"/>
  <c r="Y469" i="2"/>
  <c r="BN466" i="2"/>
  <c r="BP477" i="2"/>
  <c r="Z500" i="2"/>
  <c r="Z487" i="2"/>
  <c r="Z488" i="2" s="1"/>
  <c r="BP427" i="2"/>
  <c r="BN427" i="2"/>
  <c r="Z427" i="2"/>
  <c r="BN428" i="2"/>
  <c r="BP428" i="2"/>
  <c r="Y449" i="2"/>
  <c r="Z442" i="2"/>
  <c r="BP446" i="2"/>
  <c r="BN446" i="2"/>
  <c r="Z446" i="2"/>
  <c r="BP468" i="2"/>
  <c r="Z468" i="2"/>
  <c r="Y474" i="2"/>
  <c r="BN477" i="2"/>
  <c r="Z477" i="2"/>
  <c r="Z478" i="2" s="1"/>
  <c r="Y296" i="2"/>
  <c r="BN292" i="2"/>
  <c r="BN302" i="2"/>
  <c r="Y325" i="2"/>
  <c r="BN335" i="2"/>
  <c r="Y369" i="2"/>
  <c r="Y370" i="2"/>
  <c r="BN387" i="2"/>
  <c r="BP387" i="2"/>
  <c r="Z399" i="2"/>
  <c r="BN397" i="2"/>
  <c r="BP397" i="2"/>
  <c r="X500" i="2"/>
  <c r="BN432" i="2"/>
  <c r="BP443" i="2"/>
  <c r="Y455" i="2"/>
  <c r="BP453" i="2"/>
  <c r="Y463" i="2"/>
  <c r="BN460" i="2"/>
  <c r="BP460" i="2"/>
  <c r="BN467" i="2"/>
  <c r="Y143" i="2"/>
  <c r="Z141" i="2"/>
  <c r="Z143" i="2" s="1"/>
  <c r="H500" i="2"/>
  <c r="Y349" i="2"/>
  <c r="BP343" i="2"/>
  <c r="BN343" i="2"/>
  <c r="Z343" i="2"/>
  <c r="BP170" i="2"/>
  <c r="BN170" i="2"/>
  <c r="BP191" i="2"/>
  <c r="BN191" i="2"/>
  <c r="Z191" i="2"/>
  <c r="Y194" i="2"/>
  <c r="J500" i="2"/>
  <c r="Y235" i="2"/>
  <c r="BP229" i="2"/>
  <c r="BN229" i="2"/>
  <c r="Z229" i="2"/>
  <c r="Y355" i="2"/>
  <c r="Y354" i="2"/>
  <c r="BP353" i="2"/>
  <c r="BN353" i="2"/>
  <c r="Z353" i="2"/>
  <c r="Z170" i="2"/>
  <c r="Y304" i="2"/>
  <c r="Y305" i="2"/>
  <c r="BP298" i="2"/>
  <c r="BN298" i="2"/>
  <c r="Z298" i="2"/>
  <c r="Y312" i="2"/>
  <c r="BP308" i="2"/>
  <c r="Y311" i="2"/>
  <c r="BN308" i="2"/>
  <c r="Z308" i="2"/>
  <c r="BP158" i="2"/>
  <c r="BN158" i="2"/>
  <c r="Y160" i="2"/>
  <c r="Y159" i="2"/>
  <c r="Z158" i="2"/>
  <c r="Z159" i="2" s="1"/>
  <c r="I500" i="2"/>
  <c r="BP94" i="2"/>
  <c r="BN201" i="2"/>
  <c r="BP201" i="2"/>
  <c r="Z201" i="2"/>
  <c r="BP29" i="2"/>
  <c r="Y32" i="2"/>
  <c r="BN29" i="2"/>
  <c r="Z29" i="2"/>
  <c r="BN94" i="2"/>
  <c r="Y138" i="2"/>
  <c r="Y137" i="2"/>
  <c r="BP135" i="2"/>
  <c r="BN135" i="2"/>
  <c r="BP198" i="2"/>
  <c r="Y204" i="2"/>
  <c r="Z198" i="2"/>
  <c r="BN211" i="2"/>
  <c r="BP211" i="2"/>
  <c r="Z211" i="2"/>
  <c r="BP234" i="2"/>
  <c r="BN234" i="2"/>
  <c r="Y96" i="2"/>
  <c r="BN108" i="2"/>
  <c r="Z108" i="2"/>
  <c r="Z110" i="2" s="1"/>
  <c r="BP108" i="2"/>
  <c r="Y110" i="2"/>
  <c r="BN198" i="2"/>
  <c r="BP208" i="2"/>
  <c r="Y217" i="2"/>
  <c r="Y216" i="2"/>
  <c r="Z208" i="2"/>
  <c r="Z234" i="2"/>
  <c r="E500" i="2"/>
  <c r="BP74" i="2"/>
  <c r="BN74" i="2"/>
  <c r="Z74" i="2"/>
  <c r="BP120" i="2"/>
  <c r="Y122" i="2"/>
  <c r="Y121" i="2"/>
  <c r="BN120" i="2"/>
  <c r="Z120" i="2"/>
  <c r="Z121" i="2" s="1"/>
  <c r="BN168" i="2"/>
  <c r="BP168" i="2"/>
  <c r="Z168" i="2"/>
  <c r="Y193" i="2"/>
  <c r="BP293" i="2"/>
  <c r="BN293" i="2"/>
  <c r="BP303" i="2"/>
  <c r="BN303" i="2"/>
  <c r="Y173" i="2"/>
  <c r="BP165" i="2"/>
  <c r="Z165" i="2"/>
  <c r="Y65" i="2"/>
  <c r="Z61" i="2"/>
  <c r="BN61" i="2"/>
  <c r="X494" i="2"/>
  <c r="Y144" i="2"/>
  <c r="BP175" i="2"/>
  <c r="Y179" i="2"/>
  <c r="Z175" i="2"/>
  <c r="Z178" i="2" s="1"/>
  <c r="Y251" i="2"/>
  <c r="BP246" i="2"/>
  <c r="BN246" i="2"/>
  <c r="Y252" i="2"/>
  <c r="F10" i="2"/>
  <c r="J9" i="2"/>
  <c r="H9" i="2"/>
  <c r="BN165" i="2"/>
  <c r="Z246" i="2"/>
  <c r="BP274" i="2"/>
  <c r="Y275" i="2"/>
  <c r="O500" i="2"/>
  <c r="BN274" i="2"/>
  <c r="Z274" i="2"/>
  <c r="BP61" i="2"/>
  <c r="BP56" i="2"/>
  <c r="BN56" i="2"/>
  <c r="Y44" i="2"/>
  <c r="C500" i="2"/>
  <c r="BP41" i="2"/>
  <c r="BN41" i="2"/>
  <c r="Y45" i="2"/>
  <c r="Z41" i="2"/>
  <c r="Y97" i="2"/>
  <c r="BP31" i="2"/>
  <c r="BN31" i="2"/>
  <c r="BN87" i="2"/>
  <c r="BP87" i="2"/>
  <c r="Z87" i="2"/>
  <c r="Y90" i="2"/>
  <c r="BN175" i="2"/>
  <c r="Y261" i="2"/>
  <c r="BP257" i="2"/>
  <c r="BN257" i="2"/>
  <c r="F500" i="2"/>
  <c r="BP203" i="2"/>
  <c r="BN203" i="2"/>
  <c r="Z257" i="2"/>
  <c r="D500" i="2"/>
  <c r="Z135" i="2"/>
  <c r="F9" i="2"/>
  <c r="A10" i="2"/>
  <c r="Z31" i="2"/>
  <c r="X491" i="2"/>
  <c r="Y59" i="2"/>
  <c r="BN54" i="2"/>
  <c r="BP54" i="2"/>
  <c r="Z54" i="2"/>
  <c r="G500" i="2"/>
  <c r="Z203" i="2"/>
  <c r="X492" i="2"/>
  <c r="Z127" i="2"/>
  <c r="Y172" i="2"/>
  <c r="BP213" i="2"/>
  <c r="BN213" i="2"/>
  <c r="Y118" i="2"/>
  <c r="Z429" i="2"/>
  <c r="Y454" i="2"/>
  <c r="Y464" i="2"/>
  <c r="Z473" i="2"/>
  <c r="Y24" i="2"/>
  <c r="Z43" i="2"/>
  <c r="Y48" i="2"/>
  <c r="Z76" i="2"/>
  <c r="Z100" i="2"/>
  <c r="BP125" i="2"/>
  <c r="Z146" i="2"/>
  <c r="Y260" i="2"/>
  <c r="Y269" i="2"/>
  <c r="Z280" i="2"/>
  <c r="Z281" i="2" s="1"/>
  <c r="Z323" i="2"/>
  <c r="BN336" i="2"/>
  <c r="BN348" i="2"/>
  <c r="Z358" i="2"/>
  <c r="Z359" i="2" s="1"/>
  <c r="Y363" i="2"/>
  <c r="BN385" i="2"/>
  <c r="Z393" i="2"/>
  <c r="BN421" i="2"/>
  <c r="Z424" i="2"/>
  <c r="Z444" i="2"/>
  <c r="BN468" i="2"/>
  <c r="Y483" i="2"/>
  <c r="K500" i="2"/>
  <c r="BN429" i="2"/>
  <c r="L500" i="2"/>
  <c r="BN473" i="2"/>
  <c r="BN100" i="2"/>
  <c r="BN146" i="2"/>
  <c r="Y149" i="2"/>
  <c r="Z232" i="2"/>
  <c r="Z255" i="2"/>
  <c r="Z266" i="2"/>
  <c r="BN280" i="2"/>
  <c r="Z291" i="2"/>
  <c r="Z301" i="2"/>
  <c r="Z334" i="2"/>
  <c r="Z346" i="2"/>
  <c r="BN358" i="2"/>
  <c r="Y374" i="2"/>
  <c r="BP385" i="2"/>
  <c r="BP421" i="2"/>
  <c r="Z432" i="2"/>
  <c r="Z466" i="2"/>
  <c r="Y479" i="2"/>
  <c r="M500" i="2"/>
  <c r="BP473" i="2"/>
  <c r="Y484" i="2"/>
  <c r="BN301" i="2"/>
  <c r="Z113" i="2"/>
  <c r="Z136" i="2"/>
  <c r="Z171" i="2"/>
  <c r="Z214" i="2"/>
  <c r="Z247" i="2"/>
  <c r="Z258" i="2"/>
  <c r="Z294" i="2"/>
  <c r="Y375" i="2"/>
  <c r="Z386" i="2"/>
  <c r="Z422" i="2"/>
  <c r="Z459" i="2"/>
  <c r="Z463" i="2" s="1"/>
  <c r="Z481" i="2"/>
  <c r="Q500" i="2"/>
  <c r="R500" i="2"/>
  <c r="Y236" i="2"/>
  <c r="BN247" i="2"/>
  <c r="BN258" i="2"/>
  <c r="BP272" i="2"/>
  <c r="Y286" i="2"/>
  <c r="BN294" i="2"/>
  <c r="Z314" i="2"/>
  <c r="Z317" i="2" s="1"/>
  <c r="Y338" i="2"/>
  <c r="Y350" i="2"/>
  <c r="Z372" i="2"/>
  <c r="Z374" i="2" s="1"/>
  <c r="BN386" i="2"/>
  <c r="Y399" i="2"/>
  <c r="Z407" i="2"/>
  <c r="BN422" i="2"/>
  <c r="Z425" i="2"/>
  <c r="Z445" i="2"/>
  <c r="Z448" i="2" s="1"/>
  <c r="BN459" i="2"/>
  <c r="Y470" i="2"/>
  <c r="BN481" i="2"/>
  <c r="S500" i="2"/>
  <c r="BP291" i="2"/>
  <c r="BN321" i="2"/>
  <c r="BP346" i="2"/>
  <c r="Y394" i="2"/>
  <c r="BN415" i="2"/>
  <c r="Y33" i="2"/>
  <c r="BN57" i="2"/>
  <c r="BN113" i="2"/>
  <c r="BN171" i="2"/>
  <c r="Y205" i="2"/>
  <c r="Z225" i="2"/>
  <c r="BN95" i="2"/>
  <c r="Z116" i="2"/>
  <c r="BP131" i="2"/>
  <c r="BN142" i="2"/>
  <c r="Z152" i="2"/>
  <c r="Z153" i="2" s="1"/>
  <c r="BN166" i="2"/>
  <c r="BN176" i="2"/>
  <c r="Z187" i="2"/>
  <c r="Z188" i="2" s="1"/>
  <c r="BN199" i="2"/>
  <c r="BN209" i="2"/>
  <c r="BN219" i="2"/>
  <c r="BN230" i="2"/>
  <c r="BP242" i="2"/>
  <c r="Z250" i="2"/>
  <c r="BN264" i="2"/>
  <c r="BN299" i="2"/>
  <c r="BN309" i="2"/>
  <c r="BP321" i="2"/>
  <c r="Z329" i="2"/>
  <c r="Z330" i="2" s="1"/>
  <c r="BN344" i="2"/>
  <c r="BN367" i="2"/>
  <c r="BP379" i="2"/>
  <c r="BP391" i="2"/>
  <c r="BP415" i="2"/>
  <c r="BN430" i="2"/>
  <c r="Y433" i="2"/>
  <c r="BP442" i="2"/>
  <c r="BP452" i="2"/>
  <c r="Y475" i="2"/>
  <c r="BN487" i="2"/>
  <c r="T500" i="2"/>
  <c r="Z131" i="2"/>
  <c r="Z132" i="2" s="1"/>
  <c r="BN232" i="2"/>
  <c r="Z321" i="2"/>
  <c r="Y337" i="2"/>
  <c r="Z379" i="2"/>
  <c r="Z380" i="2" s="1"/>
  <c r="Z52" i="2"/>
  <c r="Z62" i="2"/>
  <c r="Y82" i="2"/>
  <c r="BP92" i="2"/>
  <c r="BN214" i="2"/>
  <c r="BN27" i="2"/>
  <c r="BP57" i="2"/>
  <c r="BN67" i="2"/>
  <c r="Y70" i="2"/>
  <c r="Y78" i="2"/>
  <c r="Z88" i="2"/>
  <c r="BN101" i="2"/>
  <c r="Y104" i="2"/>
  <c r="BP113" i="2"/>
  <c r="Y127" i="2"/>
  <c r="BP136" i="2"/>
  <c r="BN147" i="2"/>
  <c r="Z169" i="2"/>
  <c r="BN181" i="2"/>
  <c r="Z192" i="2"/>
  <c r="Z202" i="2"/>
  <c r="Z212" i="2"/>
  <c r="BN225" i="2"/>
  <c r="Z233" i="2"/>
  <c r="Z256" i="2"/>
  <c r="Z267" i="2"/>
  <c r="Y282" i="2"/>
  <c r="Z292" i="2"/>
  <c r="Z302" i="2"/>
  <c r="BN314" i="2"/>
  <c r="Y317" i="2"/>
  <c r="Z335" i="2"/>
  <c r="Z347" i="2"/>
  <c r="BN372" i="2"/>
  <c r="Y395" i="2"/>
  <c r="BN407" i="2"/>
  <c r="BN425" i="2"/>
  <c r="BN445" i="2"/>
  <c r="Y448" i="2"/>
  <c r="BP459" i="2"/>
  <c r="Z467" i="2"/>
  <c r="B500" i="2"/>
  <c r="Z242" i="2"/>
  <c r="Z243" i="2" s="1"/>
  <c r="BN255" i="2"/>
  <c r="BN291" i="2"/>
  <c r="BN334" i="2"/>
  <c r="Z95" i="2"/>
  <c r="BN442" i="2"/>
  <c r="BN22" i="2"/>
  <c r="Z67" i="2"/>
  <c r="Z70" i="2" s="1"/>
  <c r="Z101" i="2"/>
  <c r="Z147" i="2"/>
  <c r="BP163" i="2"/>
  <c r="Z181" i="2"/>
  <c r="Z182" i="2" s="1"/>
  <c r="BN52" i="2"/>
  <c r="BN62" i="2"/>
  <c r="BP22" i="2"/>
  <c r="BP27" i="2"/>
  <c r="BP52" i="2"/>
  <c r="Y83" i="2"/>
  <c r="Z93" i="2"/>
  <c r="Z96" i="2" s="1"/>
  <c r="BN116" i="2"/>
  <c r="Y132" i="2"/>
  <c r="BN152" i="2"/>
  <c r="BN187" i="2"/>
  <c r="Z197" i="2"/>
  <c r="Z204" i="2" s="1"/>
  <c r="Z207" i="2"/>
  <c r="Z216" i="2" s="1"/>
  <c r="Z228" i="2"/>
  <c r="Z238" i="2"/>
  <c r="Z239" i="2" s="1"/>
  <c r="Y243" i="2"/>
  <c r="BN250" i="2"/>
  <c r="Z273" i="2"/>
  <c r="Z275" i="2" s="1"/>
  <c r="Y287" i="2"/>
  <c r="Z307" i="2"/>
  <c r="Z311" i="2" s="1"/>
  <c r="BN329" i="2"/>
  <c r="Z342" i="2"/>
  <c r="Z349" i="2" s="1"/>
  <c r="Z352" i="2"/>
  <c r="Z354" i="2" s="1"/>
  <c r="BN377" i="2"/>
  <c r="Y380" i="2"/>
  <c r="BN389" i="2"/>
  <c r="Y400" i="2"/>
  <c r="Z410" i="2"/>
  <c r="Y416" i="2"/>
  <c r="Z428" i="2"/>
  <c r="Z433" i="2" s="1"/>
  <c r="Z438" i="2"/>
  <c r="Z439" i="2" s="1"/>
  <c r="Z472" i="2"/>
  <c r="Z474" i="2" s="1"/>
  <c r="BP487" i="2"/>
  <c r="BP266" i="2"/>
  <c r="Y58" i="2"/>
  <c r="BP181" i="2"/>
  <c r="Y295" i="2"/>
  <c r="BP314" i="2"/>
  <c r="Y434" i="2"/>
  <c r="W500" i="2"/>
  <c r="Y71" i="2"/>
  <c r="Y105" i="2"/>
  <c r="Y128" i="2"/>
  <c r="BP377" i="2"/>
  <c r="BN472" i="2"/>
  <c r="Z482" i="2"/>
  <c r="Y488" i="2"/>
  <c r="BN242" i="2"/>
  <c r="Y500" i="2"/>
  <c r="Y490" i="2" l="1"/>
  <c r="Z295" i="2"/>
  <c r="Z268" i="2"/>
  <c r="Z137" i="2"/>
  <c r="Z64" i="2"/>
  <c r="Z172" i="2"/>
  <c r="Z77" i="2"/>
  <c r="Z32" i="2"/>
  <c r="Z117" i="2"/>
  <c r="Z260" i="2"/>
  <c r="Z394" i="2"/>
  <c r="Z324" i="2"/>
  <c r="Z149" i="2"/>
  <c r="Z104" i="2"/>
  <c r="Z44" i="2"/>
  <c r="Z193" i="2"/>
  <c r="Z251" i="2"/>
  <c r="Z304" i="2"/>
  <c r="Y491" i="2"/>
  <c r="Z469" i="2"/>
  <c r="Y492" i="2"/>
  <c r="Z58" i="2"/>
  <c r="Z483" i="2"/>
  <c r="Z235" i="2"/>
  <c r="Z411" i="2"/>
  <c r="Z89" i="2"/>
  <c r="X493" i="2"/>
  <c r="Y494" i="2"/>
  <c r="Z337" i="2"/>
  <c r="Z495" i="2" l="1"/>
  <c r="Y493" i="2"/>
</calcChain>
</file>

<file path=xl/sharedStrings.xml><?xml version="1.0" encoding="utf-8"?>
<sst xmlns="http://schemas.openxmlformats.org/spreadsheetml/2006/main" count="3596" uniqueCount="765">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</sst>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AA12" sqref="AA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46003</v>
      </c>
      <c r="R5" s="559"/>
      <c r="T5" s="560" t="s">
        <v>3</v>
      </c>
      <c r="U5" s="561"/>
      <c r="V5" s="562" t="s">
        <v>751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Пятница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0.375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4" t="s">
        <v>81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89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45</v>
      </c>
      <c r="M27" s="38" t="s">
        <v>93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96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100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45</v>
      </c>
      <c r="M30" s="38" t="s">
        <v>100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23">
        <v>4607091388244</v>
      </c>
      <c r="E31" s="62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45</v>
      </c>
      <c r="M31" s="38" t="s">
        <v>100</v>
      </c>
      <c r="N31" s="38"/>
      <c r="O31" s="37">
        <v>40</v>
      </c>
      <c r="P31" s="63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5"/>
      <c r="R31" s="625"/>
      <c r="S31" s="625"/>
      <c r="T31" s="62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1"/>
      <c r="B33" s="631"/>
      <c r="C33" s="631"/>
      <c r="D33" s="631"/>
      <c r="E33" s="631"/>
      <c r="F33" s="631"/>
      <c r="G33" s="631"/>
      <c r="H33" s="631"/>
      <c r="I33" s="631"/>
      <c r="J33" s="631"/>
      <c r="K33" s="631"/>
      <c r="L33" s="631"/>
      <c r="M33" s="631"/>
      <c r="N33" s="631"/>
      <c r="O33" s="632"/>
      <c r="P33" s="628" t="s">
        <v>40</v>
      </c>
      <c r="Q33" s="629"/>
      <c r="R33" s="629"/>
      <c r="S33" s="629"/>
      <c r="T33" s="629"/>
      <c r="U33" s="629"/>
      <c r="V33" s="6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2" t="s">
        <v>106</v>
      </c>
      <c r="B34" s="622"/>
      <c r="C34" s="622"/>
      <c r="D34" s="622"/>
      <c r="E34" s="622"/>
      <c r="F34" s="622"/>
      <c r="G34" s="622"/>
      <c r="H34" s="622"/>
      <c r="I34" s="622"/>
      <c r="J34" s="622"/>
      <c r="K34" s="622"/>
      <c r="L34" s="622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23">
        <v>4607091388503</v>
      </c>
      <c r="E35" s="62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111</v>
      </c>
      <c r="N35" s="38"/>
      <c r="O35" s="37">
        <v>120</v>
      </c>
      <c r="P35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5"/>
      <c r="R35" s="625"/>
      <c r="S35" s="625"/>
      <c r="T35" s="62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2"/>
      <c r="P37" s="628" t="s">
        <v>40</v>
      </c>
      <c r="Q37" s="629"/>
      <c r="R37" s="629"/>
      <c r="S37" s="629"/>
      <c r="T37" s="629"/>
      <c r="U37" s="629"/>
      <c r="V37" s="63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0" t="s">
        <v>112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54"/>
      <c r="AB38" s="54"/>
      <c r="AC38" s="54"/>
    </row>
    <row r="39" spans="1:68" ht="16.5" customHeight="1" x14ac:dyDescent="0.25">
      <c r="A39" s="621" t="s">
        <v>113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5"/>
      <c r="AB39" s="65"/>
      <c r="AC39" s="79"/>
    </row>
    <row r="40" spans="1:68" ht="14.25" customHeight="1" x14ac:dyDescent="0.25">
      <c r="A40" s="622" t="s">
        <v>114</v>
      </c>
      <c r="B40" s="622"/>
      <c r="C40" s="622"/>
      <c r="D40" s="622"/>
      <c r="E40" s="622"/>
      <c r="F40" s="622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23">
        <v>4607091385670</v>
      </c>
      <c r="E41" s="62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45</v>
      </c>
      <c r="M41" s="38" t="s">
        <v>118</v>
      </c>
      <c r="N41" s="38"/>
      <c r="O41" s="37">
        <v>50</v>
      </c>
      <c r="P41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122</v>
      </c>
      <c r="L42" s="37" t="s">
        <v>45</v>
      </c>
      <c r="M42" s="38" t="s">
        <v>93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4301011565</v>
      </c>
      <c r="D43" s="623">
        <v>4680115882539</v>
      </c>
      <c r="E43" s="623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93</v>
      </c>
      <c r="N43" s="38"/>
      <c r="O43" s="37">
        <v>50</v>
      </c>
      <c r="P43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5"/>
      <c r="R43" s="625"/>
      <c r="S43" s="625"/>
      <c r="T43" s="62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1"/>
      <c r="B45" s="631"/>
      <c r="C45" s="631"/>
      <c r="D45" s="631"/>
      <c r="E45" s="631"/>
      <c r="F45" s="631"/>
      <c r="G45" s="631"/>
      <c r="H45" s="631"/>
      <c r="I45" s="631"/>
      <c r="J45" s="631"/>
      <c r="K45" s="631"/>
      <c r="L45" s="631"/>
      <c r="M45" s="631"/>
      <c r="N45" s="631"/>
      <c r="O45" s="632"/>
      <c r="P45" s="628" t="s">
        <v>40</v>
      </c>
      <c r="Q45" s="629"/>
      <c r="R45" s="629"/>
      <c r="S45" s="629"/>
      <c r="T45" s="629"/>
      <c r="U45" s="629"/>
      <c r="V45" s="63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2" t="s">
        <v>89</v>
      </c>
      <c r="B46" s="622"/>
      <c r="C46" s="622"/>
      <c r="D46" s="622"/>
      <c r="E46" s="622"/>
      <c r="F46" s="622"/>
      <c r="G46" s="622"/>
      <c r="H46" s="622"/>
      <c r="I46" s="622"/>
      <c r="J46" s="622"/>
      <c r="K46" s="622"/>
      <c r="L46" s="622"/>
      <c r="M46" s="622"/>
      <c r="N46" s="622"/>
      <c r="O46" s="622"/>
      <c r="P46" s="622"/>
      <c r="Q46" s="622"/>
      <c r="R46" s="622"/>
      <c r="S46" s="622"/>
      <c r="T46" s="622"/>
      <c r="U46" s="622"/>
      <c r="V46" s="622"/>
      <c r="W46" s="622"/>
      <c r="X46" s="622"/>
      <c r="Y46" s="622"/>
      <c r="Z46" s="622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4301051820</v>
      </c>
      <c r="D47" s="623">
        <v>4680115884915</v>
      </c>
      <c r="E47" s="62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45</v>
      </c>
      <c r="M47" s="38" t="s">
        <v>93</v>
      </c>
      <c r="N47" s="38"/>
      <c r="O47" s="37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5"/>
      <c r="R47" s="625"/>
      <c r="S47" s="625"/>
      <c r="T47" s="62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127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1"/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2"/>
      <c r="P49" s="628" t="s">
        <v>40</v>
      </c>
      <c r="Q49" s="629"/>
      <c r="R49" s="629"/>
      <c r="S49" s="629"/>
      <c r="T49" s="629"/>
      <c r="U49" s="629"/>
      <c r="V49" s="63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1" t="s">
        <v>128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5"/>
      <c r="AB50" s="65"/>
      <c r="AC50" s="79"/>
    </row>
    <row r="51" spans="1:68" ht="14.25" customHeight="1" x14ac:dyDescent="0.25">
      <c r="A51" s="622" t="s">
        <v>114</v>
      </c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  <c r="R51" s="622"/>
      <c r="S51" s="622"/>
      <c r="T51" s="622"/>
      <c r="U51" s="622"/>
      <c r="V51" s="622"/>
      <c r="W51" s="622"/>
      <c r="X51" s="622"/>
      <c r="Y51" s="622"/>
      <c r="Z51" s="622"/>
      <c r="AA51" s="66"/>
      <c r="AB51" s="66"/>
      <c r="AC51" s="80"/>
    </row>
    <row r="52" spans="1:68" ht="27" customHeight="1" x14ac:dyDescent="0.25">
      <c r="A52" s="63" t="s">
        <v>129</v>
      </c>
      <c r="B52" s="63" t="s">
        <v>130</v>
      </c>
      <c r="C52" s="36">
        <v>4301012030</v>
      </c>
      <c r="D52" s="623">
        <v>4680115885882</v>
      </c>
      <c r="E52" s="62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45</v>
      </c>
      <c r="M52" s="38" t="s">
        <v>93</v>
      </c>
      <c r="N52" s="38"/>
      <c r="O52" s="37">
        <v>50</v>
      </c>
      <c r="P52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131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4301011816</v>
      </c>
      <c r="D53" s="623">
        <v>4680115881426</v>
      </c>
      <c r="E53" s="62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45</v>
      </c>
      <c r="M53" s="38" t="s">
        <v>118</v>
      </c>
      <c r="N53" s="38"/>
      <c r="O53" s="37">
        <v>50</v>
      </c>
      <c r="P53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134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4301011386</v>
      </c>
      <c r="D54" s="623">
        <v>4680115880283</v>
      </c>
      <c r="E54" s="62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118</v>
      </c>
      <c r="N54" s="38"/>
      <c r="O54" s="37">
        <v>45</v>
      </c>
      <c r="P54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137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138</v>
      </c>
      <c r="B55" s="63" t="s">
        <v>139</v>
      </c>
      <c r="C55" s="36">
        <v>4301011806</v>
      </c>
      <c r="D55" s="623">
        <v>4680115881525</v>
      </c>
      <c r="E55" s="62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50</v>
      </c>
      <c r="P55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140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4301011589</v>
      </c>
      <c r="D56" s="623">
        <v>4680115885899</v>
      </c>
      <c r="E56" s="62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45</v>
      </c>
      <c r="M56" s="38" t="s">
        <v>100</v>
      </c>
      <c r="N56" s="38"/>
      <c r="O56" s="37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143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4301011801</v>
      </c>
      <c r="D57" s="623">
        <v>4680115881419</v>
      </c>
      <c r="E57" s="62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118</v>
      </c>
      <c r="N57" s="38"/>
      <c r="O57" s="37">
        <v>50</v>
      </c>
      <c r="P57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5"/>
      <c r="R57" s="625"/>
      <c r="S57" s="625"/>
      <c r="T57" s="62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146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1"/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2"/>
      <c r="P59" s="628" t="s">
        <v>40</v>
      </c>
      <c r="Q59" s="629"/>
      <c r="R59" s="629"/>
      <c r="S59" s="629"/>
      <c r="T59" s="629"/>
      <c r="U59" s="629"/>
      <c r="V59" s="63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2" t="s">
        <v>147</v>
      </c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2"/>
      <c r="Z60" s="622"/>
      <c r="AA60" s="66"/>
      <c r="AB60" s="66"/>
      <c r="AC60" s="80"/>
    </row>
    <row r="61" spans="1:68" ht="16.5" customHeight="1" x14ac:dyDescent="0.25">
      <c r="A61" s="63" t="s">
        <v>148</v>
      </c>
      <c r="B61" s="63" t="s">
        <v>149</v>
      </c>
      <c r="C61" s="36">
        <v>4301020298</v>
      </c>
      <c r="D61" s="623">
        <v>4680115881440</v>
      </c>
      <c r="E61" s="62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45</v>
      </c>
      <c r="M61" s="38" t="s">
        <v>118</v>
      </c>
      <c r="N61" s="38"/>
      <c r="O61" s="37">
        <v>50</v>
      </c>
      <c r="P61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151</v>
      </c>
      <c r="B62" s="63" t="s">
        <v>152</v>
      </c>
      <c r="C62" s="36">
        <v>4301020358</v>
      </c>
      <c r="D62" s="623">
        <v>4680115885950</v>
      </c>
      <c r="E62" s="62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153</v>
      </c>
      <c r="B63" s="63" t="s">
        <v>154</v>
      </c>
      <c r="C63" s="36">
        <v>4301020296</v>
      </c>
      <c r="D63" s="623">
        <v>4680115881433</v>
      </c>
      <c r="E63" s="62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45</v>
      </c>
      <c r="M63" s="38" t="s">
        <v>118</v>
      </c>
      <c r="N63" s="38"/>
      <c r="O63" s="37">
        <v>50</v>
      </c>
      <c r="P63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5"/>
      <c r="R63" s="625"/>
      <c r="S63" s="625"/>
      <c r="T63" s="62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1"/>
      <c r="B65" s="631"/>
      <c r="C65" s="631"/>
      <c r="D65" s="63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2"/>
      <c r="P65" s="628" t="s">
        <v>40</v>
      </c>
      <c r="Q65" s="629"/>
      <c r="R65" s="629"/>
      <c r="S65" s="629"/>
      <c r="T65" s="629"/>
      <c r="U65" s="629"/>
      <c r="V65" s="63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2" t="s">
        <v>78</v>
      </c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  <c r="R66" s="622"/>
      <c r="S66" s="622"/>
      <c r="T66" s="622"/>
      <c r="U66" s="622"/>
      <c r="V66" s="622"/>
      <c r="W66" s="622"/>
      <c r="X66" s="622"/>
      <c r="Y66" s="622"/>
      <c r="Z66" s="622"/>
      <c r="AA66" s="66"/>
      <c r="AB66" s="66"/>
      <c r="AC66" s="80"/>
    </row>
    <row r="67" spans="1:68" ht="27" customHeight="1" x14ac:dyDescent="0.25">
      <c r="A67" s="63" t="s">
        <v>155</v>
      </c>
      <c r="B67" s="63" t="s">
        <v>156</v>
      </c>
      <c r="C67" s="36">
        <v>4301031243</v>
      </c>
      <c r="D67" s="623">
        <v>4680115885073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157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158</v>
      </c>
      <c r="B68" s="63" t="s">
        <v>159</v>
      </c>
      <c r="C68" s="36">
        <v>4301031241</v>
      </c>
      <c r="D68" s="623">
        <v>4680115885059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160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161</v>
      </c>
      <c r="B69" s="63" t="s">
        <v>162</v>
      </c>
      <c r="C69" s="36">
        <v>4301031316</v>
      </c>
      <c r="D69" s="623">
        <v>4680115885097</v>
      </c>
      <c r="E69" s="623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5"/>
      <c r="R69" s="625"/>
      <c r="S69" s="625"/>
      <c r="T69" s="62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163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1"/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2"/>
      <c r="P70" s="628" t="s">
        <v>40</v>
      </c>
      <c r="Q70" s="629"/>
      <c r="R70" s="629"/>
      <c r="S70" s="629"/>
      <c r="T70" s="629"/>
      <c r="U70" s="629"/>
      <c r="V70" s="630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1"/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2"/>
      <c r="P71" s="628" t="s">
        <v>40</v>
      </c>
      <c r="Q71" s="629"/>
      <c r="R71" s="629"/>
      <c r="S71" s="629"/>
      <c r="T71" s="629"/>
      <c r="U71" s="629"/>
      <c r="V71" s="630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2" t="s">
        <v>89</v>
      </c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  <c r="Y72" s="622"/>
      <c r="Z72" s="622"/>
      <c r="AA72" s="66"/>
      <c r="AB72" s="66"/>
      <c r="AC72" s="80"/>
    </row>
    <row r="73" spans="1:68" ht="27" customHeight="1" x14ac:dyDescent="0.25">
      <c r="A73" s="63" t="s">
        <v>164</v>
      </c>
      <c r="B73" s="63" t="s">
        <v>165</v>
      </c>
      <c r="C73" s="36">
        <v>4301051846</v>
      </c>
      <c r="D73" s="623">
        <v>4680115885769</v>
      </c>
      <c r="E73" s="623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93</v>
      </c>
      <c r="N73" s="38"/>
      <c r="O73" s="37">
        <v>45</v>
      </c>
      <c r="P73" s="6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166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167</v>
      </c>
      <c r="B74" s="63" t="s">
        <v>168</v>
      </c>
      <c r="C74" s="36">
        <v>4301051837</v>
      </c>
      <c r="D74" s="623">
        <v>4680115884311</v>
      </c>
      <c r="E74" s="623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45</v>
      </c>
      <c r="M74" s="38" t="s">
        <v>93</v>
      </c>
      <c r="N74" s="38"/>
      <c r="O74" s="37">
        <v>40</v>
      </c>
      <c r="P74" s="6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4301051844</v>
      </c>
      <c r="D75" s="623">
        <v>4680115885929</v>
      </c>
      <c r="E75" s="623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166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172</v>
      </c>
      <c r="B76" s="63" t="s">
        <v>173</v>
      </c>
      <c r="C76" s="36">
        <v>4301051929</v>
      </c>
      <c r="D76" s="623">
        <v>4680115884403</v>
      </c>
      <c r="E76" s="6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45</v>
      </c>
      <c r="M76" s="38" t="s">
        <v>93</v>
      </c>
      <c r="N76" s="38"/>
      <c r="O76" s="37">
        <v>40</v>
      </c>
      <c r="P76" s="6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5"/>
      <c r="R76" s="625"/>
      <c r="S76" s="625"/>
      <c r="T76" s="62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174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1"/>
      <c r="B77" s="631"/>
      <c r="C77" s="631"/>
      <c r="D77" s="631"/>
      <c r="E77" s="631"/>
      <c r="F77" s="631"/>
      <c r="G77" s="631"/>
      <c r="H77" s="631"/>
      <c r="I77" s="631"/>
      <c r="J77" s="631"/>
      <c r="K77" s="631"/>
      <c r="L77" s="631"/>
      <c r="M77" s="631"/>
      <c r="N77" s="631"/>
      <c r="O77" s="632"/>
      <c r="P77" s="628" t="s">
        <v>40</v>
      </c>
      <c r="Q77" s="629"/>
      <c r="R77" s="629"/>
      <c r="S77" s="629"/>
      <c r="T77" s="629"/>
      <c r="U77" s="629"/>
      <c r="V77" s="630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1"/>
      <c r="B78" s="631"/>
      <c r="C78" s="631"/>
      <c r="D78" s="631"/>
      <c r="E78" s="631"/>
      <c r="F78" s="631"/>
      <c r="G78" s="631"/>
      <c r="H78" s="631"/>
      <c r="I78" s="631"/>
      <c r="J78" s="631"/>
      <c r="K78" s="631"/>
      <c r="L78" s="631"/>
      <c r="M78" s="631"/>
      <c r="N78" s="631"/>
      <c r="O78" s="632"/>
      <c r="P78" s="628" t="s">
        <v>40</v>
      </c>
      <c r="Q78" s="629"/>
      <c r="R78" s="629"/>
      <c r="S78" s="629"/>
      <c r="T78" s="629"/>
      <c r="U78" s="629"/>
      <c r="V78" s="630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2" t="s">
        <v>175</v>
      </c>
      <c r="B79" s="622"/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  <c r="Y79" s="622"/>
      <c r="Z79" s="622"/>
      <c r="AA79" s="66"/>
      <c r="AB79" s="66"/>
      <c r="AC79" s="80"/>
    </row>
    <row r="80" spans="1:68" ht="27" customHeight="1" x14ac:dyDescent="0.25">
      <c r="A80" s="63" t="s">
        <v>176</v>
      </c>
      <c r="B80" s="63" t="s">
        <v>177</v>
      </c>
      <c r="C80" s="36">
        <v>4301060455</v>
      </c>
      <c r="D80" s="623">
        <v>4680115881532</v>
      </c>
      <c r="E80" s="6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100</v>
      </c>
      <c r="N80" s="38"/>
      <c r="O80" s="37">
        <v>30</v>
      </c>
      <c r="P80" s="6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178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179</v>
      </c>
      <c r="B81" s="63" t="s">
        <v>180</v>
      </c>
      <c r="C81" s="36">
        <v>4301060351</v>
      </c>
      <c r="D81" s="623">
        <v>4680115881464</v>
      </c>
      <c r="E81" s="623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93</v>
      </c>
      <c r="N81" s="38"/>
      <c r="O81" s="37">
        <v>30</v>
      </c>
      <c r="P81" s="6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5"/>
      <c r="R81" s="625"/>
      <c r="S81" s="625"/>
      <c r="T81" s="62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181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1"/>
      <c r="B82" s="631"/>
      <c r="C82" s="631"/>
      <c r="D82" s="631"/>
      <c r="E82" s="631"/>
      <c r="F82" s="631"/>
      <c r="G82" s="631"/>
      <c r="H82" s="631"/>
      <c r="I82" s="631"/>
      <c r="J82" s="631"/>
      <c r="K82" s="631"/>
      <c r="L82" s="631"/>
      <c r="M82" s="631"/>
      <c r="N82" s="631"/>
      <c r="O82" s="632"/>
      <c r="P82" s="628" t="s">
        <v>40</v>
      </c>
      <c r="Q82" s="629"/>
      <c r="R82" s="629"/>
      <c r="S82" s="629"/>
      <c r="T82" s="629"/>
      <c r="U82" s="629"/>
      <c r="V82" s="630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1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2"/>
      <c r="P83" s="628" t="s">
        <v>40</v>
      </c>
      <c r="Q83" s="629"/>
      <c r="R83" s="629"/>
      <c r="S83" s="629"/>
      <c r="T83" s="629"/>
      <c r="U83" s="629"/>
      <c r="V83" s="630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1" t="s">
        <v>182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5"/>
      <c r="AB84" s="65"/>
      <c r="AC84" s="79"/>
    </row>
    <row r="85" spans="1:68" ht="14.25" customHeight="1" x14ac:dyDescent="0.25">
      <c r="A85" s="622" t="s">
        <v>114</v>
      </c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  <c r="Y85" s="622"/>
      <c r="Z85" s="622"/>
      <c r="AA85" s="66"/>
      <c r="AB85" s="66"/>
      <c r="AC85" s="80"/>
    </row>
    <row r="86" spans="1:68" ht="27" customHeight="1" x14ac:dyDescent="0.25">
      <c r="A86" s="63" t="s">
        <v>183</v>
      </c>
      <c r="B86" s="63" t="s">
        <v>184</v>
      </c>
      <c r="C86" s="36">
        <v>4301011468</v>
      </c>
      <c r="D86" s="623">
        <v>4680115881327</v>
      </c>
      <c r="E86" s="623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100</v>
      </c>
      <c r="N86" s="38"/>
      <c r="O86" s="37">
        <v>50</v>
      </c>
      <c r="P86" s="6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187</v>
      </c>
      <c r="C87" s="36">
        <v>4301011476</v>
      </c>
      <c r="D87" s="623">
        <v>4680115881518</v>
      </c>
      <c r="E87" s="62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93</v>
      </c>
      <c r="N87" s="38"/>
      <c r="O87" s="37">
        <v>50</v>
      </c>
      <c r="P87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188</v>
      </c>
      <c r="B88" s="63" t="s">
        <v>189</v>
      </c>
      <c r="C88" s="36">
        <v>4301011443</v>
      </c>
      <c r="D88" s="623">
        <v>4680115881303</v>
      </c>
      <c r="E88" s="62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100</v>
      </c>
      <c r="N88" s="38"/>
      <c r="O88" s="37">
        <v>50</v>
      </c>
      <c r="P88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5"/>
      <c r="R88" s="625"/>
      <c r="S88" s="625"/>
      <c r="T88" s="62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185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1"/>
      <c r="B89" s="631"/>
      <c r="C89" s="631"/>
      <c r="D89" s="631"/>
      <c r="E89" s="631"/>
      <c r="F89" s="631"/>
      <c r="G89" s="631"/>
      <c r="H89" s="631"/>
      <c r="I89" s="631"/>
      <c r="J89" s="631"/>
      <c r="K89" s="631"/>
      <c r="L89" s="631"/>
      <c r="M89" s="631"/>
      <c r="N89" s="631"/>
      <c r="O89" s="632"/>
      <c r="P89" s="628" t="s">
        <v>40</v>
      </c>
      <c r="Q89" s="629"/>
      <c r="R89" s="629"/>
      <c r="S89" s="629"/>
      <c r="T89" s="629"/>
      <c r="U89" s="629"/>
      <c r="V89" s="630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1"/>
      <c r="B90" s="631"/>
      <c r="C90" s="631"/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2"/>
      <c r="P90" s="628" t="s">
        <v>40</v>
      </c>
      <c r="Q90" s="629"/>
      <c r="R90" s="629"/>
      <c r="S90" s="629"/>
      <c r="T90" s="629"/>
      <c r="U90" s="629"/>
      <c r="V90" s="630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2" t="s">
        <v>89</v>
      </c>
      <c r="B91" s="622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  <c r="Y91" s="622"/>
      <c r="Z91" s="622"/>
      <c r="AA91" s="66"/>
      <c r="AB91" s="66"/>
      <c r="AC91" s="80"/>
    </row>
    <row r="92" spans="1:68" ht="27" customHeight="1" x14ac:dyDescent="0.25">
      <c r="A92" s="63" t="s">
        <v>190</v>
      </c>
      <c r="B92" s="63" t="s">
        <v>191</v>
      </c>
      <c r="C92" s="36">
        <v>4301051712</v>
      </c>
      <c r="D92" s="623">
        <v>4607091386967</v>
      </c>
      <c r="E92" s="62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45</v>
      </c>
      <c r="M92" s="38" t="s">
        <v>100</v>
      </c>
      <c r="N92" s="38"/>
      <c r="O92" s="37">
        <v>45</v>
      </c>
      <c r="P92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193</v>
      </c>
      <c r="B93" s="63" t="s">
        <v>194</v>
      </c>
      <c r="C93" s="36">
        <v>4301051788</v>
      </c>
      <c r="D93" s="623">
        <v>4680115884953</v>
      </c>
      <c r="E93" s="62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195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196</v>
      </c>
      <c r="B94" s="63" t="s">
        <v>197</v>
      </c>
      <c r="C94" s="36">
        <v>4301051718</v>
      </c>
      <c r="D94" s="623">
        <v>4607091385731</v>
      </c>
      <c r="E94" s="62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45</v>
      </c>
      <c r="M94" s="38" t="s">
        <v>100</v>
      </c>
      <c r="N94" s="38"/>
      <c r="O94" s="37">
        <v>45</v>
      </c>
      <c r="P94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192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198</v>
      </c>
      <c r="B95" s="63" t="s">
        <v>199</v>
      </c>
      <c r="C95" s="36">
        <v>4301051438</v>
      </c>
      <c r="D95" s="623">
        <v>4680115880894</v>
      </c>
      <c r="E95" s="62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45</v>
      </c>
      <c r="M95" s="38" t="s">
        <v>93</v>
      </c>
      <c r="N95" s="38"/>
      <c r="O95" s="37">
        <v>45</v>
      </c>
      <c r="P95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5"/>
      <c r="R95" s="625"/>
      <c r="S95" s="625"/>
      <c r="T95" s="62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200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1"/>
      <c r="B96" s="631"/>
      <c r="C96" s="631"/>
      <c r="D96" s="631"/>
      <c r="E96" s="631"/>
      <c r="F96" s="631"/>
      <c r="G96" s="631"/>
      <c r="H96" s="631"/>
      <c r="I96" s="631"/>
      <c r="J96" s="631"/>
      <c r="K96" s="631"/>
      <c r="L96" s="631"/>
      <c r="M96" s="631"/>
      <c r="N96" s="631"/>
      <c r="O96" s="632"/>
      <c r="P96" s="628" t="s">
        <v>40</v>
      </c>
      <c r="Q96" s="629"/>
      <c r="R96" s="629"/>
      <c r="S96" s="629"/>
      <c r="T96" s="629"/>
      <c r="U96" s="629"/>
      <c r="V96" s="63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1"/>
      <c r="B97" s="631"/>
      <c r="C97" s="631"/>
      <c r="D97" s="631"/>
      <c r="E97" s="631"/>
      <c r="F97" s="631"/>
      <c r="G97" s="631"/>
      <c r="H97" s="631"/>
      <c r="I97" s="631"/>
      <c r="J97" s="631"/>
      <c r="K97" s="631"/>
      <c r="L97" s="631"/>
      <c r="M97" s="631"/>
      <c r="N97" s="631"/>
      <c r="O97" s="632"/>
      <c r="P97" s="628" t="s">
        <v>40</v>
      </c>
      <c r="Q97" s="629"/>
      <c r="R97" s="629"/>
      <c r="S97" s="629"/>
      <c r="T97" s="629"/>
      <c r="U97" s="629"/>
      <c r="V97" s="63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1" t="s">
        <v>201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5"/>
      <c r="AB98" s="65"/>
      <c r="AC98" s="79"/>
    </row>
    <row r="99" spans="1:68" ht="14.25" customHeight="1" x14ac:dyDescent="0.25">
      <c r="A99" s="622" t="s">
        <v>114</v>
      </c>
      <c r="B99" s="622"/>
      <c r="C99" s="622"/>
      <c r="D99" s="622"/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  <c r="Y99" s="622"/>
      <c r="Z99" s="622"/>
      <c r="AA99" s="66"/>
      <c r="AB99" s="66"/>
      <c r="AC99" s="80"/>
    </row>
    <row r="100" spans="1:68" ht="37.5" customHeight="1" x14ac:dyDescent="0.25">
      <c r="A100" s="63" t="s">
        <v>202</v>
      </c>
      <c r="B100" s="63" t="s">
        <v>203</v>
      </c>
      <c r="C100" s="36">
        <v>4301011514</v>
      </c>
      <c r="D100" s="623">
        <v>4680115882133</v>
      </c>
      <c r="E100" s="62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45</v>
      </c>
      <c r="M100" s="38" t="s">
        <v>118</v>
      </c>
      <c r="N100" s="38"/>
      <c r="O100" s="37">
        <v>50</v>
      </c>
      <c r="P100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205</v>
      </c>
      <c r="B101" s="63" t="s">
        <v>206</v>
      </c>
      <c r="C101" s="36">
        <v>4301011417</v>
      </c>
      <c r="D101" s="623">
        <v>4680115880269</v>
      </c>
      <c r="E101" s="62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122</v>
      </c>
      <c r="L101" s="37" t="s">
        <v>45</v>
      </c>
      <c r="M101" s="38" t="s">
        <v>93</v>
      </c>
      <c r="N101" s="38"/>
      <c r="O101" s="37">
        <v>50</v>
      </c>
      <c r="P101" s="6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4301011415</v>
      </c>
      <c r="D102" s="623">
        <v>4680115880429</v>
      </c>
      <c r="E102" s="62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122</v>
      </c>
      <c r="L102" s="37" t="s">
        <v>209</v>
      </c>
      <c r="M102" s="38" t="s">
        <v>93</v>
      </c>
      <c r="N102" s="38"/>
      <c r="O102" s="37">
        <v>50</v>
      </c>
      <c r="P102" s="67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210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623">
        <v>4680115881457</v>
      </c>
      <c r="E103" s="62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45</v>
      </c>
      <c r="M103" s="38" t="s">
        <v>93</v>
      </c>
      <c r="N103" s="38"/>
      <c r="O103" s="37">
        <v>50</v>
      </c>
      <c r="P103" s="6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5"/>
      <c r="R103" s="625"/>
      <c r="S103" s="625"/>
      <c r="T103" s="62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1"/>
      <c r="B105" s="631"/>
      <c r="C105" s="631"/>
      <c r="D105" s="631"/>
      <c r="E105" s="631"/>
      <c r="F105" s="631"/>
      <c r="G105" s="631"/>
      <c r="H105" s="631"/>
      <c r="I105" s="631"/>
      <c r="J105" s="631"/>
      <c r="K105" s="631"/>
      <c r="L105" s="631"/>
      <c r="M105" s="631"/>
      <c r="N105" s="631"/>
      <c r="O105" s="632"/>
      <c r="P105" s="628" t="s">
        <v>40</v>
      </c>
      <c r="Q105" s="629"/>
      <c r="R105" s="629"/>
      <c r="S105" s="629"/>
      <c r="T105" s="629"/>
      <c r="U105" s="629"/>
      <c r="V105" s="630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2" t="s">
        <v>147</v>
      </c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623">
        <v>4680115881488</v>
      </c>
      <c r="E107" s="62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119</v>
      </c>
      <c r="L107" s="37" t="s">
        <v>45</v>
      </c>
      <c r="M107" s="38" t="s">
        <v>118</v>
      </c>
      <c r="N107" s="38"/>
      <c r="O107" s="37">
        <v>55</v>
      </c>
      <c r="P107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118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215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218</v>
      </c>
      <c r="B109" s="63" t="s">
        <v>219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45</v>
      </c>
      <c r="M109" s="38" t="s">
        <v>118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89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220</v>
      </c>
      <c r="B113" s="63" t="s">
        <v>221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119</v>
      </c>
      <c r="L113" s="37" t="s">
        <v>45</v>
      </c>
      <c r="M113" s="38" t="s">
        <v>100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222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45</v>
      </c>
      <c r="M114" s="38" t="s">
        <v>100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222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225</v>
      </c>
      <c r="B115" s="63" t="s">
        <v>226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227</v>
      </c>
      <c r="M115" s="38" t="s">
        <v>100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222</v>
      </c>
      <c r="AG115" s="78"/>
      <c r="AJ115" s="84" t="s">
        <v>210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228</v>
      </c>
      <c r="B116" s="63" t="s">
        <v>229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45</v>
      </c>
      <c r="M116" s="38" t="s">
        <v>93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230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175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231</v>
      </c>
      <c r="B120" s="63" t="s">
        <v>232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45</v>
      </c>
      <c r="M120" s="38" t="s">
        <v>93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233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234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114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235</v>
      </c>
      <c r="B125" s="63" t="s">
        <v>236</v>
      </c>
      <c r="C125" s="36">
        <v>4301011562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45</v>
      </c>
      <c r="M125" s="38" t="s">
        <v>111</v>
      </c>
      <c r="N125" s="38"/>
      <c r="O125" s="37">
        <v>90</v>
      </c>
      <c r="P125" s="6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237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235</v>
      </c>
      <c r="B126" s="63" t="s">
        <v>238</v>
      </c>
      <c r="C126" s="36">
        <v>4301011564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45</v>
      </c>
      <c r="M126" s="38" t="s">
        <v>111</v>
      </c>
      <c r="N126" s="38"/>
      <c r="O126" s="37">
        <v>90</v>
      </c>
      <c r="P126" s="6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237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239</v>
      </c>
      <c r="B130" s="63" t="s">
        <v>240</v>
      </c>
      <c r="C130" s="36">
        <v>4301031235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45</v>
      </c>
      <c r="M130" s="38" t="s">
        <v>111</v>
      </c>
      <c r="N130" s="38"/>
      <c r="O130" s="37">
        <v>90</v>
      </c>
      <c r="P130" s="6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241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239</v>
      </c>
      <c r="B131" s="63" t="s">
        <v>242</v>
      </c>
      <c r="C131" s="36">
        <v>4301031234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45</v>
      </c>
      <c r="M131" s="38" t="s">
        <v>111</v>
      </c>
      <c r="N131" s="38"/>
      <c r="O131" s="37">
        <v>90</v>
      </c>
      <c r="P131" s="6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241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89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243</v>
      </c>
      <c r="B135" s="63" t="s">
        <v>244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111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237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243</v>
      </c>
      <c r="B136" s="63" t="s">
        <v>245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45</v>
      </c>
      <c r="M136" s="38" t="s">
        <v>111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237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112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114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246</v>
      </c>
      <c r="B141" s="63" t="s">
        <v>247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119</v>
      </c>
      <c r="L141" s="37" t="s">
        <v>45</v>
      </c>
      <c r="M141" s="38" t="s">
        <v>118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249</v>
      </c>
      <c r="B142" s="63" t="s">
        <v>250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122</v>
      </c>
      <c r="L142" s="37" t="s">
        <v>45</v>
      </c>
      <c r="M142" s="38" t="s">
        <v>118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119</v>
      </c>
      <c r="L146" s="37" t="s">
        <v>45</v>
      </c>
      <c r="M146" s="38" t="s">
        <v>118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119</v>
      </c>
      <c r="L148" s="37" t="s">
        <v>45</v>
      </c>
      <c r="M148" s="38" t="s">
        <v>83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1"/>
      <c r="B149" s="631"/>
      <c r="C149" s="631"/>
      <c r="D149" s="631"/>
      <c r="E149" s="631"/>
      <c r="F149" s="631"/>
      <c r="G149" s="631"/>
      <c r="H149" s="631"/>
      <c r="I149" s="631"/>
      <c r="J149" s="631"/>
      <c r="K149" s="631"/>
      <c r="L149" s="631"/>
      <c r="M149" s="631"/>
      <c r="N149" s="631"/>
      <c r="O149" s="632"/>
      <c r="P149" s="628" t="s">
        <v>40</v>
      </c>
      <c r="Q149" s="629"/>
      <c r="R149" s="629"/>
      <c r="S149" s="629"/>
      <c r="T149" s="629"/>
      <c r="U149" s="629"/>
      <c r="V149" s="630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1"/>
      <c r="B150" s="631"/>
      <c r="C150" s="631"/>
      <c r="D150" s="631"/>
      <c r="E150" s="631"/>
      <c r="F150" s="631"/>
      <c r="G150" s="631"/>
      <c r="H150" s="631"/>
      <c r="I150" s="631"/>
      <c r="J150" s="631"/>
      <c r="K150" s="631"/>
      <c r="L150" s="631"/>
      <c r="M150" s="631"/>
      <c r="N150" s="631"/>
      <c r="O150" s="632"/>
      <c r="P150" s="628" t="s">
        <v>40</v>
      </c>
      <c r="Q150" s="629"/>
      <c r="R150" s="629"/>
      <c r="S150" s="629"/>
      <c r="T150" s="629"/>
      <c r="U150" s="629"/>
      <c r="V150" s="630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89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263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1"/>
      <c r="B153" s="631"/>
      <c r="C153" s="631"/>
      <c r="D153" s="631"/>
      <c r="E153" s="631"/>
      <c r="F153" s="631"/>
      <c r="G153" s="631"/>
      <c r="H153" s="631"/>
      <c r="I153" s="631"/>
      <c r="J153" s="631"/>
      <c r="K153" s="631"/>
      <c r="L153" s="631"/>
      <c r="M153" s="631"/>
      <c r="N153" s="631"/>
      <c r="O153" s="632"/>
      <c r="P153" s="628" t="s">
        <v>40</v>
      </c>
      <c r="Q153" s="629"/>
      <c r="R153" s="629"/>
      <c r="S153" s="629"/>
      <c r="T153" s="629"/>
      <c r="U153" s="629"/>
      <c r="V153" s="630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1"/>
      <c r="B154" s="631"/>
      <c r="C154" s="631"/>
      <c r="D154" s="631"/>
      <c r="E154" s="631"/>
      <c r="F154" s="631"/>
      <c r="G154" s="631"/>
      <c r="H154" s="631"/>
      <c r="I154" s="631"/>
      <c r="J154" s="631"/>
      <c r="K154" s="631"/>
      <c r="L154" s="631"/>
      <c r="M154" s="631"/>
      <c r="N154" s="631"/>
      <c r="O154" s="632"/>
      <c r="P154" s="628" t="s">
        <v>40</v>
      </c>
      <c r="Q154" s="629"/>
      <c r="R154" s="629"/>
      <c r="S154" s="629"/>
      <c r="T154" s="629"/>
      <c r="U154" s="629"/>
      <c r="V154" s="630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264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265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147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266</v>
      </c>
      <c r="B158" s="63" t="s">
        <v>267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268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1"/>
      <c r="B159" s="631"/>
      <c r="C159" s="631"/>
      <c r="D159" s="631"/>
      <c r="E159" s="631"/>
      <c r="F159" s="631"/>
      <c r="G159" s="631"/>
      <c r="H159" s="631"/>
      <c r="I159" s="631"/>
      <c r="J159" s="631"/>
      <c r="K159" s="631"/>
      <c r="L159" s="631"/>
      <c r="M159" s="631"/>
      <c r="N159" s="631"/>
      <c r="O159" s="632"/>
      <c r="P159" s="628" t="s">
        <v>40</v>
      </c>
      <c r="Q159" s="629"/>
      <c r="R159" s="629"/>
      <c r="S159" s="629"/>
      <c r="T159" s="629"/>
      <c r="U159" s="629"/>
      <c r="V159" s="6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1"/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2"/>
      <c r="P160" s="628" t="s">
        <v>40</v>
      </c>
      <c r="Q160" s="629"/>
      <c r="R160" s="629"/>
      <c r="S160" s="629"/>
      <c r="T160" s="629"/>
      <c r="U160" s="629"/>
      <c r="V160" s="6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269</v>
      </c>
      <c r="B162" s="63" t="s">
        <v>270</v>
      </c>
      <c r="C162" s="36">
        <v>4301031191</v>
      </c>
      <c r="D162" s="623">
        <v>4680115880993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122</v>
      </c>
      <c r="L162" s="37" t="s">
        <v>45</v>
      </c>
      <c r="M162" s="38" t="s">
        <v>83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4301031204</v>
      </c>
      <c r="D163" s="623">
        <v>4680115881761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122</v>
      </c>
      <c r="L163" s="37" t="s">
        <v>45</v>
      </c>
      <c r="M163" s="38" t="s">
        <v>83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4301031201</v>
      </c>
      <c r="D164" s="623">
        <v>4680115881563</v>
      </c>
      <c r="E164" s="623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122</v>
      </c>
      <c r="L164" s="37" t="s">
        <v>45</v>
      </c>
      <c r="M164" s="38" t="s">
        <v>83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277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4301031199</v>
      </c>
      <c r="D165" s="623">
        <v>4680115880986</v>
      </c>
      <c r="E165" s="623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45</v>
      </c>
      <c r="M165" s="38" t="s">
        <v>83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280</v>
      </c>
      <c r="B166" s="63" t="s">
        <v>281</v>
      </c>
      <c r="C166" s="36">
        <v>4301031443</v>
      </c>
      <c r="D166" s="623">
        <v>4680115887213</v>
      </c>
      <c r="E166" s="623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282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283</v>
      </c>
      <c r="B167" s="63" t="s">
        <v>284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45</v>
      </c>
      <c r="M167" s="38" t="s">
        <v>83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274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285</v>
      </c>
      <c r="B168" s="63" t="s">
        <v>286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45</v>
      </c>
      <c r="M168" s="38" t="s">
        <v>83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288</v>
      </c>
      <c r="B169" s="63" t="s">
        <v>289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45</v>
      </c>
      <c r="M169" s="38" t="s">
        <v>83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277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290</v>
      </c>
      <c r="B170" s="63" t="s">
        <v>291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277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294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1"/>
      <c r="B172" s="631"/>
      <c r="C172" s="631"/>
      <c r="D172" s="631"/>
      <c r="E172" s="631"/>
      <c r="F172" s="631"/>
      <c r="G172" s="631"/>
      <c r="H172" s="631"/>
      <c r="I172" s="631"/>
      <c r="J172" s="631"/>
      <c r="K172" s="631"/>
      <c r="L172" s="631"/>
      <c r="M172" s="631"/>
      <c r="N172" s="631"/>
      <c r="O172" s="632"/>
      <c r="P172" s="628" t="s">
        <v>40</v>
      </c>
      <c r="Q172" s="629"/>
      <c r="R172" s="629"/>
      <c r="S172" s="629"/>
      <c r="T172" s="629"/>
      <c r="U172" s="629"/>
      <c r="V172" s="630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1"/>
      <c r="B173" s="631"/>
      <c r="C173" s="631"/>
      <c r="D173" s="631"/>
      <c r="E173" s="631"/>
      <c r="F173" s="631"/>
      <c r="G173" s="631"/>
      <c r="H173" s="631"/>
      <c r="I173" s="631"/>
      <c r="J173" s="631"/>
      <c r="K173" s="631"/>
      <c r="L173" s="631"/>
      <c r="M173" s="631"/>
      <c r="N173" s="631"/>
      <c r="O173" s="632"/>
      <c r="P173" s="628" t="s">
        <v>40</v>
      </c>
      <c r="Q173" s="629"/>
      <c r="R173" s="629"/>
      <c r="S173" s="629"/>
      <c r="T173" s="629"/>
      <c r="U173" s="629"/>
      <c r="V173" s="630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106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295</v>
      </c>
      <c r="B175" s="63" t="s">
        <v>296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297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300</v>
      </c>
      <c r="B176" s="63" t="s">
        <v>301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303</v>
      </c>
      <c r="B177" s="63" t="s">
        <v>304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299</v>
      </c>
      <c r="L177" s="37" t="s">
        <v>45</v>
      </c>
      <c r="M177" s="38" t="s">
        <v>298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302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305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306</v>
      </c>
      <c r="B181" s="63" t="s">
        <v>307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299</v>
      </c>
      <c r="L181" s="37" t="s">
        <v>45</v>
      </c>
      <c r="M181" s="38" t="s">
        <v>298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302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1"/>
      <c r="B182" s="631"/>
      <c r="C182" s="631"/>
      <c r="D182" s="631"/>
      <c r="E182" s="631"/>
      <c r="F182" s="631"/>
      <c r="G182" s="631"/>
      <c r="H182" s="631"/>
      <c r="I182" s="631"/>
      <c r="J182" s="631"/>
      <c r="K182" s="631"/>
      <c r="L182" s="631"/>
      <c r="M182" s="631"/>
      <c r="N182" s="631"/>
      <c r="O182" s="632"/>
      <c r="P182" s="628" t="s">
        <v>40</v>
      </c>
      <c r="Q182" s="629"/>
      <c r="R182" s="629"/>
      <c r="S182" s="629"/>
      <c r="T182" s="629"/>
      <c r="U182" s="629"/>
      <c r="V182" s="630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1"/>
      <c r="B183" s="631"/>
      <c r="C183" s="631"/>
      <c r="D183" s="631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2"/>
      <c r="P183" s="628" t="s">
        <v>40</v>
      </c>
      <c r="Q183" s="629"/>
      <c r="R183" s="629"/>
      <c r="S183" s="629"/>
      <c r="T183" s="629"/>
      <c r="U183" s="629"/>
      <c r="V183" s="630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308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114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27" customHeight="1" x14ac:dyDescent="0.25">
      <c r="A186" s="63" t="s">
        <v>309</v>
      </c>
      <c r="B186" s="63" t="s">
        <v>310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119</v>
      </c>
      <c r="L186" s="37" t="s">
        <v>45</v>
      </c>
      <c r="M186" s="38" t="s">
        <v>118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312</v>
      </c>
      <c r="B187" s="63" t="s">
        <v>313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45</v>
      </c>
      <c r="M187" s="38" t="s">
        <v>118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311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147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314</v>
      </c>
      <c r="B191" s="63" t="s">
        <v>315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119</v>
      </c>
      <c r="L191" s="37" t="s">
        <v>45</v>
      </c>
      <c r="M191" s="38" t="s">
        <v>118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317</v>
      </c>
      <c r="B192" s="63" t="s">
        <v>318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45</v>
      </c>
      <c r="M192" s="38" t="s">
        <v>118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316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1"/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2"/>
      <c r="P193" s="628" t="s">
        <v>40</v>
      </c>
      <c r="Q193" s="629"/>
      <c r="R193" s="629"/>
      <c r="S193" s="629"/>
      <c r="T193" s="629"/>
      <c r="U193" s="629"/>
      <c r="V193" s="630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319</v>
      </c>
      <c r="B196" s="63" t="s">
        <v>320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122</v>
      </c>
      <c r="L196" s="37" t="s">
        <v>45</v>
      </c>
      <c r="M196" s="38" t="s">
        <v>83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321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322</v>
      </c>
      <c r="B197" s="63" t="s">
        <v>323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122</v>
      </c>
      <c r="L197" s="37" t="s">
        <v>45</v>
      </c>
      <c r="M197" s="38" t="s">
        <v>83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324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325</v>
      </c>
      <c r="B198" s="63" t="s">
        <v>326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122</v>
      </c>
      <c r="L198" s="37" t="s">
        <v>45</v>
      </c>
      <c r="M198" s="38" t="s">
        <v>83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327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328</v>
      </c>
      <c r="B199" s="63" t="s">
        <v>329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122</v>
      </c>
      <c r="L199" s="37" t="s">
        <v>45</v>
      </c>
      <c r="M199" s="38" t="s">
        <v>83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330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331</v>
      </c>
      <c r="B200" s="63" t="s">
        <v>332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333</v>
      </c>
      <c r="M200" s="38" t="s">
        <v>83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321</v>
      </c>
      <c r="AG200" s="78"/>
      <c r="AJ200" s="84" t="s">
        <v>210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45</v>
      </c>
      <c r="M201" s="38" t="s">
        <v>83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324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45</v>
      </c>
      <c r="M202" s="38" t="s">
        <v>83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327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338</v>
      </c>
      <c r="B203" s="63" t="s">
        <v>339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45</v>
      </c>
      <c r="M203" s="38" t="s">
        <v>83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330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1"/>
      <c r="B204" s="631"/>
      <c r="C204" s="631"/>
      <c r="D204" s="631"/>
      <c r="E204" s="631"/>
      <c r="F204" s="631"/>
      <c r="G204" s="631"/>
      <c r="H204" s="631"/>
      <c r="I204" s="631"/>
      <c r="J204" s="631"/>
      <c r="K204" s="631"/>
      <c r="L204" s="631"/>
      <c r="M204" s="631"/>
      <c r="N204" s="631"/>
      <c r="O204" s="632"/>
      <c r="P204" s="628" t="s">
        <v>40</v>
      </c>
      <c r="Q204" s="629"/>
      <c r="R204" s="629"/>
      <c r="S204" s="629"/>
      <c r="T204" s="629"/>
      <c r="U204" s="629"/>
      <c r="V204" s="630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1"/>
      <c r="B205" s="631"/>
      <c r="C205" s="631"/>
      <c r="D205" s="631"/>
      <c r="E205" s="631"/>
      <c r="F205" s="631"/>
      <c r="G205" s="631"/>
      <c r="H205" s="631"/>
      <c r="I205" s="631"/>
      <c r="J205" s="631"/>
      <c r="K205" s="631"/>
      <c r="L205" s="631"/>
      <c r="M205" s="631"/>
      <c r="N205" s="631"/>
      <c r="O205" s="632"/>
      <c r="P205" s="628" t="s">
        <v>40</v>
      </c>
      <c r="Q205" s="629"/>
      <c r="R205" s="629"/>
      <c r="S205" s="629"/>
      <c r="T205" s="629"/>
      <c r="U205" s="629"/>
      <c r="V205" s="630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89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340</v>
      </c>
      <c r="B207" s="63" t="s">
        <v>341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119</v>
      </c>
      <c r="L207" s="37" t="s">
        <v>45</v>
      </c>
      <c r="M207" s="38" t="s">
        <v>93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342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343</v>
      </c>
      <c r="B208" s="63" t="s">
        <v>344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119</v>
      </c>
      <c r="L208" s="37" t="s">
        <v>45</v>
      </c>
      <c r="M208" s="38" t="s">
        <v>93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345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346</v>
      </c>
      <c r="B209" s="63" t="s">
        <v>347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119</v>
      </c>
      <c r="L209" s="37" t="s">
        <v>45</v>
      </c>
      <c r="M209" s="38" t="s">
        <v>93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348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227</v>
      </c>
      <c r="M210" s="38" t="s">
        <v>93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342</v>
      </c>
      <c r="AG210" s="78"/>
      <c r="AJ210" s="84" t="s">
        <v>210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45</v>
      </c>
      <c r="M211" s="38" t="s">
        <v>100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348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227</v>
      </c>
      <c r="M212" s="38" t="s">
        <v>93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348</v>
      </c>
      <c r="AG212" s="78"/>
      <c r="AJ212" s="84" t="s">
        <v>210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45</v>
      </c>
      <c r="M213" s="38" t="s">
        <v>93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348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357</v>
      </c>
      <c r="B214" s="63" t="s">
        <v>358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45</v>
      </c>
      <c r="M214" s="38" t="s">
        <v>100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359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360</v>
      </c>
      <c r="B215" s="63" t="s">
        <v>361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45</v>
      </c>
      <c r="M215" s="38" t="s">
        <v>93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345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1"/>
      <c r="B216" s="631"/>
      <c r="C216" s="631"/>
      <c r="D216" s="631"/>
      <c r="E216" s="631"/>
      <c r="F216" s="631"/>
      <c r="G216" s="631"/>
      <c r="H216" s="631"/>
      <c r="I216" s="631"/>
      <c r="J216" s="631"/>
      <c r="K216" s="631"/>
      <c r="L216" s="631"/>
      <c r="M216" s="631"/>
      <c r="N216" s="631"/>
      <c r="O216" s="632"/>
      <c r="P216" s="628" t="s">
        <v>40</v>
      </c>
      <c r="Q216" s="629"/>
      <c r="R216" s="629"/>
      <c r="S216" s="629"/>
      <c r="T216" s="629"/>
      <c r="U216" s="629"/>
      <c r="V216" s="630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1"/>
      <c r="B217" s="631"/>
      <c r="C217" s="631"/>
      <c r="D217" s="631"/>
      <c r="E217" s="631"/>
      <c r="F217" s="631"/>
      <c r="G217" s="631"/>
      <c r="H217" s="631"/>
      <c r="I217" s="631"/>
      <c r="J217" s="631"/>
      <c r="K217" s="631"/>
      <c r="L217" s="631"/>
      <c r="M217" s="631"/>
      <c r="N217" s="631"/>
      <c r="O217" s="632"/>
      <c r="P217" s="628" t="s">
        <v>40</v>
      </c>
      <c r="Q217" s="629"/>
      <c r="R217" s="629"/>
      <c r="S217" s="629"/>
      <c r="T217" s="629"/>
      <c r="U217" s="629"/>
      <c r="V217" s="630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175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362</v>
      </c>
      <c r="B219" s="63" t="s">
        <v>363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45</v>
      </c>
      <c r="M219" s="38" t="s">
        <v>100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364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365</v>
      </c>
      <c r="B220" s="63" t="s">
        <v>366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45</v>
      </c>
      <c r="M220" s="38" t="s">
        <v>93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367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1"/>
      <c r="B221" s="631"/>
      <c r="C221" s="631"/>
      <c r="D221" s="631"/>
      <c r="E221" s="631"/>
      <c r="F221" s="631"/>
      <c r="G221" s="631"/>
      <c r="H221" s="631"/>
      <c r="I221" s="631"/>
      <c r="J221" s="631"/>
      <c r="K221" s="631"/>
      <c r="L221" s="631"/>
      <c r="M221" s="631"/>
      <c r="N221" s="631"/>
      <c r="O221" s="632"/>
      <c r="P221" s="628" t="s">
        <v>40</v>
      </c>
      <c r="Q221" s="629"/>
      <c r="R221" s="629"/>
      <c r="S221" s="629"/>
      <c r="T221" s="629"/>
      <c r="U221" s="629"/>
      <c r="V221" s="630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368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114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369</v>
      </c>
      <c r="B225" s="63" t="s">
        <v>370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119</v>
      </c>
      <c r="L225" s="37" t="s">
        <v>45</v>
      </c>
      <c r="M225" s="38" t="s">
        <v>118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371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372</v>
      </c>
      <c r="B226" s="63" t="s">
        <v>373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119</v>
      </c>
      <c r="L226" s="37" t="s">
        <v>45</v>
      </c>
      <c r="M226" s="38" t="s">
        <v>118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374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375</v>
      </c>
      <c r="B227" s="63" t="s">
        <v>376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119</v>
      </c>
      <c r="L227" s="37" t="s">
        <v>45</v>
      </c>
      <c r="M227" s="38" t="s">
        <v>118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377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378</v>
      </c>
      <c r="B228" s="63" t="s">
        <v>379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122</v>
      </c>
      <c r="L228" s="37" t="s">
        <v>45</v>
      </c>
      <c r="M228" s="38" t="s">
        <v>118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371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378</v>
      </c>
      <c r="B229" s="63" t="s">
        <v>380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122</v>
      </c>
      <c r="L229" s="37" t="s">
        <v>45</v>
      </c>
      <c r="M229" s="38" t="s">
        <v>118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381</v>
      </c>
      <c r="B230" s="63" t="s">
        <v>382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122</v>
      </c>
      <c r="L230" s="37" t="s">
        <v>45</v>
      </c>
      <c r="M230" s="38" t="s">
        <v>118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383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122</v>
      </c>
      <c r="L231" s="37" t="s">
        <v>45</v>
      </c>
      <c r="M231" s="38" t="s">
        <v>118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374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118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374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388</v>
      </c>
      <c r="B233" s="63" t="s">
        <v>389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122</v>
      </c>
      <c r="L233" s="37" t="s">
        <v>45</v>
      </c>
      <c r="M233" s="38" t="s">
        <v>118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388</v>
      </c>
      <c r="B234" s="63" t="s">
        <v>390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122</v>
      </c>
      <c r="L234" s="37" t="s">
        <v>45</v>
      </c>
      <c r="M234" s="38" t="s">
        <v>118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377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1"/>
      <c r="B235" s="631"/>
      <c r="C235" s="631"/>
      <c r="D235" s="631"/>
      <c r="E235" s="631"/>
      <c r="F235" s="631"/>
      <c r="G235" s="631"/>
      <c r="H235" s="631"/>
      <c r="I235" s="631"/>
      <c r="J235" s="631"/>
      <c r="K235" s="631"/>
      <c r="L235" s="631"/>
      <c r="M235" s="631"/>
      <c r="N235" s="631"/>
      <c r="O235" s="632"/>
      <c r="P235" s="628" t="s">
        <v>40</v>
      </c>
      <c r="Q235" s="629"/>
      <c r="R235" s="629"/>
      <c r="S235" s="629"/>
      <c r="T235" s="629"/>
      <c r="U235" s="629"/>
      <c r="V235" s="630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1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  <c r="L236" s="631"/>
      <c r="M236" s="631"/>
      <c r="N236" s="631"/>
      <c r="O236" s="632"/>
      <c r="P236" s="628" t="s">
        <v>40</v>
      </c>
      <c r="Q236" s="629"/>
      <c r="R236" s="629"/>
      <c r="S236" s="629"/>
      <c r="T236" s="629"/>
      <c r="U236" s="629"/>
      <c r="V236" s="630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147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391</v>
      </c>
      <c r="B238" s="63" t="s">
        <v>392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393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1"/>
      <c r="B239" s="631"/>
      <c r="C239" s="631"/>
      <c r="D239" s="631"/>
      <c r="E239" s="631"/>
      <c r="F239" s="631"/>
      <c r="G239" s="631"/>
      <c r="H239" s="631"/>
      <c r="I239" s="631"/>
      <c r="J239" s="631"/>
      <c r="K239" s="631"/>
      <c r="L239" s="631"/>
      <c r="M239" s="631"/>
      <c r="N239" s="631"/>
      <c r="O239" s="632"/>
      <c r="P239" s="628" t="s">
        <v>40</v>
      </c>
      <c r="Q239" s="629"/>
      <c r="R239" s="629"/>
      <c r="S239" s="629"/>
      <c r="T239" s="629"/>
      <c r="U239" s="629"/>
      <c r="V239" s="630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394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395</v>
      </c>
      <c r="B242" s="63" t="s">
        <v>396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299</v>
      </c>
      <c r="L242" s="37" t="s">
        <v>45</v>
      </c>
      <c r="M242" s="38" t="s">
        <v>298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397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1"/>
      <c r="B243" s="631"/>
      <c r="C243" s="631"/>
      <c r="D243" s="631"/>
      <c r="E243" s="631"/>
      <c r="F243" s="631"/>
      <c r="G243" s="631"/>
      <c r="H243" s="631"/>
      <c r="I243" s="631"/>
      <c r="J243" s="631"/>
      <c r="K243" s="631"/>
      <c r="L243" s="631"/>
      <c r="M243" s="631"/>
      <c r="N243" s="631"/>
      <c r="O243" s="632"/>
      <c r="P243" s="628" t="s">
        <v>40</v>
      </c>
      <c r="Q243" s="629"/>
      <c r="R243" s="629"/>
      <c r="S243" s="629"/>
      <c r="T243" s="629"/>
      <c r="U243" s="629"/>
      <c r="V243" s="630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398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399</v>
      </c>
      <c r="B246" s="63" t="s">
        <v>400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401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401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401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401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408</v>
      </c>
      <c r="B250" s="63" t="s">
        <v>409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299</v>
      </c>
      <c r="L250" s="37" t="s">
        <v>45</v>
      </c>
      <c r="M250" s="38" t="s">
        <v>298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401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1"/>
      <c r="B251" s="631"/>
      <c r="C251" s="631"/>
      <c r="D251" s="631"/>
      <c r="E251" s="631"/>
      <c r="F251" s="631"/>
      <c r="G251" s="631"/>
      <c r="H251" s="631"/>
      <c r="I251" s="631"/>
      <c r="J251" s="631"/>
      <c r="K251" s="631"/>
      <c r="L251" s="631"/>
      <c r="M251" s="631"/>
      <c r="N251" s="631"/>
      <c r="O251" s="632"/>
      <c r="P251" s="628" t="s">
        <v>40</v>
      </c>
      <c r="Q251" s="629"/>
      <c r="R251" s="629"/>
      <c r="S251" s="629"/>
      <c r="T251" s="629"/>
      <c r="U251" s="629"/>
      <c r="V251" s="630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1"/>
      <c r="B252" s="631"/>
      <c r="C252" s="631"/>
      <c r="D252" s="631"/>
      <c r="E252" s="631"/>
      <c r="F252" s="631"/>
      <c r="G252" s="631"/>
      <c r="H252" s="631"/>
      <c r="I252" s="631"/>
      <c r="J252" s="631"/>
      <c r="K252" s="631"/>
      <c r="L252" s="631"/>
      <c r="M252" s="631"/>
      <c r="N252" s="631"/>
      <c r="O252" s="632"/>
      <c r="P252" s="628" t="s">
        <v>40</v>
      </c>
      <c r="Q252" s="629"/>
      <c r="R252" s="629"/>
      <c r="S252" s="629"/>
      <c r="T252" s="629"/>
      <c r="U252" s="629"/>
      <c r="V252" s="630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410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114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411</v>
      </c>
      <c r="B255" s="63" t="s">
        <v>412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119</v>
      </c>
      <c r="L255" s="37" t="s">
        <v>45</v>
      </c>
      <c r="M255" s="38" t="s">
        <v>118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413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414</v>
      </c>
      <c r="B256" s="63" t="s">
        <v>415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119</v>
      </c>
      <c r="L256" s="37" t="s">
        <v>45</v>
      </c>
      <c r="M256" s="38" t="s">
        <v>118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416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417</v>
      </c>
      <c r="B257" s="63" t="s">
        <v>418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119</v>
      </c>
      <c r="L257" s="37" t="s">
        <v>45</v>
      </c>
      <c r="M257" s="38" t="s">
        <v>118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419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420</v>
      </c>
      <c r="B258" s="63" t="s">
        <v>421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122</v>
      </c>
      <c r="L258" s="37" t="s">
        <v>45</v>
      </c>
      <c r="M258" s="38" t="s">
        <v>118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422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423</v>
      </c>
      <c r="B259" s="63" t="s">
        <v>424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122</v>
      </c>
      <c r="L259" s="37" t="s">
        <v>45</v>
      </c>
      <c r="M259" s="38" t="s">
        <v>118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425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1"/>
      <c r="B260" s="631"/>
      <c r="C260" s="631"/>
      <c r="D260" s="631"/>
      <c r="E260" s="631"/>
      <c r="F260" s="631"/>
      <c r="G260" s="631"/>
      <c r="H260" s="631"/>
      <c r="I260" s="631"/>
      <c r="J260" s="631"/>
      <c r="K260" s="631"/>
      <c r="L260" s="631"/>
      <c r="M260" s="631"/>
      <c r="N260" s="631"/>
      <c r="O260" s="632"/>
      <c r="P260" s="628" t="s">
        <v>40</v>
      </c>
      <c r="Q260" s="629"/>
      <c r="R260" s="629"/>
      <c r="S260" s="629"/>
      <c r="T260" s="629"/>
      <c r="U260" s="629"/>
      <c r="V260" s="630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1"/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2"/>
      <c r="P261" s="628" t="s">
        <v>40</v>
      </c>
      <c r="Q261" s="629"/>
      <c r="R261" s="629"/>
      <c r="S261" s="629"/>
      <c r="T261" s="629"/>
      <c r="U261" s="629"/>
      <c r="V261" s="630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426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114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427</v>
      </c>
      <c r="B264" s="63" t="s">
        <v>428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119</v>
      </c>
      <c r="L264" s="37" t="s">
        <v>45</v>
      </c>
      <c r="M264" s="38" t="s">
        <v>93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117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429</v>
      </c>
      <c r="B265" s="63" t="s">
        <v>430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45</v>
      </c>
      <c r="M265" s="38" t="s">
        <v>93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431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432</v>
      </c>
      <c r="B266" s="63" t="s">
        <v>433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119</v>
      </c>
      <c r="L266" s="37" t="s">
        <v>45</v>
      </c>
      <c r="M266" s="38" t="s">
        <v>93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377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434</v>
      </c>
      <c r="B267" s="63" t="s">
        <v>435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119</v>
      </c>
      <c r="L267" s="37" t="s">
        <v>45</v>
      </c>
      <c r="M267" s="38" t="s">
        <v>118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436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1"/>
      <c r="B268" s="631"/>
      <c r="C268" s="631"/>
      <c r="D268" s="631"/>
      <c r="E268" s="631"/>
      <c r="F268" s="631"/>
      <c r="G268" s="631"/>
      <c r="H268" s="631"/>
      <c r="I268" s="631"/>
      <c r="J268" s="631"/>
      <c r="K268" s="631"/>
      <c r="L268" s="631"/>
      <c r="M268" s="631"/>
      <c r="N268" s="631"/>
      <c r="O268" s="632"/>
      <c r="P268" s="628" t="s">
        <v>40</v>
      </c>
      <c r="Q268" s="629"/>
      <c r="R268" s="629"/>
      <c r="S268" s="629"/>
      <c r="T268" s="629"/>
      <c r="U268" s="629"/>
      <c r="V268" s="630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  <c r="L269" s="631"/>
      <c r="M269" s="631"/>
      <c r="N269" s="631"/>
      <c r="O269" s="632"/>
      <c r="P269" s="628" t="s">
        <v>40</v>
      </c>
      <c r="Q269" s="629"/>
      <c r="R269" s="629"/>
      <c r="S269" s="629"/>
      <c r="T269" s="629"/>
      <c r="U269" s="629"/>
      <c r="V269" s="630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437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89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438</v>
      </c>
      <c r="B272" s="63" t="s">
        <v>439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440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441</v>
      </c>
      <c r="B273" s="63" t="s">
        <v>442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45</v>
      </c>
      <c r="M273" s="38" t="s">
        <v>100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443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444</v>
      </c>
      <c r="B274" s="63" t="s">
        <v>445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45</v>
      </c>
      <c r="M274" s="38" t="s">
        <v>93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440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1"/>
      <c r="B275" s="631"/>
      <c r="C275" s="631"/>
      <c r="D275" s="631"/>
      <c r="E275" s="631"/>
      <c r="F275" s="631"/>
      <c r="G275" s="631"/>
      <c r="H275" s="631"/>
      <c r="I275" s="631"/>
      <c r="J275" s="631"/>
      <c r="K275" s="631"/>
      <c r="L275" s="631"/>
      <c r="M275" s="631"/>
      <c r="N275" s="631"/>
      <c r="O275" s="632"/>
      <c r="P275" s="628" t="s">
        <v>40</v>
      </c>
      <c r="Q275" s="629"/>
      <c r="R275" s="629"/>
      <c r="S275" s="629"/>
      <c r="T275" s="629"/>
      <c r="U275" s="629"/>
      <c r="V275" s="630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1"/>
      <c r="B276" s="631"/>
      <c r="C276" s="631"/>
      <c r="D276" s="631"/>
      <c r="E276" s="631"/>
      <c r="F276" s="631"/>
      <c r="G276" s="631"/>
      <c r="H276" s="631"/>
      <c r="I276" s="631"/>
      <c r="J276" s="631"/>
      <c r="K276" s="631"/>
      <c r="L276" s="631"/>
      <c r="M276" s="631"/>
      <c r="N276" s="631"/>
      <c r="O276" s="632"/>
      <c r="P276" s="628" t="s">
        <v>40</v>
      </c>
      <c r="Q276" s="629"/>
      <c r="R276" s="629"/>
      <c r="S276" s="629"/>
      <c r="T276" s="629"/>
      <c r="U276" s="629"/>
      <c r="V276" s="630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446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447</v>
      </c>
      <c r="B279" s="63" t="s">
        <v>448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449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450</v>
      </c>
      <c r="B280" s="63" t="s">
        <v>451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452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1"/>
      <c r="B282" s="631"/>
      <c r="C282" s="631"/>
      <c r="D282" s="631"/>
      <c r="E282" s="631"/>
      <c r="F282" s="631"/>
      <c r="G282" s="631"/>
      <c r="H282" s="631"/>
      <c r="I282" s="631"/>
      <c r="J282" s="631"/>
      <c r="K282" s="631"/>
      <c r="L282" s="631"/>
      <c r="M282" s="631"/>
      <c r="N282" s="631"/>
      <c r="O282" s="632"/>
      <c r="P282" s="628" t="s">
        <v>40</v>
      </c>
      <c r="Q282" s="629"/>
      <c r="R282" s="629"/>
      <c r="S282" s="629"/>
      <c r="T282" s="629"/>
      <c r="U282" s="629"/>
      <c r="V282" s="630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89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37.5" customHeight="1" x14ac:dyDescent="0.25">
      <c r="A284" s="63" t="s">
        <v>453</v>
      </c>
      <c r="B284" s="63" t="s">
        <v>454</v>
      </c>
      <c r="C284" s="36">
        <v>4301051782</v>
      </c>
      <c r="D284" s="623">
        <v>4680115884618</v>
      </c>
      <c r="E284" s="623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122</v>
      </c>
      <c r="L284" s="37" t="s">
        <v>45</v>
      </c>
      <c r="M284" s="38" t="s">
        <v>93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455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456</v>
      </c>
      <c r="B285" s="63" t="s">
        <v>457</v>
      </c>
      <c r="C285" s="36">
        <v>4301052057</v>
      </c>
      <c r="D285" s="623">
        <v>4680115887114</v>
      </c>
      <c r="E285" s="623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122</v>
      </c>
      <c r="L285" s="37" t="s">
        <v>45</v>
      </c>
      <c r="M285" s="38" t="s">
        <v>93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458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459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114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460</v>
      </c>
      <c r="B290" s="63" t="s">
        <v>461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119</v>
      </c>
      <c r="L290" s="37" t="s">
        <v>45</v>
      </c>
      <c r="M290" s="38" t="s">
        <v>93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462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463</v>
      </c>
      <c r="B291" s="63" t="s">
        <v>464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119</v>
      </c>
      <c r="L291" s="37" t="s">
        <v>45</v>
      </c>
      <c r="M291" s="38" t="s">
        <v>118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465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466</v>
      </c>
      <c r="B292" s="63" t="s">
        <v>467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119</v>
      </c>
      <c r="L292" s="37" t="s">
        <v>45</v>
      </c>
      <c r="M292" s="38" t="s">
        <v>93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468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469</v>
      </c>
      <c r="B293" s="63" t="s">
        <v>470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122</v>
      </c>
      <c r="L293" s="37" t="s">
        <v>45</v>
      </c>
      <c r="M293" s="38" t="s">
        <v>118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462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471</v>
      </c>
      <c r="B294" s="63" t="s">
        <v>472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122</v>
      </c>
      <c r="L294" s="37" t="s">
        <v>45</v>
      </c>
      <c r="M294" s="38" t="s">
        <v>118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473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31"/>
      <c r="B295" s="631"/>
      <c r="C295" s="631"/>
      <c r="D295" s="631"/>
      <c r="E295" s="631"/>
      <c r="F295" s="631"/>
      <c r="G295" s="631"/>
      <c r="H295" s="631"/>
      <c r="I295" s="631"/>
      <c r="J295" s="631"/>
      <c r="K295" s="631"/>
      <c r="L295" s="631"/>
      <c r="M295" s="631"/>
      <c r="N295" s="631"/>
      <c r="O295" s="632"/>
      <c r="P295" s="628" t="s">
        <v>40</v>
      </c>
      <c r="Q295" s="629"/>
      <c r="R295" s="629"/>
      <c r="S295" s="629"/>
      <c r="T295" s="629"/>
      <c r="U295" s="629"/>
      <c r="V295" s="630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1"/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2"/>
      <c r="P296" s="628" t="s">
        <v>40</v>
      </c>
      <c r="Q296" s="629"/>
      <c r="R296" s="629"/>
      <c r="S296" s="629"/>
      <c r="T296" s="629"/>
      <c r="U296" s="629"/>
      <c r="V296" s="630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474</v>
      </c>
      <c r="B298" s="63" t="s">
        <v>475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122</v>
      </c>
      <c r="L298" s="37" t="s">
        <v>45</v>
      </c>
      <c r="M298" s="38" t="s">
        <v>83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476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3" si="27">IFERROR(X298*I298/H298,"0")</f>
        <v>0</v>
      </c>
      <c r="BN298" s="78">
        <f t="shared" ref="BN298:BN303" si="28">IFERROR(Y298*I298/H298,"0")</f>
        <v>0</v>
      </c>
      <c r="BO298" s="78">
        <f t="shared" ref="BO298:BO303" si="29">IFERROR(1/J298*(X298/H298),"0")</f>
        <v>0</v>
      </c>
      <c r="BP298" s="78">
        <f t="shared" ref="BP298:BP303" si="30">IFERROR(1/J298*(Y298/H298),"0")</f>
        <v>0</v>
      </c>
    </row>
    <row r="299" spans="1:68" ht="27" customHeight="1" x14ac:dyDescent="0.25">
      <c r="A299" s="63" t="s">
        <v>477</v>
      </c>
      <c r="B299" s="63" t="s">
        <v>478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122</v>
      </c>
      <c r="L299" s="37" t="s">
        <v>45</v>
      </c>
      <c r="M299" s="38" t="s">
        <v>83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479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480</v>
      </c>
      <c r="B300" s="63" t="s">
        <v>481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122</v>
      </c>
      <c r="L300" s="37" t="s">
        <v>45</v>
      </c>
      <c r="M300" s="38" t="s">
        <v>83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482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483</v>
      </c>
      <c r="B301" s="63" t="s">
        <v>484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88</v>
      </c>
      <c r="L301" s="37" t="s">
        <v>45</v>
      </c>
      <c r="M301" s="38" t="s">
        <v>83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479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485</v>
      </c>
      <c r="B302" s="63" t="s">
        <v>486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88</v>
      </c>
      <c r="L302" s="37" t="s">
        <v>45</v>
      </c>
      <c r="M302" s="38" t="s">
        <v>83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487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488</v>
      </c>
      <c r="B303" s="63" t="s">
        <v>489</v>
      </c>
      <c r="C303" s="36">
        <v>4301031066</v>
      </c>
      <c r="D303" s="623">
        <v>4607091383836</v>
      </c>
      <c r="E303" s="623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84</v>
      </c>
      <c r="L303" s="37" t="s">
        <v>45</v>
      </c>
      <c r="M303" s="38" t="s">
        <v>83</v>
      </c>
      <c r="N303" s="38"/>
      <c r="O303" s="37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31"/>
      <c r="B304" s="631"/>
      <c r="C304" s="631"/>
      <c r="D304" s="631"/>
      <c r="E304" s="631"/>
      <c r="F304" s="631"/>
      <c r="G304" s="631"/>
      <c r="H304" s="631"/>
      <c r="I304" s="631"/>
      <c r="J304" s="631"/>
      <c r="K304" s="631"/>
      <c r="L304" s="631"/>
      <c r="M304" s="631"/>
      <c r="N304" s="631"/>
      <c r="O304" s="632"/>
      <c r="P304" s="628" t="s">
        <v>40</v>
      </c>
      <c r="Q304" s="629"/>
      <c r="R304" s="629"/>
      <c r="S304" s="629"/>
      <c r="T304" s="629"/>
      <c r="U304" s="629"/>
      <c r="V304" s="630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31"/>
      <c r="B305" s="631"/>
      <c r="C305" s="631"/>
      <c r="D305" s="631"/>
      <c r="E305" s="631"/>
      <c r="F305" s="631"/>
      <c r="G305" s="631"/>
      <c r="H305" s="631"/>
      <c r="I305" s="631"/>
      <c r="J305" s="631"/>
      <c r="K305" s="631"/>
      <c r="L305" s="631"/>
      <c r="M305" s="631"/>
      <c r="N305" s="631"/>
      <c r="O305" s="632"/>
      <c r="P305" s="628" t="s">
        <v>40</v>
      </c>
      <c r="Q305" s="629"/>
      <c r="R305" s="629"/>
      <c r="S305" s="629"/>
      <c r="T305" s="629"/>
      <c r="U305" s="629"/>
      <c r="V305" s="630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22" t="s">
        <v>89</v>
      </c>
      <c r="B306" s="622"/>
      <c r="C306" s="622"/>
      <c r="D306" s="622"/>
      <c r="E306" s="622"/>
      <c r="F306" s="622"/>
      <c r="G306" s="622"/>
      <c r="H306" s="622"/>
      <c r="I306" s="622"/>
      <c r="J306" s="622"/>
      <c r="K306" s="622"/>
      <c r="L306" s="622"/>
      <c r="M306" s="622"/>
      <c r="N306" s="622"/>
      <c r="O306" s="622"/>
      <c r="P306" s="622"/>
      <c r="Q306" s="622"/>
      <c r="R306" s="622"/>
      <c r="S306" s="622"/>
      <c r="T306" s="622"/>
      <c r="U306" s="622"/>
      <c r="V306" s="622"/>
      <c r="W306" s="622"/>
      <c r="X306" s="622"/>
      <c r="Y306" s="622"/>
      <c r="Z306" s="622"/>
      <c r="AA306" s="66"/>
      <c r="AB306" s="66"/>
      <c r="AC306" s="80"/>
    </row>
    <row r="307" spans="1:68" ht="27" customHeight="1" x14ac:dyDescent="0.25">
      <c r="A307" s="63" t="s">
        <v>491</v>
      </c>
      <c r="B307" s="63" t="s">
        <v>492</v>
      </c>
      <c r="C307" s="36">
        <v>4301051100</v>
      </c>
      <c r="D307" s="623">
        <v>4607091387766</v>
      </c>
      <c r="E307" s="623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119</v>
      </c>
      <c r="L307" s="37" t="s">
        <v>45</v>
      </c>
      <c r="M307" s="38" t="s">
        <v>93</v>
      </c>
      <c r="N307" s="38"/>
      <c r="O307" s="37">
        <v>40</v>
      </c>
      <c r="P307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493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494</v>
      </c>
      <c r="B308" s="63" t="s">
        <v>495</v>
      </c>
      <c r="C308" s="36">
        <v>4301051818</v>
      </c>
      <c r="D308" s="623">
        <v>4607091387957</v>
      </c>
      <c r="E308" s="623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119</v>
      </c>
      <c r="L308" s="37" t="s">
        <v>45</v>
      </c>
      <c r="M308" s="38" t="s">
        <v>93</v>
      </c>
      <c r="N308" s="38"/>
      <c r="O308" s="37">
        <v>40</v>
      </c>
      <c r="P308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4301051819</v>
      </c>
      <c r="D309" s="623">
        <v>4607091387964</v>
      </c>
      <c r="E309" s="623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119</v>
      </c>
      <c r="L309" s="37" t="s">
        <v>45</v>
      </c>
      <c r="M309" s="38" t="s">
        <v>93</v>
      </c>
      <c r="N309" s="38"/>
      <c r="O309" s="37">
        <v>40</v>
      </c>
      <c r="P309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4301051734</v>
      </c>
      <c r="D310" s="623">
        <v>4680115884588</v>
      </c>
      <c r="E310" s="623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84</v>
      </c>
      <c r="L310" s="37" t="s">
        <v>45</v>
      </c>
      <c r="M310" s="38" t="s">
        <v>93</v>
      </c>
      <c r="N310" s="38"/>
      <c r="O310" s="37">
        <v>40</v>
      </c>
      <c r="P310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1"/>
      <c r="B312" s="631"/>
      <c r="C312" s="631"/>
      <c r="D312" s="631"/>
      <c r="E312" s="631"/>
      <c r="F312" s="631"/>
      <c r="G312" s="631"/>
      <c r="H312" s="631"/>
      <c r="I312" s="631"/>
      <c r="J312" s="631"/>
      <c r="K312" s="631"/>
      <c r="L312" s="631"/>
      <c r="M312" s="631"/>
      <c r="N312" s="631"/>
      <c r="O312" s="632"/>
      <c r="P312" s="628" t="s">
        <v>40</v>
      </c>
      <c r="Q312" s="629"/>
      <c r="R312" s="629"/>
      <c r="S312" s="629"/>
      <c r="T312" s="629"/>
      <c r="U312" s="629"/>
      <c r="V312" s="630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2" t="s">
        <v>175</v>
      </c>
      <c r="B313" s="622"/>
      <c r="C313" s="622"/>
      <c r="D313" s="622"/>
      <c r="E313" s="622"/>
      <c r="F313" s="622"/>
      <c r="G313" s="622"/>
      <c r="H313" s="622"/>
      <c r="I313" s="622"/>
      <c r="J313" s="622"/>
      <c r="K313" s="622"/>
      <c r="L313" s="622"/>
      <c r="M313" s="622"/>
      <c r="N313" s="622"/>
      <c r="O313" s="622"/>
      <c r="P313" s="622"/>
      <c r="Q313" s="622"/>
      <c r="R313" s="622"/>
      <c r="S313" s="622"/>
      <c r="T313" s="622"/>
      <c r="U313" s="622"/>
      <c r="V313" s="622"/>
      <c r="W313" s="622"/>
      <c r="X313" s="622"/>
      <c r="Y313" s="622"/>
      <c r="Z313" s="622"/>
      <c r="AA313" s="66"/>
      <c r="AB313" s="66"/>
      <c r="AC313" s="80"/>
    </row>
    <row r="314" spans="1:68" ht="27" customHeight="1" x14ac:dyDescent="0.25">
      <c r="A314" s="63" t="s">
        <v>503</v>
      </c>
      <c r="B314" s="63" t="s">
        <v>504</v>
      </c>
      <c r="C314" s="36">
        <v>4301060387</v>
      </c>
      <c r="D314" s="623">
        <v>4607091380880</v>
      </c>
      <c r="E314" s="623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119</v>
      </c>
      <c r="L314" s="37" t="s">
        <v>45</v>
      </c>
      <c r="M314" s="38" t="s">
        <v>93</v>
      </c>
      <c r="N314" s="38"/>
      <c r="O314" s="37">
        <v>30</v>
      </c>
      <c r="P314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505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506</v>
      </c>
      <c r="B315" s="63" t="s">
        <v>507</v>
      </c>
      <c r="C315" s="36">
        <v>4301060406</v>
      </c>
      <c r="D315" s="623">
        <v>4607091384482</v>
      </c>
      <c r="E315" s="62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45</v>
      </c>
      <c r="M315" s="38" t="s">
        <v>93</v>
      </c>
      <c r="N315" s="38"/>
      <c r="O315" s="37">
        <v>30</v>
      </c>
      <c r="P315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509</v>
      </c>
      <c r="B316" s="63" t="s">
        <v>510</v>
      </c>
      <c r="C316" s="36">
        <v>4301060484</v>
      </c>
      <c r="D316" s="623">
        <v>4607091380897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119</v>
      </c>
      <c r="L316" s="37" t="s">
        <v>45</v>
      </c>
      <c r="M316" s="38" t="s">
        <v>100</v>
      </c>
      <c r="N316" s="38"/>
      <c r="O316" s="37">
        <v>30</v>
      </c>
      <c r="P316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106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512</v>
      </c>
      <c r="B320" s="63" t="s">
        <v>513</v>
      </c>
      <c r="C320" s="36">
        <v>4301030235</v>
      </c>
      <c r="D320" s="623">
        <v>4607091388381</v>
      </c>
      <c r="E320" s="623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122</v>
      </c>
      <c r="L320" s="37" t="s">
        <v>45</v>
      </c>
      <c r="M320" s="38" t="s">
        <v>111</v>
      </c>
      <c r="N320" s="38"/>
      <c r="O320" s="37">
        <v>180</v>
      </c>
      <c r="P320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514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515</v>
      </c>
      <c r="B321" s="63" t="s">
        <v>516</v>
      </c>
      <c r="C321" s="36">
        <v>4301030232</v>
      </c>
      <c r="D321" s="623">
        <v>4607091388374</v>
      </c>
      <c r="E321" s="623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122</v>
      </c>
      <c r="L321" s="37" t="s">
        <v>45</v>
      </c>
      <c r="M321" s="38" t="s">
        <v>111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514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517</v>
      </c>
      <c r="B322" s="63" t="s">
        <v>518</v>
      </c>
      <c r="C322" s="36">
        <v>4301032015</v>
      </c>
      <c r="D322" s="623">
        <v>4607091383102</v>
      </c>
      <c r="E322" s="623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84</v>
      </c>
      <c r="L322" s="37" t="s">
        <v>45</v>
      </c>
      <c r="M322" s="38" t="s">
        <v>111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4301030233</v>
      </c>
      <c r="D323" s="623">
        <v>4607091388404</v>
      </c>
      <c r="E323" s="623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84</v>
      </c>
      <c r="L323" s="37" t="s">
        <v>45</v>
      </c>
      <c r="M323" s="38" t="s">
        <v>111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514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1"/>
      <c r="B325" s="631"/>
      <c r="C325" s="631"/>
      <c r="D325" s="631"/>
      <c r="E325" s="631"/>
      <c r="F325" s="631"/>
      <c r="G325" s="631"/>
      <c r="H325" s="631"/>
      <c r="I325" s="631"/>
      <c r="J325" s="631"/>
      <c r="K325" s="631"/>
      <c r="L325" s="631"/>
      <c r="M325" s="631"/>
      <c r="N325" s="631"/>
      <c r="O325" s="632"/>
      <c r="P325" s="628" t="s">
        <v>40</v>
      </c>
      <c r="Q325" s="629"/>
      <c r="R325" s="629"/>
      <c r="S325" s="629"/>
      <c r="T325" s="629"/>
      <c r="U325" s="629"/>
      <c r="V325" s="630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2" t="s">
        <v>522</v>
      </c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2"/>
      <c r="P326" s="622"/>
      <c r="Q326" s="622"/>
      <c r="R326" s="622"/>
      <c r="S326" s="622"/>
      <c r="T326" s="622"/>
      <c r="U326" s="622"/>
      <c r="V326" s="622"/>
      <c r="W326" s="622"/>
      <c r="X326" s="622"/>
      <c r="Y326" s="622"/>
      <c r="Z326" s="622"/>
      <c r="AA326" s="66"/>
      <c r="AB326" s="66"/>
      <c r="AC326" s="80"/>
    </row>
    <row r="327" spans="1:68" ht="16.5" customHeight="1" x14ac:dyDescent="0.25">
      <c r="A327" s="63" t="s">
        <v>523</v>
      </c>
      <c r="B327" s="63" t="s">
        <v>524</v>
      </c>
      <c r="C327" s="36">
        <v>4301180007</v>
      </c>
      <c r="D327" s="623">
        <v>4680115881808</v>
      </c>
      <c r="E327" s="623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84</v>
      </c>
      <c r="L327" s="37" t="s">
        <v>45</v>
      </c>
      <c r="M327" s="38" t="s">
        <v>526</v>
      </c>
      <c r="N327" s="38"/>
      <c r="O327" s="37">
        <v>730</v>
      </c>
      <c r="P327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525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527</v>
      </c>
      <c r="B328" s="63" t="s">
        <v>528</v>
      </c>
      <c r="C328" s="36">
        <v>4301180006</v>
      </c>
      <c r="D328" s="623">
        <v>4680115881822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45</v>
      </c>
      <c r="M328" s="38" t="s">
        <v>526</v>
      </c>
      <c r="N328" s="38"/>
      <c r="O328" s="37">
        <v>730</v>
      </c>
      <c r="P328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525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529</v>
      </c>
      <c r="B329" s="63" t="s">
        <v>530</v>
      </c>
      <c r="C329" s="36">
        <v>4301180001</v>
      </c>
      <c r="D329" s="623">
        <v>4680115880016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45</v>
      </c>
      <c r="M329" s="38" t="s">
        <v>526</v>
      </c>
      <c r="N329" s="38"/>
      <c r="O329" s="37">
        <v>730</v>
      </c>
      <c r="P329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525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21" t="s">
        <v>531</v>
      </c>
      <c r="B332" s="621"/>
      <c r="C332" s="621"/>
      <c r="D332" s="621"/>
      <c r="E332" s="621"/>
      <c r="F332" s="621"/>
      <c r="G332" s="621"/>
      <c r="H332" s="621"/>
      <c r="I332" s="621"/>
      <c r="J332" s="621"/>
      <c r="K332" s="621"/>
      <c r="L332" s="621"/>
      <c r="M332" s="621"/>
      <c r="N332" s="621"/>
      <c r="O332" s="621"/>
      <c r="P332" s="621"/>
      <c r="Q332" s="621"/>
      <c r="R332" s="621"/>
      <c r="S332" s="621"/>
      <c r="T332" s="621"/>
      <c r="U332" s="621"/>
      <c r="V332" s="621"/>
      <c r="W332" s="621"/>
      <c r="X332" s="621"/>
      <c r="Y332" s="621"/>
      <c r="Z332" s="621"/>
      <c r="AA332" s="65"/>
      <c r="AB332" s="65"/>
      <c r="AC332" s="79"/>
    </row>
    <row r="333" spans="1:68" ht="14.25" customHeight="1" x14ac:dyDescent="0.25">
      <c r="A333" s="622" t="s">
        <v>89</v>
      </c>
      <c r="B333" s="622"/>
      <c r="C333" s="622"/>
      <c r="D333" s="622"/>
      <c r="E333" s="622"/>
      <c r="F333" s="622"/>
      <c r="G333" s="622"/>
      <c r="H333" s="622"/>
      <c r="I333" s="622"/>
      <c r="J333" s="622"/>
      <c r="K333" s="622"/>
      <c r="L333" s="622"/>
      <c r="M333" s="622"/>
      <c r="N333" s="622"/>
      <c r="O333" s="622"/>
      <c r="P333" s="622"/>
      <c r="Q333" s="622"/>
      <c r="R333" s="622"/>
      <c r="S333" s="622"/>
      <c r="T333" s="622"/>
      <c r="U333" s="622"/>
      <c r="V333" s="622"/>
      <c r="W333" s="622"/>
      <c r="X333" s="622"/>
      <c r="Y333" s="622"/>
      <c r="Z333" s="622"/>
      <c r="AA333" s="66"/>
      <c r="AB333" s="66"/>
      <c r="AC333" s="80"/>
    </row>
    <row r="334" spans="1:68" ht="27" customHeight="1" x14ac:dyDescent="0.25">
      <c r="A334" s="63" t="s">
        <v>532</v>
      </c>
      <c r="B334" s="63" t="s">
        <v>533</v>
      </c>
      <c r="C334" s="36">
        <v>4301051489</v>
      </c>
      <c r="D334" s="623">
        <v>4607091387919</v>
      </c>
      <c r="E334" s="623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119</v>
      </c>
      <c r="L334" s="37" t="s">
        <v>45</v>
      </c>
      <c r="M334" s="38" t="s">
        <v>100</v>
      </c>
      <c r="N334" s="38"/>
      <c r="O334" s="37">
        <v>45</v>
      </c>
      <c r="P334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534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535</v>
      </c>
      <c r="B335" s="63" t="s">
        <v>536</v>
      </c>
      <c r="C335" s="36">
        <v>4301051461</v>
      </c>
      <c r="D335" s="623">
        <v>4680115883604</v>
      </c>
      <c r="E335" s="623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84</v>
      </c>
      <c r="L335" s="37" t="s">
        <v>227</v>
      </c>
      <c r="M335" s="38" t="s">
        <v>93</v>
      </c>
      <c r="N335" s="38"/>
      <c r="O335" s="37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210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4301051864</v>
      </c>
      <c r="D336" s="623">
        <v>4680115883567</v>
      </c>
      <c r="E336" s="623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84</v>
      </c>
      <c r="L336" s="37" t="s">
        <v>227</v>
      </c>
      <c r="M336" s="38" t="s">
        <v>100</v>
      </c>
      <c r="N336" s="38"/>
      <c r="O336" s="37">
        <v>40</v>
      </c>
      <c r="P336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210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1"/>
      <c r="B338" s="631"/>
      <c r="C338" s="631"/>
      <c r="D338" s="631"/>
      <c r="E338" s="631"/>
      <c r="F338" s="631"/>
      <c r="G338" s="631"/>
      <c r="H338" s="631"/>
      <c r="I338" s="631"/>
      <c r="J338" s="631"/>
      <c r="K338" s="631"/>
      <c r="L338" s="631"/>
      <c r="M338" s="631"/>
      <c r="N338" s="631"/>
      <c r="O338" s="632"/>
      <c r="P338" s="628" t="s">
        <v>40</v>
      </c>
      <c r="Q338" s="629"/>
      <c r="R338" s="629"/>
      <c r="S338" s="629"/>
      <c r="T338" s="629"/>
      <c r="U338" s="629"/>
      <c r="V338" s="630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20" t="s">
        <v>541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54"/>
      <c r="AB339" s="54"/>
      <c r="AC339" s="54"/>
    </row>
    <row r="340" spans="1:68" ht="16.5" customHeight="1" x14ac:dyDescent="0.25">
      <c r="A340" s="621" t="s">
        <v>542</v>
      </c>
      <c r="B340" s="621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621"/>
      <c r="P340" s="621"/>
      <c r="Q340" s="621"/>
      <c r="R340" s="621"/>
      <c r="S340" s="621"/>
      <c r="T340" s="621"/>
      <c r="U340" s="621"/>
      <c r="V340" s="621"/>
      <c r="W340" s="621"/>
      <c r="X340" s="621"/>
      <c r="Y340" s="621"/>
      <c r="Z340" s="621"/>
      <c r="AA340" s="65"/>
      <c r="AB340" s="65"/>
      <c r="AC340" s="79"/>
    </row>
    <row r="341" spans="1:68" ht="14.25" customHeight="1" x14ac:dyDescent="0.25">
      <c r="A341" s="622" t="s">
        <v>114</v>
      </c>
      <c r="B341" s="622"/>
      <c r="C341" s="622"/>
      <c r="D341" s="622"/>
      <c r="E341" s="622"/>
      <c r="F341" s="622"/>
      <c r="G341" s="622"/>
      <c r="H341" s="622"/>
      <c r="I341" s="622"/>
      <c r="J341" s="622"/>
      <c r="K341" s="622"/>
      <c r="L341" s="622"/>
      <c r="M341" s="622"/>
      <c r="N341" s="622"/>
      <c r="O341" s="622"/>
      <c r="P341" s="622"/>
      <c r="Q341" s="622"/>
      <c r="R341" s="622"/>
      <c r="S341" s="622"/>
      <c r="T341" s="622"/>
      <c r="U341" s="622"/>
      <c r="V341" s="622"/>
      <c r="W341" s="622"/>
      <c r="X341" s="622"/>
      <c r="Y341" s="622"/>
      <c r="Z341" s="622"/>
      <c r="AA341" s="66"/>
      <c r="AB341" s="66"/>
      <c r="AC341" s="80"/>
    </row>
    <row r="342" spans="1:68" ht="37.5" customHeight="1" x14ac:dyDescent="0.25">
      <c r="A342" s="63" t="s">
        <v>543</v>
      </c>
      <c r="B342" s="63" t="s">
        <v>544</v>
      </c>
      <c r="C342" s="36">
        <v>4301011869</v>
      </c>
      <c r="D342" s="623">
        <v>4680115884847</v>
      </c>
      <c r="E342" s="623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119</v>
      </c>
      <c r="L342" s="37" t="s">
        <v>45</v>
      </c>
      <c r="M342" s="38" t="s">
        <v>83</v>
      </c>
      <c r="N342" s="38"/>
      <c r="O342" s="37">
        <v>60</v>
      </c>
      <c r="P342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545</v>
      </c>
      <c r="AG342" s="78"/>
      <c r="AJ342" s="84" t="s">
        <v>45</v>
      </c>
      <c r="AK342" s="84">
        <v>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546</v>
      </c>
      <c r="B343" s="63" t="s">
        <v>547</v>
      </c>
      <c r="C343" s="36">
        <v>4301011870</v>
      </c>
      <c r="D343" s="623">
        <v>4680115884854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119</v>
      </c>
      <c r="L343" s="37" t="s">
        <v>45</v>
      </c>
      <c r="M343" s="38" t="s">
        <v>83</v>
      </c>
      <c r="N343" s="38"/>
      <c r="O343" s="37">
        <v>60</v>
      </c>
      <c r="P343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45</v>
      </c>
      <c r="AK343" s="84">
        <v>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549</v>
      </c>
      <c r="B344" s="63" t="s">
        <v>550</v>
      </c>
      <c r="C344" s="36">
        <v>4301011867</v>
      </c>
      <c r="D344" s="623">
        <v>4680115884830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119</v>
      </c>
      <c r="L344" s="37" t="s">
        <v>45</v>
      </c>
      <c r="M344" s="38" t="s">
        <v>83</v>
      </c>
      <c r="N344" s="38"/>
      <c r="O344" s="37">
        <v>60</v>
      </c>
      <c r="P344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552</v>
      </c>
      <c r="B345" s="63" t="s">
        <v>553</v>
      </c>
      <c r="C345" s="36">
        <v>4301012215</v>
      </c>
      <c r="D345" s="623">
        <v>4680115887046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119</v>
      </c>
      <c r="L345" s="37" t="s">
        <v>45</v>
      </c>
      <c r="M345" s="38" t="s">
        <v>100</v>
      </c>
      <c r="N345" s="38"/>
      <c r="O345" s="37">
        <v>60</v>
      </c>
      <c r="P345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555</v>
      </c>
      <c r="B346" s="63" t="s">
        <v>556</v>
      </c>
      <c r="C346" s="36">
        <v>4301011433</v>
      </c>
      <c r="D346" s="623">
        <v>4680115882638</v>
      </c>
      <c r="E346" s="623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122</v>
      </c>
      <c r="L346" s="37" t="s">
        <v>45</v>
      </c>
      <c r="M346" s="38" t="s">
        <v>118</v>
      </c>
      <c r="N346" s="38"/>
      <c r="O346" s="37">
        <v>90</v>
      </c>
      <c r="P346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4301011952</v>
      </c>
      <c r="D347" s="623">
        <v>4680115884922</v>
      </c>
      <c r="E347" s="623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122</v>
      </c>
      <c r="L347" s="37" t="s">
        <v>45</v>
      </c>
      <c r="M347" s="38" t="s">
        <v>83</v>
      </c>
      <c r="N347" s="38"/>
      <c r="O347" s="37">
        <v>60</v>
      </c>
      <c r="P347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548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560</v>
      </c>
      <c r="B348" s="63" t="s">
        <v>561</v>
      </c>
      <c r="C348" s="36">
        <v>4301011868</v>
      </c>
      <c r="D348" s="623">
        <v>4680115884861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122</v>
      </c>
      <c r="L348" s="37" t="s">
        <v>45</v>
      </c>
      <c r="M348" s="38" t="s">
        <v>83</v>
      </c>
      <c r="N348" s="38"/>
      <c r="O348" s="37">
        <v>60</v>
      </c>
      <c r="P348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31"/>
      <c r="B349" s="631"/>
      <c r="C349" s="631"/>
      <c r="D349" s="631"/>
      <c r="E349" s="631"/>
      <c r="F349" s="631"/>
      <c r="G349" s="631"/>
      <c r="H349" s="631"/>
      <c r="I349" s="631"/>
      <c r="J349" s="631"/>
      <c r="K349" s="631"/>
      <c r="L349" s="631"/>
      <c r="M349" s="631"/>
      <c r="N349" s="631"/>
      <c r="O349" s="632"/>
      <c r="P349" s="628" t="s">
        <v>40</v>
      </c>
      <c r="Q349" s="629"/>
      <c r="R349" s="629"/>
      <c r="S349" s="629"/>
      <c r="T349" s="629"/>
      <c r="U349" s="629"/>
      <c r="V349" s="630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1"/>
      <c r="B350" s="631"/>
      <c r="C350" s="631"/>
      <c r="D350" s="631"/>
      <c r="E350" s="631"/>
      <c r="F350" s="631"/>
      <c r="G350" s="631"/>
      <c r="H350" s="631"/>
      <c r="I350" s="631"/>
      <c r="J350" s="631"/>
      <c r="K350" s="631"/>
      <c r="L350" s="631"/>
      <c r="M350" s="631"/>
      <c r="N350" s="631"/>
      <c r="O350" s="632"/>
      <c r="P350" s="628" t="s">
        <v>40</v>
      </c>
      <c r="Q350" s="629"/>
      <c r="R350" s="629"/>
      <c r="S350" s="629"/>
      <c r="T350" s="629"/>
      <c r="U350" s="629"/>
      <c r="V350" s="630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2" t="s">
        <v>147</v>
      </c>
      <c r="B351" s="622"/>
      <c r="C351" s="622"/>
      <c r="D351" s="622"/>
      <c r="E351" s="622"/>
      <c r="F351" s="622"/>
      <c r="G351" s="622"/>
      <c r="H351" s="622"/>
      <c r="I351" s="622"/>
      <c r="J351" s="622"/>
      <c r="K351" s="622"/>
      <c r="L351" s="622"/>
      <c r="M351" s="622"/>
      <c r="N351" s="622"/>
      <c r="O351" s="622"/>
      <c r="P351" s="622"/>
      <c r="Q351" s="622"/>
      <c r="R351" s="622"/>
      <c r="S351" s="622"/>
      <c r="T351" s="622"/>
      <c r="U351" s="622"/>
      <c r="V351" s="622"/>
      <c r="W351" s="622"/>
      <c r="X351" s="622"/>
      <c r="Y351" s="622"/>
      <c r="Z351" s="622"/>
      <c r="AA351" s="66"/>
      <c r="AB351" s="66"/>
      <c r="AC351" s="80"/>
    </row>
    <row r="352" spans="1:68" ht="27" customHeight="1" x14ac:dyDescent="0.25">
      <c r="A352" s="63" t="s">
        <v>562</v>
      </c>
      <c r="B352" s="63" t="s">
        <v>563</v>
      </c>
      <c r="C352" s="36">
        <v>4301020178</v>
      </c>
      <c r="D352" s="623">
        <v>4607091383980</v>
      </c>
      <c r="E352" s="62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118</v>
      </c>
      <c r="N352" s="38"/>
      <c r="O352" s="37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564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565</v>
      </c>
      <c r="B353" s="63" t="s">
        <v>566</v>
      </c>
      <c r="C353" s="36">
        <v>4301020179</v>
      </c>
      <c r="D353" s="623">
        <v>4607091384178</v>
      </c>
      <c r="E353" s="62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122</v>
      </c>
      <c r="L353" s="37" t="s">
        <v>45</v>
      </c>
      <c r="M353" s="38" t="s">
        <v>118</v>
      </c>
      <c r="N353" s="38"/>
      <c r="O353" s="37">
        <v>50</v>
      </c>
      <c r="P353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31"/>
      <c r="B354" s="631"/>
      <c r="C354" s="631"/>
      <c r="D354" s="631"/>
      <c r="E354" s="631"/>
      <c r="F354" s="631"/>
      <c r="G354" s="631"/>
      <c r="H354" s="631"/>
      <c r="I354" s="631"/>
      <c r="J354" s="631"/>
      <c r="K354" s="631"/>
      <c r="L354" s="631"/>
      <c r="M354" s="631"/>
      <c r="N354" s="631"/>
      <c r="O354" s="632"/>
      <c r="P354" s="628" t="s">
        <v>40</v>
      </c>
      <c r="Q354" s="629"/>
      <c r="R354" s="629"/>
      <c r="S354" s="629"/>
      <c r="T354" s="629"/>
      <c r="U354" s="629"/>
      <c r="V354" s="6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2" t="s">
        <v>89</v>
      </c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2"/>
      <c r="P356" s="622"/>
      <c r="Q356" s="622"/>
      <c r="R356" s="622"/>
      <c r="S356" s="622"/>
      <c r="T356" s="622"/>
      <c r="U356" s="622"/>
      <c r="V356" s="622"/>
      <c r="W356" s="622"/>
      <c r="X356" s="622"/>
      <c r="Y356" s="622"/>
      <c r="Z356" s="622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23">
        <v>4607091383928</v>
      </c>
      <c r="E357" s="623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119</v>
      </c>
      <c r="L357" s="37" t="s">
        <v>45</v>
      </c>
      <c r="M357" s="38" t="s">
        <v>93</v>
      </c>
      <c r="N357" s="38"/>
      <c r="O357" s="37">
        <v>40</v>
      </c>
      <c r="P357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5"/>
      <c r="R357" s="625"/>
      <c r="S357" s="625"/>
      <c r="T357" s="62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23">
        <v>4607091384260</v>
      </c>
      <c r="E358" s="623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119</v>
      </c>
      <c r="L358" s="37" t="s">
        <v>45</v>
      </c>
      <c r="M358" s="38" t="s">
        <v>93</v>
      </c>
      <c r="N358" s="38"/>
      <c r="O358" s="37">
        <v>40</v>
      </c>
      <c r="P358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1"/>
      <c r="B359" s="631"/>
      <c r="C359" s="631"/>
      <c r="D359" s="631"/>
      <c r="E359" s="631"/>
      <c r="F359" s="631"/>
      <c r="G359" s="631"/>
      <c r="H359" s="631"/>
      <c r="I359" s="631"/>
      <c r="J359" s="631"/>
      <c r="K359" s="631"/>
      <c r="L359" s="631"/>
      <c r="M359" s="631"/>
      <c r="N359" s="631"/>
      <c r="O359" s="632"/>
      <c r="P359" s="628" t="s">
        <v>40</v>
      </c>
      <c r="Q359" s="629"/>
      <c r="R359" s="629"/>
      <c r="S359" s="629"/>
      <c r="T359" s="629"/>
      <c r="U359" s="629"/>
      <c r="V359" s="63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2" t="s">
        <v>175</v>
      </c>
      <c r="B361" s="622"/>
      <c r="C361" s="622"/>
      <c r="D361" s="622"/>
      <c r="E361" s="622"/>
      <c r="F361" s="622"/>
      <c r="G361" s="622"/>
      <c r="H361" s="622"/>
      <c r="I361" s="622"/>
      <c r="J361" s="622"/>
      <c r="K361" s="622"/>
      <c r="L361" s="622"/>
      <c r="M361" s="622"/>
      <c r="N361" s="622"/>
      <c r="O361" s="622"/>
      <c r="P361" s="622"/>
      <c r="Q361" s="622"/>
      <c r="R361" s="622"/>
      <c r="S361" s="622"/>
      <c r="T361" s="622"/>
      <c r="U361" s="622"/>
      <c r="V361" s="622"/>
      <c r="W361" s="622"/>
      <c r="X361" s="622"/>
      <c r="Y361" s="622"/>
      <c r="Z361" s="622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23">
        <v>4607091384673</v>
      </c>
      <c r="E362" s="62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119</v>
      </c>
      <c r="L362" s="37" t="s">
        <v>45</v>
      </c>
      <c r="M362" s="38" t="s">
        <v>93</v>
      </c>
      <c r="N362" s="38"/>
      <c r="O362" s="37">
        <v>40</v>
      </c>
      <c r="P362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5"/>
      <c r="R362" s="625"/>
      <c r="S362" s="625"/>
      <c r="T362" s="62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1"/>
      <c r="B363" s="631"/>
      <c r="C363" s="631"/>
      <c r="D363" s="631"/>
      <c r="E363" s="631"/>
      <c r="F363" s="631"/>
      <c r="G363" s="631"/>
      <c r="H363" s="631"/>
      <c r="I363" s="631"/>
      <c r="J363" s="631"/>
      <c r="K363" s="631"/>
      <c r="L363" s="631"/>
      <c r="M363" s="631"/>
      <c r="N363" s="631"/>
      <c r="O363" s="632"/>
      <c r="P363" s="628" t="s">
        <v>40</v>
      </c>
      <c r="Q363" s="629"/>
      <c r="R363" s="629"/>
      <c r="S363" s="629"/>
      <c r="T363" s="629"/>
      <c r="U363" s="629"/>
      <c r="V363" s="630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31"/>
      <c r="B364" s="631"/>
      <c r="C364" s="631"/>
      <c r="D364" s="631"/>
      <c r="E364" s="631"/>
      <c r="F364" s="631"/>
      <c r="G364" s="631"/>
      <c r="H364" s="631"/>
      <c r="I364" s="631"/>
      <c r="J364" s="631"/>
      <c r="K364" s="631"/>
      <c r="L364" s="631"/>
      <c r="M364" s="631"/>
      <c r="N364" s="631"/>
      <c r="O364" s="632"/>
      <c r="P364" s="628" t="s">
        <v>40</v>
      </c>
      <c r="Q364" s="629"/>
      <c r="R364" s="629"/>
      <c r="S364" s="629"/>
      <c r="T364" s="629"/>
      <c r="U364" s="629"/>
      <c r="V364" s="630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21" t="s">
        <v>577</v>
      </c>
      <c r="B365" s="621"/>
      <c r="C365" s="621"/>
      <c r="D365" s="621"/>
      <c r="E365" s="621"/>
      <c r="F365" s="621"/>
      <c r="G365" s="621"/>
      <c r="H365" s="621"/>
      <c r="I365" s="621"/>
      <c r="J365" s="621"/>
      <c r="K365" s="621"/>
      <c r="L365" s="621"/>
      <c r="M365" s="621"/>
      <c r="N365" s="621"/>
      <c r="O365" s="621"/>
      <c r="P365" s="621"/>
      <c r="Q365" s="621"/>
      <c r="R365" s="621"/>
      <c r="S365" s="621"/>
      <c r="T365" s="621"/>
      <c r="U365" s="621"/>
      <c r="V365" s="621"/>
      <c r="W365" s="621"/>
      <c r="X365" s="621"/>
      <c r="Y365" s="621"/>
      <c r="Z365" s="621"/>
      <c r="AA365" s="65"/>
      <c r="AB365" s="65"/>
      <c r="AC365" s="79"/>
    </row>
    <row r="366" spans="1:68" ht="14.25" customHeight="1" x14ac:dyDescent="0.25">
      <c r="A366" s="622" t="s">
        <v>114</v>
      </c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2"/>
      <c r="P366" s="622"/>
      <c r="Q366" s="622"/>
      <c r="R366" s="622"/>
      <c r="S366" s="622"/>
      <c r="T366" s="622"/>
      <c r="U366" s="622"/>
      <c r="V366" s="622"/>
      <c r="W366" s="622"/>
      <c r="X366" s="622"/>
      <c r="Y366" s="622"/>
      <c r="Z366" s="622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23">
        <v>4680115884885</v>
      </c>
      <c r="E367" s="623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119</v>
      </c>
      <c r="L367" s="37" t="s">
        <v>45</v>
      </c>
      <c r="M367" s="38" t="s">
        <v>83</v>
      </c>
      <c r="N367" s="38"/>
      <c r="O367" s="37">
        <v>60</v>
      </c>
      <c r="P367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5"/>
      <c r="R367" s="625"/>
      <c r="S367" s="625"/>
      <c r="T367" s="626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23">
        <v>4680115884908</v>
      </c>
      <c r="E368" s="62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122</v>
      </c>
      <c r="L368" s="37" t="s">
        <v>45</v>
      </c>
      <c r="M368" s="38" t="s">
        <v>83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2" t="s">
        <v>78</v>
      </c>
      <c r="B371" s="622"/>
      <c r="C371" s="622"/>
      <c r="D371" s="622"/>
      <c r="E371" s="622"/>
      <c r="F371" s="622"/>
      <c r="G371" s="622"/>
      <c r="H371" s="622"/>
      <c r="I371" s="622"/>
      <c r="J371" s="622"/>
      <c r="K371" s="622"/>
      <c r="L371" s="622"/>
      <c r="M371" s="622"/>
      <c r="N371" s="622"/>
      <c r="O371" s="622"/>
      <c r="P371" s="622"/>
      <c r="Q371" s="622"/>
      <c r="R371" s="622"/>
      <c r="S371" s="622"/>
      <c r="T371" s="622"/>
      <c r="U371" s="622"/>
      <c r="V371" s="622"/>
      <c r="W371" s="622"/>
      <c r="X371" s="622"/>
      <c r="Y371" s="622"/>
      <c r="Z371" s="622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23">
        <v>4607091384802</v>
      </c>
      <c r="E372" s="623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122</v>
      </c>
      <c r="L372" s="37" t="s">
        <v>45</v>
      </c>
      <c r="M372" s="38" t="s">
        <v>83</v>
      </c>
      <c r="N372" s="38"/>
      <c r="O372" s="37">
        <v>35</v>
      </c>
      <c r="P372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5"/>
      <c r="R372" s="625"/>
      <c r="S372" s="625"/>
      <c r="T372" s="626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23">
        <v>4607091384802</v>
      </c>
      <c r="E373" s="62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122</v>
      </c>
      <c r="L373" s="37" t="s">
        <v>45</v>
      </c>
      <c r="M373" s="38" t="s">
        <v>83</v>
      </c>
      <c r="N373" s="38"/>
      <c r="O373" s="37">
        <v>50</v>
      </c>
      <c r="P373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1"/>
      <c r="B374" s="631"/>
      <c r="C374" s="631"/>
      <c r="D374" s="631"/>
      <c r="E374" s="631"/>
      <c r="F374" s="631"/>
      <c r="G374" s="631"/>
      <c r="H374" s="631"/>
      <c r="I374" s="631"/>
      <c r="J374" s="631"/>
      <c r="K374" s="631"/>
      <c r="L374" s="631"/>
      <c r="M374" s="631"/>
      <c r="N374" s="631"/>
      <c r="O374" s="632"/>
      <c r="P374" s="628" t="s">
        <v>40</v>
      </c>
      <c r="Q374" s="629"/>
      <c r="R374" s="629"/>
      <c r="S374" s="629"/>
      <c r="T374" s="629"/>
      <c r="U374" s="629"/>
      <c r="V374" s="630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2" t="s">
        <v>89</v>
      </c>
      <c r="B376" s="622"/>
      <c r="C376" s="622"/>
      <c r="D376" s="622"/>
      <c r="E376" s="622"/>
      <c r="F376" s="622"/>
      <c r="G376" s="622"/>
      <c r="H376" s="622"/>
      <c r="I376" s="622"/>
      <c r="J376" s="622"/>
      <c r="K376" s="622"/>
      <c r="L376" s="622"/>
      <c r="M376" s="622"/>
      <c r="N376" s="622"/>
      <c r="O376" s="622"/>
      <c r="P376" s="622"/>
      <c r="Q376" s="622"/>
      <c r="R376" s="622"/>
      <c r="S376" s="622"/>
      <c r="T376" s="622"/>
      <c r="U376" s="622"/>
      <c r="V376" s="622"/>
      <c r="W376" s="622"/>
      <c r="X376" s="622"/>
      <c r="Y376" s="622"/>
      <c r="Z376" s="622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23">
        <v>4607091384246</v>
      </c>
      <c r="E377" s="623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119</v>
      </c>
      <c r="L377" s="37" t="s">
        <v>45</v>
      </c>
      <c r="M377" s="38" t="s">
        <v>93</v>
      </c>
      <c r="N377" s="38"/>
      <c r="O377" s="37">
        <v>40</v>
      </c>
      <c r="P377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5"/>
      <c r="R377" s="625"/>
      <c r="S377" s="625"/>
      <c r="T377" s="626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45</v>
      </c>
      <c r="AK377" s="84">
        <v>0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23">
        <v>4607091384253</v>
      </c>
      <c r="E378" s="623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84</v>
      </c>
      <c r="L378" s="37" t="s">
        <v>45</v>
      </c>
      <c r="M378" s="38" t="s">
        <v>93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591</v>
      </c>
      <c r="B379" s="63" t="s">
        <v>593</v>
      </c>
      <c r="C379" s="36">
        <v>4301052069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45</v>
      </c>
      <c r="M379" s="38" t="s">
        <v>93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594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31"/>
      <c r="B381" s="631"/>
      <c r="C381" s="631"/>
      <c r="D381" s="631"/>
      <c r="E381" s="631"/>
      <c r="F381" s="631"/>
      <c r="G381" s="631"/>
      <c r="H381" s="631"/>
      <c r="I381" s="631"/>
      <c r="J381" s="631"/>
      <c r="K381" s="631"/>
      <c r="L381" s="631"/>
      <c r="M381" s="631"/>
      <c r="N381" s="631"/>
      <c r="O381" s="632"/>
      <c r="P381" s="628" t="s">
        <v>40</v>
      </c>
      <c r="Q381" s="629"/>
      <c r="R381" s="629"/>
      <c r="S381" s="629"/>
      <c r="T381" s="629"/>
      <c r="U381" s="629"/>
      <c r="V381" s="630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20" t="s">
        <v>595</v>
      </c>
      <c r="B382" s="620"/>
      <c r="C382" s="620"/>
      <c r="D382" s="620"/>
      <c r="E382" s="620"/>
      <c r="F382" s="620"/>
      <c r="G382" s="620"/>
      <c r="H382" s="620"/>
      <c r="I382" s="620"/>
      <c r="J382" s="620"/>
      <c r="K382" s="620"/>
      <c r="L382" s="620"/>
      <c r="M382" s="620"/>
      <c r="N382" s="620"/>
      <c r="O382" s="620"/>
      <c r="P382" s="620"/>
      <c r="Q382" s="620"/>
      <c r="R382" s="620"/>
      <c r="S382" s="620"/>
      <c r="T382" s="620"/>
      <c r="U382" s="620"/>
      <c r="V382" s="620"/>
      <c r="W382" s="620"/>
      <c r="X382" s="620"/>
      <c r="Y382" s="620"/>
      <c r="Z382" s="620"/>
      <c r="AA382" s="54"/>
      <c r="AB382" s="54"/>
      <c r="AC382" s="54"/>
    </row>
    <row r="383" spans="1:68" ht="16.5" customHeight="1" x14ac:dyDescent="0.25">
      <c r="A383" s="621" t="s">
        <v>596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5"/>
      <c r="AB383" s="65"/>
      <c r="AC383" s="79"/>
    </row>
    <row r="384" spans="1:68" ht="14.25" customHeight="1" x14ac:dyDescent="0.25">
      <c r="A384" s="622" t="s">
        <v>78</v>
      </c>
      <c r="B384" s="622"/>
      <c r="C384" s="622"/>
      <c r="D384" s="622"/>
      <c r="E384" s="622"/>
      <c r="F384" s="622"/>
      <c r="G384" s="622"/>
      <c r="H384" s="622"/>
      <c r="I384" s="622"/>
      <c r="J384" s="622"/>
      <c r="K384" s="622"/>
      <c r="L384" s="622"/>
      <c r="M384" s="622"/>
      <c r="N384" s="622"/>
      <c r="O384" s="622"/>
      <c r="P384" s="622"/>
      <c r="Q384" s="622"/>
      <c r="R384" s="622"/>
      <c r="S384" s="622"/>
      <c r="T384" s="622"/>
      <c r="U384" s="622"/>
      <c r="V384" s="622"/>
      <c r="W384" s="622"/>
      <c r="X384" s="622"/>
      <c r="Y384" s="622"/>
      <c r="Z384" s="622"/>
      <c r="AA384" s="66"/>
      <c r="AB384" s="66"/>
      <c r="AC384" s="80"/>
    </row>
    <row r="385" spans="1:68" ht="27" customHeight="1" x14ac:dyDescent="0.25">
      <c r="A385" s="63" t="s">
        <v>597</v>
      </c>
      <c r="B385" s="63" t="s">
        <v>598</v>
      </c>
      <c r="C385" s="36">
        <v>4301031405</v>
      </c>
      <c r="D385" s="623">
        <v>4680115886100</v>
      </c>
      <c r="E385" s="623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122</v>
      </c>
      <c r="L385" s="37" t="s">
        <v>45</v>
      </c>
      <c r="M385" s="38" t="s">
        <v>83</v>
      </c>
      <c r="N385" s="38"/>
      <c r="O385" s="37">
        <v>50</v>
      </c>
      <c r="P385" s="8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5"/>
      <c r="R385" s="625"/>
      <c r="S385" s="625"/>
      <c r="T385" s="626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599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600</v>
      </c>
      <c r="B386" s="63" t="s">
        <v>601</v>
      </c>
      <c r="C386" s="36">
        <v>4301031406</v>
      </c>
      <c r="D386" s="623">
        <v>4680115886117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122</v>
      </c>
      <c r="L386" s="37" t="s">
        <v>45</v>
      </c>
      <c r="M386" s="38" t="s">
        <v>83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602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603</v>
      </c>
      <c r="B387" s="63" t="s">
        <v>604</v>
      </c>
      <c r="C387" s="36">
        <v>4301031402</v>
      </c>
      <c r="D387" s="623">
        <v>4680115886124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122</v>
      </c>
      <c r="L387" s="37" t="s">
        <v>45</v>
      </c>
      <c r="M387" s="38" t="s">
        <v>83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605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4301031366</v>
      </c>
      <c r="D388" s="623">
        <v>4680115883147</v>
      </c>
      <c r="E388" s="623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88</v>
      </c>
      <c r="L388" s="37" t="s">
        <v>45</v>
      </c>
      <c r="M388" s="38" t="s">
        <v>83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599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608</v>
      </c>
      <c r="B389" s="63" t="s">
        <v>609</v>
      </c>
      <c r="C389" s="36">
        <v>4301031362</v>
      </c>
      <c r="D389" s="623">
        <v>4607091384338</v>
      </c>
      <c r="E389" s="623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88</v>
      </c>
      <c r="L389" s="37" t="s">
        <v>45</v>
      </c>
      <c r="M389" s="38" t="s">
        <v>83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599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610</v>
      </c>
      <c r="B390" s="63" t="s">
        <v>611</v>
      </c>
      <c r="C390" s="36">
        <v>4301031361</v>
      </c>
      <c r="D390" s="623">
        <v>4607091389524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45</v>
      </c>
      <c r="M390" s="38" t="s">
        <v>83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612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613</v>
      </c>
      <c r="B391" s="63" t="s">
        <v>614</v>
      </c>
      <c r="C391" s="36">
        <v>4301031364</v>
      </c>
      <c r="D391" s="623">
        <v>4680115883161</v>
      </c>
      <c r="E391" s="623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615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616</v>
      </c>
      <c r="B392" s="63" t="s">
        <v>617</v>
      </c>
      <c r="C392" s="36">
        <v>4301031358</v>
      </c>
      <c r="D392" s="623">
        <v>4607091389531</v>
      </c>
      <c r="E392" s="623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88</v>
      </c>
      <c r="L392" s="37" t="s">
        <v>45</v>
      </c>
      <c r="M392" s="38" t="s">
        <v>83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618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619</v>
      </c>
      <c r="B393" s="63" t="s">
        <v>620</v>
      </c>
      <c r="C393" s="36">
        <v>4301031360</v>
      </c>
      <c r="D393" s="623">
        <v>4607091384345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31"/>
      <c r="B394" s="631"/>
      <c r="C394" s="631"/>
      <c r="D394" s="631"/>
      <c r="E394" s="631"/>
      <c r="F394" s="631"/>
      <c r="G394" s="631"/>
      <c r="H394" s="631"/>
      <c r="I394" s="631"/>
      <c r="J394" s="631"/>
      <c r="K394" s="631"/>
      <c r="L394" s="631"/>
      <c r="M394" s="631"/>
      <c r="N394" s="631"/>
      <c r="O394" s="632"/>
      <c r="P394" s="628" t="s">
        <v>40</v>
      </c>
      <c r="Q394" s="629"/>
      <c r="R394" s="629"/>
      <c r="S394" s="629"/>
      <c r="T394" s="629"/>
      <c r="U394" s="629"/>
      <c r="V394" s="630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31"/>
      <c r="B395" s="631"/>
      <c r="C395" s="631"/>
      <c r="D395" s="631"/>
      <c r="E395" s="631"/>
      <c r="F395" s="631"/>
      <c r="G395" s="631"/>
      <c r="H395" s="631"/>
      <c r="I395" s="631"/>
      <c r="J395" s="631"/>
      <c r="K395" s="631"/>
      <c r="L395" s="631"/>
      <c r="M395" s="631"/>
      <c r="N395" s="631"/>
      <c r="O395" s="632"/>
      <c r="P395" s="628" t="s">
        <v>40</v>
      </c>
      <c r="Q395" s="629"/>
      <c r="R395" s="629"/>
      <c r="S395" s="629"/>
      <c r="T395" s="629"/>
      <c r="U395" s="629"/>
      <c r="V395" s="630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2" t="s">
        <v>89</v>
      </c>
      <c r="B396" s="622"/>
      <c r="C396" s="622"/>
      <c r="D396" s="622"/>
      <c r="E396" s="622"/>
      <c r="F396" s="622"/>
      <c r="G396" s="622"/>
      <c r="H396" s="622"/>
      <c r="I396" s="622"/>
      <c r="J396" s="622"/>
      <c r="K396" s="622"/>
      <c r="L396" s="622"/>
      <c r="M396" s="622"/>
      <c r="N396" s="622"/>
      <c r="O396" s="622"/>
      <c r="P396" s="622"/>
      <c r="Q396" s="622"/>
      <c r="R396" s="622"/>
      <c r="S396" s="622"/>
      <c r="T396" s="622"/>
      <c r="U396" s="622"/>
      <c r="V396" s="622"/>
      <c r="W396" s="622"/>
      <c r="X396" s="622"/>
      <c r="Y396" s="622"/>
      <c r="Z396" s="622"/>
      <c r="AA396" s="66"/>
      <c r="AB396" s="66"/>
      <c r="AC396" s="80"/>
    </row>
    <row r="397" spans="1:68" ht="27" customHeight="1" x14ac:dyDescent="0.25">
      <c r="A397" s="63" t="s">
        <v>621</v>
      </c>
      <c r="B397" s="63" t="s">
        <v>622</v>
      </c>
      <c r="C397" s="36">
        <v>4301051284</v>
      </c>
      <c r="D397" s="623">
        <v>4607091384352</v>
      </c>
      <c r="E397" s="623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122</v>
      </c>
      <c r="L397" s="37" t="s">
        <v>45</v>
      </c>
      <c r="M397" s="38" t="s">
        <v>93</v>
      </c>
      <c r="N397" s="38"/>
      <c r="O397" s="37">
        <v>45</v>
      </c>
      <c r="P397" s="8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623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624</v>
      </c>
      <c r="B398" s="63" t="s">
        <v>625</v>
      </c>
      <c r="C398" s="36">
        <v>4301051431</v>
      </c>
      <c r="D398" s="623">
        <v>4607091389654</v>
      </c>
      <c r="E398" s="623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84</v>
      </c>
      <c r="L398" s="37" t="s">
        <v>45</v>
      </c>
      <c r="M398" s="38" t="s">
        <v>93</v>
      </c>
      <c r="N398" s="38"/>
      <c r="O398" s="37">
        <v>45</v>
      </c>
      <c r="P398" s="8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626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1" t="s">
        <v>627</v>
      </c>
      <c r="B401" s="621"/>
      <c r="C401" s="621"/>
      <c r="D401" s="621"/>
      <c r="E401" s="621"/>
      <c r="F401" s="621"/>
      <c r="G401" s="621"/>
      <c r="H401" s="621"/>
      <c r="I401" s="621"/>
      <c r="J401" s="621"/>
      <c r="K401" s="621"/>
      <c r="L401" s="621"/>
      <c r="M401" s="621"/>
      <c r="N401" s="621"/>
      <c r="O401" s="621"/>
      <c r="P401" s="621"/>
      <c r="Q401" s="621"/>
      <c r="R401" s="621"/>
      <c r="S401" s="621"/>
      <c r="T401" s="621"/>
      <c r="U401" s="621"/>
      <c r="V401" s="621"/>
      <c r="W401" s="621"/>
      <c r="X401" s="621"/>
      <c r="Y401" s="621"/>
      <c r="Z401" s="621"/>
      <c r="AA401" s="65"/>
      <c r="AB401" s="65"/>
      <c r="AC401" s="79"/>
    </row>
    <row r="402" spans="1:68" ht="14.25" customHeight="1" x14ac:dyDescent="0.25">
      <c r="A402" s="622" t="s">
        <v>147</v>
      </c>
      <c r="B402" s="622"/>
      <c r="C402" s="622"/>
      <c r="D402" s="622"/>
      <c r="E402" s="622"/>
      <c r="F402" s="622"/>
      <c r="G402" s="622"/>
      <c r="H402" s="622"/>
      <c r="I402" s="622"/>
      <c r="J402" s="622"/>
      <c r="K402" s="622"/>
      <c r="L402" s="622"/>
      <c r="M402" s="622"/>
      <c r="N402" s="622"/>
      <c r="O402" s="622"/>
      <c r="P402" s="622"/>
      <c r="Q402" s="622"/>
      <c r="R402" s="622"/>
      <c r="S402" s="622"/>
      <c r="T402" s="622"/>
      <c r="U402" s="622"/>
      <c r="V402" s="622"/>
      <c r="W402" s="622"/>
      <c r="X402" s="622"/>
      <c r="Y402" s="622"/>
      <c r="Z402" s="622"/>
      <c r="AA402" s="66"/>
      <c r="AB402" s="66"/>
      <c r="AC402" s="80"/>
    </row>
    <row r="403" spans="1:68" ht="27" customHeight="1" x14ac:dyDescent="0.25">
      <c r="A403" s="63" t="s">
        <v>628</v>
      </c>
      <c r="B403" s="63" t="s">
        <v>629</v>
      </c>
      <c r="C403" s="36">
        <v>4301020319</v>
      </c>
      <c r="D403" s="623">
        <v>4680115885240</v>
      </c>
      <c r="E403" s="623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84</v>
      </c>
      <c r="L403" s="37" t="s">
        <v>45</v>
      </c>
      <c r="M403" s="38" t="s">
        <v>83</v>
      </c>
      <c r="N403" s="38"/>
      <c r="O403" s="37">
        <v>40</v>
      </c>
      <c r="P403" s="8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630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2" t="s">
        <v>78</v>
      </c>
      <c r="B406" s="622"/>
      <c r="C406" s="622"/>
      <c r="D406" s="622"/>
      <c r="E406" s="622"/>
      <c r="F406" s="622"/>
      <c r="G406" s="622"/>
      <c r="H406" s="622"/>
      <c r="I406" s="622"/>
      <c r="J406" s="622"/>
      <c r="K406" s="622"/>
      <c r="L406" s="622"/>
      <c r="M406" s="622"/>
      <c r="N406" s="622"/>
      <c r="O406" s="622"/>
      <c r="P406" s="622"/>
      <c r="Q406" s="622"/>
      <c r="R406" s="622"/>
      <c r="S406" s="622"/>
      <c r="T406" s="622"/>
      <c r="U406" s="622"/>
      <c r="V406" s="622"/>
      <c r="W406" s="622"/>
      <c r="X406" s="622"/>
      <c r="Y406" s="622"/>
      <c r="Z406" s="622"/>
      <c r="AA406" s="66"/>
      <c r="AB406" s="66"/>
      <c r="AC406" s="80"/>
    </row>
    <row r="407" spans="1:68" ht="27" customHeight="1" x14ac:dyDescent="0.25">
      <c r="A407" s="63" t="s">
        <v>631</v>
      </c>
      <c r="B407" s="63" t="s">
        <v>632</v>
      </c>
      <c r="C407" s="36">
        <v>4301031403</v>
      </c>
      <c r="D407" s="623">
        <v>4680115886094</v>
      </c>
      <c r="E407" s="623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122</v>
      </c>
      <c r="L407" s="37" t="s">
        <v>45</v>
      </c>
      <c r="M407" s="38" t="s">
        <v>118</v>
      </c>
      <c r="N407" s="38"/>
      <c r="O407" s="37">
        <v>50</v>
      </c>
      <c r="P407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5"/>
      <c r="R407" s="625"/>
      <c r="S407" s="625"/>
      <c r="T407" s="626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633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634</v>
      </c>
      <c r="B408" s="63" t="s">
        <v>635</v>
      </c>
      <c r="C408" s="36">
        <v>4301031363</v>
      </c>
      <c r="D408" s="623">
        <v>4607091389425</v>
      </c>
      <c r="E408" s="623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88</v>
      </c>
      <c r="L408" s="37" t="s">
        <v>45</v>
      </c>
      <c r="M408" s="38" t="s">
        <v>83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636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637</v>
      </c>
      <c r="B409" s="63" t="s">
        <v>638</v>
      </c>
      <c r="C409" s="36">
        <v>4301031373</v>
      </c>
      <c r="D409" s="623">
        <v>4680115880771</v>
      </c>
      <c r="E409" s="623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639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640</v>
      </c>
      <c r="B410" s="63" t="s">
        <v>641</v>
      </c>
      <c r="C410" s="36">
        <v>4301031359</v>
      </c>
      <c r="D410" s="623">
        <v>4607091389500</v>
      </c>
      <c r="E410" s="623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88</v>
      </c>
      <c r="L410" s="37" t="s">
        <v>333</v>
      </c>
      <c r="M410" s="38" t="s">
        <v>83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639</v>
      </c>
      <c r="AG410" s="78"/>
      <c r="AJ410" s="84" t="s">
        <v>210</v>
      </c>
      <c r="AK410" s="84">
        <v>37.799999999999997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1"/>
      <c r="B411" s="631"/>
      <c r="C411" s="631"/>
      <c r="D411" s="631"/>
      <c r="E411" s="631"/>
      <c r="F411" s="631"/>
      <c r="G411" s="631"/>
      <c r="H411" s="631"/>
      <c r="I411" s="631"/>
      <c r="J411" s="631"/>
      <c r="K411" s="631"/>
      <c r="L411" s="631"/>
      <c r="M411" s="631"/>
      <c r="N411" s="631"/>
      <c r="O411" s="632"/>
      <c r="P411" s="628" t="s">
        <v>40</v>
      </c>
      <c r="Q411" s="629"/>
      <c r="R411" s="629"/>
      <c r="S411" s="629"/>
      <c r="T411" s="629"/>
      <c r="U411" s="629"/>
      <c r="V411" s="630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31"/>
      <c r="B412" s="631"/>
      <c r="C412" s="631"/>
      <c r="D412" s="631"/>
      <c r="E412" s="631"/>
      <c r="F412" s="631"/>
      <c r="G412" s="631"/>
      <c r="H412" s="631"/>
      <c r="I412" s="631"/>
      <c r="J412" s="631"/>
      <c r="K412" s="631"/>
      <c r="L412" s="631"/>
      <c r="M412" s="631"/>
      <c r="N412" s="631"/>
      <c r="O412" s="632"/>
      <c r="P412" s="628" t="s">
        <v>40</v>
      </c>
      <c r="Q412" s="629"/>
      <c r="R412" s="629"/>
      <c r="S412" s="629"/>
      <c r="T412" s="629"/>
      <c r="U412" s="629"/>
      <c r="V412" s="630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1" t="s">
        <v>642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5"/>
      <c r="AB413" s="65"/>
      <c r="AC413" s="79"/>
    </row>
    <row r="414" spans="1:68" ht="14.25" customHeight="1" x14ac:dyDescent="0.25">
      <c r="A414" s="622" t="s">
        <v>78</v>
      </c>
      <c r="B414" s="622"/>
      <c r="C414" s="622"/>
      <c r="D414" s="622"/>
      <c r="E414" s="622"/>
      <c r="F414" s="622"/>
      <c r="G414" s="622"/>
      <c r="H414" s="622"/>
      <c r="I414" s="622"/>
      <c r="J414" s="622"/>
      <c r="K414" s="622"/>
      <c r="L414" s="622"/>
      <c r="M414" s="622"/>
      <c r="N414" s="622"/>
      <c r="O414" s="622"/>
      <c r="P414" s="622"/>
      <c r="Q414" s="622"/>
      <c r="R414" s="622"/>
      <c r="S414" s="622"/>
      <c r="T414" s="622"/>
      <c r="U414" s="622"/>
      <c r="V414" s="622"/>
      <c r="W414" s="622"/>
      <c r="X414" s="622"/>
      <c r="Y414" s="622"/>
      <c r="Z414" s="622"/>
      <c r="AA414" s="66"/>
      <c r="AB414" s="66"/>
      <c r="AC414" s="80"/>
    </row>
    <row r="415" spans="1:68" ht="27" customHeight="1" x14ac:dyDescent="0.25">
      <c r="A415" s="63" t="s">
        <v>643</v>
      </c>
      <c r="B415" s="63" t="s">
        <v>644</v>
      </c>
      <c r="C415" s="36">
        <v>4301031347</v>
      </c>
      <c r="D415" s="623">
        <v>4680115885110</v>
      </c>
      <c r="E415" s="623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84</v>
      </c>
      <c r="L415" s="37" t="s">
        <v>45</v>
      </c>
      <c r="M415" s="38" t="s">
        <v>83</v>
      </c>
      <c r="N415" s="38"/>
      <c r="O415" s="37">
        <v>50</v>
      </c>
      <c r="P415" s="8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645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20" t="s">
        <v>646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54"/>
      <c r="AB418" s="54"/>
      <c r="AC418" s="54"/>
    </row>
    <row r="419" spans="1:68" ht="16.5" customHeight="1" x14ac:dyDescent="0.25">
      <c r="A419" s="621" t="s">
        <v>646</v>
      </c>
      <c r="B419" s="621"/>
      <c r="C419" s="621"/>
      <c r="D419" s="621"/>
      <c r="E419" s="621"/>
      <c r="F419" s="621"/>
      <c r="G419" s="621"/>
      <c r="H419" s="621"/>
      <c r="I419" s="621"/>
      <c r="J419" s="621"/>
      <c r="K419" s="621"/>
      <c r="L419" s="621"/>
      <c r="M419" s="621"/>
      <c r="N419" s="621"/>
      <c r="O419" s="621"/>
      <c r="P419" s="621"/>
      <c r="Q419" s="621"/>
      <c r="R419" s="621"/>
      <c r="S419" s="621"/>
      <c r="T419" s="621"/>
      <c r="U419" s="621"/>
      <c r="V419" s="621"/>
      <c r="W419" s="621"/>
      <c r="X419" s="621"/>
      <c r="Y419" s="621"/>
      <c r="Z419" s="621"/>
      <c r="AA419" s="65"/>
      <c r="AB419" s="65"/>
      <c r="AC419" s="79"/>
    </row>
    <row r="420" spans="1:68" ht="14.25" customHeight="1" x14ac:dyDescent="0.25">
      <c r="A420" s="622" t="s">
        <v>114</v>
      </c>
      <c r="B420" s="622"/>
      <c r="C420" s="622"/>
      <c r="D420" s="622"/>
      <c r="E420" s="622"/>
      <c r="F420" s="622"/>
      <c r="G420" s="622"/>
      <c r="H420" s="622"/>
      <c r="I420" s="622"/>
      <c r="J420" s="622"/>
      <c r="K420" s="622"/>
      <c r="L420" s="622"/>
      <c r="M420" s="622"/>
      <c r="N420" s="622"/>
      <c r="O420" s="622"/>
      <c r="P420" s="622"/>
      <c r="Q420" s="622"/>
      <c r="R420" s="622"/>
      <c r="S420" s="622"/>
      <c r="T420" s="622"/>
      <c r="U420" s="622"/>
      <c r="V420" s="622"/>
      <c r="W420" s="622"/>
      <c r="X420" s="622"/>
      <c r="Y420" s="622"/>
      <c r="Z420" s="622"/>
      <c r="AA420" s="66"/>
      <c r="AB420" s="66"/>
      <c r="AC420" s="80"/>
    </row>
    <row r="421" spans="1:68" ht="27" customHeight="1" x14ac:dyDescent="0.25">
      <c r="A421" s="63" t="s">
        <v>647</v>
      </c>
      <c r="B421" s="63" t="s">
        <v>648</v>
      </c>
      <c r="C421" s="36">
        <v>4301011795</v>
      </c>
      <c r="D421" s="623">
        <v>4607091389067</v>
      </c>
      <c r="E421" s="62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119</v>
      </c>
      <c r="L421" s="37" t="s">
        <v>45</v>
      </c>
      <c r="M421" s="38" t="s">
        <v>118</v>
      </c>
      <c r="N421" s="38"/>
      <c r="O421" s="37">
        <v>60</v>
      </c>
      <c r="P421" s="8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5"/>
      <c r="R421" s="625"/>
      <c r="S421" s="625"/>
      <c r="T421" s="626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2" si="42">IFERROR(IF(X421="",0,CEILING((X421/$H421),1)*$H421),"")</f>
        <v>0</v>
      </c>
      <c r="Z421" s="41" t="str">
        <f t="shared" ref="Z421:Z427" si="43">IFERROR(IF(Y421=0,"",ROUNDUP(Y421/H421,0)*0.01196),"")</f>
        <v/>
      </c>
      <c r="AA421" s="68" t="s">
        <v>45</v>
      </c>
      <c r="AB421" s="69" t="s">
        <v>45</v>
      </c>
      <c r="AC421" s="478" t="s">
        <v>117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2" si="44">IFERROR(X421*I421/H421,"0")</f>
        <v>0</v>
      </c>
      <c r="BN421" s="78">
        <f t="shared" ref="BN421:BN432" si="45">IFERROR(Y421*I421/H421,"0")</f>
        <v>0</v>
      </c>
      <c r="BO421" s="78">
        <f t="shared" ref="BO421:BO432" si="46">IFERROR(1/J421*(X421/H421),"0")</f>
        <v>0</v>
      </c>
      <c r="BP421" s="78">
        <f t="shared" ref="BP421:BP432" si="47">IFERROR(1/J421*(Y421/H421),"0")</f>
        <v>0</v>
      </c>
    </row>
    <row r="422" spans="1:68" ht="27" customHeight="1" x14ac:dyDescent="0.25">
      <c r="A422" s="63" t="s">
        <v>649</v>
      </c>
      <c r="B422" s="63" t="s">
        <v>650</v>
      </c>
      <c r="C422" s="36">
        <v>4301012145</v>
      </c>
      <c r="D422" s="623">
        <v>4607091383522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119</v>
      </c>
      <c r="L422" s="37" t="s">
        <v>45</v>
      </c>
      <c r="M422" s="38" t="s">
        <v>118</v>
      </c>
      <c r="N422" s="38"/>
      <c r="O422" s="37">
        <v>60</v>
      </c>
      <c r="P422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651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649</v>
      </c>
      <c r="B423" s="63" t="s">
        <v>652</v>
      </c>
      <c r="C423" s="36">
        <v>4301012210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119</v>
      </c>
      <c r="L423" s="37" t="s">
        <v>45</v>
      </c>
      <c r="M423" s="38" t="s">
        <v>118</v>
      </c>
      <c r="N423" s="38"/>
      <c r="O423" s="37">
        <v>60</v>
      </c>
      <c r="P423" s="829" t="s">
        <v>653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651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654</v>
      </c>
      <c r="B424" s="63" t="s">
        <v>655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119</v>
      </c>
      <c r="L424" s="37" t="s">
        <v>45</v>
      </c>
      <c r="M424" s="38" t="s">
        <v>118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656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657</v>
      </c>
      <c r="B425" s="63" t="s">
        <v>658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119</v>
      </c>
      <c r="L425" s="37" t="s">
        <v>45</v>
      </c>
      <c r="M425" s="38" t="s">
        <v>93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659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16.5" customHeight="1" x14ac:dyDescent="0.25">
      <c r="A426" s="63" t="s">
        <v>660</v>
      </c>
      <c r="B426" s="63" t="s">
        <v>661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119</v>
      </c>
      <c r="L426" s="37" t="s">
        <v>45</v>
      </c>
      <c r="M426" s="38" t="s">
        <v>118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663</v>
      </c>
      <c r="B427" s="63" t="s">
        <v>664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665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84</v>
      </c>
      <c r="L428" s="37" t="s">
        <v>45</v>
      </c>
      <c r="M428" s="38" t="s">
        <v>93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122</v>
      </c>
      <c r="L429" s="37" t="s">
        <v>45</v>
      </c>
      <c r="M429" s="38" t="s">
        <v>118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670</v>
      </c>
      <c r="B430" s="63" t="s">
        <v>671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122</v>
      </c>
      <c r="L430" s="37" t="s">
        <v>45</v>
      </c>
      <c r="M430" s="38" t="s">
        <v>118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656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672</v>
      </c>
      <c r="B431" s="63" t="s">
        <v>673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84</v>
      </c>
      <c r="L431" s="37" t="s">
        <v>45</v>
      </c>
      <c r="M431" s="38" t="s">
        <v>118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674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675</v>
      </c>
      <c r="B432" s="63" t="s">
        <v>676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122</v>
      </c>
      <c r="L432" s="37" t="s">
        <v>45</v>
      </c>
      <c r="M432" s="38" t="s">
        <v>118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665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x14ac:dyDescent="0.2">
      <c r="A433" s="631"/>
      <c r="B433" s="631"/>
      <c r="C433" s="631"/>
      <c r="D433" s="631"/>
      <c r="E433" s="631"/>
      <c r="F433" s="631"/>
      <c r="G433" s="631"/>
      <c r="H433" s="631"/>
      <c r="I433" s="631"/>
      <c r="J433" s="631"/>
      <c r="K433" s="631"/>
      <c r="L433" s="631"/>
      <c r="M433" s="631"/>
      <c r="N433" s="631"/>
      <c r="O433" s="632"/>
      <c r="P433" s="628" t="s">
        <v>40</v>
      </c>
      <c r="Q433" s="629"/>
      <c r="R433" s="629"/>
      <c r="S433" s="629"/>
      <c r="T433" s="629"/>
      <c r="U433" s="629"/>
      <c r="V433" s="630"/>
      <c r="W433" s="42" t="s">
        <v>39</v>
      </c>
      <c r="X433" s="43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1"/>
      <c r="B434" s="631"/>
      <c r="C434" s="631"/>
      <c r="D434" s="631"/>
      <c r="E434" s="631"/>
      <c r="F434" s="631"/>
      <c r="G434" s="631"/>
      <c r="H434" s="631"/>
      <c r="I434" s="631"/>
      <c r="J434" s="631"/>
      <c r="K434" s="631"/>
      <c r="L434" s="631"/>
      <c r="M434" s="631"/>
      <c r="N434" s="631"/>
      <c r="O434" s="632"/>
      <c r="P434" s="628" t="s">
        <v>40</v>
      </c>
      <c r="Q434" s="629"/>
      <c r="R434" s="629"/>
      <c r="S434" s="629"/>
      <c r="T434" s="629"/>
      <c r="U434" s="629"/>
      <c r="V434" s="630"/>
      <c r="W434" s="42" t="s">
        <v>0</v>
      </c>
      <c r="X434" s="43">
        <f>IFERROR(SUM(X421:X432),"0")</f>
        <v>0</v>
      </c>
      <c r="Y434" s="43">
        <f>IFERROR(SUM(Y421:Y432),"0")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147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677</v>
      </c>
      <c r="B436" s="63" t="s">
        <v>678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45</v>
      </c>
      <c r="M436" s="38" t="s">
        <v>93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679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680</v>
      </c>
      <c r="B437" s="63" t="s">
        <v>681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84</v>
      </c>
      <c r="L437" s="37" t="s">
        <v>45</v>
      </c>
      <c r="M437" s="38" t="s">
        <v>93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679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682</v>
      </c>
      <c r="B438" s="63" t="s">
        <v>683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679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  <c r="L440" s="631"/>
      <c r="M440" s="631"/>
      <c r="N440" s="631"/>
      <c r="O440" s="632"/>
      <c r="P440" s="628" t="s">
        <v>40</v>
      </c>
      <c r="Q440" s="629"/>
      <c r="R440" s="629"/>
      <c r="S440" s="629"/>
      <c r="T440" s="629"/>
      <c r="U440" s="629"/>
      <c r="V440" s="63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684</v>
      </c>
      <c r="B442" s="63" t="s">
        <v>685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118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48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686</v>
      </c>
      <c r="AG442" s="78"/>
      <c r="AJ442" s="84" t="s">
        <v>45</v>
      </c>
      <c r="AK442" s="84">
        <v>0</v>
      </c>
      <c r="BB442" s="509" t="s">
        <v>66</v>
      </c>
      <c r="BM442" s="78">
        <f t="shared" ref="BM442:BM447" si="49">IFERROR(X442*I442/H442,"0")</f>
        <v>0</v>
      </c>
      <c r="BN442" s="78">
        <f t="shared" ref="BN442:BN447" si="50">IFERROR(Y442*I442/H442,"0")</f>
        <v>0</v>
      </c>
      <c r="BO442" s="78">
        <f t="shared" ref="BO442:BO447" si="51">IFERROR(1/J442*(X442/H442),"0")</f>
        <v>0</v>
      </c>
      <c r="BP442" s="78">
        <f t="shared" ref="BP442:BP447" si="52">IFERROR(1/J442*(Y442/H442),"0")</f>
        <v>0</v>
      </c>
    </row>
    <row r="443" spans="1:68" ht="27" customHeight="1" x14ac:dyDescent="0.25">
      <c r="A443" s="63" t="s">
        <v>687</v>
      </c>
      <c r="B443" s="63" t="s">
        <v>688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45</v>
      </c>
      <c r="M443" s="38" t="s">
        <v>83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689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690</v>
      </c>
      <c r="B444" s="63" t="s">
        <v>691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119</v>
      </c>
      <c r="L444" s="37" t="s">
        <v>45</v>
      </c>
      <c r="M444" s="38" t="s">
        <v>83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692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122</v>
      </c>
      <c r="L445" s="37" t="s">
        <v>45</v>
      </c>
      <c r="M445" s="38" t="s">
        <v>118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686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695</v>
      </c>
      <c r="B446" s="63" t="s">
        <v>696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122</v>
      </c>
      <c r="L446" s="37" t="s">
        <v>45</v>
      </c>
      <c r="M446" s="38" t="s">
        <v>83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689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ht="27" customHeight="1" x14ac:dyDescent="0.25">
      <c r="A447" s="63" t="s">
        <v>697</v>
      </c>
      <c r="B447" s="63" t="s">
        <v>698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122</v>
      </c>
      <c r="L447" s="37" t="s">
        <v>45</v>
      </c>
      <c r="M447" s="38" t="s">
        <v>83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692</v>
      </c>
      <c r="AG447" s="78"/>
      <c r="AJ447" s="84" t="s">
        <v>45</v>
      </c>
      <c r="AK447" s="84">
        <v>0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x14ac:dyDescent="0.2">
      <c r="A448" s="631"/>
      <c r="B448" s="631"/>
      <c r="C448" s="631"/>
      <c r="D448" s="631"/>
      <c r="E448" s="631"/>
      <c r="F448" s="631"/>
      <c r="G448" s="631"/>
      <c r="H448" s="631"/>
      <c r="I448" s="631"/>
      <c r="J448" s="631"/>
      <c r="K448" s="631"/>
      <c r="L448" s="631"/>
      <c r="M448" s="631"/>
      <c r="N448" s="631"/>
      <c r="O448" s="632"/>
      <c r="P448" s="628" t="s">
        <v>40</v>
      </c>
      <c r="Q448" s="629"/>
      <c r="R448" s="629"/>
      <c r="S448" s="629"/>
      <c r="T448" s="629"/>
      <c r="U448" s="629"/>
      <c r="V448" s="630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1"/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2"/>
      <c r="P449" s="628" t="s">
        <v>40</v>
      </c>
      <c r="Q449" s="629"/>
      <c r="R449" s="629"/>
      <c r="S449" s="629"/>
      <c r="T449" s="629"/>
      <c r="U449" s="629"/>
      <c r="V449" s="630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89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700</v>
      </c>
      <c r="B451" s="63" t="s">
        <v>701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119</v>
      </c>
      <c r="L451" s="37" t="s">
        <v>45</v>
      </c>
      <c r="M451" s="38" t="s">
        <v>93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699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702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703</v>
      </c>
      <c r="B452" s="63" t="s">
        <v>704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119</v>
      </c>
      <c r="L452" s="37" t="s">
        <v>45</v>
      </c>
      <c r="M452" s="38" t="s">
        <v>93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699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705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706</v>
      </c>
      <c r="B453" s="63" t="s">
        <v>707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84</v>
      </c>
      <c r="L453" s="37" t="s">
        <v>45</v>
      </c>
      <c r="M453" s="38" t="s">
        <v>93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708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1"/>
      <c r="B455" s="631"/>
      <c r="C455" s="631"/>
      <c r="D455" s="631"/>
      <c r="E455" s="631"/>
      <c r="F455" s="631"/>
      <c r="G455" s="631"/>
      <c r="H455" s="631"/>
      <c r="I455" s="631"/>
      <c r="J455" s="631"/>
      <c r="K455" s="631"/>
      <c r="L455" s="631"/>
      <c r="M455" s="631"/>
      <c r="N455" s="631"/>
      <c r="O455" s="632"/>
      <c r="P455" s="628" t="s">
        <v>40</v>
      </c>
      <c r="Q455" s="629"/>
      <c r="R455" s="629"/>
      <c r="S455" s="629"/>
      <c r="T455" s="629"/>
      <c r="U455" s="629"/>
      <c r="V455" s="630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709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709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114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710</v>
      </c>
      <c r="B459" s="63" t="s">
        <v>711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119</v>
      </c>
      <c r="L459" s="37" t="s">
        <v>45</v>
      </c>
      <c r="M459" s="38" t="s">
        <v>93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712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713</v>
      </c>
      <c r="B460" s="63" t="s">
        <v>714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119</v>
      </c>
      <c r="L460" s="37" t="s">
        <v>45</v>
      </c>
      <c r="M460" s="38" t="s">
        <v>118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715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716</v>
      </c>
      <c r="B461" s="63" t="s">
        <v>717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718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719</v>
      </c>
      <c r="B462" s="63" t="s">
        <v>720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122</v>
      </c>
      <c r="L462" s="37" t="s">
        <v>45</v>
      </c>
      <c r="M462" s="38" t="s">
        <v>93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712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1"/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2"/>
      <c r="P464" s="628" t="s">
        <v>40</v>
      </c>
      <c r="Q464" s="629"/>
      <c r="R464" s="629"/>
      <c r="S464" s="629"/>
      <c r="T464" s="629"/>
      <c r="U464" s="629"/>
      <c r="V464" s="630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147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721</v>
      </c>
      <c r="B466" s="63" t="s">
        <v>722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45</v>
      </c>
      <c r="M466" s="38" t="s">
        <v>118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723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724</v>
      </c>
      <c r="B467" s="63" t="s">
        <v>725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726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727</v>
      </c>
      <c r="B468" s="63" t="s">
        <v>728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118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729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1"/>
      <c r="B469" s="631"/>
      <c r="C469" s="631"/>
      <c r="D469" s="631"/>
      <c r="E469" s="631"/>
      <c r="F469" s="631"/>
      <c r="G469" s="631"/>
      <c r="H469" s="631"/>
      <c r="I469" s="631"/>
      <c r="J469" s="631"/>
      <c r="K469" s="631"/>
      <c r="L469" s="631"/>
      <c r="M469" s="631"/>
      <c r="N469" s="631"/>
      <c r="O469" s="632"/>
      <c r="P469" s="628" t="s">
        <v>40</v>
      </c>
      <c r="Q469" s="629"/>
      <c r="R469" s="629"/>
      <c r="S469" s="629"/>
      <c r="T469" s="629"/>
      <c r="U469" s="629"/>
      <c r="V469" s="630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1"/>
      <c r="B470" s="631"/>
      <c r="C470" s="631"/>
      <c r="D470" s="631"/>
      <c r="E470" s="631"/>
      <c r="F470" s="631"/>
      <c r="G470" s="631"/>
      <c r="H470" s="631"/>
      <c r="I470" s="631"/>
      <c r="J470" s="631"/>
      <c r="K470" s="631"/>
      <c r="L470" s="631"/>
      <c r="M470" s="631"/>
      <c r="N470" s="631"/>
      <c r="O470" s="632"/>
      <c r="P470" s="628" t="s">
        <v>40</v>
      </c>
      <c r="Q470" s="629"/>
      <c r="R470" s="629"/>
      <c r="S470" s="629"/>
      <c r="T470" s="629"/>
      <c r="U470" s="629"/>
      <c r="V470" s="630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730</v>
      </c>
      <c r="B472" s="63" t="s">
        <v>731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122</v>
      </c>
      <c r="L472" s="37" t="s">
        <v>45</v>
      </c>
      <c r="M472" s="38" t="s">
        <v>83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732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733</v>
      </c>
      <c r="B473" s="63" t="s">
        <v>734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122</v>
      </c>
      <c r="L473" s="37" t="s">
        <v>45</v>
      </c>
      <c r="M473" s="38" t="s">
        <v>83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735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1"/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2"/>
      <c r="P474" s="628" t="s">
        <v>40</v>
      </c>
      <c r="Q474" s="629"/>
      <c r="R474" s="629"/>
      <c r="S474" s="629"/>
      <c r="T474" s="629"/>
      <c r="U474" s="629"/>
      <c r="V474" s="63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89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736</v>
      </c>
      <c r="B477" s="63" t="s">
        <v>737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119</v>
      </c>
      <c r="L477" s="37" t="s">
        <v>45</v>
      </c>
      <c r="M477" s="38" t="s">
        <v>100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738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1"/>
      <c r="B478" s="631"/>
      <c r="C478" s="631"/>
      <c r="D478" s="631"/>
      <c r="E478" s="631"/>
      <c r="F478" s="631"/>
      <c r="G478" s="631"/>
      <c r="H478" s="631"/>
      <c r="I478" s="631"/>
      <c r="J478" s="631"/>
      <c r="K478" s="631"/>
      <c r="L478" s="631"/>
      <c r="M478" s="631"/>
      <c r="N478" s="631"/>
      <c r="O478" s="632"/>
      <c r="P478" s="628" t="s">
        <v>40</v>
      </c>
      <c r="Q478" s="629"/>
      <c r="R478" s="629"/>
      <c r="S478" s="629"/>
      <c r="T478" s="629"/>
      <c r="U478" s="629"/>
      <c r="V478" s="630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1"/>
      <c r="B479" s="631"/>
      <c r="C479" s="631"/>
      <c r="D479" s="631"/>
      <c r="E479" s="631"/>
      <c r="F479" s="631"/>
      <c r="G479" s="631"/>
      <c r="H479" s="631"/>
      <c r="I479" s="631"/>
      <c r="J479" s="631"/>
      <c r="K479" s="631"/>
      <c r="L479" s="631"/>
      <c r="M479" s="631"/>
      <c r="N479" s="631"/>
      <c r="O479" s="632"/>
      <c r="P479" s="628" t="s">
        <v>40</v>
      </c>
      <c r="Q479" s="629"/>
      <c r="R479" s="629"/>
      <c r="S479" s="629"/>
      <c r="T479" s="629"/>
      <c r="U479" s="629"/>
      <c r="V479" s="630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175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739</v>
      </c>
      <c r="B481" s="63" t="s">
        <v>740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119</v>
      </c>
      <c r="L481" s="37" t="s">
        <v>45</v>
      </c>
      <c r="M481" s="38" t="s">
        <v>93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741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742</v>
      </c>
      <c r="B482" s="63" t="s">
        <v>743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119</v>
      </c>
      <c r="L482" s="37" t="s">
        <v>45</v>
      </c>
      <c r="M482" s="38" t="s">
        <v>93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744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1"/>
      <c r="B483" s="631"/>
      <c r="C483" s="631"/>
      <c r="D483" s="631"/>
      <c r="E483" s="631"/>
      <c r="F483" s="631"/>
      <c r="G483" s="631"/>
      <c r="H483" s="631"/>
      <c r="I483" s="631"/>
      <c r="J483" s="631"/>
      <c r="K483" s="631"/>
      <c r="L483" s="631"/>
      <c r="M483" s="631"/>
      <c r="N483" s="631"/>
      <c r="O483" s="632"/>
      <c r="P483" s="628" t="s">
        <v>40</v>
      </c>
      <c r="Q483" s="629"/>
      <c r="R483" s="629"/>
      <c r="S483" s="629"/>
      <c r="T483" s="629"/>
      <c r="U483" s="629"/>
      <c r="V483" s="63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1"/>
      <c r="B484" s="631"/>
      <c r="C484" s="631"/>
      <c r="D484" s="631"/>
      <c r="E484" s="631"/>
      <c r="F484" s="631"/>
      <c r="G484" s="631"/>
      <c r="H484" s="631"/>
      <c r="I484" s="631"/>
      <c r="J484" s="631"/>
      <c r="K484" s="631"/>
      <c r="L484" s="631"/>
      <c r="M484" s="631"/>
      <c r="N484" s="631"/>
      <c r="O484" s="632"/>
      <c r="P484" s="628" t="s">
        <v>40</v>
      </c>
      <c r="Q484" s="629"/>
      <c r="R484" s="629"/>
      <c r="S484" s="629"/>
      <c r="T484" s="629"/>
      <c r="U484" s="629"/>
      <c r="V484" s="63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745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147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746</v>
      </c>
      <c r="B487" s="63" t="s">
        <v>747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119</v>
      </c>
      <c r="L487" s="37" t="s">
        <v>45</v>
      </c>
      <c r="M487" s="38" t="s">
        <v>118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748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632"/>
      <c r="P488" s="628" t="s">
        <v>40</v>
      </c>
      <c r="Q488" s="629"/>
      <c r="R488" s="629"/>
      <c r="S488" s="629"/>
      <c r="T488" s="629"/>
      <c r="U488" s="629"/>
      <c r="V488" s="63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632"/>
      <c r="P489" s="628" t="s">
        <v>40</v>
      </c>
      <c r="Q489" s="629"/>
      <c r="R489" s="629"/>
      <c r="S489" s="629"/>
      <c r="T489" s="629"/>
      <c r="U489" s="629"/>
      <c r="V489" s="63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0</v>
      </c>
      <c r="Y490" s="43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1"/>
      <c r="B493" s="631"/>
      <c r="C493" s="631"/>
      <c r="D493" s="631"/>
      <c r="E493" s="631"/>
      <c r="F493" s="631"/>
      <c r="G493" s="631"/>
      <c r="H493" s="631"/>
      <c r="I493" s="631"/>
      <c r="J493" s="631"/>
      <c r="K493" s="631"/>
      <c r="L493" s="631"/>
      <c r="M493" s="631"/>
      <c r="N493" s="631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1"/>
      <c r="B494" s="631"/>
      <c r="C494" s="631"/>
      <c r="D494" s="631"/>
      <c r="E494" s="631"/>
      <c r="F494" s="631"/>
      <c r="G494" s="631"/>
      <c r="H494" s="631"/>
      <c r="I494" s="631"/>
      <c r="J494" s="631"/>
      <c r="K494" s="631"/>
      <c r="L494" s="631"/>
      <c r="M494" s="631"/>
      <c r="N494" s="631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0</v>
      </c>
      <c r="Y494" s="43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1"/>
      <c r="B495" s="631"/>
      <c r="C495" s="631"/>
      <c r="D495" s="631"/>
      <c r="E495" s="631"/>
      <c r="F495" s="631"/>
      <c r="G495" s="631"/>
      <c r="H495" s="631"/>
      <c r="I495" s="631"/>
      <c r="J495" s="631"/>
      <c r="K495" s="631"/>
      <c r="L495" s="631"/>
      <c r="M495" s="631"/>
      <c r="N495" s="631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112</v>
      </c>
      <c r="D497" s="870" t="s">
        <v>112</v>
      </c>
      <c r="E497" s="870" t="s">
        <v>112</v>
      </c>
      <c r="F497" s="870" t="s">
        <v>112</v>
      </c>
      <c r="G497" s="870" t="s">
        <v>112</v>
      </c>
      <c r="H497" s="870" t="s">
        <v>112</v>
      </c>
      <c r="I497" s="870" t="s">
        <v>264</v>
      </c>
      <c r="J497" s="870" t="s">
        <v>264</v>
      </c>
      <c r="K497" s="870" t="s">
        <v>264</v>
      </c>
      <c r="L497" s="870" t="s">
        <v>264</v>
      </c>
      <c r="M497" s="870" t="s">
        <v>264</v>
      </c>
      <c r="N497" s="871"/>
      <c r="O497" s="870" t="s">
        <v>264</v>
      </c>
      <c r="P497" s="870" t="s">
        <v>264</v>
      </c>
      <c r="Q497" s="870" t="s">
        <v>264</v>
      </c>
      <c r="R497" s="870" t="s">
        <v>264</v>
      </c>
      <c r="S497" s="870" t="s">
        <v>541</v>
      </c>
      <c r="T497" s="870" t="s">
        <v>541</v>
      </c>
      <c r="U497" s="870" t="s">
        <v>595</v>
      </c>
      <c r="V497" s="870" t="s">
        <v>595</v>
      </c>
      <c r="W497" s="870" t="s">
        <v>595</v>
      </c>
      <c r="X497" s="85" t="s">
        <v>646</v>
      </c>
      <c r="Y497" s="870" t="s">
        <v>709</v>
      </c>
      <c r="Z497" s="870" t="s">
        <v>709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113</v>
      </c>
      <c r="D498" s="870" t="s">
        <v>128</v>
      </c>
      <c r="E498" s="870" t="s">
        <v>182</v>
      </c>
      <c r="F498" s="870" t="s">
        <v>201</v>
      </c>
      <c r="G498" s="870" t="s">
        <v>234</v>
      </c>
      <c r="H498" s="870" t="s">
        <v>112</v>
      </c>
      <c r="I498" s="870" t="s">
        <v>265</v>
      </c>
      <c r="J498" s="870" t="s">
        <v>308</v>
      </c>
      <c r="K498" s="870" t="s">
        <v>368</v>
      </c>
      <c r="L498" s="870" t="s">
        <v>410</v>
      </c>
      <c r="M498" s="870" t="s">
        <v>426</v>
      </c>
      <c r="N498" s="1"/>
      <c r="O498" s="870" t="s">
        <v>437</v>
      </c>
      <c r="P498" s="870" t="s">
        <v>446</v>
      </c>
      <c r="Q498" s="870" t="s">
        <v>459</v>
      </c>
      <c r="R498" s="870" t="s">
        <v>531</v>
      </c>
      <c r="S498" s="870" t="s">
        <v>542</v>
      </c>
      <c r="T498" s="870" t="s">
        <v>577</v>
      </c>
      <c r="U498" s="870" t="s">
        <v>596</v>
      </c>
      <c r="V498" s="870" t="s">
        <v>627</v>
      </c>
      <c r="W498" s="870" t="s">
        <v>642</v>
      </c>
      <c r="X498" s="870" t="s">
        <v>646</v>
      </c>
      <c r="Y498" s="870" t="s">
        <v>709</v>
      </c>
      <c r="Z498" s="870" t="s">
        <v>745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IFERROR(Y22*1,"0")+IFERROR(Y23*1,"0")+IFERROR(Y27*1,"0")+IFERROR(Y28*1,"0")+IFERROR(Y29*1,"0")+IFERROR(Y30*1,"0")+IFERROR(Y31*1,"0")+IFERROR(Y35*1,"0")</f>
        <v>0</v>
      </c>
      <c r="C500" s="52">
        <f>IFERROR(Y41*1,"0")+IFERROR(Y42*1,"0")+IFERROR(Y43*1,"0")+IFERROR(Y47*1,"0")</f>
        <v>0</v>
      </c>
      <c r="D500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52">
        <f>IFERROR(Y86*1,"0")+IFERROR(Y87*1,"0")+IFERROR(Y88*1,"0")+IFERROR(Y92*1,"0")+IFERROR(Y93*1,"0")+IFERROR(Y94*1,"0")+IFERROR(Y95*1,"0")</f>
        <v>0</v>
      </c>
      <c r="F500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52">
        <f>IFERROR(Y125*1,"0")+IFERROR(Y126*1,"0")+IFERROR(Y130*1,"0")+IFERROR(Y131*1,"0")+IFERROR(Y135*1,"0")+IFERROR(Y136*1,"0")</f>
        <v>0</v>
      </c>
      <c r="H500" s="52">
        <f>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500" s="52">
        <f>IFERROR(Y334*1,"0")+IFERROR(Y335*1,"0")+IFERROR(Y336*1,"0")</f>
        <v>0</v>
      </c>
      <c r="S500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500" s="52">
        <f>IFERROR(Y367*1,"0")+IFERROR(Y368*1,"0")+IFERROR(Y372*1,"0")+IFERROR(Y373*1,"0")+IFERROR(Y377*1,"0")+IFERROR(Y378*1,"0")+IFERROR(Y379*1,"0")</f>
        <v>0</v>
      </c>
      <c r="U500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52">
        <f>IFERROR(Y403*1,"0")+IFERROR(Y407*1,"0")+IFERROR(Y408*1,"0")+IFERROR(Y409*1,"0")+IFERROR(Y410*1,"0")</f>
        <v>0</v>
      </c>
      <c r="W500" s="52">
        <f>IFERROR(Y415*1,"0")</f>
        <v>0</v>
      </c>
      <c r="X500" s="52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B6PcUGf8o2Htp7U5r0Ma88elos1ZxvUbQ0ImYBpV04j2SPvyteHV3fg89mvuYQGrSVn7Zx9tMEtTut9aLgOsBQ==" saltValue="IL0E3iCZNVQJCQzHRF3yX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2 X410 X335:X336 X212 X210 X200 X115" xr:uid="{00000000-0002-0000-0000-000011000000}">
      <formula1>IF(AK102&gt;0,OR(X102=0,AND(IF(X102-AK102&gt;=0,TRUE,FALSE),X102&gt;0,IF(X102/H102=ROUND(X102/H102,0),TRUE,FALSE))),FALSE)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752</v>
      </c>
      <c r="D6" s="53" t="s">
        <v>753</v>
      </c>
      <c r="E6" s="53" t="s">
        <v>45</v>
      </c>
    </row>
    <row r="8" spans="2:8" x14ac:dyDescent="0.2">
      <c r="B8" s="53" t="s">
        <v>76</v>
      </c>
      <c r="C8" s="53" t="s">
        <v>752</v>
      </c>
      <c r="D8" s="53" t="s">
        <v>45</v>
      </c>
      <c r="E8" s="53" t="s">
        <v>45</v>
      </c>
    </row>
    <row r="10" spans="2:8" x14ac:dyDescent="0.2">
      <c r="B10" s="53" t="s">
        <v>754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764</v>
      </c>
      <c r="C20" s="53" t="s">
        <v>45</v>
      </c>
      <c r="D20" s="53" t="s">
        <v>45</v>
      </c>
      <c r="E20" s="53" t="s">
        <v>45</v>
      </c>
    </row>
  </sheetData>
  <sheetProtection algorithmName="SHA-512" hashValue="w52zghYekSJ4yV92GZSnQwmOFLEFf50IDwQECrmoZVyPEgZQ/i1sN5UB0K2UsAhL2yrjHsbQVGmE84ustujaVg==" saltValue="GktCcTeKn063aNJZehab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