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138ADF1-E9C3-460D-9641-98FFCADEF8F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заказа'!$X$476:$X$476</definedName>
    <definedName name="GrossWeightTotalR">'Бланк заказа'!$Y$476:$Y$476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заказа'!$X$477:$X$477</definedName>
    <definedName name="PalletQtyTotalR">'Бланк заказа'!$Y$477:$Y$477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заказа'!$B$222:$B$222</definedName>
    <definedName name="ProductId105">'Бланк заказа'!$B$226:$B$226</definedName>
    <definedName name="ProductId106">'Бланк заказа'!$B$230:$B$230</definedName>
    <definedName name="ProductId107">'Бланк заказа'!$B$231:$B$231</definedName>
    <definedName name="ProductId108">'Бланк заказа'!$B$232:$B$232</definedName>
    <definedName name="ProductId109">'Бланк заказа'!$B$233:$B$233</definedName>
    <definedName name="ProductId11">'Бланк заказа'!$B$43:$B$43</definedName>
    <definedName name="ProductId110">'Бланк заказа'!$B$234:$B$234</definedName>
    <definedName name="ProductId111">'Бланк заказа'!$B$239:$B$239</definedName>
    <definedName name="ProductId112">'Бланк заказа'!$B$240:$B$240</definedName>
    <definedName name="ProductId113">'Бланк заказа'!$B$241:$B$241</definedName>
    <definedName name="ProductId114">'Бланк заказа'!$B$242:$B$242</definedName>
    <definedName name="ProductId115">'Бланк заказа'!$B$243:$B$243</definedName>
    <definedName name="ProductId116">'Бланк заказа'!$B$248:$B$248</definedName>
    <definedName name="ProductId117">'Бланк заказа'!$B$249:$B$249</definedName>
    <definedName name="ProductId118">'Бланк заказа'!$B$250:$B$250</definedName>
    <definedName name="ProductId119">'Бланк заказа'!$B$251:$B$251</definedName>
    <definedName name="ProductId12">'Бланк заказа'!$B$47:$B$47</definedName>
    <definedName name="ProductId120">'Бланк заказа'!$B$256:$B$256</definedName>
    <definedName name="ProductId121">'Бланк заказа'!$B$257:$B$257</definedName>
    <definedName name="ProductId122">'Бланк заказа'!$B$258:$B$258</definedName>
    <definedName name="ProductId123">'Бланк заказа'!$B$263:$B$263</definedName>
    <definedName name="ProductId124">'Бланк заказа'!$B$264:$B$264</definedName>
    <definedName name="ProductId125">'Бланк заказа'!$B$268:$B$268</definedName>
    <definedName name="ProductId126">'Бланк заказа'!$B$269:$B$269</definedName>
    <definedName name="ProductId127">'Бланк заказа'!$B$274:$B$274</definedName>
    <definedName name="ProductId128">'Бланк заказа'!$B$275:$B$275</definedName>
    <definedName name="ProductId129">'Бланк заказа'!$B$276:$B$276</definedName>
    <definedName name="ProductId13">'Бланк заказа'!$B$52:$B$52</definedName>
    <definedName name="ProductId130">'Бланк заказа'!$B$277:$B$277</definedName>
    <definedName name="ProductId131">'Бланк заказа'!$B$278:$B$278</definedName>
    <definedName name="ProductId132">'Бланк заказа'!$B$279:$B$279</definedName>
    <definedName name="ProductId133">'Бланк заказа'!$B$283:$B$283</definedName>
    <definedName name="ProductId134">'Бланк заказа'!$B$284:$B$284</definedName>
    <definedName name="ProductId135">'Бланк заказа'!$B$285:$B$285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заказа'!$B$294:$B$294</definedName>
    <definedName name="ProductId142">'Бланк заказа'!$B$295:$B$295</definedName>
    <definedName name="ProductId143">'Бланк заказа'!$B$299:$B$299</definedName>
    <definedName name="ProductId144">'Бланк заказа'!$B$300:$B$300</definedName>
    <definedName name="ProductId145">'Бланк заказа'!$B$301:$B$301</definedName>
    <definedName name="ProductId146">'Бланк заказа'!$B$305:$B$305</definedName>
    <definedName name="ProductId147">'Бланк заказа'!$B$306:$B$306</definedName>
    <definedName name="ProductId148">'Бланк заказа'!$B$307:$B$307</definedName>
    <definedName name="ProductId149">'Бланк заказа'!$B$308:$B$308</definedName>
    <definedName name="ProductId15">'Бланк заказа'!$B$54:$B$54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заказа'!$B$327:$B$327</definedName>
    <definedName name="ProductId157">'Бланк заказа'!$B$328:$B$328</definedName>
    <definedName name="ProductId158">'Бланк заказа'!$B$329:$B$329</definedName>
    <definedName name="ProductId159">'Бланк заказа'!$B$330:$B$330</definedName>
    <definedName name="ProductId16">'Бланк заказа'!$B$55:$B$55</definedName>
    <definedName name="ProductId160">'Бланк заказа'!$B$331:$B$331</definedName>
    <definedName name="ProductId161">'Бланк заказа'!$B$332:$B$332</definedName>
    <definedName name="ProductId162">'Бланк заказа'!$B$333:$B$333</definedName>
    <definedName name="ProductId163">'Бланк заказа'!$B$337:$B$337</definedName>
    <definedName name="ProductId164">'Бланк заказа'!$B$338:$B$338</definedName>
    <definedName name="ProductId165">'Бланк заказа'!$B$342:$B$342</definedName>
    <definedName name="ProductId166">'Бланк заказа'!$B$343:$B$343</definedName>
    <definedName name="ProductId167">'Бланк заказа'!$B$347:$B$347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заказа'!$B$363:$B$363</definedName>
    <definedName name="ProductId174">'Бланк заказа'!$B$364:$B$364</definedName>
    <definedName name="ProductId175">'Бланк заказа'!$B$370:$B$370</definedName>
    <definedName name="ProductId176">'Бланк заказа'!$B$371:$B$371</definedName>
    <definedName name="ProductId177">'Бланк заказа'!$B$372:$B$372</definedName>
    <definedName name="ProductId178">'Бланк заказа'!$B$373:$B$373</definedName>
    <definedName name="ProductId179">'Бланк заказа'!$B$374:$B$374</definedName>
    <definedName name="ProductId18">'Бланк заказа'!$B$57:$B$57</definedName>
    <definedName name="ProductId180">'Бланк заказа'!$B$375:$B$375</definedName>
    <definedName name="ProductId181">'Бланк заказа'!$B$376:$B$376</definedName>
    <definedName name="ProductId182">'Бланк заказа'!$B$377:$B$377</definedName>
    <definedName name="ProductId183">'Бланк заказа'!$B$378:$B$378</definedName>
    <definedName name="ProductId184">'Бланк заказа'!$B$382:$B$382</definedName>
    <definedName name="ProductId185">'Бланк заказа'!$B$383:$B$383</definedName>
    <definedName name="ProductId186">'Бланк заказа'!$B$388:$B$388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заказа'!$B$400:$B$400</definedName>
    <definedName name="ProductId192">'Бланк заказа'!$B$406:$B$406</definedName>
    <definedName name="ProductId193">'Бланк заказа'!$B$407:$B$407</definedName>
    <definedName name="ProductId194">'Бланк заказа'!$B$408:$B$408</definedName>
    <definedName name="ProductId195">'Бланк заказа'!$B$409:$B$409</definedName>
    <definedName name="ProductId196">'Бланк заказа'!$B$410:$B$410</definedName>
    <definedName name="ProductId197">'Бланк заказа'!$B$411:$B$411</definedName>
    <definedName name="ProductId198">'Бланк заказа'!$B$412:$B$412</definedName>
    <definedName name="ProductId199">'Бланк заказа'!$B$413:$B$413</definedName>
    <definedName name="ProductId2">'Бланк заказа'!$B$23:$B$23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заказа'!$B$416:$B$416</definedName>
    <definedName name="ProductId203">'Бланк заказа'!$B$417:$B$417</definedName>
    <definedName name="ProductId204">'Бланк заказа'!$B$421:$B$421</definedName>
    <definedName name="ProductId205">'Бланк заказа'!$B$422:$B$422</definedName>
    <definedName name="ProductId206">'Бланк заказа'!$B$423:$B$423</definedName>
    <definedName name="ProductId207">'Бланк заказа'!$B$427:$B$427</definedName>
    <definedName name="ProductId208">'Бланк заказа'!$B$428:$B$428</definedName>
    <definedName name="ProductId209">'Бланк заказа'!$B$429:$B$429</definedName>
    <definedName name="ProductId21">'Бланк заказа'!$B$63:$B$63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заказа'!$B$436:$B$436</definedName>
    <definedName name="ProductId214">'Бланк заказа'!$B$437:$B$437</definedName>
    <definedName name="ProductId215">'Бланк заказа'!$B$438:$B$438</definedName>
    <definedName name="ProductId216">'Бланк заказа'!$B$444:$B$444</definedName>
    <definedName name="ProductId217">'Бланк заказа'!$B$445:$B$445</definedName>
    <definedName name="ProductId218">'Бланк заказа'!$B$446:$B$446</definedName>
    <definedName name="ProductId219">'Бланк заказа'!$B$447:$B$447</definedName>
    <definedName name="ProductId22">'Бланк заказа'!$B$67:$B$67</definedName>
    <definedName name="ProductId220">'Бланк заказа'!$B$451:$B$451</definedName>
    <definedName name="ProductId221">'Бланк заказа'!$B$452:$B$452</definedName>
    <definedName name="ProductId222">'Бланк заказа'!$B$453:$B$453</definedName>
    <definedName name="ProductId223">'Бланк заказа'!$B$457:$B$457</definedName>
    <definedName name="ProductId224">'Бланк заказа'!$B$458:$B$458</definedName>
    <definedName name="ProductId225">'Бланк заказа'!$B$462:$B$462</definedName>
    <definedName name="ProductId226">'Бланк заказа'!$B$466:$B$466</definedName>
    <definedName name="ProductId227">'Бланк заказа'!$B$467:$B$467</definedName>
    <definedName name="ProductId228">'Бланк заказа'!$B$472:$B$472</definedName>
    <definedName name="ProductId23">'Бланк заказа'!$B$68:$B$68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заказа'!$B$142:$B$142</definedName>
    <definedName name="ProductId57">'Бланк заказа'!$B$146:$B$146</definedName>
    <definedName name="ProductId58">'Бланк заказа'!$B$147:$B$147</definedName>
    <definedName name="ProductId59">'Бланк заказа'!$B$148:$B$148</definedName>
    <definedName name="ProductId6">'Бланк заказа'!$B$30:$B$30</definedName>
    <definedName name="ProductId60">'Бланк заказа'!$B$149:$B$149</definedName>
    <definedName name="ProductId61">'Бланк заказа'!$B$150:$B$150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заказа'!$B$155:$B$155</definedName>
    <definedName name="ProductId67">'Бланк заказа'!$B$159:$B$159</definedName>
    <definedName name="ProductId68">'Бланк заказа'!$B$160:$B$160</definedName>
    <definedName name="ProductId69">'Бланк заказа'!$B$161:$B$161</definedName>
    <definedName name="ProductId7">'Бланк заказа'!$B$31:$B$31</definedName>
    <definedName name="ProductId70">'Бланк заказа'!$B$165:$B$165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заказа'!$B$181:$B$181</definedName>
    <definedName name="ProductId77">'Бланк заказа'!$B$182:$B$182</definedName>
    <definedName name="ProductId78">'Бланк заказа'!$B$183:$B$183</definedName>
    <definedName name="ProductId79">'Бланк заказа'!$B$184:$B$184</definedName>
    <definedName name="ProductId8">'Бланк заказа'!$B$35:$B$35</definedName>
    <definedName name="ProductId80">'Бланк заказа'!$B$185:$B$185</definedName>
    <definedName name="ProductId81">'Бланк заказа'!$B$186:$B$186</definedName>
    <definedName name="ProductId82">'Бланк заказа'!$B$187:$B$187</definedName>
    <definedName name="ProductId83">'Бланк заказа'!$B$191:$B$191</definedName>
    <definedName name="ProductId84">'Бланк заказа'!$B$192:$B$192</definedName>
    <definedName name="ProductId85">'Бланк заказа'!$B$193:$B$193</definedName>
    <definedName name="ProductId86">'Бланк заказа'!$B$194:$B$194</definedName>
    <definedName name="ProductId87">'Бланк заказа'!$B$195:$B$195</definedName>
    <definedName name="ProductId88">'Бланк заказа'!$B$196:$B$196</definedName>
    <definedName name="ProductId89">'Бланк заказа'!$B$197:$B$197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заказа'!$B$203:$B$203</definedName>
    <definedName name="ProductId93">'Бланк заказа'!$B$204:$B$204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заказа'!$X$222:$X$222</definedName>
    <definedName name="SalesQty105">'Бланк заказа'!$X$226:$X$226</definedName>
    <definedName name="SalesQty106">'Бланк заказа'!$X$230:$X$230</definedName>
    <definedName name="SalesQty107">'Бланк заказа'!$X$231:$X$231</definedName>
    <definedName name="SalesQty108">'Бланк заказа'!$X$232:$X$232</definedName>
    <definedName name="SalesQty109">'Бланк заказа'!$X$233:$X$233</definedName>
    <definedName name="SalesQty11">'Бланк заказа'!$X$43:$X$43</definedName>
    <definedName name="SalesQty110">'Бланк заказа'!$X$234:$X$234</definedName>
    <definedName name="SalesQty111">'Бланк заказа'!$X$239:$X$239</definedName>
    <definedName name="SalesQty112">'Бланк заказа'!$X$240:$X$240</definedName>
    <definedName name="SalesQty113">'Бланк заказа'!$X$241:$X$241</definedName>
    <definedName name="SalesQty114">'Бланк заказа'!$X$242:$X$242</definedName>
    <definedName name="SalesQty115">'Бланк заказа'!$X$243:$X$243</definedName>
    <definedName name="SalesQty116">'Бланк заказа'!$X$248:$X$248</definedName>
    <definedName name="SalesQty117">'Бланк заказа'!$X$249:$X$249</definedName>
    <definedName name="SalesQty118">'Бланк заказа'!$X$250:$X$250</definedName>
    <definedName name="SalesQty119">'Бланк заказа'!$X$251:$X$251</definedName>
    <definedName name="SalesQty12">'Бланк заказа'!$X$47:$X$47</definedName>
    <definedName name="SalesQty120">'Бланк заказа'!$X$256:$X$256</definedName>
    <definedName name="SalesQty121">'Бланк заказа'!$X$257:$X$257</definedName>
    <definedName name="SalesQty122">'Бланк заказа'!$X$258:$X$258</definedName>
    <definedName name="SalesQty123">'Бланк заказа'!$X$263:$X$263</definedName>
    <definedName name="SalesQty124">'Бланк заказа'!$X$264:$X$264</definedName>
    <definedName name="SalesQty125">'Бланк заказа'!$X$268:$X$268</definedName>
    <definedName name="SalesQty126">'Бланк заказа'!$X$269:$X$269</definedName>
    <definedName name="SalesQty127">'Бланк заказа'!$X$274:$X$274</definedName>
    <definedName name="SalesQty128">'Бланк заказа'!$X$275:$X$275</definedName>
    <definedName name="SalesQty129">'Бланк заказа'!$X$276:$X$276</definedName>
    <definedName name="SalesQty13">'Бланк заказа'!$X$52:$X$52</definedName>
    <definedName name="SalesQty130">'Бланк заказа'!$X$277:$X$277</definedName>
    <definedName name="SalesQty131">'Бланк заказа'!$X$278:$X$278</definedName>
    <definedName name="SalesQty132">'Бланк заказа'!$X$279:$X$279</definedName>
    <definedName name="SalesQty133">'Бланк заказа'!$X$283:$X$283</definedName>
    <definedName name="SalesQty134">'Бланк заказа'!$X$284:$X$284</definedName>
    <definedName name="SalesQty135">'Бланк заказа'!$X$285:$X$285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заказа'!$X$294:$X$294</definedName>
    <definedName name="SalesQty142">'Бланк заказа'!$X$295:$X$295</definedName>
    <definedName name="SalesQty143">'Бланк заказа'!$X$299:$X$299</definedName>
    <definedName name="SalesQty144">'Бланк заказа'!$X$300:$X$300</definedName>
    <definedName name="SalesQty145">'Бланк заказа'!$X$301:$X$301</definedName>
    <definedName name="SalesQty146">'Бланк заказа'!$X$305:$X$305</definedName>
    <definedName name="SalesQty147">'Бланк заказа'!$X$306:$X$306</definedName>
    <definedName name="SalesQty148">'Бланк заказа'!$X$307:$X$307</definedName>
    <definedName name="SalesQty149">'Бланк заказа'!$X$308:$X$308</definedName>
    <definedName name="SalesQty15">'Бланк заказа'!$X$54:$X$54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заказа'!$X$327:$X$327</definedName>
    <definedName name="SalesQty157">'Бланк заказа'!$X$328:$X$328</definedName>
    <definedName name="SalesQty158">'Бланк заказа'!$X$329:$X$329</definedName>
    <definedName name="SalesQty159">'Бланк заказа'!$X$330:$X$330</definedName>
    <definedName name="SalesQty16">'Бланк заказа'!$X$55:$X$55</definedName>
    <definedName name="SalesQty160">'Бланк заказа'!$X$331:$X$331</definedName>
    <definedName name="SalesQty161">'Бланк заказа'!$X$332:$X$332</definedName>
    <definedName name="SalesQty162">'Бланк заказа'!$X$333:$X$333</definedName>
    <definedName name="SalesQty163">'Бланк заказа'!$X$337:$X$337</definedName>
    <definedName name="SalesQty164">'Бланк заказа'!$X$338:$X$338</definedName>
    <definedName name="SalesQty165">'Бланк заказа'!$X$342:$X$342</definedName>
    <definedName name="SalesQty166">'Бланк заказа'!$X$343:$X$343</definedName>
    <definedName name="SalesQty167">'Бланк заказа'!$X$347:$X$347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заказа'!$X$363:$X$363</definedName>
    <definedName name="SalesQty174">'Бланк заказа'!$X$364:$X$364</definedName>
    <definedName name="SalesQty175">'Бланк заказа'!$X$370:$X$370</definedName>
    <definedName name="SalesQty176">'Бланк заказа'!$X$371:$X$371</definedName>
    <definedName name="SalesQty177">'Бланк заказа'!$X$372:$X$372</definedName>
    <definedName name="SalesQty178">'Бланк заказа'!$X$373:$X$373</definedName>
    <definedName name="SalesQty179">'Бланк заказа'!$X$374:$X$374</definedName>
    <definedName name="SalesQty18">'Бланк заказа'!$X$57:$X$57</definedName>
    <definedName name="SalesQty180">'Бланк заказа'!$X$375:$X$375</definedName>
    <definedName name="SalesQty181">'Бланк заказа'!$X$376:$X$376</definedName>
    <definedName name="SalesQty182">'Бланк заказа'!$X$377:$X$377</definedName>
    <definedName name="SalesQty183">'Бланк заказа'!$X$378:$X$378</definedName>
    <definedName name="SalesQty184">'Бланк заказа'!$X$382:$X$382</definedName>
    <definedName name="SalesQty185">'Бланк заказа'!$X$383:$X$383</definedName>
    <definedName name="SalesQty186">'Бланк заказа'!$X$388:$X$388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заказа'!$X$400:$X$400</definedName>
    <definedName name="SalesQty192">'Бланк заказа'!$X$406:$X$406</definedName>
    <definedName name="SalesQty193">'Бланк заказа'!$X$407:$X$407</definedName>
    <definedName name="SalesQty194">'Бланк заказа'!$X$408:$X$408</definedName>
    <definedName name="SalesQty195">'Бланк заказа'!$X$409:$X$409</definedName>
    <definedName name="SalesQty196">'Бланк заказа'!$X$410:$X$410</definedName>
    <definedName name="SalesQty197">'Бланк заказа'!$X$411:$X$411</definedName>
    <definedName name="SalesQty198">'Бланк заказа'!$X$412:$X$412</definedName>
    <definedName name="SalesQty199">'Бланк заказа'!$X$413:$X$413</definedName>
    <definedName name="SalesQty2">'Бланк заказа'!$X$23:$X$23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заказа'!$X$416:$X$416</definedName>
    <definedName name="SalesQty203">'Бланк заказа'!$X$417:$X$417</definedName>
    <definedName name="SalesQty204">'Бланк заказа'!$X$421:$X$421</definedName>
    <definedName name="SalesQty205">'Бланк заказа'!$X$422:$X$422</definedName>
    <definedName name="SalesQty206">'Бланк заказа'!$X$423:$X$423</definedName>
    <definedName name="SalesQty207">'Бланк заказа'!$X$427:$X$427</definedName>
    <definedName name="SalesQty208">'Бланк заказа'!$X$428:$X$428</definedName>
    <definedName name="SalesQty209">'Бланк заказа'!$X$429:$X$429</definedName>
    <definedName name="SalesQty21">'Бланк заказа'!$X$63:$X$63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заказа'!$X$436:$X$436</definedName>
    <definedName name="SalesQty214">'Бланк заказа'!$X$437:$X$437</definedName>
    <definedName name="SalesQty215">'Бланк заказа'!$X$438:$X$438</definedName>
    <definedName name="SalesQty216">'Бланк заказа'!$X$444:$X$444</definedName>
    <definedName name="SalesQty217">'Бланк заказа'!$X$445:$X$445</definedName>
    <definedName name="SalesQty218">'Бланк заказа'!$X$446:$X$446</definedName>
    <definedName name="SalesQty219">'Бланк заказа'!$X$447:$X$447</definedName>
    <definedName name="SalesQty22">'Бланк заказа'!$X$67:$X$67</definedName>
    <definedName name="SalesQty220">'Бланк заказа'!$X$451:$X$451</definedName>
    <definedName name="SalesQty221">'Бланк заказа'!$X$452:$X$452</definedName>
    <definedName name="SalesQty222">'Бланк заказа'!$X$453:$X$453</definedName>
    <definedName name="SalesQty223">'Бланк заказа'!$X$457:$X$457</definedName>
    <definedName name="SalesQty224">'Бланк заказа'!$X$458:$X$458</definedName>
    <definedName name="SalesQty225">'Бланк заказа'!$X$462:$X$462</definedName>
    <definedName name="SalesQty226">'Бланк заказа'!$X$466:$X$466</definedName>
    <definedName name="SalesQty227">'Бланк заказа'!$X$467:$X$467</definedName>
    <definedName name="SalesQty228">'Бланк заказа'!$X$472:$X$472</definedName>
    <definedName name="SalesQty23">'Бланк заказа'!$X$68:$X$68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заказа'!$X$142:$X$142</definedName>
    <definedName name="SalesQty57">'Бланк заказа'!$X$146:$X$146</definedName>
    <definedName name="SalesQty58">'Бланк заказа'!$X$147:$X$147</definedName>
    <definedName name="SalesQty59">'Бланк заказа'!$X$148:$X$148</definedName>
    <definedName name="SalesQty6">'Бланк заказа'!$X$30:$X$30</definedName>
    <definedName name="SalesQty60">'Бланк заказа'!$X$149:$X$149</definedName>
    <definedName name="SalesQty61">'Бланк заказа'!$X$150:$X$150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заказа'!$X$155:$X$155</definedName>
    <definedName name="SalesQty67">'Бланк заказа'!$X$159:$X$159</definedName>
    <definedName name="SalesQty68">'Бланк заказа'!$X$160:$X$160</definedName>
    <definedName name="SalesQty69">'Бланк заказа'!$X$161:$X$161</definedName>
    <definedName name="SalesQty7">'Бланк заказа'!$X$31:$X$31</definedName>
    <definedName name="SalesQty70">'Бланк заказа'!$X$165:$X$165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заказа'!$X$181:$X$181</definedName>
    <definedName name="SalesQty77">'Бланк заказа'!$X$182:$X$182</definedName>
    <definedName name="SalesQty78">'Бланк заказа'!$X$183:$X$183</definedName>
    <definedName name="SalesQty79">'Бланк заказа'!$X$184:$X$184</definedName>
    <definedName name="SalesQty8">'Бланк заказа'!$X$35:$X$35</definedName>
    <definedName name="SalesQty80">'Бланк заказа'!$X$185:$X$185</definedName>
    <definedName name="SalesQty81">'Бланк заказа'!$X$186:$X$186</definedName>
    <definedName name="SalesQty82">'Бланк заказа'!$X$187:$X$187</definedName>
    <definedName name="SalesQty83">'Бланк заказа'!$X$191:$X$191</definedName>
    <definedName name="SalesQty84">'Бланк заказа'!$X$192:$X$192</definedName>
    <definedName name="SalesQty85">'Бланк заказа'!$X$193:$X$193</definedName>
    <definedName name="SalesQty86">'Бланк заказа'!$X$194:$X$194</definedName>
    <definedName name="SalesQty87">'Бланк заказа'!$X$195:$X$195</definedName>
    <definedName name="SalesQty88">'Бланк заказа'!$X$196:$X$196</definedName>
    <definedName name="SalesQty89">'Бланк заказа'!$X$197:$X$197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заказа'!$X$203:$X$203</definedName>
    <definedName name="SalesQty93">'Бланк заказа'!$X$204:$X$204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заказа'!$Y$222:$Y$222</definedName>
    <definedName name="SalesRoundBox105">'Бланк заказа'!$Y$226:$Y$226</definedName>
    <definedName name="SalesRoundBox106">'Бланк заказа'!$Y$230:$Y$230</definedName>
    <definedName name="SalesRoundBox107">'Бланк заказа'!$Y$231:$Y$231</definedName>
    <definedName name="SalesRoundBox108">'Бланк заказа'!$Y$232:$Y$232</definedName>
    <definedName name="SalesRoundBox109">'Бланк заказа'!$Y$233:$Y$233</definedName>
    <definedName name="SalesRoundBox11">'Бланк заказа'!$Y$43:$Y$43</definedName>
    <definedName name="SalesRoundBox110">'Бланк заказа'!$Y$234:$Y$234</definedName>
    <definedName name="SalesRoundBox111">'Бланк заказа'!$Y$239:$Y$239</definedName>
    <definedName name="SalesRoundBox112">'Бланк заказа'!$Y$240:$Y$240</definedName>
    <definedName name="SalesRoundBox113">'Бланк заказа'!$Y$241:$Y$241</definedName>
    <definedName name="SalesRoundBox114">'Бланк заказа'!$Y$242:$Y$242</definedName>
    <definedName name="SalesRoundBox115">'Бланк заказа'!$Y$243:$Y$243</definedName>
    <definedName name="SalesRoundBox116">'Бланк заказа'!$Y$248:$Y$248</definedName>
    <definedName name="SalesRoundBox117">'Бланк заказа'!$Y$249:$Y$249</definedName>
    <definedName name="SalesRoundBox118">'Бланк заказа'!$Y$250:$Y$250</definedName>
    <definedName name="SalesRoundBox119">'Бланк заказа'!$Y$251:$Y$251</definedName>
    <definedName name="SalesRoundBox12">'Бланк заказа'!$Y$47:$Y$47</definedName>
    <definedName name="SalesRoundBox120">'Бланк заказа'!$Y$256:$Y$256</definedName>
    <definedName name="SalesRoundBox121">'Бланк заказа'!$Y$257:$Y$257</definedName>
    <definedName name="SalesRoundBox122">'Бланк заказа'!$Y$258:$Y$258</definedName>
    <definedName name="SalesRoundBox123">'Бланк заказа'!$Y$263:$Y$263</definedName>
    <definedName name="SalesRoundBox124">'Бланк заказа'!$Y$264:$Y$264</definedName>
    <definedName name="SalesRoundBox125">'Бланк заказа'!$Y$268:$Y$268</definedName>
    <definedName name="SalesRoundBox126">'Бланк заказа'!$Y$269:$Y$269</definedName>
    <definedName name="SalesRoundBox127">'Бланк заказа'!$Y$274:$Y$274</definedName>
    <definedName name="SalesRoundBox128">'Бланк заказа'!$Y$275:$Y$275</definedName>
    <definedName name="SalesRoundBox129">'Бланк заказа'!$Y$276:$Y$276</definedName>
    <definedName name="SalesRoundBox13">'Бланк заказа'!$Y$52:$Y$52</definedName>
    <definedName name="SalesRoundBox130">'Бланк заказа'!$Y$277:$Y$277</definedName>
    <definedName name="SalesRoundBox131">'Бланк заказа'!$Y$278:$Y$278</definedName>
    <definedName name="SalesRoundBox132">'Бланк заказа'!$Y$279:$Y$279</definedName>
    <definedName name="SalesRoundBox133">'Бланк заказа'!$Y$283:$Y$283</definedName>
    <definedName name="SalesRoundBox134">'Бланк заказа'!$Y$284:$Y$284</definedName>
    <definedName name="SalesRoundBox135">'Бланк заказа'!$Y$285:$Y$285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заказа'!$Y$294:$Y$294</definedName>
    <definedName name="SalesRoundBox142">'Бланк заказа'!$Y$295:$Y$295</definedName>
    <definedName name="SalesRoundBox143">'Бланк заказа'!$Y$299:$Y$299</definedName>
    <definedName name="SalesRoundBox144">'Бланк заказа'!$Y$300:$Y$300</definedName>
    <definedName name="SalesRoundBox145">'Бланк заказа'!$Y$301:$Y$301</definedName>
    <definedName name="SalesRoundBox146">'Бланк заказа'!$Y$305:$Y$305</definedName>
    <definedName name="SalesRoundBox147">'Бланк заказа'!$Y$306:$Y$306</definedName>
    <definedName name="SalesRoundBox148">'Бланк заказа'!$Y$307:$Y$307</definedName>
    <definedName name="SalesRoundBox149">'Бланк заказа'!$Y$308:$Y$308</definedName>
    <definedName name="SalesRoundBox15">'Бланк заказа'!$Y$54:$Y$54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заказа'!$Y$327:$Y$327</definedName>
    <definedName name="SalesRoundBox157">'Бланк заказа'!$Y$328:$Y$328</definedName>
    <definedName name="SalesRoundBox158">'Бланк заказа'!$Y$329:$Y$329</definedName>
    <definedName name="SalesRoundBox159">'Бланк заказа'!$Y$330:$Y$330</definedName>
    <definedName name="SalesRoundBox16">'Бланк заказа'!$Y$55:$Y$55</definedName>
    <definedName name="SalesRoundBox160">'Бланк заказа'!$Y$331:$Y$331</definedName>
    <definedName name="SalesRoundBox161">'Бланк заказа'!$Y$332:$Y$332</definedName>
    <definedName name="SalesRoundBox162">'Бланк заказа'!$Y$333:$Y$333</definedName>
    <definedName name="SalesRoundBox163">'Бланк заказа'!$Y$337:$Y$337</definedName>
    <definedName name="SalesRoundBox164">'Бланк заказа'!$Y$338:$Y$338</definedName>
    <definedName name="SalesRoundBox165">'Бланк заказа'!$Y$342:$Y$342</definedName>
    <definedName name="SalesRoundBox166">'Бланк заказа'!$Y$343:$Y$343</definedName>
    <definedName name="SalesRoundBox167">'Бланк заказа'!$Y$347:$Y$347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заказа'!$Y$363:$Y$363</definedName>
    <definedName name="SalesRoundBox174">'Бланк заказа'!$Y$364:$Y$364</definedName>
    <definedName name="SalesRoundBox175">'Бланк заказа'!$Y$370:$Y$370</definedName>
    <definedName name="SalesRoundBox176">'Бланк заказа'!$Y$371:$Y$371</definedName>
    <definedName name="SalesRoundBox177">'Бланк заказа'!$Y$372:$Y$372</definedName>
    <definedName name="SalesRoundBox178">'Бланк заказа'!$Y$373:$Y$373</definedName>
    <definedName name="SalesRoundBox179">'Бланк заказа'!$Y$374:$Y$374</definedName>
    <definedName name="SalesRoundBox18">'Бланк заказа'!$Y$57:$Y$57</definedName>
    <definedName name="SalesRoundBox180">'Бланк заказа'!$Y$375:$Y$375</definedName>
    <definedName name="SalesRoundBox181">'Бланк заказа'!$Y$376:$Y$376</definedName>
    <definedName name="SalesRoundBox182">'Бланк заказа'!$Y$377:$Y$377</definedName>
    <definedName name="SalesRoundBox183">'Бланк заказа'!$Y$378:$Y$378</definedName>
    <definedName name="SalesRoundBox184">'Бланк заказа'!$Y$382:$Y$382</definedName>
    <definedName name="SalesRoundBox185">'Бланк заказа'!$Y$383:$Y$383</definedName>
    <definedName name="SalesRoundBox186">'Бланк заказа'!$Y$388:$Y$388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заказа'!$Y$400:$Y$400</definedName>
    <definedName name="SalesRoundBox192">'Бланк заказа'!$Y$406:$Y$406</definedName>
    <definedName name="SalesRoundBox193">'Бланк заказа'!$Y$407:$Y$407</definedName>
    <definedName name="SalesRoundBox194">'Бланк заказа'!$Y$408:$Y$408</definedName>
    <definedName name="SalesRoundBox195">'Бланк заказа'!$Y$409:$Y$409</definedName>
    <definedName name="SalesRoundBox196">'Бланк заказа'!$Y$410:$Y$410</definedName>
    <definedName name="SalesRoundBox197">'Бланк заказа'!$Y$411:$Y$411</definedName>
    <definedName name="SalesRoundBox198">'Бланк заказа'!$Y$412:$Y$412</definedName>
    <definedName name="SalesRoundBox199">'Бланк заказа'!$Y$413:$Y$413</definedName>
    <definedName name="SalesRoundBox2">'Бланк заказа'!$Y$23:$Y$23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заказа'!$Y$416:$Y$416</definedName>
    <definedName name="SalesRoundBox203">'Бланк заказа'!$Y$417:$Y$417</definedName>
    <definedName name="SalesRoundBox204">'Бланк заказа'!$Y$421:$Y$421</definedName>
    <definedName name="SalesRoundBox205">'Бланк заказа'!$Y$422:$Y$422</definedName>
    <definedName name="SalesRoundBox206">'Бланк заказа'!$Y$423:$Y$423</definedName>
    <definedName name="SalesRoundBox207">'Бланк заказа'!$Y$427:$Y$427</definedName>
    <definedName name="SalesRoundBox208">'Бланк заказа'!$Y$428:$Y$428</definedName>
    <definedName name="SalesRoundBox209">'Бланк заказа'!$Y$429:$Y$429</definedName>
    <definedName name="SalesRoundBox21">'Бланк заказа'!$Y$63:$Y$63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заказа'!$Y$436:$Y$436</definedName>
    <definedName name="SalesRoundBox214">'Бланк заказа'!$Y$437:$Y$437</definedName>
    <definedName name="SalesRoundBox215">'Бланк заказа'!$Y$438:$Y$438</definedName>
    <definedName name="SalesRoundBox216">'Бланк заказа'!$Y$444:$Y$444</definedName>
    <definedName name="SalesRoundBox217">'Бланк заказа'!$Y$445:$Y$445</definedName>
    <definedName name="SalesRoundBox218">'Бланк заказа'!$Y$446:$Y$446</definedName>
    <definedName name="SalesRoundBox219">'Бланк заказа'!$Y$447:$Y$447</definedName>
    <definedName name="SalesRoundBox22">'Бланк заказа'!$Y$67:$Y$67</definedName>
    <definedName name="SalesRoundBox220">'Бланк заказа'!$Y$451:$Y$451</definedName>
    <definedName name="SalesRoundBox221">'Бланк заказа'!$Y$452:$Y$452</definedName>
    <definedName name="SalesRoundBox222">'Бланк заказа'!$Y$453:$Y$453</definedName>
    <definedName name="SalesRoundBox223">'Бланк заказа'!$Y$457:$Y$457</definedName>
    <definedName name="SalesRoundBox224">'Бланк заказа'!$Y$458:$Y$458</definedName>
    <definedName name="SalesRoundBox225">'Бланк заказа'!$Y$462:$Y$462</definedName>
    <definedName name="SalesRoundBox226">'Бланк заказа'!$Y$466:$Y$466</definedName>
    <definedName name="SalesRoundBox227">'Бланк заказа'!$Y$467:$Y$467</definedName>
    <definedName name="SalesRoundBox228">'Бланк заказа'!$Y$472:$Y$472</definedName>
    <definedName name="SalesRoundBox23">'Бланк заказа'!$Y$68:$Y$68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заказа'!$Y$142:$Y$142</definedName>
    <definedName name="SalesRoundBox57">'Бланк заказа'!$Y$146:$Y$146</definedName>
    <definedName name="SalesRoundBox58">'Бланк заказа'!$Y$147:$Y$147</definedName>
    <definedName name="SalesRoundBox59">'Бланк заказа'!$Y$148:$Y$148</definedName>
    <definedName name="SalesRoundBox6">'Бланк заказа'!$Y$30:$Y$30</definedName>
    <definedName name="SalesRoundBox60">'Бланк заказа'!$Y$149:$Y$149</definedName>
    <definedName name="SalesRoundBox61">'Бланк заказа'!$Y$150:$Y$150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заказа'!$Y$155:$Y$155</definedName>
    <definedName name="SalesRoundBox67">'Бланк заказа'!$Y$159:$Y$159</definedName>
    <definedName name="SalesRoundBox68">'Бланк заказа'!$Y$160:$Y$160</definedName>
    <definedName name="SalesRoundBox69">'Бланк заказа'!$Y$161:$Y$161</definedName>
    <definedName name="SalesRoundBox7">'Бланк заказа'!$Y$31:$Y$31</definedName>
    <definedName name="SalesRoundBox70">'Бланк заказа'!$Y$165:$Y$165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заказа'!$Y$181:$Y$181</definedName>
    <definedName name="SalesRoundBox77">'Бланк заказа'!$Y$182:$Y$182</definedName>
    <definedName name="SalesRoundBox78">'Бланк заказа'!$Y$183:$Y$183</definedName>
    <definedName name="SalesRoundBox79">'Бланк заказа'!$Y$184:$Y$184</definedName>
    <definedName name="SalesRoundBox8">'Бланк заказа'!$Y$35:$Y$35</definedName>
    <definedName name="SalesRoundBox80">'Бланк заказа'!$Y$185:$Y$185</definedName>
    <definedName name="SalesRoundBox81">'Бланк заказа'!$Y$186:$Y$186</definedName>
    <definedName name="SalesRoundBox82">'Бланк заказа'!$Y$187:$Y$187</definedName>
    <definedName name="SalesRoundBox83">'Бланк заказа'!$Y$191:$Y$191</definedName>
    <definedName name="SalesRoundBox84">'Бланк заказа'!$Y$192:$Y$192</definedName>
    <definedName name="SalesRoundBox85">'Бланк заказа'!$Y$193:$Y$193</definedName>
    <definedName name="SalesRoundBox86">'Бланк заказа'!$Y$194:$Y$194</definedName>
    <definedName name="SalesRoundBox87">'Бланк заказа'!$Y$195:$Y$195</definedName>
    <definedName name="SalesRoundBox88">'Бланк заказа'!$Y$196:$Y$196</definedName>
    <definedName name="SalesRoundBox89">'Бланк заказа'!$Y$197:$Y$197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заказа'!$Y$203:$Y$203</definedName>
    <definedName name="SalesRoundBox93">'Бланк заказа'!$Y$204:$Y$204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заказа'!$W$222:$W$222</definedName>
    <definedName name="UnitOfMeasure105">'Бланк заказа'!$W$226:$W$226</definedName>
    <definedName name="UnitOfMeasure106">'Бланк заказа'!$W$230:$W$230</definedName>
    <definedName name="UnitOfMeasure107">'Бланк заказа'!$W$231:$W$231</definedName>
    <definedName name="UnitOfMeasure108">'Бланк заказа'!$W$232:$W$232</definedName>
    <definedName name="UnitOfMeasure109">'Бланк заказа'!$W$233:$W$233</definedName>
    <definedName name="UnitOfMeasure11">'Бланк заказа'!$W$43:$W$43</definedName>
    <definedName name="UnitOfMeasure110">'Бланк заказа'!$W$234:$W$234</definedName>
    <definedName name="UnitOfMeasure111">'Бланк заказа'!$W$239:$W$239</definedName>
    <definedName name="UnitOfMeasure112">'Бланк заказа'!$W$240:$W$240</definedName>
    <definedName name="UnitOfMeasure113">'Бланк заказа'!$W$241:$W$241</definedName>
    <definedName name="UnitOfMeasure114">'Бланк заказа'!$W$242:$W$242</definedName>
    <definedName name="UnitOfMeasure115">'Бланк заказа'!$W$243:$W$243</definedName>
    <definedName name="UnitOfMeasure116">'Бланк заказа'!$W$248:$W$248</definedName>
    <definedName name="UnitOfMeasure117">'Бланк заказа'!$W$249:$W$249</definedName>
    <definedName name="UnitOfMeasure118">'Бланк заказа'!$W$250:$W$250</definedName>
    <definedName name="UnitOfMeasure119">'Бланк заказа'!$W$251:$W$251</definedName>
    <definedName name="UnitOfMeasure12">'Бланк заказа'!$W$47:$W$47</definedName>
    <definedName name="UnitOfMeasure120">'Бланк заказа'!$W$256:$W$256</definedName>
    <definedName name="UnitOfMeasure121">'Бланк заказа'!$W$257:$W$257</definedName>
    <definedName name="UnitOfMeasure122">'Бланк заказа'!$W$258:$W$258</definedName>
    <definedName name="UnitOfMeasure123">'Бланк заказа'!$W$263:$W$263</definedName>
    <definedName name="UnitOfMeasure124">'Бланк заказа'!$W$264:$W$264</definedName>
    <definedName name="UnitOfMeasure125">'Бланк заказа'!$W$268:$W$268</definedName>
    <definedName name="UnitOfMeasure126">'Бланк заказа'!$W$269:$W$269</definedName>
    <definedName name="UnitOfMeasure127">'Бланк заказа'!$W$274:$W$274</definedName>
    <definedName name="UnitOfMeasure128">'Бланк заказа'!$W$275:$W$275</definedName>
    <definedName name="UnitOfMeasure129">'Бланк заказа'!$W$276:$W$276</definedName>
    <definedName name="UnitOfMeasure13">'Бланк заказа'!$W$52:$W$52</definedName>
    <definedName name="UnitOfMeasure130">'Бланк заказа'!$W$277:$W$277</definedName>
    <definedName name="UnitOfMeasure131">'Бланк заказа'!$W$278:$W$278</definedName>
    <definedName name="UnitOfMeasure132">'Бланк заказа'!$W$279:$W$279</definedName>
    <definedName name="UnitOfMeasure133">'Бланк заказа'!$W$283:$W$283</definedName>
    <definedName name="UnitOfMeasure134">'Бланк заказа'!$W$284:$W$284</definedName>
    <definedName name="UnitOfMeasure135">'Бланк заказа'!$W$285:$W$285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заказа'!$W$294:$W$294</definedName>
    <definedName name="UnitOfMeasure142">'Бланк заказа'!$W$295:$W$295</definedName>
    <definedName name="UnitOfMeasure143">'Бланк заказа'!$W$299:$W$299</definedName>
    <definedName name="UnitOfMeasure144">'Бланк заказа'!$W$300:$W$300</definedName>
    <definedName name="UnitOfMeasure145">'Бланк заказа'!$W$301:$W$301</definedName>
    <definedName name="UnitOfMeasure146">'Бланк заказа'!$W$305:$W$305</definedName>
    <definedName name="UnitOfMeasure147">'Бланк заказа'!$W$306:$W$306</definedName>
    <definedName name="UnitOfMeasure148">'Бланк заказа'!$W$307:$W$307</definedName>
    <definedName name="UnitOfMeasure149">'Бланк заказа'!$W$308:$W$308</definedName>
    <definedName name="UnitOfMeasure15">'Бланк заказа'!$W$54:$W$54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заказа'!$W$327:$W$327</definedName>
    <definedName name="UnitOfMeasure157">'Бланк заказа'!$W$328:$W$328</definedName>
    <definedName name="UnitOfMeasure158">'Бланк заказа'!$W$329:$W$329</definedName>
    <definedName name="UnitOfMeasure159">'Бланк заказа'!$W$330:$W$330</definedName>
    <definedName name="UnitOfMeasure16">'Бланк заказа'!$W$55:$W$55</definedName>
    <definedName name="UnitOfMeasure160">'Бланк заказа'!$W$331:$W$331</definedName>
    <definedName name="UnitOfMeasure161">'Бланк заказа'!$W$332:$W$332</definedName>
    <definedName name="UnitOfMeasure162">'Бланк заказа'!$W$333:$W$333</definedName>
    <definedName name="UnitOfMeasure163">'Бланк заказа'!$W$337:$W$337</definedName>
    <definedName name="UnitOfMeasure164">'Бланк заказа'!$W$338:$W$338</definedName>
    <definedName name="UnitOfMeasure165">'Бланк заказа'!$W$342:$W$342</definedName>
    <definedName name="UnitOfMeasure166">'Бланк заказа'!$W$343:$W$343</definedName>
    <definedName name="UnitOfMeasure167">'Бланк заказа'!$W$347:$W$347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заказа'!$W$363:$W$363</definedName>
    <definedName name="UnitOfMeasure174">'Бланк заказа'!$W$364:$W$364</definedName>
    <definedName name="UnitOfMeasure175">'Бланк заказа'!$W$370:$W$370</definedName>
    <definedName name="UnitOfMeasure176">'Бланк заказа'!$W$371:$W$371</definedName>
    <definedName name="UnitOfMeasure177">'Бланк заказа'!$W$372:$W$372</definedName>
    <definedName name="UnitOfMeasure178">'Бланк заказа'!$W$373:$W$373</definedName>
    <definedName name="UnitOfMeasure179">'Бланк заказа'!$W$374:$W$374</definedName>
    <definedName name="UnitOfMeasure18">'Бланк заказа'!$W$57:$W$57</definedName>
    <definedName name="UnitOfMeasure180">'Бланк заказа'!$W$375:$W$375</definedName>
    <definedName name="UnitOfMeasure181">'Бланк заказа'!$W$376:$W$376</definedName>
    <definedName name="UnitOfMeasure182">'Бланк заказа'!$W$377:$W$377</definedName>
    <definedName name="UnitOfMeasure183">'Бланк заказа'!$W$378:$W$378</definedName>
    <definedName name="UnitOfMeasure184">'Бланк заказа'!$W$382:$W$382</definedName>
    <definedName name="UnitOfMeasure185">'Бланк заказа'!$W$383:$W$383</definedName>
    <definedName name="UnitOfMeasure186">'Бланк заказа'!$W$388:$W$388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заказа'!$W$400:$W$400</definedName>
    <definedName name="UnitOfMeasure192">'Бланк заказа'!$W$406:$W$406</definedName>
    <definedName name="UnitOfMeasure193">'Бланк заказа'!$W$407:$W$407</definedName>
    <definedName name="UnitOfMeasure194">'Бланк заказа'!$W$408:$W$408</definedName>
    <definedName name="UnitOfMeasure195">'Бланк заказа'!$W$409:$W$409</definedName>
    <definedName name="UnitOfMeasure196">'Бланк заказа'!$W$410:$W$410</definedName>
    <definedName name="UnitOfMeasure197">'Бланк заказа'!$W$411:$W$411</definedName>
    <definedName name="UnitOfMeasure198">'Бланк заказа'!$W$412:$W$412</definedName>
    <definedName name="UnitOfMeasure199">'Бланк заказа'!$W$413:$W$413</definedName>
    <definedName name="UnitOfMeasure2">'Бланк заказа'!$W$23:$W$23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заказа'!$W$416:$W$416</definedName>
    <definedName name="UnitOfMeasure203">'Бланк заказа'!$W$417:$W$417</definedName>
    <definedName name="UnitOfMeasure204">'Бланк заказа'!$W$421:$W$421</definedName>
    <definedName name="UnitOfMeasure205">'Бланк заказа'!$W$422:$W$422</definedName>
    <definedName name="UnitOfMeasure206">'Бланк заказа'!$W$423:$W$423</definedName>
    <definedName name="UnitOfMeasure207">'Бланк заказа'!$W$427:$W$427</definedName>
    <definedName name="UnitOfMeasure208">'Бланк заказа'!$W$428:$W$428</definedName>
    <definedName name="UnitOfMeasure209">'Бланк заказа'!$W$429:$W$429</definedName>
    <definedName name="UnitOfMeasure21">'Бланк заказа'!$W$63:$W$63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заказа'!$W$436:$W$436</definedName>
    <definedName name="UnitOfMeasure214">'Бланк заказа'!$W$437:$W$437</definedName>
    <definedName name="UnitOfMeasure215">'Бланк заказа'!$W$438:$W$438</definedName>
    <definedName name="UnitOfMeasure216">'Бланк заказа'!$W$444:$W$444</definedName>
    <definedName name="UnitOfMeasure217">'Бланк заказа'!$W$445:$W$445</definedName>
    <definedName name="UnitOfMeasure218">'Бланк заказа'!$W$446:$W$446</definedName>
    <definedName name="UnitOfMeasure219">'Бланк заказа'!$W$447:$W$447</definedName>
    <definedName name="UnitOfMeasure22">'Бланк заказа'!$W$67:$W$67</definedName>
    <definedName name="UnitOfMeasure220">'Бланк заказа'!$W$451:$W$451</definedName>
    <definedName name="UnitOfMeasure221">'Бланк заказа'!$W$452:$W$452</definedName>
    <definedName name="UnitOfMeasure222">'Бланк заказа'!$W$453:$W$453</definedName>
    <definedName name="UnitOfMeasure223">'Бланк заказа'!$W$457:$W$457</definedName>
    <definedName name="UnitOfMeasure224">'Бланк заказа'!$W$458:$W$458</definedName>
    <definedName name="UnitOfMeasure225">'Бланк заказа'!$W$462:$W$462</definedName>
    <definedName name="UnitOfMeasure226">'Бланк заказа'!$W$466:$W$466</definedName>
    <definedName name="UnitOfMeasure227">'Бланк заказа'!$W$467:$W$467</definedName>
    <definedName name="UnitOfMeasure228">'Бланк заказа'!$W$472:$W$472</definedName>
    <definedName name="UnitOfMeasure23">'Бланк заказа'!$W$68:$W$68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заказа'!$W$142:$W$142</definedName>
    <definedName name="UnitOfMeasure57">'Бланк заказа'!$W$146:$W$146</definedName>
    <definedName name="UnitOfMeasure58">'Бланк заказа'!$W$147:$W$147</definedName>
    <definedName name="UnitOfMeasure59">'Бланк заказа'!$W$148:$W$148</definedName>
    <definedName name="UnitOfMeasure6">'Бланк заказа'!$W$30:$W$30</definedName>
    <definedName name="UnitOfMeasure60">'Бланк заказа'!$W$149:$W$149</definedName>
    <definedName name="UnitOfMeasure61">'Бланк заказа'!$W$150:$W$150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заказа'!$W$155:$W$155</definedName>
    <definedName name="UnitOfMeasure67">'Бланк заказа'!$W$159:$W$159</definedName>
    <definedName name="UnitOfMeasure68">'Бланк заказа'!$W$160:$W$160</definedName>
    <definedName name="UnitOfMeasure69">'Бланк заказа'!$W$161:$W$161</definedName>
    <definedName name="UnitOfMeasure7">'Бланк заказа'!$W$31:$W$31</definedName>
    <definedName name="UnitOfMeasure70">'Бланк заказа'!$W$165:$W$165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заказа'!$W$181:$W$181</definedName>
    <definedName name="UnitOfMeasure77">'Бланк заказа'!$W$182:$W$182</definedName>
    <definedName name="UnitOfMeasure78">'Бланк заказа'!$W$183:$W$183</definedName>
    <definedName name="UnitOfMeasure79">'Бланк заказа'!$W$184:$W$184</definedName>
    <definedName name="UnitOfMeasure8">'Бланк заказа'!$W$35:$W$35</definedName>
    <definedName name="UnitOfMeasure80">'Бланк заказа'!$W$185:$W$185</definedName>
    <definedName name="UnitOfMeasure81">'Бланк заказа'!$W$186:$W$186</definedName>
    <definedName name="UnitOfMeasure82">'Бланк заказа'!$W$187:$W$187</definedName>
    <definedName name="UnitOfMeasure83">'Бланк заказа'!$W$191:$W$191</definedName>
    <definedName name="UnitOfMeasure84">'Бланк заказа'!$W$192:$W$192</definedName>
    <definedName name="UnitOfMeasure85">'Бланк заказа'!$W$193:$W$193</definedName>
    <definedName name="UnitOfMeasure86">'Бланк заказа'!$W$194:$W$194</definedName>
    <definedName name="UnitOfMeasure87">'Бланк заказа'!$W$195:$W$195</definedName>
    <definedName name="UnitOfMeasure88">'Бланк заказа'!$W$196:$W$196</definedName>
    <definedName name="UnitOfMeasure89">'Бланк заказа'!$W$197:$W$197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заказа'!$W$203:$W$203</definedName>
    <definedName name="UnitOfMeasure93">'Бланк заказа'!$W$204:$W$204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4" i="2" l="1"/>
  <c r="X473" i="2"/>
  <c r="BO472" i="2"/>
  <c r="BM472" i="2"/>
  <c r="Y472" i="2"/>
  <c r="Y485" i="2" s="1"/>
  <c r="P472" i="2"/>
  <c r="X469" i="2"/>
  <c r="X468" i="2"/>
  <c r="BO467" i="2"/>
  <c r="BM467" i="2"/>
  <c r="Y467" i="2"/>
  <c r="Z467" i="2" s="1"/>
  <c r="P467" i="2"/>
  <c r="BO466" i="2"/>
  <c r="BM466" i="2"/>
  <c r="Y466" i="2"/>
  <c r="P466" i="2"/>
  <c r="X464" i="2"/>
  <c r="X463" i="2"/>
  <c r="BO462" i="2"/>
  <c r="BM462" i="2"/>
  <c r="Y462" i="2"/>
  <c r="BN462" i="2" s="1"/>
  <c r="P462" i="2"/>
  <c r="X460" i="2"/>
  <c r="X459" i="2"/>
  <c r="BO458" i="2"/>
  <c r="BM458" i="2"/>
  <c r="Y458" i="2"/>
  <c r="P458" i="2"/>
  <c r="BO457" i="2"/>
  <c r="BM457" i="2"/>
  <c r="Z457" i="2"/>
  <c r="Y457" i="2"/>
  <c r="BN457" i="2" s="1"/>
  <c r="P457" i="2"/>
  <c r="X455" i="2"/>
  <c r="X454" i="2"/>
  <c r="BO453" i="2"/>
  <c r="BM453" i="2"/>
  <c r="Z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X449" i="2"/>
  <c r="X448" i="2"/>
  <c r="BO447" i="2"/>
  <c r="BM447" i="2"/>
  <c r="Y447" i="2"/>
  <c r="BP447" i="2" s="1"/>
  <c r="P447" i="2"/>
  <c r="BO446" i="2"/>
  <c r="BM446" i="2"/>
  <c r="Z446" i="2"/>
  <c r="Y446" i="2"/>
  <c r="BN446" i="2" s="1"/>
  <c r="P446" i="2"/>
  <c r="BO445" i="2"/>
  <c r="BM445" i="2"/>
  <c r="Y445" i="2"/>
  <c r="Z445" i="2" s="1"/>
  <c r="P445" i="2"/>
  <c r="BO444" i="2"/>
  <c r="BM444" i="2"/>
  <c r="Y444" i="2"/>
  <c r="P444" i="2"/>
  <c r="X440" i="2"/>
  <c r="X439" i="2"/>
  <c r="BO438" i="2"/>
  <c r="BM438" i="2"/>
  <c r="Y438" i="2"/>
  <c r="BN438" i="2" s="1"/>
  <c r="P438" i="2"/>
  <c r="BO437" i="2"/>
  <c r="BM437" i="2"/>
  <c r="Y437" i="2"/>
  <c r="Z437" i="2" s="1"/>
  <c r="P437" i="2"/>
  <c r="BO436" i="2"/>
  <c r="BM436" i="2"/>
  <c r="Y436" i="2"/>
  <c r="Y440" i="2" s="1"/>
  <c r="P436" i="2"/>
  <c r="X434" i="2"/>
  <c r="X433" i="2"/>
  <c r="BO432" i="2"/>
  <c r="BM432" i="2"/>
  <c r="Y432" i="2"/>
  <c r="Z432" i="2" s="1"/>
  <c r="P432" i="2"/>
  <c r="BP431" i="2"/>
  <c r="BO431" i="2"/>
  <c r="BN431" i="2"/>
  <c r="BM431" i="2"/>
  <c r="Z431" i="2"/>
  <c r="Y431" i="2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P427" i="2"/>
  <c r="X425" i="2"/>
  <c r="X424" i="2"/>
  <c r="BO423" i="2"/>
  <c r="BM423" i="2"/>
  <c r="Y423" i="2"/>
  <c r="P423" i="2"/>
  <c r="BO422" i="2"/>
  <c r="BM422" i="2"/>
  <c r="Y422" i="2"/>
  <c r="Z422" i="2" s="1"/>
  <c r="P422" i="2"/>
  <c r="BP421" i="2"/>
  <c r="BO421" i="2"/>
  <c r="BN421" i="2"/>
  <c r="BM421" i="2"/>
  <c r="Z421" i="2"/>
  <c r="Y421" i="2"/>
  <c r="P421" i="2"/>
  <c r="X419" i="2"/>
  <c r="X418" i="2"/>
  <c r="BO417" i="2"/>
  <c r="BM417" i="2"/>
  <c r="Y417" i="2"/>
  <c r="BP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Z412" i="2" s="1"/>
  <c r="P412" i="2"/>
  <c r="BP411" i="2"/>
  <c r="BO411" i="2"/>
  <c r="BN411" i="2"/>
  <c r="BM411" i="2"/>
  <c r="Z411" i="2"/>
  <c r="Y411" i="2"/>
  <c r="P411" i="2"/>
  <c r="BO410" i="2"/>
  <c r="BM410" i="2"/>
  <c r="Y410" i="2"/>
  <c r="P410" i="2"/>
  <c r="BO409" i="2"/>
  <c r="BM409" i="2"/>
  <c r="Y409" i="2"/>
  <c r="BP409" i="2" s="1"/>
  <c r="P409" i="2"/>
  <c r="BO408" i="2"/>
  <c r="BM408" i="2"/>
  <c r="Y408" i="2"/>
  <c r="BN408" i="2" s="1"/>
  <c r="P408" i="2"/>
  <c r="BO407" i="2"/>
  <c r="BM407" i="2"/>
  <c r="Y407" i="2"/>
  <c r="Z407" i="2" s="1"/>
  <c r="BO406" i="2"/>
  <c r="BM406" i="2"/>
  <c r="Y406" i="2"/>
  <c r="P406" i="2"/>
  <c r="X402" i="2"/>
  <c r="X401" i="2"/>
  <c r="BO400" i="2"/>
  <c r="BM400" i="2"/>
  <c r="Y400" i="2"/>
  <c r="Y402" i="2" s="1"/>
  <c r="P400" i="2"/>
  <c r="X397" i="2"/>
  <c r="X396" i="2"/>
  <c r="BO395" i="2"/>
  <c r="BM395" i="2"/>
  <c r="Z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Z392" i="2"/>
  <c r="Y392" i="2"/>
  <c r="BP392" i="2" s="1"/>
  <c r="P392" i="2"/>
  <c r="X390" i="2"/>
  <c r="X389" i="2"/>
  <c r="BO388" i="2"/>
  <c r="BM388" i="2"/>
  <c r="Y388" i="2"/>
  <c r="Z388" i="2" s="1"/>
  <c r="Z389" i="2" s="1"/>
  <c r="P388" i="2"/>
  <c r="X385" i="2"/>
  <c r="X384" i="2"/>
  <c r="BO383" i="2"/>
  <c r="BM383" i="2"/>
  <c r="Y383" i="2"/>
  <c r="P383" i="2"/>
  <c r="BP382" i="2"/>
  <c r="BO382" i="2"/>
  <c r="BN382" i="2"/>
  <c r="BM382" i="2"/>
  <c r="Z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Z373" i="2"/>
  <c r="Y373" i="2"/>
  <c r="BN373" i="2" s="1"/>
  <c r="P373" i="2"/>
  <c r="BO372" i="2"/>
  <c r="BM372" i="2"/>
  <c r="Y372" i="2"/>
  <c r="P372" i="2"/>
  <c r="BP371" i="2"/>
  <c r="BO371" i="2"/>
  <c r="BN371" i="2"/>
  <c r="BM371" i="2"/>
  <c r="Z371" i="2"/>
  <c r="Y371" i="2"/>
  <c r="P371" i="2"/>
  <c r="BO370" i="2"/>
  <c r="BM370" i="2"/>
  <c r="Y370" i="2"/>
  <c r="P370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Y366" i="2" s="1"/>
  <c r="P362" i="2"/>
  <c r="X360" i="2"/>
  <c r="X359" i="2"/>
  <c r="BO358" i="2"/>
  <c r="BM358" i="2"/>
  <c r="Y358" i="2"/>
  <c r="P358" i="2"/>
  <c r="BO357" i="2"/>
  <c r="BM357" i="2"/>
  <c r="Z357" i="2"/>
  <c r="Y357" i="2"/>
  <c r="BP357" i="2" s="1"/>
  <c r="P357" i="2"/>
  <c r="X355" i="2"/>
  <c r="X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P347" i="2"/>
  <c r="X345" i="2"/>
  <c r="X344" i="2"/>
  <c r="BO343" i="2"/>
  <c r="BM343" i="2"/>
  <c r="Y343" i="2"/>
  <c r="BP343" i="2" s="1"/>
  <c r="P343" i="2"/>
  <c r="BO342" i="2"/>
  <c r="BM342" i="2"/>
  <c r="Y342" i="2"/>
  <c r="BN342" i="2" s="1"/>
  <c r="P342" i="2"/>
  <c r="X340" i="2"/>
  <c r="X339" i="2"/>
  <c r="BO338" i="2"/>
  <c r="BM338" i="2"/>
  <c r="Y338" i="2"/>
  <c r="Y340" i="2" s="1"/>
  <c r="P338" i="2"/>
  <c r="BP337" i="2"/>
  <c r="BO337" i="2"/>
  <c r="BM337" i="2"/>
  <c r="Y337" i="2"/>
  <c r="P337" i="2"/>
  <c r="X335" i="2"/>
  <c r="X334" i="2"/>
  <c r="BO333" i="2"/>
  <c r="BM333" i="2"/>
  <c r="Z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P328" i="2"/>
  <c r="BO327" i="2"/>
  <c r="BM327" i="2"/>
  <c r="Z327" i="2"/>
  <c r="Y327" i="2"/>
  <c r="BN327" i="2" s="1"/>
  <c r="P327" i="2"/>
  <c r="X323" i="2"/>
  <c r="X322" i="2"/>
  <c r="BO321" i="2"/>
  <c r="BM321" i="2"/>
  <c r="Z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BP319" i="2" s="1"/>
  <c r="P319" i="2"/>
  <c r="X316" i="2"/>
  <c r="X315" i="2"/>
  <c r="BO314" i="2"/>
  <c r="BM314" i="2"/>
  <c r="Y314" i="2"/>
  <c r="BP314" i="2" s="1"/>
  <c r="P314" i="2"/>
  <c r="BO313" i="2"/>
  <c r="BM313" i="2"/>
  <c r="Y313" i="2"/>
  <c r="P313" i="2"/>
  <c r="BP312" i="2"/>
  <c r="BO312" i="2"/>
  <c r="BN312" i="2"/>
  <c r="BM312" i="2"/>
  <c r="Z312" i="2"/>
  <c r="Y312" i="2"/>
  <c r="P312" i="2"/>
  <c r="X310" i="2"/>
  <c r="X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Y310" i="2" s="1"/>
  <c r="P305" i="2"/>
  <c r="X303" i="2"/>
  <c r="X302" i="2"/>
  <c r="BO301" i="2"/>
  <c r="BM301" i="2"/>
  <c r="Y301" i="2"/>
  <c r="Z301" i="2" s="1"/>
  <c r="P301" i="2"/>
  <c r="BO300" i="2"/>
  <c r="BM300" i="2"/>
  <c r="Y300" i="2"/>
  <c r="P300" i="2"/>
  <c r="BO299" i="2"/>
  <c r="BM299" i="2"/>
  <c r="Z299" i="2"/>
  <c r="Y299" i="2"/>
  <c r="P299" i="2"/>
  <c r="X297" i="2"/>
  <c r="X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BN293" i="2" s="1"/>
  <c r="P293" i="2"/>
  <c r="BO292" i="2"/>
  <c r="BM292" i="2"/>
  <c r="Z292" i="2"/>
  <c r="Y292" i="2"/>
  <c r="BN292" i="2" s="1"/>
  <c r="P292" i="2"/>
  <c r="X290" i="2"/>
  <c r="X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Y290" i="2" s="1"/>
  <c r="P283" i="2"/>
  <c r="X281" i="2"/>
  <c r="X280" i="2"/>
  <c r="BO279" i="2"/>
  <c r="BM279" i="2"/>
  <c r="Y279" i="2"/>
  <c r="P279" i="2"/>
  <c r="BO278" i="2"/>
  <c r="BM278" i="2"/>
  <c r="Z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P274" i="2"/>
  <c r="X271" i="2"/>
  <c r="Y270" i="2"/>
  <c r="X270" i="2"/>
  <c r="BP269" i="2"/>
  <c r="BO269" i="2"/>
  <c r="BN269" i="2"/>
  <c r="BM269" i="2"/>
  <c r="Z269" i="2"/>
  <c r="Y269" i="2"/>
  <c r="P269" i="2"/>
  <c r="BO268" i="2"/>
  <c r="BM268" i="2"/>
  <c r="Y268" i="2"/>
  <c r="P268" i="2"/>
  <c r="X266" i="2"/>
  <c r="X265" i="2"/>
  <c r="BO264" i="2"/>
  <c r="BM264" i="2"/>
  <c r="Y264" i="2"/>
  <c r="BN264" i="2" s="1"/>
  <c r="P264" i="2"/>
  <c r="BO263" i="2"/>
  <c r="BM263" i="2"/>
  <c r="Y263" i="2"/>
  <c r="P263" i="2"/>
  <c r="X260" i="2"/>
  <c r="X259" i="2"/>
  <c r="BO258" i="2"/>
  <c r="BM258" i="2"/>
  <c r="Z258" i="2"/>
  <c r="Y258" i="2"/>
  <c r="BN258" i="2" s="1"/>
  <c r="P258" i="2"/>
  <c r="BO257" i="2"/>
  <c r="BM257" i="2"/>
  <c r="Y257" i="2"/>
  <c r="Z257" i="2" s="1"/>
  <c r="P257" i="2"/>
  <c r="BO256" i="2"/>
  <c r="BM256" i="2"/>
  <c r="Y256" i="2"/>
  <c r="M485" i="2" s="1"/>
  <c r="P256" i="2"/>
  <c r="X253" i="2"/>
  <c r="X252" i="2"/>
  <c r="BO251" i="2"/>
  <c r="BM251" i="2"/>
  <c r="Y251" i="2"/>
  <c r="BP251" i="2" s="1"/>
  <c r="P251" i="2"/>
  <c r="BO250" i="2"/>
  <c r="BM250" i="2"/>
  <c r="Y250" i="2"/>
  <c r="Z250" i="2" s="1"/>
  <c r="P250" i="2"/>
  <c r="BO249" i="2"/>
  <c r="BM249" i="2"/>
  <c r="Y249" i="2"/>
  <c r="BP249" i="2" s="1"/>
  <c r="P249" i="2"/>
  <c r="BO248" i="2"/>
  <c r="BM248" i="2"/>
  <c r="Y248" i="2"/>
  <c r="Y253" i="2" s="1"/>
  <c r="P248" i="2"/>
  <c r="X245" i="2"/>
  <c r="X244" i="2"/>
  <c r="BO243" i="2"/>
  <c r="BM243" i="2"/>
  <c r="Y243" i="2"/>
  <c r="BP243" i="2" s="1"/>
  <c r="P243" i="2"/>
  <c r="BO242" i="2"/>
  <c r="BM242" i="2"/>
  <c r="Z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X236" i="2"/>
  <c r="X235" i="2"/>
  <c r="BO234" i="2"/>
  <c r="BM234" i="2"/>
  <c r="Z234" i="2"/>
  <c r="Y234" i="2"/>
  <c r="BN234" i="2" s="1"/>
  <c r="P234" i="2"/>
  <c r="BO233" i="2"/>
  <c r="BM233" i="2"/>
  <c r="Y233" i="2"/>
  <c r="BP233" i="2" s="1"/>
  <c r="P233" i="2"/>
  <c r="BP232" i="2"/>
  <c r="BO232" i="2"/>
  <c r="BN232" i="2"/>
  <c r="BM232" i="2"/>
  <c r="Z232" i="2"/>
  <c r="Y232" i="2"/>
  <c r="P232" i="2"/>
  <c r="BO231" i="2"/>
  <c r="BM231" i="2"/>
  <c r="Y231" i="2"/>
  <c r="Y236" i="2" s="1"/>
  <c r="P231" i="2"/>
  <c r="BO230" i="2"/>
  <c r="BM230" i="2"/>
  <c r="Z230" i="2"/>
  <c r="Y230" i="2"/>
  <c r="BP230" i="2" s="1"/>
  <c r="P230" i="2"/>
  <c r="X228" i="2"/>
  <c r="X227" i="2"/>
  <c r="BO226" i="2"/>
  <c r="BM226" i="2"/>
  <c r="Y226" i="2"/>
  <c r="Y228" i="2" s="1"/>
  <c r="P226" i="2"/>
  <c r="X224" i="2"/>
  <c r="X223" i="2"/>
  <c r="BO222" i="2"/>
  <c r="BM222" i="2"/>
  <c r="Y222" i="2"/>
  <c r="Y224" i="2" s="1"/>
  <c r="P222" i="2"/>
  <c r="X220" i="2"/>
  <c r="X219" i="2"/>
  <c r="BO218" i="2"/>
  <c r="BM218" i="2"/>
  <c r="Z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Z212" i="2" s="1"/>
  <c r="P212" i="2"/>
  <c r="BP211" i="2"/>
  <c r="BO211" i="2"/>
  <c r="BN211" i="2"/>
  <c r="BM211" i="2"/>
  <c r="Z211" i="2"/>
  <c r="Y211" i="2"/>
  <c r="P211" i="2"/>
  <c r="BO210" i="2"/>
  <c r="BN210" i="2"/>
  <c r="BM210" i="2"/>
  <c r="Z210" i="2"/>
  <c r="Y210" i="2"/>
  <c r="BP210" i="2" s="1"/>
  <c r="P210" i="2"/>
  <c r="BO209" i="2"/>
  <c r="BM209" i="2"/>
  <c r="Y209" i="2"/>
  <c r="BP209" i="2" s="1"/>
  <c r="P209" i="2"/>
  <c r="X206" i="2"/>
  <c r="X205" i="2"/>
  <c r="BO204" i="2"/>
  <c r="BM204" i="2"/>
  <c r="Y204" i="2"/>
  <c r="BN204" i="2" s="1"/>
  <c r="P204" i="2"/>
  <c r="BO203" i="2"/>
  <c r="BM203" i="2"/>
  <c r="Y203" i="2"/>
  <c r="Y205" i="2" s="1"/>
  <c r="P203" i="2"/>
  <c r="X201" i="2"/>
  <c r="X200" i="2"/>
  <c r="BO199" i="2"/>
  <c r="BM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BP196" i="2" s="1"/>
  <c r="P196" i="2"/>
  <c r="BO195" i="2"/>
  <c r="BM195" i="2"/>
  <c r="Y195" i="2"/>
  <c r="Z195" i="2" s="1"/>
  <c r="P195" i="2"/>
  <c r="BP194" i="2"/>
  <c r="BO194" i="2"/>
  <c r="BM194" i="2"/>
  <c r="Y194" i="2"/>
  <c r="BN194" i="2" s="1"/>
  <c r="P194" i="2"/>
  <c r="BO193" i="2"/>
  <c r="BM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Y191" i="2"/>
  <c r="Y200" i="2" s="1"/>
  <c r="P191" i="2"/>
  <c r="X189" i="2"/>
  <c r="X188" i="2"/>
  <c r="BO187" i="2"/>
  <c r="BM187" i="2"/>
  <c r="Z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Z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P181" i="2"/>
  <c r="BO181" i="2"/>
  <c r="BN181" i="2"/>
  <c r="BM181" i="2"/>
  <c r="Z181" i="2"/>
  <c r="Y181" i="2"/>
  <c r="P181" i="2"/>
  <c r="BO180" i="2"/>
  <c r="BM180" i="2"/>
  <c r="Y180" i="2"/>
  <c r="BP180" i="2" s="1"/>
  <c r="P180" i="2"/>
  <c r="X178" i="2"/>
  <c r="X177" i="2"/>
  <c r="BO176" i="2"/>
  <c r="BM176" i="2"/>
  <c r="Y176" i="2"/>
  <c r="P176" i="2"/>
  <c r="BO175" i="2"/>
  <c r="BM175" i="2"/>
  <c r="Y175" i="2"/>
  <c r="Z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7" i="2"/>
  <c r="X166" i="2"/>
  <c r="BO165" i="2"/>
  <c r="BM165" i="2"/>
  <c r="Y165" i="2"/>
  <c r="Y167" i="2" s="1"/>
  <c r="P165" i="2"/>
  <c r="X163" i="2"/>
  <c r="X162" i="2"/>
  <c r="BP161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Z159" i="2"/>
  <c r="Y159" i="2"/>
  <c r="Y162" i="2" s="1"/>
  <c r="P159" i="2"/>
  <c r="X157" i="2"/>
  <c r="X156" i="2"/>
  <c r="BO155" i="2"/>
  <c r="BM155" i="2"/>
  <c r="Y155" i="2"/>
  <c r="BP155" i="2" s="1"/>
  <c r="P155" i="2"/>
  <c r="BO154" i="2"/>
  <c r="BM154" i="2"/>
  <c r="Z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BN151" i="2" s="1"/>
  <c r="P151" i="2"/>
  <c r="BO150" i="2"/>
  <c r="BM150" i="2"/>
  <c r="Y150" i="2"/>
  <c r="P150" i="2"/>
  <c r="BO149" i="2"/>
  <c r="BM149" i="2"/>
  <c r="Y149" i="2"/>
  <c r="BN149" i="2" s="1"/>
  <c r="P149" i="2"/>
  <c r="BP148" i="2"/>
  <c r="BO148" i="2"/>
  <c r="BN148" i="2"/>
  <c r="BM148" i="2"/>
  <c r="Z148" i="2"/>
  <c r="Y148" i="2"/>
  <c r="P148" i="2"/>
  <c r="BO147" i="2"/>
  <c r="BM147" i="2"/>
  <c r="Y147" i="2"/>
  <c r="BP147" i="2" s="1"/>
  <c r="P147" i="2"/>
  <c r="BO146" i="2"/>
  <c r="BM146" i="2"/>
  <c r="Y146" i="2"/>
  <c r="BP146" i="2" s="1"/>
  <c r="P146" i="2"/>
  <c r="X144" i="2"/>
  <c r="X143" i="2"/>
  <c r="BO142" i="2"/>
  <c r="BM142" i="2"/>
  <c r="Y142" i="2"/>
  <c r="Z142" i="2" s="1"/>
  <c r="Z143" i="2" s="1"/>
  <c r="P142" i="2"/>
  <c r="X138" i="2"/>
  <c r="X137" i="2"/>
  <c r="BO136" i="2"/>
  <c r="BM136" i="2"/>
  <c r="Z136" i="2"/>
  <c r="Z137" i="2" s="1"/>
  <c r="Y136" i="2"/>
  <c r="BN136" i="2" s="1"/>
  <c r="P136" i="2"/>
  <c r="X134" i="2"/>
  <c r="X133" i="2"/>
  <c r="BP132" i="2"/>
  <c r="BO132" i="2"/>
  <c r="BN132" i="2"/>
  <c r="BM132" i="2"/>
  <c r="Z132" i="2"/>
  <c r="Y132" i="2"/>
  <c r="P132" i="2"/>
  <c r="BO131" i="2"/>
  <c r="BM131" i="2"/>
  <c r="Y131" i="2"/>
  <c r="BP131" i="2" s="1"/>
  <c r="P131" i="2"/>
  <c r="BO130" i="2"/>
  <c r="BM130" i="2"/>
  <c r="Y130" i="2"/>
  <c r="Y133" i="2" s="1"/>
  <c r="P130" i="2"/>
  <c r="X128" i="2"/>
  <c r="X127" i="2"/>
  <c r="BO126" i="2"/>
  <c r="BM126" i="2"/>
  <c r="Y126" i="2"/>
  <c r="P126" i="2"/>
  <c r="BO125" i="2"/>
  <c r="BM125" i="2"/>
  <c r="Y125" i="2"/>
  <c r="BN125" i="2" s="1"/>
  <c r="P125" i="2"/>
  <c r="X122" i="2"/>
  <c r="X121" i="2"/>
  <c r="BO120" i="2"/>
  <c r="BM120" i="2"/>
  <c r="Y120" i="2"/>
  <c r="Y121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Y118" i="2" s="1"/>
  <c r="P113" i="2"/>
  <c r="X111" i="2"/>
  <c r="X110" i="2"/>
  <c r="BO109" i="2"/>
  <c r="BM109" i="2"/>
  <c r="Y109" i="2"/>
  <c r="BP109" i="2" s="1"/>
  <c r="P109" i="2"/>
  <c r="BO108" i="2"/>
  <c r="BM108" i="2"/>
  <c r="Y108" i="2"/>
  <c r="BP108" i="2" s="1"/>
  <c r="P108" i="2"/>
  <c r="BP107" i="2"/>
  <c r="BO107" i="2"/>
  <c r="BM107" i="2"/>
  <c r="Y107" i="2"/>
  <c r="P107" i="2"/>
  <c r="X105" i="2"/>
  <c r="X104" i="2"/>
  <c r="BO103" i="2"/>
  <c r="BM103" i="2"/>
  <c r="Y103" i="2"/>
  <c r="P103" i="2"/>
  <c r="BO102" i="2"/>
  <c r="BM102" i="2"/>
  <c r="Z102" i="2"/>
  <c r="Y102" i="2"/>
  <c r="BN102" i="2" s="1"/>
  <c r="P102" i="2"/>
  <c r="BO101" i="2"/>
  <c r="BM101" i="2"/>
  <c r="Y101" i="2"/>
  <c r="BP101" i="2" s="1"/>
  <c r="P101" i="2"/>
  <c r="BP100" i="2"/>
  <c r="BO100" i="2"/>
  <c r="BN100" i="2"/>
  <c r="BM100" i="2"/>
  <c r="Z100" i="2"/>
  <c r="Y100" i="2"/>
  <c r="P100" i="2"/>
  <c r="X97" i="2"/>
  <c r="X96" i="2"/>
  <c r="BO95" i="2"/>
  <c r="BM95" i="2"/>
  <c r="Y95" i="2"/>
  <c r="BP95" i="2" s="1"/>
  <c r="P95" i="2"/>
  <c r="BO94" i="2"/>
  <c r="BM94" i="2"/>
  <c r="Y94" i="2"/>
  <c r="Z94" i="2" s="1"/>
  <c r="P94" i="2"/>
  <c r="BO93" i="2"/>
  <c r="BM93" i="2"/>
  <c r="Y93" i="2"/>
  <c r="BN93" i="2" s="1"/>
  <c r="P93" i="2"/>
  <c r="BO92" i="2"/>
  <c r="BM92" i="2"/>
  <c r="Y92" i="2"/>
  <c r="Y97" i="2" s="1"/>
  <c r="P92" i="2"/>
  <c r="X90" i="2"/>
  <c r="X89" i="2"/>
  <c r="BO88" i="2"/>
  <c r="BM88" i="2"/>
  <c r="Y88" i="2"/>
  <c r="BP88" i="2" s="1"/>
  <c r="P88" i="2"/>
  <c r="BO87" i="2"/>
  <c r="BM87" i="2"/>
  <c r="Z87" i="2"/>
  <c r="Y87" i="2"/>
  <c r="BP87" i="2" s="1"/>
  <c r="P87" i="2"/>
  <c r="BO86" i="2"/>
  <c r="BM86" i="2"/>
  <c r="Y86" i="2"/>
  <c r="BP86" i="2" s="1"/>
  <c r="P86" i="2"/>
  <c r="X83" i="2"/>
  <c r="X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P76" i="2"/>
  <c r="BO76" i="2"/>
  <c r="BN76" i="2"/>
  <c r="BM76" i="2"/>
  <c r="Z76" i="2"/>
  <c r="Y76" i="2"/>
  <c r="P76" i="2"/>
  <c r="BO75" i="2"/>
  <c r="BN75" i="2"/>
  <c r="BM75" i="2"/>
  <c r="Z75" i="2"/>
  <c r="Y75" i="2"/>
  <c r="BP75" i="2" s="1"/>
  <c r="P75" i="2"/>
  <c r="BO74" i="2"/>
  <c r="BM74" i="2"/>
  <c r="Y74" i="2"/>
  <c r="BP74" i="2" s="1"/>
  <c r="P74" i="2"/>
  <c r="BO73" i="2"/>
  <c r="BM73" i="2"/>
  <c r="Y73" i="2"/>
  <c r="BN73" i="2" s="1"/>
  <c r="P73" i="2"/>
  <c r="X71" i="2"/>
  <c r="X70" i="2"/>
  <c r="BO69" i="2"/>
  <c r="BM69" i="2"/>
  <c r="Y69" i="2"/>
  <c r="BN69" i="2" s="1"/>
  <c r="P69" i="2"/>
  <c r="BP68" i="2"/>
  <c r="BO68" i="2"/>
  <c r="BM68" i="2"/>
  <c r="Y68" i="2"/>
  <c r="BN68" i="2" s="1"/>
  <c r="P68" i="2"/>
  <c r="BO67" i="2"/>
  <c r="BM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X59" i="2"/>
  <c r="X58" i="2"/>
  <c r="BO57" i="2"/>
  <c r="BM57" i="2"/>
  <c r="Z57" i="2"/>
  <c r="Y57" i="2"/>
  <c r="BN57" i="2" s="1"/>
  <c r="P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Z54" i="2"/>
  <c r="Y54" i="2"/>
  <c r="P54" i="2"/>
  <c r="BO53" i="2"/>
  <c r="BM53" i="2"/>
  <c r="Y53" i="2"/>
  <c r="BP53" i="2" s="1"/>
  <c r="P53" i="2"/>
  <c r="BO52" i="2"/>
  <c r="BM52" i="2"/>
  <c r="Y52" i="2"/>
  <c r="P52" i="2"/>
  <c r="X49" i="2"/>
  <c r="X48" i="2"/>
  <c r="BO47" i="2"/>
  <c r="BM47" i="2"/>
  <c r="Y47" i="2"/>
  <c r="BP47" i="2" s="1"/>
  <c r="P47" i="2"/>
  <c r="X45" i="2"/>
  <c r="X44" i="2"/>
  <c r="BP43" i="2"/>
  <c r="BO43" i="2"/>
  <c r="BN43" i="2"/>
  <c r="BM43" i="2"/>
  <c r="Z43" i="2"/>
  <c r="Y43" i="2"/>
  <c r="P43" i="2"/>
  <c r="BO42" i="2"/>
  <c r="BN42" i="2"/>
  <c r="BM42" i="2"/>
  <c r="Z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Z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X476" i="2" s="1"/>
  <c r="Y22" i="2"/>
  <c r="B485" i="2" s="1"/>
  <c r="H10" i="2"/>
  <c r="A9" i="2"/>
  <c r="H9" i="2" s="1"/>
  <c r="D7" i="2"/>
  <c r="Q6" i="2"/>
  <c r="P2" i="2"/>
  <c r="BP22" i="2" l="1"/>
  <c r="Y24" i="2"/>
  <c r="Y48" i="2"/>
  <c r="Y90" i="2"/>
  <c r="Y111" i="2"/>
  <c r="BP113" i="2"/>
  <c r="BN116" i="2"/>
  <c r="BP116" i="2"/>
  <c r="Y122" i="2"/>
  <c r="BP125" i="2"/>
  <c r="Y127" i="2"/>
  <c r="BP149" i="2"/>
  <c r="Y157" i="2"/>
  <c r="Z170" i="2"/>
  <c r="I485" i="2"/>
  <c r="BN170" i="2"/>
  <c r="BP170" i="2"/>
  <c r="BP171" i="2"/>
  <c r="Y172" i="2"/>
  <c r="Y173" i="2"/>
  <c r="BN175" i="2"/>
  <c r="BP175" i="2"/>
  <c r="Y177" i="2"/>
  <c r="BP182" i="2"/>
  <c r="BN195" i="2"/>
  <c r="BP195" i="2"/>
  <c r="Y201" i="2"/>
  <c r="BN212" i="2"/>
  <c r="BP212" i="2"/>
  <c r="BP213" i="2"/>
  <c r="BN222" i="2"/>
  <c r="BP222" i="2"/>
  <c r="Y223" i="2"/>
  <c r="BN239" i="2"/>
  <c r="BP239" i="2"/>
  <c r="Y245" i="2"/>
  <c r="BN250" i="2"/>
  <c r="BP250" i="2"/>
  <c r="BP279" i="2"/>
  <c r="BN279" i="2"/>
  <c r="Z279" i="2"/>
  <c r="BN313" i="2"/>
  <c r="Z313" i="2"/>
  <c r="Y348" i="2"/>
  <c r="BP347" i="2"/>
  <c r="BN347" i="2"/>
  <c r="Z347" i="2"/>
  <c r="Z348" i="2" s="1"/>
  <c r="Y349" i="2"/>
  <c r="BN353" i="2"/>
  <c r="BP353" i="2"/>
  <c r="Y354" i="2"/>
  <c r="BP358" i="2"/>
  <c r="BN358" i="2"/>
  <c r="Z358" i="2"/>
  <c r="Z359" i="2" s="1"/>
  <c r="BP372" i="2"/>
  <c r="BN372" i="2"/>
  <c r="Z372" i="2"/>
  <c r="BN383" i="2"/>
  <c r="Z383" i="2"/>
  <c r="Z384" i="2" s="1"/>
  <c r="W485" i="2"/>
  <c r="Z406" i="2"/>
  <c r="BN412" i="2"/>
  <c r="BP412" i="2"/>
  <c r="BN413" i="2"/>
  <c r="Z413" i="2"/>
  <c r="BN422" i="2"/>
  <c r="BP422" i="2"/>
  <c r="BN423" i="2"/>
  <c r="Z423" i="2"/>
  <c r="Z424" i="2" s="1"/>
  <c r="BN432" i="2"/>
  <c r="BP432" i="2"/>
  <c r="BN437" i="2"/>
  <c r="BP437" i="2"/>
  <c r="X485" i="2"/>
  <c r="BP444" i="2"/>
  <c r="BN444" i="2"/>
  <c r="Z444" i="2"/>
  <c r="Z22" i="2"/>
  <c r="X477" i="2"/>
  <c r="X479" i="2"/>
  <c r="X475" i="2"/>
  <c r="Z30" i="2"/>
  <c r="BN30" i="2"/>
  <c r="BN31" i="2"/>
  <c r="BP31" i="2"/>
  <c r="BN35" i="2"/>
  <c r="Y37" i="2"/>
  <c r="C485" i="2"/>
  <c r="D485" i="2"/>
  <c r="Y58" i="2"/>
  <c r="Z55" i="2"/>
  <c r="BN55" i="2"/>
  <c r="BN56" i="2"/>
  <c r="BP56" i="2"/>
  <c r="BP57" i="2"/>
  <c r="BN61" i="2"/>
  <c r="BP61" i="2"/>
  <c r="Y64" i="2"/>
  <c r="Z67" i="2"/>
  <c r="BN67" i="2"/>
  <c r="BP73" i="2"/>
  <c r="Z86" i="2"/>
  <c r="Z88" i="2"/>
  <c r="BN88" i="2"/>
  <c r="BP93" i="2"/>
  <c r="BN94" i="2"/>
  <c r="BP94" i="2"/>
  <c r="F485" i="2"/>
  <c r="Z101" i="2"/>
  <c r="BN101" i="2"/>
  <c r="BP102" i="2"/>
  <c r="Y104" i="2"/>
  <c r="Y110" i="2"/>
  <c r="Z109" i="2"/>
  <c r="BN109" i="2"/>
  <c r="Z113" i="2"/>
  <c r="Z120" i="2"/>
  <c r="Z121" i="2" s="1"/>
  <c r="Z125" i="2"/>
  <c r="BP130" i="2"/>
  <c r="Y134" i="2"/>
  <c r="BP136" i="2"/>
  <c r="Y137" i="2"/>
  <c r="Y138" i="2"/>
  <c r="BN142" i="2"/>
  <c r="BP142" i="2"/>
  <c r="Y143" i="2"/>
  <c r="Z146" i="2"/>
  <c r="BN146" i="2"/>
  <c r="Z147" i="2"/>
  <c r="BN147" i="2"/>
  <c r="Z149" i="2"/>
  <c r="BP151" i="2"/>
  <c r="BN152" i="2"/>
  <c r="BP152" i="2"/>
  <c r="Z155" i="2"/>
  <c r="BP159" i="2"/>
  <c r="Z171" i="2"/>
  <c r="Z180" i="2"/>
  <c r="BN180" i="2"/>
  <c r="Z182" i="2"/>
  <c r="BP184" i="2"/>
  <c r="BN185" i="2"/>
  <c r="BP185" i="2"/>
  <c r="Z191" i="2"/>
  <c r="BN191" i="2"/>
  <c r="BP191" i="2"/>
  <c r="BP192" i="2"/>
  <c r="Z197" i="2"/>
  <c r="Z199" i="2"/>
  <c r="BN199" i="2"/>
  <c r="BP204" i="2"/>
  <c r="Z213" i="2"/>
  <c r="BP215" i="2"/>
  <c r="BN216" i="2"/>
  <c r="BP216" i="2"/>
  <c r="Z231" i="2"/>
  <c r="Z235" i="2" s="1"/>
  <c r="Z233" i="2"/>
  <c r="BN233" i="2"/>
  <c r="BP234" i="2"/>
  <c r="Y235" i="2"/>
  <c r="Z241" i="2"/>
  <c r="Z243" i="2"/>
  <c r="BN243" i="2"/>
  <c r="Z256" i="2"/>
  <c r="Z259" i="2" s="1"/>
  <c r="BN256" i="2"/>
  <c r="BP256" i="2"/>
  <c r="BN257" i="2"/>
  <c r="BP257" i="2"/>
  <c r="BP258" i="2"/>
  <c r="Y259" i="2"/>
  <c r="Y260" i="2"/>
  <c r="Z263" i="2"/>
  <c r="Y265" i="2"/>
  <c r="BP263" i="2"/>
  <c r="BN263" i="2"/>
  <c r="Y271" i="2"/>
  <c r="BP268" i="2"/>
  <c r="BN268" i="2"/>
  <c r="Z268" i="2"/>
  <c r="Z270" i="2" s="1"/>
  <c r="Y281" i="2"/>
  <c r="BN285" i="2"/>
  <c r="BP285" i="2"/>
  <c r="BP288" i="2"/>
  <c r="Z288" i="2"/>
  <c r="Z302" i="2"/>
  <c r="BP300" i="2"/>
  <c r="BN300" i="2"/>
  <c r="Z300" i="2"/>
  <c r="BP313" i="2"/>
  <c r="Y315" i="2"/>
  <c r="BN337" i="2"/>
  <c r="Z337" i="2"/>
  <c r="Y360" i="2"/>
  <c r="BN364" i="2"/>
  <c r="BP364" i="2"/>
  <c r="Y380" i="2"/>
  <c r="Z370" i="2"/>
  <c r="BP383" i="2"/>
  <c r="Y384" i="2"/>
  <c r="Y385" i="2"/>
  <c r="BN388" i="2"/>
  <c r="BP388" i="2"/>
  <c r="Y389" i="2"/>
  <c r="BP393" i="2"/>
  <c r="BN393" i="2"/>
  <c r="Z393" i="2"/>
  <c r="BN407" i="2"/>
  <c r="BP407" i="2"/>
  <c r="BP410" i="2"/>
  <c r="Z410" i="2"/>
  <c r="BP413" i="2"/>
  <c r="BN415" i="2"/>
  <c r="BP415" i="2"/>
  <c r="BP423" i="2"/>
  <c r="Y424" i="2"/>
  <c r="Y425" i="2"/>
  <c r="Y434" i="2"/>
  <c r="BN427" i="2"/>
  <c r="BP427" i="2"/>
  <c r="BP430" i="2"/>
  <c r="Z430" i="2"/>
  <c r="Y469" i="2"/>
  <c r="Y468" i="2"/>
  <c r="BP466" i="2"/>
  <c r="BN466" i="2"/>
  <c r="Z466" i="2"/>
  <c r="Y280" i="2"/>
  <c r="BN275" i="2"/>
  <c r="BP275" i="2"/>
  <c r="BP292" i="2"/>
  <c r="BN295" i="2"/>
  <c r="BP295" i="2"/>
  <c r="Y303" i="2"/>
  <c r="BN301" i="2"/>
  <c r="BP301" i="2"/>
  <c r="BN306" i="2"/>
  <c r="BP306" i="2"/>
  <c r="Y323" i="2"/>
  <c r="BP327" i="2"/>
  <c r="Y335" i="2"/>
  <c r="BN330" i="2"/>
  <c r="BP330" i="2"/>
  <c r="BP373" i="2"/>
  <c r="BN376" i="2"/>
  <c r="BP376" i="2"/>
  <c r="BN394" i="2"/>
  <c r="BP394" i="2"/>
  <c r="BP395" i="2"/>
  <c r="Y396" i="2"/>
  <c r="Y397" i="2"/>
  <c r="BN400" i="2"/>
  <c r="BP400" i="2"/>
  <c r="Y401" i="2"/>
  <c r="BN416" i="2"/>
  <c r="BP416" i="2"/>
  <c r="BN445" i="2"/>
  <c r="BP445" i="2"/>
  <c r="BP446" i="2"/>
  <c r="Y455" i="2"/>
  <c r="BP457" i="2"/>
  <c r="Y459" i="2"/>
  <c r="Y463" i="2"/>
  <c r="Z468" i="2"/>
  <c r="BN467" i="2"/>
  <c r="BP467" i="2"/>
  <c r="J9" i="2"/>
  <c r="A10" i="2"/>
  <c r="F10" i="2"/>
  <c r="X478" i="2"/>
  <c r="Z396" i="2"/>
  <c r="Y448" i="2"/>
  <c r="G485" i="2"/>
  <c r="Z81" i="2"/>
  <c r="Z115" i="2"/>
  <c r="Y163" i="2"/>
  <c r="Y188" i="2"/>
  <c r="Y206" i="2"/>
  <c r="Y219" i="2"/>
  <c r="Z226" i="2"/>
  <c r="Z227" i="2" s="1"/>
  <c r="BP264" i="2"/>
  <c r="Z305" i="2"/>
  <c r="BP307" i="2"/>
  <c r="BP342" i="2"/>
  <c r="Z363" i="2"/>
  <c r="Z375" i="2"/>
  <c r="BP377" i="2"/>
  <c r="BP408" i="2"/>
  <c r="BP428" i="2"/>
  <c r="Z436" i="2"/>
  <c r="BP438" i="2"/>
  <c r="BP462" i="2"/>
  <c r="Y474" i="2"/>
  <c r="H485" i="2"/>
  <c r="Z183" i="2"/>
  <c r="BN226" i="2"/>
  <c r="Z248" i="2"/>
  <c r="Y316" i="2"/>
  <c r="Z328" i="2"/>
  <c r="Z338" i="2"/>
  <c r="Z339" i="2" s="1"/>
  <c r="BN363" i="2"/>
  <c r="BN375" i="2"/>
  <c r="Z414" i="2"/>
  <c r="BN436" i="2"/>
  <c r="Y439" i="2"/>
  <c r="Y449" i="2"/>
  <c r="Z458" i="2"/>
  <c r="Z459" i="2" s="1"/>
  <c r="J485" i="2"/>
  <c r="BN81" i="2"/>
  <c r="Z103" i="2"/>
  <c r="Z104" i="2" s="1"/>
  <c r="Z126" i="2"/>
  <c r="Z127" i="2" s="1"/>
  <c r="Z193" i="2"/>
  <c r="Z203" i="2"/>
  <c r="Z214" i="2"/>
  <c r="Z283" i="2"/>
  <c r="Z293" i="2"/>
  <c r="BN305" i="2"/>
  <c r="BN29" i="2"/>
  <c r="Y32" i="2"/>
  <c r="Z41" i="2"/>
  <c r="Z44" i="2" s="1"/>
  <c r="BN54" i="2"/>
  <c r="Y65" i="2"/>
  <c r="Z74" i="2"/>
  <c r="BN87" i="2"/>
  <c r="Z108" i="2"/>
  <c r="BN120" i="2"/>
  <c r="Z131" i="2"/>
  <c r="BN155" i="2"/>
  <c r="Z165" i="2"/>
  <c r="Z166" i="2" s="1"/>
  <c r="Y189" i="2"/>
  <c r="BN198" i="2"/>
  <c r="Z209" i="2"/>
  <c r="Y220" i="2"/>
  <c r="BN231" i="2"/>
  <c r="BN242" i="2"/>
  <c r="BN278" i="2"/>
  <c r="BN288" i="2"/>
  <c r="Z308" i="2"/>
  <c r="BN321" i="2"/>
  <c r="BN333" i="2"/>
  <c r="Z343" i="2"/>
  <c r="BN370" i="2"/>
  <c r="Z378" i="2"/>
  <c r="BN406" i="2"/>
  <c r="Z409" i="2"/>
  <c r="Z429" i="2"/>
  <c r="BN453" i="2"/>
  <c r="K485" i="2"/>
  <c r="BP115" i="2"/>
  <c r="BN150" i="2"/>
  <c r="BN160" i="2"/>
  <c r="BN183" i="2"/>
  <c r="Y296" i="2"/>
  <c r="BN414" i="2"/>
  <c r="BP436" i="2"/>
  <c r="BN458" i="2"/>
  <c r="L485" i="2"/>
  <c r="Z92" i="2"/>
  <c r="Z150" i="2"/>
  <c r="Z160" i="2"/>
  <c r="BN103" i="2"/>
  <c r="BN203" i="2"/>
  <c r="BN214" i="2"/>
  <c r="BP305" i="2"/>
  <c r="BN328" i="2"/>
  <c r="Z27" i="2"/>
  <c r="BN41" i="2"/>
  <c r="Y44" i="2"/>
  <c r="Z52" i="2"/>
  <c r="BP54" i="2"/>
  <c r="Z62" i="2"/>
  <c r="BN74" i="2"/>
  <c r="Y77" i="2"/>
  <c r="Z95" i="2"/>
  <c r="BN108" i="2"/>
  <c r="BP120" i="2"/>
  <c r="BN131" i="2"/>
  <c r="Z153" i="2"/>
  <c r="BN165" i="2"/>
  <c r="Z176" i="2"/>
  <c r="Z177" i="2" s="1"/>
  <c r="Z186" i="2"/>
  <c r="Z196" i="2"/>
  <c r="BN209" i="2"/>
  <c r="Z217" i="2"/>
  <c r="BP231" i="2"/>
  <c r="Z240" i="2"/>
  <c r="Z244" i="2" s="1"/>
  <c r="Z251" i="2"/>
  <c r="Y266" i="2"/>
  <c r="Z276" i="2"/>
  <c r="Z286" i="2"/>
  <c r="BN308" i="2"/>
  <c r="Z319" i="2"/>
  <c r="Z331" i="2"/>
  <c r="BN343" i="2"/>
  <c r="Y359" i="2"/>
  <c r="BP370" i="2"/>
  <c r="BN378" i="2"/>
  <c r="BP406" i="2"/>
  <c r="BN409" i="2"/>
  <c r="Z417" i="2"/>
  <c r="BN429" i="2"/>
  <c r="Z451" i="2"/>
  <c r="Y464" i="2"/>
  <c r="Y25" i="2"/>
  <c r="Y49" i="2"/>
  <c r="BN126" i="2"/>
  <c r="BP226" i="2"/>
  <c r="BN248" i="2"/>
  <c r="BN22" i="2"/>
  <c r="BP69" i="2"/>
  <c r="Y82" i="2"/>
  <c r="BN113" i="2"/>
  <c r="BP126" i="2"/>
  <c r="BP203" i="2"/>
  <c r="Z222" i="2"/>
  <c r="Z223" i="2" s="1"/>
  <c r="Y227" i="2"/>
  <c r="BP248" i="2"/>
  <c r="BP283" i="2"/>
  <c r="BP293" i="2"/>
  <c r="BP328" i="2"/>
  <c r="BP338" i="2"/>
  <c r="BP458" i="2"/>
  <c r="O485" i="2"/>
  <c r="Z69" i="2"/>
  <c r="BN92" i="2"/>
  <c r="BN193" i="2"/>
  <c r="BN283" i="2"/>
  <c r="BN338" i="2"/>
  <c r="Y33" i="2"/>
  <c r="BP92" i="2"/>
  <c r="BP103" i="2"/>
  <c r="BP150" i="2"/>
  <c r="BN27" i="2"/>
  <c r="BP41" i="2"/>
  <c r="BN52" i="2"/>
  <c r="BN62" i="2"/>
  <c r="BN95" i="2"/>
  <c r="Y144" i="2"/>
  <c r="BN153" i="2"/>
  <c r="Y156" i="2"/>
  <c r="BP165" i="2"/>
  <c r="BN176" i="2"/>
  <c r="BN186" i="2"/>
  <c r="BN196" i="2"/>
  <c r="BN217" i="2"/>
  <c r="BN240" i="2"/>
  <c r="BN251" i="2"/>
  <c r="BN276" i="2"/>
  <c r="BN286" i="2"/>
  <c r="Y289" i="2"/>
  <c r="Y297" i="2"/>
  <c r="BN319" i="2"/>
  <c r="Y322" i="2"/>
  <c r="BN331" i="2"/>
  <c r="Y334" i="2"/>
  <c r="Y355" i="2"/>
  <c r="Y390" i="2"/>
  <c r="Z400" i="2"/>
  <c r="Z401" i="2" s="1"/>
  <c r="BN417" i="2"/>
  <c r="Z427" i="2"/>
  <c r="BN451" i="2"/>
  <c r="Y454" i="2"/>
  <c r="P485" i="2"/>
  <c r="Y45" i="2"/>
  <c r="Y70" i="2"/>
  <c r="Y78" i="2"/>
  <c r="Y339" i="2"/>
  <c r="Q485" i="2"/>
  <c r="Z35" i="2"/>
  <c r="Z36" i="2" s="1"/>
  <c r="BP52" i="2"/>
  <c r="Y83" i="2"/>
  <c r="Z93" i="2"/>
  <c r="Z151" i="2"/>
  <c r="Z161" i="2"/>
  <c r="Z162" i="2" s="1"/>
  <c r="Y166" i="2"/>
  <c r="BP176" i="2"/>
  <c r="Z184" i="2"/>
  <c r="Z194" i="2"/>
  <c r="Z204" i="2"/>
  <c r="Z215" i="2"/>
  <c r="Z249" i="2"/>
  <c r="Z274" i="2"/>
  <c r="Z280" i="2" s="1"/>
  <c r="Z284" i="2"/>
  <c r="Z294" i="2"/>
  <c r="Y309" i="2"/>
  <c r="Z329" i="2"/>
  <c r="Y344" i="2"/>
  <c r="Z352" i="2"/>
  <c r="Z354" i="2" s="1"/>
  <c r="Y379" i="2"/>
  <c r="Z415" i="2"/>
  <c r="Z472" i="2"/>
  <c r="Z473" i="2" s="1"/>
  <c r="R485" i="2"/>
  <c r="S485" i="2"/>
  <c r="Z47" i="2"/>
  <c r="Z48" i="2" s="1"/>
  <c r="Y71" i="2"/>
  <c r="Z80" i="2"/>
  <c r="Z82" i="2" s="1"/>
  <c r="Y96" i="2"/>
  <c r="Y105" i="2"/>
  <c r="Z114" i="2"/>
  <c r="Z117" i="2" s="1"/>
  <c r="Y128" i="2"/>
  <c r="BN249" i="2"/>
  <c r="Y252" i="2"/>
  <c r="BN274" i="2"/>
  <c r="BN284" i="2"/>
  <c r="BN294" i="2"/>
  <c r="Z314" i="2"/>
  <c r="Z315" i="2" s="1"/>
  <c r="BN329" i="2"/>
  <c r="BN352" i="2"/>
  <c r="Z362" i="2"/>
  <c r="Z374" i="2"/>
  <c r="Y418" i="2"/>
  <c r="Z447" i="2"/>
  <c r="Z448" i="2" s="1"/>
  <c r="Y460" i="2"/>
  <c r="BN472" i="2"/>
  <c r="T485" i="2"/>
  <c r="Z23" i="2"/>
  <c r="Z24" i="2" s="1"/>
  <c r="Z53" i="2"/>
  <c r="Z63" i="2"/>
  <c r="Z277" i="2"/>
  <c r="Z287" i="2"/>
  <c r="BN299" i="2"/>
  <c r="Y302" i="2"/>
  <c r="Z320" i="2"/>
  <c r="Z332" i="2"/>
  <c r="Y345" i="2"/>
  <c r="BN357" i="2"/>
  <c r="BN392" i="2"/>
  <c r="BN410" i="2"/>
  <c r="BN430" i="2"/>
  <c r="Y433" i="2"/>
  <c r="Z452" i="2"/>
  <c r="U485" i="2"/>
  <c r="Y59" i="2"/>
  <c r="Z68" i="2"/>
  <c r="Z70" i="2" s="1"/>
  <c r="BN80" i="2"/>
  <c r="Y117" i="2"/>
  <c r="BP274" i="2"/>
  <c r="BN314" i="2"/>
  <c r="BN362" i="2"/>
  <c r="Y365" i="2"/>
  <c r="BN374" i="2"/>
  <c r="BN447" i="2"/>
  <c r="BP472" i="2"/>
  <c r="V485" i="2"/>
  <c r="Z28" i="2"/>
  <c r="BN23" i="2"/>
  <c r="BP35" i="2"/>
  <c r="BN114" i="2"/>
  <c r="BN154" i="2"/>
  <c r="Y178" i="2"/>
  <c r="BN187" i="2"/>
  <c r="BN197" i="2"/>
  <c r="BN218" i="2"/>
  <c r="BN230" i="2"/>
  <c r="BN241" i="2"/>
  <c r="Y244" i="2"/>
  <c r="Z264" i="2"/>
  <c r="Z265" i="2" s="1"/>
  <c r="BN277" i="2"/>
  <c r="BN287" i="2"/>
  <c r="BP299" i="2"/>
  <c r="Z307" i="2"/>
  <c r="BN320" i="2"/>
  <c r="BN332" i="2"/>
  <c r="Z342" i="2"/>
  <c r="Z344" i="2" s="1"/>
  <c r="Z377" i="2"/>
  <c r="Z408" i="2"/>
  <c r="Z418" i="2" s="1"/>
  <c r="Y419" i="2"/>
  <c r="Z428" i="2"/>
  <c r="Z438" i="2"/>
  <c r="BN452" i="2"/>
  <c r="Z462" i="2"/>
  <c r="Z463" i="2" s="1"/>
  <c r="BN47" i="2"/>
  <c r="BN28" i="2"/>
  <c r="BN53" i="2"/>
  <c r="BN63" i="2"/>
  <c r="Z73" i="2"/>
  <c r="Z77" i="2" s="1"/>
  <c r="BN86" i="2"/>
  <c r="Y89" i="2"/>
  <c r="Z107" i="2"/>
  <c r="Z110" i="2" s="1"/>
  <c r="Z130" i="2"/>
  <c r="Z133" i="2" s="1"/>
  <c r="F9" i="2"/>
  <c r="BN159" i="2"/>
  <c r="BP362" i="2"/>
  <c r="Y473" i="2"/>
  <c r="E485" i="2"/>
  <c r="BN107" i="2"/>
  <c r="BN130" i="2"/>
  <c r="Z379" i="2" l="1"/>
  <c r="Z322" i="2"/>
  <c r="Z32" i="2"/>
  <c r="Z296" i="2"/>
  <c r="Z200" i="2"/>
  <c r="Z172" i="2"/>
  <c r="Y477" i="2"/>
  <c r="Z64" i="2"/>
  <c r="Z156" i="2"/>
  <c r="Y479" i="2"/>
  <c r="Z334" i="2"/>
  <c r="Z188" i="2"/>
  <c r="Z89" i="2"/>
  <c r="Y476" i="2"/>
  <c r="Y478" i="2" s="1"/>
  <c r="Z309" i="2"/>
  <c r="Z58" i="2"/>
  <c r="Z289" i="2"/>
  <c r="Z252" i="2"/>
  <c r="Z433" i="2"/>
  <c r="Y475" i="2"/>
  <c r="Z219" i="2"/>
  <c r="Z205" i="2"/>
  <c r="Z439" i="2"/>
  <c r="Z365" i="2"/>
  <c r="Z454" i="2"/>
  <c r="Z96" i="2"/>
  <c r="Z480" i="2" l="1"/>
</calcChain>
</file>

<file path=xl/sharedStrings.xml><?xml version="1.0" encoding="utf-8"?>
<sst xmlns="http://schemas.openxmlformats.org/spreadsheetml/2006/main" count="3520" uniqueCount="756">
  <si>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</si>
  <si>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</si>
  <si>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</si>
  <si>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</si>
  <si>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</si>
  <si>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</si>
  <si>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</si>
  <si>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</si>
  <si>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</si>
  <si>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</si>
  <si>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</si>
  <si>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</si>
  <si>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</si>
  <si>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</si>
  <si>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</si>
  <si>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</si>
  <si>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</si>
  <si>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</si>
  <si>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</si>
  <si>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</si>
  <si>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</si>
  <si>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</si>
  <si>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</si>
  <si>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</si>
  <si>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</si>
  <si>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</si>
  <si>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</si>
  <si>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</si>
  <si>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</si>
  <si>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</si>
  <si>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</si>
  <si>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</si>
  <si>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</si>
  <si>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</si>
  <si>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</si>
  <si>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</si>
  <si>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</si>
  <si>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</si>
  <si>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</si>
  <si>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</si>
  <si>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</si>
  <si>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</si>
  <si>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</si>
  <si>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</si>
  <si>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</si>
  <si>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</si>
  <si>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</si>
  <si>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</si>
  <si>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</si>
  <si>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</si>
  <si>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</si>
  <si>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</si>
  <si>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</si>
  <si>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</si>
  <si>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</si>
  <si>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</si>
  <si>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</si>
  <si>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</si>
  <si>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</si>
  <si>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</si>
  <si>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</si>
  <si>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</si>
  <si>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</si>
  <si>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</si>
  <si>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</si>
  <si>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</si>
  <si>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</si>
  <si>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08.12.2025</t>
  </si>
  <si>
    <t>03.12.2025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</si>
  <si>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</si>
  <si>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</si>
  <si>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</si>
  <si>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</si>
  <si>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</si>
  <si>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</si>
  <si>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</si>
  <si>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</si>
  <si>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</si>
  <si>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</si>
  <si>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Копченые колбасы «Колбаски Мини-колбаски со вкусом Мясо на углях» Фикс.вес 0,2 б/о ТМ «Ядрена копоть»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</si>
  <si>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</si>
  <si>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</si>
  <si>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</si>
  <si>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</si>
  <si>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</si>
  <si>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</si>
  <si>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</si>
  <si>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</si>
  <si>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</si>
  <si>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</si>
  <si>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</si>
  <si>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</si>
  <si>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</si>
  <si>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</si>
  <si>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</si>
  <si>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</si>
  <si>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</si>
  <si>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</si>
  <si>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</si>
  <si>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</si>
  <si>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</si>
  <si>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</si>
  <si>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</si>
  <si>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</si>
  <si>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</si>
  <si>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</si>
  <si>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</si>
  <si>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</si>
  <si>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</si>
  <si>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</si>
  <si>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</si>
  <si>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</si>
  <si>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</si>
  <si>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</si>
  <si>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</si>
  <si>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</si>
  <si>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</si>
  <si>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</si>
  <si>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</si>
  <si>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</si>
  <si>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</si>
  <si>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</si>
  <si>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</si>
  <si>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</si>
  <si>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</si>
  <si>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</si>
  <si>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</si>
  <si>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</si>
  <si>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</si>
  <si>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</si>
  <si>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</si>
  <si>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</si>
  <si>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</si>
  <si>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</si>
  <si>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</si>
  <si>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</si>
  <si>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</si>
  <si>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</si>
  <si>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</si>
  <si>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</si>
  <si>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</si>
  <si>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</si>
  <si>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</si>
  <si>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</si>
  <si>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</si>
  <si>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</si>
  <si>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</si>
  <si>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</si>
  <si>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</si>
  <si>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</si>
  <si>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</si>
  <si>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</si>
  <si>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</si>
  <si>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</si>
  <si>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</si>
  <si>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</si>
  <si>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</si>
  <si>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</si>
  <si>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</si>
  <si>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</si>
  <si>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</si>
  <si>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</si>
  <si>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</si>
  <si>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</si>
  <si>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</si>
  <si>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</si>
  <si>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</si>
  <si>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</si>
  <si>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</si>
  <si>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</si>
  <si>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</si>
  <si>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</si>
  <si>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</si>
  <si>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</si>
  <si>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</si>
  <si>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</si>
  <si>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</si>
  <si>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</si>
  <si>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</si>
  <si>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</si>
  <si>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</si>
  <si>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</si>
  <si>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</si>
  <si>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</si>
  <si>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</si>
  <si>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</si>
  <si>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</si>
  <si>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</si>
  <si>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</si>
  <si>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</si>
  <si>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</si>
  <si>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</si>
  <si>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</si>
  <si>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</si>
  <si>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</si>
  <si>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</si>
  <si>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</si>
  <si>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</si>
  <si>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</si>
  <si>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</si>
  <si>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</si>
  <si>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</si>
  <si>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</si>
  <si>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</si>
  <si>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</si>
  <si>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</si>
  <si>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</si>
  <si>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</si>
  <si>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</si>
  <si>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</si>
  <si>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</si>
  <si>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</si>
  <si>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</si>
  <si>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</si>
  <si>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</si>
  <si>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</si>
  <si>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</si>
  <si>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</si>
  <si>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</si>
  <si>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</si>
  <si>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</si>
  <si>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</si>
  <si>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</si>
  <si>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</si>
  <si>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</si>
  <si>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</si>
  <si>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</si>
  <si>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</si>
  <si>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</si>
  <si>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</si>
  <si>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</si>
  <si>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</si>
  <si>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</si>
  <si>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</si>
  <si>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</si>
  <si>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</si>
  <si>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</si>
  <si>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</si>
  <si>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</si>
  <si>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</si>
  <si>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</si>
  <si>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</si>
  <si>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</si>
  <si>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</si>
  <si>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</si>
  <si>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</si>
  <si>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</si>
  <si>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</si>
  <si>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</si>
  <si>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</si>
  <si>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</si>
  <si>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</si>
  <si>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</si>
  <si>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</si>
  <si>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</si>
  <si>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</si>
  <si>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</si>
  <si>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</si>
  <si>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</si>
  <si>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</si>
  <si>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</si>
  <si>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</si>
  <si>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</si>
  <si>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</si>
  <si>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</si>
  <si>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</si>
  <si>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</si>
  <si>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</si>
  <si>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</si>
  <si>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</si>
  <si>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</si>
  <si>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</si>
  <si>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</si>
  <si>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</si>
  <si>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</si>
  <si>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</si>
  <si>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</si>
  <si>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</si>
  <si>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</si>
  <si>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</si>
  <si>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</si>
  <si>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</si>
  <si>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</si>
  <si>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</si>
  <si>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</si>
  <si>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</si>
  <si>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</si>
  <si>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</si>
  <si>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</si>
  <si>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</si>
  <si>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</si>
  <si>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</si>
  <si>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</si>
  <si>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</si>
  <si>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</si>
  <si>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</si>
  <si>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</si>
  <si>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</si>
  <si>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</si>
  <si>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</si>
  <si>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</si>
  <si>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</si>
  <si>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</si>
  <si>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</si>
  <si>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</si>
  <si>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</si>
  <si>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</si>
  <si>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</si>
  <si>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</si>
  <si>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</si>
  <si>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</si>
  <si>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</si>
  <si>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</si>
  <si>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</si>
  <si>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</si>
  <si>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</si>
  <si>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</si>
  <si>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</si>
  <si>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</si>
  <si>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</si>
  <si>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</si>
  <si>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</si>
  <si>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</si>
  <si>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</si>
  <si>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</si>
  <si>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</si>
  <si>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</si>
  <si>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</si>
  <si>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</si>
  <si>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</si>
  <si>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</si>
  <si>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</si>
  <si>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</si>
  <si>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</si>
  <si>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</si>
  <si>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</si>
  <si>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</si>
  <si>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</si>
  <si>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</si>
  <si>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</si>
  <si>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</si>
  <si>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</si>
  <si>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</si>
  <si>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</si>
  <si>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</si>
  <si>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</si>
  <si>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</si>
  <si>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</si>
  <si>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</si>
  <si>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</si>
  <si>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</si>
  <si>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</si>
  <si>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</si>
  <si>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</si>
  <si>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</si>
  <si>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</si>
  <si>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</si>
  <si>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</si>
  <si>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</si>
  <si>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</si>
  <si>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</si>
  <si>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</si>
  <si>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</si>
  <si>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</si>
  <si>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</si>
  <si>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</si>
  <si>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</si>
  <si>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</si>
  <si>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</si>
  <si>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</si>
  <si>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</si>
  <si>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</si>
  <si>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</si>
  <si>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</si>
  <si>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</si>
  <si>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</si>
  <si>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</si>
  <si>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</si>
  <si>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</si>
  <si>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</si>
  <si>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</si>
  <si>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</si>
  <si>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</si>
  <si>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</si>
  <si>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</si>
  <si>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</si>
  <si>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</si>
  <si>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</si>
  <si>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</si>
  <si>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</si>
  <si>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</si>
  <si>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</si>
  <si>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</si>
  <si>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</si>
  <si>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</si>
  <si>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</si>
  <si>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</si>
  <si>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</si>
  <si>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</si>
  <si>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</si>
  <si>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</si>
  <si>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</si>
  <si>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</si>
  <si>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</si>
  <si>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</si>
  <si>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</si>
  <si>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</si>
  <si>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</si>
  <si>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</si>
  <si>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</si>
  <si>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</si>
  <si>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</si>
  <si>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</si>
  <si>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</si>
  <si>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</si>
  <si>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</si>
  <si>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</si>
  <si>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</si>
  <si>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</si>
  <si>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</si>
  <si>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</si>
  <si>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</si>
  <si>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</si>
  <si>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</si>
  <si>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</si>
  <si>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</si>
  <si>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</si>
  <si>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</si>
  <si>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</si>
  <si>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</si>
  <si>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</si>
  <si>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</si>
  <si>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</si>
  <si>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</si>
  <si>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</si>
  <si>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</si>
  <si>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</si>
  <si>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</si>
  <si>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</si>
  <si>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</si>
  <si>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</si>
  <si>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</si>
  <si>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</si>
  <si>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</si>
  <si>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</si>
  <si>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</si>
  <si>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</si>
  <si>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</si>
  <si>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</si>
  <si>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</si>
  <si>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</si>
  <si>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</si>
  <si>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</si>
  <si>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</si>
  <si>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</si>
  <si>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</si>
  <si>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</si>
  <si>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</si>
  <si>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</si>
  <si>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</si>
  <si>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</si>
  <si>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</si>
  <si>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</si>
  <si>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</si>
  <si>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</si>
  <si>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</si>
  <si>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</si>
  <si>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</si>
  <si>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</si>
  <si>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</si>
  <si>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</si>
  <si>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</si>
  <si>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</si>
  <si>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</si>
  <si>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</si>
  <si>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</si>
  <si>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</si>
  <si>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</si>
  <si>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</si>
  <si>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</si>
  <si>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</si>
  <si>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</si>
  <si>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</si>
  <si>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</si>
  <si>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</si>
  <si>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</si>
  <si>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</si>
  <si>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</si>
  <si>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</si>
  <si>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</si>
  <si>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</si>
  <si>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</si>
  <si>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</si>
  <si>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</si>
  <si>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</si>
  <si>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</si>
  <si>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</si>
  <si>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</si>
  <si>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</si>
  <si>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</si>
  <si>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</si>
  <si>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</si>
  <si>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</si>
  <si>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</si>
  <si>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</si>
  <si>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</si>
  <si>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</si>
  <si>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</si>
  <si>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</si>
  <si>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</si>
  <si>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</si>
  <si>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</si>
  <si>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</si>
  <si>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</si>
  <si>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</si>
  <si>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</si>
  <si>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</si>
  <si>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</si>
  <si>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</si>
  <si>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</si>
  <si>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</si>
  <si>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</si>
  <si>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</si>
  <si>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</si>
  <si>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</si>
  <si>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</si>
  <si>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</si>
  <si>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</si>
  <si>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</si>
  <si>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</si>
  <si>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</si>
  <si>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</si>
  <si>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</si>
  <si>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</si>
  <si>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</si>
  <si>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</si>
  <si>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</si>
  <si>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</si>
  <si>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</si>
  <si>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</si>
  <si>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</si>
  <si>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</si>
  <si>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</si>
  <si>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</si>
  <si>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</si>
  <si>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</si>
  <si>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</si>
  <si>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</si>
  <si>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</si>
  <si>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</si>
  <si>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</si>
  <si>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</si>
  <si>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</si>
  <si>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</si>
  <si>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</si>
  <si>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</si>
  <si>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</si>
  <si>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</si>
  <si>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</si>
  <si>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</si>
  <si>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</si>
  <si>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</si>
  <si>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</si>
  <si>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</si>
  <si>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</si>
  <si>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</si>
  <si>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</si>
  <si>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</si>
  <si>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</si>
  <si>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</si>
  <si>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</si>
  <si>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</si>
  <si>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</si>
  <si>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</si>
  <si>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</si>
  <si>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</si>
  <si>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</si>
  <si>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</si>
  <si>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</si>
  <si>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</si>
  <si>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</si>
  <si>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</si>
  <si>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</si>
  <si>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</si>
  <si>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</si>
  <si>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</si>
  <si>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</si>
  <si>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</si>
  <si>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</si>
  <si>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</si>
  <si>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</si>
  <si>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</si>
  <si>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</si>
  <si>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</si>
  <si>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</si>
  <si>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</si>
  <si>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</si>
  <si>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</si>
  <si>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</si>
  <si>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</si>
  <si>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</si>
  <si>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</si>
  <si>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</si>
  <si>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</si>
  <si>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</si>
  <si>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</si>
  <si>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</si>
  <si>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</si>
  <si>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</si>
  <si>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</si>
  <si>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</si>
  <si>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</si>
  <si>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</si>
  <si>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</si>
  <si>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</si>
  <si>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</si>
  <si>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</si>
  <si>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</si>
  <si>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</si>
  <si>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</si>
  <si>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</si>
  <si>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</si>
  <si>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</si>
  <si>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</si>
  <si>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</si>
  <si>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</si>
  <si>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</si>
  <si>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</si>
  <si>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</si>
  <si>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</si>
  <si>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</si>
  <si>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</si>
  <si>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</si>
  <si>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</si>
  <si>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</si>
  <si>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</si>
  <si>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</si>
  <si>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</si>
  <si>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</si>
  <si>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</si>
  <si>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</si>
  <si>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</si>
  <si>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</si>
  <si>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</si>
  <si>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</si>
  <si>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</si>
  <si>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</si>
  <si>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</si>
  <si>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</si>
  <si>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</si>
  <si>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</si>
  <si>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</si>
  <si>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</si>
  <si>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</si>
  <si>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</si>
  <si>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</si>
  <si>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</si>
  <si>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</si>
  <si>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</si>
  <si>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</si>
  <si>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</si>
  <si>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</si>
  <si>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</si>
  <si>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</si>
  <si>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</si>
  <si>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</si>
  <si>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</si>
  <si>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</si>
  <si>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</si>
  <si>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</si>
  <si>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</si>
  <si>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</si>
  <si>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</si>
  <si>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</si>
  <si>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</si>
  <si>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</si>
  <si>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</si>
  <si>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</si>
  <si>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</si>
  <si>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</si>
  <si>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</si>
  <si>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</si>
  <si>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</si>
  <si>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</si>
  <si>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10.12.2025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</si>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</sst>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5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85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2" t="s">
        <v>26</v>
      </c>
      <c r="E1" s="542"/>
      <c r="F1" s="542"/>
      <c r="G1" s="14" t="s">
        <v>66</v>
      </c>
      <c r="H1" s="542" t="s">
        <v>46</v>
      </c>
      <c r="I1" s="542"/>
      <c r="J1" s="542"/>
      <c r="K1" s="542"/>
      <c r="L1" s="542"/>
      <c r="M1" s="542"/>
      <c r="N1" s="542"/>
      <c r="O1" s="542"/>
      <c r="P1" s="542"/>
      <c r="Q1" s="542"/>
      <c r="R1" s="543" t="s">
        <v>67</v>
      </c>
      <c r="S1" s="544"/>
      <c r="T1" s="5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5"/>
      <c r="R2" s="545"/>
      <c r="S2" s="545"/>
      <c r="T2" s="545"/>
      <c r="U2" s="545"/>
      <c r="V2" s="545"/>
      <c r="W2" s="5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5"/>
      <c r="Q3" s="545"/>
      <c r="R3" s="545"/>
      <c r="S3" s="545"/>
      <c r="T3" s="545"/>
      <c r="U3" s="545"/>
      <c r="V3" s="545"/>
      <c r="W3" s="5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46" t="s">
        <v>8</v>
      </c>
      <c r="B5" s="546"/>
      <c r="C5" s="546"/>
      <c r="D5" s="547"/>
      <c r="E5" s="547"/>
      <c r="F5" s="548" t="s">
        <v>14</v>
      </c>
      <c r="G5" s="548"/>
      <c r="H5" s="547"/>
      <c r="I5" s="547"/>
      <c r="J5" s="547"/>
      <c r="K5" s="547"/>
      <c r="L5" s="547"/>
      <c r="M5" s="547"/>
      <c r="N5" s="72"/>
      <c r="P5" s="27" t="s">
        <v>4</v>
      </c>
      <c r="Q5" s="549">
        <v>46003</v>
      </c>
      <c r="R5" s="549"/>
      <c r="T5" s="550" t="s">
        <v>3</v>
      </c>
      <c r="U5" s="551"/>
      <c r="V5" s="552" t="s">
        <v>736</v>
      </c>
      <c r="W5" s="553"/>
      <c r="AB5" s="59"/>
      <c r="AC5" s="59"/>
      <c r="AD5" s="59"/>
      <c r="AE5" s="59"/>
    </row>
    <row r="6" spans="1:32" s="17" customFormat="1" ht="24" customHeight="1" x14ac:dyDescent="0.2">
      <c r="A6" s="546" t="s">
        <v>1</v>
      </c>
      <c r="B6" s="546"/>
      <c r="C6" s="546"/>
      <c r="D6" s="554" t="s">
        <v>740</v>
      </c>
      <c r="E6" s="554"/>
      <c r="F6" s="554"/>
      <c r="G6" s="554"/>
      <c r="H6" s="554"/>
      <c r="I6" s="554"/>
      <c r="J6" s="554"/>
      <c r="K6" s="554"/>
      <c r="L6" s="554"/>
      <c r="M6" s="554"/>
      <c r="N6" s="73"/>
      <c r="P6" s="27" t="s">
        <v>27</v>
      </c>
      <c r="Q6" s="555" t="str">
        <f>IF(Q5=0," ",CHOOSE(WEEKDAY(Q5,2),"Понедельник","Вторник","Среда","Четверг","Пятница","Суббота","Воскресенье"))</f>
        <v>Пятница</v>
      </c>
      <c r="R6" s="555"/>
      <c r="T6" s="556" t="s">
        <v>5</v>
      </c>
      <c r="U6" s="557"/>
      <c r="V6" s="558" t="s">
        <v>69</v>
      </c>
      <c r="W6" s="5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64" t="str">
        <f>IFERROR(VLOOKUP(DeliveryAddress,Table,3,0),1)</f>
        <v>2</v>
      </c>
      <c r="E7" s="565"/>
      <c r="F7" s="565"/>
      <c r="G7" s="565"/>
      <c r="H7" s="565"/>
      <c r="I7" s="565"/>
      <c r="J7" s="565"/>
      <c r="K7" s="565"/>
      <c r="L7" s="565"/>
      <c r="M7" s="566"/>
      <c r="N7" s="74"/>
      <c r="P7" s="29"/>
      <c r="Q7" s="48"/>
      <c r="R7" s="48"/>
      <c r="T7" s="556"/>
      <c r="U7" s="557"/>
      <c r="V7" s="560"/>
      <c r="W7" s="561"/>
      <c r="AB7" s="59"/>
      <c r="AC7" s="59"/>
      <c r="AD7" s="59"/>
      <c r="AE7" s="59"/>
    </row>
    <row r="8" spans="1:32" s="17" customFormat="1" ht="25.5" customHeight="1" x14ac:dyDescent="0.2">
      <c r="A8" s="567" t="s">
        <v>57</v>
      </c>
      <c r="B8" s="567"/>
      <c r="C8" s="567"/>
      <c r="D8" s="568"/>
      <c r="E8" s="568"/>
      <c r="F8" s="568"/>
      <c r="G8" s="568"/>
      <c r="H8" s="568"/>
      <c r="I8" s="568"/>
      <c r="J8" s="568"/>
      <c r="K8" s="568"/>
      <c r="L8" s="568"/>
      <c r="M8" s="568"/>
      <c r="N8" s="75"/>
      <c r="P8" s="27" t="s">
        <v>11</v>
      </c>
      <c r="Q8" s="569">
        <v>0.375</v>
      </c>
      <c r="R8" s="569"/>
      <c r="T8" s="556"/>
      <c r="U8" s="557"/>
      <c r="V8" s="560"/>
      <c r="W8" s="561"/>
      <c r="AB8" s="59"/>
      <c r="AC8" s="59"/>
      <c r="AD8" s="59"/>
      <c r="AE8" s="59"/>
    </row>
    <row r="9" spans="1:32" s="17" customFormat="1" ht="39.950000000000003" customHeight="1" x14ac:dyDescent="0.2">
      <c r="A9" s="5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571" t="s">
        <v>45</v>
      </c>
      <c r="E9" s="572"/>
      <c r="F9" s="5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73" t="str">
        <f>IF(AND($A$9="Тип доверенности/получателя при получении в адресе перегруза:",$D$9="Разовая доверенность"),"Введите ФИО","")</f>
        <v/>
      </c>
      <c r="I9" s="573"/>
      <c r="J9" s="5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3"/>
      <c r="L9" s="573"/>
      <c r="M9" s="573"/>
      <c r="N9" s="70"/>
      <c r="P9" s="31" t="s">
        <v>15</v>
      </c>
      <c r="Q9" s="574"/>
      <c r="R9" s="574"/>
      <c r="T9" s="556"/>
      <c r="U9" s="557"/>
      <c r="V9" s="562"/>
      <c r="W9" s="5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571"/>
      <c r="E10" s="572"/>
      <c r="F10" s="5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575" t="str">
        <f>IFERROR(VLOOKUP($D$10,Proxy,2,FALSE),"")</f>
        <v/>
      </c>
      <c r="I10" s="575"/>
      <c r="J10" s="575"/>
      <c r="K10" s="575"/>
      <c r="L10" s="575"/>
      <c r="M10" s="575"/>
      <c r="N10" s="71"/>
      <c r="P10" s="31" t="s">
        <v>32</v>
      </c>
      <c r="Q10" s="576"/>
      <c r="R10" s="576"/>
      <c r="U10" s="29" t="s">
        <v>12</v>
      </c>
      <c r="V10" s="577" t="s">
        <v>70</v>
      </c>
      <c r="W10" s="5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79"/>
      <c r="R11" s="579"/>
      <c r="U11" s="29" t="s">
        <v>28</v>
      </c>
      <c r="V11" s="580" t="s">
        <v>54</v>
      </c>
      <c r="W11" s="5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1" t="s">
        <v>71</v>
      </c>
      <c r="B12" s="581"/>
      <c r="C12" s="581"/>
      <c r="D12" s="581"/>
      <c r="E12" s="581"/>
      <c r="F12" s="581"/>
      <c r="G12" s="581"/>
      <c r="H12" s="581"/>
      <c r="I12" s="581"/>
      <c r="J12" s="581"/>
      <c r="K12" s="581"/>
      <c r="L12" s="581"/>
      <c r="M12" s="581"/>
      <c r="N12" s="76"/>
      <c r="P12" s="27" t="s">
        <v>30</v>
      </c>
      <c r="Q12" s="569"/>
      <c r="R12" s="569"/>
      <c r="S12" s="28"/>
      <c r="T12"/>
      <c r="U12" s="29" t="s">
        <v>45</v>
      </c>
      <c r="V12" s="582"/>
      <c r="W12" s="582"/>
      <c r="X12"/>
      <c r="AB12" s="59"/>
      <c r="AC12" s="59"/>
      <c r="AD12" s="59"/>
      <c r="AE12" s="59"/>
    </row>
    <row r="13" spans="1:32" s="17" customFormat="1" ht="23.25" customHeight="1" x14ac:dyDescent="0.2">
      <c r="A13" s="581" t="s">
        <v>72</v>
      </c>
      <c r="B13" s="581"/>
      <c r="C13" s="581"/>
      <c r="D13" s="581"/>
      <c r="E13" s="581"/>
      <c r="F13" s="581"/>
      <c r="G13" s="581"/>
      <c r="H13" s="581"/>
      <c r="I13" s="581"/>
      <c r="J13" s="581"/>
      <c r="K13" s="581"/>
      <c r="L13" s="581"/>
      <c r="M13" s="581"/>
      <c r="N13" s="76"/>
      <c r="O13" s="31"/>
      <c r="P13" s="31" t="s">
        <v>31</v>
      </c>
      <c r="Q13" s="580"/>
      <c r="R13" s="5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1" t="s">
        <v>73</v>
      </c>
      <c r="B14" s="581"/>
      <c r="C14" s="581"/>
      <c r="D14" s="581"/>
      <c r="E14" s="581"/>
      <c r="F14" s="581"/>
      <c r="G14" s="581"/>
      <c r="H14" s="581"/>
      <c r="I14" s="581"/>
      <c r="J14" s="581"/>
      <c r="K14" s="581"/>
      <c r="L14" s="581"/>
      <c r="M14" s="5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3" t="s">
        <v>74</v>
      </c>
      <c r="B15" s="583"/>
      <c r="C15" s="583"/>
      <c r="D15" s="583"/>
      <c r="E15" s="583"/>
      <c r="F15" s="583"/>
      <c r="G15" s="583"/>
      <c r="H15" s="583"/>
      <c r="I15" s="583"/>
      <c r="J15" s="583"/>
      <c r="K15" s="583"/>
      <c r="L15" s="583"/>
      <c r="M15" s="583"/>
      <c r="N15" s="77"/>
      <c r="O15"/>
      <c r="P15" s="584" t="s">
        <v>60</v>
      </c>
      <c r="Q15" s="584"/>
      <c r="R15" s="584"/>
      <c r="S15" s="584"/>
      <c r="T15" s="5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5"/>
      <c r="Q16" s="585"/>
      <c r="R16" s="585"/>
      <c r="S16" s="585"/>
      <c r="T16" s="5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88" t="s">
        <v>58</v>
      </c>
      <c r="B17" s="588" t="s">
        <v>48</v>
      </c>
      <c r="C17" s="590" t="s">
        <v>47</v>
      </c>
      <c r="D17" s="592" t="s">
        <v>49</v>
      </c>
      <c r="E17" s="593"/>
      <c r="F17" s="588" t="s">
        <v>21</v>
      </c>
      <c r="G17" s="588" t="s">
        <v>24</v>
      </c>
      <c r="H17" s="588" t="s">
        <v>22</v>
      </c>
      <c r="I17" s="588" t="s">
        <v>23</v>
      </c>
      <c r="J17" s="588" t="s">
        <v>16</v>
      </c>
      <c r="K17" s="588" t="s">
        <v>65</v>
      </c>
      <c r="L17" s="588" t="s">
        <v>63</v>
      </c>
      <c r="M17" s="588" t="s">
        <v>2</v>
      </c>
      <c r="N17" s="588" t="s">
        <v>62</v>
      </c>
      <c r="O17" s="588" t="s">
        <v>25</v>
      </c>
      <c r="P17" s="592" t="s">
        <v>17</v>
      </c>
      <c r="Q17" s="596"/>
      <c r="R17" s="596"/>
      <c r="S17" s="596"/>
      <c r="T17" s="593"/>
      <c r="U17" s="586" t="s">
        <v>55</v>
      </c>
      <c r="V17" s="587"/>
      <c r="W17" s="588" t="s">
        <v>6</v>
      </c>
      <c r="X17" s="588" t="s">
        <v>41</v>
      </c>
      <c r="Y17" s="598" t="s">
        <v>53</v>
      </c>
      <c r="Z17" s="600" t="s">
        <v>18</v>
      </c>
      <c r="AA17" s="602" t="s">
        <v>59</v>
      </c>
      <c r="AB17" s="602" t="s">
        <v>19</v>
      </c>
      <c r="AC17" s="602" t="s">
        <v>64</v>
      </c>
      <c r="AD17" s="604" t="s">
        <v>56</v>
      </c>
      <c r="AE17" s="605"/>
      <c r="AF17" s="606"/>
      <c r="AG17" s="82"/>
      <c r="BD17" s="81" t="s">
        <v>61</v>
      </c>
    </row>
    <row r="18" spans="1:68" ht="14.25" customHeight="1" x14ac:dyDescent="0.2">
      <c r="A18" s="589"/>
      <c r="B18" s="589"/>
      <c r="C18" s="591"/>
      <c r="D18" s="594"/>
      <c r="E18" s="59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594"/>
      <c r="Q18" s="597"/>
      <c r="R18" s="597"/>
      <c r="S18" s="597"/>
      <c r="T18" s="595"/>
      <c r="U18" s="83" t="s">
        <v>44</v>
      </c>
      <c r="V18" s="83" t="s">
        <v>43</v>
      </c>
      <c r="W18" s="589"/>
      <c r="X18" s="589"/>
      <c r="Y18" s="599"/>
      <c r="Z18" s="601"/>
      <c r="AA18" s="603"/>
      <c r="AB18" s="603"/>
      <c r="AC18" s="603"/>
      <c r="AD18" s="607"/>
      <c r="AE18" s="608"/>
      <c r="AF18" s="609"/>
      <c r="AG18" s="82"/>
      <c r="BD18" s="81"/>
    </row>
    <row r="19" spans="1:68" ht="27.75" customHeight="1" x14ac:dyDescent="0.2">
      <c r="A19" s="610" t="s">
        <v>75</v>
      </c>
      <c r="B19" s="610"/>
      <c r="C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  <c r="N19" s="610"/>
      <c r="O19" s="610"/>
      <c r="P19" s="610"/>
      <c r="Q19" s="610"/>
      <c r="R19" s="610"/>
      <c r="S19" s="610"/>
      <c r="T19" s="610"/>
      <c r="U19" s="610"/>
      <c r="V19" s="610"/>
      <c r="W19" s="610"/>
      <c r="X19" s="610"/>
      <c r="Y19" s="610"/>
      <c r="Z19" s="610"/>
      <c r="AA19" s="54"/>
      <c r="AB19" s="54"/>
      <c r="AC19" s="54"/>
    </row>
    <row r="20" spans="1:68" ht="16.5" customHeight="1" x14ac:dyDescent="0.25">
      <c r="A20" s="611" t="s">
        <v>75</v>
      </c>
      <c r="B20" s="611"/>
      <c r="C20" s="611"/>
      <c r="D20" s="611"/>
      <c r="E20" s="611"/>
      <c r="F20" s="611"/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1"/>
      <c r="R20" s="611"/>
      <c r="S20" s="611"/>
      <c r="T20" s="611"/>
      <c r="U20" s="611"/>
      <c r="V20" s="611"/>
      <c r="W20" s="611"/>
      <c r="X20" s="611"/>
      <c r="Y20" s="611"/>
      <c r="Z20" s="611"/>
      <c r="AA20" s="65"/>
      <c r="AB20" s="65"/>
      <c r="AC20" s="79"/>
    </row>
    <row r="21" spans="1:68" ht="14.25" customHeight="1" x14ac:dyDescent="0.25">
      <c r="A21" s="612" t="s">
        <v>76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13">
        <v>4680115887510</v>
      </c>
      <c r="E22" s="61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45</v>
      </c>
      <c r="M22" s="38" t="s">
        <v>81</v>
      </c>
      <c r="N22" s="38"/>
      <c r="O22" s="37">
        <v>40</v>
      </c>
      <c r="P22" s="614" t="s">
        <v>79</v>
      </c>
      <c r="Q22" s="615"/>
      <c r="R22" s="615"/>
      <c r="S22" s="615"/>
      <c r="T22" s="61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80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13">
        <v>4680115886643</v>
      </c>
      <c r="E23" s="61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45</v>
      </c>
      <c r="M23" s="38" t="s">
        <v>81</v>
      </c>
      <c r="N23" s="38"/>
      <c r="O23" s="37">
        <v>40</v>
      </c>
      <c r="P23" s="6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15"/>
      <c r="R23" s="615"/>
      <c r="S23" s="615"/>
      <c r="T23" s="61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85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1"/>
      <c r="B24" s="621"/>
      <c r="C24" s="621"/>
      <c r="D24" s="621"/>
      <c r="E24" s="621"/>
      <c r="F24" s="621"/>
      <c r="G24" s="621"/>
      <c r="H24" s="621"/>
      <c r="I24" s="621"/>
      <c r="J24" s="621"/>
      <c r="K24" s="621"/>
      <c r="L24" s="621"/>
      <c r="M24" s="621"/>
      <c r="N24" s="621"/>
      <c r="O24" s="622"/>
      <c r="P24" s="618" t="s">
        <v>40</v>
      </c>
      <c r="Q24" s="619"/>
      <c r="R24" s="619"/>
      <c r="S24" s="619"/>
      <c r="T24" s="619"/>
      <c r="U24" s="619"/>
      <c r="V24" s="62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1"/>
      <c r="B25" s="621"/>
      <c r="C25" s="621"/>
      <c r="D25" s="621"/>
      <c r="E25" s="621"/>
      <c r="F25" s="621"/>
      <c r="G25" s="621"/>
      <c r="H25" s="621"/>
      <c r="I25" s="621"/>
      <c r="J25" s="621"/>
      <c r="K25" s="621"/>
      <c r="L25" s="621"/>
      <c r="M25" s="621"/>
      <c r="N25" s="621"/>
      <c r="O25" s="622"/>
      <c r="P25" s="618" t="s">
        <v>40</v>
      </c>
      <c r="Q25" s="619"/>
      <c r="R25" s="619"/>
      <c r="S25" s="619"/>
      <c r="T25" s="619"/>
      <c r="U25" s="619"/>
      <c r="V25" s="62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12" t="s">
        <v>87</v>
      </c>
      <c r="B26" s="612"/>
      <c r="C26" s="612"/>
      <c r="D26" s="612"/>
      <c r="E26" s="612"/>
      <c r="F26" s="612"/>
      <c r="G26" s="612"/>
      <c r="H26" s="612"/>
      <c r="I26" s="612"/>
      <c r="J26" s="612"/>
      <c r="K26" s="612"/>
      <c r="L26" s="612"/>
      <c r="M26" s="612"/>
      <c r="N26" s="612"/>
      <c r="O26" s="612"/>
      <c r="P26" s="612"/>
      <c r="Q26" s="612"/>
      <c r="R26" s="612"/>
      <c r="S26" s="612"/>
      <c r="T26" s="612"/>
      <c r="U26" s="612"/>
      <c r="V26" s="612"/>
      <c r="W26" s="612"/>
      <c r="X26" s="612"/>
      <c r="Y26" s="612"/>
      <c r="Z26" s="612"/>
      <c r="AA26" s="66"/>
      <c r="AB26" s="66"/>
      <c r="AC26" s="80"/>
    </row>
    <row r="27" spans="1:68" ht="27" customHeight="1" x14ac:dyDescent="0.25">
      <c r="A27" s="63" t="s">
        <v>88</v>
      </c>
      <c r="B27" s="63" t="s">
        <v>89</v>
      </c>
      <c r="C27" s="36">
        <v>4301051866</v>
      </c>
      <c r="D27" s="613">
        <v>4680115885912</v>
      </c>
      <c r="E27" s="61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45</v>
      </c>
      <c r="M27" s="38" t="s">
        <v>91</v>
      </c>
      <c r="N27" s="38"/>
      <c r="O27" s="37">
        <v>40</v>
      </c>
      <c r="P27" s="6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5"/>
      <c r="R27" s="615"/>
      <c r="S27" s="615"/>
      <c r="T27" s="61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13">
        <v>4607091388237</v>
      </c>
      <c r="E28" s="61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45</v>
      </c>
      <c r="M28" s="38" t="s">
        <v>91</v>
      </c>
      <c r="N28" s="38"/>
      <c r="O28" s="37">
        <v>40</v>
      </c>
      <c r="P28" s="6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5"/>
      <c r="R28" s="615"/>
      <c r="S28" s="615"/>
      <c r="T28" s="61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94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13">
        <v>4680115887350</v>
      </c>
      <c r="E29" s="6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45</v>
      </c>
      <c r="M29" s="38" t="s">
        <v>98</v>
      </c>
      <c r="N29" s="38"/>
      <c r="O29" s="37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5"/>
      <c r="R29" s="615"/>
      <c r="S29" s="615"/>
      <c r="T29" s="61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13">
        <v>4680115885905</v>
      </c>
      <c r="E30" s="6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45</v>
      </c>
      <c r="M30" s="38" t="s">
        <v>98</v>
      </c>
      <c r="N30" s="38"/>
      <c r="O30" s="37">
        <v>40</v>
      </c>
      <c r="P30" s="6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5"/>
      <c r="R30" s="615"/>
      <c r="S30" s="615"/>
      <c r="T30" s="61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13">
        <v>4607091388244</v>
      </c>
      <c r="E31" s="61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82</v>
      </c>
      <c r="L31" s="37" t="s">
        <v>45</v>
      </c>
      <c r="M31" s="38" t="s">
        <v>98</v>
      </c>
      <c r="N31" s="38"/>
      <c r="O31" s="37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15"/>
      <c r="R31" s="615"/>
      <c r="S31" s="615"/>
      <c r="T31" s="61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21"/>
      <c r="B32" s="621"/>
      <c r="C32" s="621"/>
      <c r="D32" s="621"/>
      <c r="E32" s="621"/>
      <c r="F32" s="621"/>
      <c r="G32" s="621"/>
      <c r="H32" s="621"/>
      <c r="I32" s="621"/>
      <c r="J32" s="621"/>
      <c r="K32" s="621"/>
      <c r="L32" s="621"/>
      <c r="M32" s="621"/>
      <c r="N32" s="621"/>
      <c r="O32" s="622"/>
      <c r="P32" s="618" t="s">
        <v>40</v>
      </c>
      <c r="Q32" s="619"/>
      <c r="R32" s="619"/>
      <c r="S32" s="619"/>
      <c r="T32" s="619"/>
      <c r="U32" s="619"/>
      <c r="V32" s="62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21"/>
      <c r="B33" s="621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2"/>
      <c r="P33" s="618" t="s">
        <v>40</v>
      </c>
      <c r="Q33" s="619"/>
      <c r="R33" s="619"/>
      <c r="S33" s="619"/>
      <c r="T33" s="619"/>
      <c r="U33" s="619"/>
      <c r="V33" s="62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12" t="s">
        <v>104</v>
      </c>
      <c r="B34" s="612"/>
      <c r="C34" s="612"/>
      <c r="D34" s="612"/>
      <c r="E34" s="612"/>
      <c r="F34" s="612"/>
      <c r="G34" s="612"/>
      <c r="H34" s="612"/>
      <c r="I34" s="612"/>
      <c r="J34" s="612"/>
      <c r="K34" s="612"/>
      <c r="L34" s="612"/>
      <c r="M34" s="612"/>
      <c r="N34" s="612"/>
      <c r="O34" s="612"/>
      <c r="P34" s="612"/>
      <c r="Q34" s="612"/>
      <c r="R34" s="612"/>
      <c r="S34" s="612"/>
      <c r="T34" s="612"/>
      <c r="U34" s="612"/>
      <c r="V34" s="612"/>
      <c r="W34" s="612"/>
      <c r="X34" s="612"/>
      <c r="Y34" s="612"/>
      <c r="Z34" s="612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13">
        <v>4607091388503</v>
      </c>
      <c r="E35" s="61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82</v>
      </c>
      <c r="L35" s="37" t="s">
        <v>45</v>
      </c>
      <c r="M35" s="38" t="s">
        <v>109</v>
      </c>
      <c r="N35" s="38"/>
      <c r="O35" s="37">
        <v>120</v>
      </c>
      <c r="P35" s="6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5"/>
      <c r="R35" s="615"/>
      <c r="S35" s="615"/>
      <c r="T35" s="61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21"/>
      <c r="B36" s="621"/>
      <c r="C36" s="621"/>
      <c r="D36" s="621"/>
      <c r="E36" s="621"/>
      <c r="F36" s="621"/>
      <c r="G36" s="621"/>
      <c r="H36" s="621"/>
      <c r="I36" s="621"/>
      <c r="J36" s="621"/>
      <c r="K36" s="621"/>
      <c r="L36" s="621"/>
      <c r="M36" s="621"/>
      <c r="N36" s="621"/>
      <c r="O36" s="622"/>
      <c r="P36" s="618" t="s">
        <v>40</v>
      </c>
      <c r="Q36" s="619"/>
      <c r="R36" s="619"/>
      <c r="S36" s="619"/>
      <c r="T36" s="619"/>
      <c r="U36" s="619"/>
      <c r="V36" s="62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21"/>
      <c r="B37" s="621"/>
      <c r="C37" s="621"/>
      <c r="D37" s="621"/>
      <c r="E37" s="621"/>
      <c r="F37" s="621"/>
      <c r="G37" s="621"/>
      <c r="H37" s="621"/>
      <c r="I37" s="621"/>
      <c r="J37" s="621"/>
      <c r="K37" s="621"/>
      <c r="L37" s="621"/>
      <c r="M37" s="621"/>
      <c r="N37" s="621"/>
      <c r="O37" s="622"/>
      <c r="P37" s="618" t="s">
        <v>40</v>
      </c>
      <c r="Q37" s="619"/>
      <c r="R37" s="619"/>
      <c r="S37" s="619"/>
      <c r="T37" s="619"/>
      <c r="U37" s="619"/>
      <c r="V37" s="62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10" t="s">
        <v>110</v>
      </c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0"/>
      <c r="P38" s="610"/>
      <c r="Q38" s="610"/>
      <c r="R38" s="610"/>
      <c r="S38" s="610"/>
      <c r="T38" s="610"/>
      <c r="U38" s="610"/>
      <c r="V38" s="610"/>
      <c r="W38" s="610"/>
      <c r="X38" s="610"/>
      <c r="Y38" s="610"/>
      <c r="Z38" s="610"/>
      <c r="AA38" s="54"/>
      <c r="AB38" s="54"/>
      <c r="AC38" s="54"/>
    </row>
    <row r="39" spans="1:68" ht="16.5" customHeight="1" x14ac:dyDescent="0.25">
      <c r="A39" s="611" t="s">
        <v>111</v>
      </c>
      <c r="B39" s="611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1"/>
      <c r="R39" s="611"/>
      <c r="S39" s="611"/>
      <c r="T39" s="611"/>
      <c r="U39" s="611"/>
      <c r="V39" s="611"/>
      <c r="W39" s="611"/>
      <c r="X39" s="611"/>
      <c r="Y39" s="611"/>
      <c r="Z39" s="611"/>
      <c r="AA39" s="65"/>
      <c r="AB39" s="65"/>
      <c r="AC39" s="79"/>
    </row>
    <row r="40" spans="1:68" ht="14.25" customHeight="1" x14ac:dyDescent="0.25">
      <c r="A40" s="612" t="s">
        <v>112</v>
      </c>
      <c r="B40" s="612"/>
      <c r="C40" s="612"/>
      <c r="D40" s="612"/>
      <c r="E40" s="612"/>
      <c r="F40" s="612"/>
      <c r="G40" s="612"/>
      <c r="H40" s="612"/>
      <c r="I40" s="612"/>
      <c r="J40" s="612"/>
      <c r="K40" s="612"/>
      <c r="L40" s="612"/>
      <c r="M40" s="612"/>
      <c r="N40" s="612"/>
      <c r="O40" s="612"/>
      <c r="P40" s="612"/>
      <c r="Q40" s="612"/>
      <c r="R40" s="612"/>
      <c r="S40" s="612"/>
      <c r="T40" s="612"/>
      <c r="U40" s="612"/>
      <c r="V40" s="612"/>
      <c r="W40" s="612"/>
      <c r="X40" s="612"/>
      <c r="Y40" s="612"/>
      <c r="Z40" s="612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13">
        <v>4607091385670</v>
      </c>
      <c r="E41" s="61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45</v>
      </c>
      <c r="M41" s="38" t="s">
        <v>116</v>
      </c>
      <c r="N41" s="38"/>
      <c r="O41" s="37">
        <v>50</v>
      </c>
      <c r="P41" s="62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15"/>
      <c r="R41" s="615"/>
      <c r="S41" s="615"/>
      <c r="T41" s="61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4301011382</v>
      </c>
      <c r="D42" s="613">
        <v>4607091385687</v>
      </c>
      <c r="E42" s="613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120</v>
      </c>
      <c r="L42" s="37" t="s">
        <v>45</v>
      </c>
      <c r="M42" s="38" t="s">
        <v>91</v>
      </c>
      <c r="N42" s="38"/>
      <c r="O42" s="37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15"/>
      <c r="R42" s="615"/>
      <c r="S42" s="615"/>
      <c r="T42" s="61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121</v>
      </c>
      <c r="B43" s="63" t="s">
        <v>122</v>
      </c>
      <c r="C43" s="36">
        <v>4301011565</v>
      </c>
      <c r="D43" s="613">
        <v>4680115882539</v>
      </c>
      <c r="E43" s="613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120</v>
      </c>
      <c r="L43" s="37" t="s">
        <v>45</v>
      </c>
      <c r="M43" s="38" t="s">
        <v>91</v>
      </c>
      <c r="N43" s="38"/>
      <c r="O43" s="37">
        <v>50</v>
      </c>
      <c r="P43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15"/>
      <c r="R43" s="615"/>
      <c r="S43" s="615"/>
      <c r="T43" s="61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21"/>
      <c r="B44" s="621"/>
      <c r="C44" s="621"/>
      <c r="D44" s="621"/>
      <c r="E44" s="621"/>
      <c r="F44" s="621"/>
      <c r="G44" s="621"/>
      <c r="H44" s="621"/>
      <c r="I44" s="621"/>
      <c r="J44" s="621"/>
      <c r="K44" s="621"/>
      <c r="L44" s="621"/>
      <c r="M44" s="621"/>
      <c r="N44" s="621"/>
      <c r="O44" s="622"/>
      <c r="P44" s="618" t="s">
        <v>40</v>
      </c>
      <c r="Q44" s="619"/>
      <c r="R44" s="619"/>
      <c r="S44" s="619"/>
      <c r="T44" s="619"/>
      <c r="U44" s="619"/>
      <c r="V44" s="62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21"/>
      <c r="B45" s="621"/>
      <c r="C45" s="621"/>
      <c r="D45" s="621"/>
      <c r="E45" s="621"/>
      <c r="F45" s="621"/>
      <c r="G45" s="621"/>
      <c r="H45" s="621"/>
      <c r="I45" s="621"/>
      <c r="J45" s="621"/>
      <c r="K45" s="621"/>
      <c r="L45" s="621"/>
      <c r="M45" s="621"/>
      <c r="N45" s="621"/>
      <c r="O45" s="622"/>
      <c r="P45" s="618" t="s">
        <v>40</v>
      </c>
      <c r="Q45" s="619"/>
      <c r="R45" s="619"/>
      <c r="S45" s="619"/>
      <c r="T45" s="619"/>
      <c r="U45" s="619"/>
      <c r="V45" s="62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12" t="s">
        <v>87</v>
      </c>
      <c r="B46" s="612"/>
      <c r="C46" s="612"/>
      <c r="D46" s="612"/>
      <c r="E46" s="612"/>
      <c r="F46" s="612"/>
      <c r="G46" s="612"/>
      <c r="H46" s="612"/>
      <c r="I46" s="612"/>
      <c r="J46" s="612"/>
      <c r="K46" s="612"/>
      <c r="L46" s="612"/>
      <c r="M46" s="612"/>
      <c r="N46" s="612"/>
      <c r="O46" s="612"/>
      <c r="P46" s="612"/>
      <c r="Q46" s="612"/>
      <c r="R46" s="612"/>
      <c r="S46" s="612"/>
      <c r="T46" s="612"/>
      <c r="U46" s="612"/>
      <c r="V46" s="612"/>
      <c r="W46" s="612"/>
      <c r="X46" s="612"/>
      <c r="Y46" s="612"/>
      <c r="Z46" s="61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4301051820</v>
      </c>
      <c r="D47" s="613">
        <v>4680115884915</v>
      </c>
      <c r="E47" s="61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82</v>
      </c>
      <c r="L47" s="37" t="s">
        <v>45</v>
      </c>
      <c r="M47" s="38" t="s">
        <v>91</v>
      </c>
      <c r="N47" s="38"/>
      <c r="O47" s="37">
        <v>40</v>
      </c>
      <c r="P47" s="63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15"/>
      <c r="R47" s="615"/>
      <c r="S47" s="615"/>
      <c r="T47" s="61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125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21"/>
      <c r="B48" s="621"/>
      <c r="C48" s="621"/>
      <c r="D48" s="621"/>
      <c r="E48" s="621"/>
      <c r="F48" s="621"/>
      <c r="G48" s="621"/>
      <c r="H48" s="621"/>
      <c r="I48" s="621"/>
      <c r="J48" s="621"/>
      <c r="K48" s="621"/>
      <c r="L48" s="621"/>
      <c r="M48" s="621"/>
      <c r="N48" s="621"/>
      <c r="O48" s="622"/>
      <c r="P48" s="618" t="s">
        <v>40</v>
      </c>
      <c r="Q48" s="619"/>
      <c r="R48" s="619"/>
      <c r="S48" s="619"/>
      <c r="T48" s="619"/>
      <c r="U48" s="619"/>
      <c r="V48" s="62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21"/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2"/>
      <c r="P49" s="618" t="s">
        <v>40</v>
      </c>
      <c r="Q49" s="619"/>
      <c r="R49" s="619"/>
      <c r="S49" s="619"/>
      <c r="T49" s="619"/>
      <c r="U49" s="619"/>
      <c r="V49" s="62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11" t="s">
        <v>126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11"/>
      <c r="U50" s="611"/>
      <c r="V50" s="611"/>
      <c r="W50" s="611"/>
      <c r="X50" s="611"/>
      <c r="Y50" s="611"/>
      <c r="Z50" s="611"/>
      <c r="AA50" s="65"/>
      <c r="AB50" s="65"/>
      <c r="AC50" s="79"/>
    </row>
    <row r="51" spans="1:68" ht="14.25" customHeight="1" x14ac:dyDescent="0.25">
      <c r="A51" s="612" t="s">
        <v>112</v>
      </c>
      <c r="B51" s="612"/>
      <c r="C51" s="612"/>
      <c r="D51" s="612"/>
      <c r="E51" s="612"/>
      <c r="F51" s="612"/>
      <c r="G51" s="612"/>
      <c r="H51" s="612"/>
      <c r="I51" s="612"/>
      <c r="J51" s="612"/>
      <c r="K51" s="612"/>
      <c r="L51" s="612"/>
      <c r="M51" s="612"/>
      <c r="N51" s="612"/>
      <c r="O51" s="612"/>
      <c r="P51" s="612"/>
      <c r="Q51" s="612"/>
      <c r="R51" s="612"/>
      <c r="S51" s="612"/>
      <c r="T51" s="612"/>
      <c r="U51" s="612"/>
      <c r="V51" s="612"/>
      <c r="W51" s="612"/>
      <c r="X51" s="612"/>
      <c r="Y51" s="612"/>
      <c r="Z51" s="612"/>
      <c r="AA51" s="66"/>
      <c r="AB51" s="66"/>
      <c r="AC51" s="80"/>
    </row>
    <row r="52" spans="1:68" ht="27" customHeight="1" x14ac:dyDescent="0.25">
      <c r="A52" s="63" t="s">
        <v>127</v>
      </c>
      <c r="B52" s="63" t="s">
        <v>128</v>
      </c>
      <c r="C52" s="36">
        <v>4301012030</v>
      </c>
      <c r="D52" s="613">
        <v>4680115885882</v>
      </c>
      <c r="E52" s="61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91</v>
      </c>
      <c r="N52" s="38"/>
      <c r="O52" s="37">
        <v>50</v>
      </c>
      <c r="P52" s="6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15"/>
      <c r="R52" s="615"/>
      <c r="S52" s="615"/>
      <c r="T52" s="61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129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4301011816</v>
      </c>
      <c r="D53" s="613">
        <v>4680115881426</v>
      </c>
      <c r="E53" s="61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6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15"/>
      <c r="R53" s="615"/>
      <c r="S53" s="615"/>
      <c r="T53" s="61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132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4301011386</v>
      </c>
      <c r="D54" s="613">
        <v>4680115880283</v>
      </c>
      <c r="E54" s="61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120</v>
      </c>
      <c r="L54" s="37" t="s">
        <v>45</v>
      </c>
      <c r="M54" s="38" t="s">
        <v>116</v>
      </c>
      <c r="N54" s="38"/>
      <c r="O54" s="37">
        <v>45</v>
      </c>
      <c r="P54" s="6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15"/>
      <c r="R54" s="615"/>
      <c r="S54" s="615"/>
      <c r="T54" s="61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135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136</v>
      </c>
      <c r="B55" s="63" t="s">
        <v>137</v>
      </c>
      <c r="C55" s="36">
        <v>4301011806</v>
      </c>
      <c r="D55" s="613">
        <v>4680115881525</v>
      </c>
      <c r="E55" s="61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120</v>
      </c>
      <c r="L55" s="37" t="s">
        <v>45</v>
      </c>
      <c r="M55" s="38" t="s">
        <v>116</v>
      </c>
      <c r="N55" s="38"/>
      <c r="O55" s="37">
        <v>50</v>
      </c>
      <c r="P55" s="63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15"/>
      <c r="R55" s="615"/>
      <c r="S55" s="615"/>
      <c r="T55" s="61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138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4301011589</v>
      </c>
      <c r="D56" s="613">
        <v>4680115885899</v>
      </c>
      <c r="E56" s="61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82</v>
      </c>
      <c r="L56" s="37" t="s">
        <v>45</v>
      </c>
      <c r="M56" s="38" t="s">
        <v>98</v>
      </c>
      <c r="N56" s="38"/>
      <c r="O56" s="37">
        <v>50</v>
      </c>
      <c r="P56" s="6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15"/>
      <c r="R56" s="615"/>
      <c r="S56" s="615"/>
      <c r="T56" s="61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141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4301011801</v>
      </c>
      <c r="D57" s="613">
        <v>4680115881419</v>
      </c>
      <c r="E57" s="61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120</v>
      </c>
      <c r="L57" s="37" t="s">
        <v>45</v>
      </c>
      <c r="M57" s="38" t="s">
        <v>116</v>
      </c>
      <c r="N57" s="38"/>
      <c r="O57" s="37">
        <v>50</v>
      </c>
      <c r="P57" s="6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15"/>
      <c r="R57" s="615"/>
      <c r="S57" s="615"/>
      <c r="T57" s="61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144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21"/>
      <c r="B58" s="621"/>
      <c r="C58" s="621"/>
      <c r="D58" s="621"/>
      <c r="E58" s="621"/>
      <c r="F58" s="621"/>
      <c r="G58" s="621"/>
      <c r="H58" s="621"/>
      <c r="I58" s="621"/>
      <c r="J58" s="621"/>
      <c r="K58" s="621"/>
      <c r="L58" s="621"/>
      <c r="M58" s="621"/>
      <c r="N58" s="621"/>
      <c r="O58" s="622"/>
      <c r="P58" s="618" t="s">
        <v>40</v>
      </c>
      <c r="Q58" s="619"/>
      <c r="R58" s="619"/>
      <c r="S58" s="619"/>
      <c r="T58" s="619"/>
      <c r="U58" s="619"/>
      <c r="V58" s="62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21"/>
      <c r="B59" s="621"/>
      <c r="C59" s="621"/>
      <c r="D59" s="621"/>
      <c r="E59" s="621"/>
      <c r="F59" s="621"/>
      <c r="G59" s="621"/>
      <c r="H59" s="621"/>
      <c r="I59" s="621"/>
      <c r="J59" s="621"/>
      <c r="K59" s="621"/>
      <c r="L59" s="621"/>
      <c r="M59" s="621"/>
      <c r="N59" s="621"/>
      <c r="O59" s="622"/>
      <c r="P59" s="618" t="s">
        <v>40</v>
      </c>
      <c r="Q59" s="619"/>
      <c r="R59" s="619"/>
      <c r="S59" s="619"/>
      <c r="T59" s="619"/>
      <c r="U59" s="619"/>
      <c r="V59" s="62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12" t="s">
        <v>145</v>
      </c>
      <c r="B60" s="612"/>
      <c r="C60" s="612"/>
      <c r="D60" s="612"/>
      <c r="E60" s="612"/>
      <c r="F60" s="612"/>
      <c r="G60" s="612"/>
      <c r="H60" s="612"/>
      <c r="I60" s="612"/>
      <c r="J60" s="612"/>
      <c r="K60" s="612"/>
      <c r="L60" s="612"/>
      <c r="M60" s="612"/>
      <c r="N60" s="612"/>
      <c r="O60" s="612"/>
      <c r="P60" s="612"/>
      <c r="Q60" s="612"/>
      <c r="R60" s="612"/>
      <c r="S60" s="612"/>
      <c r="T60" s="612"/>
      <c r="U60" s="612"/>
      <c r="V60" s="612"/>
      <c r="W60" s="612"/>
      <c r="X60" s="612"/>
      <c r="Y60" s="612"/>
      <c r="Z60" s="612"/>
      <c r="AA60" s="66"/>
      <c r="AB60" s="66"/>
      <c r="AC60" s="80"/>
    </row>
    <row r="61" spans="1:68" ht="16.5" customHeight="1" x14ac:dyDescent="0.25">
      <c r="A61" s="63" t="s">
        <v>146</v>
      </c>
      <c r="B61" s="63" t="s">
        <v>147</v>
      </c>
      <c r="C61" s="36">
        <v>4301020298</v>
      </c>
      <c r="D61" s="613">
        <v>4680115881440</v>
      </c>
      <c r="E61" s="61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45</v>
      </c>
      <c r="M61" s="38" t="s">
        <v>116</v>
      </c>
      <c r="N61" s="38"/>
      <c r="O61" s="37">
        <v>50</v>
      </c>
      <c r="P61" s="63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15"/>
      <c r="R61" s="615"/>
      <c r="S61" s="615"/>
      <c r="T61" s="61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149</v>
      </c>
      <c r="B62" s="63" t="s">
        <v>150</v>
      </c>
      <c r="C62" s="36">
        <v>4301020358</v>
      </c>
      <c r="D62" s="613">
        <v>4680115885950</v>
      </c>
      <c r="E62" s="61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82</v>
      </c>
      <c r="L62" s="37" t="s">
        <v>45</v>
      </c>
      <c r="M62" s="38" t="s">
        <v>91</v>
      </c>
      <c r="N62" s="38"/>
      <c r="O62" s="37">
        <v>50</v>
      </c>
      <c r="P62" s="64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15"/>
      <c r="R62" s="615"/>
      <c r="S62" s="615"/>
      <c r="T62" s="61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151</v>
      </c>
      <c r="B63" s="63" t="s">
        <v>152</v>
      </c>
      <c r="C63" s="36">
        <v>4301020296</v>
      </c>
      <c r="D63" s="613">
        <v>4680115881433</v>
      </c>
      <c r="E63" s="61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82</v>
      </c>
      <c r="L63" s="37" t="s">
        <v>45</v>
      </c>
      <c r="M63" s="38" t="s">
        <v>116</v>
      </c>
      <c r="N63" s="38"/>
      <c r="O63" s="37">
        <v>50</v>
      </c>
      <c r="P63" s="6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15"/>
      <c r="R63" s="615"/>
      <c r="S63" s="615"/>
      <c r="T63" s="61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148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21"/>
      <c r="B64" s="621"/>
      <c r="C64" s="621"/>
      <c r="D64" s="621"/>
      <c r="E64" s="621"/>
      <c r="F64" s="621"/>
      <c r="G64" s="621"/>
      <c r="H64" s="621"/>
      <c r="I64" s="621"/>
      <c r="J64" s="621"/>
      <c r="K64" s="621"/>
      <c r="L64" s="621"/>
      <c r="M64" s="621"/>
      <c r="N64" s="621"/>
      <c r="O64" s="622"/>
      <c r="P64" s="618" t="s">
        <v>40</v>
      </c>
      <c r="Q64" s="619"/>
      <c r="R64" s="619"/>
      <c r="S64" s="619"/>
      <c r="T64" s="619"/>
      <c r="U64" s="619"/>
      <c r="V64" s="62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21"/>
      <c r="B65" s="621"/>
      <c r="C65" s="621"/>
      <c r="D65" s="621"/>
      <c r="E65" s="621"/>
      <c r="F65" s="621"/>
      <c r="G65" s="621"/>
      <c r="H65" s="621"/>
      <c r="I65" s="621"/>
      <c r="J65" s="621"/>
      <c r="K65" s="621"/>
      <c r="L65" s="621"/>
      <c r="M65" s="621"/>
      <c r="N65" s="621"/>
      <c r="O65" s="622"/>
      <c r="P65" s="618" t="s">
        <v>40</v>
      </c>
      <c r="Q65" s="619"/>
      <c r="R65" s="619"/>
      <c r="S65" s="619"/>
      <c r="T65" s="619"/>
      <c r="U65" s="619"/>
      <c r="V65" s="62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12" t="s">
        <v>76</v>
      </c>
      <c r="B66" s="612"/>
      <c r="C66" s="612"/>
      <c r="D66" s="612"/>
      <c r="E66" s="612"/>
      <c r="F66" s="612"/>
      <c r="G66" s="612"/>
      <c r="H66" s="612"/>
      <c r="I66" s="612"/>
      <c r="J66" s="612"/>
      <c r="K66" s="612"/>
      <c r="L66" s="612"/>
      <c r="M66" s="612"/>
      <c r="N66" s="612"/>
      <c r="O66" s="612"/>
      <c r="P66" s="612"/>
      <c r="Q66" s="612"/>
      <c r="R66" s="612"/>
      <c r="S66" s="612"/>
      <c r="T66" s="612"/>
      <c r="U66" s="612"/>
      <c r="V66" s="612"/>
      <c r="W66" s="612"/>
      <c r="X66" s="612"/>
      <c r="Y66" s="612"/>
      <c r="Z66" s="612"/>
      <c r="AA66" s="66"/>
      <c r="AB66" s="66"/>
      <c r="AC66" s="80"/>
    </row>
    <row r="67" spans="1:68" ht="27" customHeight="1" x14ac:dyDescent="0.25">
      <c r="A67" s="63" t="s">
        <v>153</v>
      </c>
      <c r="B67" s="63" t="s">
        <v>154</v>
      </c>
      <c r="C67" s="36">
        <v>4301031243</v>
      </c>
      <c r="D67" s="613">
        <v>4680115885073</v>
      </c>
      <c r="E67" s="61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86</v>
      </c>
      <c r="L67" s="37" t="s">
        <v>45</v>
      </c>
      <c r="M67" s="38" t="s">
        <v>81</v>
      </c>
      <c r="N67" s="38"/>
      <c r="O67" s="37">
        <v>40</v>
      </c>
      <c r="P67" s="6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15"/>
      <c r="R67" s="615"/>
      <c r="S67" s="615"/>
      <c r="T67" s="61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155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156</v>
      </c>
      <c r="B68" s="63" t="s">
        <v>157</v>
      </c>
      <c r="C68" s="36">
        <v>4301031241</v>
      </c>
      <c r="D68" s="613">
        <v>4680115885059</v>
      </c>
      <c r="E68" s="61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86</v>
      </c>
      <c r="L68" s="37" t="s">
        <v>45</v>
      </c>
      <c r="M68" s="38" t="s">
        <v>81</v>
      </c>
      <c r="N68" s="38"/>
      <c r="O68" s="37">
        <v>40</v>
      </c>
      <c r="P68" s="64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15"/>
      <c r="R68" s="615"/>
      <c r="S68" s="615"/>
      <c r="T68" s="61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158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613">
        <v>4680115885097</v>
      </c>
      <c r="E69" s="613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86</v>
      </c>
      <c r="L69" s="37" t="s">
        <v>45</v>
      </c>
      <c r="M69" s="38" t="s">
        <v>81</v>
      </c>
      <c r="N69" s="38"/>
      <c r="O69" s="37">
        <v>40</v>
      </c>
      <c r="P69" s="64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15"/>
      <c r="R69" s="615"/>
      <c r="S69" s="615"/>
      <c r="T69" s="616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21"/>
      <c r="B70" s="621"/>
      <c r="C70" s="621"/>
      <c r="D70" s="621"/>
      <c r="E70" s="621"/>
      <c r="F70" s="621"/>
      <c r="G70" s="621"/>
      <c r="H70" s="621"/>
      <c r="I70" s="621"/>
      <c r="J70" s="621"/>
      <c r="K70" s="621"/>
      <c r="L70" s="621"/>
      <c r="M70" s="621"/>
      <c r="N70" s="621"/>
      <c r="O70" s="622"/>
      <c r="P70" s="618" t="s">
        <v>40</v>
      </c>
      <c r="Q70" s="619"/>
      <c r="R70" s="619"/>
      <c r="S70" s="619"/>
      <c r="T70" s="619"/>
      <c r="U70" s="619"/>
      <c r="V70" s="620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21"/>
      <c r="B71" s="621"/>
      <c r="C71" s="621"/>
      <c r="D71" s="621"/>
      <c r="E71" s="621"/>
      <c r="F71" s="621"/>
      <c r="G71" s="621"/>
      <c r="H71" s="621"/>
      <c r="I71" s="621"/>
      <c r="J71" s="621"/>
      <c r="K71" s="621"/>
      <c r="L71" s="621"/>
      <c r="M71" s="621"/>
      <c r="N71" s="621"/>
      <c r="O71" s="622"/>
      <c r="P71" s="618" t="s">
        <v>40</v>
      </c>
      <c r="Q71" s="619"/>
      <c r="R71" s="619"/>
      <c r="S71" s="619"/>
      <c r="T71" s="619"/>
      <c r="U71" s="619"/>
      <c r="V71" s="620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12" t="s">
        <v>87</v>
      </c>
      <c r="B72" s="61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  <c r="Y72" s="612"/>
      <c r="Z72" s="612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613">
        <v>4680115885769</v>
      </c>
      <c r="E73" s="613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117</v>
      </c>
      <c r="L73" s="37" t="s">
        <v>45</v>
      </c>
      <c r="M73" s="38" t="s">
        <v>91</v>
      </c>
      <c r="N73" s="38"/>
      <c r="O73" s="37">
        <v>45</v>
      </c>
      <c r="P73" s="6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15"/>
      <c r="R73" s="615"/>
      <c r="S73" s="615"/>
      <c r="T73" s="61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613">
        <v>4680115884311</v>
      </c>
      <c r="E74" s="613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82</v>
      </c>
      <c r="L74" s="37" t="s">
        <v>45</v>
      </c>
      <c r="M74" s="38" t="s">
        <v>91</v>
      </c>
      <c r="N74" s="38"/>
      <c r="O74" s="37">
        <v>40</v>
      </c>
      <c r="P74" s="6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15"/>
      <c r="R74" s="615"/>
      <c r="S74" s="615"/>
      <c r="T74" s="61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613">
        <v>4680115885929</v>
      </c>
      <c r="E75" s="613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82</v>
      </c>
      <c r="L75" s="37" t="s">
        <v>45</v>
      </c>
      <c r="M75" s="38" t="s">
        <v>91</v>
      </c>
      <c r="N75" s="38"/>
      <c r="O75" s="37">
        <v>45</v>
      </c>
      <c r="P75" s="64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15"/>
      <c r="R75" s="615"/>
      <c r="S75" s="615"/>
      <c r="T75" s="61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613">
        <v>4680115884403</v>
      </c>
      <c r="E76" s="61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82</v>
      </c>
      <c r="L76" s="37" t="s">
        <v>45</v>
      </c>
      <c r="M76" s="38" t="s">
        <v>91</v>
      </c>
      <c r="N76" s="38"/>
      <c r="O76" s="37">
        <v>40</v>
      </c>
      <c r="P76" s="6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15"/>
      <c r="R76" s="615"/>
      <c r="S76" s="615"/>
      <c r="T76" s="616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21"/>
      <c r="B77" s="621"/>
      <c r="C77" s="621"/>
      <c r="D77" s="621"/>
      <c r="E77" s="621"/>
      <c r="F77" s="621"/>
      <c r="G77" s="621"/>
      <c r="H77" s="621"/>
      <c r="I77" s="621"/>
      <c r="J77" s="621"/>
      <c r="K77" s="621"/>
      <c r="L77" s="621"/>
      <c r="M77" s="621"/>
      <c r="N77" s="621"/>
      <c r="O77" s="622"/>
      <c r="P77" s="618" t="s">
        <v>40</v>
      </c>
      <c r="Q77" s="619"/>
      <c r="R77" s="619"/>
      <c r="S77" s="619"/>
      <c r="T77" s="619"/>
      <c r="U77" s="619"/>
      <c r="V77" s="620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21"/>
      <c r="B78" s="621"/>
      <c r="C78" s="621"/>
      <c r="D78" s="621"/>
      <c r="E78" s="621"/>
      <c r="F78" s="621"/>
      <c r="G78" s="621"/>
      <c r="H78" s="621"/>
      <c r="I78" s="621"/>
      <c r="J78" s="621"/>
      <c r="K78" s="621"/>
      <c r="L78" s="621"/>
      <c r="M78" s="621"/>
      <c r="N78" s="621"/>
      <c r="O78" s="622"/>
      <c r="P78" s="618" t="s">
        <v>40</v>
      </c>
      <c r="Q78" s="619"/>
      <c r="R78" s="619"/>
      <c r="S78" s="619"/>
      <c r="T78" s="619"/>
      <c r="U78" s="619"/>
      <c r="V78" s="620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12" t="s">
        <v>173</v>
      </c>
      <c r="B79" s="612"/>
      <c r="C79" s="612"/>
      <c r="D79" s="612"/>
      <c r="E79" s="612"/>
      <c r="F79" s="612"/>
      <c r="G79" s="612"/>
      <c r="H79" s="612"/>
      <c r="I79" s="612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613">
        <v>4680115881532</v>
      </c>
      <c r="E80" s="61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117</v>
      </c>
      <c r="L80" s="37" t="s">
        <v>45</v>
      </c>
      <c r="M80" s="38" t="s">
        <v>98</v>
      </c>
      <c r="N80" s="38"/>
      <c r="O80" s="37">
        <v>30</v>
      </c>
      <c r="P80" s="64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15"/>
      <c r="R80" s="615"/>
      <c r="S80" s="615"/>
      <c r="T80" s="61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613">
        <v>4680115881464</v>
      </c>
      <c r="E81" s="613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120</v>
      </c>
      <c r="L81" s="37" t="s">
        <v>45</v>
      </c>
      <c r="M81" s="38" t="s">
        <v>91</v>
      </c>
      <c r="N81" s="38"/>
      <c r="O81" s="37">
        <v>30</v>
      </c>
      <c r="P81" s="65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15"/>
      <c r="R81" s="615"/>
      <c r="S81" s="615"/>
      <c r="T81" s="616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21"/>
      <c r="B82" s="621"/>
      <c r="C82" s="621"/>
      <c r="D82" s="621"/>
      <c r="E82" s="621"/>
      <c r="F82" s="621"/>
      <c r="G82" s="621"/>
      <c r="H82" s="621"/>
      <c r="I82" s="621"/>
      <c r="J82" s="621"/>
      <c r="K82" s="621"/>
      <c r="L82" s="621"/>
      <c r="M82" s="621"/>
      <c r="N82" s="621"/>
      <c r="O82" s="622"/>
      <c r="P82" s="618" t="s">
        <v>40</v>
      </c>
      <c r="Q82" s="619"/>
      <c r="R82" s="619"/>
      <c r="S82" s="619"/>
      <c r="T82" s="619"/>
      <c r="U82" s="619"/>
      <c r="V82" s="620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21"/>
      <c r="B83" s="621"/>
      <c r="C83" s="621"/>
      <c r="D83" s="621"/>
      <c r="E83" s="621"/>
      <c r="F83" s="621"/>
      <c r="G83" s="621"/>
      <c r="H83" s="621"/>
      <c r="I83" s="621"/>
      <c r="J83" s="621"/>
      <c r="K83" s="621"/>
      <c r="L83" s="621"/>
      <c r="M83" s="621"/>
      <c r="N83" s="621"/>
      <c r="O83" s="622"/>
      <c r="P83" s="618" t="s">
        <v>40</v>
      </c>
      <c r="Q83" s="619"/>
      <c r="R83" s="619"/>
      <c r="S83" s="619"/>
      <c r="T83" s="619"/>
      <c r="U83" s="619"/>
      <c r="V83" s="620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11" t="s">
        <v>180</v>
      </c>
      <c r="B84" s="611"/>
      <c r="C84" s="611"/>
      <c r="D84" s="611"/>
      <c r="E84" s="611"/>
      <c r="F84" s="611"/>
      <c r="G84" s="611"/>
      <c r="H84" s="611"/>
      <c r="I84" s="611"/>
      <c r="J84" s="611"/>
      <c r="K84" s="611"/>
      <c r="L84" s="611"/>
      <c r="M84" s="611"/>
      <c r="N84" s="611"/>
      <c r="O84" s="611"/>
      <c r="P84" s="611"/>
      <c r="Q84" s="611"/>
      <c r="R84" s="611"/>
      <c r="S84" s="611"/>
      <c r="T84" s="611"/>
      <c r="U84" s="611"/>
      <c r="V84" s="611"/>
      <c r="W84" s="611"/>
      <c r="X84" s="611"/>
      <c r="Y84" s="611"/>
      <c r="Z84" s="611"/>
      <c r="AA84" s="65"/>
      <c r="AB84" s="65"/>
      <c r="AC84" s="79"/>
    </row>
    <row r="85" spans="1:68" ht="14.25" customHeight="1" x14ac:dyDescent="0.25">
      <c r="A85" s="612" t="s">
        <v>112</v>
      </c>
      <c r="B85" s="612"/>
      <c r="C85" s="612"/>
      <c r="D85" s="612"/>
      <c r="E85" s="612"/>
      <c r="F85" s="612"/>
      <c r="G85" s="612"/>
      <c r="H85" s="612"/>
      <c r="I85" s="612"/>
      <c r="J85" s="612"/>
      <c r="K85" s="612"/>
      <c r="L85" s="612"/>
      <c r="M85" s="612"/>
      <c r="N85" s="612"/>
      <c r="O85" s="612"/>
      <c r="P85" s="612"/>
      <c r="Q85" s="612"/>
      <c r="R85" s="612"/>
      <c r="S85" s="612"/>
      <c r="T85" s="612"/>
      <c r="U85" s="612"/>
      <c r="V85" s="612"/>
      <c r="W85" s="612"/>
      <c r="X85" s="612"/>
      <c r="Y85" s="612"/>
      <c r="Z85" s="612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613">
        <v>4680115881327</v>
      </c>
      <c r="E86" s="613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117</v>
      </c>
      <c r="L86" s="37" t="s">
        <v>45</v>
      </c>
      <c r="M86" s="38" t="s">
        <v>98</v>
      </c>
      <c r="N86" s="38"/>
      <c r="O86" s="37">
        <v>50</v>
      </c>
      <c r="P86" s="6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15"/>
      <c r="R86" s="615"/>
      <c r="S86" s="615"/>
      <c r="T86" s="61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4301011476</v>
      </c>
      <c r="D87" s="613">
        <v>4680115881518</v>
      </c>
      <c r="E87" s="61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120</v>
      </c>
      <c r="L87" s="37" t="s">
        <v>45</v>
      </c>
      <c r="M87" s="38" t="s">
        <v>91</v>
      </c>
      <c r="N87" s="38"/>
      <c r="O87" s="37">
        <v>50</v>
      </c>
      <c r="P87" s="6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15"/>
      <c r="R87" s="615"/>
      <c r="S87" s="615"/>
      <c r="T87" s="61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186</v>
      </c>
      <c r="B88" s="63" t="s">
        <v>187</v>
      </c>
      <c r="C88" s="36">
        <v>4301011443</v>
      </c>
      <c r="D88" s="613">
        <v>4680115881303</v>
      </c>
      <c r="E88" s="61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120</v>
      </c>
      <c r="L88" s="37" t="s">
        <v>45</v>
      </c>
      <c r="M88" s="38" t="s">
        <v>98</v>
      </c>
      <c r="N88" s="38"/>
      <c r="O88" s="37">
        <v>50</v>
      </c>
      <c r="P88" s="6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15"/>
      <c r="R88" s="615"/>
      <c r="S88" s="615"/>
      <c r="T88" s="61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21"/>
      <c r="B89" s="621"/>
      <c r="C89" s="621"/>
      <c r="D89" s="621"/>
      <c r="E89" s="621"/>
      <c r="F89" s="621"/>
      <c r="G89" s="621"/>
      <c r="H89" s="621"/>
      <c r="I89" s="621"/>
      <c r="J89" s="621"/>
      <c r="K89" s="621"/>
      <c r="L89" s="621"/>
      <c r="M89" s="621"/>
      <c r="N89" s="621"/>
      <c r="O89" s="622"/>
      <c r="P89" s="618" t="s">
        <v>40</v>
      </c>
      <c r="Q89" s="619"/>
      <c r="R89" s="619"/>
      <c r="S89" s="619"/>
      <c r="T89" s="619"/>
      <c r="U89" s="619"/>
      <c r="V89" s="620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21"/>
      <c r="B90" s="621"/>
      <c r="C90" s="621"/>
      <c r="D90" s="621"/>
      <c r="E90" s="621"/>
      <c r="F90" s="621"/>
      <c r="G90" s="621"/>
      <c r="H90" s="621"/>
      <c r="I90" s="621"/>
      <c r="J90" s="621"/>
      <c r="K90" s="621"/>
      <c r="L90" s="621"/>
      <c r="M90" s="621"/>
      <c r="N90" s="621"/>
      <c r="O90" s="622"/>
      <c r="P90" s="618" t="s">
        <v>40</v>
      </c>
      <c r="Q90" s="619"/>
      <c r="R90" s="619"/>
      <c r="S90" s="619"/>
      <c r="T90" s="619"/>
      <c r="U90" s="619"/>
      <c r="V90" s="620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612" t="s">
        <v>87</v>
      </c>
      <c r="B91" s="612"/>
      <c r="C91" s="612"/>
      <c r="D91" s="612"/>
      <c r="E91" s="612"/>
      <c r="F91" s="612"/>
      <c r="G91" s="612"/>
      <c r="H91" s="612"/>
      <c r="I91" s="612"/>
      <c r="J91" s="612"/>
      <c r="K91" s="612"/>
      <c r="L91" s="612"/>
      <c r="M91" s="612"/>
      <c r="N91" s="612"/>
      <c r="O91" s="612"/>
      <c r="P91" s="612"/>
      <c r="Q91" s="612"/>
      <c r="R91" s="612"/>
      <c r="S91" s="612"/>
      <c r="T91" s="612"/>
      <c r="U91" s="612"/>
      <c r="V91" s="612"/>
      <c r="W91" s="612"/>
      <c r="X91" s="612"/>
      <c r="Y91" s="612"/>
      <c r="Z91" s="612"/>
      <c r="AA91" s="66"/>
      <c r="AB91" s="66"/>
      <c r="AC91" s="80"/>
    </row>
    <row r="92" spans="1:68" ht="27" customHeight="1" x14ac:dyDescent="0.25">
      <c r="A92" s="63" t="s">
        <v>188</v>
      </c>
      <c r="B92" s="63" t="s">
        <v>189</v>
      </c>
      <c r="C92" s="36">
        <v>4301051712</v>
      </c>
      <c r="D92" s="613">
        <v>4607091386967</v>
      </c>
      <c r="E92" s="61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45</v>
      </c>
      <c r="M92" s="38" t="s">
        <v>98</v>
      </c>
      <c r="N92" s="38"/>
      <c r="O92" s="37">
        <v>45</v>
      </c>
      <c r="P92" s="6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15"/>
      <c r="R92" s="615"/>
      <c r="S92" s="615"/>
      <c r="T92" s="61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190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191</v>
      </c>
      <c r="B93" s="63" t="s">
        <v>192</v>
      </c>
      <c r="C93" s="36">
        <v>4301051788</v>
      </c>
      <c r="D93" s="613">
        <v>4680115884953</v>
      </c>
      <c r="E93" s="61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82</v>
      </c>
      <c r="L93" s="37" t="s">
        <v>45</v>
      </c>
      <c r="M93" s="38" t="s">
        <v>91</v>
      </c>
      <c r="N93" s="38"/>
      <c r="O93" s="37">
        <v>45</v>
      </c>
      <c r="P93" s="6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15"/>
      <c r="R93" s="615"/>
      <c r="S93" s="615"/>
      <c r="T93" s="61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4301051718</v>
      </c>
      <c r="D94" s="613">
        <v>4607091385731</v>
      </c>
      <c r="E94" s="61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82</v>
      </c>
      <c r="L94" s="37" t="s">
        <v>45</v>
      </c>
      <c r="M94" s="38" t="s">
        <v>98</v>
      </c>
      <c r="N94" s="38"/>
      <c r="O94" s="37">
        <v>45</v>
      </c>
      <c r="P94" s="6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15"/>
      <c r="R94" s="615"/>
      <c r="S94" s="615"/>
      <c r="T94" s="61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190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196</v>
      </c>
      <c r="B95" s="63" t="s">
        <v>197</v>
      </c>
      <c r="C95" s="36">
        <v>4301051438</v>
      </c>
      <c r="D95" s="613">
        <v>4680115880894</v>
      </c>
      <c r="E95" s="61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82</v>
      </c>
      <c r="L95" s="37" t="s">
        <v>45</v>
      </c>
      <c r="M95" s="38" t="s">
        <v>91</v>
      </c>
      <c r="N95" s="38"/>
      <c r="O95" s="37">
        <v>45</v>
      </c>
      <c r="P95" s="65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15"/>
      <c r="R95" s="615"/>
      <c r="S95" s="615"/>
      <c r="T95" s="61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198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21"/>
      <c r="B96" s="621"/>
      <c r="C96" s="621"/>
      <c r="D96" s="621"/>
      <c r="E96" s="621"/>
      <c r="F96" s="621"/>
      <c r="G96" s="621"/>
      <c r="H96" s="621"/>
      <c r="I96" s="621"/>
      <c r="J96" s="621"/>
      <c r="K96" s="621"/>
      <c r="L96" s="621"/>
      <c r="M96" s="621"/>
      <c r="N96" s="621"/>
      <c r="O96" s="622"/>
      <c r="P96" s="618" t="s">
        <v>40</v>
      </c>
      <c r="Q96" s="619"/>
      <c r="R96" s="619"/>
      <c r="S96" s="619"/>
      <c r="T96" s="619"/>
      <c r="U96" s="619"/>
      <c r="V96" s="62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21"/>
      <c r="B97" s="621"/>
      <c r="C97" s="621"/>
      <c r="D97" s="621"/>
      <c r="E97" s="621"/>
      <c r="F97" s="621"/>
      <c r="G97" s="621"/>
      <c r="H97" s="621"/>
      <c r="I97" s="621"/>
      <c r="J97" s="621"/>
      <c r="K97" s="621"/>
      <c r="L97" s="621"/>
      <c r="M97" s="621"/>
      <c r="N97" s="621"/>
      <c r="O97" s="622"/>
      <c r="P97" s="618" t="s">
        <v>40</v>
      </c>
      <c r="Q97" s="619"/>
      <c r="R97" s="619"/>
      <c r="S97" s="619"/>
      <c r="T97" s="619"/>
      <c r="U97" s="619"/>
      <c r="V97" s="62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11" t="s">
        <v>199</v>
      </c>
      <c r="B98" s="611"/>
      <c r="C98" s="611"/>
      <c r="D98" s="611"/>
      <c r="E98" s="611"/>
      <c r="F98" s="611"/>
      <c r="G98" s="611"/>
      <c r="H98" s="611"/>
      <c r="I98" s="611"/>
      <c r="J98" s="611"/>
      <c r="K98" s="611"/>
      <c r="L98" s="611"/>
      <c r="M98" s="611"/>
      <c r="N98" s="611"/>
      <c r="O98" s="611"/>
      <c r="P98" s="611"/>
      <c r="Q98" s="611"/>
      <c r="R98" s="611"/>
      <c r="S98" s="611"/>
      <c r="T98" s="611"/>
      <c r="U98" s="611"/>
      <c r="V98" s="611"/>
      <c r="W98" s="611"/>
      <c r="X98" s="611"/>
      <c r="Y98" s="611"/>
      <c r="Z98" s="611"/>
      <c r="AA98" s="65"/>
      <c r="AB98" s="65"/>
      <c r="AC98" s="79"/>
    </row>
    <row r="99" spans="1:68" ht="14.25" customHeight="1" x14ac:dyDescent="0.25">
      <c r="A99" s="612" t="s">
        <v>112</v>
      </c>
      <c r="B99" s="612"/>
      <c r="C99" s="612"/>
      <c r="D99" s="612"/>
      <c r="E99" s="612"/>
      <c r="F99" s="612"/>
      <c r="G99" s="612"/>
      <c r="H99" s="612"/>
      <c r="I99" s="612"/>
      <c r="J99" s="612"/>
      <c r="K99" s="612"/>
      <c r="L99" s="612"/>
      <c r="M99" s="612"/>
      <c r="N99" s="612"/>
      <c r="O99" s="612"/>
      <c r="P99" s="612"/>
      <c r="Q99" s="612"/>
      <c r="R99" s="612"/>
      <c r="S99" s="612"/>
      <c r="T99" s="612"/>
      <c r="U99" s="612"/>
      <c r="V99" s="612"/>
      <c r="W99" s="612"/>
      <c r="X99" s="612"/>
      <c r="Y99" s="612"/>
      <c r="Z99" s="612"/>
      <c r="AA99" s="66"/>
      <c r="AB99" s="66"/>
      <c r="AC99" s="80"/>
    </row>
    <row r="100" spans="1:68" ht="37.5" customHeight="1" x14ac:dyDescent="0.25">
      <c r="A100" s="63" t="s">
        <v>200</v>
      </c>
      <c r="B100" s="63" t="s">
        <v>201</v>
      </c>
      <c r="C100" s="36">
        <v>4301011514</v>
      </c>
      <c r="D100" s="613">
        <v>4680115882133</v>
      </c>
      <c r="E100" s="61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45</v>
      </c>
      <c r="M100" s="38" t="s">
        <v>116</v>
      </c>
      <c r="N100" s="38"/>
      <c r="O100" s="37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15"/>
      <c r="R100" s="615"/>
      <c r="S100" s="615"/>
      <c r="T100" s="61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202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203</v>
      </c>
      <c r="B101" s="63" t="s">
        <v>204</v>
      </c>
      <c r="C101" s="36">
        <v>4301011417</v>
      </c>
      <c r="D101" s="613">
        <v>4680115880269</v>
      </c>
      <c r="E101" s="61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91</v>
      </c>
      <c r="N101" s="38"/>
      <c r="O101" s="37">
        <v>50</v>
      </c>
      <c r="P101" s="6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15"/>
      <c r="R101" s="615"/>
      <c r="S101" s="615"/>
      <c r="T101" s="61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202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205</v>
      </c>
      <c r="B102" s="63" t="s">
        <v>206</v>
      </c>
      <c r="C102" s="36">
        <v>4301011415</v>
      </c>
      <c r="D102" s="613">
        <v>4680115880429</v>
      </c>
      <c r="E102" s="61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91</v>
      </c>
      <c r="N102" s="38"/>
      <c r="O102" s="37">
        <v>50</v>
      </c>
      <c r="P102" s="6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15"/>
      <c r="R102" s="615"/>
      <c r="S102" s="615"/>
      <c r="T102" s="61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207</v>
      </c>
      <c r="B103" s="63" t="s">
        <v>208</v>
      </c>
      <c r="C103" s="36">
        <v>4301011462</v>
      </c>
      <c r="D103" s="613">
        <v>4680115881457</v>
      </c>
      <c r="E103" s="61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91</v>
      </c>
      <c r="N103" s="38"/>
      <c r="O103" s="37">
        <v>50</v>
      </c>
      <c r="P103" s="6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15"/>
      <c r="R103" s="615"/>
      <c r="S103" s="615"/>
      <c r="T103" s="61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202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21"/>
      <c r="B104" s="621"/>
      <c r="C104" s="621"/>
      <c r="D104" s="621"/>
      <c r="E104" s="621"/>
      <c r="F104" s="621"/>
      <c r="G104" s="621"/>
      <c r="H104" s="621"/>
      <c r="I104" s="621"/>
      <c r="J104" s="621"/>
      <c r="K104" s="621"/>
      <c r="L104" s="621"/>
      <c r="M104" s="621"/>
      <c r="N104" s="621"/>
      <c r="O104" s="622"/>
      <c r="P104" s="618" t="s">
        <v>40</v>
      </c>
      <c r="Q104" s="619"/>
      <c r="R104" s="619"/>
      <c r="S104" s="619"/>
      <c r="T104" s="619"/>
      <c r="U104" s="619"/>
      <c r="V104" s="620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21"/>
      <c r="B105" s="621"/>
      <c r="C105" s="621"/>
      <c r="D105" s="621"/>
      <c r="E105" s="621"/>
      <c r="F105" s="621"/>
      <c r="G105" s="621"/>
      <c r="H105" s="621"/>
      <c r="I105" s="621"/>
      <c r="J105" s="621"/>
      <c r="K105" s="621"/>
      <c r="L105" s="621"/>
      <c r="M105" s="621"/>
      <c r="N105" s="621"/>
      <c r="O105" s="622"/>
      <c r="P105" s="618" t="s">
        <v>40</v>
      </c>
      <c r="Q105" s="619"/>
      <c r="R105" s="619"/>
      <c r="S105" s="619"/>
      <c r="T105" s="619"/>
      <c r="U105" s="619"/>
      <c r="V105" s="620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612" t="s">
        <v>145</v>
      </c>
      <c r="B106" s="612"/>
      <c r="C106" s="612"/>
      <c r="D106" s="612"/>
      <c r="E106" s="612"/>
      <c r="F106" s="612"/>
      <c r="G106" s="612"/>
      <c r="H106" s="612"/>
      <c r="I106" s="612"/>
      <c r="J106" s="612"/>
      <c r="K106" s="612"/>
      <c r="L106" s="612"/>
      <c r="M106" s="612"/>
      <c r="N106" s="612"/>
      <c r="O106" s="612"/>
      <c r="P106" s="612"/>
      <c r="Q106" s="612"/>
      <c r="R106" s="612"/>
      <c r="S106" s="612"/>
      <c r="T106" s="612"/>
      <c r="U106" s="612"/>
      <c r="V106" s="612"/>
      <c r="W106" s="612"/>
      <c r="X106" s="612"/>
      <c r="Y106" s="612"/>
      <c r="Z106" s="612"/>
      <c r="AA106" s="66"/>
      <c r="AB106" s="66"/>
      <c r="AC106" s="80"/>
    </row>
    <row r="107" spans="1:68" ht="16.5" customHeight="1" x14ac:dyDescent="0.25">
      <c r="A107" s="63" t="s">
        <v>209</v>
      </c>
      <c r="B107" s="63" t="s">
        <v>210</v>
      </c>
      <c r="C107" s="36">
        <v>4301020345</v>
      </c>
      <c r="D107" s="613">
        <v>4680115881488</v>
      </c>
      <c r="E107" s="61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117</v>
      </c>
      <c r="L107" s="37" t="s">
        <v>45</v>
      </c>
      <c r="M107" s="38" t="s">
        <v>116</v>
      </c>
      <c r="N107" s="38"/>
      <c r="O107" s="37">
        <v>55</v>
      </c>
      <c r="P107" s="6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15"/>
      <c r="R107" s="615"/>
      <c r="S107" s="615"/>
      <c r="T107" s="61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211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212</v>
      </c>
      <c r="B108" s="63" t="s">
        <v>213</v>
      </c>
      <c r="C108" s="36">
        <v>4301020346</v>
      </c>
      <c r="D108" s="613">
        <v>4680115882775</v>
      </c>
      <c r="E108" s="61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86</v>
      </c>
      <c r="L108" s="37" t="s">
        <v>45</v>
      </c>
      <c r="M108" s="38" t="s">
        <v>116</v>
      </c>
      <c r="N108" s="38"/>
      <c r="O108" s="37">
        <v>55</v>
      </c>
      <c r="P108" s="66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15"/>
      <c r="R108" s="615"/>
      <c r="S108" s="615"/>
      <c r="T108" s="61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211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214</v>
      </c>
      <c r="B109" s="63" t="s">
        <v>215</v>
      </c>
      <c r="C109" s="36">
        <v>4301020344</v>
      </c>
      <c r="D109" s="613">
        <v>4680115880658</v>
      </c>
      <c r="E109" s="61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82</v>
      </c>
      <c r="L109" s="37" t="s">
        <v>45</v>
      </c>
      <c r="M109" s="38" t="s">
        <v>116</v>
      </c>
      <c r="N109" s="38"/>
      <c r="O109" s="37">
        <v>55</v>
      </c>
      <c r="P109" s="66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15"/>
      <c r="R109" s="615"/>
      <c r="S109" s="615"/>
      <c r="T109" s="61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211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21"/>
      <c r="B110" s="621"/>
      <c r="C110" s="621"/>
      <c r="D110" s="621"/>
      <c r="E110" s="621"/>
      <c r="F110" s="621"/>
      <c r="G110" s="621"/>
      <c r="H110" s="621"/>
      <c r="I110" s="621"/>
      <c r="J110" s="621"/>
      <c r="K110" s="621"/>
      <c r="L110" s="621"/>
      <c r="M110" s="621"/>
      <c r="N110" s="621"/>
      <c r="O110" s="622"/>
      <c r="P110" s="618" t="s">
        <v>40</v>
      </c>
      <c r="Q110" s="619"/>
      <c r="R110" s="619"/>
      <c r="S110" s="619"/>
      <c r="T110" s="619"/>
      <c r="U110" s="619"/>
      <c r="V110" s="620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1"/>
      <c r="B111" s="621"/>
      <c r="C111" s="621"/>
      <c r="D111" s="621"/>
      <c r="E111" s="621"/>
      <c r="F111" s="621"/>
      <c r="G111" s="621"/>
      <c r="H111" s="621"/>
      <c r="I111" s="621"/>
      <c r="J111" s="621"/>
      <c r="K111" s="621"/>
      <c r="L111" s="621"/>
      <c r="M111" s="621"/>
      <c r="N111" s="621"/>
      <c r="O111" s="622"/>
      <c r="P111" s="618" t="s">
        <v>40</v>
      </c>
      <c r="Q111" s="619"/>
      <c r="R111" s="619"/>
      <c r="S111" s="619"/>
      <c r="T111" s="619"/>
      <c r="U111" s="619"/>
      <c r="V111" s="620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612" t="s">
        <v>87</v>
      </c>
      <c r="B112" s="612"/>
      <c r="C112" s="612"/>
      <c r="D112" s="612"/>
      <c r="E112" s="612"/>
      <c r="F112" s="612"/>
      <c r="G112" s="612"/>
      <c r="H112" s="612"/>
      <c r="I112" s="612"/>
      <c r="J112" s="612"/>
      <c r="K112" s="612"/>
      <c r="L112" s="612"/>
      <c r="M112" s="612"/>
      <c r="N112" s="612"/>
      <c r="O112" s="612"/>
      <c r="P112" s="612"/>
      <c r="Q112" s="612"/>
      <c r="R112" s="612"/>
      <c r="S112" s="612"/>
      <c r="T112" s="612"/>
      <c r="U112" s="612"/>
      <c r="V112" s="612"/>
      <c r="W112" s="612"/>
      <c r="X112" s="612"/>
      <c r="Y112" s="612"/>
      <c r="Z112" s="612"/>
      <c r="AA112" s="66"/>
      <c r="AB112" s="66"/>
      <c r="AC112" s="80"/>
    </row>
    <row r="113" spans="1:68" ht="27" customHeight="1" x14ac:dyDescent="0.25">
      <c r="A113" s="63" t="s">
        <v>216</v>
      </c>
      <c r="B113" s="63" t="s">
        <v>217</v>
      </c>
      <c r="C113" s="36">
        <v>4301051724</v>
      </c>
      <c r="D113" s="613">
        <v>4607091385168</v>
      </c>
      <c r="E113" s="61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117</v>
      </c>
      <c r="L113" s="37" t="s">
        <v>45</v>
      </c>
      <c r="M113" s="38" t="s">
        <v>98</v>
      </c>
      <c r="N113" s="38"/>
      <c r="O113" s="37">
        <v>45</v>
      </c>
      <c r="P113" s="6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15"/>
      <c r="R113" s="615"/>
      <c r="S113" s="615"/>
      <c r="T113" s="61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218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219</v>
      </c>
      <c r="B114" s="63" t="s">
        <v>220</v>
      </c>
      <c r="C114" s="36">
        <v>4301051730</v>
      </c>
      <c r="D114" s="613">
        <v>4607091383256</v>
      </c>
      <c r="E114" s="61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82</v>
      </c>
      <c r="L114" s="37" t="s">
        <v>45</v>
      </c>
      <c r="M114" s="38" t="s">
        <v>98</v>
      </c>
      <c r="N114" s="38"/>
      <c r="O114" s="37">
        <v>45</v>
      </c>
      <c r="P114" s="6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15"/>
      <c r="R114" s="615"/>
      <c r="S114" s="615"/>
      <c r="T114" s="61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218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221</v>
      </c>
      <c r="B115" s="63" t="s">
        <v>222</v>
      </c>
      <c r="C115" s="36">
        <v>4301051721</v>
      </c>
      <c r="D115" s="613">
        <v>4607091385748</v>
      </c>
      <c r="E115" s="61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82</v>
      </c>
      <c r="L115" s="37" t="s">
        <v>45</v>
      </c>
      <c r="M115" s="38" t="s">
        <v>98</v>
      </c>
      <c r="N115" s="38"/>
      <c r="O115" s="37">
        <v>45</v>
      </c>
      <c r="P115" s="6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15"/>
      <c r="R115" s="615"/>
      <c r="S115" s="615"/>
      <c r="T115" s="61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218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223</v>
      </c>
      <c r="B116" s="63" t="s">
        <v>224</v>
      </c>
      <c r="C116" s="36">
        <v>4301051740</v>
      </c>
      <c r="D116" s="613">
        <v>4680115884533</v>
      </c>
      <c r="E116" s="61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82</v>
      </c>
      <c r="L116" s="37" t="s">
        <v>45</v>
      </c>
      <c r="M116" s="38" t="s">
        <v>91</v>
      </c>
      <c r="N116" s="38"/>
      <c r="O116" s="37">
        <v>45</v>
      </c>
      <c r="P116" s="66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15"/>
      <c r="R116" s="615"/>
      <c r="S116" s="615"/>
      <c r="T116" s="61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225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21"/>
      <c r="B117" s="621"/>
      <c r="C117" s="621"/>
      <c r="D117" s="621"/>
      <c r="E117" s="621"/>
      <c r="F117" s="621"/>
      <c r="G117" s="621"/>
      <c r="H117" s="621"/>
      <c r="I117" s="621"/>
      <c r="J117" s="621"/>
      <c r="K117" s="621"/>
      <c r="L117" s="621"/>
      <c r="M117" s="621"/>
      <c r="N117" s="621"/>
      <c r="O117" s="622"/>
      <c r="P117" s="618" t="s">
        <v>40</v>
      </c>
      <c r="Q117" s="619"/>
      <c r="R117" s="619"/>
      <c r="S117" s="619"/>
      <c r="T117" s="619"/>
      <c r="U117" s="619"/>
      <c r="V117" s="62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21"/>
      <c r="B118" s="621"/>
      <c r="C118" s="621"/>
      <c r="D118" s="621"/>
      <c r="E118" s="621"/>
      <c r="F118" s="621"/>
      <c r="G118" s="621"/>
      <c r="H118" s="621"/>
      <c r="I118" s="621"/>
      <c r="J118" s="621"/>
      <c r="K118" s="621"/>
      <c r="L118" s="621"/>
      <c r="M118" s="621"/>
      <c r="N118" s="621"/>
      <c r="O118" s="622"/>
      <c r="P118" s="618" t="s">
        <v>40</v>
      </c>
      <c r="Q118" s="619"/>
      <c r="R118" s="619"/>
      <c r="S118" s="619"/>
      <c r="T118" s="619"/>
      <c r="U118" s="619"/>
      <c r="V118" s="62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12" t="s">
        <v>173</v>
      </c>
      <c r="B119" s="612"/>
      <c r="C119" s="612"/>
      <c r="D119" s="612"/>
      <c r="E119" s="612"/>
      <c r="F119" s="612"/>
      <c r="G119" s="612"/>
      <c r="H119" s="612"/>
      <c r="I119" s="612"/>
      <c r="J119" s="612"/>
      <c r="K119" s="612"/>
      <c r="L119" s="612"/>
      <c r="M119" s="612"/>
      <c r="N119" s="612"/>
      <c r="O119" s="612"/>
      <c r="P119" s="612"/>
      <c r="Q119" s="612"/>
      <c r="R119" s="612"/>
      <c r="S119" s="612"/>
      <c r="T119" s="612"/>
      <c r="U119" s="612"/>
      <c r="V119" s="612"/>
      <c r="W119" s="612"/>
      <c r="X119" s="612"/>
      <c r="Y119" s="612"/>
      <c r="Z119" s="612"/>
      <c r="AA119" s="66"/>
      <c r="AB119" s="66"/>
      <c r="AC119" s="80"/>
    </row>
    <row r="120" spans="1:68" ht="16.5" customHeight="1" x14ac:dyDescent="0.25">
      <c r="A120" s="63" t="s">
        <v>226</v>
      </c>
      <c r="B120" s="63" t="s">
        <v>227</v>
      </c>
      <c r="C120" s="36">
        <v>4301060317</v>
      </c>
      <c r="D120" s="613">
        <v>4680115880238</v>
      </c>
      <c r="E120" s="61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82</v>
      </c>
      <c r="L120" s="37" t="s">
        <v>45</v>
      </c>
      <c r="M120" s="38" t="s">
        <v>91</v>
      </c>
      <c r="N120" s="38"/>
      <c r="O120" s="37">
        <v>40</v>
      </c>
      <c r="P120" s="66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15"/>
      <c r="R120" s="615"/>
      <c r="S120" s="615"/>
      <c r="T120" s="61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228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21"/>
      <c r="B121" s="621"/>
      <c r="C121" s="621"/>
      <c r="D121" s="621"/>
      <c r="E121" s="621"/>
      <c r="F121" s="621"/>
      <c r="G121" s="621"/>
      <c r="H121" s="621"/>
      <c r="I121" s="621"/>
      <c r="J121" s="621"/>
      <c r="K121" s="621"/>
      <c r="L121" s="621"/>
      <c r="M121" s="621"/>
      <c r="N121" s="621"/>
      <c r="O121" s="622"/>
      <c r="P121" s="618" t="s">
        <v>40</v>
      </c>
      <c r="Q121" s="619"/>
      <c r="R121" s="619"/>
      <c r="S121" s="619"/>
      <c r="T121" s="619"/>
      <c r="U121" s="619"/>
      <c r="V121" s="62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21"/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2"/>
      <c r="P122" s="618" t="s">
        <v>40</v>
      </c>
      <c r="Q122" s="619"/>
      <c r="R122" s="619"/>
      <c r="S122" s="619"/>
      <c r="T122" s="619"/>
      <c r="U122" s="619"/>
      <c r="V122" s="62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11" t="s">
        <v>110</v>
      </c>
      <c r="B123" s="611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11"/>
      <c r="U123" s="611"/>
      <c r="V123" s="611"/>
      <c r="W123" s="611"/>
      <c r="X123" s="611"/>
      <c r="Y123" s="611"/>
      <c r="Z123" s="611"/>
      <c r="AA123" s="65"/>
      <c r="AB123" s="65"/>
      <c r="AC123" s="79"/>
    </row>
    <row r="124" spans="1:68" ht="14.25" customHeight="1" x14ac:dyDescent="0.25">
      <c r="A124" s="612" t="s">
        <v>112</v>
      </c>
      <c r="B124" s="612"/>
      <c r="C124" s="612"/>
      <c r="D124" s="612"/>
      <c r="E124" s="612"/>
      <c r="F124" s="612"/>
      <c r="G124" s="612"/>
      <c r="H124" s="612"/>
      <c r="I124" s="612"/>
      <c r="J124" s="612"/>
      <c r="K124" s="612"/>
      <c r="L124" s="612"/>
      <c r="M124" s="612"/>
      <c r="N124" s="612"/>
      <c r="O124" s="612"/>
      <c r="P124" s="612"/>
      <c r="Q124" s="612"/>
      <c r="R124" s="612"/>
      <c r="S124" s="612"/>
      <c r="T124" s="612"/>
      <c r="U124" s="612"/>
      <c r="V124" s="612"/>
      <c r="W124" s="612"/>
      <c r="X124" s="612"/>
      <c r="Y124" s="612"/>
      <c r="Z124" s="612"/>
      <c r="AA124" s="66"/>
      <c r="AB124" s="66"/>
      <c r="AC124" s="80"/>
    </row>
    <row r="125" spans="1:68" ht="27" customHeight="1" x14ac:dyDescent="0.25">
      <c r="A125" s="63" t="s">
        <v>229</v>
      </c>
      <c r="B125" s="63" t="s">
        <v>230</v>
      </c>
      <c r="C125" s="36">
        <v>4301012244</v>
      </c>
      <c r="D125" s="613">
        <v>4680115887374</v>
      </c>
      <c r="E125" s="613"/>
      <c r="F125" s="62">
        <v>1.6</v>
      </c>
      <c r="G125" s="37">
        <v>8</v>
      </c>
      <c r="H125" s="62">
        <v>12.8</v>
      </c>
      <c r="I125" s="62">
        <v>13.21</v>
      </c>
      <c r="J125" s="37">
        <v>64</v>
      </c>
      <c r="K125" s="37" t="s">
        <v>117</v>
      </c>
      <c r="L125" s="37" t="s">
        <v>45</v>
      </c>
      <c r="M125" s="38" t="s">
        <v>116</v>
      </c>
      <c r="N125" s="38"/>
      <c r="O125" s="37">
        <v>55</v>
      </c>
      <c r="P125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5" s="615"/>
      <c r="R125" s="615"/>
      <c r="S125" s="615"/>
      <c r="T125" s="61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IFERROR(IF(Y125=0,"",ROUNDUP(Y125/H125,0)*0.01898),"")</f>
        <v/>
      </c>
      <c r="AA125" s="68" t="s">
        <v>45</v>
      </c>
      <c r="AB125" s="69" t="s">
        <v>45</v>
      </c>
      <c r="AC125" s="184" t="s">
        <v>231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232</v>
      </c>
      <c r="B126" s="63" t="s">
        <v>233</v>
      </c>
      <c r="C126" s="36">
        <v>4301011705</v>
      </c>
      <c r="D126" s="613">
        <v>4607091384604</v>
      </c>
      <c r="E126" s="613"/>
      <c r="F126" s="62">
        <v>0.4</v>
      </c>
      <c r="G126" s="37">
        <v>10</v>
      </c>
      <c r="H126" s="62">
        <v>4</v>
      </c>
      <c r="I126" s="62">
        <v>4.1900000000000004</v>
      </c>
      <c r="J126" s="37">
        <v>132</v>
      </c>
      <c r="K126" s="37" t="s">
        <v>120</v>
      </c>
      <c r="L126" s="37" t="s">
        <v>45</v>
      </c>
      <c r="M126" s="38" t="s">
        <v>116</v>
      </c>
      <c r="N126" s="38"/>
      <c r="O126" s="37">
        <v>50</v>
      </c>
      <c r="P126" s="6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6" s="615"/>
      <c r="R126" s="615"/>
      <c r="S126" s="615"/>
      <c r="T126" s="61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IFERROR(IF(Y126=0,"",ROUNDUP(Y126/H126,0)*0.00902),"")</f>
        <v/>
      </c>
      <c r="AA126" s="68" t="s">
        <v>45</v>
      </c>
      <c r="AB126" s="69" t="s">
        <v>45</v>
      </c>
      <c r="AC126" s="186" t="s">
        <v>234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1"/>
      <c r="B127" s="621"/>
      <c r="C127" s="621"/>
      <c r="D127" s="621"/>
      <c r="E127" s="621"/>
      <c r="F127" s="621"/>
      <c r="G127" s="621"/>
      <c r="H127" s="621"/>
      <c r="I127" s="621"/>
      <c r="J127" s="621"/>
      <c r="K127" s="621"/>
      <c r="L127" s="621"/>
      <c r="M127" s="621"/>
      <c r="N127" s="621"/>
      <c r="O127" s="622"/>
      <c r="P127" s="618" t="s">
        <v>40</v>
      </c>
      <c r="Q127" s="619"/>
      <c r="R127" s="619"/>
      <c r="S127" s="619"/>
      <c r="T127" s="619"/>
      <c r="U127" s="619"/>
      <c r="V127" s="62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21"/>
      <c r="B128" s="621"/>
      <c r="C128" s="621"/>
      <c r="D128" s="621"/>
      <c r="E128" s="621"/>
      <c r="F128" s="621"/>
      <c r="G128" s="621"/>
      <c r="H128" s="621"/>
      <c r="I128" s="621"/>
      <c r="J128" s="621"/>
      <c r="K128" s="621"/>
      <c r="L128" s="621"/>
      <c r="M128" s="621"/>
      <c r="N128" s="621"/>
      <c r="O128" s="622"/>
      <c r="P128" s="618" t="s">
        <v>40</v>
      </c>
      <c r="Q128" s="619"/>
      <c r="R128" s="619"/>
      <c r="S128" s="619"/>
      <c r="T128" s="619"/>
      <c r="U128" s="619"/>
      <c r="V128" s="62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12" t="s">
        <v>76</v>
      </c>
      <c r="B129" s="612"/>
      <c r="C129" s="612"/>
      <c r="D129" s="612"/>
      <c r="E129" s="612"/>
      <c r="F129" s="612"/>
      <c r="G129" s="612"/>
      <c r="H129" s="612"/>
      <c r="I129" s="612"/>
      <c r="J129" s="612"/>
      <c r="K129" s="612"/>
      <c r="L129" s="612"/>
      <c r="M129" s="612"/>
      <c r="N129" s="612"/>
      <c r="O129" s="612"/>
      <c r="P129" s="612"/>
      <c r="Q129" s="612"/>
      <c r="R129" s="612"/>
      <c r="S129" s="612"/>
      <c r="T129" s="612"/>
      <c r="U129" s="612"/>
      <c r="V129" s="612"/>
      <c r="W129" s="612"/>
      <c r="X129" s="612"/>
      <c r="Y129" s="612"/>
      <c r="Z129" s="612"/>
      <c r="AA129" s="66"/>
      <c r="AB129" s="66"/>
      <c r="AC129" s="80"/>
    </row>
    <row r="130" spans="1:68" ht="16.5" customHeight="1" x14ac:dyDescent="0.25">
      <c r="A130" s="63" t="s">
        <v>235</v>
      </c>
      <c r="B130" s="63" t="s">
        <v>236</v>
      </c>
      <c r="C130" s="36">
        <v>4301030895</v>
      </c>
      <c r="D130" s="613">
        <v>4607091387667</v>
      </c>
      <c r="E130" s="613"/>
      <c r="F130" s="62">
        <v>0.9</v>
      </c>
      <c r="G130" s="37">
        <v>10</v>
      </c>
      <c r="H130" s="62">
        <v>9</v>
      </c>
      <c r="I130" s="62">
        <v>9.56</v>
      </c>
      <c r="J130" s="37">
        <v>64</v>
      </c>
      <c r="K130" s="37" t="s">
        <v>117</v>
      </c>
      <c r="L130" s="37" t="s">
        <v>45</v>
      </c>
      <c r="M130" s="38" t="s">
        <v>116</v>
      </c>
      <c r="N130" s="38"/>
      <c r="O130" s="37">
        <v>40</v>
      </c>
      <c r="P130" s="67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30" s="615"/>
      <c r="R130" s="615"/>
      <c r="S130" s="615"/>
      <c r="T130" s="61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IFERROR(IF(Y130=0,"",ROUNDUP(Y130/H130,0)*0.01898),"")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16.5" customHeight="1" x14ac:dyDescent="0.25">
      <c r="A131" s="63" t="s">
        <v>238</v>
      </c>
      <c r="B131" s="63" t="s">
        <v>239</v>
      </c>
      <c r="C131" s="36">
        <v>4301030961</v>
      </c>
      <c r="D131" s="613">
        <v>4607091387636</v>
      </c>
      <c r="E131" s="613"/>
      <c r="F131" s="62">
        <v>0.7</v>
      </c>
      <c r="G131" s="37">
        <v>6</v>
      </c>
      <c r="H131" s="62">
        <v>4.2</v>
      </c>
      <c r="I131" s="62">
        <v>4.47</v>
      </c>
      <c r="J131" s="37">
        <v>182</v>
      </c>
      <c r="K131" s="37" t="s">
        <v>82</v>
      </c>
      <c r="L131" s="37" t="s">
        <v>45</v>
      </c>
      <c r="M131" s="38" t="s">
        <v>81</v>
      </c>
      <c r="N131" s="38"/>
      <c r="O131" s="37">
        <v>40</v>
      </c>
      <c r="P131" s="67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1" s="615"/>
      <c r="R131" s="615"/>
      <c r="S131" s="615"/>
      <c r="T131" s="61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240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241</v>
      </c>
      <c r="B132" s="63" t="s">
        <v>242</v>
      </c>
      <c r="C132" s="36">
        <v>4301030963</v>
      </c>
      <c r="D132" s="613">
        <v>4607091382426</v>
      </c>
      <c r="E132" s="613"/>
      <c r="F132" s="62">
        <v>0.9</v>
      </c>
      <c r="G132" s="37">
        <v>10</v>
      </c>
      <c r="H132" s="62">
        <v>9</v>
      </c>
      <c r="I132" s="62">
        <v>9.56</v>
      </c>
      <c r="J132" s="37">
        <v>64</v>
      </c>
      <c r="K132" s="37" t="s">
        <v>117</v>
      </c>
      <c r="L132" s="37" t="s">
        <v>45</v>
      </c>
      <c r="M132" s="38" t="s">
        <v>81</v>
      </c>
      <c r="N132" s="38"/>
      <c r="O132" s="37">
        <v>40</v>
      </c>
      <c r="P132" s="6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2" s="615"/>
      <c r="R132" s="615"/>
      <c r="S132" s="615"/>
      <c r="T132" s="61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IFERROR(IF(Y132=0,"",ROUNDUP(Y132/H132,0)*0.01898),"")</f>
        <v/>
      </c>
      <c r="AA132" s="68" t="s">
        <v>45</v>
      </c>
      <c r="AB132" s="69" t="s">
        <v>45</v>
      </c>
      <c r="AC132" s="192" t="s">
        <v>243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21"/>
      <c r="B133" s="621"/>
      <c r="C133" s="621"/>
      <c r="D133" s="621"/>
      <c r="E133" s="621"/>
      <c r="F133" s="621"/>
      <c r="G133" s="621"/>
      <c r="H133" s="621"/>
      <c r="I133" s="621"/>
      <c r="J133" s="621"/>
      <c r="K133" s="621"/>
      <c r="L133" s="621"/>
      <c r="M133" s="621"/>
      <c r="N133" s="621"/>
      <c r="O133" s="622"/>
      <c r="P133" s="618" t="s">
        <v>40</v>
      </c>
      <c r="Q133" s="619"/>
      <c r="R133" s="619"/>
      <c r="S133" s="619"/>
      <c r="T133" s="619"/>
      <c r="U133" s="619"/>
      <c r="V133" s="620"/>
      <c r="W133" s="42" t="s">
        <v>39</v>
      </c>
      <c r="X133" s="43">
        <f>IFERROR(X130/H130,"0")+IFERROR(X131/H131,"0")+IFERROR(X132/H132,"0")</f>
        <v>0</v>
      </c>
      <c r="Y133" s="43">
        <f>IFERROR(Y130/H130,"0")+IFERROR(Y131/H131,"0")+IFERROR(Y132/H132,"0")</f>
        <v>0</v>
      </c>
      <c r="Z133" s="43">
        <f>IFERROR(IF(Z130="",0,Z130),"0")+IFERROR(IF(Z131="",0,Z131),"0")+IFERROR(IF(Z132="",0,Z132),"0")</f>
        <v>0</v>
      </c>
      <c r="AA133" s="67"/>
      <c r="AB133" s="67"/>
      <c r="AC133" s="67"/>
    </row>
    <row r="134" spans="1:68" x14ac:dyDescent="0.2">
      <c r="A134" s="621"/>
      <c r="B134" s="621"/>
      <c r="C134" s="621"/>
      <c r="D134" s="621"/>
      <c r="E134" s="621"/>
      <c r="F134" s="621"/>
      <c r="G134" s="621"/>
      <c r="H134" s="621"/>
      <c r="I134" s="621"/>
      <c r="J134" s="621"/>
      <c r="K134" s="621"/>
      <c r="L134" s="621"/>
      <c r="M134" s="621"/>
      <c r="N134" s="621"/>
      <c r="O134" s="622"/>
      <c r="P134" s="618" t="s">
        <v>40</v>
      </c>
      <c r="Q134" s="619"/>
      <c r="R134" s="619"/>
      <c r="S134" s="619"/>
      <c r="T134" s="619"/>
      <c r="U134" s="619"/>
      <c r="V134" s="620"/>
      <c r="W134" s="42" t="s">
        <v>0</v>
      </c>
      <c r="X134" s="43">
        <f>IFERROR(SUM(X130:X132),"0")</f>
        <v>0</v>
      </c>
      <c r="Y134" s="43">
        <f>IFERROR(SUM(Y130:Y132),"0")</f>
        <v>0</v>
      </c>
      <c r="Z134" s="42"/>
      <c r="AA134" s="67"/>
      <c r="AB134" s="67"/>
      <c r="AC134" s="67"/>
    </row>
    <row r="135" spans="1:68" ht="14.25" customHeight="1" x14ac:dyDescent="0.25">
      <c r="A135" s="612" t="s">
        <v>87</v>
      </c>
      <c r="B135" s="612"/>
      <c r="C135" s="612"/>
      <c r="D135" s="612"/>
      <c r="E135" s="612"/>
      <c r="F135" s="612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  <c r="AA135" s="66"/>
      <c r="AB135" s="66"/>
      <c r="AC135" s="80"/>
    </row>
    <row r="136" spans="1:68" ht="27" customHeight="1" x14ac:dyDescent="0.25">
      <c r="A136" s="63" t="s">
        <v>244</v>
      </c>
      <c r="B136" s="63" t="s">
        <v>245</v>
      </c>
      <c r="C136" s="36">
        <v>4301052064</v>
      </c>
      <c r="D136" s="613">
        <v>4680115887459</v>
      </c>
      <c r="E136" s="613"/>
      <c r="F136" s="62">
        <v>0.3</v>
      </c>
      <c r="G136" s="37">
        <v>6</v>
      </c>
      <c r="H136" s="62">
        <v>1.8</v>
      </c>
      <c r="I136" s="62">
        <v>2.0579999999999998</v>
      </c>
      <c r="J136" s="37">
        <v>182</v>
      </c>
      <c r="K136" s="37" t="s">
        <v>82</v>
      </c>
      <c r="L136" s="37" t="s">
        <v>45</v>
      </c>
      <c r="M136" s="38" t="s">
        <v>91</v>
      </c>
      <c r="N136" s="38"/>
      <c r="O136" s="37">
        <v>45</v>
      </c>
      <c r="P136" s="6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36" s="615"/>
      <c r="R136" s="615"/>
      <c r="S136" s="615"/>
      <c r="T136" s="61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246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1"/>
      <c r="B137" s="621"/>
      <c r="C137" s="621"/>
      <c r="D137" s="621"/>
      <c r="E137" s="621"/>
      <c r="F137" s="621"/>
      <c r="G137" s="621"/>
      <c r="H137" s="621"/>
      <c r="I137" s="621"/>
      <c r="J137" s="621"/>
      <c r="K137" s="621"/>
      <c r="L137" s="621"/>
      <c r="M137" s="621"/>
      <c r="N137" s="621"/>
      <c r="O137" s="622"/>
      <c r="P137" s="618" t="s">
        <v>40</v>
      </c>
      <c r="Q137" s="619"/>
      <c r="R137" s="619"/>
      <c r="S137" s="619"/>
      <c r="T137" s="619"/>
      <c r="U137" s="619"/>
      <c r="V137" s="620"/>
      <c r="W137" s="42" t="s">
        <v>39</v>
      </c>
      <c r="X137" s="43">
        <f>IFERROR(X136/H136,"0")</f>
        <v>0</v>
      </c>
      <c r="Y137" s="43">
        <f>IFERROR(Y136/H136,"0")</f>
        <v>0</v>
      </c>
      <c r="Z137" s="43">
        <f>IFERROR(IF(Z136="",0,Z136),"0")</f>
        <v>0</v>
      </c>
      <c r="AA137" s="67"/>
      <c r="AB137" s="67"/>
      <c r="AC137" s="67"/>
    </row>
    <row r="138" spans="1:68" x14ac:dyDescent="0.2">
      <c r="A138" s="621"/>
      <c r="B138" s="621"/>
      <c r="C138" s="621"/>
      <c r="D138" s="621"/>
      <c r="E138" s="621"/>
      <c r="F138" s="621"/>
      <c r="G138" s="621"/>
      <c r="H138" s="621"/>
      <c r="I138" s="621"/>
      <c r="J138" s="621"/>
      <c r="K138" s="621"/>
      <c r="L138" s="621"/>
      <c r="M138" s="621"/>
      <c r="N138" s="621"/>
      <c r="O138" s="622"/>
      <c r="P138" s="618" t="s">
        <v>40</v>
      </c>
      <c r="Q138" s="619"/>
      <c r="R138" s="619"/>
      <c r="S138" s="619"/>
      <c r="T138" s="619"/>
      <c r="U138" s="619"/>
      <c r="V138" s="620"/>
      <c r="W138" s="42" t="s">
        <v>0</v>
      </c>
      <c r="X138" s="43">
        <f>IFERROR(SUM(X136:X136),"0")</f>
        <v>0</v>
      </c>
      <c r="Y138" s="43">
        <f>IFERROR(SUM(Y136:Y136),"0")</f>
        <v>0</v>
      </c>
      <c r="Z138" s="42"/>
      <c r="AA138" s="67"/>
      <c r="AB138" s="67"/>
      <c r="AC138" s="67"/>
    </row>
    <row r="139" spans="1:68" ht="27.75" customHeight="1" x14ac:dyDescent="0.2">
      <c r="A139" s="610" t="s">
        <v>247</v>
      </c>
      <c r="B139" s="610"/>
      <c r="C139" s="610"/>
      <c r="D139" s="610"/>
      <c r="E139" s="610"/>
      <c r="F139" s="610"/>
      <c r="G139" s="610"/>
      <c r="H139" s="610"/>
      <c r="I139" s="610"/>
      <c r="J139" s="610"/>
      <c r="K139" s="610"/>
      <c r="L139" s="610"/>
      <c r="M139" s="610"/>
      <c r="N139" s="610"/>
      <c r="O139" s="610"/>
      <c r="P139" s="610"/>
      <c r="Q139" s="610"/>
      <c r="R139" s="610"/>
      <c r="S139" s="610"/>
      <c r="T139" s="610"/>
      <c r="U139" s="610"/>
      <c r="V139" s="610"/>
      <c r="W139" s="610"/>
      <c r="X139" s="610"/>
      <c r="Y139" s="610"/>
      <c r="Z139" s="610"/>
      <c r="AA139" s="54"/>
      <c r="AB139" s="54"/>
      <c r="AC139" s="54"/>
    </row>
    <row r="140" spans="1:68" ht="16.5" customHeight="1" x14ac:dyDescent="0.25">
      <c r="A140" s="611" t="s">
        <v>248</v>
      </c>
      <c r="B140" s="611"/>
      <c r="C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5"/>
      <c r="AB140" s="65"/>
      <c r="AC140" s="79"/>
    </row>
    <row r="141" spans="1:68" ht="14.25" customHeight="1" x14ac:dyDescent="0.25">
      <c r="A141" s="612" t="s">
        <v>145</v>
      </c>
      <c r="B141" s="612"/>
      <c r="C141" s="612"/>
      <c r="D141" s="612"/>
      <c r="E141" s="612"/>
      <c r="F141" s="612"/>
      <c r="G141" s="612"/>
      <c r="H141" s="612"/>
      <c r="I141" s="612"/>
      <c r="J141" s="612"/>
      <c r="K141" s="612"/>
      <c r="L141" s="612"/>
      <c r="M141" s="612"/>
      <c r="N141" s="612"/>
      <c r="O141" s="612"/>
      <c r="P141" s="612"/>
      <c r="Q141" s="612"/>
      <c r="R141" s="612"/>
      <c r="S141" s="612"/>
      <c r="T141" s="612"/>
      <c r="U141" s="612"/>
      <c r="V141" s="612"/>
      <c r="W141" s="612"/>
      <c r="X141" s="612"/>
      <c r="Y141" s="612"/>
      <c r="Z141" s="612"/>
      <c r="AA141" s="66"/>
      <c r="AB141" s="66"/>
      <c r="AC141" s="80"/>
    </row>
    <row r="142" spans="1:68" ht="27" customHeight="1" x14ac:dyDescent="0.25">
      <c r="A142" s="63" t="s">
        <v>249</v>
      </c>
      <c r="B142" s="63" t="s">
        <v>250</v>
      </c>
      <c r="C142" s="36">
        <v>4301020323</v>
      </c>
      <c r="D142" s="613">
        <v>4680115886223</v>
      </c>
      <c r="E142" s="613"/>
      <c r="F142" s="62">
        <v>0.33</v>
      </c>
      <c r="G142" s="37">
        <v>6</v>
      </c>
      <c r="H142" s="62">
        <v>1.98</v>
      </c>
      <c r="I142" s="62">
        <v>2.08</v>
      </c>
      <c r="J142" s="37">
        <v>234</v>
      </c>
      <c r="K142" s="37" t="s">
        <v>86</v>
      </c>
      <c r="L142" s="37" t="s">
        <v>45</v>
      </c>
      <c r="M142" s="38" t="s">
        <v>81</v>
      </c>
      <c r="N142" s="38"/>
      <c r="O142" s="37">
        <v>40</v>
      </c>
      <c r="P142" s="67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2" s="615"/>
      <c r="R142" s="615"/>
      <c r="S142" s="615"/>
      <c r="T142" s="61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IFERROR(IF(Y142=0,"",ROUNDUP(Y142/H142,0)*0.00502),"")</f>
        <v/>
      </c>
      <c r="AA142" s="68" t="s">
        <v>45</v>
      </c>
      <c r="AB142" s="69" t="s">
        <v>45</v>
      </c>
      <c r="AC142" s="196" t="s">
        <v>251</v>
      </c>
      <c r="AG142" s="78"/>
      <c r="AJ142" s="84" t="s">
        <v>45</v>
      </c>
      <c r="AK142" s="84">
        <v>0</v>
      </c>
      <c r="BB142" s="197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1"/>
      <c r="B143" s="621"/>
      <c r="C143" s="621"/>
      <c r="D143" s="621"/>
      <c r="E143" s="621"/>
      <c r="F143" s="621"/>
      <c r="G143" s="621"/>
      <c r="H143" s="621"/>
      <c r="I143" s="621"/>
      <c r="J143" s="621"/>
      <c r="K143" s="621"/>
      <c r="L143" s="621"/>
      <c r="M143" s="621"/>
      <c r="N143" s="621"/>
      <c r="O143" s="622"/>
      <c r="P143" s="618" t="s">
        <v>40</v>
      </c>
      <c r="Q143" s="619"/>
      <c r="R143" s="619"/>
      <c r="S143" s="619"/>
      <c r="T143" s="619"/>
      <c r="U143" s="619"/>
      <c r="V143" s="620"/>
      <c r="W143" s="42" t="s">
        <v>39</v>
      </c>
      <c r="X143" s="43">
        <f>IFERROR(X142/H142,"0")</f>
        <v>0</v>
      </c>
      <c r="Y143" s="43">
        <f>IFERROR(Y142/H142,"0")</f>
        <v>0</v>
      </c>
      <c r="Z143" s="43">
        <f>IFERROR(IF(Z142="",0,Z142),"0")</f>
        <v>0</v>
      </c>
      <c r="AA143" s="67"/>
      <c r="AB143" s="67"/>
      <c r="AC143" s="67"/>
    </row>
    <row r="144" spans="1:68" x14ac:dyDescent="0.2">
      <c r="A144" s="621"/>
      <c r="B144" s="621"/>
      <c r="C144" s="621"/>
      <c r="D144" s="621"/>
      <c r="E144" s="621"/>
      <c r="F144" s="621"/>
      <c r="G144" s="621"/>
      <c r="H144" s="621"/>
      <c r="I144" s="621"/>
      <c r="J144" s="621"/>
      <c r="K144" s="621"/>
      <c r="L144" s="621"/>
      <c r="M144" s="621"/>
      <c r="N144" s="621"/>
      <c r="O144" s="622"/>
      <c r="P144" s="618" t="s">
        <v>40</v>
      </c>
      <c r="Q144" s="619"/>
      <c r="R144" s="619"/>
      <c r="S144" s="619"/>
      <c r="T144" s="619"/>
      <c r="U144" s="619"/>
      <c r="V144" s="620"/>
      <c r="W144" s="42" t="s">
        <v>0</v>
      </c>
      <c r="X144" s="43">
        <f>IFERROR(SUM(X142:X142),"0")</f>
        <v>0</v>
      </c>
      <c r="Y144" s="43">
        <f>IFERROR(SUM(Y142:Y142),"0")</f>
        <v>0</v>
      </c>
      <c r="Z144" s="42"/>
      <c r="AA144" s="67"/>
      <c r="AB144" s="67"/>
      <c r="AC144" s="67"/>
    </row>
    <row r="145" spans="1:68" ht="14.25" customHeight="1" x14ac:dyDescent="0.25">
      <c r="A145" s="612" t="s">
        <v>76</v>
      </c>
      <c r="B145" s="612"/>
      <c r="C145" s="612"/>
      <c r="D145" s="612"/>
      <c r="E145" s="612"/>
      <c r="F145" s="612"/>
      <c r="G145" s="612"/>
      <c r="H145" s="612"/>
      <c r="I145" s="612"/>
      <c r="J145" s="612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  <c r="Y145" s="612"/>
      <c r="Z145" s="612"/>
      <c r="AA145" s="66"/>
      <c r="AB145" s="66"/>
      <c r="AC145" s="80"/>
    </row>
    <row r="146" spans="1:68" ht="27" customHeight="1" x14ac:dyDescent="0.25">
      <c r="A146" s="63" t="s">
        <v>252</v>
      </c>
      <c r="B146" s="63" t="s">
        <v>253</v>
      </c>
      <c r="C146" s="36">
        <v>4301031191</v>
      </c>
      <c r="D146" s="613">
        <v>4680115880993</v>
      </c>
      <c r="E146" s="613"/>
      <c r="F146" s="62">
        <v>0.7</v>
      </c>
      <c r="G146" s="37">
        <v>6</v>
      </c>
      <c r="H146" s="62">
        <v>4.2</v>
      </c>
      <c r="I146" s="62">
        <v>4.45</v>
      </c>
      <c r="J146" s="37">
        <v>132</v>
      </c>
      <c r="K146" s="37" t="s">
        <v>120</v>
      </c>
      <c r="L146" s="37" t="s">
        <v>45</v>
      </c>
      <c r="M146" s="38" t="s">
        <v>81</v>
      </c>
      <c r="N146" s="38"/>
      <c r="O146" s="37">
        <v>40</v>
      </c>
      <c r="P146" s="6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46" s="615"/>
      <c r="R146" s="615"/>
      <c r="S146" s="615"/>
      <c r="T146" s="616"/>
      <c r="U146" s="39" t="s">
        <v>45</v>
      </c>
      <c r="V146" s="39" t="s">
        <v>45</v>
      </c>
      <c r="W146" s="40" t="s">
        <v>0</v>
      </c>
      <c r="X146" s="58">
        <v>0</v>
      </c>
      <c r="Y146" s="55">
        <f t="shared" ref="Y146:Y155" si="5"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198" t="s">
        <v>254</v>
      </c>
      <c r="AG146" s="78"/>
      <c r="AJ146" s="84" t="s">
        <v>45</v>
      </c>
      <c r="AK146" s="84">
        <v>0</v>
      </c>
      <c r="BB146" s="199" t="s">
        <v>66</v>
      </c>
      <c r="BM146" s="78">
        <f t="shared" ref="BM146:BM155" si="6">IFERROR(X146*I146/H146,"0")</f>
        <v>0</v>
      </c>
      <c r="BN146" s="78">
        <f t="shared" ref="BN146:BN155" si="7">IFERROR(Y146*I146/H146,"0")</f>
        <v>0</v>
      </c>
      <c r="BO146" s="78">
        <f t="shared" ref="BO146:BO155" si="8">IFERROR(1/J146*(X146/H146),"0")</f>
        <v>0</v>
      </c>
      <c r="BP146" s="78">
        <f t="shared" ref="BP146:BP155" si="9"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4301031204</v>
      </c>
      <c r="D147" s="613">
        <v>4680115881761</v>
      </c>
      <c r="E147" s="613"/>
      <c r="F147" s="62">
        <v>0.7</v>
      </c>
      <c r="G147" s="37">
        <v>6</v>
      </c>
      <c r="H147" s="62">
        <v>4.2</v>
      </c>
      <c r="I147" s="62">
        <v>4.45</v>
      </c>
      <c r="J147" s="37">
        <v>132</v>
      </c>
      <c r="K147" s="37" t="s">
        <v>120</v>
      </c>
      <c r="L147" s="37" t="s">
        <v>45</v>
      </c>
      <c r="M147" s="38" t="s">
        <v>81</v>
      </c>
      <c r="N147" s="38"/>
      <c r="O147" s="37">
        <v>40</v>
      </c>
      <c r="P14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47" s="615"/>
      <c r="R147" s="615"/>
      <c r="S147" s="615"/>
      <c r="T147" s="61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si="5"/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0" t="s">
        <v>257</v>
      </c>
      <c r="AG147" s="78"/>
      <c r="AJ147" s="84" t="s">
        <v>45</v>
      </c>
      <c r="AK147" s="84">
        <v>0</v>
      </c>
      <c r="BB147" s="201" t="s">
        <v>66</v>
      </c>
      <c r="BM147" s="78">
        <f t="shared" si="6"/>
        <v>0</v>
      </c>
      <c r="BN147" s="78">
        <f t="shared" si="7"/>
        <v>0</v>
      </c>
      <c r="BO147" s="78">
        <f t="shared" si="8"/>
        <v>0</v>
      </c>
      <c r="BP147" s="78">
        <f t="shared" si="9"/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4301031201</v>
      </c>
      <c r="D148" s="613">
        <v>4680115881563</v>
      </c>
      <c r="E148" s="61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81</v>
      </c>
      <c r="N148" s="38"/>
      <c r="O148" s="37">
        <v>40</v>
      </c>
      <c r="P148" s="67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48" s="615"/>
      <c r="R148" s="615"/>
      <c r="S148" s="615"/>
      <c r="T148" s="61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2" t="s">
        <v>260</v>
      </c>
      <c r="AG148" s="78"/>
      <c r="AJ148" s="84" t="s">
        <v>45</v>
      </c>
      <c r="AK148" s="84">
        <v>0</v>
      </c>
      <c r="BB148" s="203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27" customHeight="1" x14ac:dyDescent="0.25">
      <c r="A149" s="63" t="s">
        <v>261</v>
      </c>
      <c r="B149" s="63" t="s">
        <v>262</v>
      </c>
      <c r="C149" s="36">
        <v>4301031199</v>
      </c>
      <c r="D149" s="613">
        <v>4680115880986</v>
      </c>
      <c r="E149" s="613"/>
      <c r="F149" s="62">
        <v>0.35</v>
      </c>
      <c r="G149" s="37">
        <v>6</v>
      </c>
      <c r="H149" s="62">
        <v>2.1</v>
      </c>
      <c r="I149" s="62">
        <v>2.23</v>
      </c>
      <c r="J149" s="37">
        <v>234</v>
      </c>
      <c r="K149" s="37" t="s">
        <v>86</v>
      </c>
      <c r="L149" s="37" t="s">
        <v>45</v>
      </c>
      <c r="M149" s="38" t="s">
        <v>81</v>
      </c>
      <c r="N149" s="38"/>
      <c r="O149" s="37">
        <v>40</v>
      </c>
      <c r="P14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49" s="615"/>
      <c r="R149" s="615"/>
      <c r="S149" s="615"/>
      <c r="T149" s="61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IFERROR(IF(Y149=0,"",ROUNDUP(Y149/H149,0)*0.00502),"")</f>
        <v/>
      </c>
      <c r="AA149" s="68" t="s">
        <v>45</v>
      </c>
      <c r="AB149" s="69" t="s">
        <v>45</v>
      </c>
      <c r="AC149" s="204" t="s">
        <v>254</v>
      </c>
      <c r="AG149" s="78"/>
      <c r="AJ149" s="84" t="s">
        <v>45</v>
      </c>
      <c r="AK149" s="84">
        <v>0</v>
      </c>
      <c r="BB149" s="205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263</v>
      </c>
      <c r="B150" s="63" t="s">
        <v>264</v>
      </c>
      <c r="C150" s="36">
        <v>4301031443</v>
      </c>
      <c r="D150" s="613">
        <v>4680115887213</v>
      </c>
      <c r="E150" s="613"/>
      <c r="F150" s="62">
        <v>0.3</v>
      </c>
      <c r="G150" s="37">
        <v>6</v>
      </c>
      <c r="H150" s="62">
        <v>1.8</v>
      </c>
      <c r="I150" s="62">
        <v>1.9</v>
      </c>
      <c r="J150" s="37">
        <v>234</v>
      </c>
      <c r="K150" s="37" t="s">
        <v>86</v>
      </c>
      <c r="L150" s="37" t="s">
        <v>45</v>
      </c>
      <c r="M150" s="38" t="s">
        <v>81</v>
      </c>
      <c r="N150" s="38"/>
      <c r="O150" s="37">
        <v>45</v>
      </c>
      <c r="P150" s="6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50" s="615"/>
      <c r="R150" s="615"/>
      <c r="S150" s="615"/>
      <c r="T150" s="61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IFERROR(IF(Y150=0,"",ROUNDUP(Y150/H150,0)*0.00502),"")</f>
        <v/>
      </c>
      <c r="AA150" s="68" t="s">
        <v>45</v>
      </c>
      <c r="AB150" s="69" t="s">
        <v>45</v>
      </c>
      <c r="AC150" s="206" t="s">
        <v>265</v>
      </c>
      <c r="AG150" s="78"/>
      <c r="AJ150" s="84" t="s">
        <v>45</v>
      </c>
      <c r="AK150" s="84">
        <v>0</v>
      </c>
      <c r="BB150" s="207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266</v>
      </c>
      <c r="B151" s="63" t="s">
        <v>267</v>
      </c>
      <c r="C151" s="36">
        <v>4301031205</v>
      </c>
      <c r="D151" s="613">
        <v>4680115881785</v>
      </c>
      <c r="E151" s="613"/>
      <c r="F151" s="62">
        <v>0.35</v>
      </c>
      <c r="G151" s="37">
        <v>6</v>
      </c>
      <c r="H151" s="62">
        <v>2.1</v>
      </c>
      <c r="I151" s="62">
        <v>2.23</v>
      </c>
      <c r="J151" s="37">
        <v>234</v>
      </c>
      <c r="K151" s="37" t="s">
        <v>86</v>
      </c>
      <c r="L151" s="37" t="s">
        <v>45</v>
      </c>
      <c r="M151" s="38" t="s">
        <v>81</v>
      </c>
      <c r="N151" s="38"/>
      <c r="O151" s="37">
        <v>40</v>
      </c>
      <c r="P151" s="6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1" s="615"/>
      <c r="R151" s="615"/>
      <c r="S151" s="615"/>
      <c r="T151" s="61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IFERROR(IF(Y151=0,"",ROUNDUP(Y151/H151,0)*0.00502),"")</f>
        <v/>
      </c>
      <c r="AA151" s="68" t="s">
        <v>45</v>
      </c>
      <c r="AB151" s="69" t="s">
        <v>45</v>
      </c>
      <c r="AC151" s="208" t="s">
        <v>257</v>
      </c>
      <c r="AG151" s="78"/>
      <c r="AJ151" s="84" t="s">
        <v>45</v>
      </c>
      <c r="AK151" s="84">
        <v>0</v>
      </c>
      <c r="BB151" s="209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268</v>
      </c>
      <c r="B152" s="63" t="s">
        <v>269</v>
      </c>
      <c r="C152" s="36">
        <v>4301031399</v>
      </c>
      <c r="D152" s="613">
        <v>4680115886537</v>
      </c>
      <c r="E152" s="613"/>
      <c r="F152" s="62">
        <v>0.3</v>
      </c>
      <c r="G152" s="37">
        <v>6</v>
      </c>
      <c r="H152" s="62">
        <v>1.8</v>
      </c>
      <c r="I152" s="62">
        <v>1.93</v>
      </c>
      <c r="J152" s="37">
        <v>234</v>
      </c>
      <c r="K152" s="37" t="s">
        <v>86</v>
      </c>
      <c r="L152" s="37" t="s">
        <v>45</v>
      </c>
      <c r="M152" s="38" t="s">
        <v>81</v>
      </c>
      <c r="N152" s="38"/>
      <c r="O152" s="37">
        <v>40</v>
      </c>
      <c r="P152" s="6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2" s="615"/>
      <c r="R152" s="615"/>
      <c r="S152" s="615"/>
      <c r="T152" s="61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IFERROR(IF(Y152=0,"",ROUNDUP(Y152/H152,0)*0.00502),"")</f>
        <v/>
      </c>
      <c r="AA152" s="68" t="s">
        <v>45</v>
      </c>
      <c r="AB152" s="69" t="s">
        <v>45</v>
      </c>
      <c r="AC152" s="210" t="s">
        <v>270</v>
      </c>
      <c r="AG152" s="78"/>
      <c r="AJ152" s="84" t="s">
        <v>45</v>
      </c>
      <c r="AK152" s="84">
        <v>0</v>
      </c>
      <c r="BB152" s="211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37.5" customHeight="1" x14ac:dyDescent="0.25">
      <c r="A153" s="63" t="s">
        <v>271</v>
      </c>
      <c r="B153" s="63" t="s">
        <v>272</v>
      </c>
      <c r="C153" s="36">
        <v>4301031202</v>
      </c>
      <c r="D153" s="613">
        <v>4680115881679</v>
      </c>
      <c r="E153" s="613"/>
      <c r="F153" s="62">
        <v>0.35</v>
      </c>
      <c r="G153" s="37">
        <v>6</v>
      </c>
      <c r="H153" s="62">
        <v>2.1</v>
      </c>
      <c r="I153" s="62">
        <v>2.2000000000000002</v>
      </c>
      <c r="J153" s="37">
        <v>234</v>
      </c>
      <c r="K153" s="37" t="s">
        <v>86</v>
      </c>
      <c r="L153" s="37" t="s">
        <v>45</v>
      </c>
      <c r="M153" s="38" t="s">
        <v>81</v>
      </c>
      <c r="N153" s="38"/>
      <c r="O153" s="37">
        <v>40</v>
      </c>
      <c r="P153" s="6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53" s="615"/>
      <c r="R153" s="615"/>
      <c r="S153" s="615"/>
      <c r="T153" s="616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IFERROR(IF(Y153=0,"",ROUNDUP(Y153/H153,0)*0.00502),"")</f>
        <v/>
      </c>
      <c r="AA153" s="68" t="s">
        <v>45</v>
      </c>
      <c r="AB153" s="69" t="s">
        <v>45</v>
      </c>
      <c r="AC153" s="212" t="s">
        <v>260</v>
      </c>
      <c r="AG153" s="78"/>
      <c r="AJ153" s="84" t="s">
        <v>45</v>
      </c>
      <c r="AK153" s="84">
        <v>0</v>
      </c>
      <c r="BB153" s="213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ht="27" customHeight="1" x14ac:dyDescent="0.25">
      <c r="A154" s="63" t="s">
        <v>273</v>
      </c>
      <c r="B154" s="63" t="s">
        <v>274</v>
      </c>
      <c r="C154" s="36">
        <v>4301031158</v>
      </c>
      <c r="D154" s="613">
        <v>4680115880191</v>
      </c>
      <c r="E154" s="613"/>
      <c r="F154" s="62">
        <v>0.4</v>
      </c>
      <c r="G154" s="37">
        <v>6</v>
      </c>
      <c r="H154" s="62">
        <v>2.4</v>
      </c>
      <c r="I154" s="62">
        <v>2.58</v>
      </c>
      <c r="J154" s="37">
        <v>182</v>
      </c>
      <c r="K154" s="37" t="s">
        <v>82</v>
      </c>
      <c r="L154" s="37" t="s">
        <v>45</v>
      </c>
      <c r="M154" s="38" t="s">
        <v>81</v>
      </c>
      <c r="N154" s="38"/>
      <c r="O154" s="37">
        <v>40</v>
      </c>
      <c r="P154" s="68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54" s="615"/>
      <c r="R154" s="615"/>
      <c r="S154" s="615"/>
      <c r="T154" s="616"/>
      <c r="U154" s="39" t="s">
        <v>45</v>
      </c>
      <c r="V154" s="39" t="s">
        <v>45</v>
      </c>
      <c r="W154" s="40" t="s">
        <v>0</v>
      </c>
      <c r="X154" s="58">
        <v>0</v>
      </c>
      <c r="Y154" s="55">
        <f t="shared" si="5"/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4" t="s">
        <v>260</v>
      </c>
      <c r="AG154" s="78"/>
      <c r="AJ154" s="84" t="s">
        <v>45</v>
      </c>
      <c r="AK154" s="84">
        <v>0</v>
      </c>
      <c r="BB154" s="215" t="s">
        <v>66</v>
      </c>
      <c r="BM154" s="78">
        <f t="shared" si="6"/>
        <v>0</v>
      </c>
      <c r="BN154" s="78">
        <f t="shared" si="7"/>
        <v>0</v>
      </c>
      <c r="BO154" s="78">
        <f t="shared" si="8"/>
        <v>0</v>
      </c>
      <c r="BP154" s="78">
        <f t="shared" si="9"/>
        <v>0</v>
      </c>
    </row>
    <row r="155" spans="1:68" ht="27" customHeight="1" x14ac:dyDescent="0.25">
      <c r="A155" s="63" t="s">
        <v>275</v>
      </c>
      <c r="B155" s="63" t="s">
        <v>276</v>
      </c>
      <c r="C155" s="36">
        <v>4301031245</v>
      </c>
      <c r="D155" s="613">
        <v>4680115883963</v>
      </c>
      <c r="E155" s="613"/>
      <c r="F155" s="62">
        <v>0.28000000000000003</v>
      </c>
      <c r="G155" s="37">
        <v>6</v>
      </c>
      <c r="H155" s="62">
        <v>1.68</v>
      </c>
      <c r="I155" s="62">
        <v>1.78</v>
      </c>
      <c r="J155" s="37">
        <v>234</v>
      </c>
      <c r="K155" s="37" t="s">
        <v>86</v>
      </c>
      <c r="L155" s="37" t="s">
        <v>45</v>
      </c>
      <c r="M155" s="38" t="s">
        <v>81</v>
      </c>
      <c r="N155" s="38"/>
      <c r="O155" s="37">
        <v>40</v>
      </c>
      <c r="P155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55" s="615"/>
      <c r="R155" s="615"/>
      <c r="S155" s="615"/>
      <c r="T155" s="616"/>
      <c r="U155" s="39" t="s">
        <v>45</v>
      </c>
      <c r="V155" s="39" t="s">
        <v>45</v>
      </c>
      <c r="W155" s="40" t="s">
        <v>0</v>
      </c>
      <c r="X155" s="58">
        <v>0</v>
      </c>
      <c r="Y155" s="55">
        <f t="shared" si="5"/>
        <v>0</v>
      </c>
      <c r="Z155" s="41" t="str">
        <f>IFERROR(IF(Y155=0,"",ROUNDUP(Y155/H155,0)*0.00502),"")</f>
        <v/>
      </c>
      <c r="AA155" s="68" t="s">
        <v>45</v>
      </c>
      <c r="AB155" s="69" t="s">
        <v>45</v>
      </c>
      <c r="AC155" s="216" t="s">
        <v>277</v>
      </c>
      <c r="AG155" s="78"/>
      <c r="AJ155" s="84" t="s">
        <v>45</v>
      </c>
      <c r="AK155" s="84">
        <v>0</v>
      </c>
      <c r="BB155" s="217" t="s">
        <v>66</v>
      </c>
      <c r="BM155" s="78">
        <f t="shared" si="6"/>
        <v>0</v>
      </c>
      <c r="BN155" s="78">
        <f t="shared" si="7"/>
        <v>0</v>
      </c>
      <c r="BO155" s="78">
        <f t="shared" si="8"/>
        <v>0</v>
      </c>
      <c r="BP155" s="78">
        <f t="shared" si="9"/>
        <v>0</v>
      </c>
    </row>
    <row r="156" spans="1:68" x14ac:dyDescent="0.2">
      <c r="A156" s="621"/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2"/>
      <c r="P156" s="618" t="s">
        <v>40</v>
      </c>
      <c r="Q156" s="619"/>
      <c r="R156" s="619"/>
      <c r="S156" s="619"/>
      <c r="T156" s="619"/>
      <c r="U156" s="619"/>
      <c r="V156" s="620"/>
      <c r="W156" s="42" t="s">
        <v>39</v>
      </c>
      <c r="X156" s="43">
        <f>IFERROR(X146/H146,"0")+IFERROR(X147/H147,"0")+IFERROR(X148/H148,"0")+IFERROR(X149/H149,"0")+IFERROR(X150/H150,"0")+IFERROR(X151/H151,"0")+IFERROR(X152/H152,"0")+IFERROR(X153/H153,"0")+IFERROR(X154/H154,"0")+IFERROR(X155/H155,"0")</f>
        <v>0</v>
      </c>
      <c r="Y156" s="43">
        <f>IFERROR(Y146/H146,"0")+IFERROR(Y147/H147,"0")+IFERROR(Y148/H148,"0")+IFERROR(Y149/H149,"0")+IFERROR(Y150/H150,"0")+IFERROR(Y151/H151,"0")+IFERROR(Y152/H152,"0")+IFERROR(Y153/H153,"0")+IFERROR(Y154/H154,"0")+IFERROR(Y155/H155,"0")</f>
        <v>0</v>
      </c>
      <c r="Z156" s="43">
        <f>IFERROR(IF(Z146="",0,Z146),"0")+IFERROR(IF(Z147="",0,Z147),"0")+IFERROR(IF(Z148="",0,Z148),"0")+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21"/>
      <c r="B157" s="621"/>
      <c r="C157" s="621"/>
      <c r="D157" s="621"/>
      <c r="E157" s="621"/>
      <c r="F157" s="621"/>
      <c r="G157" s="621"/>
      <c r="H157" s="621"/>
      <c r="I157" s="621"/>
      <c r="J157" s="621"/>
      <c r="K157" s="621"/>
      <c r="L157" s="621"/>
      <c r="M157" s="621"/>
      <c r="N157" s="621"/>
      <c r="O157" s="622"/>
      <c r="P157" s="618" t="s">
        <v>40</v>
      </c>
      <c r="Q157" s="619"/>
      <c r="R157" s="619"/>
      <c r="S157" s="619"/>
      <c r="T157" s="619"/>
      <c r="U157" s="619"/>
      <c r="V157" s="620"/>
      <c r="W157" s="42" t="s">
        <v>0</v>
      </c>
      <c r="X157" s="43">
        <f>IFERROR(SUM(X146:X155),"0")</f>
        <v>0</v>
      </c>
      <c r="Y157" s="43">
        <f>IFERROR(SUM(Y146:Y155),"0")</f>
        <v>0</v>
      </c>
      <c r="Z157" s="42"/>
      <c r="AA157" s="67"/>
      <c r="AB157" s="67"/>
      <c r="AC157" s="67"/>
    </row>
    <row r="158" spans="1:68" ht="14.25" customHeight="1" x14ac:dyDescent="0.25">
      <c r="A158" s="612" t="s">
        <v>104</v>
      </c>
      <c r="B158" s="612"/>
      <c r="C158" s="612"/>
      <c r="D158" s="612"/>
      <c r="E158" s="612"/>
      <c r="F158" s="612"/>
      <c r="G158" s="612"/>
      <c r="H158" s="612"/>
      <c r="I158" s="612"/>
      <c r="J158" s="612"/>
      <c r="K158" s="612"/>
      <c r="L158" s="612"/>
      <c r="M158" s="612"/>
      <c r="N158" s="612"/>
      <c r="O158" s="612"/>
      <c r="P158" s="612"/>
      <c r="Q158" s="612"/>
      <c r="R158" s="612"/>
      <c r="S158" s="612"/>
      <c r="T158" s="612"/>
      <c r="U158" s="612"/>
      <c r="V158" s="612"/>
      <c r="W158" s="612"/>
      <c r="X158" s="612"/>
      <c r="Y158" s="612"/>
      <c r="Z158" s="612"/>
      <c r="AA158" s="66"/>
      <c r="AB158" s="66"/>
      <c r="AC158" s="80"/>
    </row>
    <row r="159" spans="1:68" ht="27" customHeight="1" x14ac:dyDescent="0.25">
      <c r="A159" s="63" t="s">
        <v>278</v>
      </c>
      <c r="B159" s="63" t="s">
        <v>279</v>
      </c>
      <c r="C159" s="36">
        <v>4301032053</v>
      </c>
      <c r="D159" s="613">
        <v>4680115886780</v>
      </c>
      <c r="E159" s="613"/>
      <c r="F159" s="62">
        <v>7.0000000000000007E-2</v>
      </c>
      <c r="G159" s="37">
        <v>18</v>
      </c>
      <c r="H159" s="62">
        <v>1.26</v>
      </c>
      <c r="I159" s="62">
        <v>1.45</v>
      </c>
      <c r="J159" s="37">
        <v>216</v>
      </c>
      <c r="K159" s="37" t="s">
        <v>282</v>
      </c>
      <c r="L159" s="37" t="s">
        <v>45</v>
      </c>
      <c r="M159" s="38" t="s">
        <v>281</v>
      </c>
      <c r="N159" s="38"/>
      <c r="O159" s="37">
        <v>60</v>
      </c>
      <c r="P159" s="6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59" s="615"/>
      <c r="R159" s="615"/>
      <c r="S159" s="615"/>
      <c r="T159" s="616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IFERROR(IF(Y159=0,"",ROUNDUP(Y159/H159,0)*0.0059),"")</f>
        <v/>
      </c>
      <c r="AA159" s="68" t="s">
        <v>45</v>
      </c>
      <c r="AB159" s="69" t="s">
        <v>45</v>
      </c>
      <c r="AC159" s="218" t="s">
        <v>280</v>
      </c>
      <c r="AG159" s="78"/>
      <c r="AJ159" s="84" t="s">
        <v>45</v>
      </c>
      <c r="AK159" s="84">
        <v>0</v>
      </c>
      <c r="BB159" s="219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283</v>
      </c>
      <c r="B160" s="63" t="s">
        <v>284</v>
      </c>
      <c r="C160" s="36">
        <v>4301032051</v>
      </c>
      <c r="D160" s="613">
        <v>4680115886742</v>
      </c>
      <c r="E160" s="613"/>
      <c r="F160" s="62">
        <v>7.0000000000000007E-2</v>
      </c>
      <c r="G160" s="37">
        <v>18</v>
      </c>
      <c r="H160" s="62">
        <v>1.26</v>
      </c>
      <c r="I160" s="62">
        <v>1.45</v>
      </c>
      <c r="J160" s="37">
        <v>216</v>
      </c>
      <c r="K160" s="37" t="s">
        <v>282</v>
      </c>
      <c r="L160" s="37" t="s">
        <v>45</v>
      </c>
      <c r="M160" s="38" t="s">
        <v>281</v>
      </c>
      <c r="N160" s="38"/>
      <c r="O160" s="37">
        <v>90</v>
      </c>
      <c r="P160" s="68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60" s="615"/>
      <c r="R160" s="615"/>
      <c r="S160" s="615"/>
      <c r="T160" s="616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IFERROR(IF(Y160=0,"",ROUNDUP(Y160/H160,0)*0.0059),"")</f>
        <v/>
      </c>
      <c r="AA160" s="68" t="s">
        <v>45</v>
      </c>
      <c r="AB160" s="69" t="s">
        <v>45</v>
      </c>
      <c r="AC160" s="220" t="s">
        <v>285</v>
      </c>
      <c r="AG160" s="78"/>
      <c r="AJ160" s="84" t="s">
        <v>45</v>
      </c>
      <c r="AK160" s="84">
        <v>0</v>
      </c>
      <c r="BB160" s="221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286</v>
      </c>
      <c r="B161" s="63" t="s">
        <v>287</v>
      </c>
      <c r="C161" s="36">
        <v>4301032052</v>
      </c>
      <c r="D161" s="613">
        <v>4680115886766</v>
      </c>
      <c r="E161" s="613"/>
      <c r="F161" s="62">
        <v>7.0000000000000007E-2</v>
      </c>
      <c r="G161" s="37">
        <v>18</v>
      </c>
      <c r="H161" s="62">
        <v>1.26</v>
      </c>
      <c r="I161" s="62">
        <v>1.45</v>
      </c>
      <c r="J161" s="37">
        <v>216</v>
      </c>
      <c r="K161" s="37" t="s">
        <v>282</v>
      </c>
      <c r="L161" s="37" t="s">
        <v>45</v>
      </c>
      <c r="M161" s="38" t="s">
        <v>281</v>
      </c>
      <c r="N161" s="38"/>
      <c r="O161" s="37">
        <v>90</v>
      </c>
      <c r="P161" s="6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1" s="615"/>
      <c r="R161" s="615"/>
      <c r="S161" s="615"/>
      <c r="T161" s="616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IFERROR(IF(Y161=0,"",ROUNDUP(Y161/H161,0)*0.0059),"")</f>
        <v/>
      </c>
      <c r="AA161" s="68" t="s">
        <v>45</v>
      </c>
      <c r="AB161" s="69" t="s">
        <v>45</v>
      </c>
      <c r="AC161" s="222" t="s">
        <v>285</v>
      </c>
      <c r="AG161" s="78"/>
      <c r="AJ161" s="84" t="s">
        <v>45</v>
      </c>
      <c r="AK161" s="84">
        <v>0</v>
      </c>
      <c r="BB161" s="223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21"/>
      <c r="B162" s="621"/>
      <c r="C162" s="621"/>
      <c r="D162" s="621"/>
      <c r="E162" s="621"/>
      <c r="F162" s="621"/>
      <c r="G162" s="621"/>
      <c r="H162" s="621"/>
      <c r="I162" s="621"/>
      <c r="J162" s="621"/>
      <c r="K162" s="621"/>
      <c r="L162" s="621"/>
      <c r="M162" s="621"/>
      <c r="N162" s="621"/>
      <c r="O162" s="622"/>
      <c r="P162" s="618" t="s">
        <v>40</v>
      </c>
      <c r="Q162" s="619"/>
      <c r="R162" s="619"/>
      <c r="S162" s="619"/>
      <c r="T162" s="619"/>
      <c r="U162" s="619"/>
      <c r="V162" s="620"/>
      <c r="W162" s="42" t="s">
        <v>39</v>
      </c>
      <c r="X162" s="43">
        <f>IFERROR(X159/H159,"0")+IFERROR(X160/H160,"0")+IFERROR(X161/H161,"0")</f>
        <v>0</v>
      </c>
      <c r="Y162" s="43">
        <f>IFERROR(Y159/H159,"0")+IFERROR(Y160/H160,"0")+IFERROR(Y161/H161,"0")</f>
        <v>0</v>
      </c>
      <c r="Z162" s="43">
        <f>IFERROR(IF(Z159="",0,Z159),"0")+IFERROR(IF(Z160="",0,Z160),"0")+IFERROR(IF(Z161="",0,Z161),"0")</f>
        <v>0</v>
      </c>
      <c r="AA162" s="67"/>
      <c r="AB162" s="67"/>
      <c r="AC162" s="67"/>
    </row>
    <row r="163" spans="1:68" x14ac:dyDescent="0.2">
      <c r="A163" s="621"/>
      <c r="B163" s="621"/>
      <c r="C163" s="621"/>
      <c r="D163" s="621"/>
      <c r="E163" s="621"/>
      <c r="F163" s="621"/>
      <c r="G163" s="621"/>
      <c r="H163" s="621"/>
      <c r="I163" s="621"/>
      <c r="J163" s="621"/>
      <c r="K163" s="621"/>
      <c r="L163" s="621"/>
      <c r="M163" s="621"/>
      <c r="N163" s="621"/>
      <c r="O163" s="622"/>
      <c r="P163" s="618" t="s">
        <v>40</v>
      </c>
      <c r="Q163" s="619"/>
      <c r="R163" s="619"/>
      <c r="S163" s="619"/>
      <c r="T163" s="619"/>
      <c r="U163" s="619"/>
      <c r="V163" s="620"/>
      <c r="W163" s="42" t="s">
        <v>0</v>
      </c>
      <c r="X163" s="43">
        <f>IFERROR(SUM(X159:X161),"0")</f>
        <v>0</v>
      </c>
      <c r="Y163" s="43">
        <f>IFERROR(SUM(Y159:Y161),"0")</f>
        <v>0</v>
      </c>
      <c r="Z163" s="42"/>
      <c r="AA163" s="67"/>
      <c r="AB163" s="67"/>
      <c r="AC163" s="67"/>
    </row>
    <row r="164" spans="1:68" ht="14.25" customHeight="1" x14ac:dyDescent="0.25">
      <c r="A164" s="612" t="s">
        <v>288</v>
      </c>
      <c r="B164" s="612"/>
      <c r="C164" s="612"/>
      <c r="D164" s="612"/>
      <c r="E164" s="612"/>
      <c r="F164" s="612"/>
      <c r="G164" s="612"/>
      <c r="H164" s="612"/>
      <c r="I164" s="612"/>
      <c r="J164" s="612"/>
      <c r="K164" s="612"/>
      <c r="L164" s="612"/>
      <c r="M164" s="612"/>
      <c r="N164" s="612"/>
      <c r="O164" s="612"/>
      <c r="P164" s="612"/>
      <c r="Q164" s="612"/>
      <c r="R164" s="612"/>
      <c r="S164" s="612"/>
      <c r="T164" s="612"/>
      <c r="U164" s="612"/>
      <c r="V164" s="612"/>
      <c r="W164" s="612"/>
      <c r="X164" s="612"/>
      <c r="Y164" s="612"/>
      <c r="Z164" s="612"/>
      <c r="AA164" s="66"/>
      <c r="AB164" s="66"/>
      <c r="AC164" s="80"/>
    </row>
    <row r="165" spans="1:68" ht="27" customHeight="1" x14ac:dyDescent="0.25">
      <c r="A165" s="63" t="s">
        <v>289</v>
      </c>
      <c r="B165" s="63" t="s">
        <v>290</v>
      </c>
      <c r="C165" s="36">
        <v>4301170013</v>
      </c>
      <c r="D165" s="613">
        <v>4680115886797</v>
      </c>
      <c r="E165" s="613"/>
      <c r="F165" s="62">
        <v>7.0000000000000007E-2</v>
      </c>
      <c r="G165" s="37">
        <v>18</v>
      </c>
      <c r="H165" s="62">
        <v>1.26</v>
      </c>
      <c r="I165" s="62">
        <v>1.45</v>
      </c>
      <c r="J165" s="37">
        <v>216</v>
      </c>
      <c r="K165" s="37" t="s">
        <v>282</v>
      </c>
      <c r="L165" s="37" t="s">
        <v>45</v>
      </c>
      <c r="M165" s="38" t="s">
        <v>281</v>
      </c>
      <c r="N165" s="38"/>
      <c r="O165" s="37">
        <v>90</v>
      </c>
      <c r="P165" s="69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65" s="615"/>
      <c r="R165" s="615"/>
      <c r="S165" s="615"/>
      <c r="T165" s="616"/>
      <c r="U165" s="39" t="s">
        <v>45</v>
      </c>
      <c r="V165" s="39" t="s">
        <v>45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IFERROR(IF(Y165=0,"",ROUNDUP(Y165/H165,0)*0.0059),"")</f>
        <v/>
      </c>
      <c r="AA165" s="68" t="s">
        <v>45</v>
      </c>
      <c r="AB165" s="69" t="s">
        <v>45</v>
      </c>
      <c r="AC165" s="224" t="s">
        <v>285</v>
      </c>
      <c r="AG165" s="78"/>
      <c r="AJ165" s="84" t="s">
        <v>45</v>
      </c>
      <c r="AK165" s="84">
        <v>0</v>
      </c>
      <c r="BB165" s="225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21"/>
      <c r="B166" s="621"/>
      <c r="C166" s="621"/>
      <c r="D166" s="621"/>
      <c r="E166" s="621"/>
      <c r="F166" s="621"/>
      <c r="G166" s="621"/>
      <c r="H166" s="621"/>
      <c r="I166" s="621"/>
      <c r="J166" s="621"/>
      <c r="K166" s="621"/>
      <c r="L166" s="621"/>
      <c r="M166" s="621"/>
      <c r="N166" s="621"/>
      <c r="O166" s="622"/>
      <c r="P166" s="618" t="s">
        <v>40</v>
      </c>
      <c r="Q166" s="619"/>
      <c r="R166" s="619"/>
      <c r="S166" s="619"/>
      <c r="T166" s="619"/>
      <c r="U166" s="619"/>
      <c r="V166" s="620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621"/>
      <c r="B167" s="621"/>
      <c r="C167" s="621"/>
      <c r="D167" s="621"/>
      <c r="E167" s="621"/>
      <c r="F167" s="621"/>
      <c r="G167" s="621"/>
      <c r="H167" s="621"/>
      <c r="I167" s="621"/>
      <c r="J167" s="621"/>
      <c r="K167" s="621"/>
      <c r="L167" s="621"/>
      <c r="M167" s="621"/>
      <c r="N167" s="621"/>
      <c r="O167" s="622"/>
      <c r="P167" s="618" t="s">
        <v>40</v>
      </c>
      <c r="Q167" s="619"/>
      <c r="R167" s="619"/>
      <c r="S167" s="619"/>
      <c r="T167" s="619"/>
      <c r="U167" s="619"/>
      <c r="V167" s="620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6.5" customHeight="1" x14ac:dyDescent="0.25">
      <c r="A168" s="611" t="s">
        <v>291</v>
      </c>
      <c r="B168" s="611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11"/>
      <c r="U168" s="611"/>
      <c r="V168" s="611"/>
      <c r="W168" s="611"/>
      <c r="X168" s="611"/>
      <c r="Y168" s="611"/>
      <c r="Z168" s="611"/>
      <c r="AA168" s="65"/>
      <c r="AB168" s="65"/>
      <c r="AC168" s="79"/>
    </row>
    <row r="169" spans="1:68" ht="14.25" customHeight="1" x14ac:dyDescent="0.25">
      <c r="A169" s="612" t="s">
        <v>112</v>
      </c>
      <c r="B169" s="612"/>
      <c r="C169" s="612"/>
      <c r="D169" s="612"/>
      <c r="E169" s="612"/>
      <c r="F169" s="612"/>
      <c r="G169" s="612"/>
      <c r="H169" s="612"/>
      <c r="I169" s="612"/>
      <c r="J169" s="612"/>
      <c r="K169" s="612"/>
      <c r="L169" s="612"/>
      <c r="M169" s="612"/>
      <c r="N169" s="612"/>
      <c r="O169" s="612"/>
      <c r="P169" s="612"/>
      <c r="Q169" s="612"/>
      <c r="R169" s="612"/>
      <c r="S169" s="612"/>
      <c r="T169" s="612"/>
      <c r="U169" s="612"/>
      <c r="V169" s="612"/>
      <c r="W169" s="612"/>
      <c r="X169" s="612"/>
      <c r="Y169" s="612"/>
      <c r="Z169" s="612"/>
      <c r="AA169" s="66"/>
      <c r="AB169" s="66"/>
      <c r="AC169" s="80"/>
    </row>
    <row r="170" spans="1:68" ht="27" customHeight="1" x14ac:dyDescent="0.25">
      <c r="A170" s="63" t="s">
        <v>292</v>
      </c>
      <c r="B170" s="63" t="s">
        <v>293</v>
      </c>
      <c r="C170" s="36">
        <v>4301011450</v>
      </c>
      <c r="D170" s="613">
        <v>4680115881402</v>
      </c>
      <c r="E170" s="613"/>
      <c r="F170" s="62">
        <v>1.35</v>
      </c>
      <c r="G170" s="37">
        <v>8</v>
      </c>
      <c r="H170" s="62">
        <v>10.8</v>
      </c>
      <c r="I170" s="62">
        <v>11.21</v>
      </c>
      <c r="J170" s="37">
        <v>64</v>
      </c>
      <c r="K170" s="37" t="s">
        <v>117</v>
      </c>
      <c r="L170" s="37" t="s">
        <v>45</v>
      </c>
      <c r="M170" s="38" t="s">
        <v>116</v>
      </c>
      <c r="N170" s="38"/>
      <c r="O170" s="37">
        <v>55</v>
      </c>
      <c r="P170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70" s="615"/>
      <c r="R170" s="615"/>
      <c r="S170" s="615"/>
      <c r="T170" s="616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IFERROR(IF(Y170=0,"",ROUNDUP(Y170/H170,0)*0.01898),"")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27" customHeight="1" x14ac:dyDescent="0.25">
      <c r="A171" s="63" t="s">
        <v>295</v>
      </c>
      <c r="B171" s="63" t="s">
        <v>296</v>
      </c>
      <c r="C171" s="36">
        <v>4301011768</v>
      </c>
      <c r="D171" s="613">
        <v>4680115881396</v>
      </c>
      <c r="E171" s="613"/>
      <c r="F171" s="62">
        <v>0.45</v>
      </c>
      <c r="G171" s="37">
        <v>6</v>
      </c>
      <c r="H171" s="62">
        <v>2.7</v>
      </c>
      <c r="I171" s="62">
        <v>2.88</v>
      </c>
      <c r="J171" s="37">
        <v>182</v>
      </c>
      <c r="K171" s="37" t="s">
        <v>82</v>
      </c>
      <c r="L171" s="37" t="s">
        <v>45</v>
      </c>
      <c r="M171" s="38" t="s">
        <v>116</v>
      </c>
      <c r="N171" s="38"/>
      <c r="O171" s="37">
        <v>55</v>
      </c>
      <c r="P171" s="6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1" s="615"/>
      <c r="R171" s="615"/>
      <c r="S171" s="615"/>
      <c r="T171" s="616"/>
      <c r="U171" s="39" t="s">
        <v>45</v>
      </c>
      <c r="V171" s="39" t="s">
        <v>45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294</v>
      </c>
      <c r="AG171" s="78"/>
      <c r="AJ171" s="84" t="s">
        <v>45</v>
      </c>
      <c r="AK171" s="84">
        <v>0</v>
      </c>
      <c r="BB171" s="22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21"/>
      <c r="B172" s="621"/>
      <c r="C172" s="621"/>
      <c r="D172" s="621"/>
      <c r="E172" s="621"/>
      <c r="F172" s="621"/>
      <c r="G172" s="621"/>
      <c r="H172" s="621"/>
      <c r="I172" s="621"/>
      <c r="J172" s="621"/>
      <c r="K172" s="621"/>
      <c r="L172" s="621"/>
      <c r="M172" s="621"/>
      <c r="N172" s="621"/>
      <c r="O172" s="622"/>
      <c r="P172" s="618" t="s">
        <v>40</v>
      </c>
      <c r="Q172" s="619"/>
      <c r="R172" s="619"/>
      <c r="S172" s="619"/>
      <c r="T172" s="619"/>
      <c r="U172" s="619"/>
      <c r="V172" s="6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21"/>
      <c r="B173" s="621"/>
      <c r="C173" s="621"/>
      <c r="D173" s="621"/>
      <c r="E173" s="621"/>
      <c r="F173" s="621"/>
      <c r="G173" s="621"/>
      <c r="H173" s="621"/>
      <c r="I173" s="621"/>
      <c r="J173" s="621"/>
      <c r="K173" s="621"/>
      <c r="L173" s="621"/>
      <c r="M173" s="621"/>
      <c r="N173" s="621"/>
      <c r="O173" s="622"/>
      <c r="P173" s="618" t="s">
        <v>40</v>
      </c>
      <c r="Q173" s="619"/>
      <c r="R173" s="619"/>
      <c r="S173" s="619"/>
      <c r="T173" s="619"/>
      <c r="U173" s="619"/>
      <c r="V173" s="6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12" t="s">
        <v>145</v>
      </c>
      <c r="B174" s="612"/>
      <c r="C174" s="612"/>
      <c r="D174" s="612"/>
      <c r="E174" s="612"/>
      <c r="F174" s="612"/>
      <c r="G174" s="612"/>
      <c r="H174" s="612"/>
      <c r="I174" s="612"/>
      <c r="J174" s="612"/>
      <c r="K174" s="612"/>
      <c r="L174" s="612"/>
      <c r="M174" s="612"/>
      <c r="N174" s="612"/>
      <c r="O174" s="612"/>
      <c r="P174" s="612"/>
      <c r="Q174" s="612"/>
      <c r="R174" s="612"/>
      <c r="S174" s="612"/>
      <c r="T174" s="612"/>
      <c r="U174" s="612"/>
      <c r="V174" s="612"/>
      <c r="W174" s="612"/>
      <c r="X174" s="612"/>
      <c r="Y174" s="612"/>
      <c r="Z174" s="612"/>
      <c r="AA174" s="66"/>
      <c r="AB174" s="66"/>
      <c r="AC174" s="80"/>
    </row>
    <row r="175" spans="1:68" ht="16.5" customHeight="1" x14ac:dyDescent="0.25">
      <c r="A175" s="63" t="s">
        <v>297</v>
      </c>
      <c r="B175" s="63" t="s">
        <v>298</v>
      </c>
      <c r="C175" s="36">
        <v>4301020261</v>
      </c>
      <c r="D175" s="613">
        <v>4680115882935</v>
      </c>
      <c r="E175" s="613"/>
      <c r="F175" s="62">
        <v>1.35</v>
      </c>
      <c r="G175" s="37">
        <v>8</v>
      </c>
      <c r="H175" s="62">
        <v>10.8</v>
      </c>
      <c r="I175" s="62">
        <v>11.21</v>
      </c>
      <c r="J175" s="37">
        <v>64</v>
      </c>
      <c r="K175" s="37" t="s">
        <v>117</v>
      </c>
      <c r="L175" s="37" t="s">
        <v>45</v>
      </c>
      <c r="M175" s="38" t="s">
        <v>116</v>
      </c>
      <c r="N175" s="38"/>
      <c r="O175" s="37">
        <v>50</v>
      </c>
      <c r="P175" s="69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75" s="615"/>
      <c r="R175" s="615"/>
      <c r="S175" s="615"/>
      <c r="T175" s="61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IFERROR(IF(Y175=0,"",ROUNDUP(Y175/H175,0)*0.01898),"")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customHeight="1" x14ac:dyDescent="0.25">
      <c r="A176" s="63" t="s">
        <v>300</v>
      </c>
      <c r="B176" s="63" t="s">
        <v>301</v>
      </c>
      <c r="C176" s="36">
        <v>4301020220</v>
      </c>
      <c r="D176" s="613">
        <v>4680115880764</v>
      </c>
      <c r="E176" s="613"/>
      <c r="F176" s="62">
        <v>0.35</v>
      </c>
      <c r="G176" s="37">
        <v>6</v>
      </c>
      <c r="H176" s="62">
        <v>2.1</v>
      </c>
      <c r="I176" s="62">
        <v>2.2799999999999998</v>
      </c>
      <c r="J176" s="37">
        <v>182</v>
      </c>
      <c r="K176" s="37" t="s">
        <v>82</v>
      </c>
      <c r="L176" s="37" t="s">
        <v>45</v>
      </c>
      <c r="M176" s="38" t="s">
        <v>116</v>
      </c>
      <c r="N176" s="38"/>
      <c r="O176" s="37">
        <v>50</v>
      </c>
      <c r="P176" s="69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76" s="615"/>
      <c r="R176" s="615"/>
      <c r="S176" s="615"/>
      <c r="T176" s="61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2" t="s">
        <v>299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1"/>
      <c r="B177" s="621"/>
      <c r="C177" s="621"/>
      <c r="D177" s="621"/>
      <c r="E177" s="621"/>
      <c r="F177" s="621"/>
      <c r="G177" s="621"/>
      <c r="H177" s="621"/>
      <c r="I177" s="621"/>
      <c r="J177" s="621"/>
      <c r="K177" s="621"/>
      <c r="L177" s="621"/>
      <c r="M177" s="621"/>
      <c r="N177" s="621"/>
      <c r="O177" s="622"/>
      <c r="P177" s="618" t="s">
        <v>40</v>
      </c>
      <c r="Q177" s="619"/>
      <c r="R177" s="619"/>
      <c r="S177" s="619"/>
      <c r="T177" s="619"/>
      <c r="U177" s="619"/>
      <c r="V177" s="62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x14ac:dyDescent="0.2">
      <c r="A178" s="621"/>
      <c r="B178" s="621"/>
      <c r="C178" s="621"/>
      <c r="D178" s="621"/>
      <c r="E178" s="621"/>
      <c r="F178" s="621"/>
      <c r="G178" s="621"/>
      <c r="H178" s="621"/>
      <c r="I178" s="621"/>
      <c r="J178" s="621"/>
      <c r="K178" s="621"/>
      <c r="L178" s="621"/>
      <c r="M178" s="621"/>
      <c r="N178" s="621"/>
      <c r="O178" s="622"/>
      <c r="P178" s="618" t="s">
        <v>40</v>
      </c>
      <c r="Q178" s="619"/>
      <c r="R178" s="619"/>
      <c r="S178" s="619"/>
      <c r="T178" s="619"/>
      <c r="U178" s="619"/>
      <c r="V178" s="62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customHeight="1" x14ac:dyDescent="0.25">
      <c r="A179" s="612" t="s">
        <v>76</v>
      </c>
      <c r="B179" s="612"/>
      <c r="C179" s="612"/>
      <c r="D179" s="612"/>
      <c r="E179" s="612"/>
      <c r="F179" s="612"/>
      <c r="G179" s="612"/>
      <c r="H179" s="612"/>
      <c r="I179" s="612"/>
      <c r="J179" s="612"/>
      <c r="K179" s="612"/>
      <c r="L179" s="612"/>
      <c r="M179" s="612"/>
      <c r="N179" s="612"/>
      <c r="O179" s="612"/>
      <c r="P179" s="612"/>
      <c r="Q179" s="612"/>
      <c r="R179" s="612"/>
      <c r="S179" s="612"/>
      <c r="T179" s="612"/>
      <c r="U179" s="612"/>
      <c r="V179" s="612"/>
      <c r="W179" s="612"/>
      <c r="X179" s="612"/>
      <c r="Y179" s="612"/>
      <c r="Z179" s="612"/>
      <c r="AA179" s="66"/>
      <c r="AB179" s="66"/>
      <c r="AC179" s="80"/>
    </row>
    <row r="180" spans="1:68" ht="27" customHeight="1" x14ac:dyDescent="0.25">
      <c r="A180" s="63" t="s">
        <v>302</v>
      </c>
      <c r="B180" s="63" t="s">
        <v>303</v>
      </c>
      <c r="C180" s="36">
        <v>4301031224</v>
      </c>
      <c r="D180" s="613">
        <v>4680115882683</v>
      </c>
      <c r="E180" s="613"/>
      <c r="F180" s="62">
        <v>0.9</v>
      </c>
      <c r="G180" s="37">
        <v>6</v>
      </c>
      <c r="H180" s="62">
        <v>5.4</v>
      </c>
      <c r="I180" s="62">
        <v>5.59</v>
      </c>
      <c r="J180" s="37">
        <v>132</v>
      </c>
      <c r="K180" s="37" t="s">
        <v>120</v>
      </c>
      <c r="L180" s="37" t="s">
        <v>45</v>
      </c>
      <c r="M180" s="38" t="s">
        <v>81</v>
      </c>
      <c r="N180" s="38"/>
      <c r="O180" s="37">
        <v>40</v>
      </c>
      <c r="P180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80" s="615"/>
      <c r="R180" s="615"/>
      <c r="S180" s="615"/>
      <c r="T180" s="616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ref="Y180:Y187" si="10">IFERROR(IF(X180="",0,CEILING((X180/$H180),1)*$H180),"")</f>
        <v>0</v>
      </c>
      <c r="Z180" s="41" t="str">
        <f>IFERROR(IF(Y180=0,"",ROUNDUP(Y180/H180,0)*0.00902),"")</f>
        <v/>
      </c>
      <c r="AA180" s="68" t="s">
        <v>45</v>
      </c>
      <c r="AB180" s="69" t="s">
        <v>45</v>
      </c>
      <c r="AC180" s="234" t="s">
        <v>304</v>
      </c>
      <c r="AG180" s="78"/>
      <c r="AJ180" s="84" t="s">
        <v>45</v>
      </c>
      <c r="AK180" s="84">
        <v>0</v>
      </c>
      <c r="BB180" s="235" t="s">
        <v>66</v>
      </c>
      <c r="BM180" s="78">
        <f t="shared" ref="BM180:BM187" si="11">IFERROR(X180*I180/H180,"0")</f>
        <v>0</v>
      </c>
      <c r="BN180" s="78">
        <f t="shared" ref="BN180:BN187" si="12">IFERROR(Y180*I180/H180,"0")</f>
        <v>0</v>
      </c>
      <c r="BO180" s="78">
        <f t="shared" ref="BO180:BO187" si="13">IFERROR(1/J180*(X180/H180),"0")</f>
        <v>0</v>
      </c>
      <c r="BP180" s="78">
        <f t="shared" ref="BP180:BP187" si="14">IFERROR(1/J180*(Y180/H180),"0")</f>
        <v>0</v>
      </c>
    </row>
    <row r="181" spans="1:68" ht="27" customHeight="1" x14ac:dyDescent="0.25">
      <c r="A181" s="63" t="s">
        <v>305</v>
      </c>
      <c r="B181" s="63" t="s">
        <v>306</v>
      </c>
      <c r="C181" s="36">
        <v>4301031230</v>
      </c>
      <c r="D181" s="613">
        <v>4680115882690</v>
      </c>
      <c r="E181" s="613"/>
      <c r="F181" s="62">
        <v>0.9</v>
      </c>
      <c r="G181" s="37">
        <v>6</v>
      </c>
      <c r="H181" s="62">
        <v>5.4</v>
      </c>
      <c r="I181" s="62">
        <v>5.59</v>
      </c>
      <c r="J181" s="37">
        <v>132</v>
      </c>
      <c r="K181" s="37" t="s">
        <v>120</v>
      </c>
      <c r="L181" s="37" t="s">
        <v>45</v>
      </c>
      <c r="M181" s="38" t="s">
        <v>81</v>
      </c>
      <c r="N181" s="38"/>
      <c r="O181" s="37">
        <v>40</v>
      </c>
      <c r="P181" s="69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1" s="615"/>
      <c r="R181" s="615"/>
      <c r="S181" s="615"/>
      <c r="T181" s="616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IFERROR(IF(Y181=0,"",ROUNDUP(Y181/H181,0)*0.00902),"")</f>
        <v/>
      </c>
      <c r="AA181" s="68" t="s">
        <v>45</v>
      </c>
      <c r="AB181" s="69" t="s">
        <v>45</v>
      </c>
      <c r="AC181" s="236" t="s">
        <v>307</v>
      </c>
      <c r="AG181" s="78"/>
      <c r="AJ181" s="84" t="s">
        <v>45</v>
      </c>
      <c r="AK181" s="84">
        <v>0</v>
      </c>
      <c r="BB181" s="237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308</v>
      </c>
      <c r="B182" s="63" t="s">
        <v>309</v>
      </c>
      <c r="C182" s="36">
        <v>4301031220</v>
      </c>
      <c r="D182" s="613">
        <v>4680115882669</v>
      </c>
      <c r="E182" s="613"/>
      <c r="F182" s="62">
        <v>0.9</v>
      </c>
      <c r="G182" s="37">
        <v>6</v>
      </c>
      <c r="H182" s="62">
        <v>5.4</v>
      </c>
      <c r="I182" s="62">
        <v>5.59</v>
      </c>
      <c r="J182" s="37">
        <v>132</v>
      </c>
      <c r="K182" s="37" t="s">
        <v>120</v>
      </c>
      <c r="L182" s="37" t="s">
        <v>45</v>
      </c>
      <c r="M182" s="38" t="s">
        <v>81</v>
      </c>
      <c r="N182" s="38"/>
      <c r="O182" s="37">
        <v>40</v>
      </c>
      <c r="P182" s="6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82" s="615"/>
      <c r="R182" s="615"/>
      <c r="S182" s="615"/>
      <c r="T182" s="616"/>
      <c r="U182" s="39" t="s">
        <v>45</v>
      </c>
      <c r="V182" s="39" t="s">
        <v>45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IFERROR(IF(Y182=0,"",ROUNDUP(Y182/H182,0)*0.00902),"")</f>
        <v/>
      </c>
      <c r="AA182" s="68" t="s">
        <v>45</v>
      </c>
      <c r="AB182" s="69" t="s">
        <v>45</v>
      </c>
      <c r="AC182" s="238" t="s">
        <v>310</v>
      </c>
      <c r="AG182" s="78"/>
      <c r="AJ182" s="84" t="s">
        <v>45</v>
      </c>
      <c r="AK182" s="84">
        <v>0</v>
      </c>
      <c r="BB182" s="239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311</v>
      </c>
      <c r="B183" s="63" t="s">
        <v>312</v>
      </c>
      <c r="C183" s="36">
        <v>4301031221</v>
      </c>
      <c r="D183" s="613">
        <v>4680115882676</v>
      </c>
      <c r="E183" s="613"/>
      <c r="F183" s="62">
        <v>0.9</v>
      </c>
      <c r="G183" s="37">
        <v>6</v>
      </c>
      <c r="H183" s="62">
        <v>5.4</v>
      </c>
      <c r="I183" s="62">
        <v>5.59</v>
      </c>
      <c r="J183" s="37">
        <v>132</v>
      </c>
      <c r="K183" s="37" t="s">
        <v>120</v>
      </c>
      <c r="L183" s="37" t="s">
        <v>45</v>
      </c>
      <c r="M183" s="38" t="s">
        <v>81</v>
      </c>
      <c r="N183" s="38"/>
      <c r="O183" s="37">
        <v>40</v>
      </c>
      <c r="P183" s="6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83" s="615"/>
      <c r="R183" s="615"/>
      <c r="S183" s="615"/>
      <c r="T183" s="616"/>
      <c r="U183" s="39" t="s">
        <v>45</v>
      </c>
      <c r="V183" s="39" t="s">
        <v>45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IFERROR(IF(Y183=0,"",ROUNDUP(Y183/H183,0)*0.00902),"")</f>
        <v/>
      </c>
      <c r="AA183" s="68" t="s">
        <v>45</v>
      </c>
      <c r="AB183" s="69" t="s">
        <v>45</v>
      </c>
      <c r="AC183" s="240" t="s">
        <v>313</v>
      </c>
      <c r="AG183" s="78"/>
      <c r="AJ183" s="84" t="s">
        <v>45</v>
      </c>
      <c r="AK183" s="84">
        <v>0</v>
      </c>
      <c r="BB183" s="241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314</v>
      </c>
      <c r="B184" s="63" t="s">
        <v>315</v>
      </c>
      <c r="C184" s="36">
        <v>4301031223</v>
      </c>
      <c r="D184" s="613">
        <v>4680115884014</v>
      </c>
      <c r="E184" s="613"/>
      <c r="F184" s="62">
        <v>0.3</v>
      </c>
      <c r="G184" s="37">
        <v>6</v>
      </c>
      <c r="H184" s="62">
        <v>1.8</v>
      </c>
      <c r="I184" s="62">
        <v>1.93</v>
      </c>
      <c r="J184" s="37">
        <v>234</v>
      </c>
      <c r="K184" s="37" t="s">
        <v>86</v>
      </c>
      <c r="L184" s="37" t="s">
        <v>45</v>
      </c>
      <c r="M184" s="38" t="s">
        <v>81</v>
      </c>
      <c r="N184" s="38"/>
      <c r="O184" s="37">
        <v>40</v>
      </c>
      <c r="P184" s="69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84" s="615"/>
      <c r="R184" s="615"/>
      <c r="S184" s="615"/>
      <c r="T184" s="616"/>
      <c r="U184" s="39" t="s">
        <v>45</v>
      </c>
      <c r="V184" s="39" t="s">
        <v>45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IFERROR(IF(Y184=0,"",ROUNDUP(Y184/H184,0)*0.00502),"")</f>
        <v/>
      </c>
      <c r="AA184" s="68" t="s">
        <v>45</v>
      </c>
      <c r="AB184" s="69" t="s">
        <v>45</v>
      </c>
      <c r="AC184" s="242" t="s">
        <v>304</v>
      </c>
      <c r="AG184" s="78"/>
      <c r="AJ184" s="84" t="s">
        <v>45</v>
      </c>
      <c r="AK184" s="84">
        <v>0</v>
      </c>
      <c r="BB184" s="243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316</v>
      </c>
      <c r="B185" s="63" t="s">
        <v>317</v>
      </c>
      <c r="C185" s="36">
        <v>4301031222</v>
      </c>
      <c r="D185" s="613">
        <v>4680115884007</v>
      </c>
      <c r="E185" s="613"/>
      <c r="F185" s="62">
        <v>0.3</v>
      </c>
      <c r="G185" s="37">
        <v>6</v>
      </c>
      <c r="H185" s="62">
        <v>1.8</v>
      </c>
      <c r="I185" s="62">
        <v>1.9</v>
      </c>
      <c r="J185" s="37">
        <v>234</v>
      </c>
      <c r="K185" s="37" t="s">
        <v>86</v>
      </c>
      <c r="L185" s="37" t="s">
        <v>45</v>
      </c>
      <c r="M185" s="38" t="s">
        <v>81</v>
      </c>
      <c r="N185" s="38"/>
      <c r="O185" s="37">
        <v>40</v>
      </c>
      <c r="P185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85" s="615"/>
      <c r="R185" s="615"/>
      <c r="S185" s="615"/>
      <c r="T185" s="616"/>
      <c r="U185" s="39" t="s">
        <v>45</v>
      </c>
      <c r="V185" s="39" t="s">
        <v>45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45</v>
      </c>
      <c r="AB185" s="69" t="s">
        <v>45</v>
      </c>
      <c r="AC185" s="244" t="s">
        <v>307</v>
      </c>
      <c r="AG185" s="78"/>
      <c r="AJ185" s="84" t="s">
        <v>45</v>
      </c>
      <c r="AK185" s="84">
        <v>0</v>
      </c>
      <c r="BB185" s="245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318</v>
      </c>
      <c r="B186" s="63" t="s">
        <v>319</v>
      </c>
      <c r="C186" s="36">
        <v>4301031229</v>
      </c>
      <c r="D186" s="613">
        <v>4680115884038</v>
      </c>
      <c r="E186" s="613"/>
      <c r="F186" s="62">
        <v>0.3</v>
      </c>
      <c r="G186" s="37">
        <v>6</v>
      </c>
      <c r="H186" s="62">
        <v>1.8</v>
      </c>
      <c r="I186" s="62">
        <v>1.9</v>
      </c>
      <c r="J186" s="37">
        <v>234</v>
      </c>
      <c r="K186" s="37" t="s">
        <v>86</v>
      </c>
      <c r="L186" s="37" t="s">
        <v>45</v>
      </c>
      <c r="M186" s="38" t="s">
        <v>81</v>
      </c>
      <c r="N186" s="38"/>
      <c r="O186" s="37">
        <v>40</v>
      </c>
      <c r="P186" s="7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86" s="615"/>
      <c r="R186" s="615"/>
      <c r="S186" s="615"/>
      <c r="T186" s="616"/>
      <c r="U186" s="39" t="s">
        <v>45</v>
      </c>
      <c r="V186" s="39" t="s">
        <v>45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IFERROR(IF(Y186=0,"",ROUNDUP(Y186/H186,0)*0.00502),"")</f>
        <v/>
      </c>
      <c r="AA186" s="68" t="s">
        <v>45</v>
      </c>
      <c r="AB186" s="69" t="s">
        <v>45</v>
      </c>
      <c r="AC186" s="246" t="s">
        <v>310</v>
      </c>
      <c r="AG186" s="78"/>
      <c r="AJ186" s="84" t="s">
        <v>45</v>
      </c>
      <c r="AK186" s="84">
        <v>0</v>
      </c>
      <c r="BB186" s="247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320</v>
      </c>
      <c r="B187" s="63" t="s">
        <v>321</v>
      </c>
      <c r="C187" s="36">
        <v>4301031225</v>
      </c>
      <c r="D187" s="613">
        <v>4680115884021</v>
      </c>
      <c r="E187" s="613"/>
      <c r="F187" s="62">
        <v>0.3</v>
      </c>
      <c r="G187" s="37">
        <v>6</v>
      </c>
      <c r="H187" s="62">
        <v>1.8</v>
      </c>
      <c r="I187" s="62">
        <v>1.9</v>
      </c>
      <c r="J187" s="37">
        <v>234</v>
      </c>
      <c r="K187" s="37" t="s">
        <v>86</v>
      </c>
      <c r="L187" s="37" t="s">
        <v>45</v>
      </c>
      <c r="M187" s="38" t="s">
        <v>81</v>
      </c>
      <c r="N187" s="38"/>
      <c r="O187" s="37">
        <v>40</v>
      </c>
      <c r="P187" s="70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87" s="615"/>
      <c r="R187" s="615"/>
      <c r="S187" s="615"/>
      <c r="T187" s="616"/>
      <c r="U187" s="39" t="s">
        <v>45</v>
      </c>
      <c r="V187" s="39" t="s">
        <v>45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45</v>
      </c>
      <c r="AB187" s="69" t="s">
        <v>45</v>
      </c>
      <c r="AC187" s="248" t="s">
        <v>313</v>
      </c>
      <c r="AG187" s="78"/>
      <c r="AJ187" s="84" t="s">
        <v>45</v>
      </c>
      <c r="AK187" s="84">
        <v>0</v>
      </c>
      <c r="BB187" s="249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21"/>
      <c r="B188" s="621"/>
      <c r="C188" s="621"/>
      <c r="D188" s="621"/>
      <c r="E188" s="621"/>
      <c r="F188" s="621"/>
      <c r="G188" s="621"/>
      <c r="H188" s="621"/>
      <c r="I188" s="621"/>
      <c r="J188" s="621"/>
      <c r="K188" s="621"/>
      <c r="L188" s="621"/>
      <c r="M188" s="621"/>
      <c r="N188" s="621"/>
      <c r="O188" s="622"/>
      <c r="P188" s="618" t="s">
        <v>40</v>
      </c>
      <c r="Q188" s="619"/>
      <c r="R188" s="619"/>
      <c r="S188" s="619"/>
      <c r="T188" s="619"/>
      <c r="U188" s="619"/>
      <c r="V188" s="620"/>
      <c r="W188" s="42" t="s">
        <v>39</v>
      </c>
      <c r="X188" s="43">
        <f>IFERROR(X180/H180,"0")+IFERROR(X181/H181,"0")+IFERROR(X182/H182,"0")+IFERROR(X183/H183,"0")+IFERROR(X184/H184,"0")+IFERROR(X185/H185,"0")+IFERROR(X186/H186,"0")+IFERROR(X187/H187,"0")</f>
        <v>0</v>
      </c>
      <c r="Y188" s="43">
        <f>IFERROR(Y180/H180,"0")+IFERROR(Y181/H181,"0")+IFERROR(Y182/H182,"0")+IFERROR(Y183/H183,"0")+IFERROR(Y184/H184,"0")+IFERROR(Y185/H185,"0")+IFERROR(Y186/H186,"0")+IFERROR(Y187/H187,"0")</f>
        <v>0</v>
      </c>
      <c r="Z188" s="43">
        <f>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21"/>
      <c r="B189" s="621"/>
      <c r="C189" s="621"/>
      <c r="D189" s="621"/>
      <c r="E189" s="621"/>
      <c r="F189" s="621"/>
      <c r="G189" s="621"/>
      <c r="H189" s="621"/>
      <c r="I189" s="621"/>
      <c r="J189" s="621"/>
      <c r="K189" s="621"/>
      <c r="L189" s="621"/>
      <c r="M189" s="621"/>
      <c r="N189" s="621"/>
      <c r="O189" s="622"/>
      <c r="P189" s="618" t="s">
        <v>40</v>
      </c>
      <c r="Q189" s="619"/>
      <c r="R189" s="619"/>
      <c r="S189" s="619"/>
      <c r="T189" s="619"/>
      <c r="U189" s="619"/>
      <c r="V189" s="620"/>
      <c r="W189" s="42" t="s">
        <v>0</v>
      </c>
      <c r="X189" s="43">
        <f>IFERROR(SUM(X180:X187),"0")</f>
        <v>0</v>
      </c>
      <c r="Y189" s="43">
        <f>IFERROR(SUM(Y180:Y187),"0")</f>
        <v>0</v>
      </c>
      <c r="Z189" s="42"/>
      <c r="AA189" s="67"/>
      <c r="AB189" s="67"/>
      <c r="AC189" s="67"/>
    </row>
    <row r="190" spans="1:68" ht="14.25" customHeight="1" x14ac:dyDescent="0.25">
      <c r="A190" s="612" t="s">
        <v>87</v>
      </c>
      <c r="B190" s="612"/>
      <c r="C190" s="612"/>
      <c r="D190" s="612"/>
      <c r="E190" s="612"/>
      <c r="F190" s="612"/>
      <c r="G190" s="612"/>
      <c r="H190" s="612"/>
      <c r="I190" s="612"/>
      <c r="J190" s="612"/>
      <c r="K190" s="612"/>
      <c r="L190" s="612"/>
      <c r="M190" s="612"/>
      <c r="N190" s="612"/>
      <c r="O190" s="612"/>
      <c r="P190" s="612"/>
      <c r="Q190" s="612"/>
      <c r="R190" s="612"/>
      <c r="S190" s="612"/>
      <c r="T190" s="612"/>
      <c r="U190" s="612"/>
      <c r="V190" s="612"/>
      <c r="W190" s="612"/>
      <c r="X190" s="612"/>
      <c r="Y190" s="612"/>
      <c r="Z190" s="612"/>
      <c r="AA190" s="66"/>
      <c r="AB190" s="66"/>
      <c r="AC190" s="80"/>
    </row>
    <row r="191" spans="1:68" ht="27" customHeight="1" x14ac:dyDescent="0.25">
      <c r="A191" s="63" t="s">
        <v>322</v>
      </c>
      <c r="B191" s="63" t="s">
        <v>323</v>
      </c>
      <c r="C191" s="36">
        <v>4301051408</v>
      </c>
      <c r="D191" s="613">
        <v>4680115881594</v>
      </c>
      <c r="E191" s="613"/>
      <c r="F191" s="62">
        <v>1.35</v>
      </c>
      <c r="G191" s="37">
        <v>6</v>
      </c>
      <c r="H191" s="62">
        <v>8.1</v>
      </c>
      <c r="I191" s="62">
        <v>8.5939999999999994</v>
      </c>
      <c r="J191" s="37">
        <v>64</v>
      </c>
      <c r="K191" s="37" t="s">
        <v>117</v>
      </c>
      <c r="L191" s="37" t="s">
        <v>45</v>
      </c>
      <c r="M191" s="38" t="s">
        <v>91</v>
      </c>
      <c r="N191" s="38"/>
      <c r="O191" s="37">
        <v>40</v>
      </c>
      <c r="P191" s="7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1" s="615"/>
      <c r="R191" s="615"/>
      <c r="S191" s="615"/>
      <c r="T191" s="616"/>
      <c r="U191" s="39" t="s">
        <v>45</v>
      </c>
      <c r="V191" s="39" t="s">
        <v>45</v>
      </c>
      <c r="W191" s="40" t="s">
        <v>0</v>
      </c>
      <c r="X191" s="58">
        <v>0</v>
      </c>
      <c r="Y191" s="55">
        <f t="shared" ref="Y191:Y199" si="15"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50" t="s">
        <v>324</v>
      </c>
      <c r="AG191" s="78"/>
      <c r="AJ191" s="84" t="s">
        <v>45</v>
      </c>
      <c r="AK191" s="84">
        <v>0</v>
      </c>
      <c r="BB191" s="251" t="s">
        <v>66</v>
      </c>
      <c r="BM191" s="78">
        <f t="shared" ref="BM191:BM199" si="16">IFERROR(X191*I191/H191,"0")</f>
        <v>0</v>
      </c>
      <c r="BN191" s="78">
        <f t="shared" ref="BN191:BN199" si="17">IFERROR(Y191*I191/H191,"0")</f>
        <v>0</v>
      </c>
      <c r="BO191" s="78">
        <f t="shared" ref="BO191:BO199" si="18">IFERROR(1/J191*(X191/H191),"0")</f>
        <v>0</v>
      </c>
      <c r="BP191" s="78">
        <f t="shared" ref="BP191:BP199" si="19">IFERROR(1/J191*(Y191/H191),"0")</f>
        <v>0</v>
      </c>
    </row>
    <row r="192" spans="1:68" ht="27" customHeight="1" x14ac:dyDescent="0.25">
      <c r="A192" s="63" t="s">
        <v>325</v>
      </c>
      <c r="B192" s="63" t="s">
        <v>326</v>
      </c>
      <c r="C192" s="36">
        <v>4301051411</v>
      </c>
      <c r="D192" s="613">
        <v>4680115881617</v>
      </c>
      <c r="E192" s="613"/>
      <c r="F192" s="62">
        <v>1.35</v>
      </c>
      <c r="G192" s="37">
        <v>6</v>
      </c>
      <c r="H192" s="62">
        <v>8.1</v>
      </c>
      <c r="I192" s="62">
        <v>8.5760000000000005</v>
      </c>
      <c r="J192" s="37">
        <v>64</v>
      </c>
      <c r="K192" s="37" t="s">
        <v>117</v>
      </c>
      <c r="L192" s="37" t="s">
        <v>45</v>
      </c>
      <c r="M192" s="38" t="s">
        <v>91</v>
      </c>
      <c r="N192" s="38"/>
      <c r="O192" s="37">
        <v>40</v>
      </c>
      <c r="P192" s="7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92" s="615"/>
      <c r="R192" s="615"/>
      <c r="S192" s="615"/>
      <c r="T192" s="616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5"/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2" t="s">
        <v>327</v>
      </c>
      <c r="AG192" s="78"/>
      <c r="AJ192" s="84" t="s">
        <v>45</v>
      </c>
      <c r="AK192" s="84">
        <v>0</v>
      </c>
      <c r="BB192" s="253" t="s">
        <v>66</v>
      </c>
      <c r="BM192" s="78">
        <f t="shared" si="16"/>
        <v>0</v>
      </c>
      <c r="BN192" s="78">
        <f t="shared" si="17"/>
        <v>0</v>
      </c>
      <c r="BO192" s="78">
        <f t="shared" si="18"/>
        <v>0</v>
      </c>
      <c r="BP192" s="78">
        <f t="shared" si="19"/>
        <v>0</v>
      </c>
    </row>
    <row r="193" spans="1:68" ht="27" customHeight="1" x14ac:dyDescent="0.25">
      <c r="A193" s="63" t="s">
        <v>328</v>
      </c>
      <c r="B193" s="63" t="s">
        <v>329</v>
      </c>
      <c r="C193" s="36">
        <v>4301051656</v>
      </c>
      <c r="D193" s="613">
        <v>4680115880573</v>
      </c>
      <c r="E193" s="613"/>
      <c r="F193" s="62">
        <v>1.45</v>
      </c>
      <c r="G193" s="37">
        <v>6</v>
      </c>
      <c r="H193" s="62">
        <v>8.6999999999999993</v>
      </c>
      <c r="I193" s="62">
        <v>9.1940000000000008</v>
      </c>
      <c r="J193" s="37">
        <v>64</v>
      </c>
      <c r="K193" s="37" t="s">
        <v>117</v>
      </c>
      <c r="L193" s="37" t="s">
        <v>45</v>
      </c>
      <c r="M193" s="38" t="s">
        <v>91</v>
      </c>
      <c r="N193" s="38"/>
      <c r="O193" s="37">
        <v>45</v>
      </c>
      <c r="P193" s="7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93" s="615"/>
      <c r="R193" s="615"/>
      <c r="S193" s="615"/>
      <c r="T193" s="616"/>
      <c r="U193" s="39" t="s">
        <v>45</v>
      </c>
      <c r="V193" s="39" t="s">
        <v>45</v>
      </c>
      <c r="W193" s="40" t="s">
        <v>0</v>
      </c>
      <c r="X193" s="58">
        <v>0</v>
      </c>
      <c r="Y193" s="55">
        <f t="shared" si="15"/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4" t="s">
        <v>330</v>
      </c>
      <c r="AG193" s="78"/>
      <c r="AJ193" s="84" t="s">
        <v>45</v>
      </c>
      <c r="AK193" s="84">
        <v>0</v>
      </c>
      <c r="BB193" s="255" t="s">
        <v>66</v>
      </c>
      <c r="BM193" s="78">
        <f t="shared" si="16"/>
        <v>0</v>
      </c>
      <c r="BN193" s="78">
        <f t="shared" si="17"/>
        <v>0</v>
      </c>
      <c r="BO193" s="78">
        <f t="shared" si="18"/>
        <v>0</v>
      </c>
      <c r="BP193" s="78">
        <f t="shared" si="19"/>
        <v>0</v>
      </c>
    </row>
    <row r="194" spans="1:68" ht="27" customHeight="1" x14ac:dyDescent="0.25">
      <c r="A194" s="63" t="s">
        <v>331</v>
      </c>
      <c r="B194" s="63" t="s">
        <v>332</v>
      </c>
      <c r="C194" s="36">
        <v>4301051407</v>
      </c>
      <c r="D194" s="613">
        <v>4680115882195</v>
      </c>
      <c r="E194" s="613"/>
      <c r="F194" s="62">
        <v>0.4</v>
      </c>
      <c r="G194" s="37">
        <v>6</v>
      </c>
      <c r="H194" s="62">
        <v>2.4</v>
      </c>
      <c r="I194" s="62">
        <v>2.67</v>
      </c>
      <c r="J194" s="37">
        <v>182</v>
      </c>
      <c r="K194" s="37" t="s">
        <v>82</v>
      </c>
      <c r="L194" s="37" t="s">
        <v>45</v>
      </c>
      <c r="M194" s="38" t="s">
        <v>91</v>
      </c>
      <c r="N194" s="38"/>
      <c r="O194" s="37">
        <v>40</v>
      </c>
      <c r="P194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94" s="615"/>
      <c r="R194" s="615"/>
      <c r="S194" s="615"/>
      <c r="T194" s="616"/>
      <c r="U194" s="39" t="s">
        <v>45</v>
      </c>
      <c r="V194" s="39" t="s">
        <v>45</v>
      </c>
      <c r="W194" s="40" t="s">
        <v>0</v>
      </c>
      <c r="X194" s="58">
        <v>0</v>
      </c>
      <c r="Y194" s="55">
        <f t="shared" si="15"/>
        <v>0</v>
      </c>
      <c r="Z194" s="41" t="str">
        <f t="shared" ref="Z194:Z199" si="20">IFERROR(IF(Y194=0,"",ROUNDUP(Y194/H194,0)*0.00651),"")</f>
        <v/>
      </c>
      <c r="AA194" s="68" t="s">
        <v>45</v>
      </c>
      <c r="AB194" s="69" t="s">
        <v>45</v>
      </c>
      <c r="AC194" s="256" t="s">
        <v>324</v>
      </c>
      <c r="AG194" s="78"/>
      <c r="AJ194" s="84" t="s">
        <v>45</v>
      </c>
      <c r="AK194" s="84">
        <v>0</v>
      </c>
      <c r="BB194" s="257" t="s">
        <v>66</v>
      </c>
      <c r="BM194" s="78">
        <f t="shared" si="16"/>
        <v>0</v>
      </c>
      <c r="BN194" s="78">
        <f t="shared" si="17"/>
        <v>0</v>
      </c>
      <c r="BO194" s="78">
        <f t="shared" si="18"/>
        <v>0</v>
      </c>
      <c r="BP194" s="78">
        <f t="shared" si="19"/>
        <v>0</v>
      </c>
    </row>
    <row r="195" spans="1:68" ht="27" customHeight="1" x14ac:dyDescent="0.25">
      <c r="A195" s="63" t="s">
        <v>333</v>
      </c>
      <c r="B195" s="63" t="s">
        <v>334</v>
      </c>
      <c r="C195" s="36">
        <v>4301051752</v>
      </c>
      <c r="D195" s="613">
        <v>4680115882607</v>
      </c>
      <c r="E195" s="613"/>
      <c r="F195" s="62">
        <v>0.3</v>
      </c>
      <c r="G195" s="37">
        <v>6</v>
      </c>
      <c r="H195" s="62">
        <v>1.8</v>
      </c>
      <c r="I195" s="62">
        <v>2.052</v>
      </c>
      <c r="J195" s="37">
        <v>182</v>
      </c>
      <c r="K195" s="37" t="s">
        <v>82</v>
      </c>
      <c r="L195" s="37" t="s">
        <v>45</v>
      </c>
      <c r="M195" s="38" t="s">
        <v>98</v>
      </c>
      <c r="N195" s="38"/>
      <c r="O195" s="37">
        <v>45</v>
      </c>
      <c r="P195" s="7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95" s="615"/>
      <c r="R195" s="615"/>
      <c r="S195" s="615"/>
      <c r="T195" s="616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si="15"/>
        <v>0</v>
      </c>
      <c r="Z195" s="41" t="str">
        <f t="shared" si="20"/>
        <v/>
      </c>
      <c r="AA195" s="68" t="s">
        <v>45</v>
      </c>
      <c r="AB195" s="69" t="s">
        <v>45</v>
      </c>
      <c r="AC195" s="258" t="s">
        <v>330</v>
      </c>
      <c r="AG195" s="78"/>
      <c r="AJ195" s="84" t="s">
        <v>45</v>
      </c>
      <c r="AK195" s="84">
        <v>0</v>
      </c>
      <c r="BB195" s="259" t="s">
        <v>66</v>
      </c>
      <c r="BM195" s="78">
        <f t="shared" si="16"/>
        <v>0</v>
      </c>
      <c r="BN195" s="78">
        <f t="shared" si="17"/>
        <v>0</v>
      </c>
      <c r="BO195" s="78">
        <f t="shared" si="18"/>
        <v>0</v>
      </c>
      <c r="BP195" s="78">
        <f t="shared" si="19"/>
        <v>0</v>
      </c>
    </row>
    <row r="196" spans="1:68" ht="27" customHeight="1" x14ac:dyDescent="0.25">
      <c r="A196" s="63" t="s">
        <v>335</v>
      </c>
      <c r="B196" s="63" t="s">
        <v>336</v>
      </c>
      <c r="C196" s="36">
        <v>4301051666</v>
      </c>
      <c r="D196" s="613">
        <v>4680115880092</v>
      </c>
      <c r="E196" s="613"/>
      <c r="F196" s="62">
        <v>0.4</v>
      </c>
      <c r="G196" s="37">
        <v>6</v>
      </c>
      <c r="H196" s="62">
        <v>2.4</v>
      </c>
      <c r="I196" s="62">
        <v>2.6520000000000001</v>
      </c>
      <c r="J196" s="37">
        <v>182</v>
      </c>
      <c r="K196" s="37" t="s">
        <v>82</v>
      </c>
      <c r="L196" s="37" t="s">
        <v>45</v>
      </c>
      <c r="M196" s="38" t="s">
        <v>91</v>
      </c>
      <c r="N196" s="38"/>
      <c r="O196" s="37">
        <v>45</v>
      </c>
      <c r="P196" s="7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96" s="615"/>
      <c r="R196" s="615"/>
      <c r="S196" s="615"/>
      <c r="T196" s="61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5"/>
        <v>0</v>
      </c>
      <c r="Z196" s="41" t="str">
        <f t="shared" si="20"/>
        <v/>
      </c>
      <c r="AA196" s="68" t="s">
        <v>45</v>
      </c>
      <c r="AB196" s="69" t="s">
        <v>45</v>
      </c>
      <c r="AC196" s="260" t="s">
        <v>330</v>
      </c>
      <c r="AG196" s="78"/>
      <c r="AJ196" s="84" t="s">
        <v>45</v>
      </c>
      <c r="AK196" s="84">
        <v>0</v>
      </c>
      <c r="BB196" s="261" t="s">
        <v>66</v>
      </c>
      <c r="BM196" s="78">
        <f t="shared" si="16"/>
        <v>0</v>
      </c>
      <c r="BN196" s="78">
        <f t="shared" si="17"/>
        <v>0</v>
      </c>
      <c r="BO196" s="78">
        <f t="shared" si="18"/>
        <v>0</v>
      </c>
      <c r="BP196" s="78">
        <f t="shared" si="19"/>
        <v>0</v>
      </c>
    </row>
    <row r="197" spans="1:68" ht="27" customHeight="1" x14ac:dyDescent="0.25">
      <c r="A197" s="63" t="s">
        <v>337</v>
      </c>
      <c r="B197" s="63" t="s">
        <v>338</v>
      </c>
      <c r="C197" s="36">
        <v>4301051668</v>
      </c>
      <c r="D197" s="613">
        <v>4680115880221</v>
      </c>
      <c r="E197" s="613"/>
      <c r="F197" s="62">
        <v>0.4</v>
      </c>
      <c r="G197" s="37">
        <v>6</v>
      </c>
      <c r="H197" s="62">
        <v>2.4</v>
      </c>
      <c r="I197" s="62">
        <v>2.6520000000000001</v>
      </c>
      <c r="J197" s="37">
        <v>182</v>
      </c>
      <c r="K197" s="37" t="s">
        <v>82</v>
      </c>
      <c r="L197" s="37" t="s">
        <v>45</v>
      </c>
      <c r="M197" s="38" t="s">
        <v>91</v>
      </c>
      <c r="N197" s="38"/>
      <c r="O197" s="37">
        <v>45</v>
      </c>
      <c r="P197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97" s="615"/>
      <c r="R197" s="615"/>
      <c r="S197" s="615"/>
      <c r="T197" s="61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5"/>
        <v>0</v>
      </c>
      <c r="Z197" s="41" t="str">
        <f t="shared" si="20"/>
        <v/>
      </c>
      <c r="AA197" s="68" t="s">
        <v>45</v>
      </c>
      <c r="AB197" s="69" t="s">
        <v>45</v>
      </c>
      <c r="AC197" s="262" t="s">
        <v>330</v>
      </c>
      <c r="AG197" s="78"/>
      <c r="AJ197" s="84" t="s">
        <v>45</v>
      </c>
      <c r="AK197" s="84">
        <v>0</v>
      </c>
      <c r="BB197" s="263" t="s">
        <v>66</v>
      </c>
      <c r="BM197" s="78">
        <f t="shared" si="16"/>
        <v>0</v>
      </c>
      <c r="BN197" s="78">
        <f t="shared" si="17"/>
        <v>0</v>
      </c>
      <c r="BO197" s="78">
        <f t="shared" si="18"/>
        <v>0</v>
      </c>
      <c r="BP197" s="78">
        <f t="shared" si="19"/>
        <v>0</v>
      </c>
    </row>
    <row r="198" spans="1:68" ht="27" customHeight="1" x14ac:dyDescent="0.25">
      <c r="A198" s="63" t="s">
        <v>339</v>
      </c>
      <c r="B198" s="63" t="s">
        <v>340</v>
      </c>
      <c r="C198" s="36">
        <v>4301051945</v>
      </c>
      <c r="D198" s="613">
        <v>4680115880504</v>
      </c>
      <c r="E198" s="613"/>
      <c r="F198" s="62">
        <v>0.4</v>
      </c>
      <c r="G198" s="37">
        <v>6</v>
      </c>
      <c r="H198" s="62">
        <v>2.4</v>
      </c>
      <c r="I198" s="62">
        <v>2.6520000000000001</v>
      </c>
      <c r="J198" s="37">
        <v>182</v>
      </c>
      <c r="K198" s="37" t="s">
        <v>82</v>
      </c>
      <c r="L198" s="37" t="s">
        <v>45</v>
      </c>
      <c r="M198" s="38" t="s">
        <v>98</v>
      </c>
      <c r="N198" s="38"/>
      <c r="O198" s="37">
        <v>40</v>
      </c>
      <c r="P198" s="71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198" s="615"/>
      <c r="R198" s="615"/>
      <c r="S198" s="615"/>
      <c r="T198" s="61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5"/>
        <v>0</v>
      </c>
      <c r="Z198" s="41" t="str">
        <f t="shared" si="20"/>
        <v/>
      </c>
      <c r="AA198" s="68" t="s">
        <v>45</v>
      </c>
      <c r="AB198" s="69" t="s">
        <v>45</v>
      </c>
      <c r="AC198" s="264" t="s">
        <v>341</v>
      </c>
      <c r="AG198" s="78"/>
      <c r="AJ198" s="84" t="s">
        <v>45</v>
      </c>
      <c r="AK198" s="84">
        <v>0</v>
      </c>
      <c r="BB198" s="265" t="s">
        <v>66</v>
      </c>
      <c r="BM198" s="78">
        <f t="shared" si="16"/>
        <v>0</v>
      </c>
      <c r="BN198" s="78">
        <f t="shared" si="17"/>
        <v>0</v>
      </c>
      <c r="BO198" s="78">
        <f t="shared" si="18"/>
        <v>0</v>
      </c>
      <c r="BP198" s="78">
        <f t="shared" si="19"/>
        <v>0</v>
      </c>
    </row>
    <row r="199" spans="1:68" ht="27" customHeight="1" x14ac:dyDescent="0.25">
      <c r="A199" s="63" t="s">
        <v>342</v>
      </c>
      <c r="B199" s="63" t="s">
        <v>343</v>
      </c>
      <c r="C199" s="36">
        <v>4301051410</v>
      </c>
      <c r="D199" s="613">
        <v>4680115882164</v>
      </c>
      <c r="E199" s="613"/>
      <c r="F199" s="62">
        <v>0.4</v>
      </c>
      <c r="G199" s="37">
        <v>6</v>
      </c>
      <c r="H199" s="62">
        <v>2.4</v>
      </c>
      <c r="I199" s="62">
        <v>2.6579999999999999</v>
      </c>
      <c r="J199" s="37">
        <v>182</v>
      </c>
      <c r="K199" s="37" t="s">
        <v>82</v>
      </c>
      <c r="L199" s="37" t="s">
        <v>45</v>
      </c>
      <c r="M199" s="38" t="s">
        <v>91</v>
      </c>
      <c r="N199" s="38"/>
      <c r="O199" s="37">
        <v>40</v>
      </c>
      <c r="P199" s="71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99" s="615"/>
      <c r="R199" s="615"/>
      <c r="S199" s="615"/>
      <c r="T199" s="61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5"/>
        <v>0</v>
      </c>
      <c r="Z199" s="41" t="str">
        <f t="shared" si="20"/>
        <v/>
      </c>
      <c r="AA199" s="68" t="s">
        <v>45</v>
      </c>
      <c r="AB199" s="69" t="s">
        <v>45</v>
      </c>
      <c r="AC199" s="266" t="s">
        <v>327</v>
      </c>
      <c r="AG199" s="78"/>
      <c r="AJ199" s="84" t="s">
        <v>45</v>
      </c>
      <c r="AK199" s="84">
        <v>0</v>
      </c>
      <c r="BB199" s="267" t="s">
        <v>66</v>
      </c>
      <c r="BM199" s="78">
        <f t="shared" si="16"/>
        <v>0</v>
      </c>
      <c r="BN199" s="78">
        <f t="shared" si="17"/>
        <v>0</v>
      </c>
      <c r="BO199" s="78">
        <f t="shared" si="18"/>
        <v>0</v>
      </c>
      <c r="BP199" s="78">
        <f t="shared" si="19"/>
        <v>0</v>
      </c>
    </row>
    <row r="200" spans="1:68" x14ac:dyDescent="0.2">
      <c r="A200" s="621"/>
      <c r="B200" s="621"/>
      <c r="C200" s="621"/>
      <c r="D200" s="621"/>
      <c r="E200" s="621"/>
      <c r="F200" s="621"/>
      <c r="G200" s="621"/>
      <c r="H200" s="621"/>
      <c r="I200" s="621"/>
      <c r="J200" s="621"/>
      <c r="K200" s="621"/>
      <c r="L200" s="621"/>
      <c r="M200" s="621"/>
      <c r="N200" s="621"/>
      <c r="O200" s="622"/>
      <c r="P200" s="618" t="s">
        <v>40</v>
      </c>
      <c r="Q200" s="619"/>
      <c r="R200" s="619"/>
      <c r="S200" s="619"/>
      <c r="T200" s="619"/>
      <c r="U200" s="619"/>
      <c r="V200" s="620"/>
      <c r="W200" s="42" t="s">
        <v>39</v>
      </c>
      <c r="X200" s="43">
        <f>IFERROR(X191/H191,"0")+IFERROR(X192/H192,"0")+IFERROR(X193/H193,"0")+IFERROR(X194/H194,"0")+IFERROR(X195/H195,"0")+IFERROR(X196/H196,"0")+IFERROR(X197/H197,"0")+IFERROR(X198/H198,"0")+IFERROR(X199/H199,"0")</f>
        <v>0</v>
      </c>
      <c r="Y200" s="43">
        <f>IFERROR(Y191/H191,"0")+IFERROR(Y192/H192,"0")+IFERROR(Y193/H193,"0")+IFERROR(Y194/H194,"0")+IFERROR(Y195/H195,"0")+IFERROR(Y196/H196,"0")+IFERROR(Y197/H197,"0")+IFERROR(Y198/H198,"0")+IFERROR(Y199/H199,"0")</f>
        <v>0</v>
      </c>
      <c r="Z200" s="43">
        <f>IFERROR(IF(Z191="",0,Z191),"0")+IFERROR(IF(Z192="",0,Z192),"0")+IFERROR(IF(Z193="",0,Z193),"0")+IFERROR(IF(Z194="",0,Z194),"0")+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621"/>
      <c r="B201" s="621"/>
      <c r="C201" s="621"/>
      <c r="D201" s="621"/>
      <c r="E201" s="621"/>
      <c r="F201" s="621"/>
      <c r="G201" s="621"/>
      <c r="H201" s="621"/>
      <c r="I201" s="621"/>
      <c r="J201" s="621"/>
      <c r="K201" s="621"/>
      <c r="L201" s="621"/>
      <c r="M201" s="621"/>
      <c r="N201" s="621"/>
      <c r="O201" s="622"/>
      <c r="P201" s="618" t="s">
        <v>40</v>
      </c>
      <c r="Q201" s="619"/>
      <c r="R201" s="619"/>
      <c r="S201" s="619"/>
      <c r="T201" s="619"/>
      <c r="U201" s="619"/>
      <c r="V201" s="620"/>
      <c r="W201" s="42" t="s">
        <v>0</v>
      </c>
      <c r="X201" s="43">
        <f>IFERROR(SUM(X191:X199),"0")</f>
        <v>0</v>
      </c>
      <c r="Y201" s="43">
        <f>IFERROR(SUM(Y191:Y199),"0")</f>
        <v>0</v>
      </c>
      <c r="Z201" s="42"/>
      <c r="AA201" s="67"/>
      <c r="AB201" s="67"/>
      <c r="AC201" s="67"/>
    </row>
    <row r="202" spans="1:68" ht="14.25" customHeight="1" x14ac:dyDescent="0.25">
      <c r="A202" s="612" t="s">
        <v>173</v>
      </c>
      <c r="B202" s="612"/>
      <c r="C202" s="612"/>
      <c r="D202" s="612"/>
      <c r="E202" s="612"/>
      <c r="F202" s="612"/>
      <c r="G202" s="612"/>
      <c r="H202" s="612"/>
      <c r="I202" s="612"/>
      <c r="J202" s="612"/>
      <c r="K202" s="612"/>
      <c r="L202" s="612"/>
      <c r="M202" s="612"/>
      <c r="N202" s="612"/>
      <c r="O202" s="612"/>
      <c r="P202" s="612"/>
      <c r="Q202" s="612"/>
      <c r="R202" s="612"/>
      <c r="S202" s="612"/>
      <c r="T202" s="612"/>
      <c r="U202" s="612"/>
      <c r="V202" s="612"/>
      <c r="W202" s="612"/>
      <c r="X202" s="612"/>
      <c r="Y202" s="612"/>
      <c r="Z202" s="612"/>
      <c r="AA202" s="66"/>
      <c r="AB202" s="66"/>
      <c r="AC202" s="80"/>
    </row>
    <row r="203" spans="1:68" ht="27" customHeight="1" x14ac:dyDescent="0.25">
      <c r="A203" s="63" t="s">
        <v>344</v>
      </c>
      <c r="B203" s="63" t="s">
        <v>345</v>
      </c>
      <c r="C203" s="36">
        <v>4301060463</v>
      </c>
      <c r="D203" s="613">
        <v>4680115880818</v>
      </c>
      <c r="E203" s="613"/>
      <c r="F203" s="62">
        <v>0.4</v>
      </c>
      <c r="G203" s="37">
        <v>6</v>
      </c>
      <c r="H203" s="62">
        <v>2.4</v>
      </c>
      <c r="I203" s="62">
        <v>2.6520000000000001</v>
      </c>
      <c r="J203" s="37">
        <v>182</v>
      </c>
      <c r="K203" s="37" t="s">
        <v>82</v>
      </c>
      <c r="L203" s="37" t="s">
        <v>45</v>
      </c>
      <c r="M203" s="38" t="s">
        <v>98</v>
      </c>
      <c r="N203" s="38"/>
      <c r="O203" s="37">
        <v>40</v>
      </c>
      <c r="P203" s="7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03" s="615"/>
      <c r="R203" s="615"/>
      <c r="S203" s="615"/>
      <c r="T203" s="616"/>
      <c r="U203" s="39" t="s">
        <v>45</v>
      </c>
      <c r="V203" s="39" t="s">
        <v>45</v>
      </c>
      <c r="W203" s="40" t="s">
        <v>0</v>
      </c>
      <c r="X203" s="58">
        <v>0</v>
      </c>
      <c r="Y203" s="55">
        <f>IFERROR(IF(X203="",0,CEILING((X203/$H203),1)*$H203),"")</f>
        <v>0</v>
      </c>
      <c r="Z203" s="41" t="str">
        <f>IFERROR(IF(Y203=0,"",ROUNDUP(Y203/H203,0)*0.00651),"")</f>
        <v/>
      </c>
      <c r="AA203" s="68" t="s">
        <v>45</v>
      </c>
      <c r="AB203" s="69" t="s">
        <v>45</v>
      </c>
      <c r="AC203" s="268" t="s">
        <v>346</v>
      </c>
      <c r="AG203" s="78"/>
      <c r="AJ203" s="84" t="s">
        <v>45</v>
      </c>
      <c r="AK203" s="84">
        <v>0</v>
      </c>
      <c r="BB203" s="269" t="s">
        <v>66</v>
      </c>
      <c r="BM203" s="78">
        <f>IFERROR(X203*I203/H203,"0")</f>
        <v>0</v>
      </c>
      <c r="BN203" s="78">
        <f>IFERROR(Y203*I203/H203,"0")</f>
        <v>0</v>
      </c>
      <c r="BO203" s="78">
        <f>IFERROR(1/J203*(X203/H203),"0")</f>
        <v>0</v>
      </c>
      <c r="BP203" s="78">
        <f>IFERROR(1/J203*(Y203/H203),"0")</f>
        <v>0</v>
      </c>
    </row>
    <row r="204" spans="1:68" ht="37.5" customHeight="1" x14ac:dyDescent="0.25">
      <c r="A204" s="63" t="s">
        <v>347</v>
      </c>
      <c r="B204" s="63" t="s">
        <v>348</v>
      </c>
      <c r="C204" s="36">
        <v>4301060389</v>
      </c>
      <c r="D204" s="613">
        <v>4680115880801</v>
      </c>
      <c r="E204" s="613"/>
      <c r="F204" s="62">
        <v>0.4</v>
      </c>
      <c r="G204" s="37">
        <v>6</v>
      </c>
      <c r="H204" s="62">
        <v>2.4</v>
      </c>
      <c r="I204" s="62">
        <v>2.6520000000000001</v>
      </c>
      <c r="J204" s="37">
        <v>182</v>
      </c>
      <c r="K204" s="37" t="s">
        <v>82</v>
      </c>
      <c r="L204" s="37" t="s">
        <v>45</v>
      </c>
      <c r="M204" s="38" t="s">
        <v>91</v>
      </c>
      <c r="N204" s="38"/>
      <c r="O204" s="37">
        <v>40</v>
      </c>
      <c r="P204" s="7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04" s="615"/>
      <c r="R204" s="615"/>
      <c r="S204" s="615"/>
      <c r="T204" s="616"/>
      <c r="U204" s="39" t="s">
        <v>45</v>
      </c>
      <c r="V204" s="39" t="s">
        <v>45</v>
      </c>
      <c r="W204" s="40" t="s">
        <v>0</v>
      </c>
      <c r="X204" s="58">
        <v>0</v>
      </c>
      <c r="Y204" s="55">
        <f>IFERROR(IF(X204="",0,CEILING((X204/$H204),1)*$H204),"")</f>
        <v>0</v>
      </c>
      <c r="Z204" s="41" t="str">
        <f>IFERROR(IF(Y204=0,"",ROUNDUP(Y204/H204,0)*0.00651),"")</f>
        <v/>
      </c>
      <c r="AA204" s="68" t="s">
        <v>45</v>
      </c>
      <c r="AB204" s="69" t="s">
        <v>45</v>
      </c>
      <c r="AC204" s="270" t="s">
        <v>349</v>
      </c>
      <c r="AG204" s="78"/>
      <c r="AJ204" s="84" t="s">
        <v>45</v>
      </c>
      <c r="AK204" s="84">
        <v>0</v>
      </c>
      <c r="BB204" s="271" t="s">
        <v>66</v>
      </c>
      <c r="BM204" s="78">
        <f>IFERROR(X204*I204/H204,"0")</f>
        <v>0</v>
      </c>
      <c r="BN204" s="78">
        <f>IFERROR(Y204*I204/H204,"0")</f>
        <v>0</v>
      </c>
      <c r="BO204" s="78">
        <f>IFERROR(1/J204*(X204/H204),"0")</f>
        <v>0</v>
      </c>
      <c r="BP204" s="78">
        <f>IFERROR(1/J204*(Y204/H204),"0")</f>
        <v>0</v>
      </c>
    </row>
    <row r="205" spans="1:68" x14ac:dyDescent="0.2">
      <c r="A205" s="621"/>
      <c r="B205" s="621"/>
      <c r="C205" s="621"/>
      <c r="D205" s="621"/>
      <c r="E205" s="621"/>
      <c r="F205" s="621"/>
      <c r="G205" s="621"/>
      <c r="H205" s="621"/>
      <c r="I205" s="621"/>
      <c r="J205" s="621"/>
      <c r="K205" s="621"/>
      <c r="L205" s="621"/>
      <c r="M205" s="621"/>
      <c r="N205" s="621"/>
      <c r="O205" s="622"/>
      <c r="P205" s="618" t="s">
        <v>40</v>
      </c>
      <c r="Q205" s="619"/>
      <c r="R205" s="619"/>
      <c r="S205" s="619"/>
      <c r="T205" s="619"/>
      <c r="U205" s="619"/>
      <c r="V205" s="620"/>
      <c r="W205" s="42" t="s">
        <v>39</v>
      </c>
      <c r="X205" s="43">
        <f>IFERROR(X203/H203,"0")+IFERROR(X204/H204,"0")</f>
        <v>0</v>
      </c>
      <c r="Y205" s="43">
        <f>IFERROR(Y203/H203,"0")+IFERROR(Y204/H204,"0")</f>
        <v>0</v>
      </c>
      <c r="Z205" s="43">
        <f>IFERROR(IF(Z203="",0,Z203),"0")+IFERROR(IF(Z204="",0,Z204),"0")</f>
        <v>0</v>
      </c>
      <c r="AA205" s="67"/>
      <c r="AB205" s="67"/>
      <c r="AC205" s="67"/>
    </row>
    <row r="206" spans="1:68" x14ac:dyDescent="0.2">
      <c r="A206" s="621"/>
      <c r="B206" s="621"/>
      <c r="C206" s="621"/>
      <c r="D206" s="621"/>
      <c r="E206" s="621"/>
      <c r="F206" s="621"/>
      <c r="G206" s="621"/>
      <c r="H206" s="621"/>
      <c r="I206" s="621"/>
      <c r="J206" s="621"/>
      <c r="K206" s="621"/>
      <c r="L206" s="621"/>
      <c r="M206" s="621"/>
      <c r="N206" s="621"/>
      <c r="O206" s="622"/>
      <c r="P206" s="618" t="s">
        <v>40</v>
      </c>
      <c r="Q206" s="619"/>
      <c r="R206" s="619"/>
      <c r="S206" s="619"/>
      <c r="T206" s="619"/>
      <c r="U206" s="619"/>
      <c r="V206" s="620"/>
      <c r="W206" s="42" t="s">
        <v>0</v>
      </c>
      <c r="X206" s="43">
        <f>IFERROR(SUM(X203:X204),"0")</f>
        <v>0</v>
      </c>
      <c r="Y206" s="43">
        <f>IFERROR(SUM(Y203:Y204),"0")</f>
        <v>0</v>
      </c>
      <c r="Z206" s="42"/>
      <c r="AA206" s="67"/>
      <c r="AB206" s="67"/>
      <c r="AC206" s="67"/>
    </row>
    <row r="207" spans="1:68" ht="16.5" customHeight="1" x14ac:dyDescent="0.25">
      <c r="A207" s="611" t="s">
        <v>350</v>
      </c>
      <c r="B207" s="611"/>
      <c r="C207" s="611"/>
      <c r="D207" s="611"/>
      <c r="E207" s="611"/>
      <c r="F207" s="611"/>
      <c r="G207" s="611"/>
      <c r="H207" s="611"/>
      <c r="I207" s="611"/>
      <c r="J207" s="611"/>
      <c r="K207" s="611"/>
      <c r="L207" s="611"/>
      <c r="M207" s="611"/>
      <c r="N207" s="611"/>
      <c r="O207" s="611"/>
      <c r="P207" s="611"/>
      <c r="Q207" s="611"/>
      <c r="R207" s="611"/>
      <c r="S207" s="611"/>
      <c r="T207" s="611"/>
      <c r="U207" s="611"/>
      <c r="V207" s="611"/>
      <c r="W207" s="611"/>
      <c r="X207" s="611"/>
      <c r="Y207" s="611"/>
      <c r="Z207" s="611"/>
      <c r="AA207" s="65"/>
      <c r="AB207" s="65"/>
      <c r="AC207" s="79"/>
    </row>
    <row r="208" spans="1:68" ht="14.25" customHeight="1" x14ac:dyDescent="0.25">
      <c r="A208" s="612" t="s">
        <v>112</v>
      </c>
      <c r="B208" s="612"/>
      <c r="C208" s="612"/>
      <c r="D208" s="612"/>
      <c r="E208" s="612"/>
      <c r="F208" s="612"/>
      <c r="G208" s="612"/>
      <c r="H208" s="612"/>
      <c r="I208" s="612"/>
      <c r="J208" s="612"/>
      <c r="K208" s="612"/>
      <c r="L208" s="612"/>
      <c r="M208" s="612"/>
      <c r="N208" s="612"/>
      <c r="O208" s="612"/>
      <c r="P208" s="612"/>
      <c r="Q208" s="612"/>
      <c r="R208" s="612"/>
      <c r="S208" s="612"/>
      <c r="T208" s="612"/>
      <c r="U208" s="612"/>
      <c r="V208" s="612"/>
      <c r="W208" s="612"/>
      <c r="X208" s="612"/>
      <c r="Y208" s="612"/>
      <c r="Z208" s="612"/>
      <c r="AA208" s="66"/>
      <c r="AB208" s="66"/>
      <c r="AC208" s="80"/>
    </row>
    <row r="209" spans="1:68" ht="27" customHeight="1" x14ac:dyDescent="0.25">
      <c r="A209" s="63" t="s">
        <v>351</v>
      </c>
      <c r="B209" s="63" t="s">
        <v>352</v>
      </c>
      <c r="C209" s="36">
        <v>4301011826</v>
      </c>
      <c r="D209" s="613">
        <v>4680115884137</v>
      </c>
      <c r="E209" s="613"/>
      <c r="F209" s="62">
        <v>1.45</v>
      </c>
      <c r="G209" s="37">
        <v>8</v>
      </c>
      <c r="H209" s="62">
        <v>11.6</v>
      </c>
      <c r="I209" s="62">
        <v>12.01</v>
      </c>
      <c r="J209" s="37">
        <v>64</v>
      </c>
      <c r="K209" s="37" t="s">
        <v>117</v>
      </c>
      <c r="L209" s="37" t="s">
        <v>45</v>
      </c>
      <c r="M209" s="38" t="s">
        <v>116</v>
      </c>
      <c r="N209" s="38"/>
      <c r="O209" s="37">
        <v>55</v>
      </c>
      <c r="P209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09" s="615"/>
      <c r="R209" s="615"/>
      <c r="S209" s="615"/>
      <c r="T209" s="61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ref="Y209:Y218" si="21">IFERROR(IF(X209="",0,CEILING((X209/$H209),1)*$H209),"")</f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72" t="s">
        <v>353</v>
      </c>
      <c r="AG209" s="78"/>
      <c r="AJ209" s="84" t="s">
        <v>45</v>
      </c>
      <c r="AK209" s="84">
        <v>0</v>
      </c>
      <c r="BB209" s="273" t="s">
        <v>66</v>
      </c>
      <c r="BM209" s="78">
        <f t="shared" ref="BM209:BM218" si="22">IFERROR(X209*I209/H209,"0")</f>
        <v>0</v>
      </c>
      <c r="BN209" s="78">
        <f t="shared" ref="BN209:BN218" si="23">IFERROR(Y209*I209/H209,"0")</f>
        <v>0</v>
      </c>
      <c r="BO209" s="78">
        <f t="shared" ref="BO209:BO218" si="24">IFERROR(1/J209*(X209/H209),"0")</f>
        <v>0</v>
      </c>
      <c r="BP209" s="78">
        <f t="shared" ref="BP209:BP218" si="25">IFERROR(1/J209*(Y209/H209),"0")</f>
        <v>0</v>
      </c>
    </row>
    <row r="210" spans="1:68" ht="27" customHeight="1" x14ac:dyDescent="0.25">
      <c r="A210" s="63" t="s">
        <v>354</v>
      </c>
      <c r="B210" s="63" t="s">
        <v>355</v>
      </c>
      <c r="C210" s="36">
        <v>4301011724</v>
      </c>
      <c r="D210" s="613">
        <v>4680115884236</v>
      </c>
      <c r="E210" s="613"/>
      <c r="F210" s="62">
        <v>1.45</v>
      </c>
      <c r="G210" s="37">
        <v>8</v>
      </c>
      <c r="H210" s="62">
        <v>11.6</v>
      </c>
      <c r="I210" s="62">
        <v>12.01</v>
      </c>
      <c r="J210" s="37">
        <v>64</v>
      </c>
      <c r="K210" s="37" t="s">
        <v>117</v>
      </c>
      <c r="L210" s="37" t="s">
        <v>45</v>
      </c>
      <c r="M210" s="38" t="s">
        <v>116</v>
      </c>
      <c r="N210" s="38"/>
      <c r="O210" s="37">
        <v>55</v>
      </c>
      <c r="P210" s="7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10" s="615"/>
      <c r="R210" s="615"/>
      <c r="S210" s="615"/>
      <c r="T210" s="61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21"/>
        <v>0</v>
      </c>
      <c r="Z210" s="41" t="str">
        <f>IFERROR(IF(Y210=0,"",ROUNDUP(Y210/H210,0)*0.01898),"")</f>
        <v/>
      </c>
      <c r="AA210" s="68" t="s">
        <v>45</v>
      </c>
      <c r="AB210" s="69" t="s">
        <v>45</v>
      </c>
      <c r="AC210" s="274" t="s">
        <v>356</v>
      </c>
      <c r="AG210" s="78"/>
      <c r="AJ210" s="84" t="s">
        <v>45</v>
      </c>
      <c r="AK210" s="84">
        <v>0</v>
      </c>
      <c r="BB210" s="275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customHeight="1" x14ac:dyDescent="0.25">
      <c r="A211" s="63" t="s">
        <v>357</v>
      </c>
      <c r="B211" s="63" t="s">
        <v>358</v>
      </c>
      <c r="C211" s="36">
        <v>4301011721</v>
      </c>
      <c r="D211" s="613">
        <v>4680115884175</v>
      </c>
      <c r="E211" s="613"/>
      <c r="F211" s="62">
        <v>1.45</v>
      </c>
      <c r="G211" s="37">
        <v>8</v>
      </c>
      <c r="H211" s="62">
        <v>11.6</v>
      </c>
      <c r="I211" s="62">
        <v>12.01</v>
      </c>
      <c r="J211" s="37">
        <v>64</v>
      </c>
      <c r="K211" s="37" t="s">
        <v>117</v>
      </c>
      <c r="L211" s="37" t="s">
        <v>45</v>
      </c>
      <c r="M211" s="38" t="s">
        <v>116</v>
      </c>
      <c r="N211" s="38"/>
      <c r="O211" s="37">
        <v>55</v>
      </c>
      <c r="P211" s="7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1" s="615"/>
      <c r="R211" s="615"/>
      <c r="S211" s="615"/>
      <c r="T211" s="61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21"/>
        <v>0</v>
      </c>
      <c r="Z211" s="41" t="str">
        <f>IFERROR(IF(Y211=0,"",ROUNDUP(Y211/H211,0)*0.01898),"")</f>
        <v/>
      </c>
      <c r="AA211" s="68" t="s">
        <v>45</v>
      </c>
      <c r="AB211" s="69" t="s">
        <v>45</v>
      </c>
      <c r="AC211" s="276" t="s">
        <v>359</v>
      </c>
      <c r="AG211" s="78"/>
      <c r="AJ211" s="84" t="s">
        <v>45</v>
      </c>
      <c r="AK211" s="84">
        <v>0</v>
      </c>
      <c r="BB211" s="277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t="27" customHeight="1" x14ac:dyDescent="0.25">
      <c r="A212" s="63" t="s">
        <v>360</v>
      </c>
      <c r="B212" s="63" t="s">
        <v>361</v>
      </c>
      <c r="C212" s="36">
        <v>4301011824</v>
      </c>
      <c r="D212" s="613">
        <v>4680115884144</v>
      </c>
      <c r="E212" s="613"/>
      <c r="F212" s="62">
        <v>0.4</v>
      </c>
      <c r="G212" s="37">
        <v>10</v>
      </c>
      <c r="H212" s="62">
        <v>4</v>
      </c>
      <c r="I212" s="62">
        <v>4.1900000000000004</v>
      </c>
      <c r="J212" s="37">
        <v>132</v>
      </c>
      <c r="K212" s="37" t="s">
        <v>120</v>
      </c>
      <c r="L212" s="37" t="s">
        <v>45</v>
      </c>
      <c r="M212" s="38" t="s">
        <v>116</v>
      </c>
      <c r="N212" s="38"/>
      <c r="O212" s="37">
        <v>55</v>
      </c>
      <c r="P212" s="7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12" s="615"/>
      <c r="R212" s="615"/>
      <c r="S212" s="615"/>
      <c r="T212" s="61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360</v>
      </c>
      <c r="B213" s="63" t="s">
        <v>362</v>
      </c>
      <c r="C213" s="36">
        <v>4301012196</v>
      </c>
      <c r="D213" s="613">
        <v>4680115884144</v>
      </c>
      <c r="E213" s="613"/>
      <c r="F213" s="62">
        <v>0.4</v>
      </c>
      <c r="G213" s="37">
        <v>10</v>
      </c>
      <c r="H213" s="62">
        <v>4</v>
      </c>
      <c r="I213" s="62">
        <v>4.1900000000000004</v>
      </c>
      <c r="J213" s="37">
        <v>132</v>
      </c>
      <c r="K213" s="37" t="s">
        <v>120</v>
      </c>
      <c r="L213" s="37" t="s">
        <v>45</v>
      </c>
      <c r="M213" s="38" t="s">
        <v>116</v>
      </c>
      <c r="N213" s="38"/>
      <c r="O213" s="37">
        <v>55</v>
      </c>
      <c r="P213" s="71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13" s="615"/>
      <c r="R213" s="615"/>
      <c r="S213" s="615"/>
      <c r="T213" s="61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45</v>
      </c>
      <c r="AB213" s="69" t="s">
        <v>45</v>
      </c>
      <c r="AC213" s="280" t="s">
        <v>353</v>
      </c>
      <c r="AG213" s="78"/>
      <c r="AJ213" s="84" t="s">
        <v>45</v>
      </c>
      <c r="AK213" s="84">
        <v>0</v>
      </c>
      <c r="BB213" s="281" t="s">
        <v>66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27" customHeight="1" x14ac:dyDescent="0.25">
      <c r="A214" s="63" t="s">
        <v>363</v>
      </c>
      <c r="B214" s="63" t="s">
        <v>364</v>
      </c>
      <c r="C214" s="36">
        <v>4301012149</v>
      </c>
      <c r="D214" s="613">
        <v>4680115886551</v>
      </c>
      <c r="E214" s="613"/>
      <c r="F214" s="62">
        <v>0.4</v>
      </c>
      <c r="G214" s="37">
        <v>10</v>
      </c>
      <c r="H214" s="62">
        <v>4</v>
      </c>
      <c r="I214" s="62">
        <v>4.1900000000000004</v>
      </c>
      <c r="J214" s="37">
        <v>132</v>
      </c>
      <c r="K214" s="37" t="s">
        <v>120</v>
      </c>
      <c r="L214" s="37" t="s">
        <v>45</v>
      </c>
      <c r="M214" s="38" t="s">
        <v>116</v>
      </c>
      <c r="N214" s="38"/>
      <c r="O214" s="37">
        <v>55</v>
      </c>
      <c r="P214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14" s="615"/>
      <c r="R214" s="615"/>
      <c r="S214" s="615"/>
      <c r="T214" s="61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45</v>
      </c>
      <c r="AB214" s="69" t="s">
        <v>45</v>
      </c>
      <c r="AC214" s="282" t="s">
        <v>365</v>
      </c>
      <c r="AG214" s="78"/>
      <c r="AJ214" s="84" t="s">
        <v>45</v>
      </c>
      <c r="AK214" s="84">
        <v>0</v>
      </c>
      <c r="BB214" s="283" t="s">
        <v>66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366</v>
      </c>
      <c r="B215" s="63" t="s">
        <v>367</v>
      </c>
      <c r="C215" s="36">
        <v>4301011726</v>
      </c>
      <c r="D215" s="613">
        <v>4680115884182</v>
      </c>
      <c r="E215" s="613"/>
      <c r="F215" s="62">
        <v>0.37</v>
      </c>
      <c r="G215" s="37">
        <v>10</v>
      </c>
      <c r="H215" s="62">
        <v>3.7</v>
      </c>
      <c r="I215" s="62">
        <v>3.89</v>
      </c>
      <c r="J215" s="37">
        <v>132</v>
      </c>
      <c r="K215" s="37" t="s">
        <v>120</v>
      </c>
      <c r="L215" s="37" t="s">
        <v>45</v>
      </c>
      <c r="M215" s="38" t="s">
        <v>116</v>
      </c>
      <c r="N215" s="38"/>
      <c r="O215" s="37">
        <v>55</v>
      </c>
      <c r="P215" s="72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15" s="615"/>
      <c r="R215" s="615"/>
      <c r="S215" s="615"/>
      <c r="T215" s="61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45</v>
      </c>
      <c r="AB215" s="69" t="s">
        <v>45</v>
      </c>
      <c r="AC215" s="284" t="s">
        <v>356</v>
      </c>
      <c r="AG215" s="78"/>
      <c r="AJ215" s="84" t="s">
        <v>45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368</v>
      </c>
      <c r="B216" s="63" t="s">
        <v>369</v>
      </c>
      <c r="C216" s="36">
        <v>4301012228</v>
      </c>
      <c r="D216" s="613">
        <v>4680115887282</v>
      </c>
      <c r="E216" s="613"/>
      <c r="F216" s="62">
        <v>0.4</v>
      </c>
      <c r="G216" s="37">
        <v>6</v>
      </c>
      <c r="H216" s="62">
        <v>2.4</v>
      </c>
      <c r="I216" s="62">
        <v>2.58</v>
      </c>
      <c r="J216" s="37">
        <v>182</v>
      </c>
      <c r="K216" s="37" t="s">
        <v>82</v>
      </c>
      <c r="L216" s="37" t="s">
        <v>45</v>
      </c>
      <c r="M216" s="38" t="s">
        <v>116</v>
      </c>
      <c r="N216" s="38"/>
      <c r="O216" s="37">
        <v>55</v>
      </c>
      <c r="P216" s="72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16" s="615"/>
      <c r="R216" s="615"/>
      <c r="S216" s="615"/>
      <c r="T216" s="61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IFERROR(IF(Y216=0,"",ROUNDUP(Y216/H216,0)*0.00651),"")</f>
        <v/>
      </c>
      <c r="AA216" s="68" t="s">
        <v>45</v>
      </c>
      <c r="AB216" s="69" t="s">
        <v>45</v>
      </c>
      <c r="AC216" s="286" t="s">
        <v>356</v>
      </c>
      <c r="AG216" s="78"/>
      <c r="AJ216" s="84" t="s">
        <v>45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4301011722</v>
      </c>
      <c r="D217" s="613">
        <v>4680115884205</v>
      </c>
      <c r="E217" s="613"/>
      <c r="F217" s="62">
        <v>0.4</v>
      </c>
      <c r="G217" s="37">
        <v>10</v>
      </c>
      <c r="H217" s="62">
        <v>4</v>
      </c>
      <c r="I217" s="62">
        <v>4.1900000000000004</v>
      </c>
      <c r="J217" s="37">
        <v>132</v>
      </c>
      <c r="K217" s="37" t="s">
        <v>120</v>
      </c>
      <c r="L217" s="37" t="s">
        <v>45</v>
      </c>
      <c r="M217" s="38" t="s">
        <v>116</v>
      </c>
      <c r="N217" s="38"/>
      <c r="O217" s="37">
        <v>55</v>
      </c>
      <c r="P217" s="72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17" s="615"/>
      <c r="R217" s="615"/>
      <c r="S217" s="615"/>
      <c r="T217" s="61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1"/>
        <v>0</v>
      </c>
      <c r="Z217" s="41" t="str">
        <f>IFERROR(IF(Y217=0,"",ROUNDUP(Y217/H217,0)*0.00902),"")</f>
        <v/>
      </c>
      <c r="AA217" s="68" t="s">
        <v>45</v>
      </c>
      <c r="AB217" s="69" t="s">
        <v>45</v>
      </c>
      <c r="AC217" s="288" t="s">
        <v>359</v>
      </c>
      <c r="AG217" s="78"/>
      <c r="AJ217" s="84" t="s">
        <v>45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370</v>
      </c>
      <c r="B218" s="63" t="s">
        <v>372</v>
      </c>
      <c r="C218" s="36">
        <v>4301012195</v>
      </c>
      <c r="D218" s="613">
        <v>4680115884205</v>
      </c>
      <c r="E218" s="613"/>
      <c r="F218" s="62">
        <v>0.4</v>
      </c>
      <c r="G218" s="37">
        <v>10</v>
      </c>
      <c r="H218" s="62">
        <v>4</v>
      </c>
      <c r="I218" s="62">
        <v>4.1900000000000004</v>
      </c>
      <c r="J218" s="37">
        <v>132</v>
      </c>
      <c r="K218" s="37" t="s">
        <v>120</v>
      </c>
      <c r="L218" s="37" t="s">
        <v>45</v>
      </c>
      <c r="M218" s="38" t="s">
        <v>116</v>
      </c>
      <c r="N218" s="38"/>
      <c r="O218" s="37">
        <v>55</v>
      </c>
      <c r="P218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18" s="615"/>
      <c r="R218" s="615"/>
      <c r="S218" s="615"/>
      <c r="T218" s="61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IFERROR(IF(Y218=0,"",ROUNDUP(Y218/H218,0)*0.00902),"")</f>
        <v/>
      </c>
      <c r="AA218" s="68" t="s">
        <v>45</v>
      </c>
      <c r="AB218" s="69" t="s">
        <v>45</v>
      </c>
      <c r="AC218" s="290" t="s">
        <v>359</v>
      </c>
      <c r="AG218" s="78"/>
      <c r="AJ218" s="84" t="s">
        <v>45</v>
      </c>
      <c r="AK218" s="84">
        <v>0</v>
      </c>
      <c r="BB218" s="291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x14ac:dyDescent="0.2">
      <c r="A219" s="621"/>
      <c r="B219" s="621"/>
      <c r="C219" s="621"/>
      <c r="D219" s="621"/>
      <c r="E219" s="621"/>
      <c r="F219" s="621"/>
      <c r="G219" s="621"/>
      <c r="H219" s="621"/>
      <c r="I219" s="621"/>
      <c r="J219" s="621"/>
      <c r="K219" s="621"/>
      <c r="L219" s="621"/>
      <c r="M219" s="621"/>
      <c r="N219" s="621"/>
      <c r="O219" s="622"/>
      <c r="P219" s="618" t="s">
        <v>40</v>
      </c>
      <c r="Q219" s="619"/>
      <c r="R219" s="619"/>
      <c r="S219" s="619"/>
      <c r="T219" s="619"/>
      <c r="U219" s="619"/>
      <c r="V219" s="620"/>
      <c r="W219" s="42" t="s">
        <v>39</v>
      </c>
      <c r="X219" s="43">
        <f>IFERROR(X209/H209,"0")+IFERROR(X210/H210,"0")+IFERROR(X211/H211,"0")+IFERROR(X212/H212,"0")+IFERROR(X213/H213,"0")+IFERROR(X214/H214,"0")+IFERROR(X215/H215,"0")+IFERROR(X216/H216,"0")+IFERROR(X217/H217,"0")+IFERROR(X218/H218,"0")</f>
        <v>0</v>
      </c>
      <c r="Y219" s="43">
        <f>IFERROR(Y209/H209,"0")+IFERROR(Y210/H210,"0")+IFERROR(Y211/H211,"0")+IFERROR(Y212/H212,"0")+IFERROR(Y213/H213,"0")+IFERROR(Y214/H214,"0")+IFERROR(Y215/H215,"0")+IFERROR(Y216/H216,"0")+IFERROR(Y217/H217,"0")+IFERROR(Y218/H218,"0")</f>
        <v>0</v>
      </c>
      <c r="Z219" s="43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</f>
        <v>0</v>
      </c>
      <c r="AA219" s="67"/>
      <c r="AB219" s="67"/>
      <c r="AC219" s="67"/>
    </row>
    <row r="220" spans="1:68" x14ac:dyDescent="0.2">
      <c r="A220" s="621"/>
      <c r="B220" s="621"/>
      <c r="C220" s="621"/>
      <c r="D220" s="621"/>
      <c r="E220" s="621"/>
      <c r="F220" s="621"/>
      <c r="G220" s="621"/>
      <c r="H220" s="621"/>
      <c r="I220" s="621"/>
      <c r="J220" s="621"/>
      <c r="K220" s="621"/>
      <c r="L220" s="621"/>
      <c r="M220" s="621"/>
      <c r="N220" s="621"/>
      <c r="O220" s="622"/>
      <c r="P220" s="618" t="s">
        <v>40</v>
      </c>
      <c r="Q220" s="619"/>
      <c r="R220" s="619"/>
      <c r="S220" s="619"/>
      <c r="T220" s="619"/>
      <c r="U220" s="619"/>
      <c r="V220" s="620"/>
      <c r="W220" s="42" t="s">
        <v>0</v>
      </c>
      <c r="X220" s="43">
        <f>IFERROR(SUM(X209:X218),"0")</f>
        <v>0</v>
      </c>
      <c r="Y220" s="43">
        <f>IFERROR(SUM(Y209:Y218),"0")</f>
        <v>0</v>
      </c>
      <c r="Z220" s="42"/>
      <c r="AA220" s="67"/>
      <c r="AB220" s="67"/>
      <c r="AC220" s="67"/>
    </row>
    <row r="221" spans="1:68" ht="14.25" customHeight="1" x14ac:dyDescent="0.25">
      <c r="A221" s="612" t="s">
        <v>145</v>
      </c>
      <c r="B221" s="612"/>
      <c r="C221" s="612"/>
      <c r="D221" s="612"/>
      <c r="E221" s="612"/>
      <c r="F221" s="612"/>
      <c r="G221" s="612"/>
      <c r="H221" s="612"/>
      <c r="I221" s="612"/>
      <c r="J221" s="612"/>
      <c r="K221" s="612"/>
      <c r="L221" s="612"/>
      <c r="M221" s="612"/>
      <c r="N221" s="612"/>
      <c r="O221" s="612"/>
      <c r="P221" s="612"/>
      <c r="Q221" s="612"/>
      <c r="R221" s="612"/>
      <c r="S221" s="612"/>
      <c r="T221" s="612"/>
      <c r="U221" s="612"/>
      <c r="V221" s="612"/>
      <c r="W221" s="612"/>
      <c r="X221" s="612"/>
      <c r="Y221" s="612"/>
      <c r="Z221" s="612"/>
      <c r="AA221" s="66"/>
      <c r="AB221" s="66"/>
      <c r="AC221" s="80"/>
    </row>
    <row r="222" spans="1:68" ht="27" customHeight="1" x14ac:dyDescent="0.25">
      <c r="A222" s="63" t="s">
        <v>373</v>
      </c>
      <c r="B222" s="63" t="s">
        <v>374</v>
      </c>
      <c r="C222" s="36">
        <v>4301020377</v>
      </c>
      <c r="D222" s="613">
        <v>4680115885981</v>
      </c>
      <c r="E222" s="613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86</v>
      </c>
      <c r="L222" s="37" t="s">
        <v>45</v>
      </c>
      <c r="M222" s="38" t="s">
        <v>91</v>
      </c>
      <c r="N222" s="38"/>
      <c r="O222" s="37">
        <v>50</v>
      </c>
      <c r="P222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2" s="615"/>
      <c r="R222" s="615"/>
      <c r="S222" s="615"/>
      <c r="T222" s="616"/>
      <c r="U222" s="39" t="s">
        <v>45</v>
      </c>
      <c r="V222" s="39" t="s">
        <v>45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45</v>
      </c>
      <c r="AB222" s="69" t="s">
        <v>45</v>
      </c>
      <c r="AC222" s="292" t="s">
        <v>375</v>
      </c>
      <c r="AG222" s="78"/>
      <c r="AJ222" s="84" t="s">
        <v>45</v>
      </c>
      <c r="AK222" s="84">
        <v>0</v>
      </c>
      <c r="BB222" s="293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x14ac:dyDescent="0.2">
      <c r="A223" s="621"/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2"/>
      <c r="P223" s="618" t="s">
        <v>40</v>
      </c>
      <c r="Q223" s="619"/>
      <c r="R223" s="619"/>
      <c r="S223" s="619"/>
      <c r="T223" s="619"/>
      <c r="U223" s="619"/>
      <c r="V223" s="62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621"/>
      <c r="B224" s="621"/>
      <c r="C224" s="621"/>
      <c r="D224" s="621"/>
      <c r="E224" s="621"/>
      <c r="F224" s="621"/>
      <c r="G224" s="621"/>
      <c r="H224" s="621"/>
      <c r="I224" s="621"/>
      <c r="J224" s="621"/>
      <c r="K224" s="621"/>
      <c r="L224" s="621"/>
      <c r="M224" s="621"/>
      <c r="N224" s="621"/>
      <c r="O224" s="622"/>
      <c r="P224" s="618" t="s">
        <v>40</v>
      </c>
      <c r="Q224" s="619"/>
      <c r="R224" s="619"/>
      <c r="S224" s="619"/>
      <c r="T224" s="619"/>
      <c r="U224" s="619"/>
      <c r="V224" s="62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customHeight="1" x14ac:dyDescent="0.25">
      <c r="A225" s="612" t="s">
        <v>376</v>
      </c>
      <c r="B225" s="612"/>
      <c r="C225" s="612"/>
      <c r="D225" s="612"/>
      <c r="E225" s="612"/>
      <c r="F225" s="612"/>
      <c r="G225" s="612"/>
      <c r="H225" s="612"/>
      <c r="I225" s="612"/>
      <c r="J225" s="612"/>
      <c r="K225" s="612"/>
      <c r="L225" s="612"/>
      <c r="M225" s="612"/>
      <c r="N225" s="612"/>
      <c r="O225" s="612"/>
      <c r="P225" s="612"/>
      <c r="Q225" s="612"/>
      <c r="R225" s="612"/>
      <c r="S225" s="612"/>
      <c r="T225" s="612"/>
      <c r="U225" s="612"/>
      <c r="V225" s="612"/>
      <c r="W225" s="612"/>
      <c r="X225" s="612"/>
      <c r="Y225" s="612"/>
      <c r="Z225" s="612"/>
      <c r="AA225" s="66"/>
      <c r="AB225" s="66"/>
      <c r="AC225" s="80"/>
    </row>
    <row r="226" spans="1:68" ht="27" customHeight="1" x14ac:dyDescent="0.25">
      <c r="A226" s="63" t="s">
        <v>377</v>
      </c>
      <c r="B226" s="63" t="s">
        <v>378</v>
      </c>
      <c r="C226" s="36">
        <v>4301040362</v>
      </c>
      <c r="D226" s="613">
        <v>4680115886803</v>
      </c>
      <c r="E226" s="613"/>
      <c r="F226" s="62">
        <v>0.12</v>
      </c>
      <c r="G226" s="37">
        <v>15</v>
      </c>
      <c r="H226" s="62">
        <v>1.8</v>
      </c>
      <c r="I226" s="62">
        <v>1.9750000000000001</v>
      </c>
      <c r="J226" s="37">
        <v>216</v>
      </c>
      <c r="K226" s="37" t="s">
        <v>282</v>
      </c>
      <c r="L226" s="37" t="s">
        <v>45</v>
      </c>
      <c r="M226" s="38" t="s">
        <v>281</v>
      </c>
      <c r="N226" s="38"/>
      <c r="O226" s="37">
        <v>45</v>
      </c>
      <c r="P226" s="7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26" s="615"/>
      <c r="R226" s="615"/>
      <c r="S226" s="615"/>
      <c r="T226" s="616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IFERROR(IF(Y226=0,"",ROUNDUP(Y226/H226,0)*0.0059),"")</f>
        <v/>
      </c>
      <c r="AA226" s="68" t="s">
        <v>45</v>
      </c>
      <c r="AB226" s="69" t="s">
        <v>45</v>
      </c>
      <c r="AC226" s="294" t="s">
        <v>379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21"/>
      <c r="B227" s="621"/>
      <c r="C227" s="621"/>
      <c r="D227" s="621"/>
      <c r="E227" s="621"/>
      <c r="F227" s="621"/>
      <c r="G227" s="621"/>
      <c r="H227" s="621"/>
      <c r="I227" s="621"/>
      <c r="J227" s="621"/>
      <c r="K227" s="621"/>
      <c r="L227" s="621"/>
      <c r="M227" s="621"/>
      <c r="N227" s="621"/>
      <c r="O227" s="622"/>
      <c r="P227" s="618" t="s">
        <v>40</v>
      </c>
      <c r="Q227" s="619"/>
      <c r="R227" s="619"/>
      <c r="S227" s="619"/>
      <c r="T227" s="619"/>
      <c r="U227" s="619"/>
      <c r="V227" s="62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621"/>
      <c r="B228" s="621"/>
      <c r="C228" s="621"/>
      <c r="D228" s="621"/>
      <c r="E228" s="621"/>
      <c r="F228" s="621"/>
      <c r="G228" s="621"/>
      <c r="H228" s="621"/>
      <c r="I228" s="621"/>
      <c r="J228" s="621"/>
      <c r="K228" s="621"/>
      <c r="L228" s="621"/>
      <c r="M228" s="621"/>
      <c r="N228" s="621"/>
      <c r="O228" s="622"/>
      <c r="P228" s="618" t="s">
        <v>40</v>
      </c>
      <c r="Q228" s="619"/>
      <c r="R228" s="619"/>
      <c r="S228" s="619"/>
      <c r="T228" s="619"/>
      <c r="U228" s="619"/>
      <c r="V228" s="62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612" t="s">
        <v>380</v>
      </c>
      <c r="B229" s="612"/>
      <c r="C229" s="612"/>
      <c r="D229" s="612"/>
      <c r="E229" s="612"/>
      <c r="F229" s="612"/>
      <c r="G229" s="612"/>
      <c r="H229" s="612"/>
      <c r="I229" s="612"/>
      <c r="J229" s="612"/>
      <c r="K229" s="612"/>
      <c r="L229" s="612"/>
      <c r="M229" s="612"/>
      <c r="N229" s="612"/>
      <c r="O229" s="612"/>
      <c r="P229" s="612"/>
      <c r="Q229" s="612"/>
      <c r="R229" s="612"/>
      <c r="S229" s="612"/>
      <c r="T229" s="612"/>
      <c r="U229" s="612"/>
      <c r="V229" s="612"/>
      <c r="W229" s="612"/>
      <c r="X229" s="612"/>
      <c r="Y229" s="612"/>
      <c r="Z229" s="612"/>
      <c r="AA229" s="66"/>
      <c r="AB229" s="66"/>
      <c r="AC229" s="80"/>
    </row>
    <row r="230" spans="1:68" ht="27" customHeight="1" x14ac:dyDescent="0.25">
      <c r="A230" s="63" t="s">
        <v>381</v>
      </c>
      <c r="B230" s="63" t="s">
        <v>382</v>
      </c>
      <c r="C230" s="36">
        <v>4301041004</v>
      </c>
      <c r="D230" s="613">
        <v>4680115886704</v>
      </c>
      <c r="E230" s="613"/>
      <c r="F230" s="62">
        <v>5.5E-2</v>
      </c>
      <c r="G230" s="37">
        <v>18</v>
      </c>
      <c r="H230" s="62">
        <v>0.99</v>
      </c>
      <c r="I230" s="62">
        <v>1.18</v>
      </c>
      <c r="J230" s="37">
        <v>216</v>
      </c>
      <c r="K230" s="37" t="s">
        <v>282</v>
      </c>
      <c r="L230" s="37" t="s">
        <v>45</v>
      </c>
      <c r="M230" s="38" t="s">
        <v>281</v>
      </c>
      <c r="N230" s="38"/>
      <c r="O230" s="37">
        <v>90</v>
      </c>
      <c r="P230" s="72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30" s="615"/>
      <c r="R230" s="615"/>
      <c r="S230" s="615"/>
      <c r="T230" s="616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45</v>
      </c>
      <c r="AB230" s="69" t="s">
        <v>45</v>
      </c>
      <c r="AC230" s="296" t="s">
        <v>383</v>
      </c>
      <c r="AG230" s="78"/>
      <c r="AJ230" s="84" t="s">
        <v>45</v>
      </c>
      <c r="AK230" s="84">
        <v>0</v>
      </c>
      <c r="BB230" s="297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4301041008</v>
      </c>
      <c r="D231" s="613">
        <v>4680115886681</v>
      </c>
      <c r="E231" s="613"/>
      <c r="F231" s="62">
        <v>0.12</v>
      </c>
      <c r="G231" s="37">
        <v>15</v>
      </c>
      <c r="H231" s="62">
        <v>1.8</v>
      </c>
      <c r="I231" s="62">
        <v>1.9750000000000001</v>
      </c>
      <c r="J231" s="37">
        <v>216</v>
      </c>
      <c r="K231" s="37" t="s">
        <v>282</v>
      </c>
      <c r="L231" s="37" t="s">
        <v>45</v>
      </c>
      <c r="M231" s="38" t="s">
        <v>281</v>
      </c>
      <c r="N231" s="38"/>
      <c r="O231" s="37">
        <v>90</v>
      </c>
      <c r="P231" s="7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1" s="615"/>
      <c r="R231" s="615"/>
      <c r="S231" s="615"/>
      <c r="T231" s="616"/>
      <c r="U231" s="39" t="s">
        <v>45</v>
      </c>
      <c r="V231" s="39" t="s">
        <v>45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45</v>
      </c>
      <c r="AB231" s="69" t="s">
        <v>45</v>
      </c>
      <c r="AC231" s="298" t="s">
        <v>383</v>
      </c>
      <c r="AG231" s="78"/>
      <c r="AJ231" s="84" t="s">
        <v>45</v>
      </c>
      <c r="AK231" s="84">
        <v>0</v>
      </c>
      <c r="BB231" s="299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4301041007</v>
      </c>
      <c r="D232" s="613">
        <v>4680115886735</v>
      </c>
      <c r="E232" s="613"/>
      <c r="F232" s="62">
        <v>0.05</v>
      </c>
      <c r="G232" s="37">
        <v>18</v>
      </c>
      <c r="H232" s="62">
        <v>0.9</v>
      </c>
      <c r="I232" s="62">
        <v>1.0900000000000001</v>
      </c>
      <c r="J232" s="37">
        <v>216</v>
      </c>
      <c r="K232" s="37" t="s">
        <v>282</v>
      </c>
      <c r="L232" s="37" t="s">
        <v>45</v>
      </c>
      <c r="M232" s="38" t="s">
        <v>281</v>
      </c>
      <c r="N232" s="38"/>
      <c r="O232" s="37">
        <v>90</v>
      </c>
      <c r="P232" s="72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2" s="615"/>
      <c r="R232" s="615"/>
      <c r="S232" s="615"/>
      <c r="T232" s="616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45</v>
      </c>
      <c r="AB232" s="69" t="s">
        <v>45</v>
      </c>
      <c r="AC232" s="300" t="s">
        <v>383</v>
      </c>
      <c r="AG232" s="78"/>
      <c r="AJ232" s="84" t="s">
        <v>45</v>
      </c>
      <c r="AK232" s="84">
        <v>0</v>
      </c>
      <c r="BB232" s="301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388</v>
      </c>
      <c r="B233" s="63" t="s">
        <v>389</v>
      </c>
      <c r="C233" s="36">
        <v>4301041006</v>
      </c>
      <c r="D233" s="613">
        <v>4680115886728</v>
      </c>
      <c r="E233" s="613"/>
      <c r="F233" s="62">
        <v>5.5E-2</v>
      </c>
      <c r="G233" s="37">
        <v>18</v>
      </c>
      <c r="H233" s="62">
        <v>0.99</v>
      </c>
      <c r="I233" s="62">
        <v>1.18</v>
      </c>
      <c r="J233" s="37">
        <v>216</v>
      </c>
      <c r="K233" s="37" t="s">
        <v>282</v>
      </c>
      <c r="L233" s="37" t="s">
        <v>45</v>
      </c>
      <c r="M233" s="38" t="s">
        <v>281</v>
      </c>
      <c r="N233" s="38"/>
      <c r="O233" s="37">
        <v>90</v>
      </c>
      <c r="P233" s="72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33" s="615"/>
      <c r="R233" s="615"/>
      <c r="S233" s="615"/>
      <c r="T233" s="616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45</v>
      </c>
      <c r="AB233" s="69" t="s">
        <v>45</v>
      </c>
      <c r="AC233" s="302" t="s">
        <v>383</v>
      </c>
      <c r="AG233" s="78"/>
      <c r="AJ233" s="84" t="s">
        <v>45</v>
      </c>
      <c r="AK233" s="84">
        <v>0</v>
      </c>
      <c r="BB233" s="303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390</v>
      </c>
      <c r="B234" s="63" t="s">
        <v>391</v>
      </c>
      <c r="C234" s="36">
        <v>4301041005</v>
      </c>
      <c r="D234" s="613">
        <v>4680115886711</v>
      </c>
      <c r="E234" s="613"/>
      <c r="F234" s="62">
        <v>5.5E-2</v>
      </c>
      <c r="G234" s="37">
        <v>18</v>
      </c>
      <c r="H234" s="62">
        <v>0.99</v>
      </c>
      <c r="I234" s="62">
        <v>1.18</v>
      </c>
      <c r="J234" s="37">
        <v>216</v>
      </c>
      <c r="K234" s="37" t="s">
        <v>282</v>
      </c>
      <c r="L234" s="37" t="s">
        <v>45</v>
      </c>
      <c r="M234" s="38" t="s">
        <v>281</v>
      </c>
      <c r="N234" s="38"/>
      <c r="O234" s="37">
        <v>90</v>
      </c>
      <c r="P234" s="73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34" s="615"/>
      <c r="R234" s="615"/>
      <c r="S234" s="615"/>
      <c r="T234" s="616"/>
      <c r="U234" s="39" t="s">
        <v>45</v>
      </c>
      <c r="V234" s="39" t="s">
        <v>45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45</v>
      </c>
      <c r="AB234" s="69" t="s">
        <v>45</v>
      </c>
      <c r="AC234" s="304" t="s">
        <v>383</v>
      </c>
      <c r="AG234" s="78"/>
      <c r="AJ234" s="84" t="s">
        <v>45</v>
      </c>
      <c r="AK234" s="84">
        <v>0</v>
      </c>
      <c r="BB234" s="305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1"/>
      <c r="B235" s="621"/>
      <c r="C235" s="621"/>
      <c r="D235" s="621"/>
      <c r="E235" s="621"/>
      <c r="F235" s="621"/>
      <c r="G235" s="621"/>
      <c r="H235" s="621"/>
      <c r="I235" s="621"/>
      <c r="J235" s="621"/>
      <c r="K235" s="621"/>
      <c r="L235" s="621"/>
      <c r="M235" s="621"/>
      <c r="N235" s="621"/>
      <c r="O235" s="622"/>
      <c r="P235" s="618" t="s">
        <v>40</v>
      </c>
      <c r="Q235" s="619"/>
      <c r="R235" s="619"/>
      <c r="S235" s="619"/>
      <c r="T235" s="619"/>
      <c r="U235" s="619"/>
      <c r="V235" s="620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1"/>
      <c r="B236" s="621"/>
      <c r="C236" s="621"/>
      <c r="D236" s="621"/>
      <c r="E236" s="621"/>
      <c r="F236" s="621"/>
      <c r="G236" s="621"/>
      <c r="H236" s="621"/>
      <c r="I236" s="621"/>
      <c r="J236" s="621"/>
      <c r="K236" s="621"/>
      <c r="L236" s="621"/>
      <c r="M236" s="621"/>
      <c r="N236" s="621"/>
      <c r="O236" s="622"/>
      <c r="P236" s="618" t="s">
        <v>40</v>
      </c>
      <c r="Q236" s="619"/>
      <c r="R236" s="619"/>
      <c r="S236" s="619"/>
      <c r="T236" s="619"/>
      <c r="U236" s="619"/>
      <c r="V236" s="620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6.5" customHeight="1" x14ac:dyDescent="0.25">
      <c r="A237" s="611" t="s">
        <v>392</v>
      </c>
      <c r="B237" s="611"/>
      <c r="C237" s="611"/>
      <c r="D237" s="611"/>
      <c r="E237" s="611"/>
      <c r="F237" s="611"/>
      <c r="G237" s="611"/>
      <c r="H237" s="611"/>
      <c r="I237" s="611"/>
      <c r="J237" s="611"/>
      <c r="K237" s="611"/>
      <c r="L237" s="611"/>
      <c r="M237" s="611"/>
      <c r="N237" s="611"/>
      <c r="O237" s="611"/>
      <c r="P237" s="611"/>
      <c r="Q237" s="611"/>
      <c r="R237" s="611"/>
      <c r="S237" s="611"/>
      <c r="T237" s="611"/>
      <c r="U237" s="611"/>
      <c r="V237" s="611"/>
      <c r="W237" s="611"/>
      <c r="X237" s="611"/>
      <c r="Y237" s="611"/>
      <c r="Z237" s="611"/>
      <c r="AA237" s="65"/>
      <c r="AB237" s="65"/>
      <c r="AC237" s="79"/>
    </row>
    <row r="238" spans="1:68" ht="14.25" customHeight="1" x14ac:dyDescent="0.25">
      <c r="A238" s="612" t="s">
        <v>112</v>
      </c>
      <c r="B238" s="612"/>
      <c r="C238" s="612"/>
      <c r="D238" s="612"/>
      <c r="E238" s="612"/>
      <c r="F238" s="612"/>
      <c r="G238" s="612"/>
      <c r="H238" s="612"/>
      <c r="I238" s="612"/>
      <c r="J238" s="612"/>
      <c r="K238" s="612"/>
      <c r="L238" s="612"/>
      <c r="M238" s="612"/>
      <c r="N238" s="612"/>
      <c r="O238" s="612"/>
      <c r="P238" s="612"/>
      <c r="Q238" s="612"/>
      <c r="R238" s="612"/>
      <c r="S238" s="612"/>
      <c r="T238" s="612"/>
      <c r="U238" s="612"/>
      <c r="V238" s="612"/>
      <c r="W238" s="612"/>
      <c r="X238" s="612"/>
      <c r="Y238" s="612"/>
      <c r="Z238" s="612"/>
      <c r="AA238" s="66"/>
      <c r="AB238" s="66"/>
      <c r="AC238" s="80"/>
    </row>
    <row r="239" spans="1:68" ht="27" customHeight="1" x14ac:dyDescent="0.25">
      <c r="A239" s="63" t="s">
        <v>393</v>
      </c>
      <c r="B239" s="63" t="s">
        <v>394</v>
      </c>
      <c r="C239" s="36">
        <v>4301011855</v>
      </c>
      <c r="D239" s="613">
        <v>4680115885837</v>
      </c>
      <c r="E239" s="613"/>
      <c r="F239" s="62">
        <v>1.35</v>
      </c>
      <c r="G239" s="37">
        <v>8</v>
      </c>
      <c r="H239" s="62">
        <v>10.8</v>
      </c>
      <c r="I239" s="62">
        <v>11.21</v>
      </c>
      <c r="J239" s="37">
        <v>64</v>
      </c>
      <c r="K239" s="37" t="s">
        <v>117</v>
      </c>
      <c r="L239" s="37" t="s">
        <v>45</v>
      </c>
      <c r="M239" s="38" t="s">
        <v>116</v>
      </c>
      <c r="N239" s="38"/>
      <c r="O239" s="37">
        <v>55</v>
      </c>
      <c r="P239" s="7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39" s="615"/>
      <c r="R239" s="615"/>
      <c r="S239" s="615"/>
      <c r="T239" s="616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IFERROR(IF(Y239=0,"",ROUNDUP(Y239/H239,0)*0.01898),"")</f>
        <v/>
      </c>
      <c r="AA239" s="68" t="s">
        <v>45</v>
      </c>
      <c r="AB239" s="69" t="s">
        <v>45</v>
      </c>
      <c r="AC239" s="306" t="s">
        <v>395</v>
      </c>
      <c r="AG239" s="78"/>
      <c r="AJ239" s="84" t="s">
        <v>45</v>
      </c>
      <c r="AK239" s="84">
        <v>0</v>
      </c>
      <c r="BB239" s="30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37.5" customHeight="1" x14ac:dyDescent="0.25">
      <c r="A240" s="63" t="s">
        <v>396</v>
      </c>
      <c r="B240" s="63" t="s">
        <v>397</v>
      </c>
      <c r="C240" s="36">
        <v>4301011853</v>
      </c>
      <c r="D240" s="613">
        <v>4680115885851</v>
      </c>
      <c r="E240" s="613"/>
      <c r="F240" s="62">
        <v>1.35</v>
      </c>
      <c r="G240" s="37">
        <v>8</v>
      </c>
      <c r="H240" s="62">
        <v>10.8</v>
      </c>
      <c r="I240" s="62">
        <v>11.21</v>
      </c>
      <c r="J240" s="37">
        <v>64</v>
      </c>
      <c r="K240" s="37" t="s">
        <v>117</v>
      </c>
      <c r="L240" s="37" t="s">
        <v>45</v>
      </c>
      <c r="M240" s="38" t="s">
        <v>116</v>
      </c>
      <c r="N240" s="38"/>
      <c r="O240" s="37">
        <v>55</v>
      </c>
      <c r="P240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40" s="615"/>
      <c r="R240" s="615"/>
      <c r="S240" s="615"/>
      <c r="T240" s="616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IFERROR(IF(Y240=0,"",ROUNDUP(Y240/H240,0)*0.01898),"")</f>
        <v/>
      </c>
      <c r="AA240" s="68" t="s">
        <v>45</v>
      </c>
      <c r="AB240" s="69" t="s">
        <v>45</v>
      </c>
      <c r="AC240" s="308" t="s">
        <v>398</v>
      </c>
      <c r="AG240" s="78"/>
      <c r="AJ240" s="84" t="s">
        <v>45</v>
      </c>
      <c r="AK240" s="84">
        <v>0</v>
      </c>
      <c r="BB240" s="30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399</v>
      </c>
      <c r="B241" s="63" t="s">
        <v>400</v>
      </c>
      <c r="C241" s="36">
        <v>4301011850</v>
      </c>
      <c r="D241" s="613">
        <v>4680115885806</v>
      </c>
      <c r="E241" s="613"/>
      <c r="F241" s="62">
        <v>1.35</v>
      </c>
      <c r="G241" s="37">
        <v>8</v>
      </c>
      <c r="H241" s="62">
        <v>10.8</v>
      </c>
      <c r="I241" s="62">
        <v>11.21</v>
      </c>
      <c r="J241" s="37">
        <v>64</v>
      </c>
      <c r="K241" s="37" t="s">
        <v>117</v>
      </c>
      <c r="L241" s="37" t="s">
        <v>45</v>
      </c>
      <c r="M241" s="38" t="s">
        <v>116</v>
      </c>
      <c r="N241" s="38"/>
      <c r="O241" s="37">
        <v>55</v>
      </c>
      <c r="P241" s="7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1" s="615"/>
      <c r="R241" s="615"/>
      <c r="S241" s="615"/>
      <c r="T241" s="616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IFERROR(IF(Y241=0,"",ROUNDUP(Y241/H241,0)*0.01898),"")</f>
        <v/>
      </c>
      <c r="AA241" s="68" t="s">
        <v>45</v>
      </c>
      <c r="AB241" s="69" t="s">
        <v>45</v>
      </c>
      <c r="AC241" s="310" t="s">
        <v>401</v>
      </c>
      <c r="AG241" s="78"/>
      <c r="AJ241" s="84" t="s">
        <v>45</v>
      </c>
      <c r="AK241" s="84">
        <v>0</v>
      </c>
      <c r="BB241" s="31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402</v>
      </c>
      <c r="B242" s="63" t="s">
        <v>403</v>
      </c>
      <c r="C242" s="36">
        <v>4301011852</v>
      </c>
      <c r="D242" s="613">
        <v>4680115885844</v>
      </c>
      <c r="E242" s="613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120</v>
      </c>
      <c r="L242" s="37" t="s">
        <v>45</v>
      </c>
      <c r="M242" s="38" t="s">
        <v>116</v>
      </c>
      <c r="N242" s="38"/>
      <c r="O242" s="37">
        <v>55</v>
      </c>
      <c r="P242" s="73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2" s="615"/>
      <c r="R242" s="615"/>
      <c r="S242" s="615"/>
      <c r="T242" s="61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2" t="s">
        <v>404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37.5" customHeight="1" x14ac:dyDescent="0.25">
      <c r="A243" s="63" t="s">
        <v>405</v>
      </c>
      <c r="B243" s="63" t="s">
        <v>406</v>
      </c>
      <c r="C243" s="36">
        <v>4301011851</v>
      </c>
      <c r="D243" s="613">
        <v>4680115885820</v>
      </c>
      <c r="E243" s="613"/>
      <c r="F243" s="62">
        <v>0.4</v>
      </c>
      <c r="G243" s="37">
        <v>10</v>
      </c>
      <c r="H243" s="62">
        <v>4</v>
      </c>
      <c r="I243" s="62">
        <v>4.1900000000000004</v>
      </c>
      <c r="J243" s="37">
        <v>132</v>
      </c>
      <c r="K243" s="37" t="s">
        <v>120</v>
      </c>
      <c r="L243" s="37" t="s">
        <v>45</v>
      </c>
      <c r="M243" s="38" t="s">
        <v>116</v>
      </c>
      <c r="N243" s="38"/>
      <c r="O243" s="37">
        <v>55</v>
      </c>
      <c r="P243" s="73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43" s="615"/>
      <c r="R243" s="615"/>
      <c r="S243" s="615"/>
      <c r="T243" s="616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45</v>
      </c>
      <c r="AB243" s="69" t="s">
        <v>45</v>
      </c>
      <c r="AC243" s="314" t="s">
        <v>407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21"/>
      <c r="B244" s="621"/>
      <c r="C244" s="621"/>
      <c r="D244" s="621"/>
      <c r="E244" s="621"/>
      <c r="F244" s="621"/>
      <c r="G244" s="621"/>
      <c r="H244" s="621"/>
      <c r="I244" s="621"/>
      <c r="J244" s="621"/>
      <c r="K244" s="621"/>
      <c r="L244" s="621"/>
      <c r="M244" s="621"/>
      <c r="N244" s="621"/>
      <c r="O244" s="622"/>
      <c r="P244" s="618" t="s">
        <v>40</v>
      </c>
      <c r="Q244" s="619"/>
      <c r="R244" s="619"/>
      <c r="S244" s="619"/>
      <c r="T244" s="619"/>
      <c r="U244" s="619"/>
      <c r="V244" s="620"/>
      <c r="W244" s="42" t="s">
        <v>39</v>
      </c>
      <c r="X244" s="43">
        <f>IFERROR(X239/H239,"0")+IFERROR(X240/H240,"0")+IFERROR(X241/H241,"0")+IFERROR(X242/H242,"0")+IFERROR(X243/H243,"0")</f>
        <v>0</v>
      </c>
      <c r="Y244" s="43">
        <f>IFERROR(Y239/H239,"0")+IFERROR(Y240/H240,"0")+IFERROR(Y241/H241,"0")+IFERROR(Y242/H242,"0")+IFERROR(Y243/H243,"0")</f>
        <v>0</v>
      </c>
      <c r="Z244" s="43">
        <f>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621"/>
      <c r="B245" s="621"/>
      <c r="C245" s="621"/>
      <c r="D245" s="621"/>
      <c r="E245" s="621"/>
      <c r="F245" s="621"/>
      <c r="G245" s="621"/>
      <c r="H245" s="621"/>
      <c r="I245" s="621"/>
      <c r="J245" s="621"/>
      <c r="K245" s="621"/>
      <c r="L245" s="621"/>
      <c r="M245" s="621"/>
      <c r="N245" s="621"/>
      <c r="O245" s="622"/>
      <c r="P245" s="618" t="s">
        <v>40</v>
      </c>
      <c r="Q245" s="619"/>
      <c r="R245" s="619"/>
      <c r="S245" s="619"/>
      <c r="T245" s="619"/>
      <c r="U245" s="619"/>
      <c r="V245" s="620"/>
      <c r="W245" s="42" t="s">
        <v>0</v>
      </c>
      <c r="X245" s="43">
        <f>IFERROR(SUM(X239:X243),"0")</f>
        <v>0</v>
      </c>
      <c r="Y245" s="43">
        <f>IFERROR(SUM(Y239:Y243),"0")</f>
        <v>0</v>
      </c>
      <c r="Z245" s="42"/>
      <c r="AA245" s="67"/>
      <c r="AB245" s="67"/>
      <c r="AC245" s="67"/>
    </row>
    <row r="246" spans="1:68" ht="16.5" customHeight="1" x14ac:dyDescent="0.25">
      <c r="A246" s="611" t="s">
        <v>408</v>
      </c>
      <c r="B246" s="611"/>
      <c r="C246" s="611"/>
      <c r="D246" s="611"/>
      <c r="E246" s="611"/>
      <c r="F246" s="611"/>
      <c r="G246" s="611"/>
      <c r="H246" s="611"/>
      <c r="I246" s="611"/>
      <c r="J246" s="611"/>
      <c r="K246" s="611"/>
      <c r="L246" s="611"/>
      <c r="M246" s="611"/>
      <c r="N246" s="611"/>
      <c r="O246" s="611"/>
      <c r="P246" s="611"/>
      <c r="Q246" s="611"/>
      <c r="R246" s="611"/>
      <c r="S246" s="611"/>
      <c r="T246" s="611"/>
      <c r="U246" s="611"/>
      <c r="V246" s="611"/>
      <c r="W246" s="611"/>
      <c r="X246" s="611"/>
      <c r="Y246" s="611"/>
      <c r="Z246" s="611"/>
      <c r="AA246" s="65"/>
      <c r="AB246" s="65"/>
      <c r="AC246" s="79"/>
    </row>
    <row r="247" spans="1:68" ht="14.25" customHeight="1" x14ac:dyDescent="0.25">
      <c r="A247" s="612" t="s">
        <v>112</v>
      </c>
      <c r="B247" s="612"/>
      <c r="C247" s="612"/>
      <c r="D247" s="612"/>
      <c r="E247" s="612"/>
      <c r="F247" s="612"/>
      <c r="G247" s="612"/>
      <c r="H247" s="612"/>
      <c r="I247" s="612"/>
      <c r="J247" s="612"/>
      <c r="K247" s="612"/>
      <c r="L247" s="612"/>
      <c r="M247" s="612"/>
      <c r="N247" s="612"/>
      <c r="O247" s="612"/>
      <c r="P247" s="612"/>
      <c r="Q247" s="612"/>
      <c r="R247" s="612"/>
      <c r="S247" s="612"/>
      <c r="T247" s="612"/>
      <c r="U247" s="612"/>
      <c r="V247" s="612"/>
      <c r="W247" s="612"/>
      <c r="X247" s="612"/>
      <c r="Y247" s="612"/>
      <c r="Z247" s="612"/>
      <c r="AA247" s="66"/>
      <c r="AB247" s="66"/>
      <c r="AC247" s="80"/>
    </row>
    <row r="248" spans="1:68" ht="27" customHeight="1" x14ac:dyDescent="0.25">
      <c r="A248" s="63" t="s">
        <v>409</v>
      </c>
      <c r="B248" s="63" t="s">
        <v>410</v>
      </c>
      <c r="C248" s="36">
        <v>4301011223</v>
      </c>
      <c r="D248" s="613">
        <v>4607091383423</v>
      </c>
      <c r="E248" s="613"/>
      <c r="F248" s="62">
        <v>1.35</v>
      </c>
      <c r="G248" s="37">
        <v>8</v>
      </c>
      <c r="H248" s="62">
        <v>10.8</v>
      </c>
      <c r="I248" s="62">
        <v>11.305999999999999</v>
      </c>
      <c r="J248" s="37">
        <v>64</v>
      </c>
      <c r="K248" s="37" t="s">
        <v>117</v>
      </c>
      <c r="L248" s="37" t="s">
        <v>45</v>
      </c>
      <c r="M248" s="38" t="s">
        <v>91</v>
      </c>
      <c r="N248" s="38"/>
      <c r="O248" s="37">
        <v>35</v>
      </c>
      <c r="P248" s="7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48" s="615"/>
      <c r="R248" s="615"/>
      <c r="S248" s="615"/>
      <c r="T248" s="61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IFERROR(IF(Y248=0,"",ROUNDUP(Y248/H248,0)*0.01898),"")</f>
        <v/>
      </c>
      <c r="AA248" s="68" t="s">
        <v>45</v>
      </c>
      <c r="AB248" s="69" t="s">
        <v>45</v>
      </c>
      <c r="AC248" s="316" t="s">
        <v>115</v>
      </c>
      <c r="AG248" s="78"/>
      <c r="AJ248" s="84" t="s">
        <v>45</v>
      </c>
      <c r="AK248" s="84">
        <v>0</v>
      </c>
      <c r="BB248" s="317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37.5" customHeight="1" x14ac:dyDescent="0.25">
      <c r="A249" s="63" t="s">
        <v>411</v>
      </c>
      <c r="B249" s="63" t="s">
        <v>412</v>
      </c>
      <c r="C249" s="36">
        <v>4301012199</v>
      </c>
      <c r="D249" s="613">
        <v>4680115886957</v>
      </c>
      <c r="E249" s="613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117</v>
      </c>
      <c r="L249" s="37" t="s">
        <v>45</v>
      </c>
      <c r="M249" s="38" t="s">
        <v>91</v>
      </c>
      <c r="N249" s="38"/>
      <c r="O249" s="37">
        <v>30</v>
      </c>
      <c r="P249" s="73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49" s="615"/>
      <c r="R249" s="615"/>
      <c r="S249" s="615"/>
      <c r="T249" s="61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45</v>
      </c>
      <c r="AB249" s="69" t="s">
        <v>45</v>
      </c>
      <c r="AC249" s="318" t="s">
        <v>413</v>
      </c>
      <c r="AG249" s="78"/>
      <c r="AJ249" s="84" t="s">
        <v>45</v>
      </c>
      <c r="AK249" s="84">
        <v>0</v>
      </c>
      <c r="BB249" s="319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414</v>
      </c>
      <c r="B250" s="63" t="s">
        <v>415</v>
      </c>
      <c r="C250" s="36">
        <v>4301012098</v>
      </c>
      <c r="D250" s="613">
        <v>4680115885660</v>
      </c>
      <c r="E250" s="613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117</v>
      </c>
      <c r="L250" s="37" t="s">
        <v>45</v>
      </c>
      <c r="M250" s="38" t="s">
        <v>91</v>
      </c>
      <c r="N250" s="38"/>
      <c r="O250" s="37">
        <v>35</v>
      </c>
      <c r="P250" s="7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50" s="615"/>
      <c r="R250" s="615"/>
      <c r="S250" s="615"/>
      <c r="T250" s="61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45</v>
      </c>
      <c r="AB250" s="69" t="s">
        <v>45</v>
      </c>
      <c r="AC250" s="320" t="s">
        <v>359</v>
      </c>
      <c r="AG250" s="78"/>
      <c r="AJ250" s="84" t="s">
        <v>45</v>
      </c>
      <c r="AK250" s="84">
        <v>0</v>
      </c>
      <c r="BB250" s="32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37.5" customHeight="1" x14ac:dyDescent="0.25">
      <c r="A251" s="63" t="s">
        <v>416</v>
      </c>
      <c r="B251" s="63" t="s">
        <v>417</v>
      </c>
      <c r="C251" s="36">
        <v>4301012176</v>
      </c>
      <c r="D251" s="613">
        <v>4680115886773</v>
      </c>
      <c r="E251" s="613"/>
      <c r="F251" s="62">
        <v>0.9</v>
      </c>
      <c r="G251" s="37">
        <v>10</v>
      </c>
      <c r="H251" s="62">
        <v>9</v>
      </c>
      <c r="I251" s="62">
        <v>9.41</v>
      </c>
      <c r="J251" s="37">
        <v>64</v>
      </c>
      <c r="K251" s="37" t="s">
        <v>117</v>
      </c>
      <c r="L251" s="37" t="s">
        <v>45</v>
      </c>
      <c r="M251" s="38" t="s">
        <v>116</v>
      </c>
      <c r="N251" s="38"/>
      <c r="O251" s="37">
        <v>31</v>
      </c>
      <c r="P251" s="73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1" s="615"/>
      <c r="R251" s="615"/>
      <c r="S251" s="615"/>
      <c r="T251" s="616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IFERROR(IF(Y251=0,"",ROUNDUP(Y251/H251,0)*0.01898),"")</f>
        <v/>
      </c>
      <c r="AA251" s="68" t="s">
        <v>45</v>
      </c>
      <c r="AB251" s="69" t="s">
        <v>45</v>
      </c>
      <c r="AC251" s="322" t="s">
        <v>418</v>
      </c>
      <c r="AG251" s="78"/>
      <c r="AJ251" s="84" t="s">
        <v>45</v>
      </c>
      <c r="AK251" s="84">
        <v>0</v>
      </c>
      <c r="BB251" s="323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21"/>
      <c r="B252" s="621"/>
      <c r="C252" s="621"/>
      <c r="D252" s="621"/>
      <c r="E252" s="621"/>
      <c r="F252" s="621"/>
      <c r="G252" s="621"/>
      <c r="H252" s="621"/>
      <c r="I252" s="621"/>
      <c r="J252" s="621"/>
      <c r="K252" s="621"/>
      <c r="L252" s="621"/>
      <c r="M252" s="621"/>
      <c r="N252" s="621"/>
      <c r="O252" s="622"/>
      <c r="P252" s="618" t="s">
        <v>40</v>
      </c>
      <c r="Q252" s="619"/>
      <c r="R252" s="619"/>
      <c r="S252" s="619"/>
      <c r="T252" s="619"/>
      <c r="U252" s="619"/>
      <c r="V252" s="620"/>
      <c r="W252" s="42" t="s">
        <v>39</v>
      </c>
      <c r="X252" s="43">
        <f>IFERROR(X248/H248,"0")+IFERROR(X249/H249,"0")+IFERROR(X250/H250,"0")+IFERROR(X251/H251,"0")</f>
        <v>0</v>
      </c>
      <c r="Y252" s="43">
        <f>IFERROR(Y248/H248,"0")+IFERROR(Y249/H249,"0")+IFERROR(Y250/H250,"0")+IFERROR(Y251/H251,"0")</f>
        <v>0</v>
      </c>
      <c r="Z252" s="43">
        <f>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21"/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2"/>
      <c r="P253" s="618" t="s">
        <v>40</v>
      </c>
      <c r="Q253" s="619"/>
      <c r="R253" s="619"/>
      <c r="S253" s="619"/>
      <c r="T253" s="619"/>
      <c r="U253" s="619"/>
      <c r="V253" s="620"/>
      <c r="W253" s="42" t="s">
        <v>0</v>
      </c>
      <c r="X253" s="43">
        <f>IFERROR(SUM(X248:X251),"0")</f>
        <v>0</v>
      </c>
      <c r="Y253" s="43">
        <f>IFERROR(SUM(Y248:Y251),"0")</f>
        <v>0</v>
      </c>
      <c r="Z253" s="42"/>
      <c r="AA253" s="67"/>
      <c r="AB253" s="67"/>
      <c r="AC253" s="67"/>
    </row>
    <row r="254" spans="1:68" ht="16.5" customHeight="1" x14ac:dyDescent="0.25">
      <c r="A254" s="611" t="s">
        <v>419</v>
      </c>
      <c r="B254" s="611"/>
      <c r="C254" s="611"/>
      <c r="D254" s="611"/>
      <c r="E254" s="611"/>
      <c r="F254" s="611"/>
      <c r="G254" s="611"/>
      <c r="H254" s="611"/>
      <c r="I254" s="611"/>
      <c r="J254" s="611"/>
      <c r="K254" s="611"/>
      <c r="L254" s="611"/>
      <c r="M254" s="611"/>
      <c r="N254" s="611"/>
      <c r="O254" s="611"/>
      <c r="P254" s="611"/>
      <c r="Q254" s="611"/>
      <c r="R254" s="611"/>
      <c r="S254" s="611"/>
      <c r="T254" s="611"/>
      <c r="U254" s="611"/>
      <c r="V254" s="611"/>
      <c r="W254" s="611"/>
      <c r="X254" s="611"/>
      <c r="Y254" s="611"/>
      <c r="Z254" s="611"/>
      <c r="AA254" s="65"/>
      <c r="AB254" s="65"/>
      <c r="AC254" s="79"/>
    </row>
    <row r="255" spans="1:68" ht="14.25" customHeight="1" x14ac:dyDescent="0.25">
      <c r="A255" s="612" t="s">
        <v>87</v>
      </c>
      <c r="B255" s="612"/>
      <c r="C255" s="612"/>
      <c r="D255" s="612"/>
      <c r="E255" s="612"/>
      <c r="F255" s="612"/>
      <c r="G255" s="612"/>
      <c r="H255" s="612"/>
      <c r="I255" s="612"/>
      <c r="J255" s="612"/>
      <c r="K255" s="612"/>
      <c r="L255" s="612"/>
      <c r="M255" s="612"/>
      <c r="N255" s="612"/>
      <c r="O255" s="612"/>
      <c r="P255" s="612"/>
      <c r="Q255" s="612"/>
      <c r="R255" s="612"/>
      <c r="S255" s="612"/>
      <c r="T255" s="612"/>
      <c r="U255" s="612"/>
      <c r="V255" s="612"/>
      <c r="W255" s="612"/>
      <c r="X255" s="612"/>
      <c r="Y255" s="612"/>
      <c r="Z255" s="612"/>
      <c r="AA255" s="66"/>
      <c r="AB255" s="66"/>
      <c r="AC255" s="80"/>
    </row>
    <row r="256" spans="1:68" ht="27" customHeight="1" x14ac:dyDescent="0.25">
      <c r="A256" s="63" t="s">
        <v>420</v>
      </c>
      <c r="B256" s="63" t="s">
        <v>421</v>
      </c>
      <c r="C256" s="36">
        <v>4301051893</v>
      </c>
      <c r="D256" s="613">
        <v>4680115886186</v>
      </c>
      <c r="E256" s="613"/>
      <c r="F256" s="62">
        <v>0.3</v>
      </c>
      <c r="G256" s="37">
        <v>6</v>
      </c>
      <c r="H256" s="62">
        <v>1.8</v>
      </c>
      <c r="I256" s="62">
        <v>1.98</v>
      </c>
      <c r="J256" s="37">
        <v>182</v>
      </c>
      <c r="K256" s="37" t="s">
        <v>82</v>
      </c>
      <c r="L256" s="37" t="s">
        <v>45</v>
      </c>
      <c r="M256" s="38" t="s">
        <v>91</v>
      </c>
      <c r="N256" s="38"/>
      <c r="O256" s="37">
        <v>45</v>
      </c>
      <c r="P256" s="74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56" s="615"/>
      <c r="R256" s="615"/>
      <c r="S256" s="615"/>
      <c r="T256" s="61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45</v>
      </c>
      <c r="AB256" s="69" t="s">
        <v>45</v>
      </c>
      <c r="AC256" s="324" t="s">
        <v>422</v>
      </c>
      <c r="AG256" s="78"/>
      <c r="AJ256" s="84" t="s">
        <v>45</v>
      </c>
      <c r="AK256" s="84">
        <v>0</v>
      </c>
      <c r="BB256" s="32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423</v>
      </c>
      <c r="B257" s="63" t="s">
        <v>424</v>
      </c>
      <c r="C257" s="36">
        <v>4301051795</v>
      </c>
      <c r="D257" s="613">
        <v>4680115881228</v>
      </c>
      <c r="E257" s="613"/>
      <c r="F257" s="62">
        <v>0.4</v>
      </c>
      <c r="G257" s="37">
        <v>6</v>
      </c>
      <c r="H257" s="62">
        <v>2.4</v>
      </c>
      <c r="I257" s="62">
        <v>2.6520000000000001</v>
      </c>
      <c r="J257" s="37">
        <v>182</v>
      </c>
      <c r="K257" s="37" t="s">
        <v>82</v>
      </c>
      <c r="L257" s="37" t="s">
        <v>45</v>
      </c>
      <c r="M257" s="38" t="s">
        <v>98</v>
      </c>
      <c r="N257" s="38"/>
      <c r="O257" s="37">
        <v>40</v>
      </c>
      <c r="P257" s="7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57" s="615"/>
      <c r="R257" s="615"/>
      <c r="S257" s="615"/>
      <c r="T257" s="61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45</v>
      </c>
      <c r="AB257" s="69" t="s">
        <v>45</v>
      </c>
      <c r="AC257" s="326" t="s">
        <v>425</v>
      </c>
      <c r="AG257" s="78"/>
      <c r="AJ257" s="84" t="s">
        <v>45</v>
      </c>
      <c r="AK257" s="84">
        <v>0</v>
      </c>
      <c r="BB257" s="32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426</v>
      </c>
      <c r="B258" s="63" t="s">
        <v>427</v>
      </c>
      <c r="C258" s="36">
        <v>4301051388</v>
      </c>
      <c r="D258" s="613">
        <v>4680115881211</v>
      </c>
      <c r="E258" s="613"/>
      <c r="F258" s="62">
        <v>0.4</v>
      </c>
      <c r="G258" s="37">
        <v>6</v>
      </c>
      <c r="H258" s="62">
        <v>2.4</v>
      </c>
      <c r="I258" s="62">
        <v>2.58</v>
      </c>
      <c r="J258" s="37">
        <v>182</v>
      </c>
      <c r="K258" s="37" t="s">
        <v>82</v>
      </c>
      <c r="L258" s="37" t="s">
        <v>45</v>
      </c>
      <c r="M258" s="38" t="s">
        <v>91</v>
      </c>
      <c r="N258" s="38"/>
      <c r="O258" s="37">
        <v>45</v>
      </c>
      <c r="P258" s="74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58" s="615"/>
      <c r="R258" s="615"/>
      <c r="S258" s="615"/>
      <c r="T258" s="61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45</v>
      </c>
      <c r="AB258" s="69" t="s">
        <v>45</v>
      </c>
      <c r="AC258" s="328" t="s">
        <v>422</v>
      </c>
      <c r="AG258" s="78"/>
      <c r="AJ258" s="84" t="s">
        <v>45</v>
      </c>
      <c r="AK258" s="84">
        <v>0</v>
      </c>
      <c r="BB258" s="329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1"/>
      <c r="B259" s="621"/>
      <c r="C259" s="621"/>
      <c r="D259" s="621"/>
      <c r="E259" s="621"/>
      <c r="F259" s="621"/>
      <c r="G259" s="621"/>
      <c r="H259" s="621"/>
      <c r="I259" s="621"/>
      <c r="J259" s="621"/>
      <c r="K259" s="621"/>
      <c r="L259" s="621"/>
      <c r="M259" s="621"/>
      <c r="N259" s="621"/>
      <c r="O259" s="622"/>
      <c r="P259" s="618" t="s">
        <v>40</v>
      </c>
      <c r="Q259" s="619"/>
      <c r="R259" s="619"/>
      <c r="S259" s="619"/>
      <c r="T259" s="619"/>
      <c r="U259" s="619"/>
      <c r="V259" s="620"/>
      <c r="W259" s="42" t="s">
        <v>39</v>
      </c>
      <c r="X259" s="43">
        <f>IFERROR(X256/H256,"0")+IFERROR(X257/H257,"0")+IFERROR(X258/H258,"0")</f>
        <v>0</v>
      </c>
      <c r="Y259" s="43">
        <f>IFERROR(Y256/H256,"0")+IFERROR(Y257/H257,"0")+IFERROR(Y258/H258,"0")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1"/>
      <c r="B260" s="621"/>
      <c r="C260" s="621"/>
      <c r="D260" s="621"/>
      <c r="E260" s="621"/>
      <c r="F260" s="621"/>
      <c r="G260" s="621"/>
      <c r="H260" s="621"/>
      <c r="I260" s="621"/>
      <c r="J260" s="621"/>
      <c r="K260" s="621"/>
      <c r="L260" s="621"/>
      <c r="M260" s="621"/>
      <c r="N260" s="621"/>
      <c r="O260" s="622"/>
      <c r="P260" s="618" t="s">
        <v>40</v>
      </c>
      <c r="Q260" s="619"/>
      <c r="R260" s="619"/>
      <c r="S260" s="619"/>
      <c r="T260" s="619"/>
      <c r="U260" s="619"/>
      <c r="V260" s="620"/>
      <c r="W260" s="42" t="s">
        <v>0</v>
      </c>
      <c r="X260" s="43">
        <f>IFERROR(SUM(X256:X258),"0")</f>
        <v>0</v>
      </c>
      <c r="Y260" s="43">
        <f>IFERROR(SUM(Y256:Y258),"0")</f>
        <v>0</v>
      </c>
      <c r="Z260" s="42"/>
      <c r="AA260" s="67"/>
      <c r="AB260" s="67"/>
      <c r="AC260" s="67"/>
    </row>
    <row r="261" spans="1:68" ht="16.5" customHeight="1" x14ac:dyDescent="0.25">
      <c r="A261" s="611" t="s">
        <v>428</v>
      </c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  <c r="P261" s="611"/>
      <c r="Q261" s="611"/>
      <c r="R261" s="611"/>
      <c r="S261" s="611"/>
      <c r="T261" s="611"/>
      <c r="U261" s="611"/>
      <c r="V261" s="611"/>
      <c r="W261" s="611"/>
      <c r="X261" s="611"/>
      <c r="Y261" s="611"/>
      <c r="Z261" s="611"/>
      <c r="AA261" s="65"/>
      <c r="AB261" s="65"/>
      <c r="AC261" s="79"/>
    </row>
    <row r="262" spans="1:68" ht="14.25" customHeight="1" x14ac:dyDescent="0.25">
      <c r="A262" s="612" t="s">
        <v>76</v>
      </c>
      <c r="B262" s="612"/>
      <c r="C262" s="612"/>
      <c r="D262" s="612"/>
      <c r="E262" s="612"/>
      <c r="F262" s="612"/>
      <c r="G262" s="612"/>
      <c r="H262" s="612"/>
      <c r="I262" s="612"/>
      <c r="J262" s="612"/>
      <c r="K262" s="612"/>
      <c r="L262" s="612"/>
      <c r="M262" s="612"/>
      <c r="N262" s="612"/>
      <c r="O262" s="612"/>
      <c r="P262" s="612"/>
      <c r="Q262" s="612"/>
      <c r="R262" s="612"/>
      <c r="S262" s="612"/>
      <c r="T262" s="612"/>
      <c r="U262" s="612"/>
      <c r="V262" s="612"/>
      <c r="W262" s="612"/>
      <c r="X262" s="612"/>
      <c r="Y262" s="612"/>
      <c r="Z262" s="612"/>
      <c r="AA262" s="66"/>
      <c r="AB262" s="66"/>
      <c r="AC262" s="80"/>
    </row>
    <row r="263" spans="1:68" ht="27" customHeight="1" x14ac:dyDescent="0.25">
      <c r="A263" s="63" t="s">
        <v>429</v>
      </c>
      <c r="B263" s="63" t="s">
        <v>430</v>
      </c>
      <c r="C263" s="36">
        <v>4301031307</v>
      </c>
      <c r="D263" s="613">
        <v>4680115880344</v>
      </c>
      <c r="E263" s="613"/>
      <c r="F263" s="62">
        <v>0.28000000000000003</v>
      </c>
      <c r="G263" s="37">
        <v>6</v>
      </c>
      <c r="H263" s="62">
        <v>1.68</v>
      </c>
      <c r="I263" s="62">
        <v>1.78</v>
      </c>
      <c r="J263" s="37">
        <v>234</v>
      </c>
      <c r="K263" s="37" t="s">
        <v>86</v>
      </c>
      <c r="L263" s="37" t="s">
        <v>45</v>
      </c>
      <c r="M263" s="38" t="s">
        <v>81</v>
      </c>
      <c r="N263" s="38"/>
      <c r="O263" s="37">
        <v>40</v>
      </c>
      <c r="P263" s="74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63" s="615"/>
      <c r="R263" s="615"/>
      <c r="S263" s="615"/>
      <c r="T263" s="61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IFERROR(IF(Y263=0,"",ROUNDUP(Y263/H263,0)*0.00502),"")</f>
        <v/>
      </c>
      <c r="AA263" s="68" t="s">
        <v>45</v>
      </c>
      <c r="AB263" s="69" t="s">
        <v>45</v>
      </c>
      <c r="AC263" s="330" t="s">
        <v>431</v>
      </c>
      <c r="AG263" s="78"/>
      <c r="AJ263" s="84" t="s">
        <v>45</v>
      </c>
      <c r="AK263" s="84">
        <v>0</v>
      </c>
      <c r="BB263" s="331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432</v>
      </c>
      <c r="B264" s="63" t="s">
        <v>433</v>
      </c>
      <c r="C264" s="36">
        <v>4301031429</v>
      </c>
      <c r="D264" s="613">
        <v>4680115886919</v>
      </c>
      <c r="E264" s="613"/>
      <c r="F264" s="62">
        <v>0.4</v>
      </c>
      <c r="G264" s="37">
        <v>6</v>
      </c>
      <c r="H264" s="62">
        <v>2.4</v>
      </c>
      <c r="I264" s="62">
        <v>2.58</v>
      </c>
      <c r="J264" s="37">
        <v>182</v>
      </c>
      <c r="K264" s="37" t="s">
        <v>82</v>
      </c>
      <c r="L264" s="37" t="s">
        <v>45</v>
      </c>
      <c r="M264" s="38" t="s">
        <v>81</v>
      </c>
      <c r="N264" s="38"/>
      <c r="O264" s="37">
        <v>40</v>
      </c>
      <c r="P264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64" s="615"/>
      <c r="R264" s="615"/>
      <c r="S264" s="615"/>
      <c r="T264" s="61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45</v>
      </c>
      <c r="AB264" s="69" t="s">
        <v>45</v>
      </c>
      <c r="AC264" s="332" t="s">
        <v>434</v>
      </c>
      <c r="AG264" s="78"/>
      <c r="AJ264" s="84" t="s">
        <v>45</v>
      </c>
      <c r="AK264" s="84">
        <v>0</v>
      </c>
      <c r="BB264" s="333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21"/>
      <c r="B265" s="621"/>
      <c r="C265" s="621"/>
      <c r="D265" s="621"/>
      <c r="E265" s="621"/>
      <c r="F265" s="621"/>
      <c r="G265" s="621"/>
      <c r="H265" s="621"/>
      <c r="I265" s="621"/>
      <c r="J265" s="621"/>
      <c r="K265" s="621"/>
      <c r="L265" s="621"/>
      <c r="M265" s="621"/>
      <c r="N265" s="621"/>
      <c r="O265" s="622"/>
      <c r="P265" s="618" t="s">
        <v>40</v>
      </c>
      <c r="Q265" s="619"/>
      <c r="R265" s="619"/>
      <c r="S265" s="619"/>
      <c r="T265" s="619"/>
      <c r="U265" s="619"/>
      <c r="V265" s="620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x14ac:dyDescent="0.2">
      <c r="A266" s="621"/>
      <c r="B266" s="621"/>
      <c r="C266" s="621"/>
      <c r="D266" s="621"/>
      <c r="E266" s="621"/>
      <c r="F266" s="621"/>
      <c r="G266" s="621"/>
      <c r="H266" s="621"/>
      <c r="I266" s="621"/>
      <c r="J266" s="621"/>
      <c r="K266" s="621"/>
      <c r="L266" s="621"/>
      <c r="M266" s="621"/>
      <c r="N266" s="621"/>
      <c r="O266" s="622"/>
      <c r="P266" s="618" t="s">
        <v>40</v>
      </c>
      <c r="Q266" s="619"/>
      <c r="R266" s="619"/>
      <c r="S266" s="619"/>
      <c r="T266" s="619"/>
      <c r="U266" s="619"/>
      <c r="V266" s="620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customHeight="1" x14ac:dyDescent="0.25">
      <c r="A267" s="612" t="s">
        <v>87</v>
      </c>
      <c r="B267" s="612"/>
      <c r="C267" s="612"/>
      <c r="D267" s="612"/>
      <c r="E267" s="612"/>
      <c r="F267" s="612"/>
      <c r="G267" s="612"/>
      <c r="H267" s="612"/>
      <c r="I267" s="612"/>
      <c r="J267" s="612"/>
      <c r="K267" s="612"/>
      <c r="L267" s="612"/>
      <c r="M267" s="612"/>
      <c r="N267" s="612"/>
      <c r="O267" s="612"/>
      <c r="P267" s="612"/>
      <c r="Q267" s="612"/>
      <c r="R267" s="612"/>
      <c r="S267" s="612"/>
      <c r="T267" s="612"/>
      <c r="U267" s="612"/>
      <c r="V267" s="612"/>
      <c r="W267" s="612"/>
      <c r="X267" s="612"/>
      <c r="Y267" s="612"/>
      <c r="Z267" s="612"/>
      <c r="AA267" s="66"/>
      <c r="AB267" s="66"/>
      <c r="AC267" s="80"/>
    </row>
    <row r="268" spans="1:68" ht="37.5" customHeight="1" x14ac:dyDescent="0.25">
      <c r="A268" s="63" t="s">
        <v>435</v>
      </c>
      <c r="B268" s="63" t="s">
        <v>436</v>
      </c>
      <c r="C268" s="36">
        <v>4301051782</v>
      </c>
      <c r="D268" s="613">
        <v>4680115884618</v>
      </c>
      <c r="E268" s="613"/>
      <c r="F268" s="62">
        <v>0.6</v>
      </c>
      <c r="G268" s="37">
        <v>6</v>
      </c>
      <c r="H268" s="62">
        <v>3.6</v>
      </c>
      <c r="I268" s="62">
        <v>3.79</v>
      </c>
      <c r="J268" s="37">
        <v>132</v>
      </c>
      <c r="K268" s="37" t="s">
        <v>120</v>
      </c>
      <c r="L268" s="37" t="s">
        <v>45</v>
      </c>
      <c r="M268" s="38" t="s">
        <v>91</v>
      </c>
      <c r="N268" s="38"/>
      <c r="O268" s="37">
        <v>45</v>
      </c>
      <c r="P268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68" s="615"/>
      <c r="R268" s="615"/>
      <c r="S268" s="615"/>
      <c r="T268" s="616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IFERROR(IF(Y268=0,"",ROUNDUP(Y268/H268,0)*0.00902),"")</f>
        <v/>
      </c>
      <c r="AA268" s="68" t="s">
        <v>45</v>
      </c>
      <c r="AB268" s="69" t="s">
        <v>45</v>
      </c>
      <c r="AC268" s="334" t="s">
        <v>437</v>
      </c>
      <c r="AG268" s="78"/>
      <c r="AJ268" s="84" t="s">
        <v>45</v>
      </c>
      <c r="AK268" s="84">
        <v>0</v>
      </c>
      <c r="BB268" s="335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27" customHeight="1" x14ac:dyDescent="0.25">
      <c r="A269" s="63" t="s">
        <v>438</v>
      </c>
      <c r="B269" s="63" t="s">
        <v>439</v>
      </c>
      <c r="C269" s="36">
        <v>4301052057</v>
      </c>
      <c r="D269" s="613">
        <v>4680115887114</v>
      </c>
      <c r="E269" s="613"/>
      <c r="F269" s="62">
        <v>0.55000000000000004</v>
      </c>
      <c r="G269" s="37">
        <v>6</v>
      </c>
      <c r="H269" s="62">
        <v>3.3</v>
      </c>
      <c r="I269" s="62">
        <v>3.49</v>
      </c>
      <c r="J269" s="37">
        <v>132</v>
      </c>
      <c r="K269" s="37" t="s">
        <v>120</v>
      </c>
      <c r="L269" s="37" t="s">
        <v>45</v>
      </c>
      <c r="M269" s="38" t="s">
        <v>91</v>
      </c>
      <c r="N269" s="38"/>
      <c r="O269" s="37">
        <v>45</v>
      </c>
      <c r="P269" s="74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69" s="615"/>
      <c r="R269" s="615"/>
      <c r="S269" s="615"/>
      <c r="T269" s="616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IFERROR(IF(Y269=0,"",ROUNDUP(Y269/H269,0)*0.00902),"")</f>
        <v/>
      </c>
      <c r="AA269" s="68" t="s">
        <v>45</v>
      </c>
      <c r="AB269" s="69" t="s">
        <v>45</v>
      </c>
      <c r="AC269" s="336" t="s">
        <v>440</v>
      </c>
      <c r="AG269" s="78"/>
      <c r="AJ269" s="84" t="s">
        <v>45</v>
      </c>
      <c r="AK269" s="84">
        <v>0</v>
      </c>
      <c r="BB269" s="337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x14ac:dyDescent="0.2">
      <c r="A270" s="621"/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2"/>
      <c r="P270" s="618" t="s">
        <v>40</v>
      </c>
      <c r="Q270" s="619"/>
      <c r="R270" s="619"/>
      <c r="S270" s="619"/>
      <c r="T270" s="619"/>
      <c r="U270" s="619"/>
      <c r="V270" s="620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x14ac:dyDescent="0.2">
      <c r="A271" s="621"/>
      <c r="B271" s="621"/>
      <c r="C271" s="621"/>
      <c r="D271" s="621"/>
      <c r="E271" s="621"/>
      <c r="F271" s="621"/>
      <c r="G271" s="621"/>
      <c r="H271" s="621"/>
      <c r="I271" s="621"/>
      <c r="J271" s="621"/>
      <c r="K271" s="621"/>
      <c r="L271" s="621"/>
      <c r="M271" s="621"/>
      <c r="N271" s="621"/>
      <c r="O271" s="622"/>
      <c r="P271" s="618" t="s">
        <v>40</v>
      </c>
      <c r="Q271" s="619"/>
      <c r="R271" s="619"/>
      <c r="S271" s="619"/>
      <c r="T271" s="619"/>
      <c r="U271" s="619"/>
      <c r="V271" s="620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6.5" customHeight="1" x14ac:dyDescent="0.25">
      <c r="A272" s="611" t="s">
        <v>441</v>
      </c>
      <c r="B272" s="611"/>
      <c r="C272" s="611"/>
      <c r="D272" s="611"/>
      <c r="E272" s="611"/>
      <c r="F272" s="611"/>
      <c r="G272" s="611"/>
      <c r="H272" s="611"/>
      <c r="I272" s="611"/>
      <c r="J272" s="611"/>
      <c r="K272" s="611"/>
      <c r="L272" s="611"/>
      <c r="M272" s="611"/>
      <c r="N272" s="611"/>
      <c r="O272" s="611"/>
      <c r="P272" s="611"/>
      <c r="Q272" s="611"/>
      <c r="R272" s="611"/>
      <c r="S272" s="611"/>
      <c r="T272" s="611"/>
      <c r="U272" s="611"/>
      <c r="V272" s="611"/>
      <c r="W272" s="611"/>
      <c r="X272" s="611"/>
      <c r="Y272" s="611"/>
      <c r="Z272" s="611"/>
      <c r="AA272" s="65"/>
      <c r="AB272" s="65"/>
      <c r="AC272" s="79"/>
    </row>
    <row r="273" spans="1:68" ht="14.25" customHeight="1" x14ac:dyDescent="0.25">
      <c r="A273" s="612" t="s">
        <v>112</v>
      </c>
      <c r="B273" s="612"/>
      <c r="C273" s="612"/>
      <c r="D273" s="612"/>
      <c r="E273" s="612"/>
      <c r="F273" s="612"/>
      <c r="G273" s="612"/>
      <c r="H273" s="612"/>
      <c r="I273" s="612"/>
      <c r="J273" s="612"/>
      <c r="K273" s="612"/>
      <c r="L273" s="612"/>
      <c r="M273" s="612"/>
      <c r="N273" s="612"/>
      <c r="O273" s="612"/>
      <c r="P273" s="612"/>
      <c r="Q273" s="612"/>
      <c r="R273" s="612"/>
      <c r="S273" s="612"/>
      <c r="T273" s="612"/>
      <c r="U273" s="612"/>
      <c r="V273" s="612"/>
      <c r="W273" s="612"/>
      <c r="X273" s="612"/>
      <c r="Y273" s="612"/>
      <c r="Z273" s="612"/>
      <c r="AA273" s="66"/>
      <c r="AB273" s="66"/>
      <c r="AC273" s="80"/>
    </row>
    <row r="274" spans="1:68" ht="27" customHeight="1" x14ac:dyDescent="0.25">
      <c r="A274" s="63" t="s">
        <v>442</v>
      </c>
      <c r="B274" s="63" t="s">
        <v>443</v>
      </c>
      <c r="C274" s="36">
        <v>4301012126</v>
      </c>
      <c r="D274" s="613">
        <v>4607091386004</v>
      </c>
      <c r="E274" s="61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117</v>
      </c>
      <c r="L274" s="37" t="s">
        <v>45</v>
      </c>
      <c r="M274" s="38" t="s">
        <v>116</v>
      </c>
      <c r="N274" s="38"/>
      <c r="O274" s="37">
        <v>55</v>
      </c>
      <c r="P274" s="74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74" s="615"/>
      <c r="R274" s="615"/>
      <c r="S274" s="615"/>
      <c r="T274" s="616"/>
      <c r="U274" s="39" t="s">
        <v>45</v>
      </c>
      <c r="V274" s="39" t="s">
        <v>45</v>
      </c>
      <c r="W274" s="40" t="s">
        <v>0</v>
      </c>
      <c r="X274" s="58">
        <v>0</v>
      </c>
      <c r="Y274" s="55">
        <f t="shared" ref="Y274:Y279" si="26"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38" t="s">
        <v>444</v>
      </c>
      <c r="AG274" s="78"/>
      <c r="AJ274" s="84" t="s">
        <v>45</v>
      </c>
      <c r="AK274" s="84">
        <v>0</v>
      </c>
      <c r="BB274" s="339" t="s">
        <v>66</v>
      </c>
      <c r="BM274" s="78">
        <f t="shared" ref="BM274:BM279" si="27">IFERROR(X274*I274/H274,"0")</f>
        <v>0</v>
      </c>
      <c r="BN274" s="78">
        <f t="shared" ref="BN274:BN279" si="28">IFERROR(Y274*I274/H274,"0")</f>
        <v>0</v>
      </c>
      <c r="BO274" s="78">
        <f t="shared" ref="BO274:BO279" si="29">IFERROR(1/J274*(X274/H274),"0")</f>
        <v>0</v>
      </c>
      <c r="BP274" s="78">
        <f t="shared" ref="BP274:BP279" si="30">IFERROR(1/J274*(Y274/H274),"0")</f>
        <v>0</v>
      </c>
    </row>
    <row r="275" spans="1:68" ht="27" customHeight="1" x14ac:dyDescent="0.25">
      <c r="A275" s="63" t="s">
        <v>445</v>
      </c>
      <c r="B275" s="63" t="s">
        <v>446</v>
      </c>
      <c r="C275" s="36">
        <v>4301012024</v>
      </c>
      <c r="D275" s="613">
        <v>4680115885615</v>
      </c>
      <c r="E275" s="61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117</v>
      </c>
      <c r="L275" s="37" t="s">
        <v>45</v>
      </c>
      <c r="M275" s="38" t="s">
        <v>91</v>
      </c>
      <c r="N275" s="38"/>
      <c r="O275" s="37">
        <v>55</v>
      </c>
      <c r="P275" s="74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75" s="615"/>
      <c r="R275" s="615"/>
      <c r="S275" s="615"/>
      <c r="T275" s="616"/>
      <c r="U275" s="39" t="s">
        <v>45</v>
      </c>
      <c r="V275" s="39" t="s">
        <v>45</v>
      </c>
      <c r="W275" s="40" t="s">
        <v>0</v>
      </c>
      <c r="X275" s="58">
        <v>0</v>
      </c>
      <c r="Y275" s="55">
        <f t="shared" si="26"/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40" t="s">
        <v>447</v>
      </c>
      <c r="AG275" s="78"/>
      <c r="AJ275" s="84" t="s">
        <v>45</v>
      </c>
      <c r="AK275" s="84">
        <v>0</v>
      </c>
      <c r="BB275" s="341" t="s">
        <v>66</v>
      </c>
      <c r="BM275" s="78">
        <f t="shared" si="27"/>
        <v>0</v>
      </c>
      <c r="BN275" s="78">
        <f t="shared" si="28"/>
        <v>0</v>
      </c>
      <c r="BO275" s="78">
        <f t="shared" si="29"/>
        <v>0</v>
      </c>
      <c r="BP275" s="78">
        <f t="shared" si="30"/>
        <v>0</v>
      </c>
    </row>
    <row r="276" spans="1:68" ht="37.5" customHeight="1" x14ac:dyDescent="0.25">
      <c r="A276" s="63" t="s">
        <v>448</v>
      </c>
      <c r="B276" s="63" t="s">
        <v>449</v>
      </c>
      <c r="C276" s="36">
        <v>4301011858</v>
      </c>
      <c r="D276" s="613">
        <v>4680115885646</v>
      </c>
      <c r="E276" s="613"/>
      <c r="F276" s="62">
        <v>1.35</v>
      </c>
      <c r="G276" s="37">
        <v>8</v>
      </c>
      <c r="H276" s="62">
        <v>10.8</v>
      </c>
      <c r="I276" s="62">
        <v>11.21</v>
      </c>
      <c r="J276" s="37">
        <v>64</v>
      </c>
      <c r="K276" s="37" t="s">
        <v>117</v>
      </c>
      <c r="L276" s="37" t="s">
        <v>45</v>
      </c>
      <c r="M276" s="38" t="s">
        <v>116</v>
      </c>
      <c r="N276" s="38"/>
      <c r="O276" s="37">
        <v>55</v>
      </c>
      <c r="P276" s="7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76" s="615"/>
      <c r="R276" s="615"/>
      <c r="S276" s="615"/>
      <c r="T276" s="616"/>
      <c r="U276" s="39" t="s">
        <v>45</v>
      </c>
      <c r="V276" s="39" t="s">
        <v>45</v>
      </c>
      <c r="W276" s="40" t="s">
        <v>0</v>
      </c>
      <c r="X276" s="58">
        <v>0</v>
      </c>
      <c r="Y276" s="55">
        <f t="shared" si="26"/>
        <v>0</v>
      </c>
      <c r="Z276" s="41" t="str">
        <f>IFERROR(IF(Y276=0,"",ROUNDUP(Y276/H276,0)*0.01898),"")</f>
        <v/>
      </c>
      <c r="AA276" s="68" t="s">
        <v>45</v>
      </c>
      <c r="AB276" s="69" t="s">
        <v>45</v>
      </c>
      <c r="AC276" s="342" t="s">
        <v>450</v>
      </c>
      <c r="AG276" s="78"/>
      <c r="AJ276" s="84" t="s">
        <v>45</v>
      </c>
      <c r="AK276" s="84">
        <v>0</v>
      </c>
      <c r="BB276" s="343" t="s">
        <v>66</v>
      </c>
      <c r="BM276" s="78">
        <f t="shared" si="27"/>
        <v>0</v>
      </c>
      <c r="BN276" s="78">
        <f t="shared" si="28"/>
        <v>0</v>
      </c>
      <c r="BO276" s="78">
        <f t="shared" si="29"/>
        <v>0</v>
      </c>
      <c r="BP276" s="78">
        <f t="shared" si="30"/>
        <v>0</v>
      </c>
    </row>
    <row r="277" spans="1:68" ht="27" customHeight="1" x14ac:dyDescent="0.25">
      <c r="A277" s="63" t="s">
        <v>451</v>
      </c>
      <c r="B277" s="63" t="s">
        <v>452</v>
      </c>
      <c r="C277" s="36">
        <v>4301012016</v>
      </c>
      <c r="D277" s="613">
        <v>4680115885554</v>
      </c>
      <c r="E277" s="613"/>
      <c r="F277" s="62">
        <v>1.35</v>
      </c>
      <c r="G277" s="37">
        <v>8</v>
      </c>
      <c r="H277" s="62">
        <v>10.8</v>
      </c>
      <c r="I277" s="62">
        <v>11.21</v>
      </c>
      <c r="J277" s="37">
        <v>64</v>
      </c>
      <c r="K277" s="37" t="s">
        <v>117</v>
      </c>
      <c r="L277" s="37" t="s">
        <v>45</v>
      </c>
      <c r="M277" s="38" t="s">
        <v>91</v>
      </c>
      <c r="N277" s="38"/>
      <c r="O277" s="37">
        <v>55</v>
      </c>
      <c r="P277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77" s="615"/>
      <c r="R277" s="615"/>
      <c r="S277" s="615"/>
      <c r="T277" s="616"/>
      <c r="U277" s="39" t="s">
        <v>45</v>
      </c>
      <c r="V277" s="39" t="s">
        <v>45</v>
      </c>
      <c r="W277" s="40" t="s">
        <v>0</v>
      </c>
      <c r="X277" s="58">
        <v>0</v>
      </c>
      <c r="Y277" s="55">
        <f t="shared" si="26"/>
        <v>0</v>
      </c>
      <c r="Z277" s="41" t="str">
        <f>IFERROR(IF(Y277=0,"",ROUNDUP(Y277/H277,0)*0.01898),"")</f>
        <v/>
      </c>
      <c r="AA277" s="68" t="s">
        <v>45</v>
      </c>
      <c r="AB277" s="69" t="s">
        <v>45</v>
      </c>
      <c r="AC277" s="344" t="s">
        <v>453</v>
      </c>
      <c r="AG277" s="78"/>
      <c r="AJ277" s="84" t="s">
        <v>45</v>
      </c>
      <c r="AK277" s="84">
        <v>0</v>
      </c>
      <c r="BB277" s="345" t="s">
        <v>66</v>
      </c>
      <c r="BM277" s="78">
        <f t="shared" si="27"/>
        <v>0</v>
      </c>
      <c r="BN277" s="78">
        <f t="shared" si="28"/>
        <v>0</v>
      </c>
      <c r="BO277" s="78">
        <f t="shared" si="29"/>
        <v>0</v>
      </c>
      <c r="BP277" s="78">
        <f t="shared" si="30"/>
        <v>0</v>
      </c>
    </row>
    <row r="278" spans="1:68" ht="27" customHeight="1" x14ac:dyDescent="0.25">
      <c r="A278" s="63" t="s">
        <v>454</v>
      </c>
      <c r="B278" s="63" t="s">
        <v>455</v>
      </c>
      <c r="C278" s="36">
        <v>4301011857</v>
      </c>
      <c r="D278" s="613">
        <v>4680115885622</v>
      </c>
      <c r="E278" s="613"/>
      <c r="F278" s="62">
        <v>0.4</v>
      </c>
      <c r="G278" s="37">
        <v>10</v>
      </c>
      <c r="H278" s="62">
        <v>4</v>
      </c>
      <c r="I278" s="62">
        <v>4.1900000000000004</v>
      </c>
      <c r="J278" s="37">
        <v>132</v>
      </c>
      <c r="K278" s="37" t="s">
        <v>120</v>
      </c>
      <c r="L278" s="37" t="s">
        <v>45</v>
      </c>
      <c r="M278" s="38" t="s">
        <v>116</v>
      </c>
      <c r="N278" s="38"/>
      <c r="O278" s="37">
        <v>55</v>
      </c>
      <c r="P278" s="7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78" s="615"/>
      <c r="R278" s="615"/>
      <c r="S278" s="615"/>
      <c r="T278" s="616"/>
      <c r="U278" s="39" t="s">
        <v>45</v>
      </c>
      <c r="V278" s="39" t="s">
        <v>45</v>
      </c>
      <c r="W278" s="40" t="s">
        <v>0</v>
      </c>
      <c r="X278" s="58">
        <v>0</v>
      </c>
      <c r="Y278" s="55">
        <f t="shared" si="26"/>
        <v>0</v>
      </c>
      <c r="Z278" s="41" t="str">
        <f>IFERROR(IF(Y278=0,"",ROUNDUP(Y278/H278,0)*0.00902),"")</f>
        <v/>
      </c>
      <c r="AA278" s="68" t="s">
        <v>45</v>
      </c>
      <c r="AB278" s="69" t="s">
        <v>45</v>
      </c>
      <c r="AC278" s="346" t="s">
        <v>447</v>
      </c>
      <c r="AG278" s="78"/>
      <c r="AJ278" s="84" t="s">
        <v>45</v>
      </c>
      <c r="AK278" s="84">
        <v>0</v>
      </c>
      <c r="BB278" s="347" t="s">
        <v>66</v>
      </c>
      <c r="BM278" s="78">
        <f t="shared" si="27"/>
        <v>0</v>
      </c>
      <c r="BN278" s="78">
        <f t="shared" si="28"/>
        <v>0</v>
      </c>
      <c r="BO278" s="78">
        <f t="shared" si="29"/>
        <v>0</v>
      </c>
      <c r="BP278" s="78">
        <f t="shared" si="30"/>
        <v>0</v>
      </c>
    </row>
    <row r="279" spans="1:68" ht="27" customHeight="1" x14ac:dyDescent="0.25">
      <c r="A279" s="63" t="s">
        <v>456</v>
      </c>
      <c r="B279" s="63" t="s">
        <v>457</v>
      </c>
      <c r="C279" s="36">
        <v>4301011859</v>
      </c>
      <c r="D279" s="613">
        <v>4680115885608</v>
      </c>
      <c r="E279" s="613"/>
      <c r="F279" s="62">
        <v>0.4</v>
      </c>
      <c r="G279" s="37">
        <v>10</v>
      </c>
      <c r="H279" s="62">
        <v>4</v>
      </c>
      <c r="I279" s="62">
        <v>4.1900000000000004</v>
      </c>
      <c r="J279" s="37">
        <v>132</v>
      </c>
      <c r="K279" s="37" t="s">
        <v>120</v>
      </c>
      <c r="L279" s="37" t="s">
        <v>45</v>
      </c>
      <c r="M279" s="38" t="s">
        <v>116</v>
      </c>
      <c r="N279" s="38"/>
      <c r="O279" s="37">
        <v>55</v>
      </c>
      <c r="P279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79" s="615"/>
      <c r="R279" s="615"/>
      <c r="S279" s="615"/>
      <c r="T279" s="616"/>
      <c r="U279" s="39" t="s">
        <v>45</v>
      </c>
      <c r="V279" s="39" t="s">
        <v>45</v>
      </c>
      <c r="W279" s="40" t="s">
        <v>0</v>
      </c>
      <c r="X279" s="58">
        <v>0</v>
      </c>
      <c r="Y279" s="55">
        <f t="shared" si="26"/>
        <v>0</v>
      </c>
      <c r="Z279" s="41" t="str">
        <f>IFERROR(IF(Y279=0,"",ROUNDUP(Y279/H279,0)*0.00902),"")</f>
        <v/>
      </c>
      <c r="AA279" s="68" t="s">
        <v>45</v>
      </c>
      <c r="AB279" s="69" t="s">
        <v>45</v>
      </c>
      <c r="AC279" s="348" t="s">
        <v>458</v>
      </c>
      <c r="AG279" s="78"/>
      <c r="AJ279" s="84" t="s">
        <v>45</v>
      </c>
      <c r="AK279" s="84">
        <v>0</v>
      </c>
      <c r="BB279" s="349" t="s">
        <v>66</v>
      </c>
      <c r="BM279" s="78">
        <f t="shared" si="27"/>
        <v>0</v>
      </c>
      <c r="BN279" s="78">
        <f t="shared" si="28"/>
        <v>0</v>
      </c>
      <c r="BO279" s="78">
        <f t="shared" si="29"/>
        <v>0</v>
      </c>
      <c r="BP279" s="78">
        <f t="shared" si="30"/>
        <v>0</v>
      </c>
    </row>
    <row r="280" spans="1:68" x14ac:dyDescent="0.2">
      <c r="A280" s="621"/>
      <c r="B280" s="621"/>
      <c r="C280" s="621"/>
      <c r="D280" s="621"/>
      <c r="E280" s="621"/>
      <c r="F280" s="621"/>
      <c r="G280" s="621"/>
      <c r="H280" s="621"/>
      <c r="I280" s="621"/>
      <c r="J280" s="621"/>
      <c r="K280" s="621"/>
      <c r="L280" s="621"/>
      <c r="M280" s="621"/>
      <c r="N280" s="621"/>
      <c r="O280" s="622"/>
      <c r="P280" s="618" t="s">
        <v>40</v>
      </c>
      <c r="Q280" s="619"/>
      <c r="R280" s="619"/>
      <c r="S280" s="619"/>
      <c r="T280" s="619"/>
      <c r="U280" s="619"/>
      <c r="V280" s="620"/>
      <c r="W280" s="42" t="s">
        <v>39</v>
      </c>
      <c r="X280" s="43">
        <f>IFERROR(X274/H274,"0")+IFERROR(X275/H275,"0")+IFERROR(X276/H276,"0")+IFERROR(X277/H277,"0")+IFERROR(X278/H278,"0")+IFERROR(X279/H279,"0")</f>
        <v>0</v>
      </c>
      <c r="Y280" s="43">
        <f>IFERROR(Y274/H274,"0")+IFERROR(Y275/H275,"0")+IFERROR(Y276/H276,"0")+IFERROR(Y277/H277,"0")+IFERROR(Y278/H278,"0")+IFERROR(Y279/H279,"0")</f>
        <v>0</v>
      </c>
      <c r="Z280" s="43">
        <f>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21"/>
      <c r="B281" s="621"/>
      <c r="C281" s="621"/>
      <c r="D281" s="621"/>
      <c r="E281" s="621"/>
      <c r="F281" s="621"/>
      <c r="G281" s="621"/>
      <c r="H281" s="621"/>
      <c r="I281" s="621"/>
      <c r="J281" s="621"/>
      <c r="K281" s="621"/>
      <c r="L281" s="621"/>
      <c r="M281" s="621"/>
      <c r="N281" s="621"/>
      <c r="O281" s="622"/>
      <c r="P281" s="618" t="s">
        <v>40</v>
      </c>
      <c r="Q281" s="619"/>
      <c r="R281" s="619"/>
      <c r="S281" s="619"/>
      <c r="T281" s="619"/>
      <c r="U281" s="619"/>
      <c r="V281" s="620"/>
      <c r="W281" s="42" t="s">
        <v>0</v>
      </c>
      <c r="X281" s="43">
        <f>IFERROR(SUM(X274:X279),"0")</f>
        <v>0</v>
      </c>
      <c r="Y281" s="43">
        <f>IFERROR(SUM(Y274:Y279),"0")</f>
        <v>0</v>
      </c>
      <c r="Z281" s="42"/>
      <c r="AA281" s="67"/>
      <c r="AB281" s="67"/>
      <c r="AC281" s="67"/>
    </row>
    <row r="282" spans="1:68" ht="14.25" customHeight="1" x14ac:dyDescent="0.25">
      <c r="A282" s="612" t="s">
        <v>76</v>
      </c>
      <c r="B282" s="612"/>
      <c r="C282" s="612"/>
      <c r="D282" s="612"/>
      <c r="E282" s="612"/>
      <c r="F282" s="612"/>
      <c r="G282" s="612"/>
      <c r="H282" s="612"/>
      <c r="I282" s="612"/>
      <c r="J282" s="612"/>
      <c r="K282" s="612"/>
      <c r="L282" s="612"/>
      <c r="M282" s="612"/>
      <c r="N282" s="612"/>
      <c r="O282" s="612"/>
      <c r="P282" s="612"/>
      <c r="Q282" s="612"/>
      <c r="R282" s="612"/>
      <c r="S282" s="612"/>
      <c r="T282" s="612"/>
      <c r="U282" s="612"/>
      <c r="V282" s="612"/>
      <c r="W282" s="612"/>
      <c r="X282" s="612"/>
      <c r="Y282" s="612"/>
      <c r="Z282" s="612"/>
      <c r="AA282" s="66"/>
      <c r="AB282" s="66"/>
      <c r="AC282" s="80"/>
    </row>
    <row r="283" spans="1:68" ht="27" customHeight="1" x14ac:dyDescent="0.25">
      <c r="A283" s="63" t="s">
        <v>459</v>
      </c>
      <c r="B283" s="63" t="s">
        <v>460</v>
      </c>
      <c r="C283" s="36">
        <v>4301030878</v>
      </c>
      <c r="D283" s="613">
        <v>4607091387193</v>
      </c>
      <c r="E283" s="613"/>
      <c r="F283" s="62">
        <v>0.7</v>
      </c>
      <c r="G283" s="37">
        <v>6</v>
      </c>
      <c r="H283" s="62">
        <v>4.2</v>
      </c>
      <c r="I283" s="62">
        <v>4.45</v>
      </c>
      <c r="J283" s="37">
        <v>132</v>
      </c>
      <c r="K283" s="37" t="s">
        <v>120</v>
      </c>
      <c r="L283" s="37" t="s">
        <v>45</v>
      </c>
      <c r="M283" s="38" t="s">
        <v>81</v>
      </c>
      <c r="N283" s="38"/>
      <c r="O283" s="37">
        <v>35</v>
      </c>
      <c r="P283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83" s="615"/>
      <c r="R283" s="615"/>
      <c r="S283" s="615"/>
      <c r="T283" s="616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ref="Y283:Y288" si="31"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50" t="s">
        <v>461</v>
      </c>
      <c r="AG283" s="78"/>
      <c r="AJ283" s="84" t="s">
        <v>45</v>
      </c>
      <c r="AK283" s="84">
        <v>0</v>
      </c>
      <c r="BB283" s="351" t="s">
        <v>66</v>
      </c>
      <c r="BM283" s="78">
        <f t="shared" ref="BM283:BM288" si="32">IFERROR(X283*I283/H283,"0")</f>
        <v>0</v>
      </c>
      <c r="BN283" s="78">
        <f t="shared" ref="BN283:BN288" si="33">IFERROR(Y283*I283/H283,"0")</f>
        <v>0</v>
      </c>
      <c r="BO283" s="78">
        <f t="shared" ref="BO283:BO288" si="34">IFERROR(1/J283*(X283/H283),"0")</f>
        <v>0</v>
      </c>
      <c r="BP283" s="78">
        <f t="shared" ref="BP283:BP288" si="35">IFERROR(1/J283*(Y283/H283),"0")</f>
        <v>0</v>
      </c>
    </row>
    <row r="284" spans="1:68" ht="27" customHeight="1" x14ac:dyDescent="0.25">
      <c r="A284" s="63" t="s">
        <v>462</v>
      </c>
      <c r="B284" s="63" t="s">
        <v>463</v>
      </c>
      <c r="C284" s="36">
        <v>4301031153</v>
      </c>
      <c r="D284" s="613">
        <v>4607091387230</v>
      </c>
      <c r="E284" s="613"/>
      <c r="F284" s="62">
        <v>0.7</v>
      </c>
      <c r="G284" s="37">
        <v>6</v>
      </c>
      <c r="H284" s="62">
        <v>4.2</v>
      </c>
      <c r="I284" s="62">
        <v>4.45</v>
      </c>
      <c r="J284" s="37">
        <v>132</v>
      </c>
      <c r="K284" s="37" t="s">
        <v>120</v>
      </c>
      <c r="L284" s="37" t="s">
        <v>45</v>
      </c>
      <c r="M284" s="38" t="s">
        <v>81</v>
      </c>
      <c r="N284" s="38"/>
      <c r="O284" s="37">
        <v>40</v>
      </c>
      <c r="P284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84" s="615"/>
      <c r="R284" s="615"/>
      <c r="S284" s="615"/>
      <c r="T284" s="616"/>
      <c r="U284" s="39" t="s">
        <v>45</v>
      </c>
      <c r="V284" s="39" t="s">
        <v>45</v>
      </c>
      <c r="W284" s="40" t="s">
        <v>0</v>
      </c>
      <c r="X284" s="58">
        <v>0</v>
      </c>
      <c r="Y284" s="55">
        <f t="shared" si="31"/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52" t="s">
        <v>464</v>
      </c>
      <c r="AG284" s="78"/>
      <c r="AJ284" s="84" t="s">
        <v>45</v>
      </c>
      <c r="AK284" s="84">
        <v>0</v>
      </c>
      <c r="BB284" s="353" t="s">
        <v>66</v>
      </c>
      <c r="BM284" s="78">
        <f t="shared" si="32"/>
        <v>0</v>
      </c>
      <c r="BN284" s="78">
        <f t="shared" si="33"/>
        <v>0</v>
      </c>
      <c r="BO284" s="78">
        <f t="shared" si="34"/>
        <v>0</v>
      </c>
      <c r="BP284" s="78">
        <f t="shared" si="35"/>
        <v>0</v>
      </c>
    </row>
    <row r="285" spans="1:68" ht="27" customHeight="1" x14ac:dyDescent="0.25">
      <c r="A285" s="63" t="s">
        <v>465</v>
      </c>
      <c r="B285" s="63" t="s">
        <v>466</v>
      </c>
      <c r="C285" s="36">
        <v>4301031154</v>
      </c>
      <c r="D285" s="613">
        <v>4607091387292</v>
      </c>
      <c r="E285" s="613"/>
      <c r="F285" s="62">
        <v>0.73</v>
      </c>
      <c r="G285" s="37">
        <v>6</v>
      </c>
      <c r="H285" s="62">
        <v>4.38</v>
      </c>
      <c r="I285" s="62">
        <v>4.63</v>
      </c>
      <c r="J285" s="37">
        <v>132</v>
      </c>
      <c r="K285" s="37" t="s">
        <v>120</v>
      </c>
      <c r="L285" s="37" t="s">
        <v>45</v>
      </c>
      <c r="M285" s="38" t="s">
        <v>81</v>
      </c>
      <c r="N285" s="38"/>
      <c r="O285" s="37">
        <v>45</v>
      </c>
      <c r="P285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85" s="615"/>
      <c r="R285" s="615"/>
      <c r="S285" s="615"/>
      <c r="T285" s="616"/>
      <c r="U285" s="39" t="s">
        <v>45</v>
      </c>
      <c r="V285" s="39" t="s">
        <v>45</v>
      </c>
      <c r="W285" s="40" t="s">
        <v>0</v>
      </c>
      <c r="X285" s="58">
        <v>0</v>
      </c>
      <c r="Y285" s="55">
        <f t="shared" si="31"/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54" t="s">
        <v>467</v>
      </c>
      <c r="AG285" s="78"/>
      <c r="AJ285" s="84" t="s">
        <v>45</v>
      </c>
      <c r="AK285" s="84">
        <v>0</v>
      </c>
      <c r="BB285" s="355" t="s">
        <v>66</v>
      </c>
      <c r="BM285" s="78">
        <f t="shared" si="32"/>
        <v>0</v>
      </c>
      <c r="BN285" s="78">
        <f t="shared" si="33"/>
        <v>0</v>
      </c>
      <c r="BO285" s="78">
        <f t="shared" si="34"/>
        <v>0</v>
      </c>
      <c r="BP285" s="78">
        <f t="shared" si="35"/>
        <v>0</v>
      </c>
    </row>
    <row r="286" spans="1:68" ht="27" customHeight="1" x14ac:dyDescent="0.25">
      <c r="A286" s="63" t="s">
        <v>468</v>
      </c>
      <c r="B286" s="63" t="s">
        <v>469</v>
      </c>
      <c r="C286" s="36">
        <v>4301031152</v>
      </c>
      <c r="D286" s="613">
        <v>4607091387285</v>
      </c>
      <c r="E286" s="613"/>
      <c r="F286" s="62">
        <v>0.35</v>
      </c>
      <c r="G286" s="37">
        <v>6</v>
      </c>
      <c r="H286" s="62">
        <v>2.1</v>
      </c>
      <c r="I286" s="62">
        <v>2.23</v>
      </c>
      <c r="J286" s="37">
        <v>234</v>
      </c>
      <c r="K286" s="37" t="s">
        <v>86</v>
      </c>
      <c r="L286" s="37" t="s">
        <v>45</v>
      </c>
      <c r="M286" s="38" t="s">
        <v>81</v>
      </c>
      <c r="N286" s="38"/>
      <c r="O286" s="37">
        <v>40</v>
      </c>
      <c r="P286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86" s="615"/>
      <c r="R286" s="615"/>
      <c r="S286" s="615"/>
      <c r="T286" s="616"/>
      <c r="U286" s="39" t="s">
        <v>45</v>
      </c>
      <c r="V286" s="39" t="s">
        <v>45</v>
      </c>
      <c r="W286" s="40" t="s">
        <v>0</v>
      </c>
      <c r="X286" s="58">
        <v>0</v>
      </c>
      <c r="Y286" s="55">
        <f t="shared" si="31"/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464</v>
      </c>
      <c r="AG286" s="78"/>
      <c r="AJ286" s="84" t="s">
        <v>45</v>
      </c>
      <c r="AK286" s="84">
        <v>0</v>
      </c>
      <c r="BB286" s="357" t="s">
        <v>66</v>
      </c>
      <c r="BM286" s="78">
        <f t="shared" si="32"/>
        <v>0</v>
      </c>
      <c r="BN286" s="78">
        <f t="shared" si="33"/>
        <v>0</v>
      </c>
      <c r="BO286" s="78">
        <f t="shared" si="34"/>
        <v>0</v>
      </c>
      <c r="BP286" s="78">
        <f t="shared" si="35"/>
        <v>0</v>
      </c>
    </row>
    <row r="287" spans="1:68" ht="27" customHeight="1" x14ac:dyDescent="0.25">
      <c r="A287" s="63" t="s">
        <v>470</v>
      </c>
      <c r="B287" s="63" t="s">
        <v>471</v>
      </c>
      <c r="C287" s="36">
        <v>4301031305</v>
      </c>
      <c r="D287" s="613">
        <v>4607091389845</v>
      </c>
      <c r="E287" s="613"/>
      <c r="F287" s="62">
        <v>0.35</v>
      </c>
      <c r="G287" s="37">
        <v>6</v>
      </c>
      <c r="H287" s="62">
        <v>2.1</v>
      </c>
      <c r="I287" s="62">
        <v>2.2000000000000002</v>
      </c>
      <c r="J287" s="37">
        <v>234</v>
      </c>
      <c r="K287" s="37" t="s">
        <v>86</v>
      </c>
      <c r="L287" s="37" t="s">
        <v>45</v>
      </c>
      <c r="M287" s="38" t="s">
        <v>81</v>
      </c>
      <c r="N287" s="38"/>
      <c r="O287" s="37">
        <v>40</v>
      </c>
      <c r="P287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87" s="615"/>
      <c r="R287" s="615"/>
      <c r="S287" s="615"/>
      <c r="T287" s="616"/>
      <c r="U287" s="39" t="s">
        <v>45</v>
      </c>
      <c r="V287" s="39" t="s">
        <v>45</v>
      </c>
      <c r="W287" s="40" t="s">
        <v>0</v>
      </c>
      <c r="X287" s="58">
        <v>0</v>
      </c>
      <c r="Y287" s="55">
        <f t="shared" si="31"/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472</v>
      </c>
      <c r="AG287" s="78"/>
      <c r="AJ287" s="84" t="s">
        <v>45</v>
      </c>
      <c r="AK287" s="84">
        <v>0</v>
      </c>
      <c r="BB287" s="359" t="s">
        <v>66</v>
      </c>
      <c r="BM287" s="78">
        <f t="shared" si="32"/>
        <v>0</v>
      </c>
      <c r="BN287" s="78">
        <f t="shared" si="33"/>
        <v>0</v>
      </c>
      <c r="BO287" s="78">
        <f t="shared" si="34"/>
        <v>0</v>
      </c>
      <c r="BP287" s="78">
        <f t="shared" si="35"/>
        <v>0</v>
      </c>
    </row>
    <row r="288" spans="1:68" ht="27" customHeight="1" x14ac:dyDescent="0.25">
      <c r="A288" s="63" t="s">
        <v>473</v>
      </c>
      <c r="B288" s="63" t="s">
        <v>474</v>
      </c>
      <c r="C288" s="36">
        <v>4301031066</v>
      </c>
      <c r="D288" s="613">
        <v>4607091383836</v>
      </c>
      <c r="E288" s="613"/>
      <c r="F288" s="62">
        <v>0.3</v>
      </c>
      <c r="G288" s="37">
        <v>6</v>
      </c>
      <c r="H288" s="62">
        <v>1.8</v>
      </c>
      <c r="I288" s="62">
        <v>2.028</v>
      </c>
      <c r="J288" s="37">
        <v>182</v>
      </c>
      <c r="K288" s="37" t="s">
        <v>82</v>
      </c>
      <c r="L288" s="37" t="s">
        <v>45</v>
      </c>
      <c r="M288" s="38" t="s">
        <v>81</v>
      </c>
      <c r="N288" s="38"/>
      <c r="O288" s="37">
        <v>40</v>
      </c>
      <c r="P28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88" s="615"/>
      <c r="R288" s="615"/>
      <c r="S288" s="615"/>
      <c r="T288" s="616"/>
      <c r="U288" s="39" t="s">
        <v>45</v>
      </c>
      <c r="V288" s="39" t="s">
        <v>45</v>
      </c>
      <c r="W288" s="40" t="s">
        <v>0</v>
      </c>
      <c r="X288" s="58">
        <v>0</v>
      </c>
      <c r="Y288" s="55">
        <f t="shared" si="31"/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475</v>
      </c>
      <c r="AG288" s="78"/>
      <c r="AJ288" s="84" t="s">
        <v>45</v>
      </c>
      <c r="AK288" s="84">
        <v>0</v>
      </c>
      <c r="BB288" s="361" t="s">
        <v>66</v>
      </c>
      <c r="BM288" s="78">
        <f t="shared" si="32"/>
        <v>0</v>
      </c>
      <c r="BN288" s="78">
        <f t="shared" si="33"/>
        <v>0</v>
      </c>
      <c r="BO288" s="78">
        <f t="shared" si="34"/>
        <v>0</v>
      </c>
      <c r="BP288" s="78">
        <f t="shared" si="35"/>
        <v>0</v>
      </c>
    </row>
    <row r="289" spans="1:68" x14ac:dyDescent="0.2">
      <c r="A289" s="621"/>
      <c r="B289" s="621"/>
      <c r="C289" s="621"/>
      <c r="D289" s="621"/>
      <c r="E289" s="621"/>
      <c r="F289" s="621"/>
      <c r="G289" s="621"/>
      <c r="H289" s="621"/>
      <c r="I289" s="621"/>
      <c r="J289" s="621"/>
      <c r="K289" s="621"/>
      <c r="L289" s="621"/>
      <c r="M289" s="621"/>
      <c r="N289" s="621"/>
      <c r="O289" s="622"/>
      <c r="P289" s="618" t="s">
        <v>40</v>
      </c>
      <c r="Q289" s="619"/>
      <c r="R289" s="619"/>
      <c r="S289" s="619"/>
      <c r="T289" s="619"/>
      <c r="U289" s="619"/>
      <c r="V289" s="620"/>
      <c r="W289" s="42" t="s">
        <v>39</v>
      </c>
      <c r="X289" s="43">
        <f>IFERROR(X283/H283,"0")+IFERROR(X284/H284,"0")+IFERROR(X285/H285,"0")+IFERROR(X286/H286,"0")+IFERROR(X287/H287,"0")+IFERROR(X288/H288,"0")</f>
        <v>0</v>
      </c>
      <c r="Y289" s="43">
        <f>IFERROR(Y283/H283,"0")+IFERROR(Y284/H284,"0")+IFERROR(Y285/H285,"0")+IFERROR(Y286/H286,"0")+IFERROR(Y287/H287,"0")+IFERROR(Y288/H288,"0")</f>
        <v>0</v>
      </c>
      <c r="Z289" s="43">
        <f>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x14ac:dyDescent="0.2">
      <c r="A290" s="621"/>
      <c r="B290" s="621"/>
      <c r="C290" s="621"/>
      <c r="D290" s="621"/>
      <c r="E290" s="621"/>
      <c r="F290" s="621"/>
      <c r="G290" s="621"/>
      <c r="H290" s="621"/>
      <c r="I290" s="621"/>
      <c r="J290" s="621"/>
      <c r="K290" s="621"/>
      <c r="L290" s="621"/>
      <c r="M290" s="621"/>
      <c r="N290" s="621"/>
      <c r="O290" s="622"/>
      <c r="P290" s="618" t="s">
        <v>40</v>
      </c>
      <c r="Q290" s="619"/>
      <c r="R290" s="619"/>
      <c r="S290" s="619"/>
      <c r="T290" s="619"/>
      <c r="U290" s="619"/>
      <c r="V290" s="620"/>
      <c r="W290" s="42" t="s">
        <v>0</v>
      </c>
      <c r="X290" s="43">
        <f>IFERROR(SUM(X283:X288),"0")</f>
        <v>0</v>
      </c>
      <c r="Y290" s="43">
        <f>IFERROR(SUM(Y283:Y288),"0")</f>
        <v>0</v>
      </c>
      <c r="Z290" s="42"/>
      <c r="AA290" s="67"/>
      <c r="AB290" s="67"/>
      <c r="AC290" s="67"/>
    </row>
    <row r="291" spans="1:68" ht="14.25" customHeight="1" x14ac:dyDescent="0.25">
      <c r="A291" s="612" t="s">
        <v>87</v>
      </c>
      <c r="B291" s="612"/>
      <c r="C291" s="612"/>
      <c r="D291" s="612"/>
      <c r="E291" s="612"/>
      <c r="F291" s="612"/>
      <c r="G291" s="612"/>
      <c r="H291" s="612"/>
      <c r="I291" s="612"/>
      <c r="J291" s="612"/>
      <c r="K291" s="612"/>
      <c r="L291" s="612"/>
      <c r="M291" s="612"/>
      <c r="N291" s="612"/>
      <c r="O291" s="612"/>
      <c r="P291" s="612"/>
      <c r="Q291" s="612"/>
      <c r="R291" s="612"/>
      <c r="S291" s="612"/>
      <c r="T291" s="612"/>
      <c r="U291" s="612"/>
      <c r="V291" s="612"/>
      <c r="W291" s="612"/>
      <c r="X291" s="612"/>
      <c r="Y291" s="612"/>
      <c r="Z291" s="612"/>
      <c r="AA291" s="66"/>
      <c r="AB291" s="66"/>
      <c r="AC291" s="80"/>
    </row>
    <row r="292" spans="1:68" ht="27" customHeight="1" x14ac:dyDescent="0.25">
      <c r="A292" s="63" t="s">
        <v>476</v>
      </c>
      <c r="B292" s="63" t="s">
        <v>477</v>
      </c>
      <c r="C292" s="36">
        <v>4301051100</v>
      </c>
      <c r="D292" s="613">
        <v>4607091387766</v>
      </c>
      <c r="E292" s="613"/>
      <c r="F292" s="62">
        <v>1.3</v>
      </c>
      <c r="G292" s="37">
        <v>6</v>
      </c>
      <c r="H292" s="62">
        <v>7.8</v>
      </c>
      <c r="I292" s="62">
        <v>8.2880000000000003</v>
      </c>
      <c r="J292" s="37">
        <v>64</v>
      </c>
      <c r="K292" s="37" t="s">
        <v>117</v>
      </c>
      <c r="L292" s="37" t="s">
        <v>45</v>
      </c>
      <c r="M292" s="38" t="s">
        <v>91</v>
      </c>
      <c r="N292" s="38"/>
      <c r="O292" s="37">
        <v>40</v>
      </c>
      <c r="P292" s="75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2" s="615"/>
      <c r="R292" s="615"/>
      <c r="S292" s="615"/>
      <c r="T292" s="61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62" t="s">
        <v>478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479</v>
      </c>
      <c r="B293" s="63" t="s">
        <v>480</v>
      </c>
      <c r="C293" s="36">
        <v>4301051818</v>
      </c>
      <c r="D293" s="613">
        <v>4607091387957</v>
      </c>
      <c r="E293" s="613"/>
      <c r="F293" s="62">
        <v>1.3</v>
      </c>
      <c r="G293" s="37">
        <v>6</v>
      </c>
      <c r="H293" s="62">
        <v>7.8</v>
      </c>
      <c r="I293" s="62">
        <v>8.2940000000000005</v>
      </c>
      <c r="J293" s="37">
        <v>64</v>
      </c>
      <c r="K293" s="37" t="s">
        <v>117</v>
      </c>
      <c r="L293" s="37" t="s">
        <v>45</v>
      </c>
      <c r="M293" s="38" t="s">
        <v>91</v>
      </c>
      <c r="N293" s="38"/>
      <c r="O293" s="37">
        <v>40</v>
      </c>
      <c r="P293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93" s="615"/>
      <c r="R293" s="615"/>
      <c r="S293" s="615"/>
      <c r="T293" s="61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64" t="s">
        <v>481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482</v>
      </c>
      <c r="B294" s="63" t="s">
        <v>483</v>
      </c>
      <c r="C294" s="36">
        <v>4301051819</v>
      </c>
      <c r="D294" s="613">
        <v>4607091387964</v>
      </c>
      <c r="E294" s="613"/>
      <c r="F294" s="62">
        <v>1.35</v>
      </c>
      <c r="G294" s="37">
        <v>6</v>
      </c>
      <c r="H294" s="62">
        <v>8.1</v>
      </c>
      <c r="I294" s="62">
        <v>8.5760000000000005</v>
      </c>
      <c r="J294" s="37">
        <v>64</v>
      </c>
      <c r="K294" s="37" t="s">
        <v>117</v>
      </c>
      <c r="L294" s="37" t="s">
        <v>45</v>
      </c>
      <c r="M294" s="38" t="s">
        <v>91</v>
      </c>
      <c r="N294" s="38"/>
      <c r="O294" s="37">
        <v>40</v>
      </c>
      <c r="P294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94" s="615"/>
      <c r="R294" s="615"/>
      <c r="S294" s="615"/>
      <c r="T294" s="616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66" t="s">
        <v>484</v>
      </c>
      <c r="AG294" s="78"/>
      <c r="AJ294" s="84" t="s">
        <v>45</v>
      </c>
      <c r="AK294" s="84">
        <v>0</v>
      </c>
      <c r="BB294" s="367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27" customHeight="1" x14ac:dyDescent="0.25">
      <c r="A295" s="63" t="s">
        <v>485</v>
      </c>
      <c r="B295" s="63" t="s">
        <v>486</v>
      </c>
      <c r="C295" s="36">
        <v>4301051734</v>
      </c>
      <c r="D295" s="613">
        <v>4680115884588</v>
      </c>
      <c r="E295" s="613"/>
      <c r="F295" s="62">
        <v>0.5</v>
      </c>
      <c r="G295" s="37">
        <v>6</v>
      </c>
      <c r="H295" s="62">
        <v>3</v>
      </c>
      <c r="I295" s="62">
        <v>3.246</v>
      </c>
      <c r="J295" s="37">
        <v>182</v>
      </c>
      <c r="K295" s="37" t="s">
        <v>82</v>
      </c>
      <c r="L295" s="37" t="s">
        <v>45</v>
      </c>
      <c r="M295" s="38" t="s">
        <v>91</v>
      </c>
      <c r="N295" s="38"/>
      <c r="O295" s="37">
        <v>40</v>
      </c>
      <c r="P295" s="76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95" s="615"/>
      <c r="R295" s="615"/>
      <c r="S295" s="615"/>
      <c r="T295" s="616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45</v>
      </c>
      <c r="AB295" s="69" t="s">
        <v>45</v>
      </c>
      <c r="AC295" s="368" t="s">
        <v>487</v>
      </c>
      <c r="AG295" s="78"/>
      <c r="AJ295" s="84" t="s">
        <v>45</v>
      </c>
      <c r="AK295" s="84">
        <v>0</v>
      </c>
      <c r="BB295" s="36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x14ac:dyDescent="0.2">
      <c r="A296" s="621"/>
      <c r="B296" s="621"/>
      <c r="C296" s="621"/>
      <c r="D296" s="621"/>
      <c r="E296" s="621"/>
      <c r="F296" s="621"/>
      <c r="G296" s="621"/>
      <c r="H296" s="621"/>
      <c r="I296" s="621"/>
      <c r="J296" s="621"/>
      <c r="K296" s="621"/>
      <c r="L296" s="621"/>
      <c r="M296" s="621"/>
      <c r="N296" s="621"/>
      <c r="O296" s="622"/>
      <c r="P296" s="618" t="s">
        <v>40</v>
      </c>
      <c r="Q296" s="619"/>
      <c r="R296" s="619"/>
      <c r="S296" s="619"/>
      <c r="T296" s="619"/>
      <c r="U296" s="619"/>
      <c r="V296" s="620"/>
      <c r="W296" s="42" t="s">
        <v>39</v>
      </c>
      <c r="X296" s="43">
        <f>IFERROR(X292/H292,"0")+IFERROR(X293/H293,"0")+IFERROR(X294/H294,"0")+IFERROR(X295/H295,"0")</f>
        <v>0</v>
      </c>
      <c r="Y296" s="43">
        <f>IFERROR(Y292/H292,"0")+IFERROR(Y293/H293,"0")+IFERROR(Y294/H294,"0")+IFERROR(Y295/H295,"0")</f>
        <v>0</v>
      </c>
      <c r="Z296" s="43">
        <f>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21"/>
      <c r="B297" s="621"/>
      <c r="C297" s="621"/>
      <c r="D297" s="621"/>
      <c r="E297" s="621"/>
      <c r="F297" s="621"/>
      <c r="G297" s="621"/>
      <c r="H297" s="621"/>
      <c r="I297" s="621"/>
      <c r="J297" s="621"/>
      <c r="K297" s="621"/>
      <c r="L297" s="621"/>
      <c r="M297" s="621"/>
      <c r="N297" s="621"/>
      <c r="O297" s="622"/>
      <c r="P297" s="618" t="s">
        <v>40</v>
      </c>
      <c r="Q297" s="619"/>
      <c r="R297" s="619"/>
      <c r="S297" s="619"/>
      <c r="T297" s="619"/>
      <c r="U297" s="619"/>
      <c r="V297" s="620"/>
      <c r="W297" s="42" t="s">
        <v>0</v>
      </c>
      <c r="X297" s="43">
        <f>IFERROR(SUM(X292:X295),"0")</f>
        <v>0</v>
      </c>
      <c r="Y297" s="43">
        <f>IFERROR(SUM(Y292:Y295),"0")</f>
        <v>0</v>
      </c>
      <c r="Z297" s="42"/>
      <c r="AA297" s="67"/>
      <c r="AB297" s="67"/>
      <c r="AC297" s="67"/>
    </row>
    <row r="298" spans="1:68" ht="14.25" customHeight="1" x14ac:dyDescent="0.25">
      <c r="A298" s="612" t="s">
        <v>173</v>
      </c>
      <c r="B298" s="612"/>
      <c r="C298" s="612"/>
      <c r="D298" s="612"/>
      <c r="E298" s="612"/>
      <c r="F298" s="612"/>
      <c r="G298" s="612"/>
      <c r="H298" s="612"/>
      <c r="I298" s="612"/>
      <c r="J298" s="612"/>
      <c r="K298" s="612"/>
      <c r="L298" s="612"/>
      <c r="M298" s="612"/>
      <c r="N298" s="612"/>
      <c r="O298" s="612"/>
      <c r="P298" s="612"/>
      <c r="Q298" s="612"/>
      <c r="R298" s="612"/>
      <c r="S298" s="612"/>
      <c r="T298" s="612"/>
      <c r="U298" s="612"/>
      <c r="V298" s="612"/>
      <c r="W298" s="612"/>
      <c r="X298" s="612"/>
      <c r="Y298" s="612"/>
      <c r="Z298" s="612"/>
      <c r="AA298" s="66"/>
      <c r="AB298" s="66"/>
      <c r="AC298" s="80"/>
    </row>
    <row r="299" spans="1:68" ht="27" customHeight="1" x14ac:dyDescent="0.25">
      <c r="A299" s="63" t="s">
        <v>488</v>
      </c>
      <c r="B299" s="63" t="s">
        <v>489</v>
      </c>
      <c r="C299" s="36">
        <v>4301060387</v>
      </c>
      <c r="D299" s="613">
        <v>4607091380880</v>
      </c>
      <c r="E299" s="613"/>
      <c r="F299" s="62">
        <v>1.4</v>
      </c>
      <c r="G299" s="37">
        <v>6</v>
      </c>
      <c r="H299" s="62">
        <v>8.4</v>
      </c>
      <c r="I299" s="62">
        <v>8.8940000000000001</v>
      </c>
      <c r="J299" s="37">
        <v>64</v>
      </c>
      <c r="K299" s="37" t="s">
        <v>117</v>
      </c>
      <c r="L299" s="37" t="s">
        <v>45</v>
      </c>
      <c r="M299" s="38" t="s">
        <v>91</v>
      </c>
      <c r="N299" s="38"/>
      <c r="O299" s="37">
        <v>30</v>
      </c>
      <c r="P299" s="76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99" s="615"/>
      <c r="R299" s="615"/>
      <c r="S299" s="615"/>
      <c r="T299" s="61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70" t="s">
        <v>490</v>
      </c>
      <c r="AG299" s="78"/>
      <c r="AJ299" s="84" t="s">
        <v>45</v>
      </c>
      <c r="AK299" s="84">
        <v>0</v>
      </c>
      <c r="BB299" s="371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4301060406</v>
      </c>
      <c r="D300" s="613">
        <v>4607091384482</v>
      </c>
      <c r="E300" s="613"/>
      <c r="F300" s="62">
        <v>1.3</v>
      </c>
      <c r="G300" s="37">
        <v>6</v>
      </c>
      <c r="H300" s="62">
        <v>7.8</v>
      </c>
      <c r="I300" s="62">
        <v>8.2940000000000005</v>
      </c>
      <c r="J300" s="37">
        <v>64</v>
      </c>
      <c r="K300" s="37" t="s">
        <v>117</v>
      </c>
      <c r="L300" s="37" t="s">
        <v>45</v>
      </c>
      <c r="M300" s="38" t="s">
        <v>91</v>
      </c>
      <c r="N300" s="38"/>
      <c r="O300" s="37">
        <v>30</v>
      </c>
      <c r="P300" s="76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0" s="615"/>
      <c r="R300" s="615"/>
      <c r="S300" s="615"/>
      <c r="T300" s="61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2" t="s">
        <v>493</v>
      </c>
      <c r="AG300" s="78"/>
      <c r="AJ300" s="84" t="s">
        <v>45</v>
      </c>
      <c r="AK300" s="84">
        <v>0</v>
      </c>
      <c r="BB300" s="373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16.5" customHeight="1" x14ac:dyDescent="0.25">
      <c r="A301" s="63" t="s">
        <v>494</v>
      </c>
      <c r="B301" s="63" t="s">
        <v>495</v>
      </c>
      <c r="C301" s="36">
        <v>4301060484</v>
      </c>
      <c r="D301" s="613">
        <v>4607091380897</v>
      </c>
      <c r="E301" s="613"/>
      <c r="F301" s="62">
        <v>1.4</v>
      </c>
      <c r="G301" s="37">
        <v>6</v>
      </c>
      <c r="H301" s="62">
        <v>8.4</v>
      </c>
      <c r="I301" s="62">
        <v>8.8940000000000001</v>
      </c>
      <c r="J301" s="37">
        <v>64</v>
      </c>
      <c r="K301" s="37" t="s">
        <v>117</v>
      </c>
      <c r="L301" s="37" t="s">
        <v>45</v>
      </c>
      <c r="M301" s="38" t="s">
        <v>98</v>
      </c>
      <c r="N301" s="38"/>
      <c r="O301" s="37">
        <v>30</v>
      </c>
      <c r="P301" s="7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1" s="615"/>
      <c r="R301" s="615"/>
      <c r="S301" s="615"/>
      <c r="T301" s="61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74" t="s">
        <v>496</v>
      </c>
      <c r="AG301" s="78"/>
      <c r="AJ301" s="84" t="s">
        <v>45</v>
      </c>
      <c r="AK301" s="84">
        <v>0</v>
      </c>
      <c r="BB301" s="375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1"/>
      <c r="B302" s="621"/>
      <c r="C302" s="621"/>
      <c r="D302" s="621"/>
      <c r="E302" s="621"/>
      <c r="F302" s="621"/>
      <c r="G302" s="621"/>
      <c r="H302" s="621"/>
      <c r="I302" s="621"/>
      <c r="J302" s="621"/>
      <c r="K302" s="621"/>
      <c r="L302" s="621"/>
      <c r="M302" s="621"/>
      <c r="N302" s="621"/>
      <c r="O302" s="622"/>
      <c r="P302" s="618" t="s">
        <v>40</v>
      </c>
      <c r="Q302" s="619"/>
      <c r="R302" s="619"/>
      <c r="S302" s="619"/>
      <c r="T302" s="619"/>
      <c r="U302" s="619"/>
      <c r="V302" s="620"/>
      <c r="W302" s="42" t="s">
        <v>39</v>
      </c>
      <c r="X302" s="43">
        <f>IFERROR(X299/H299,"0")+IFERROR(X300/H300,"0")+IFERROR(X301/H301,"0")</f>
        <v>0</v>
      </c>
      <c r="Y302" s="43">
        <f>IFERROR(Y299/H299,"0")+IFERROR(Y300/H300,"0")+IFERROR(Y301/H301,"0")</f>
        <v>0</v>
      </c>
      <c r="Z302" s="43">
        <f>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21"/>
      <c r="B303" s="621"/>
      <c r="C303" s="621"/>
      <c r="D303" s="621"/>
      <c r="E303" s="621"/>
      <c r="F303" s="621"/>
      <c r="G303" s="621"/>
      <c r="H303" s="621"/>
      <c r="I303" s="621"/>
      <c r="J303" s="621"/>
      <c r="K303" s="621"/>
      <c r="L303" s="621"/>
      <c r="M303" s="621"/>
      <c r="N303" s="621"/>
      <c r="O303" s="622"/>
      <c r="P303" s="618" t="s">
        <v>40</v>
      </c>
      <c r="Q303" s="619"/>
      <c r="R303" s="619"/>
      <c r="S303" s="619"/>
      <c r="T303" s="619"/>
      <c r="U303" s="619"/>
      <c r="V303" s="620"/>
      <c r="W303" s="42" t="s">
        <v>0</v>
      </c>
      <c r="X303" s="43">
        <f>IFERROR(SUM(X299:X301),"0")</f>
        <v>0</v>
      </c>
      <c r="Y303" s="43">
        <f>IFERROR(SUM(Y299:Y301),"0")</f>
        <v>0</v>
      </c>
      <c r="Z303" s="42"/>
      <c r="AA303" s="67"/>
      <c r="AB303" s="67"/>
      <c r="AC303" s="67"/>
    </row>
    <row r="304" spans="1:68" ht="14.25" customHeight="1" x14ac:dyDescent="0.25">
      <c r="A304" s="612" t="s">
        <v>104</v>
      </c>
      <c r="B304" s="612"/>
      <c r="C304" s="612"/>
      <c r="D304" s="612"/>
      <c r="E304" s="612"/>
      <c r="F304" s="612"/>
      <c r="G304" s="612"/>
      <c r="H304" s="612"/>
      <c r="I304" s="612"/>
      <c r="J304" s="612"/>
      <c r="K304" s="612"/>
      <c r="L304" s="612"/>
      <c r="M304" s="612"/>
      <c r="N304" s="612"/>
      <c r="O304" s="612"/>
      <c r="P304" s="612"/>
      <c r="Q304" s="612"/>
      <c r="R304" s="612"/>
      <c r="S304" s="612"/>
      <c r="T304" s="612"/>
      <c r="U304" s="612"/>
      <c r="V304" s="612"/>
      <c r="W304" s="612"/>
      <c r="X304" s="612"/>
      <c r="Y304" s="612"/>
      <c r="Z304" s="612"/>
      <c r="AA304" s="66"/>
      <c r="AB304" s="66"/>
      <c r="AC304" s="80"/>
    </row>
    <row r="305" spans="1:68" ht="27" customHeight="1" x14ac:dyDescent="0.25">
      <c r="A305" s="63" t="s">
        <v>497</v>
      </c>
      <c r="B305" s="63" t="s">
        <v>498</v>
      </c>
      <c r="C305" s="36">
        <v>4301030235</v>
      </c>
      <c r="D305" s="613">
        <v>4607091388381</v>
      </c>
      <c r="E305" s="613"/>
      <c r="F305" s="62">
        <v>0.38</v>
      </c>
      <c r="G305" s="37">
        <v>8</v>
      </c>
      <c r="H305" s="62">
        <v>3.04</v>
      </c>
      <c r="I305" s="62">
        <v>3.31</v>
      </c>
      <c r="J305" s="37">
        <v>132</v>
      </c>
      <c r="K305" s="37" t="s">
        <v>120</v>
      </c>
      <c r="L305" s="37" t="s">
        <v>45</v>
      </c>
      <c r="M305" s="38" t="s">
        <v>109</v>
      </c>
      <c r="N305" s="38"/>
      <c r="O305" s="37">
        <v>180</v>
      </c>
      <c r="P305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05" s="615"/>
      <c r="R305" s="615"/>
      <c r="S305" s="615"/>
      <c r="T305" s="616"/>
      <c r="U305" s="39" t="s">
        <v>45</v>
      </c>
      <c r="V305" s="39" t="s">
        <v>45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6" t="s">
        <v>499</v>
      </c>
      <c r="AG305" s="78"/>
      <c r="AJ305" s="84" t="s">
        <v>45</v>
      </c>
      <c r="AK305" s="84">
        <v>0</v>
      </c>
      <c r="BB305" s="377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500</v>
      </c>
      <c r="B306" s="63" t="s">
        <v>501</v>
      </c>
      <c r="C306" s="36">
        <v>4301030232</v>
      </c>
      <c r="D306" s="613">
        <v>4607091388374</v>
      </c>
      <c r="E306" s="613"/>
      <c r="F306" s="62">
        <v>0.38</v>
      </c>
      <c r="G306" s="37">
        <v>8</v>
      </c>
      <c r="H306" s="62">
        <v>3.04</v>
      </c>
      <c r="I306" s="62">
        <v>3.27</v>
      </c>
      <c r="J306" s="37">
        <v>132</v>
      </c>
      <c r="K306" s="37" t="s">
        <v>120</v>
      </c>
      <c r="L306" s="37" t="s">
        <v>45</v>
      </c>
      <c r="M306" s="38" t="s">
        <v>109</v>
      </c>
      <c r="N306" s="38"/>
      <c r="O306" s="37">
        <v>180</v>
      </c>
      <c r="P306" s="7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06" s="615"/>
      <c r="R306" s="615"/>
      <c r="S306" s="615"/>
      <c r="T306" s="616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8" t="s">
        <v>499</v>
      </c>
      <c r="AG306" s="78"/>
      <c r="AJ306" s="84" t="s">
        <v>45</v>
      </c>
      <c r="AK306" s="84">
        <v>0</v>
      </c>
      <c r="BB306" s="379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4301032015</v>
      </c>
      <c r="D307" s="613">
        <v>4607091383102</v>
      </c>
      <c r="E307" s="613"/>
      <c r="F307" s="62">
        <v>0.17</v>
      </c>
      <c r="G307" s="37">
        <v>15</v>
      </c>
      <c r="H307" s="62">
        <v>2.5499999999999998</v>
      </c>
      <c r="I307" s="62">
        <v>2.9550000000000001</v>
      </c>
      <c r="J307" s="37">
        <v>182</v>
      </c>
      <c r="K307" s="37" t="s">
        <v>82</v>
      </c>
      <c r="L307" s="37" t="s">
        <v>45</v>
      </c>
      <c r="M307" s="38" t="s">
        <v>109</v>
      </c>
      <c r="N307" s="38"/>
      <c r="O307" s="37">
        <v>180</v>
      </c>
      <c r="P307" s="7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07" s="615"/>
      <c r="R307" s="615"/>
      <c r="S307" s="615"/>
      <c r="T307" s="616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80" t="s">
        <v>504</v>
      </c>
      <c r="AG307" s="78"/>
      <c r="AJ307" s="84" t="s">
        <v>45</v>
      </c>
      <c r="AK307" s="84">
        <v>0</v>
      </c>
      <c r="BB307" s="381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4301030233</v>
      </c>
      <c r="D308" s="613">
        <v>4607091388404</v>
      </c>
      <c r="E308" s="613"/>
      <c r="F308" s="62">
        <v>0.17</v>
      </c>
      <c r="G308" s="37">
        <v>15</v>
      </c>
      <c r="H308" s="62">
        <v>2.5499999999999998</v>
      </c>
      <c r="I308" s="62">
        <v>2.88</v>
      </c>
      <c r="J308" s="37">
        <v>182</v>
      </c>
      <c r="K308" s="37" t="s">
        <v>82</v>
      </c>
      <c r="L308" s="37" t="s">
        <v>45</v>
      </c>
      <c r="M308" s="38" t="s">
        <v>109</v>
      </c>
      <c r="N308" s="38"/>
      <c r="O308" s="37">
        <v>180</v>
      </c>
      <c r="P308" s="7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08" s="615"/>
      <c r="R308" s="615"/>
      <c r="S308" s="615"/>
      <c r="T308" s="61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2" t="s">
        <v>499</v>
      </c>
      <c r="AG308" s="78"/>
      <c r="AJ308" s="84" t="s">
        <v>45</v>
      </c>
      <c r="AK308" s="84">
        <v>0</v>
      </c>
      <c r="BB308" s="383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21"/>
      <c r="B309" s="621"/>
      <c r="C309" s="621"/>
      <c r="D309" s="621"/>
      <c r="E309" s="621"/>
      <c r="F309" s="621"/>
      <c r="G309" s="621"/>
      <c r="H309" s="621"/>
      <c r="I309" s="621"/>
      <c r="J309" s="621"/>
      <c r="K309" s="621"/>
      <c r="L309" s="621"/>
      <c r="M309" s="621"/>
      <c r="N309" s="621"/>
      <c r="O309" s="622"/>
      <c r="P309" s="618" t="s">
        <v>40</v>
      </c>
      <c r="Q309" s="619"/>
      <c r="R309" s="619"/>
      <c r="S309" s="619"/>
      <c r="T309" s="619"/>
      <c r="U309" s="619"/>
      <c r="V309" s="620"/>
      <c r="W309" s="42" t="s">
        <v>39</v>
      </c>
      <c r="X309" s="43">
        <f>IFERROR(X305/H305,"0")+IFERROR(X306/H306,"0")+IFERROR(X307/H307,"0")+IFERROR(X308/H308,"0")</f>
        <v>0</v>
      </c>
      <c r="Y309" s="43">
        <f>IFERROR(Y305/H305,"0")+IFERROR(Y306/H306,"0")+IFERROR(Y307/H307,"0")+IFERROR(Y308/H308,"0")</f>
        <v>0</v>
      </c>
      <c r="Z309" s="43">
        <f>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21"/>
      <c r="B310" s="621"/>
      <c r="C310" s="621"/>
      <c r="D310" s="621"/>
      <c r="E310" s="621"/>
      <c r="F310" s="621"/>
      <c r="G310" s="621"/>
      <c r="H310" s="621"/>
      <c r="I310" s="621"/>
      <c r="J310" s="621"/>
      <c r="K310" s="621"/>
      <c r="L310" s="621"/>
      <c r="M310" s="621"/>
      <c r="N310" s="621"/>
      <c r="O310" s="622"/>
      <c r="P310" s="618" t="s">
        <v>40</v>
      </c>
      <c r="Q310" s="619"/>
      <c r="R310" s="619"/>
      <c r="S310" s="619"/>
      <c r="T310" s="619"/>
      <c r="U310" s="619"/>
      <c r="V310" s="620"/>
      <c r="W310" s="42" t="s">
        <v>0</v>
      </c>
      <c r="X310" s="43">
        <f>IFERROR(SUM(X305:X308),"0")</f>
        <v>0</v>
      </c>
      <c r="Y310" s="43">
        <f>IFERROR(SUM(Y305:Y308),"0")</f>
        <v>0</v>
      </c>
      <c r="Z310" s="42"/>
      <c r="AA310" s="67"/>
      <c r="AB310" s="67"/>
      <c r="AC310" s="67"/>
    </row>
    <row r="311" spans="1:68" ht="14.25" customHeight="1" x14ac:dyDescent="0.25">
      <c r="A311" s="612" t="s">
        <v>507</v>
      </c>
      <c r="B311" s="612"/>
      <c r="C311" s="612"/>
      <c r="D311" s="612"/>
      <c r="E311" s="612"/>
      <c r="F311" s="612"/>
      <c r="G311" s="612"/>
      <c r="H311" s="612"/>
      <c r="I311" s="612"/>
      <c r="J311" s="612"/>
      <c r="K311" s="612"/>
      <c r="L311" s="612"/>
      <c r="M311" s="612"/>
      <c r="N311" s="612"/>
      <c r="O311" s="612"/>
      <c r="P311" s="612"/>
      <c r="Q311" s="612"/>
      <c r="R311" s="612"/>
      <c r="S311" s="612"/>
      <c r="T311" s="612"/>
      <c r="U311" s="612"/>
      <c r="V311" s="612"/>
      <c r="W311" s="612"/>
      <c r="X311" s="612"/>
      <c r="Y311" s="612"/>
      <c r="Z311" s="612"/>
      <c r="AA311" s="66"/>
      <c r="AB311" s="66"/>
      <c r="AC311" s="80"/>
    </row>
    <row r="312" spans="1:68" ht="16.5" customHeight="1" x14ac:dyDescent="0.25">
      <c r="A312" s="63" t="s">
        <v>508</v>
      </c>
      <c r="B312" s="63" t="s">
        <v>509</v>
      </c>
      <c r="C312" s="36">
        <v>4301180007</v>
      </c>
      <c r="D312" s="613">
        <v>4680115881808</v>
      </c>
      <c r="E312" s="613"/>
      <c r="F312" s="62">
        <v>0.1</v>
      </c>
      <c r="G312" s="37">
        <v>20</v>
      </c>
      <c r="H312" s="62">
        <v>2</v>
      </c>
      <c r="I312" s="62">
        <v>2.2400000000000002</v>
      </c>
      <c r="J312" s="37">
        <v>238</v>
      </c>
      <c r="K312" s="37" t="s">
        <v>82</v>
      </c>
      <c r="L312" s="37" t="s">
        <v>45</v>
      </c>
      <c r="M312" s="38" t="s">
        <v>511</v>
      </c>
      <c r="N312" s="38"/>
      <c r="O312" s="37">
        <v>730</v>
      </c>
      <c r="P312" s="77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2" s="615"/>
      <c r="R312" s="615"/>
      <c r="S312" s="615"/>
      <c r="T312" s="616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IFERROR(IF(Y312=0,"",ROUNDUP(Y312/H312,0)*0.00474),"")</f>
        <v/>
      </c>
      <c r="AA312" s="68" t="s">
        <v>45</v>
      </c>
      <c r="AB312" s="69" t="s">
        <v>45</v>
      </c>
      <c r="AC312" s="384" t="s">
        <v>510</v>
      </c>
      <c r="AG312" s="78"/>
      <c r="AJ312" s="84" t="s">
        <v>45</v>
      </c>
      <c r="AK312" s="84">
        <v>0</v>
      </c>
      <c r="BB312" s="385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512</v>
      </c>
      <c r="B313" s="63" t="s">
        <v>513</v>
      </c>
      <c r="C313" s="36">
        <v>4301180006</v>
      </c>
      <c r="D313" s="613">
        <v>4680115881822</v>
      </c>
      <c r="E313" s="613"/>
      <c r="F313" s="62">
        <v>0.1</v>
      </c>
      <c r="G313" s="37">
        <v>20</v>
      </c>
      <c r="H313" s="62">
        <v>2</v>
      </c>
      <c r="I313" s="62">
        <v>2.2400000000000002</v>
      </c>
      <c r="J313" s="37">
        <v>238</v>
      </c>
      <c r="K313" s="37" t="s">
        <v>82</v>
      </c>
      <c r="L313" s="37" t="s">
        <v>45</v>
      </c>
      <c r="M313" s="38" t="s">
        <v>511</v>
      </c>
      <c r="N313" s="38"/>
      <c r="O313" s="37">
        <v>730</v>
      </c>
      <c r="P313" s="77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13" s="615"/>
      <c r="R313" s="615"/>
      <c r="S313" s="615"/>
      <c r="T313" s="616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IFERROR(IF(Y313=0,"",ROUNDUP(Y313/H313,0)*0.00474),"")</f>
        <v/>
      </c>
      <c r="AA313" s="68" t="s">
        <v>45</v>
      </c>
      <c r="AB313" s="69" t="s">
        <v>45</v>
      </c>
      <c r="AC313" s="386" t="s">
        <v>510</v>
      </c>
      <c r="AG313" s="78"/>
      <c r="AJ313" s="84" t="s">
        <v>45</v>
      </c>
      <c r="AK313" s="84">
        <v>0</v>
      </c>
      <c r="BB313" s="387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514</v>
      </c>
      <c r="B314" s="63" t="s">
        <v>515</v>
      </c>
      <c r="C314" s="36">
        <v>4301180001</v>
      </c>
      <c r="D314" s="613">
        <v>4680115880016</v>
      </c>
      <c r="E314" s="613"/>
      <c r="F314" s="62">
        <v>0.1</v>
      </c>
      <c r="G314" s="37">
        <v>20</v>
      </c>
      <c r="H314" s="62">
        <v>2</v>
      </c>
      <c r="I314" s="62">
        <v>2.2400000000000002</v>
      </c>
      <c r="J314" s="37">
        <v>238</v>
      </c>
      <c r="K314" s="37" t="s">
        <v>82</v>
      </c>
      <c r="L314" s="37" t="s">
        <v>45</v>
      </c>
      <c r="M314" s="38" t="s">
        <v>511</v>
      </c>
      <c r="N314" s="38"/>
      <c r="O314" s="37">
        <v>730</v>
      </c>
      <c r="P314" s="77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14" s="615"/>
      <c r="R314" s="615"/>
      <c r="S314" s="615"/>
      <c r="T314" s="61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IFERROR(IF(Y314=0,"",ROUNDUP(Y314/H314,0)*0.00474),"")</f>
        <v/>
      </c>
      <c r="AA314" s="68" t="s">
        <v>45</v>
      </c>
      <c r="AB314" s="69" t="s">
        <v>45</v>
      </c>
      <c r="AC314" s="388" t="s">
        <v>510</v>
      </c>
      <c r="AG314" s="78"/>
      <c r="AJ314" s="84" t="s">
        <v>45</v>
      </c>
      <c r="AK314" s="84">
        <v>0</v>
      </c>
      <c r="BB314" s="38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21"/>
      <c r="B315" s="621"/>
      <c r="C315" s="621"/>
      <c r="D315" s="621"/>
      <c r="E315" s="621"/>
      <c r="F315" s="621"/>
      <c r="G315" s="621"/>
      <c r="H315" s="621"/>
      <c r="I315" s="621"/>
      <c r="J315" s="621"/>
      <c r="K315" s="621"/>
      <c r="L315" s="621"/>
      <c r="M315" s="621"/>
      <c r="N315" s="621"/>
      <c r="O315" s="622"/>
      <c r="P315" s="618" t="s">
        <v>40</v>
      </c>
      <c r="Q315" s="619"/>
      <c r="R315" s="619"/>
      <c r="S315" s="619"/>
      <c r="T315" s="619"/>
      <c r="U315" s="619"/>
      <c r="V315" s="620"/>
      <c r="W315" s="42" t="s">
        <v>39</v>
      </c>
      <c r="X315" s="43">
        <f>IFERROR(X312/H312,"0")+IFERROR(X313/H313,"0")+IFERROR(X314/H314,"0")</f>
        <v>0</v>
      </c>
      <c r="Y315" s="43">
        <f>IFERROR(Y312/H312,"0")+IFERROR(Y313/H313,"0")+IFERROR(Y314/H314,"0")</f>
        <v>0</v>
      </c>
      <c r="Z315" s="43">
        <f>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21"/>
      <c r="B316" s="621"/>
      <c r="C316" s="621"/>
      <c r="D316" s="621"/>
      <c r="E316" s="621"/>
      <c r="F316" s="621"/>
      <c r="G316" s="621"/>
      <c r="H316" s="621"/>
      <c r="I316" s="621"/>
      <c r="J316" s="621"/>
      <c r="K316" s="621"/>
      <c r="L316" s="621"/>
      <c r="M316" s="621"/>
      <c r="N316" s="621"/>
      <c r="O316" s="622"/>
      <c r="P316" s="618" t="s">
        <v>40</v>
      </c>
      <c r="Q316" s="619"/>
      <c r="R316" s="619"/>
      <c r="S316" s="619"/>
      <c r="T316" s="619"/>
      <c r="U316" s="619"/>
      <c r="V316" s="620"/>
      <c r="W316" s="42" t="s">
        <v>0</v>
      </c>
      <c r="X316" s="43">
        <f>IFERROR(SUM(X312:X314),"0")</f>
        <v>0</v>
      </c>
      <c r="Y316" s="43">
        <f>IFERROR(SUM(Y312:Y314),"0")</f>
        <v>0</v>
      </c>
      <c r="Z316" s="42"/>
      <c r="AA316" s="67"/>
      <c r="AB316" s="67"/>
      <c r="AC316" s="67"/>
    </row>
    <row r="317" spans="1:68" ht="16.5" customHeight="1" x14ac:dyDescent="0.25">
      <c r="A317" s="611" t="s">
        <v>516</v>
      </c>
      <c r="B317" s="611"/>
      <c r="C317" s="611"/>
      <c r="D317" s="611"/>
      <c r="E317" s="611"/>
      <c r="F317" s="611"/>
      <c r="G317" s="611"/>
      <c r="H317" s="611"/>
      <c r="I317" s="611"/>
      <c r="J317" s="611"/>
      <c r="K317" s="611"/>
      <c r="L317" s="611"/>
      <c r="M317" s="611"/>
      <c r="N317" s="611"/>
      <c r="O317" s="611"/>
      <c r="P317" s="611"/>
      <c r="Q317" s="611"/>
      <c r="R317" s="611"/>
      <c r="S317" s="611"/>
      <c r="T317" s="611"/>
      <c r="U317" s="611"/>
      <c r="V317" s="611"/>
      <c r="W317" s="611"/>
      <c r="X317" s="611"/>
      <c r="Y317" s="611"/>
      <c r="Z317" s="611"/>
      <c r="AA317" s="65"/>
      <c r="AB317" s="65"/>
      <c r="AC317" s="79"/>
    </row>
    <row r="318" spans="1:68" ht="14.25" customHeight="1" x14ac:dyDescent="0.25">
      <c r="A318" s="612" t="s">
        <v>87</v>
      </c>
      <c r="B318" s="612"/>
      <c r="C318" s="612"/>
      <c r="D318" s="612"/>
      <c r="E318" s="612"/>
      <c r="F318" s="612"/>
      <c r="G318" s="612"/>
      <c r="H318" s="612"/>
      <c r="I318" s="612"/>
      <c r="J318" s="612"/>
      <c r="K318" s="612"/>
      <c r="L318" s="612"/>
      <c r="M318" s="612"/>
      <c r="N318" s="612"/>
      <c r="O318" s="612"/>
      <c r="P318" s="612"/>
      <c r="Q318" s="612"/>
      <c r="R318" s="612"/>
      <c r="S318" s="612"/>
      <c r="T318" s="612"/>
      <c r="U318" s="612"/>
      <c r="V318" s="612"/>
      <c r="W318" s="612"/>
      <c r="X318" s="612"/>
      <c r="Y318" s="612"/>
      <c r="Z318" s="612"/>
      <c r="AA318" s="66"/>
      <c r="AB318" s="66"/>
      <c r="AC318" s="80"/>
    </row>
    <row r="319" spans="1:68" ht="27" customHeight="1" x14ac:dyDescent="0.25">
      <c r="A319" s="63" t="s">
        <v>517</v>
      </c>
      <c r="B319" s="63" t="s">
        <v>518</v>
      </c>
      <c r="C319" s="36">
        <v>4301051489</v>
      </c>
      <c r="D319" s="613">
        <v>4607091387919</v>
      </c>
      <c r="E319" s="613"/>
      <c r="F319" s="62">
        <v>1.35</v>
      </c>
      <c r="G319" s="37">
        <v>6</v>
      </c>
      <c r="H319" s="62">
        <v>8.1</v>
      </c>
      <c r="I319" s="62">
        <v>8.5939999999999994</v>
      </c>
      <c r="J319" s="37">
        <v>64</v>
      </c>
      <c r="K319" s="37" t="s">
        <v>117</v>
      </c>
      <c r="L319" s="37" t="s">
        <v>45</v>
      </c>
      <c r="M319" s="38" t="s">
        <v>98</v>
      </c>
      <c r="N319" s="38"/>
      <c r="O319" s="37">
        <v>45</v>
      </c>
      <c r="P319" s="7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19" s="615"/>
      <c r="R319" s="615"/>
      <c r="S319" s="615"/>
      <c r="T319" s="616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519</v>
      </c>
      <c r="AG319" s="78"/>
      <c r="AJ319" s="84" t="s">
        <v>45</v>
      </c>
      <c r="AK319" s="84">
        <v>0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520</v>
      </c>
      <c r="B320" s="63" t="s">
        <v>521</v>
      </c>
      <c r="C320" s="36">
        <v>4301051461</v>
      </c>
      <c r="D320" s="613">
        <v>4680115883604</v>
      </c>
      <c r="E320" s="613"/>
      <c r="F320" s="62">
        <v>0.35</v>
      </c>
      <c r="G320" s="37">
        <v>6</v>
      </c>
      <c r="H320" s="62">
        <v>2.1</v>
      </c>
      <c r="I320" s="62">
        <v>2.3519999999999999</v>
      </c>
      <c r="J320" s="37">
        <v>182</v>
      </c>
      <c r="K320" s="37" t="s">
        <v>82</v>
      </c>
      <c r="L320" s="37" t="s">
        <v>45</v>
      </c>
      <c r="M320" s="38" t="s">
        <v>91</v>
      </c>
      <c r="N320" s="38"/>
      <c r="O320" s="37">
        <v>45</v>
      </c>
      <c r="P320" s="77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0" s="615"/>
      <c r="R320" s="615"/>
      <c r="S320" s="615"/>
      <c r="T320" s="61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IFERROR(IF(Y320=0,"",ROUNDUP(Y320/H320,0)*0.00651),"")</f>
        <v/>
      </c>
      <c r="AA320" s="68" t="s">
        <v>45</v>
      </c>
      <c r="AB320" s="69" t="s">
        <v>45</v>
      </c>
      <c r="AC320" s="392" t="s">
        <v>522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523</v>
      </c>
      <c r="B321" s="63" t="s">
        <v>524</v>
      </c>
      <c r="C321" s="36">
        <v>4301051864</v>
      </c>
      <c r="D321" s="613">
        <v>4680115883567</v>
      </c>
      <c r="E321" s="613"/>
      <c r="F321" s="62">
        <v>0.35</v>
      </c>
      <c r="G321" s="37">
        <v>6</v>
      </c>
      <c r="H321" s="62">
        <v>2.1</v>
      </c>
      <c r="I321" s="62">
        <v>2.34</v>
      </c>
      <c r="J321" s="37">
        <v>182</v>
      </c>
      <c r="K321" s="37" t="s">
        <v>82</v>
      </c>
      <c r="L321" s="37" t="s">
        <v>45</v>
      </c>
      <c r="M321" s="38" t="s">
        <v>98</v>
      </c>
      <c r="N321" s="38"/>
      <c r="O321" s="37">
        <v>40</v>
      </c>
      <c r="P321" s="77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1" s="615"/>
      <c r="R321" s="615"/>
      <c r="S321" s="615"/>
      <c r="T321" s="61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45</v>
      </c>
      <c r="AB321" s="69" t="s">
        <v>45</v>
      </c>
      <c r="AC321" s="394" t="s">
        <v>525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21"/>
      <c r="B322" s="621"/>
      <c r="C322" s="621"/>
      <c r="D322" s="621"/>
      <c r="E322" s="621"/>
      <c r="F322" s="621"/>
      <c r="G322" s="621"/>
      <c r="H322" s="621"/>
      <c r="I322" s="621"/>
      <c r="J322" s="621"/>
      <c r="K322" s="621"/>
      <c r="L322" s="621"/>
      <c r="M322" s="621"/>
      <c r="N322" s="621"/>
      <c r="O322" s="622"/>
      <c r="P322" s="618" t="s">
        <v>40</v>
      </c>
      <c r="Q322" s="619"/>
      <c r="R322" s="619"/>
      <c r="S322" s="619"/>
      <c r="T322" s="619"/>
      <c r="U322" s="619"/>
      <c r="V322" s="620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21"/>
      <c r="B323" s="621"/>
      <c r="C323" s="621"/>
      <c r="D323" s="621"/>
      <c r="E323" s="621"/>
      <c r="F323" s="621"/>
      <c r="G323" s="621"/>
      <c r="H323" s="621"/>
      <c r="I323" s="621"/>
      <c r="J323" s="621"/>
      <c r="K323" s="621"/>
      <c r="L323" s="621"/>
      <c r="M323" s="621"/>
      <c r="N323" s="621"/>
      <c r="O323" s="622"/>
      <c r="P323" s="618" t="s">
        <v>40</v>
      </c>
      <c r="Q323" s="619"/>
      <c r="R323" s="619"/>
      <c r="S323" s="619"/>
      <c r="T323" s="619"/>
      <c r="U323" s="619"/>
      <c r="V323" s="620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27.75" customHeight="1" x14ac:dyDescent="0.2">
      <c r="A324" s="610" t="s">
        <v>526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4"/>
      <c r="AB324" s="54"/>
      <c r="AC324" s="54"/>
    </row>
    <row r="325" spans="1:68" ht="16.5" customHeight="1" x14ac:dyDescent="0.25">
      <c r="A325" s="611" t="s">
        <v>527</v>
      </c>
      <c r="B325" s="611"/>
      <c r="C325" s="611"/>
      <c r="D325" s="611"/>
      <c r="E325" s="611"/>
      <c r="F325" s="611"/>
      <c r="G325" s="611"/>
      <c r="H325" s="611"/>
      <c r="I325" s="611"/>
      <c r="J325" s="611"/>
      <c r="K325" s="611"/>
      <c r="L325" s="611"/>
      <c r="M325" s="611"/>
      <c r="N325" s="611"/>
      <c r="O325" s="611"/>
      <c r="P325" s="611"/>
      <c r="Q325" s="611"/>
      <c r="R325" s="611"/>
      <c r="S325" s="611"/>
      <c r="T325" s="611"/>
      <c r="U325" s="611"/>
      <c r="V325" s="611"/>
      <c r="W325" s="611"/>
      <c r="X325" s="611"/>
      <c r="Y325" s="611"/>
      <c r="Z325" s="611"/>
      <c r="AA325" s="65"/>
      <c r="AB325" s="65"/>
      <c r="AC325" s="79"/>
    </row>
    <row r="326" spans="1:68" ht="14.25" customHeight="1" x14ac:dyDescent="0.25">
      <c r="A326" s="612" t="s">
        <v>112</v>
      </c>
      <c r="B326" s="612"/>
      <c r="C326" s="612"/>
      <c r="D326" s="612"/>
      <c r="E326" s="612"/>
      <c r="F326" s="612"/>
      <c r="G326" s="612"/>
      <c r="H326" s="612"/>
      <c r="I326" s="612"/>
      <c r="J326" s="612"/>
      <c r="K326" s="612"/>
      <c r="L326" s="612"/>
      <c r="M326" s="612"/>
      <c r="N326" s="612"/>
      <c r="O326" s="612"/>
      <c r="P326" s="612"/>
      <c r="Q326" s="612"/>
      <c r="R326" s="612"/>
      <c r="S326" s="612"/>
      <c r="T326" s="612"/>
      <c r="U326" s="612"/>
      <c r="V326" s="612"/>
      <c r="W326" s="612"/>
      <c r="X326" s="612"/>
      <c r="Y326" s="612"/>
      <c r="Z326" s="612"/>
      <c r="AA326" s="66"/>
      <c r="AB326" s="66"/>
      <c r="AC326" s="80"/>
    </row>
    <row r="327" spans="1:68" ht="37.5" customHeight="1" x14ac:dyDescent="0.25">
      <c r="A327" s="63" t="s">
        <v>528</v>
      </c>
      <c r="B327" s="63" t="s">
        <v>529</v>
      </c>
      <c r="C327" s="36">
        <v>4301011869</v>
      </c>
      <c r="D327" s="613">
        <v>4680115884847</v>
      </c>
      <c r="E327" s="613"/>
      <c r="F327" s="62">
        <v>2.5</v>
      </c>
      <c r="G327" s="37">
        <v>6</v>
      </c>
      <c r="H327" s="62">
        <v>15</v>
      </c>
      <c r="I327" s="62">
        <v>15.47</v>
      </c>
      <c r="J327" s="37">
        <v>48</v>
      </c>
      <c r="K327" s="37" t="s">
        <v>117</v>
      </c>
      <c r="L327" s="37" t="s">
        <v>45</v>
      </c>
      <c r="M327" s="38" t="s">
        <v>81</v>
      </c>
      <c r="N327" s="38"/>
      <c r="O327" s="37">
        <v>60</v>
      </c>
      <c r="P327" s="7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27" s="615"/>
      <c r="R327" s="615"/>
      <c r="S327" s="615"/>
      <c r="T327" s="616"/>
      <c r="U327" s="39" t="s">
        <v>45</v>
      </c>
      <c r="V327" s="39" t="s">
        <v>45</v>
      </c>
      <c r="W327" s="40" t="s">
        <v>0</v>
      </c>
      <c r="X327" s="58">
        <v>0</v>
      </c>
      <c r="Y327" s="55">
        <f t="shared" ref="Y327:Y333" si="36">IFERROR(IF(X327="",0,CEILING((X327/$H327),1)*$H327),"")</f>
        <v>0</v>
      </c>
      <c r="Z327" s="41" t="str">
        <f>IFERROR(IF(Y327=0,"",ROUNDUP(Y327/H327,0)*0.02175),"")</f>
        <v/>
      </c>
      <c r="AA327" s="68" t="s">
        <v>45</v>
      </c>
      <c r="AB327" s="69" t="s">
        <v>45</v>
      </c>
      <c r="AC327" s="396" t="s">
        <v>530</v>
      </c>
      <c r="AG327" s="78"/>
      <c r="AJ327" s="84" t="s">
        <v>45</v>
      </c>
      <c r="AK327" s="84">
        <v>0</v>
      </c>
      <c r="BB327" s="397" t="s">
        <v>66</v>
      </c>
      <c r="BM327" s="78">
        <f t="shared" ref="BM327:BM333" si="37">IFERROR(X327*I327/H327,"0")</f>
        <v>0</v>
      </c>
      <c r="BN327" s="78">
        <f t="shared" ref="BN327:BN333" si="38">IFERROR(Y327*I327/H327,"0")</f>
        <v>0</v>
      </c>
      <c r="BO327" s="78">
        <f t="shared" ref="BO327:BO333" si="39">IFERROR(1/J327*(X327/H327),"0")</f>
        <v>0</v>
      </c>
      <c r="BP327" s="78">
        <f t="shared" ref="BP327:BP333" si="40">IFERROR(1/J327*(Y327/H327),"0")</f>
        <v>0</v>
      </c>
    </row>
    <row r="328" spans="1:68" ht="27" customHeight="1" x14ac:dyDescent="0.25">
      <c r="A328" s="63" t="s">
        <v>531</v>
      </c>
      <c r="B328" s="63" t="s">
        <v>532</v>
      </c>
      <c r="C328" s="36">
        <v>4301011870</v>
      </c>
      <c r="D328" s="613">
        <v>4680115884854</v>
      </c>
      <c r="E328" s="613"/>
      <c r="F328" s="62">
        <v>2.5</v>
      </c>
      <c r="G328" s="37">
        <v>6</v>
      </c>
      <c r="H328" s="62">
        <v>15</v>
      </c>
      <c r="I328" s="62">
        <v>15.47</v>
      </c>
      <c r="J328" s="37">
        <v>48</v>
      </c>
      <c r="K328" s="37" t="s">
        <v>117</v>
      </c>
      <c r="L328" s="37" t="s">
        <v>45</v>
      </c>
      <c r="M328" s="38" t="s">
        <v>81</v>
      </c>
      <c r="N328" s="38"/>
      <c r="O328" s="37">
        <v>60</v>
      </c>
      <c r="P328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28" s="615"/>
      <c r="R328" s="615"/>
      <c r="S328" s="615"/>
      <c r="T328" s="616"/>
      <c r="U328" s="39" t="s">
        <v>45</v>
      </c>
      <c r="V328" s="39" t="s">
        <v>45</v>
      </c>
      <c r="W328" s="40" t="s">
        <v>0</v>
      </c>
      <c r="X328" s="58">
        <v>0</v>
      </c>
      <c r="Y328" s="55">
        <f t="shared" si="36"/>
        <v>0</v>
      </c>
      <c r="Z328" s="41" t="str">
        <f>IFERROR(IF(Y328=0,"",ROUNDUP(Y328/H328,0)*0.02175),"")</f>
        <v/>
      </c>
      <c r="AA328" s="68" t="s">
        <v>45</v>
      </c>
      <c r="AB328" s="69" t="s">
        <v>45</v>
      </c>
      <c r="AC328" s="398" t="s">
        <v>533</v>
      </c>
      <c r="AG328" s="78"/>
      <c r="AJ328" s="84" t="s">
        <v>45</v>
      </c>
      <c r="AK328" s="84">
        <v>0</v>
      </c>
      <c r="BB328" s="399" t="s">
        <v>66</v>
      </c>
      <c r="BM328" s="78">
        <f t="shared" si="37"/>
        <v>0</v>
      </c>
      <c r="BN328" s="78">
        <f t="shared" si="38"/>
        <v>0</v>
      </c>
      <c r="BO328" s="78">
        <f t="shared" si="39"/>
        <v>0</v>
      </c>
      <c r="BP328" s="78">
        <f t="shared" si="40"/>
        <v>0</v>
      </c>
    </row>
    <row r="329" spans="1:68" ht="37.5" customHeight="1" x14ac:dyDescent="0.25">
      <c r="A329" s="63" t="s">
        <v>534</v>
      </c>
      <c r="B329" s="63" t="s">
        <v>535</v>
      </c>
      <c r="C329" s="36">
        <v>4301011867</v>
      </c>
      <c r="D329" s="613">
        <v>4680115884830</v>
      </c>
      <c r="E329" s="613"/>
      <c r="F329" s="62">
        <v>2.5</v>
      </c>
      <c r="G329" s="37">
        <v>6</v>
      </c>
      <c r="H329" s="62">
        <v>15</v>
      </c>
      <c r="I329" s="62">
        <v>15.47</v>
      </c>
      <c r="J329" s="37">
        <v>48</v>
      </c>
      <c r="K329" s="37" t="s">
        <v>117</v>
      </c>
      <c r="L329" s="37" t="s">
        <v>45</v>
      </c>
      <c r="M329" s="38" t="s">
        <v>81</v>
      </c>
      <c r="N329" s="38"/>
      <c r="O329" s="37">
        <v>60</v>
      </c>
      <c r="P329" s="7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29" s="615"/>
      <c r="R329" s="615"/>
      <c r="S329" s="615"/>
      <c r="T329" s="616"/>
      <c r="U329" s="39" t="s">
        <v>45</v>
      </c>
      <c r="V329" s="39" t="s">
        <v>45</v>
      </c>
      <c r="W329" s="40" t="s">
        <v>0</v>
      </c>
      <c r="X329" s="58">
        <v>0</v>
      </c>
      <c r="Y329" s="55">
        <f t="shared" si="36"/>
        <v>0</v>
      </c>
      <c r="Z329" s="41" t="str">
        <f>IFERROR(IF(Y329=0,"",ROUNDUP(Y329/H329,0)*0.02175),"")</f>
        <v/>
      </c>
      <c r="AA329" s="68" t="s">
        <v>45</v>
      </c>
      <c r="AB329" s="69" t="s">
        <v>45</v>
      </c>
      <c r="AC329" s="400" t="s">
        <v>536</v>
      </c>
      <c r="AG329" s="78"/>
      <c r="AJ329" s="84" t="s">
        <v>45</v>
      </c>
      <c r="AK329" s="84">
        <v>0</v>
      </c>
      <c r="BB329" s="401" t="s">
        <v>66</v>
      </c>
      <c r="BM329" s="78">
        <f t="shared" si="37"/>
        <v>0</v>
      </c>
      <c r="BN329" s="78">
        <f t="shared" si="38"/>
        <v>0</v>
      </c>
      <c r="BO329" s="78">
        <f t="shared" si="39"/>
        <v>0</v>
      </c>
      <c r="BP329" s="78">
        <f t="shared" si="40"/>
        <v>0</v>
      </c>
    </row>
    <row r="330" spans="1:68" ht="27" customHeight="1" x14ac:dyDescent="0.25">
      <c r="A330" s="63" t="s">
        <v>537</v>
      </c>
      <c r="B330" s="63" t="s">
        <v>538</v>
      </c>
      <c r="C330" s="36">
        <v>4301012215</v>
      </c>
      <c r="D330" s="613">
        <v>4680115887046</v>
      </c>
      <c r="E330" s="613"/>
      <c r="F330" s="62">
        <v>2.5</v>
      </c>
      <c r="G330" s="37">
        <v>6</v>
      </c>
      <c r="H330" s="62">
        <v>15</v>
      </c>
      <c r="I330" s="62">
        <v>15.47</v>
      </c>
      <c r="J330" s="37">
        <v>48</v>
      </c>
      <c r="K330" s="37" t="s">
        <v>117</v>
      </c>
      <c r="L330" s="37" t="s">
        <v>45</v>
      </c>
      <c r="M330" s="38" t="s">
        <v>98</v>
      </c>
      <c r="N330" s="38"/>
      <c r="O330" s="37">
        <v>60</v>
      </c>
      <c r="P330" s="77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30" s="615"/>
      <c r="R330" s="615"/>
      <c r="S330" s="615"/>
      <c r="T330" s="616"/>
      <c r="U330" s="39" t="s">
        <v>45</v>
      </c>
      <c r="V330" s="39" t="s">
        <v>45</v>
      </c>
      <c r="W330" s="40" t="s">
        <v>0</v>
      </c>
      <c r="X330" s="58">
        <v>0</v>
      </c>
      <c r="Y330" s="55">
        <f t="shared" si="36"/>
        <v>0</v>
      </c>
      <c r="Z330" s="41" t="str">
        <f>IFERROR(IF(Y330=0,"",ROUNDUP(Y330/H330,0)*0.02175),"")</f>
        <v/>
      </c>
      <c r="AA330" s="68" t="s">
        <v>45</v>
      </c>
      <c r="AB330" s="69" t="s">
        <v>45</v>
      </c>
      <c r="AC330" s="402" t="s">
        <v>539</v>
      </c>
      <c r="AG330" s="78"/>
      <c r="AJ330" s="84" t="s">
        <v>45</v>
      </c>
      <c r="AK330" s="84">
        <v>0</v>
      </c>
      <c r="BB330" s="403" t="s">
        <v>66</v>
      </c>
      <c r="BM330" s="78">
        <f t="shared" si="37"/>
        <v>0</v>
      </c>
      <c r="BN330" s="78">
        <f t="shared" si="38"/>
        <v>0</v>
      </c>
      <c r="BO330" s="78">
        <f t="shared" si="39"/>
        <v>0</v>
      </c>
      <c r="BP330" s="78">
        <f t="shared" si="40"/>
        <v>0</v>
      </c>
    </row>
    <row r="331" spans="1:68" ht="27" customHeight="1" x14ac:dyDescent="0.25">
      <c r="A331" s="63" t="s">
        <v>540</v>
      </c>
      <c r="B331" s="63" t="s">
        <v>541</v>
      </c>
      <c r="C331" s="36">
        <v>4301011433</v>
      </c>
      <c r="D331" s="613">
        <v>4680115882638</v>
      </c>
      <c r="E331" s="61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120</v>
      </c>
      <c r="L331" s="37" t="s">
        <v>45</v>
      </c>
      <c r="M331" s="38" t="s">
        <v>116</v>
      </c>
      <c r="N331" s="38"/>
      <c r="O331" s="37">
        <v>90</v>
      </c>
      <c r="P331" s="7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1" s="615"/>
      <c r="R331" s="615"/>
      <c r="S331" s="615"/>
      <c r="T331" s="616"/>
      <c r="U331" s="39" t="s">
        <v>45</v>
      </c>
      <c r="V331" s="39" t="s">
        <v>45</v>
      </c>
      <c r="W331" s="40" t="s">
        <v>0</v>
      </c>
      <c r="X331" s="58">
        <v>0</v>
      </c>
      <c r="Y331" s="55">
        <f t="shared" si="36"/>
        <v>0</v>
      </c>
      <c r="Z331" s="41" t="str">
        <f>IFERROR(IF(Y331=0,"",ROUNDUP(Y331/H331,0)*0.00902),"")</f>
        <v/>
      </c>
      <c r="AA331" s="68" t="s">
        <v>45</v>
      </c>
      <c r="AB331" s="69" t="s">
        <v>45</v>
      </c>
      <c r="AC331" s="404" t="s">
        <v>542</v>
      </c>
      <c r="AG331" s="78"/>
      <c r="AJ331" s="84" t="s">
        <v>45</v>
      </c>
      <c r="AK331" s="84">
        <v>0</v>
      </c>
      <c r="BB331" s="405" t="s">
        <v>66</v>
      </c>
      <c r="BM331" s="78">
        <f t="shared" si="37"/>
        <v>0</v>
      </c>
      <c r="BN331" s="78">
        <f t="shared" si="38"/>
        <v>0</v>
      </c>
      <c r="BO331" s="78">
        <f t="shared" si="39"/>
        <v>0</v>
      </c>
      <c r="BP331" s="78">
        <f t="shared" si="40"/>
        <v>0</v>
      </c>
    </row>
    <row r="332" spans="1:68" ht="27" customHeight="1" x14ac:dyDescent="0.25">
      <c r="A332" s="63" t="s">
        <v>543</v>
      </c>
      <c r="B332" s="63" t="s">
        <v>544</v>
      </c>
      <c r="C332" s="36">
        <v>4301011952</v>
      </c>
      <c r="D332" s="613">
        <v>4680115884922</v>
      </c>
      <c r="E332" s="613"/>
      <c r="F332" s="62">
        <v>0.5</v>
      </c>
      <c r="G332" s="37">
        <v>10</v>
      </c>
      <c r="H332" s="62">
        <v>5</v>
      </c>
      <c r="I332" s="62">
        <v>5.19</v>
      </c>
      <c r="J332" s="37">
        <v>132</v>
      </c>
      <c r="K332" s="37" t="s">
        <v>120</v>
      </c>
      <c r="L332" s="37" t="s">
        <v>45</v>
      </c>
      <c r="M332" s="38" t="s">
        <v>81</v>
      </c>
      <c r="N332" s="38"/>
      <c r="O332" s="37">
        <v>60</v>
      </c>
      <c r="P332" s="7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2" s="615"/>
      <c r="R332" s="615"/>
      <c r="S332" s="615"/>
      <c r="T332" s="616"/>
      <c r="U332" s="39" t="s">
        <v>45</v>
      </c>
      <c r="V332" s="39" t="s">
        <v>45</v>
      </c>
      <c r="W332" s="40" t="s">
        <v>0</v>
      </c>
      <c r="X332" s="58">
        <v>0</v>
      </c>
      <c r="Y332" s="55">
        <f t="shared" si="36"/>
        <v>0</v>
      </c>
      <c r="Z332" s="41" t="str">
        <f>IFERROR(IF(Y332=0,"",ROUNDUP(Y332/H332,0)*0.00902),"")</f>
        <v/>
      </c>
      <c r="AA332" s="68" t="s">
        <v>45</v>
      </c>
      <c r="AB332" s="69" t="s">
        <v>45</v>
      </c>
      <c r="AC332" s="406" t="s">
        <v>533</v>
      </c>
      <c r="AG332" s="78"/>
      <c r="AJ332" s="84" t="s">
        <v>45</v>
      </c>
      <c r="AK332" s="84">
        <v>0</v>
      </c>
      <c r="BB332" s="407" t="s">
        <v>66</v>
      </c>
      <c r="BM332" s="78">
        <f t="shared" si="37"/>
        <v>0</v>
      </c>
      <c r="BN332" s="78">
        <f t="shared" si="38"/>
        <v>0</v>
      </c>
      <c r="BO332" s="78">
        <f t="shared" si="39"/>
        <v>0</v>
      </c>
      <c r="BP332" s="78">
        <f t="shared" si="40"/>
        <v>0</v>
      </c>
    </row>
    <row r="333" spans="1:68" ht="37.5" customHeight="1" x14ac:dyDescent="0.25">
      <c r="A333" s="63" t="s">
        <v>545</v>
      </c>
      <c r="B333" s="63" t="s">
        <v>546</v>
      </c>
      <c r="C333" s="36">
        <v>4301011868</v>
      </c>
      <c r="D333" s="613">
        <v>4680115884861</v>
      </c>
      <c r="E333" s="613"/>
      <c r="F333" s="62">
        <v>0.5</v>
      </c>
      <c r="G333" s="37">
        <v>10</v>
      </c>
      <c r="H333" s="62">
        <v>5</v>
      </c>
      <c r="I333" s="62">
        <v>5.19</v>
      </c>
      <c r="J333" s="37">
        <v>132</v>
      </c>
      <c r="K333" s="37" t="s">
        <v>120</v>
      </c>
      <c r="L333" s="37" t="s">
        <v>45</v>
      </c>
      <c r="M333" s="38" t="s">
        <v>81</v>
      </c>
      <c r="N333" s="38"/>
      <c r="O333" s="37">
        <v>60</v>
      </c>
      <c r="P333" s="7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33" s="615"/>
      <c r="R333" s="615"/>
      <c r="S333" s="615"/>
      <c r="T333" s="616"/>
      <c r="U333" s="39" t="s">
        <v>45</v>
      </c>
      <c r="V333" s="39" t="s">
        <v>45</v>
      </c>
      <c r="W333" s="40" t="s">
        <v>0</v>
      </c>
      <c r="X333" s="58">
        <v>0</v>
      </c>
      <c r="Y333" s="55">
        <f t="shared" si="36"/>
        <v>0</v>
      </c>
      <c r="Z333" s="41" t="str">
        <f>IFERROR(IF(Y333=0,"",ROUNDUP(Y333/H333,0)*0.00902),"")</f>
        <v/>
      </c>
      <c r="AA333" s="68" t="s">
        <v>45</v>
      </c>
      <c r="AB333" s="69" t="s">
        <v>45</v>
      </c>
      <c r="AC333" s="408" t="s">
        <v>536</v>
      </c>
      <c r="AG333" s="78"/>
      <c r="AJ333" s="84" t="s">
        <v>45</v>
      </c>
      <c r="AK333" s="84">
        <v>0</v>
      </c>
      <c r="BB333" s="409" t="s">
        <v>66</v>
      </c>
      <c r="BM333" s="78">
        <f t="shared" si="37"/>
        <v>0</v>
      </c>
      <c r="BN333" s="78">
        <f t="shared" si="38"/>
        <v>0</v>
      </c>
      <c r="BO333" s="78">
        <f t="shared" si="39"/>
        <v>0</v>
      </c>
      <c r="BP333" s="78">
        <f t="shared" si="40"/>
        <v>0</v>
      </c>
    </row>
    <row r="334" spans="1:68" x14ac:dyDescent="0.2">
      <c r="A334" s="621"/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2"/>
      <c r="P334" s="618" t="s">
        <v>40</v>
      </c>
      <c r="Q334" s="619"/>
      <c r="R334" s="619"/>
      <c r="S334" s="619"/>
      <c r="T334" s="619"/>
      <c r="U334" s="619"/>
      <c r="V334" s="620"/>
      <c r="W334" s="42" t="s">
        <v>39</v>
      </c>
      <c r="X334" s="43">
        <f>IFERROR(X327/H327,"0")+IFERROR(X328/H328,"0")+IFERROR(X329/H329,"0")+IFERROR(X330/H330,"0")+IFERROR(X331/H331,"0")+IFERROR(X332/H332,"0")+IFERROR(X333/H333,"0")</f>
        <v>0</v>
      </c>
      <c r="Y334" s="43">
        <f>IFERROR(Y327/H327,"0")+IFERROR(Y328/H328,"0")+IFERROR(Y329/H329,"0")+IFERROR(Y330/H330,"0")+IFERROR(Y331/H331,"0")+IFERROR(Y332/H332,"0")+IFERROR(Y333/H333,"0")</f>
        <v>0</v>
      </c>
      <c r="Z334" s="43">
        <f>IFERROR(IF(Z327="",0,Z327),"0")+IFERROR(IF(Z328="",0,Z328),"0")+IFERROR(IF(Z329="",0,Z329),"0")+IFERROR(IF(Z330="",0,Z330),"0")+IFERROR(IF(Z331="",0,Z331),"0")+IFERROR(IF(Z332="",0,Z332),"0")+IFERROR(IF(Z333="",0,Z333),"0")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21"/>
      <c r="B335" s="621"/>
      <c r="C335" s="621"/>
      <c r="D335" s="621"/>
      <c r="E335" s="621"/>
      <c r="F335" s="621"/>
      <c r="G335" s="621"/>
      <c r="H335" s="621"/>
      <c r="I335" s="621"/>
      <c r="J335" s="621"/>
      <c r="K335" s="621"/>
      <c r="L335" s="621"/>
      <c r="M335" s="621"/>
      <c r="N335" s="621"/>
      <c r="O335" s="622"/>
      <c r="P335" s="618" t="s">
        <v>40</v>
      </c>
      <c r="Q335" s="619"/>
      <c r="R335" s="619"/>
      <c r="S335" s="619"/>
      <c r="T335" s="619"/>
      <c r="U335" s="619"/>
      <c r="V335" s="620"/>
      <c r="W335" s="42" t="s">
        <v>0</v>
      </c>
      <c r="X335" s="43">
        <f>IFERROR(SUM(X327:X333),"0")</f>
        <v>0</v>
      </c>
      <c r="Y335" s="43">
        <f>IFERROR(SUM(Y327:Y333),"0")</f>
        <v>0</v>
      </c>
      <c r="Z335" s="42"/>
      <c r="AA335" s="67"/>
      <c r="AB335" s="67"/>
      <c r="AC335" s="67"/>
    </row>
    <row r="336" spans="1:68" ht="14.25" customHeight="1" x14ac:dyDescent="0.25">
      <c r="A336" s="612" t="s">
        <v>145</v>
      </c>
      <c r="B336" s="612"/>
      <c r="C336" s="612"/>
      <c r="D336" s="612"/>
      <c r="E336" s="612"/>
      <c r="F336" s="612"/>
      <c r="G336" s="612"/>
      <c r="H336" s="612"/>
      <c r="I336" s="612"/>
      <c r="J336" s="612"/>
      <c r="K336" s="612"/>
      <c r="L336" s="612"/>
      <c r="M336" s="612"/>
      <c r="N336" s="612"/>
      <c r="O336" s="612"/>
      <c r="P336" s="612"/>
      <c r="Q336" s="612"/>
      <c r="R336" s="612"/>
      <c r="S336" s="612"/>
      <c r="T336" s="612"/>
      <c r="U336" s="612"/>
      <c r="V336" s="612"/>
      <c r="W336" s="612"/>
      <c r="X336" s="612"/>
      <c r="Y336" s="612"/>
      <c r="Z336" s="612"/>
      <c r="AA336" s="66"/>
      <c r="AB336" s="66"/>
      <c r="AC336" s="80"/>
    </row>
    <row r="337" spans="1:68" ht="27" customHeight="1" x14ac:dyDescent="0.25">
      <c r="A337" s="63" t="s">
        <v>547</v>
      </c>
      <c r="B337" s="63" t="s">
        <v>548</v>
      </c>
      <c r="C337" s="36">
        <v>4301020178</v>
      </c>
      <c r="D337" s="613">
        <v>4607091383980</v>
      </c>
      <c r="E337" s="613"/>
      <c r="F337" s="62">
        <v>2.5</v>
      </c>
      <c r="G337" s="37">
        <v>6</v>
      </c>
      <c r="H337" s="62">
        <v>15</v>
      </c>
      <c r="I337" s="62">
        <v>15.47</v>
      </c>
      <c r="J337" s="37">
        <v>48</v>
      </c>
      <c r="K337" s="37" t="s">
        <v>117</v>
      </c>
      <c r="L337" s="37" t="s">
        <v>45</v>
      </c>
      <c r="M337" s="38" t="s">
        <v>116</v>
      </c>
      <c r="N337" s="38"/>
      <c r="O337" s="37">
        <v>50</v>
      </c>
      <c r="P337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37" s="615"/>
      <c r="R337" s="615"/>
      <c r="S337" s="615"/>
      <c r="T337" s="61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IFERROR(IF(Y337=0,"",ROUNDUP(Y337/H337,0)*0.02175),"")</f>
        <v/>
      </c>
      <c r="AA337" s="68" t="s">
        <v>45</v>
      </c>
      <c r="AB337" s="69" t="s">
        <v>45</v>
      </c>
      <c r="AC337" s="410" t="s">
        <v>549</v>
      </c>
      <c r="AG337" s="78"/>
      <c r="AJ337" s="84" t="s">
        <v>45</v>
      </c>
      <c r="AK337" s="84">
        <v>0</v>
      </c>
      <c r="BB337" s="41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550</v>
      </c>
      <c r="B338" s="63" t="s">
        <v>551</v>
      </c>
      <c r="C338" s="36">
        <v>4301020179</v>
      </c>
      <c r="D338" s="613">
        <v>4607091384178</v>
      </c>
      <c r="E338" s="613"/>
      <c r="F338" s="62">
        <v>0.4</v>
      </c>
      <c r="G338" s="37">
        <v>10</v>
      </c>
      <c r="H338" s="62">
        <v>4</v>
      </c>
      <c r="I338" s="62">
        <v>4.1900000000000004</v>
      </c>
      <c r="J338" s="37">
        <v>132</v>
      </c>
      <c r="K338" s="37" t="s">
        <v>120</v>
      </c>
      <c r="L338" s="37" t="s">
        <v>45</v>
      </c>
      <c r="M338" s="38" t="s">
        <v>116</v>
      </c>
      <c r="N338" s="38"/>
      <c r="O338" s="37">
        <v>50</v>
      </c>
      <c r="P338" s="7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38" s="615"/>
      <c r="R338" s="615"/>
      <c r="S338" s="615"/>
      <c r="T338" s="616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45</v>
      </c>
      <c r="AB338" s="69" t="s">
        <v>45</v>
      </c>
      <c r="AC338" s="412" t="s">
        <v>552</v>
      </c>
      <c r="AG338" s="78"/>
      <c r="AJ338" s="84" t="s">
        <v>45</v>
      </c>
      <c r="AK338" s="84">
        <v>0</v>
      </c>
      <c r="BB338" s="413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21"/>
      <c r="B339" s="621"/>
      <c r="C339" s="621"/>
      <c r="D339" s="621"/>
      <c r="E339" s="621"/>
      <c r="F339" s="621"/>
      <c r="G339" s="621"/>
      <c r="H339" s="621"/>
      <c r="I339" s="621"/>
      <c r="J339" s="621"/>
      <c r="K339" s="621"/>
      <c r="L339" s="621"/>
      <c r="M339" s="621"/>
      <c r="N339" s="621"/>
      <c r="O339" s="622"/>
      <c r="P339" s="618" t="s">
        <v>40</v>
      </c>
      <c r="Q339" s="619"/>
      <c r="R339" s="619"/>
      <c r="S339" s="619"/>
      <c r="T339" s="619"/>
      <c r="U339" s="619"/>
      <c r="V339" s="620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21"/>
      <c r="B340" s="621"/>
      <c r="C340" s="621"/>
      <c r="D340" s="621"/>
      <c r="E340" s="621"/>
      <c r="F340" s="621"/>
      <c r="G340" s="621"/>
      <c r="H340" s="621"/>
      <c r="I340" s="621"/>
      <c r="J340" s="621"/>
      <c r="K340" s="621"/>
      <c r="L340" s="621"/>
      <c r="M340" s="621"/>
      <c r="N340" s="621"/>
      <c r="O340" s="622"/>
      <c r="P340" s="618" t="s">
        <v>40</v>
      </c>
      <c r="Q340" s="619"/>
      <c r="R340" s="619"/>
      <c r="S340" s="619"/>
      <c r="T340" s="619"/>
      <c r="U340" s="619"/>
      <c r="V340" s="620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4.25" customHeight="1" x14ac:dyDescent="0.25">
      <c r="A341" s="612" t="s">
        <v>87</v>
      </c>
      <c r="B341" s="612"/>
      <c r="C341" s="612"/>
      <c r="D341" s="612"/>
      <c r="E341" s="612"/>
      <c r="F341" s="612"/>
      <c r="G341" s="612"/>
      <c r="H341" s="612"/>
      <c r="I341" s="612"/>
      <c r="J341" s="612"/>
      <c r="K341" s="612"/>
      <c r="L341" s="612"/>
      <c r="M341" s="612"/>
      <c r="N341" s="612"/>
      <c r="O341" s="612"/>
      <c r="P341" s="612"/>
      <c r="Q341" s="612"/>
      <c r="R341" s="612"/>
      <c r="S341" s="612"/>
      <c r="T341" s="612"/>
      <c r="U341" s="612"/>
      <c r="V341" s="612"/>
      <c r="W341" s="612"/>
      <c r="X341" s="612"/>
      <c r="Y341" s="612"/>
      <c r="Z341" s="612"/>
      <c r="AA341" s="66"/>
      <c r="AB341" s="66"/>
      <c r="AC341" s="80"/>
    </row>
    <row r="342" spans="1:68" ht="27" customHeight="1" x14ac:dyDescent="0.25">
      <c r="A342" s="63" t="s">
        <v>553</v>
      </c>
      <c r="B342" s="63" t="s">
        <v>554</v>
      </c>
      <c r="C342" s="36">
        <v>4301051903</v>
      </c>
      <c r="D342" s="613">
        <v>4607091383928</v>
      </c>
      <c r="E342" s="613"/>
      <c r="F342" s="62">
        <v>1.5</v>
      </c>
      <c r="G342" s="37">
        <v>6</v>
      </c>
      <c r="H342" s="62">
        <v>9</v>
      </c>
      <c r="I342" s="62">
        <v>9.5</v>
      </c>
      <c r="J342" s="37">
        <v>64</v>
      </c>
      <c r="K342" s="37" t="s">
        <v>117</v>
      </c>
      <c r="L342" s="37" t="s">
        <v>45</v>
      </c>
      <c r="M342" s="38" t="s">
        <v>91</v>
      </c>
      <c r="N342" s="38"/>
      <c r="O342" s="37">
        <v>40</v>
      </c>
      <c r="P342" s="78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2" s="615"/>
      <c r="R342" s="615"/>
      <c r="S342" s="615"/>
      <c r="T342" s="61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4" t="s">
        <v>555</v>
      </c>
      <c r="AG342" s="78"/>
      <c r="AJ342" s="84" t="s">
        <v>45</v>
      </c>
      <c r="AK342" s="84">
        <v>0</v>
      </c>
      <c r="BB342" s="415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556</v>
      </c>
      <c r="B343" s="63" t="s">
        <v>557</v>
      </c>
      <c r="C343" s="36">
        <v>4301051897</v>
      </c>
      <c r="D343" s="613">
        <v>4607091384260</v>
      </c>
      <c r="E343" s="613"/>
      <c r="F343" s="62">
        <v>1.5</v>
      </c>
      <c r="G343" s="37">
        <v>6</v>
      </c>
      <c r="H343" s="62">
        <v>9</v>
      </c>
      <c r="I343" s="62">
        <v>9.4939999999999998</v>
      </c>
      <c r="J343" s="37">
        <v>64</v>
      </c>
      <c r="K343" s="37" t="s">
        <v>117</v>
      </c>
      <c r="L343" s="37" t="s">
        <v>45</v>
      </c>
      <c r="M343" s="38" t="s">
        <v>91</v>
      </c>
      <c r="N343" s="38"/>
      <c r="O343" s="37">
        <v>40</v>
      </c>
      <c r="P343" s="78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43" s="615"/>
      <c r="R343" s="615"/>
      <c r="S343" s="615"/>
      <c r="T343" s="61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16" t="s">
        <v>558</v>
      </c>
      <c r="AG343" s="78"/>
      <c r="AJ343" s="84" t="s">
        <v>45</v>
      </c>
      <c r="AK343" s="84">
        <v>0</v>
      </c>
      <c r="BB343" s="417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21"/>
      <c r="B344" s="621"/>
      <c r="C344" s="621"/>
      <c r="D344" s="621"/>
      <c r="E344" s="621"/>
      <c r="F344" s="621"/>
      <c r="G344" s="621"/>
      <c r="H344" s="621"/>
      <c r="I344" s="621"/>
      <c r="J344" s="621"/>
      <c r="K344" s="621"/>
      <c r="L344" s="621"/>
      <c r="M344" s="621"/>
      <c r="N344" s="621"/>
      <c r="O344" s="622"/>
      <c r="P344" s="618" t="s">
        <v>40</v>
      </c>
      <c r="Q344" s="619"/>
      <c r="R344" s="619"/>
      <c r="S344" s="619"/>
      <c r="T344" s="619"/>
      <c r="U344" s="619"/>
      <c r="V344" s="620"/>
      <c r="W344" s="42" t="s">
        <v>39</v>
      </c>
      <c r="X344" s="43">
        <f>IFERROR(X342/H342,"0")+IFERROR(X343/H343,"0")</f>
        <v>0</v>
      </c>
      <c r="Y344" s="43">
        <f>IFERROR(Y342/H342,"0")+IFERROR(Y343/H343,"0")</f>
        <v>0</v>
      </c>
      <c r="Z344" s="43">
        <f>IFERROR(IF(Z342="",0,Z342),"0")+IFERROR(IF(Z343="",0,Z343),"0")</f>
        <v>0</v>
      </c>
      <c r="AA344" s="67"/>
      <c r="AB344" s="67"/>
      <c r="AC344" s="67"/>
    </row>
    <row r="345" spans="1:68" x14ac:dyDescent="0.2">
      <c r="A345" s="621"/>
      <c r="B345" s="621"/>
      <c r="C345" s="621"/>
      <c r="D345" s="621"/>
      <c r="E345" s="621"/>
      <c r="F345" s="621"/>
      <c r="G345" s="621"/>
      <c r="H345" s="621"/>
      <c r="I345" s="621"/>
      <c r="J345" s="621"/>
      <c r="K345" s="621"/>
      <c r="L345" s="621"/>
      <c r="M345" s="621"/>
      <c r="N345" s="621"/>
      <c r="O345" s="622"/>
      <c r="P345" s="618" t="s">
        <v>40</v>
      </c>
      <c r="Q345" s="619"/>
      <c r="R345" s="619"/>
      <c r="S345" s="619"/>
      <c r="T345" s="619"/>
      <c r="U345" s="619"/>
      <c r="V345" s="620"/>
      <c r="W345" s="42" t="s">
        <v>0</v>
      </c>
      <c r="X345" s="43">
        <f>IFERROR(SUM(X342:X343),"0")</f>
        <v>0</v>
      </c>
      <c r="Y345" s="43">
        <f>IFERROR(SUM(Y342:Y343),"0")</f>
        <v>0</v>
      </c>
      <c r="Z345" s="42"/>
      <c r="AA345" s="67"/>
      <c r="AB345" s="67"/>
      <c r="AC345" s="67"/>
    </row>
    <row r="346" spans="1:68" ht="14.25" customHeight="1" x14ac:dyDescent="0.25">
      <c r="A346" s="612" t="s">
        <v>173</v>
      </c>
      <c r="B346" s="612"/>
      <c r="C346" s="612"/>
      <c r="D346" s="612"/>
      <c r="E346" s="612"/>
      <c r="F346" s="612"/>
      <c r="G346" s="612"/>
      <c r="H346" s="612"/>
      <c r="I346" s="612"/>
      <c r="J346" s="612"/>
      <c r="K346" s="612"/>
      <c r="L346" s="612"/>
      <c r="M346" s="612"/>
      <c r="N346" s="612"/>
      <c r="O346" s="612"/>
      <c r="P346" s="612"/>
      <c r="Q346" s="612"/>
      <c r="R346" s="612"/>
      <c r="S346" s="612"/>
      <c r="T346" s="612"/>
      <c r="U346" s="612"/>
      <c r="V346" s="612"/>
      <c r="W346" s="612"/>
      <c r="X346" s="612"/>
      <c r="Y346" s="612"/>
      <c r="Z346" s="612"/>
      <c r="AA346" s="66"/>
      <c r="AB346" s="66"/>
      <c r="AC346" s="80"/>
    </row>
    <row r="347" spans="1:68" ht="16.5" customHeight="1" x14ac:dyDescent="0.25">
      <c r="A347" s="63" t="s">
        <v>559</v>
      </c>
      <c r="B347" s="63" t="s">
        <v>560</v>
      </c>
      <c r="C347" s="36">
        <v>4301060524</v>
      </c>
      <c r="D347" s="613">
        <v>4607091384673</v>
      </c>
      <c r="E347" s="613"/>
      <c r="F347" s="62">
        <v>1.5</v>
      </c>
      <c r="G347" s="37">
        <v>6</v>
      </c>
      <c r="H347" s="62">
        <v>9</v>
      </c>
      <c r="I347" s="62">
        <v>9.4939999999999998</v>
      </c>
      <c r="J347" s="37">
        <v>64</v>
      </c>
      <c r="K347" s="37" t="s">
        <v>117</v>
      </c>
      <c r="L347" s="37" t="s">
        <v>45</v>
      </c>
      <c r="M347" s="38" t="s">
        <v>91</v>
      </c>
      <c r="N347" s="38"/>
      <c r="O347" s="37">
        <v>40</v>
      </c>
      <c r="P347" s="78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47" s="615"/>
      <c r="R347" s="615"/>
      <c r="S347" s="615"/>
      <c r="T347" s="616"/>
      <c r="U347" s="39" t="s">
        <v>45</v>
      </c>
      <c r="V347" s="39" t="s">
        <v>45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45</v>
      </c>
      <c r="AB347" s="69" t="s">
        <v>45</v>
      </c>
      <c r="AC347" s="418" t="s">
        <v>561</v>
      </c>
      <c r="AG347" s="78"/>
      <c r="AJ347" s="84" t="s">
        <v>45</v>
      </c>
      <c r="AK347" s="84">
        <v>0</v>
      </c>
      <c r="BB347" s="41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21"/>
      <c r="B348" s="621"/>
      <c r="C348" s="621"/>
      <c r="D348" s="621"/>
      <c r="E348" s="621"/>
      <c r="F348" s="621"/>
      <c r="G348" s="621"/>
      <c r="H348" s="621"/>
      <c r="I348" s="621"/>
      <c r="J348" s="621"/>
      <c r="K348" s="621"/>
      <c r="L348" s="621"/>
      <c r="M348" s="621"/>
      <c r="N348" s="621"/>
      <c r="O348" s="622"/>
      <c r="P348" s="618" t="s">
        <v>40</v>
      </c>
      <c r="Q348" s="619"/>
      <c r="R348" s="619"/>
      <c r="S348" s="619"/>
      <c r="T348" s="619"/>
      <c r="U348" s="619"/>
      <c r="V348" s="620"/>
      <c r="W348" s="42" t="s">
        <v>39</v>
      </c>
      <c r="X348" s="43">
        <f>IFERROR(X347/H347,"0")</f>
        <v>0</v>
      </c>
      <c r="Y348" s="43">
        <f>IFERROR(Y347/H347,"0")</f>
        <v>0</v>
      </c>
      <c r="Z348" s="43">
        <f>IFERROR(IF(Z347="",0,Z347),"0")</f>
        <v>0</v>
      </c>
      <c r="AA348" s="67"/>
      <c r="AB348" s="67"/>
      <c r="AC348" s="67"/>
    </row>
    <row r="349" spans="1:68" x14ac:dyDescent="0.2">
      <c r="A349" s="621"/>
      <c r="B349" s="621"/>
      <c r="C349" s="621"/>
      <c r="D349" s="621"/>
      <c r="E349" s="621"/>
      <c r="F349" s="621"/>
      <c r="G349" s="621"/>
      <c r="H349" s="621"/>
      <c r="I349" s="621"/>
      <c r="J349" s="621"/>
      <c r="K349" s="621"/>
      <c r="L349" s="621"/>
      <c r="M349" s="621"/>
      <c r="N349" s="621"/>
      <c r="O349" s="622"/>
      <c r="P349" s="618" t="s">
        <v>40</v>
      </c>
      <c r="Q349" s="619"/>
      <c r="R349" s="619"/>
      <c r="S349" s="619"/>
      <c r="T349" s="619"/>
      <c r="U349" s="619"/>
      <c r="V349" s="620"/>
      <c r="W349" s="42" t="s">
        <v>0</v>
      </c>
      <c r="X349" s="43">
        <f>IFERROR(SUM(X347:X347),"0")</f>
        <v>0</v>
      </c>
      <c r="Y349" s="43">
        <f>IFERROR(SUM(Y347:Y347),"0")</f>
        <v>0</v>
      </c>
      <c r="Z349" s="42"/>
      <c r="AA349" s="67"/>
      <c r="AB349" s="67"/>
      <c r="AC349" s="67"/>
    </row>
    <row r="350" spans="1:68" ht="16.5" customHeight="1" x14ac:dyDescent="0.25">
      <c r="A350" s="611" t="s">
        <v>562</v>
      </c>
      <c r="B350" s="611"/>
      <c r="C350" s="611"/>
      <c r="D350" s="611"/>
      <c r="E350" s="611"/>
      <c r="F350" s="611"/>
      <c r="G350" s="611"/>
      <c r="H350" s="611"/>
      <c r="I350" s="611"/>
      <c r="J350" s="611"/>
      <c r="K350" s="611"/>
      <c r="L350" s="611"/>
      <c r="M350" s="611"/>
      <c r="N350" s="611"/>
      <c r="O350" s="611"/>
      <c r="P350" s="611"/>
      <c r="Q350" s="611"/>
      <c r="R350" s="611"/>
      <c r="S350" s="611"/>
      <c r="T350" s="611"/>
      <c r="U350" s="611"/>
      <c r="V350" s="611"/>
      <c r="W350" s="611"/>
      <c r="X350" s="611"/>
      <c r="Y350" s="611"/>
      <c r="Z350" s="611"/>
      <c r="AA350" s="65"/>
      <c r="AB350" s="65"/>
      <c r="AC350" s="79"/>
    </row>
    <row r="351" spans="1:68" ht="14.25" customHeight="1" x14ac:dyDescent="0.25">
      <c r="A351" s="612" t="s">
        <v>112</v>
      </c>
      <c r="B351" s="612"/>
      <c r="C351" s="612"/>
      <c r="D351" s="612"/>
      <c r="E351" s="612"/>
      <c r="F351" s="612"/>
      <c r="G351" s="612"/>
      <c r="H351" s="612"/>
      <c r="I351" s="612"/>
      <c r="J351" s="612"/>
      <c r="K351" s="612"/>
      <c r="L351" s="612"/>
      <c r="M351" s="612"/>
      <c r="N351" s="612"/>
      <c r="O351" s="612"/>
      <c r="P351" s="612"/>
      <c r="Q351" s="612"/>
      <c r="R351" s="612"/>
      <c r="S351" s="612"/>
      <c r="T351" s="612"/>
      <c r="U351" s="612"/>
      <c r="V351" s="612"/>
      <c r="W351" s="612"/>
      <c r="X351" s="612"/>
      <c r="Y351" s="612"/>
      <c r="Z351" s="612"/>
      <c r="AA351" s="66"/>
      <c r="AB351" s="66"/>
      <c r="AC351" s="80"/>
    </row>
    <row r="352" spans="1:68" ht="37.5" customHeight="1" x14ac:dyDescent="0.25">
      <c r="A352" s="63" t="s">
        <v>563</v>
      </c>
      <c r="B352" s="63" t="s">
        <v>564</v>
      </c>
      <c r="C352" s="36">
        <v>4301011875</v>
      </c>
      <c r="D352" s="613">
        <v>4680115884885</v>
      </c>
      <c r="E352" s="613"/>
      <c r="F352" s="62">
        <v>0.8</v>
      </c>
      <c r="G352" s="37">
        <v>15</v>
      </c>
      <c r="H352" s="62">
        <v>12</v>
      </c>
      <c r="I352" s="62">
        <v>12.41</v>
      </c>
      <c r="J352" s="37">
        <v>64</v>
      </c>
      <c r="K352" s="37" t="s">
        <v>117</v>
      </c>
      <c r="L352" s="37" t="s">
        <v>45</v>
      </c>
      <c r="M352" s="38" t="s">
        <v>81</v>
      </c>
      <c r="N352" s="38"/>
      <c r="O352" s="37">
        <v>60</v>
      </c>
      <c r="P352" s="7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2" s="615"/>
      <c r="R352" s="615"/>
      <c r="S352" s="615"/>
      <c r="T352" s="616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37.5" customHeight="1" x14ac:dyDescent="0.25">
      <c r="A353" s="63" t="s">
        <v>566</v>
      </c>
      <c r="B353" s="63" t="s">
        <v>567</v>
      </c>
      <c r="C353" s="36">
        <v>4301011871</v>
      </c>
      <c r="D353" s="613">
        <v>4680115884908</v>
      </c>
      <c r="E353" s="61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81</v>
      </c>
      <c r="N353" s="38"/>
      <c r="O353" s="37">
        <v>60</v>
      </c>
      <c r="P353" s="7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53" s="615"/>
      <c r="R353" s="615"/>
      <c r="S353" s="615"/>
      <c r="T353" s="61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565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1"/>
      <c r="B354" s="621"/>
      <c r="C354" s="621"/>
      <c r="D354" s="621"/>
      <c r="E354" s="621"/>
      <c r="F354" s="621"/>
      <c r="G354" s="621"/>
      <c r="H354" s="621"/>
      <c r="I354" s="621"/>
      <c r="J354" s="621"/>
      <c r="K354" s="621"/>
      <c r="L354" s="621"/>
      <c r="M354" s="621"/>
      <c r="N354" s="621"/>
      <c r="O354" s="622"/>
      <c r="P354" s="618" t="s">
        <v>40</v>
      </c>
      <c r="Q354" s="619"/>
      <c r="R354" s="619"/>
      <c r="S354" s="619"/>
      <c r="T354" s="619"/>
      <c r="U354" s="619"/>
      <c r="V354" s="62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1"/>
      <c r="B355" s="621"/>
      <c r="C355" s="621"/>
      <c r="D355" s="621"/>
      <c r="E355" s="621"/>
      <c r="F355" s="621"/>
      <c r="G355" s="621"/>
      <c r="H355" s="621"/>
      <c r="I355" s="621"/>
      <c r="J355" s="621"/>
      <c r="K355" s="621"/>
      <c r="L355" s="621"/>
      <c r="M355" s="621"/>
      <c r="N355" s="621"/>
      <c r="O355" s="622"/>
      <c r="P355" s="618" t="s">
        <v>40</v>
      </c>
      <c r="Q355" s="619"/>
      <c r="R355" s="619"/>
      <c r="S355" s="619"/>
      <c r="T355" s="619"/>
      <c r="U355" s="619"/>
      <c r="V355" s="62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2" t="s">
        <v>76</v>
      </c>
      <c r="B356" s="612"/>
      <c r="C356" s="612"/>
      <c r="D356" s="612"/>
      <c r="E356" s="612"/>
      <c r="F356" s="612"/>
      <c r="G356" s="612"/>
      <c r="H356" s="612"/>
      <c r="I356" s="612"/>
      <c r="J356" s="612"/>
      <c r="K356" s="612"/>
      <c r="L356" s="612"/>
      <c r="M356" s="612"/>
      <c r="N356" s="612"/>
      <c r="O356" s="612"/>
      <c r="P356" s="612"/>
      <c r="Q356" s="612"/>
      <c r="R356" s="612"/>
      <c r="S356" s="612"/>
      <c r="T356" s="612"/>
      <c r="U356" s="612"/>
      <c r="V356" s="612"/>
      <c r="W356" s="612"/>
      <c r="X356" s="612"/>
      <c r="Y356" s="612"/>
      <c r="Z356" s="612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4301031303</v>
      </c>
      <c r="D357" s="613">
        <v>4607091384802</v>
      </c>
      <c r="E357" s="613"/>
      <c r="F357" s="62">
        <v>0.73</v>
      </c>
      <c r="G357" s="37">
        <v>6</v>
      </c>
      <c r="H357" s="62">
        <v>4.38</v>
      </c>
      <c r="I357" s="62">
        <v>4.63</v>
      </c>
      <c r="J357" s="37">
        <v>132</v>
      </c>
      <c r="K357" s="37" t="s">
        <v>120</v>
      </c>
      <c r="L357" s="37" t="s">
        <v>45</v>
      </c>
      <c r="M357" s="38" t="s">
        <v>81</v>
      </c>
      <c r="N357" s="38"/>
      <c r="O357" s="37">
        <v>35</v>
      </c>
      <c r="P357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57" s="615"/>
      <c r="R357" s="615"/>
      <c r="S357" s="615"/>
      <c r="T357" s="616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568</v>
      </c>
      <c r="B358" s="63" t="s">
        <v>571</v>
      </c>
      <c r="C358" s="36">
        <v>4301031457</v>
      </c>
      <c r="D358" s="613">
        <v>4607091384802</v>
      </c>
      <c r="E358" s="613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120</v>
      </c>
      <c r="L358" s="37" t="s">
        <v>45</v>
      </c>
      <c r="M358" s="38" t="s">
        <v>81</v>
      </c>
      <c r="N358" s="38"/>
      <c r="O358" s="37">
        <v>50</v>
      </c>
      <c r="P358" s="7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58" s="615"/>
      <c r="R358" s="615"/>
      <c r="S358" s="615"/>
      <c r="T358" s="61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26" t="s">
        <v>572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1"/>
      <c r="B359" s="621"/>
      <c r="C359" s="621"/>
      <c r="D359" s="621"/>
      <c r="E359" s="621"/>
      <c r="F359" s="621"/>
      <c r="G359" s="621"/>
      <c r="H359" s="621"/>
      <c r="I359" s="621"/>
      <c r="J359" s="621"/>
      <c r="K359" s="621"/>
      <c r="L359" s="621"/>
      <c r="M359" s="621"/>
      <c r="N359" s="621"/>
      <c r="O359" s="622"/>
      <c r="P359" s="618" t="s">
        <v>40</v>
      </c>
      <c r="Q359" s="619"/>
      <c r="R359" s="619"/>
      <c r="S359" s="619"/>
      <c r="T359" s="619"/>
      <c r="U359" s="619"/>
      <c r="V359" s="62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1"/>
      <c r="B360" s="621"/>
      <c r="C360" s="621"/>
      <c r="D360" s="621"/>
      <c r="E360" s="621"/>
      <c r="F360" s="621"/>
      <c r="G360" s="621"/>
      <c r="H360" s="621"/>
      <c r="I360" s="621"/>
      <c r="J360" s="621"/>
      <c r="K360" s="621"/>
      <c r="L360" s="621"/>
      <c r="M360" s="621"/>
      <c r="N360" s="621"/>
      <c r="O360" s="622"/>
      <c r="P360" s="618" t="s">
        <v>40</v>
      </c>
      <c r="Q360" s="619"/>
      <c r="R360" s="619"/>
      <c r="S360" s="619"/>
      <c r="T360" s="619"/>
      <c r="U360" s="619"/>
      <c r="V360" s="62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2" t="s">
        <v>87</v>
      </c>
      <c r="B361" s="612"/>
      <c r="C361" s="612"/>
      <c r="D361" s="612"/>
      <c r="E361" s="612"/>
      <c r="F361" s="612"/>
      <c r="G361" s="612"/>
      <c r="H361" s="612"/>
      <c r="I361" s="612"/>
      <c r="J361" s="612"/>
      <c r="K361" s="612"/>
      <c r="L361" s="612"/>
      <c r="M361" s="612"/>
      <c r="N361" s="612"/>
      <c r="O361" s="612"/>
      <c r="P361" s="612"/>
      <c r="Q361" s="612"/>
      <c r="R361" s="612"/>
      <c r="S361" s="612"/>
      <c r="T361" s="612"/>
      <c r="U361" s="612"/>
      <c r="V361" s="612"/>
      <c r="W361" s="612"/>
      <c r="X361" s="612"/>
      <c r="Y361" s="612"/>
      <c r="Z361" s="612"/>
      <c r="AA361" s="66"/>
      <c r="AB361" s="66"/>
      <c r="AC361" s="80"/>
    </row>
    <row r="362" spans="1:68" ht="27" customHeight="1" x14ac:dyDescent="0.25">
      <c r="A362" s="63" t="s">
        <v>573</v>
      </c>
      <c r="B362" s="63" t="s">
        <v>574</v>
      </c>
      <c r="C362" s="36">
        <v>4301051899</v>
      </c>
      <c r="D362" s="613">
        <v>4607091384246</v>
      </c>
      <c r="E362" s="613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117</v>
      </c>
      <c r="L362" s="37" t="s">
        <v>45</v>
      </c>
      <c r="M362" s="38" t="s">
        <v>91</v>
      </c>
      <c r="N362" s="38"/>
      <c r="O362" s="37">
        <v>40</v>
      </c>
      <c r="P362" s="7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2" s="615"/>
      <c r="R362" s="615"/>
      <c r="S362" s="615"/>
      <c r="T362" s="616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575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576</v>
      </c>
      <c r="B363" s="63" t="s">
        <v>577</v>
      </c>
      <c r="C363" s="36">
        <v>4301051660</v>
      </c>
      <c r="D363" s="613">
        <v>4607091384253</v>
      </c>
      <c r="E363" s="613"/>
      <c r="F363" s="62">
        <v>0.4</v>
      </c>
      <c r="G363" s="37">
        <v>6</v>
      </c>
      <c r="H363" s="62">
        <v>2.4</v>
      </c>
      <c r="I363" s="62">
        <v>2.6640000000000001</v>
      </c>
      <c r="J363" s="37">
        <v>182</v>
      </c>
      <c r="K363" s="37" t="s">
        <v>82</v>
      </c>
      <c r="L363" s="37" t="s">
        <v>45</v>
      </c>
      <c r="M363" s="38" t="s">
        <v>91</v>
      </c>
      <c r="N363" s="38"/>
      <c r="O363" s="37">
        <v>40</v>
      </c>
      <c r="P363" s="7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63" s="615"/>
      <c r="R363" s="615"/>
      <c r="S363" s="615"/>
      <c r="T363" s="616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IFERROR(IF(Y363=0,"",ROUNDUP(Y363/H363,0)*0.00651),"")</f>
        <v/>
      </c>
      <c r="AA363" s="68" t="s">
        <v>45</v>
      </c>
      <c r="AB363" s="69" t="s">
        <v>45</v>
      </c>
      <c r="AC363" s="430" t="s">
        <v>575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576</v>
      </c>
      <c r="B364" s="63" t="s">
        <v>578</v>
      </c>
      <c r="C364" s="36">
        <v>4301052069</v>
      </c>
      <c r="D364" s="613">
        <v>4607091384253</v>
      </c>
      <c r="E364" s="613"/>
      <c r="F364" s="62">
        <v>0.4</v>
      </c>
      <c r="G364" s="37">
        <v>6</v>
      </c>
      <c r="H364" s="62">
        <v>2.4</v>
      </c>
      <c r="I364" s="62">
        <v>2.6640000000000001</v>
      </c>
      <c r="J364" s="37">
        <v>182</v>
      </c>
      <c r="K364" s="37" t="s">
        <v>82</v>
      </c>
      <c r="L364" s="37" t="s">
        <v>45</v>
      </c>
      <c r="M364" s="38" t="s">
        <v>91</v>
      </c>
      <c r="N364" s="38"/>
      <c r="O364" s="37">
        <v>40</v>
      </c>
      <c r="P364" s="7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64" s="615"/>
      <c r="R364" s="615"/>
      <c r="S364" s="615"/>
      <c r="T364" s="61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IFERROR(IF(Y364=0,"",ROUNDUP(Y364/H364,0)*0.00651),"")</f>
        <v/>
      </c>
      <c r="AA364" s="68" t="s">
        <v>45</v>
      </c>
      <c r="AB364" s="69" t="s">
        <v>45</v>
      </c>
      <c r="AC364" s="432" t="s">
        <v>579</v>
      </c>
      <c r="AG364" s="78"/>
      <c r="AJ364" s="84" t="s">
        <v>45</v>
      </c>
      <c r="AK364" s="84">
        <v>0</v>
      </c>
      <c r="BB364" s="433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21"/>
      <c r="B365" s="621"/>
      <c r="C365" s="621"/>
      <c r="D365" s="621"/>
      <c r="E365" s="621"/>
      <c r="F365" s="621"/>
      <c r="G365" s="621"/>
      <c r="H365" s="621"/>
      <c r="I365" s="621"/>
      <c r="J365" s="621"/>
      <c r="K365" s="621"/>
      <c r="L365" s="621"/>
      <c r="M365" s="621"/>
      <c r="N365" s="621"/>
      <c r="O365" s="622"/>
      <c r="P365" s="618" t="s">
        <v>40</v>
      </c>
      <c r="Q365" s="619"/>
      <c r="R365" s="619"/>
      <c r="S365" s="619"/>
      <c r="T365" s="619"/>
      <c r="U365" s="619"/>
      <c r="V365" s="6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21"/>
      <c r="B366" s="621"/>
      <c r="C366" s="621"/>
      <c r="D366" s="621"/>
      <c r="E366" s="621"/>
      <c r="F366" s="621"/>
      <c r="G366" s="621"/>
      <c r="H366" s="621"/>
      <c r="I366" s="621"/>
      <c r="J366" s="621"/>
      <c r="K366" s="621"/>
      <c r="L366" s="621"/>
      <c r="M366" s="621"/>
      <c r="N366" s="621"/>
      <c r="O366" s="622"/>
      <c r="P366" s="618" t="s">
        <v>40</v>
      </c>
      <c r="Q366" s="619"/>
      <c r="R366" s="619"/>
      <c r="S366" s="619"/>
      <c r="T366" s="619"/>
      <c r="U366" s="619"/>
      <c r="V366" s="6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27.75" customHeight="1" x14ac:dyDescent="0.2">
      <c r="A367" s="610" t="s">
        <v>580</v>
      </c>
      <c r="B367" s="610"/>
      <c r="C367" s="610"/>
      <c r="D367" s="610"/>
      <c r="E367" s="610"/>
      <c r="F367" s="610"/>
      <c r="G367" s="610"/>
      <c r="H367" s="610"/>
      <c r="I367" s="610"/>
      <c r="J367" s="610"/>
      <c r="K367" s="610"/>
      <c r="L367" s="610"/>
      <c r="M367" s="610"/>
      <c r="N367" s="610"/>
      <c r="O367" s="610"/>
      <c r="P367" s="610"/>
      <c r="Q367" s="610"/>
      <c r="R367" s="610"/>
      <c r="S367" s="610"/>
      <c r="T367" s="610"/>
      <c r="U367" s="610"/>
      <c r="V367" s="610"/>
      <c r="W367" s="610"/>
      <c r="X367" s="610"/>
      <c r="Y367" s="610"/>
      <c r="Z367" s="610"/>
      <c r="AA367" s="54"/>
      <c r="AB367" s="54"/>
      <c r="AC367" s="54"/>
    </row>
    <row r="368" spans="1:68" ht="16.5" customHeight="1" x14ac:dyDescent="0.25">
      <c r="A368" s="611" t="s">
        <v>581</v>
      </c>
      <c r="B368" s="611"/>
      <c r="C368" s="611"/>
      <c r="D368" s="611"/>
      <c r="E368" s="611"/>
      <c r="F368" s="611"/>
      <c r="G368" s="611"/>
      <c r="H368" s="611"/>
      <c r="I368" s="611"/>
      <c r="J368" s="611"/>
      <c r="K368" s="611"/>
      <c r="L368" s="611"/>
      <c r="M368" s="611"/>
      <c r="N368" s="611"/>
      <c r="O368" s="611"/>
      <c r="P368" s="611"/>
      <c r="Q368" s="611"/>
      <c r="R368" s="611"/>
      <c r="S368" s="611"/>
      <c r="T368" s="611"/>
      <c r="U368" s="611"/>
      <c r="V368" s="611"/>
      <c r="W368" s="611"/>
      <c r="X368" s="611"/>
      <c r="Y368" s="611"/>
      <c r="Z368" s="611"/>
      <c r="AA368" s="65"/>
      <c r="AB368" s="65"/>
      <c r="AC368" s="79"/>
    </row>
    <row r="369" spans="1:68" ht="14.25" customHeight="1" x14ac:dyDescent="0.25">
      <c r="A369" s="612" t="s">
        <v>76</v>
      </c>
      <c r="B369" s="612"/>
      <c r="C369" s="612"/>
      <c r="D369" s="612"/>
      <c r="E369" s="612"/>
      <c r="F369" s="612"/>
      <c r="G369" s="612"/>
      <c r="H369" s="612"/>
      <c r="I369" s="612"/>
      <c r="J369" s="612"/>
      <c r="K369" s="612"/>
      <c r="L369" s="612"/>
      <c r="M369" s="612"/>
      <c r="N369" s="612"/>
      <c r="O369" s="612"/>
      <c r="P369" s="612"/>
      <c r="Q369" s="612"/>
      <c r="R369" s="612"/>
      <c r="S369" s="612"/>
      <c r="T369" s="612"/>
      <c r="U369" s="612"/>
      <c r="V369" s="612"/>
      <c r="W369" s="612"/>
      <c r="X369" s="612"/>
      <c r="Y369" s="612"/>
      <c r="Z369" s="612"/>
      <c r="AA369" s="66"/>
      <c r="AB369" s="66"/>
      <c r="AC369" s="80"/>
    </row>
    <row r="370" spans="1:68" ht="27" customHeight="1" x14ac:dyDescent="0.25">
      <c r="A370" s="63" t="s">
        <v>582</v>
      </c>
      <c r="B370" s="63" t="s">
        <v>583</v>
      </c>
      <c r="C370" s="36">
        <v>4301031405</v>
      </c>
      <c r="D370" s="613">
        <v>4680115886100</v>
      </c>
      <c r="E370" s="613"/>
      <c r="F370" s="62">
        <v>0.9</v>
      </c>
      <c r="G370" s="37">
        <v>6</v>
      </c>
      <c r="H370" s="62">
        <v>5.4</v>
      </c>
      <c r="I370" s="62">
        <v>5.59</v>
      </c>
      <c r="J370" s="37">
        <v>132</v>
      </c>
      <c r="K370" s="37" t="s">
        <v>120</v>
      </c>
      <c r="L370" s="37" t="s">
        <v>45</v>
      </c>
      <c r="M370" s="38" t="s">
        <v>81</v>
      </c>
      <c r="N370" s="38"/>
      <c r="O370" s="37">
        <v>50</v>
      </c>
      <c r="P370" s="7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70" s="615"/>
      <c r="R370" s="615"/>
      <c r="S370" s="615"/>
      <c r="T370" s="616"/>
      <c r="U370" s="39" t="s">
        <v>45</v>
      </c>
      <c r="V370" s="39" t="s">
        <v>45</v>
      </c>
      <c r="W370" s="40" t="s">
        <v>0</v>
      </c>
      <c r="X370" s="58">
        <v>0</v>
      </c>
      <c r="Y370" s="55">
        <f t="shared" ref="Y370:Y378" si="41">IFERROR(IF(X370="",0,CEILING((X370/$H370),1)*$H370),"")</f>
        <v>0</v>
      </c>
      <c r="Z370" s="41" t="str">
        <f>IFERROR(IF(Y370=0,"",ROUNDUP(Y370/H370,0)*0.00902),"")</f>
        <v/>
      </c>
      <c r="AA370" s="68" t="s">
        <v>45</v>
      </c>
      <c r="AB370" s="69" t="s">
        <v>45</v>
      </c>
      <c r="AC370" s="434" t="s">
        <v>584</v>
      </c>
      <c r="AG370" s="78"/>
      <c r="AJ370" s="84" t="s">
        <v>45</v>
      </c>
      <c r="AK370" s="84">
        <v>0</v>
      </c>
      <c r="BB370" s="435" t="s">
        <v>66</v>
      </c>
      <c r="BM370" s="78">
        <f t="shared" ref="BM370:BM378" si="42">IFERROR(X370*I370/H370,"0")</f>
        <v>0</v>
      </c>
      <c r="BN370" s="78">
        <f t="shared" ref="BN370:BN378" si="43">IFERROR(Y370*I370/H370,"0")</f>
        <v>0</v>
      </c>
      <c r="BO370" s="78">
        <f t="shared" ref="BO370:BO378" si="44">IFERROR(1/J370*(X370/H370),"0")</f>
        <v>0</v>
      </c>
      <c r="BP370" s="78">
        <f t="shared" ref="BP370:BP378" si="45">IFERROR(1/J370*(Y370/H370),"0")</f>
        <v>0</v>
      </c>
    </row>
    <row r="371" spans="1:68" ht="27" customHeight="1" x14ac:dyDescent="0.25">
      <c r="A371" s="63" t="s">
        <v>585</v>
      </c>
      <c r="B371" s="63" t="s">
        <v>586</v>
      </c>
      <c r="C371" s="36">
        <v>4301031406</v>
      </c>
      <c r="D371" s="613">
        <v>4680115886117</v>
      </c>
      <c r="E371" s="613"/>
      <c r="F371" s="62">
        <v>0.9</v>
      </c>
      <c r="G371" s="37">
        <v>6</v>
      </c>
      <c r="H371" s="62">
        <v>5.4</v>
      </c>
      <c r="I371" s="62">
        <v>5.59</v>
      </c>
      <c r="J371" s="37">
        <v>132</v>
      </c>
      <c r="K371" s="37" t="s">
        <v>120</v>
      </c>
      <c r="L371" s="37" t="s">
        <v>45</v>
      </c>
      <c r="M371" s="38" t="s">
        <v>81</v>
      </c>
      <c r="N371" s="38"/>
      <c r="O371" s="37">
        <v>50</v>
      </c>
      <c r="P371" s="79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1" s="615"/>
      <c r="R371" s="615"/>
      <c r="S371" s="615"/>
      <c r="T371" s="616"/>
      <c r="U371" s="39" t="s">
        <v>45</v>
      </c>
      <c r="V371" s="39" t="s">
        <v>45</v>
      </c>
      <c r="W371" s="40" t="s">
        <v>0</v>
      </c>
      <c r="X371" s="58">
        <v>0</v>
      </c>
      <c r="Y371" s="55">
        <f t="shared" si="41"/>
        <v>0</v>
      </c>
      <c r="Z371" s="41" t="str">
        <f>IFERROR(IF(Y371=0,"",ROUNDUP(Y371/H371,0)*0.00902),"")</f>
        <v/>
      </c>
      <c r="AA371" s="68" t="s">
        <v>45</v>
      </c>
      <c r="AB371" s="69" t="s">
        <v>45</v>
      </c>
      <c r="AC371" s="436" t="s">
        <v>587</v>
      </c>
      <c r="AG371" s="78"/>
      <c r="AJ371" s="84" t="s">
        <v>45</v>
      </c>
      <c r="AK371" s="84">
        <v>0</v>
      </c>
      <c r="BB371" s="437" t="s">
        <v>66</v>
      </c>
      <c r="BM371" s="78">
        <f t="shared" si="42"/>
        <v>0</v>
      </c>
      <c r="BN371" s="78">
        <f t="shared" si="43"/>
        <v>0</v>
      </c>
      <c r="BO371" s="78">
        <f t="shared" si="44"/>
        <v>0</v>
      </c>
      <c r="BP371" s="78">
        <f t="shared" si="45"/>
        <v>0</v>
      </c>
    </row>
    <row r="372" spans="1:68" ht="27" customHeight="1" x14ac:dyDescent="0.25">
      <c r="A372" s="63" t="s">
        <v>588</v>
      </c>
      <c r="B372" s="63" t="s">
        <v>589</v>
      </c>
      <c r="C372" s="36">
        <v>4301031402</v>
      </c>
      <c r="D372" s="613">
        <v>4680115886124</v>
      </c>
      <c r="E372" s="613"/>
      <c r="F372" s="62">
        <v>0.9</v>
      </c>
      <c r="G372" s="37">
        <v>6</v>
      </c>
      <c r="H372" s="62">
        <v>5.4</v>
      </c>
      <c r="I372" s="62">
        <v>5.59</v>
      </c>
      <c r="J372" s="37">
        <v>132</v>
      </c>
      <c r="K372" s="37" t="s">
        <v>120</v>
      </c>
      <c r="L372" s="37" t="s">
        <v>45</v>
      </c>
      <c r="M372" s="38" t="s">
        <v>81</v>
      </c>
      <c r="N372" s="38"/>
      <c r="O372" s="37">
        <v>50</v>
      </c>
      <c r="P372" s="7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2" s="615"/>
      <c r="R372" s="615"/>
      <c r="S372" s="615"/>
      <c r="T372" s="616"/>
      <c r="U372" s="39" t="s">
        <v>45</v>
      </c>
      <c r="V372" s="39" t="s">
        <v>45</v>
      </c>
      <c r="W372" s="40" t="s">
        <v>0</v>
      </c>
      <c r="X372" s="58">
        <v>0</v>
      </c>
      <c r="Y372" s="55">
        <f t="shared" si="41"/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8" t="s">
        <v>590</v>
      </c>
      <c r="AG372" s="78"/>
      <c r="AJ372" s="84" t="s">
        <v>45</v>
      </c>
      <c r="AK372" s="84">
        <v>0</v>
      </c>
      <c r="BB372" s="439" t="s">
        <v>66</v>
      </c>
      <c r="BM372" s="78">
        <f t="shared" si="42"/>
        <v>0</v>
      </c>
      <c r="BN372" s="78">
        <f t="shared" si="43"/>
        <v>0</v>
      </c>
      <c r="BO372" s="78">
        <f t="shared" si="44"/>
        <v>0</v>
      </c>
      <c r="BP372" s="78">
        <f t="shared" si="45"/>
        <v>0</v>
      </c>
    </row>
    <row r="373" spans="1:68" ht="27" customHeight="1" x14ac:dyDescent="0.25">
      <c r="A373" s="63" t="s">
        <v>591</v>
      </c>
      <c r="B373" s="63" t="s">
        <v>592</v>
      </c>
      <c r="C373" s="36">
        <v>4301031366</v>
      </c>
      <c r="D373" s="613">
        <v>4680115883147</v>
      </c>
      <c r="E373" s="613"/>
      <c r="F373" s="62">
        <v>0.28000000000000003</v>
      </c>
      <c r="G373" s="37">
        <v>6</v>
      </c>
      <c r="H373" s="62">
        <v>1.68</v>
      </c>
      <c r="I373" s="62">
        <v>1.81</v>
      </c>
      <c r="J373" s="37">
        <v>234</v>
      </c>
      <c r="K373" s="37" t="s">
        <v>86</v>
      </c>
      <c r="L373" s="37" t="s">
        <v>45</v>
      </c>
      <c r="M373" s="38" t="s">
        <v>81</v>
      </c>
      <c r="N373" s="38"/>
      <c r="O373" s="37">
        <v>50</v>
      </c>
      <c r="P373" s="79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73" s="615"/>
      <c r="R373" s="615"/>
      <c r="S373" s="615"/>
      <c r="T373" s="616"/>
      <c r="U373" s="39" t="s">
        <v>45</v>
      </c>
      <c r="V373" s="39" t="s">
        <v>45</v>
      </c>
      <c r="W373" s="40" t="s">
        <v>0</v>
      </c>
      <c r="X373" s="58">
        <v>0</v>
      </c>
      <c r="Y373" s="55">
        <f t="shared" si="41"/>
        <v>0</v>
      </c>
      <c r="Z373" s="41" t="str">
        <f t="shared" ref="Z373:Z378" si="46">IFERROR(IF(Y373=0,"",ROUNDUP(Y373/H373,0)*0.00502),"")</f>
        <v/>
      </c>
      <c r="AA373" s="68" t="s">
        <v>45</v>
      </c>
      <c r="AB373" s="69" t="s">
        <v>45</v>
      </c>
      <c r="AC373" s="440" t="s">
        <v>584</v>
      </c>
      <c r="AG373" s="78"/>
      <c r="AJ373" s="84" t="s">
        <v>45</v>
      </c>
      <c r="AK373" s="84">
        <v>0</v>
      </c>
      <c r="BB373" s="441" t="s">
        <v>66</v>
      </c>
      <c r="BM373" s="78">
        <f t="shared" si="42"/>
        <v>0</v>
      </c>
      <c r="BN373" s="78">
        <f t="shared" si="43"/>
        <v>0</v>
      </c>
      <c r="BO373" s="78">
        <f t="shared" si="44"/>
        <v>0</v>
      </c>
      <c r="BP373" s="78">
        <f t="shared" si="45"/>
        <v>0</v>
      </c>
    </row>
    <row r="374" spans="1:68" ht="27" customHeight="1" x14ac:dyDescent="0.25">
      <c r="A374" s="63" t="s">
        <v>593</v>
      </c>
      <c r="B374" s="63" t="s">
        <v>594</v>
      </c>
      <c r="C374" s="36">
        <v>4301031362</v>
      </c>
      <c r="D374" s="613">
        <v>4607091384338</v>
      </c>
      <c r="E374" s="613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86</v>
      </c>
      <c r="L374" s="37" t="s">
        <v>45</v>
      </c>
      <c r="M374" s="38" t="s">
        <v>81</v>
      </c>
      <c r="N374" s="38"/>
      <c r="O374" s="37">
        <v>50</v>
      </c>
      <c r="P374" s="79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74" s="615"/>
      <c r="R374" s="615"/>
      <c r="S374" s="615"/>
      <c r="T374" s="616"/>
      <c r="U374" s="39" t="s">
        <v>45</v>
      </c>
      <c r="V374" s="39" t="s">
        <v>45</v>
      </c>
      <c r="W374" s="40" t="s">
        <v>0</v>
      </c>
      <c r="X374" s="58">
        <v>0</v>
      </c>
      <c r="Y374" s="55">
        <f t="shared" si="41"/>
        <v>0</v>
      </c>
      <c r="Z374" s="41" t="str">
        <f t="shared" si="46"/>
        <v/>
      </c>
      <c r="AA374" s="68" t="s">
        <v>45</v>
      </c>
      <c r="AB374" s="69" t="s">
        <v>45</v>
      </c>
      <c r="AC374" s="442" t="s">
        <v>584</v>
      </c>
      <c r="AG374" s="78"/>
      <c r="AJ374" s="84" t="s">
        <v>45</v>
      </c>
      <c r="AK374" s="84">
        <v>0</v>
      </c>
      <c r="BB374" s="443" t="s">
        <v>66</v>
      </c>
      <c r="BM374" s="78">
        <f t="shared" si="42"/>
        <v>0</v>
      </c>
      <c r="BN374" s="78">
        <f t="shared" si="43"/>
        <v>0</v>
      </c>
      <c r="BO374" s="78">
        <f t="shared" si="44"/>
        <v>0</v>
      </c>
      <c r="BP374" s="78">
        <f t="shared" si="45"/>
        <v>0</v>
      </c>
    </row>
    <row r="375" spans="1:68" ht="37.5" customHeight="1" x14ac:dyDescent="0.25">
      <c r="A375" s="63" t="s">
        <v>595</v>
      </c>
      <c r="B375" s="63" t="s">
        <v>596</v>
      </c>
      <c r="C375" s="36">
        <v>4301031361</v>
      </c>
      <c r="D375" s="613">
        <v>4607091389524</v>
      </c>
      <c r="E375" s="61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86</v>
      </c>
      <c r="L375" s="37" t="s">
        <v>45</v>
      </c>
      <c r="M375" s="38" t="s">
        <v>81</v>
      </c>
      <c r="N375" s="38"/>
      <c r="O375" s="37">
        <v>50</v>
      </c>
      <c r="P375" s="80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75" s="615"/>
      <c r="R375" s="615"/>
      <c r="S375" s="615"/>
      <c r="T375" s="616"/>
      <c r="U375" s="39" t="s">
        <v>45</v>
      </c>
      <c r="V375" s="39" t="s">
        <v>45</v>
      </c>
      <c r="W375" s="40" t="s">
        <v>0</v>
      </c>
      <c r="X375" s="58">
        <v>0</v>
      </c>
      <c r="Y375" s="55">
        <f t="shared" si="41"/>
        <v>0</v>
      </c>
      <c r="Z375" s="41" t="str">
        <f t="shared" si="46"/>
        <v/>
      </c>
      <c r="AA375" s="68" t="s">
        <v>45</v>
      </c>
      <c r="AB375" s="69" t="s">
        <v>45</v>
      </c>
      <c r="AC375" s="444" t="s">
        <v>597</v>
      </c>
      <c r="AG375" s="78"/>
      <c r="AJ375" s="84" t="s">
        <v>45</v>
      </c>
      <c r="AK375" s="84">
        <v>0</v>
      </c>
      <c r="BB375" s="445" t="s">
        <v>66</v>
      </c>
      <c r="BM375" s="78">
        <f t="shared" si="42"/>
        <v>0</v>
      </c>
      <c r="BN375" s="78">
        <f t="shared" si="43"/>
        <v>0</v>
      </c>
      <c r="BO375" s="78">
        <f t="shared" si="44"/>
        <v>0</v>
      </c>
      <c r="BP375" s="78">
        <f t="shared" si="45"/>
        <v>0</v>
      </c>
    </row>
    <row r="376" spans="1:68" ht="27" customHeight="1" x14ac:dyDescent="0.25">
      <c r="A376" s="63" t="s">
        <v>598</v>
      </c>
      <c r="B376" s="63" t="s">
        <v>599</v>
      </c>
      <c r="C376" s="36">
        <v>4301031364</v>
      </c>
      <c r="D376" s="613">
        <v>4680115883161</v>
      </c>
      <c r="E376" s="613"/>
      <c r="F376" s="62">
        <v>0.28000000000000003</v>
      </c>
      <c r="G376" s="37">
        <v>6</v>
      </c>
      <c r="H376" s="62">
        <v>1.68</v>
      </c>
      <c r="I376" s="62">
        <v>1.81</v>
      </c>
      <c r="J376" s="37">
        <v>234</v>
      </c>
      <c r="K376" s="37" t="s">
        <v>86</v>
      </c>
      <c r="L376" s="37" t="s">
        <v>45</v>
      </c>
      <c r="M376" s="38" t="s">
        <v>81</v>
      </c>
      <c r="N376" s="38"/>
      <c r="O376" s="37">
        <v>50</v>
      </c>
      <c r="P376" s="80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76" s="615"/>
      <c r="R376" s="615"/>
      <c r="S376" s="615"/>
      <c r="T376" s="616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si="41"/>
        <v>0</v>
      </c>
      <c r="Z376" s="41" t="str">
        <f t="shared" si="46"/>
        <v/>
      </c>
      <c r="AA376" s="68" t="s">
        <v>45</v>
      </c>
      <c r="AB376" s="69" t="s">
        <v>45</v>
      </c>
      <c r="AC376" s="446" t="s">
        <v>600</v>
      </c>
      <c r="AG376" s="78"/>
      <c r="AJ376" s="84" t="s">
        <v>45</v>
      </c>
      <c r="AK376" s="84">
        <v>0</v>
      </c>
      <c r="BB376" s="447" t="s">
        <v>66</v>
      </c>
      <c r="BM376" s="78">
        <f t="shared" si="42"/>
        <v>0</v>
      </c>
      <c r="BN376" s="78">
        <f t="shared" si="43"/>
        <v>0</v>
      </c>
      <c r="BO376" s="78">
        <f t="shared" si="44"/>
        <v>0</v>
      </c>
      <c r="BP376" s="78">
        <f t="shared" si="45"/>
        <v>0</v>
      </c>
    </row>
    <row r="377" spans="1:68" ht="27" customHeight="1" x14ac:dyDescent="0.25">
      <c r="A377" s="63" t="s">
        <v>601</v>
      </c>
      <c r="B377" s="63" t="s">
        <v>602</v>
      </c>
      <c r="C377" s="36">
        <v>4301031358</v>
      </c>
      <c r="D377" s="613">
        <v>4607091389531</v>
      </c>
      <c r="E377" s="61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86</v>
      </c>
      <c r="L377" s="37" t="s">
        <v>45</v>
      </c>
      <c r="M377" s="38" t="s">
        <v>81</v>
      </c>
      <c r="N377" s="38"/>
      <c r="O377" s="37">
        <v>50</v>
      </c>
      <c r="P377" s="80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77" s="615"/>
      <c r="R377" s="615"/>
      <c r="S377" s="615"/>
      <c r="T377" s="616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41"/>
        <v>0</v>
      </c>
      <c r="Z377" s="41" t="str">
        <f t="shared" si="46"/>
        <v/>
      </c>
      <c r="AA377" s="68" t="s">
        <v>45</v>
      </c>
      <c r="AB377" s="69" t="s">
        <v>45</v>
      </c>
      <c r="AC377" s="448" t="s">
        <v>603</v>
      </c>
      <c r="AG377" s="78"/>
      <c r="AJ377" s="84" t="s">
        <v>45</v>
      </c>
      <c r="AK377" s="84">
        <v>0</v>
      </c>
      <c r="BB377" s="449" t="s">
        <v>66</v>
      </c>
      <c r="BM377" s="78">
        <f t="shared" si="42"/>
        <v>0</v>
      </c>
      <c r="BN377" s="78">
        <f t="shared" si="43"/>
        <v>0</v>
      </c>
      <c r="BO377" s="78">
        <f t="shared" si="44"/>
        <v>0</v>
      </c>
      <c r="BP377" s="78">
        <f t="shared" si="45"/>
        <v>0</v>
      </c>
    </row>
    <row r="378" spans="1:68" ht="37.5" customHeight="1" x14ac:dyDescent="0.25">
      <c r="A378" s="63" t="s">
        <v>604</v>
      </c>
      <c r="B378" s="63" t="s">
        <v>605</v>
      </c>
      <c r="C378" s="36">
        <v>4301031360</v>
      </c>
      <c r="D378" s="613">
        <v>4607091384345</v>
      </c>
      <c r="E378" s="613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86</v>
      </c>
      <c r="L378" s="37" t="s">
        <v>45</v>
      </c>
      <c r="M378" s="38" t="s">
        <v>81</v>
      </c>
      <c r="N378" s="38"/>
      <c r="O378" s="37">
        <v>50</v>
      </c>
      <c r="P378" s="80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78" s="615"/>
      <c r="R378" s="615"/>
      <c r="S378" s="615"/>
      <c r="T378" s="616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41"/>
        <v>0</v>
      </c>
      <c r="Z378" s="41" t="str">
        <f t="shared" si="46"/>
        <v/>
      </c>
      <c r="AA378" s="68" t="s">
        <v>45</v>
      </c>
      <c r="AB378" s="69" t="s">
        <v>45</v>
      </c>
      <c r="AC378" s="450" t="s">
        <v>600</v>
      </c>
      <c r="AG378" s="78"/>
      <c r="AJ378" s="84" t="s">
        <v>45</v>
      </c>
      <c r="AK378" s="84">
        <v>0</v>
      </c>
      <c r="BB378" s="451" t="s">
        <v>66</v>
      </c>
      <c r="BM378" s="78">
        <f t="shared" si="42"/>
        <v>0</v>
      </c>
      <c r="BN378" s="78">
        <f t="shared" si="43"/>
        <v>0</v>
      </c>
      <c r="BO378" s="78">
        <f t="shared" si="44"/>
        <v>0</v>
      </c>
      <c r="BP378" s="78">
        <f t="shared" si="45"/>
        <v>0</v>
      </c>
    </row>
    <row r="379" spans="1:68" x14ac:dyDescent="0.2">
      <c r="A379" s="621"/>
      <c r="B379" s="621"/>
      <c r="C379" s="621"/>
      <c r="D379" s="621"/>
      <c r="E379" s="621"/>
      <c r="F379" s="621"/>
      <c r="G379" s="621"/>
      <c r="H379" s="621"/>
      <c r="I379" s="621"/>
      <c r="J379" s="621"/>
      <c r="K379" s="621"/>
      <c r="L379" s="621"/>
      <c r="M379" s="621"/>
      <c r="N379" s="621"/>
      <c r="O379" s="622"/>
      <c r="P379" s="618" t="s">
        <v>40</v>
      </c>
      <c r="Q379" s="619"/>
      <c r="R379" s="619"/>
      <c r="S379" s="619"/>
      <c r="T379" s="619"/>
      <c r="U379" s="619"/>
      <c r="V379" s="620"/>
      <c r="W379" s="42" t="s">
        <v>39</v>
      </c>
      <c r="X379" s="43">
        <f>IFERROR(X370/H370,"0")+IFERROR(X371/H371,"0")+IFERROR(X372/H372,"0")+IFERROR(X373/H373,"0")+IFERROR(X374/H374,"0")+IFERROR(X375/H375,"0")+IFERROR(X376/H376,"0")+IFERROR(X377/H377,"0")+IFERROR(X378/H378,"0")</f>
        <v>0</v>
      </c>
      <c r="Y379" s="43">
        <f>IFERROR(Y370/H370,"0")+IFERROR(Y371/H371,"0")+IFERROR(Y372/H372,"0")+IFERROR(Y373/H373,"0")+IFERROR(Y374/H374,"0")+IFERROR(Y375/H375,"0")+IFERROR(Y376/H376,"0")+IFERROR(Y377/H377,"0")+IFERROR(Y378/H378,"0")</f>
        <v>0</v>
      </c>
      <c r="Z379" s="43">
        <f>IFERROR(IF(Z370="",0,Z370),"0")+IFERROR(IF(Z371="",0,Z371),"0")+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21"/>
      <c r="B380" s="621"/>
      <c r="C380" s="621"/>
      <c r="D380" s="621"/>
      <c r="E380" s="621"/>
      <c r="F380" s="621"/>
      <c r="G380" s="621"/>
      <c r="H380" s="621"/>
      <c r="I380" s="621"/>
      <c r="J380" s="621"/>
      <c r="K380" s="621"/>
      <c r="L380" s="621"/>
      <c r="M380" s="621"/>
      <c r="N380" s="621"/>
      <c r="O380" s="622"/>
      <c r="P380" s="618" t="s">
        <v>40</v>
      </c>
      <c r="Q380" s="619"/>
      <c r="R380" s="619"/>
      <c r="S380" s="619"/>
      <c r="T380" s="619"/>
      <c r="U380" s="619"/>
      <c r="V380" s="620"/>
      <c r="W380" s="42" t="s">
        <v>0</v>
      </c>
      <c r="X380" s="43">
        <f>IFERROR(SUM(X370:X378),"0")</f>
        <v>0</v>
      </c>
      <c r="Y380" s="43">
        <f>IFERROR(SUM(Y370:Y378),"0")</f>
        <v>0</v>
      </c>
      <c r="Z380" s="42"/>
      <c r="AA380" s="67"/>
      <c r="AB380" s="67"/>
      <c r="AC380" s="67"/>
    </row>
    <row r="381" spans="1:68" ht="14.25" customHeight="1" x14ac:dyDescent="0.25">
      <c r="A381" s="612" t="s">
        <v>87</v>
      </c>
      <c r="B381" s="612"/>
      <c r="C381" s="612"/>
      <c r="D381" s="612"/>
      <c r="E381" s="612"/>
      <c r="F381" s="612"/>
      <c r="G381" s="612"/>
      <c r="H381" s="612"/>
      <c r="I381" s="612"/>
      <c r="J381" s="612"/>
      <c r="K381" s="612"/>
      <c r="L381" s="612"/>
      <c r="M381" s="612"/>
      <c r="N381" s="612"/>
      <c r="O381" s="612"/>
      <c r="P381" s="612"/>
      <c r="Q381" s="612"/>
      <c r="R381" s="612"/>
      <c r="S381" s="612"/>
      <c r="T381" s="612"/>
      <c r="U381" s="612"/>
      <c r="V381" s="612"/>
      <c r="W381" s="612"/>
      <c r="X381" s="612"/>
      <c r="Y381" s="612"/>
      <c r="Z381" s="612"/>
      <c r="AA381" s="66"/>
      <c r="AB381" s="66"/>
      <c r="AC381" s="80"/>
    </row>
    <row r="382" spans="1:68" ht="27" customHeight="1" x14ac:dyDescent="0.25">
      <c r="A382" s="63" t="s">
        <v>606</v>
      </c>
      <c r="B382" s="63" t="s">
        <v>607</v>
      </c>
      <c r="C382" s="36">
        <v>4301051284</v>
      </c>
      <c r="D382" s="613">
        <v>4607091384352</v>
      </c>
      <c r="E382" s="613"/>
      <c r="F382" s="62">
        <v>0.6</v>
      </c>
      <c r="G382" s="37">
        <v>4</v>
      </c>
      <c r="H382" s="62">
        <v>2.4</v>
      </c>
      <c r="I382" s="62">
        <v>2.6259999999999999</v>
      </c>
      <c r="J382" s="37">
        <v>132</v>
      </c>
      <c r="K382" s="37" t="s">
        <v>120</v>
      </c>
      <c r="L382" s="37" t="s">
        <v>45</v>
      </c>
      <c r="M382" s="38" t="s">
        <v>91</v>
      </c>
      <c r="N382" s="38"/>
      <c r="O382" s="37">
        <v>45</v>
      </c>
      <c r="P382" s="80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2" s="615"/>
      <c r="R382" s="615"/>
      <c r="S382" s="615"/>
      <c r="T382" s="616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45</v>
      </c>
      <c r="AB382" s="69" t="s">
        <v>45</v>
      </c>
      <c r="AC382" s="452" t="s">
        <v>608</v>
      </c>
      <c r="AG382" s="78"/>
      <c r="AJ382" s="84" t="s">
        <v>45</v>
      </c>
      <c r="AK382" s="84">
        <v>0</v>
      </c>
      <c r="BB382" s="453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609</v>
      </c>
      <c r="B383" s="63" t="s">
        <v>610</v>
      </c>
      <c r="C383" s="36">
        <v>4301051431</v>
      </c>
      <c r="D383" s="613">
        <v>4607091389654</v>
      </c>
      <c r="E383" s="613"/>
      <c r="F383" s="62">
        <v>0.33</v>
      </c>
      <c r="G383" s="37">
        <v>6</v>
      </c>
      <c r="H383" s="62">
        <v>1.98</v>
      </c>
      <c r="I383" s="62">
        <v>2.238</v>
      </c>
      <c r="J383" s="37">
        <v>182</v>
      </c>
      <c r="K383" s="37" t="s">
        <v>82</v>
      </c>
      <c r="L383" s="37" t="s">
        <v>45</v>
      </c>
      <c r="M383" s="38" t="s">
        <v>91</v>
      </c>
      <c r="N383" s="38"/>
      <c r="O383" s="37">
        <v>45</v>
      </c>
      <c r="P383" s="80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83" s="615"/>
      <c r="R383" s="615"/>
      <c r="S383" s="615"/>
      <c r="T383" s="616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4" t="s">
        <v>611</v>
      </c>
      <c r="AG383" s="78"/>
      <c r="AJ383" s="84" t="s">
        <v>45</v>
      </c>
      <c r="AK383" s="84">
        <v>0</v>
      </c>
      <c r="BB383" s="455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21"/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2"/>
      <c r="P384" s="618" t="s">
        <v>40</v>
      </c>
      <c r="Q384" s="619"/>
      <c r="R384" s="619"/>
      <c r="S384" s="619"/>
      <c r="T384" s="619"/>
      <c r="U384" s="619"/>
      <c r="V384" s="620"/>
      <c r="W384" s="42" t="s">
        <v>39</v>
      </c>
      <c r="X384" s="43">
        <f>IFERROR(X382/H382,"0")+IFERROR(X383/H383,"0")</f>
        <v>0</v>
      </c>
      <c r="Y384" s="43">
        <f>IFERROR(Y382/H382,"0")+IFERROR(Y383/H383,"0")</f>
        <v>0</v>
      </c>
      <c r="Z384" s="43">
        <f>IFERROR(IF(Z382="",0,Z382),"0")+IFERROR(IF(Z383="",0,Z383),"0")</f>
        <v>0</v>
      </c>
      <c r="AA384" s="67"/>
      <c r="AB384" s="67"/>
      <c r="AC384" s="67"/>
    </row>
    <row r="385" spans="1:68" x14ac:dyDescent="0.2">
      <c r="A385" s="621"/>
      <c r="B385" s="621"/>
      <c r="C385" s="621"/>
      <c r="D385" s="621"/>
      <c r="E385" s="621"/>
      <c r="F385" s="621"/>
      <c r="G385" s="621"/>
      <c r="H385" s="621"/>
      <c r="I385" s="621"/>
      <c r="J385" s="621"/>
      <c r="K385" s="621"/>
      <c r="L385" s="621"/>
      <c r="M385" s="621"/>
      <c r="N385" s="621"/>
      <c r="O385" s="622"/>
      <c r="P385" s="618" t="s">
        <v>40</v>
      </c>
      <c r="Q385" s="619"/>
      <c r="R385" s="619"/>
      <c r="S385" s="619"/>
      <c r="T385" s="619"/>
      <c r="U385" s="619"/>
      <c r="V385" s="620"/>
      <c r="W385" s="42" t="s">
        <v>0</v>
      </c>
      <c r="X385" s="43">
        <f>IFERROR(SUM(X382:X383),"0")</f>
        <v>0</v>
      </c>
      <c r="Y385" s="43">
        <f>IFERROR(SUM(Y382:Y383),"0")</f>
        <v>0</v>
      </c>
      <c r="Z385" s="42"/>
      <c r="AA385" s="67"/>
      <c r="AB385" s="67"/>
      <c r="AC385" s="67"/>
    </row>
    <row r="386" spans="1:68" ht="16.5" customHeight="1" x14ac:dyDescent="0.25">
      <c r="A386" s="611" t="s">
        <v>612</v>
      </c>
      <c r="B386" s="611"/>
      <c r="C386" s="611"/>
      <c r="D386" s="611"/>
      <c r="E386" s="611"/>
      <c r="F386" s="611"/>
      <c r="G386" s="611"/>
      <c r="H386" s="611"/>
      <c r="I386" s="611"/>
      <c r="J386" s="611"/>
      <c r="K386" s="611"/>
      <c r="L386" s="611"/>
      <c r="M386" s="611"/>
      <c r="N386" s="611"/>
      <c r="O386" s="611"/>
      <c r="P386" s="611"/>
      <c r="Q386" s="611"/>
      <c r="R386" s="611"/>
      <c r="S386" s="611"/>
      <c r="T386" s="611"/>
      <c r="U386" s="611"/>
      <c r="V386" s="611"/>
      <c r="W386" s="611"/>
      <c r="X386" s="611"/>
      <c r="Y386" s="611"/>
      <c r="Z386" s="611"/>
      <c r="AA386" s="65"/>
      <c r="AB386" s="65"/>
      <c r="AC386" s="79"/>
    </row>
    <row r="387" spans="1:68" ht="14.25" customHeight="1" x14ac:dyDescent="0.25">
      <c r="A387" s="612" t="s">
        <v>145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66"/>
      <c r="AB387" s="66"/>
      <c r="AC387" s="80"/>
    </row>
    <row r="388" spans="1:68" ht="27" customHeight="1" x14ac:dyDescent="0.25">
      <c r="A388" s="63" t="s">
        <v>613</v>
      </c>
      <c r="B388" s="63" t="s">
        <v>614</v>
      </c>
      <c r="C388" s="36">
        <v>4301020319</v>
      </c>
      <c r="D388" s="613">
        <v>4680115885240</v>
      </c>
      <c r="E388" s="613"/>
      <c r="F388" s="62">
        <v>0.35</v>
      </c>
      <c r="G388" s="37">
        <v>6</v>
      </c>
      <c r="H388" s="62">
        <v>2.1</v>
      </c>
      <c r="I388" s="62">
        <v>2.31</v>
      </c>
      <c r="J388" s="37">
        <v>182</v>
      </c>
      <c r="K388" s="37" t="s">
        <v>82</v>
      </c>
      <c r="L388" s="37" t="s">
        <v>45</v>
      </c>
      <c r="M388" s="38" t="s">
        <v>81</v>
      </c>
      <c r="N388" s="38"/>
      <c r="O388" s="37">
        <v>40</v>
      </c>
      <c r="P388" s="80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88" s="615"/>
      <c r="R388" s="615"/>
      <c r="S388" s="615"/>
      <c r="T388" s="616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45</v>
      </c>
      <c r="AB388" s="69" t="s">
        <v>45</v>
      </c>
      <c r="AC388" s="456" t="s">
        <v>615</v>
      </c>
      <c r="AG388" s="78"/>
      <c r="AJ388" s="84" t="s">
        <v>45</v>
      </c>
      <c r="AK388" s="84">
        <v>0</v>
      </c>
      <c r="BB388" s="45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1"/>
      <c r="B389" s="621"/>
      <c r="C389" s="621"/>
      <c r="D389" s="621"/>
      <c r="E389" s="621"/>
      <c r="F389" s="621"/>
      <c r="G389" s="621"/>
      <c r="H389" s="621"/>
      <c r="I389" s="621"/>
      <c r="J389" s="621"/>
      <c r="K389" s="621"/>
      <c r="L389" s="621"/>
      <c r="M389" s="621"/>
      <c r="N389" s="621"/>
      <c r="O389" s="622"/>
      <c r="P389" s="618" t="s">
        <v>40</v>
      </c>
      <c r="Q389" s="619"/>
      <c r="R389" s="619"/>
      <c r="S389" s="619"/>
      <c r="T389" s="619"/>
      <c r="U389" s="619"/>
      <c r="V389" s="620"/>
      <c r="W389" s="42" t="s">
        <v>39</v>
      </c>
      <c r="X389" s="43">
        <f>IFERROR(X388/H388,"0")</f>
        <v>0</v>
      </c>
      <c r="Y389" s="43">
        <f>IFERROR(Y388/H388,"0")</f>
        <v>0</v>
      </c>
      <c r="Z389" s="43">
        <f>IFERROR(IF(Z388="",0,Z388),"0")</f>
        <v>0</v>
      </c>
      <c r="AA389" s="67"/>
      <c r="AB389" s="67"/>
      <c r="AC389" s="67"/>
    </row>
    <row r="390" spans="1:68" x14ac:dyDescent="0.2">
      <c r="A390" s="621"/>
      <c r="B390" s="621"/>
      <c r="C390" s="621"/>
      <c r="D390" s="621"/>
      <c r="E390" s="621"/>
      <c r="F390" s="621"/>
      <c r="G390" s="621"/>
      <c r="H390" s="621"/>
      <c r="I390" s="621"/>
      <c r="J390" s="621"/>
      <c r="K390" s="621"/>
      <c r="L390" s="621"/>
      <c r="M390" s="621"/>
      <c r="N390" s="621"/>
      <c r="O390" s="622"/>
      <c r="P390" s="618" t="s">
        <v>40</v>
      </c>
      <c r="Q390" s="619"/>
      <c r="R390" s="619"/>
      <c r="S390" s="619"/>
      <c r="T390" s="619"/>
      <c r="U390" s="619"/>
      <c r="V390" s="620"/>
      <c r="W390" s="42" t="s">
        <v>0</v>
      </c>
      <c r="X390" s="43">
        <f>IFERROR(SUM(X388:X388),"0")</f>
        <v>0</v>
      </c>
      <c r="Y390" s="43">
        <f>IFERROR(SUM(Y388:Y388),"0")</f>
        <v>0</v>
      </c>
      <c r="Z390" s="42"/>
      <c r="AA390" s="67"/>
      <c r="AB390" s="67"/>
      <c r="AC390" s="67"/>
    </row>
    <row r="391" spans="1:68" ht="14.25" customHeight="1" x14ac:dyDescent="0.25">
      <c r="A391" s="612" t="s">
        <v>76</v>
      </c>
      <c r="B391" s="612"/>
      <c r="C391" s="612"/>
      <c r="D391" s="612"/>
      <c r="E391" s="612"/>
      <c r="F391" s="612"/>
      <c r="G391" s="612"/>
      <c r="H391" s="612"/>
      <c r="I391" s="612"/>
      <c r="J391" s="612"/>
      <c r="K391" s="612"/>
      <c r="L391" s="612"/>
      <c r="M391" s="612"/>
      <c r="N391" s="612"/>
      <c r="O391" s="612"/>
      <c r="P391" s="612"/>
      <c r="Q391" s="612"/>
      <c r="R391" s="612"/>
      <c r="S391" s="612"/>
      <c r="T391" s="612"/>
      <c r="U391" s="612"/>
      <c r="V391" s="612"/>
      <c r="W391" s="612"/>
      <c r="X391" s="612"/>
      <c r="Y391" s="612"/>
      <c r="Z391" s="612"/>
      <c r="AA391" s="66"/>
      <c r="AB391" s="66"/>
      <c r="AC391" s="80"/>
    </row>
    <row r="392" spans="1:68" ht="27" customHeight="1" x14ac:dyDescent="0.25">
      <c r="A392" s="63" t="s">
        <v>616</v>
      </c>
      <c r="B392" s="63" t="s">
        <v>617</v>
      </c>
      <c r="C392" s="36">
        <v>4301031403</v>
      </c>
      <c r="D392" s="613">
        <v>4680115886094</v>
      </c>
      <c r="E392" s="61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116</v>
      </c>
      <c r="N392" s="38"/>
      <c r="O392" s="37">
        <v>50</v>
      </c>
      <c r="P392" s="8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2" s="615"/>
      <c r="R392" s="615"/>
      <c r="S392" s="615"/>
      <c r="T392" s="616"/>
      <c r="U392" s="39" t="s">
        <v>45</v>
      </c>
      <c r="V392" s="39" t="s">
        <v>45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618</v>
      </c>
      <c r="AG392" s="78"/>
      <c r="AJ392" s="84" t="s">
        <v>45</v>
      </c>
      <c r="AK392" s="84">
        <v>0</v>
      </c>
      <c r="BB392" s="45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619</v>
      </c>
      <c r="B393" s="63" t="s">
        <v>620</v>
      </c>
      <c r="C393" s="36">
        <v>4301031363</v>
      </c>
      <c r="D393" s="613">
        <v>4607091389425</v>
      </c>
      <c r="E393" s="61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86</v>
      </c>
      <c r="L393" s="37" t="s">
        <v>45</v>
      </c>
      <c r="M393" s="38" t="s">
        <v>81</v>
      </c>
      <c r="N393" s="38"/>
      <c r="O393" s="37">
        <v>50</v>
      </c>
      <c r="P393" s="80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393" s="615"/>
      <c r="R393" s="615"/>
      <c r="S393" s="615"/>
      <c r="T393" s="616"/>
      <c r="U393" s="39" t="s">
        <v>45</v>
      </c>
      <c r="V393" s="39" t="s">
        <v>45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IFERROR(IF(Y393=0,"",ROUNDUP(Y393/H393,0)*0.00502),"")</f>
        <v/>
      </c>
      <c r="AA393" s="68" t="s">
        <v>45</v>
      </c>
      <c r="AB393" s="69" t="s">
        <v>45</v>
      </c>
      <c r="AC393" s="460" t="s">
        <v>621</v>
      </c>
      <c r="AG393" s="78"/>
      <c r="AJ393" s="84" t="s">
        <v>45</v>
      </c>
      <c r="AK393" s="84">
        <v>0</v>
      </c>
      <c r="BB393" s="46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622</v>
      </c>
      <c r="B394" s="63" t="s">
        <v>623</v>
      </c>
      <c r="C394" s="36">
        <v>4301031373</v>
      </c>
      <c r="D394" s="613">
        <v>4680115880771</v>
      </c>
      <c r="E394" s="613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86</v>
      </c>
      <c r="L394" s="37" t="s">
        <v>45</v>
      </c>
      <c r="M394" s="38" t="s">
        <v>81</v>
      </c>
      <c r="N394" s="38"/>
      <c r="O394" s="37">
        <v>50</v>
      </c>
      <c r="P394" s="8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394" s="615"/>
      <c r="R394" s="615"/>
      <c r="S394" s="615"/>
      <c r="T394" s="616"/>
      <c r="U394" s="39" t="s">
        <v>45</v>
      </c>
      <c r="V394" s="39" t="s">
        <v>45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IFERROR(IF(Y394=0,"",ROUNDUP(Y394/H394,0)*0.00502),"")</f>
        <v/>
      </c>
      <c r="AA394" s="68" t="s">
        <v>45</v>
      </c>
      <c r="AB394" s="69" t="s">
        <v>45</v>
      </c>
      <c r="AC394" s="462" t="s">
        <v>624</v>
      </c>
      <c r="AG394" s="78"/>
      <c r="AJ394" s="84" t="s">
        <v>45</v>
      </c>
      <c r="AK394" s="84">
        <v>0</v>
      </c>
      <c r="BB394" s="46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625</v>
      </c>
      <c r="B395" s="63" t="s">
        <v>626</v>
      </c>
      <c r="C395" s="36">
        <v>4301031359</v>
      </c>
      <c r="D395" s="613">
        <v>4607091389500</v>
      </c>
      <c r="E395" s="613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86</v>
      </c>
      <c r="L395" s="37" t="s">
        <v>45</v>
      </c>
      <c r="M395" s="38" t="s">
        <v>81</v>
      </c>
      <c r="N395" s="38"/>
      <c r="O395" s="37">
        <v>50</v>
      </c>
      <c r="P395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395" s="615"/>
      <c r="R395" s="615"/>
      <c r="S395" s="615"/>
      <c r="T395" s="616"/>
      <c r="U395" s="39" t="s">
        <v>45</v>
      </c>
      <c r="V395" s="39" t="s">
        <v>45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IFERROR(IF(Y395=0,"",ROUNDUP(Y395/H395,0)*0.00502),"")</f>
        <v/>
      </c>
      <c r="AA395" s="68" t="s">
        <v>45</v>
      </c>
      <c r="AB395" s="69" t="s">
        <v>45</v>
      </c>
      <c r="AC395" s="464" t="s">
        <v>624</v>
      </c>
      <c r="AG395" s="78"/>
      <c r="AJ395" s="84" t="s">
        <v>45</v>
      </c>
      <c r="AK395" s="84">
        <v>0</v>
      </c>
      <c r="BB395" s="46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21"/>
      <c r="B396" s="621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1"/>
      <c r="N396" s="621"/>
      <c r="O396" s="622"/>
      <c r="P396" s="618" t="s">
        <v>40</v>
      </c>
      <c r="Q396" s="619"/>
      <c r="R396" s="619"/>
      <c r="S396" s="619"/>
      <c r="T396" s="619"/>
      <c r="U396" s="619"/>
      <c r="V396" s="62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21"/>
      <c r="B397" s="621"/>
      <c r="C397" s="621"/>
      <c r="D397" s="621"/>
      <c r="E397" s="621"/>
      <c r="F397" s="621"/>
      <c r="G397" s="621"/>
      <c r="H397" s="621"/>
      <c r="I397" s="621"/>
      <c r="J397" s="621"/>
      <c r="K397" s="621"/>
      <c r="L397" s="621"/>
      <c r="M397" s="621"/>
      <c r="N397" s="621"/>
      <c r="O397" s="622"/>
      <c r="P397" s="618" t="s">
        <v>40</v>
      </c>
      <c r="Q397" s="619"/>
      <c r="R397" s="619"/>
      <c r="S397" s="619"/>
      <c r="T397" s="619"/>
      <c r="U397" s="619"/>
      <c r="V397" s="62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6.5" customHeight="1" x14ac:dyDescent="0.25">
      <c r="A398" s="611" t="s">
        <v>627</v>
      </c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1"/>
      <c r="O398" s="611"/>
      <c r="P398" s="611"/>
      <c r="Q398" s="611"/>
      <c r="R398" s="611"/>
      <c r="S398" s="611"/>
      <c r="T398" s="611"/>
      <c r="U398" s="611"/>
      <c r="V398" s="611"/>
      <c r="W398" s="611"/>
      <c r="X398" s="611"/>
      <c r="Y398" s="611"/>
      <c r="Z398" s="611"/>
      <c r="AA398" s="65"/>
      <c r="AB398" s="65"/>
      <c r="AC398" s="79"/>
    </row>
    <row r="399" spans="1:68" ht="14.25" customHeight="1" x14ac:dyDescent="0.25">
      <c r="A399" s="612" t="s">
        <v>76</v>
      </c>
      <c r="B399" s="612"/>
      <c r="C399" s="612"/>
      <c r="D399" s="612"/>
      <c r="E399" s="612"/>
      <c r="F399" s="612"/>
      <c r="G399" s="612"/>
      <c r="H399" s="612"/>
      <c r="I399" s="612"/>
      <c r="J399" s="612"/>
      <c r="K399" s="612"/>
      <c r="L399" s="612"/>
      <c r="M399" s="612"/>
      <c r="N399" s="612"/>
      <c r="O399" s="612"/>
      <c r="P399" s="612"/>
      <c r="Q399" s="612"/>
      <c r="R399" s="612"/>
      <c r="S399" s="612"/>
      <c r="T399" s="612"/>
      <c r="U399" s="612"/>
      <c r="V399" s="612"/>
      <c r="W399" s="612"/>
      <c r="X399" s="612"/>
      <c r="Y399" s="612"/>
      <c r="Z399" s="612"/>
      <c r="AA399" s="66"/>
      <c r="AB399" s="66"/>
      <c r="AC399" s="80"/>
    </row>
    <row r="400" spans="1:68" ht="27" customHeight="1" x14ac:dyDescent="0.25">
      <c r="A400" s="63" t="s">
        <v>628</v>
      </c>
      <c r="B400" s="63" t="s">
        <v>629</v>
      </c>
      <c r="C400" s="36">
        <v>4301031347</v>
      </c>
      <c r="D400" s="613">
        <v>4680115885110</v>
      </c>
      <c r="E400" s="613"/>
      <c r="F400" s="62">
        <v>0.2</v>
      </c>
      <c r="G400" s="37">
        <v>6</v>
      </c>
      <c r="H400" s="62">
        <v>1.2</v>
      </c>
      <c r="I400" s="62">
        <v>2.1</v>
      </c>
      <c r="J400" s="37">
        <v>182</v>
      </c>
      <c r="K400" s="37" t="s">
        <v>82</v>
      </c>
      <c r="L400" s="37" t="s">
        <v>45</v>
      </c>
      <c r="M400" s="38" t="s">
        <v>81</v>
      </c>
      <c r="N400" s="38"/>
      <c r="O400" s="37">
        <v>50</v>
      </c>
      <c r="P400" s="8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00" s="615"/>
      <c r="R400" s="615"/>
      <c r="S400" s="615"/>
      <c r="T400" s="616"/>
      <c r="U400" s="39" t="s">
        <v>45</v>
      </c>
      <c r="V400" s="39" t="s">
        <v>45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45</v>
      </c>
      <c r="AB400" s="69" t="s">
        <v>45</v>
      </c>
      <c r="AC400" s="466" t="s">
        <v>630</v>
      </c>
      <c r="AG400" s="78"/>
      <c r="AJ400" s="84" t="s">
        <v>45</v>
      </c>
      <c r="AK400" s="84">
        <v>0</v>
      </c>
      <c r="BB400" s="467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21"/>
      <c r="B401" s="621"/>
      <c r="C401" s="621"/>
      <c r="D401" s="621"/>
      <c r="E401" s="621"/>
      <c r="F401" s="621"/>
      <c r="G401" s="621"/>
      <c r="H401" s="621"/>
      <c r="I401" s="621"/>
      <c r="J401" s="621"/>
      <c r="K401" s="621"/>
      <c r="L401" s="621"/>
      <c r="M401" s="621"/>
      <c r="N401" s="621"/>
      <c r="O401" s="622"/>
      <c r="P401" s="618" t="s">
        <v>40</v>
      </c>
      <c r="Q401" s="619"/>
      <c r="R401" s="619"/>
      <c r="S401" s="619"/>
      <c r="T401" s="619"/>
      <c r="U401" s="619"/>
      <c r="V401" s="620"/>
      <c r="W401" s="42" t="s">
        <v>39</v>
      </c>
      <c r="X401" s="43">
        <f>IFERROR(X400/H400,"0")</f>
        <v>0</v>
      </c>
      <c r="Y401" s="43">
        <f>IFERROR(Y400/H400,"0")</f>
        <v>0</v>
      </c>
      <c r="Z401" s="43">
        <f>IFERROR(IF(Z400="",0,Z400),"0")</f>
        <v>0</v>
      </c>
      <c r="AA401" s="67"/>
      <c r="AB401" s="67"/>
      <c r="AC401" s="67"/>
    </row>
    <row r="402" spans="1:68" x14ac:dyDescent="0.2">
      <c r="A402" s="621"/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2"/>
      <c r="P402" s="618" t="s">
        <v>40</v>
      </c>
      <c r="Q402" s="619"/>
      <c r="R402" s="619"/>
      <c r="S402" s="619"/>
      <c r="T402" s="619"/>
      <c r="U402" s="619"/>
      <c r="V402" s="620"/>
      <c r="W402" s="42" t="s">
        <v>0</v>
      </c>
      <c r="X402" s="43">
        <f>IFERROR(SUM(X400:X400),"0")</f>
        <v>0</v>
      </c>
      <c r="Y402" s="43">
        <f>IFERROR(SUM(Y400:Y400),"0")</f>
        <v>0</v>
      </c>
      <c r="Z402" s="42"/>
      <c r="AA402" s="67"/>
      <c r="AB402" s="67"/>
      <c r="AC402" s="67"/>
    </row>
    <row r="403" spans="1:68" ht="27.75" customHeight="1" x14ac:dyDescent="0.2">
      <c r="A403" s="610" t="s">
        <v>631</v>
      </c>
      <c r="B403" s="610"/>
      <c r="C403" s="610"/>
      <c r="D403" s="610"/>
      <c r="E403" s="610"/>
      <c r="F403" s="610"/>
      <c r="G403" s="610"/>
      <c r="H403" s="610"/>
      <c r="I403" s="610"/>
      <c r="J403" s="610"/>
      <c r="K403" s="610"/>
      <c r="L403" s="610"/>
      <c r="M403" s="610"/>
      <c r="N403" s="610"/>
      <c r="O403" s="610"/>
      <c r="P403" s="610"/>
      <c r="Q403" s="610"/>
      <c r="R403" s="610"/>
      <c r="S403" s="610"/>
      <c r="T403" s="610"/>
      <c r="U403" s="610"/>
      <c r="V403" s="610"/>
      <c r="W403" s="610"/>
      <c r="X403" s="610"/>
      <c r="Y403" s="610"/>
      <c r="Z403" s="610"/>
      <c r="AA403" s="54"/>
      <c r="AB403" s="54"/>
      <c r="AC403" s="54"/>
    </row>
    <row r="404" spans="1:68" ht="16.5" customHeight="1" x14ac:dyDescent="0.25">
      <c r="A404" s="611" t="s">
        <v>631</v>
      </c>
      <c r="B404" s="611"/>
      <c r="C404" s="611"/>
      <c r="D404" s="611"/>
      <c r="E404" s="611"/>
      <c r="F404" s="611"/>
      <c r="G404" s="611"/>
      <c r="H404" s="611"/>
      <c r="I404" s="611"/>
      <c r="J404" s="611"/>
      <c r="K404" s="611"/>
      <c r="L404" s="611"/>
      <c r="M404" s="611"/>
      <c r="N404" s="611"/>
      <c r="O404" s="611"/>
      <c r="P404" s="611"/>
      <c r="Q404" s="611"/>
      <c r="R404" s="611"/>
      <c r="S404" s="611"/>
      <c r="T404" s="611"/>
      <c r="U404" s="611"/>
      <c r="V404" s="611"/>
      <c r="W404" s="611"/>
      <c r="X404" s="611"/>
      <c r="Y404" s="611"/>
      <c r="Z404" s="611"/>
      <c r="AA404" s="65"/>
      <c r="AB404" s="65"/>
      <c r="AC404" s="79"/>
    </row>
    <row r="405" spans="1:68" ht="14.25" customHeight="1" x14ac:dyDescent="0.25">
      <c r="A405" s="612" t="s">
        <v>112</v>
      </c>
      <c r="B405" s="612"/>
      <c r="C405" s="612"/>
      <c r="D405" s="612"/>
      <c r="E405" s="612"/>
      <c r="F405" s="612"/>
      <c r="G405" s="612"/>
      <c r="H405" s="612"/>
      <c r="I405" s="612"/>
      <c r="J405" s="612"/>
      <c r="K405" s="612"/>
      <c r="L405" s="612"/>
      <c r="M405" s="612"/>
      <c r="N405" s="612"/>
      <c r="O405" s="612"/>
      <c r="P405" s="612"/>
      <c r="Q405" s="612"/>
      <c r="R405" s="612"/>
      <c r="S405" s="612"/>
      <c r="T405" s="612"/>
      <c r="U405" s="612"/>
      <c r="V405" s="612"/>
      <c r="W405" s="612"/>
      <c r="X405" s="612"/>
      <c r="Y405" s="612"/>
      <c r="Z405" s="612"/>
      <c r="AA405" s="66"/>
      <c r="AB405" s="66"/>
      <c r="AC405" s="80"/>
    </row>
    <row r="406" spans="1:68" ht="27" customHeight="1" x14ac:dyDescent="0.25">
      <c r="A406" s="63" t="s">
        <v>632</v>
      </c>
      <c r="B406" s="63" t="s">
        <v>633</v>
      </c>
      <c r="C406" s="36">
        <v>4301011795</v>
      </c>
      <c r="D406" s="613">
        <v>4607091389067</v>
      </c>
      <c r="E406" s="613"/>
      <c r="F406" s="62">
        <v>0.88</v>
      </c>
      <c r="G406" s="37">
        <v>6</v>
      </c>
      <c r="H406" s="62">
        <v>5.28</v>
      </c>
      <c r="I406" s="62">
        <v>5.63</v>
      </c>
      <c r="J406" s="37">
        <v>104</v>
      </c>
      <c r="K406" s="37" t="s">
        <v>117</v>
      </c>
      <c r="L406" s="37" t="s">
        <v>45</v>
      </c>
      <c r="M406" s="38" t="s">
        <v>116</v>
      </c>
      <c r="N406" s="38"/>
      <c r="O406" s="37">
        <v>60</v>
      </c>
      <c r="P406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06" s="615"/>
      <c r="R406" s="615"/>
      <c r="S406" s="615"/>
      <c r="T406" s="616"/>
      <c r="U406" s="39" t="s">
        <v>45</v>
      </c>
      <c r="V406" s="39" t="s">
        <v>45</v>
      </c>
      <c r="W406" s="40" t="s">
        <v>0</v>
      </c>
      <c r="X406" s="58">
        <v>0</v>
      </c>
      <c r="Y406" s="55">
        <f t="shared" ref="Y406:Y417" si="47">IFERROR(IF(X406="",0,CEILING((X406/$H406),1)*$H406),"")</f>
        <v>0</v>
      </c>
      <c r="Z406" s="41" t="str">
        <f t="shared" ref="Z406:Z412" si="48">IFERROR(IF(Y406=0,"",ROUNDUP(Y406/H406,0)*0.01196),"")</f>
        <v/>
      </c>
      <c r="AA406" s="68" t="s">
        <v>45</v>
      </c>
      <c r="AB406" s="69" t="s">
        <v>45</v>
      </c>
      <c r="AC406" s="468" t="s">
        <v>115</v>
      </c>
      <c r="AG406" s="78"/>
      <c r="AJ406" s="84" t="s">
        <v>45</v>
      </c>
      <c r="AK406" s="84">
        <v>0</v>
      </c>
      <c r="BB406" s="469" t="s">
        <v>66</v>
      </c>
      <c r="BM406" s="78">
        <f t="shared" ref="BM406:BM417" si="49">IFERROR(X406*I406/H406,"0")</f>
        <v>0</v>
      </c>
      <c r="BN406" s="78">
        <f t="shared" ref="BN406:BN417" si="50">IFERROR(Y406*I406/H406,"0")</f>
        <v>0</v>
      </c>
      <c r="BO406" s="78">
        <f t="shared" ref="BO406:BO417" si="51">IFERROR(1/J406*(X406/H406),"0")</f>
        <v>0</v>
      </c>
      <c r="BP406" s="78">
        <f t="shared" ref="BP406:BP417" si="52">IFERROR(1/J406*(Y406/H406),"0")</f>
        <v>0</v>
      </c>
    </row>
    <row r="407" spans="1:68" ht="27" customHeight="1" x14ac:dyDescent="0.25">
      <c r="A407" s="63" t="s">
        <v>634</v>
      </c>
      <c r="B407" s="63" t="s">
        <v>635</v>
      </c>
      <c r="C407" s="36">
        <v>4301012210</v>
      </c>
      <c r="D407" s="613">
        <v>4607091383522</v>
      </c>
      <c r="E407" s="613"/>
      <c r="F407" s="62">
        <v>0.88</v>
      </c>
      <c r="G407" s="37">
        <v>6</v>
      </c>
      <c r="H407" s="62">
        <v>5.28</v>
      </c>
      <c r="I407" s="62">
        <v>5.63</v>
      </c>
      <c r="J407" s="37">
        <v>104</v>
      </c>
      <c r="K407" s="37" t="s">
        <v>117</v>
      </c>
      <c r="L407" s="37" t="s">
        <v>45</v>
      </c>
      <c r="M407" s="38" t="s">
        <v>116</v>
      </c>
      <c r="N407" s="38"/>
      <c r="O407" s="37">
        <v>60</v>
      </c>
      <c r="P407" s="813" t="s">
        <v>636</v>
      </c>
      <c r="Q407" s="615"/>
      <c r="R407" s="615"/>
      <c r="S407" s="615"/>
      <c r="T407" s="616"/>
      <c r="U407" s="39" t="s">
        <v>45</v>
      </c>
      <c r="V407" s="39" t="s">
        <v>45</v>
      </c>
      <c r="W407" s="40" t="s">
        <v>0</v>
      </c>
      <c r="X407" s="58">
        <v>0</v>
      </c>
      <c r="Y407" s="55">
        <f t="shared" si="47"/>
        <v>0</v>
      </c>
      <c r="Z407" s="41" t="str">
        <f t="shared" si="48"/>
        <v/>
      </c>
      <c r="AA407" s="68" t="s">
        <v>45</v>
      </c>
      <c r="AB407" s="69" t="s">
        <v>45</v>
      </c>
      <c r="AC407" s="470" t="s">
        <v>637</v>
      </c>
      <c r="AG407" s="78"/>
      <c r="AJ407" s="84" t="s">
        <v>45</v>
      </c>
      <c r="AK407" s="84">
        <v>0</v>
      </c>
      <c r="BB407" s="471" t="s">
        <v>66</v>
      </c>
      <c r="BM407" s="78">
        <f t="shared" si="49"/>
        <v>0</v>
      </c>
      <c r="BN407" s="78">
        <f t="shared" si="50"/>
        <v>0</v>
      </c>
      <c r="BO407" s="78">
        <f t="shared" si="51"/>
        <v>0</v>
      </c>
      <c r="BP407" s="78">
        <f t="shared" si="52"/>
        <v>0</v>
      </c>
    </row>
    <row r="408" spans="1:68" ht="27" customHeight="1" x14ac:dyDescent="0.25">
      <c r="A408" s="63" t="s">
        <v>634</v>
      </c>
      <c r="B408" s="63" t="s">
        <v>638</v>
      </c>
      <c r="C408" s="36">
        <v>4301012145</v>
      </c>
      <c r="D408" s="613">
        <v>4607091383522</v>
      </c>
      <c r="E408" s="613"/>
      <c r="F408" s="62">
        <v>0.88</v>
      </c>
      <c r="G408" s="37">
        <v>6</v>
      </c>
      <c r="H408" s="62">
        <v>5.28</v>
      </c>
      <c r="I408" s="62">
        <v>5.63</v>
      </c>
      <c r="J408" s="37">
        <v>104</v>
      </c>
      <c r="K408" s="37" t="s">
        <v>117</v>
      </c>
      <c r="L408" s="37" t="s">
        <v>45</v>
      </c>
      <c r="M408" s="38" t="s">
        <v>116</v>
      </c>
      <c r="N408" s="38"/>
      <c r="O408" s="37">
        <v>60</v>
      </c>
      <c r="P408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08" s="615"/>
      <c r="R408" s="615"/>
      <c r="S408" s="615"/>
      <c r="T408" s="616"/>
      <c r="U408" s="39" t="s">
        <v>45</v>
      </c>
      <c r="V408" s="39" t="s">
        <v>45</v>
      </c>
      <c r="W408" s="40" t="s">
        <v>0</v>
      </c>
      <c r="X408" s="58">
        <v>0</v>
      </c>
      <c r="Y408" s="55">
        <f t="shared" si="47"/>
        <v>0</v>
      </c>
      <c r="Z408" s="41" t="str">
        <f t="shared" si="48"/>
        <v/>
      </c>
      <c r="AA408" s="68" t="s">
        <v>45</v>
      </c>
      <c r="AB408" s="69" t="s">
        <v>45</v>
      </c>
      <c r="AC408" s="472" t="s">
        <v>637</v>
      </c>
      <c r="AG408" s="78"/>
      <c r="AJ408" s="84" t="s">
        <v>45</v>
      </c>
      <c r="AK408" s="84">
        <v>0</v>
      </c>
      <c r="BB408" s="473" t="s">
        <v>66</v>
      </c>
      <c r="BM408" s="78">
        <f t="shared" si="49"/>
        <v>0</v>
      </c>
      <c r="BN408" s="78">
        <f t="shared" si="50"/>
        <v>0</v>
      </c>
      <c r="BO408" s="78">
        <f t="shared" si="51"/>
        <v>0</v>
      </c>
      <c r="BP408" s="78">
        <f t="shared" si="52"/>
        <v>0</v>
      </c>
    </row>
    <row r="409" spans="1:68" ht="27" customHeight="1" x14ac:dyDescent="0.25">
      <c r="A409" s="63" t="s">
        <v>639</v>
      </c>
      <c r="B409" s="63" t="s">
        <v>640</v>
      </c>
      <c r="C409" s="36">
        <v>4301011961</v>
      </c>
      <c r="D409" s="613">
        <v>4680115885271</v>
      </c>
      <c r="E409" s="613"/>
      <c r="F409" s="62">
        <v>0.88</v>
      </c>
      <c r="G409" s="37">
        <v>6</v>
      </c>
      <c r="H409" s="62">
        <v>5.28</v>
      </c>
      <c r="I409" s="62">
        <v>5.63</v>
      </c>
      <c r="J409" s="37">
        <v>104</v>
      </c>
      <c r="K409" s="37" t="s">
        <v>117</v>
      </c>
      <c r="L409" s="37" t="s">
        <v>45</v>
      </c>
      <c r="M409" s="38" t="s">
        <v>116</v>
      </c>
      <c r="N409" s="38"/>
      <c r="O409" s="37">
        <v>60</v>
      </c>
      <c r="P409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09" s="615"/>
      <c r="R409" s="615"/>
      <c r="S409" s="615"/>
      <c r="T409" s="616"/>
      <c r="U409" s="39" t="s">
        <v>45</v>
      </c>
      <c r="V409" s="39" t="s">
        <v>45</v>
      </c>
      <c r="W409" s="40" t="s">
        <v>0</v>
      </c>
      <c r="X409" s="58">
        <v>0</v>
      </c>
      <c r="Y409" s="55">
        <f t="shared" si="47"/>
        <v>0</v>
      </c>
      <c r="Z409" s="41" t="str">
        <f t="shared" si="48"/>
        <v/>
      </c>
      <c r="AA409" s="68" t="s">
        <v>45</v>
      </c>
      <c r="AB409" s="69" t="s">
        <v>45</v>
      </c>
      <c r="AC409" s="474" t="s">
        <v>641</v>
      </c>
      <c r="AG409" s="78"/>
      <c r="AJ409" s="84" t="s">
        <v>45</v>
      </c>
      <c r="AK409" s="84">
        <v>0</v>
      </c>
      <c r="BB409" s="475" t="s">
        <v>66</v>
      </c>
      <c r="BM409" s="78">
        <f t="shared" si="49"/>
        <v>0</v>
      </c>
      <c r="BN409" s="78">
        <f t="shared" si="50"/>
        <v>0</v>
      </c>
      <c r="BO409" s="78">
        <f t="shared" si="51"/>
        <v>0</v>
      </c>
      <c r="BP409" s="78">
        <f t="shared" si="52"/>
        <v>0</v>
      </c>
    </row>
    <row r="410" spans="1:68" ht="27" customHeight="1" x14ac:dyDescent="0.25">
      <c r="A410" s="63" t="s">
        <v>642</v>
      </c>
      <c r="B410" s="63" t="s">
        <v>643</v>
      </c>
      <c r="C410" s="36">
        <v>4301011376</v>
      </c>
      <c r="D410" s="613">
        <v>4680115885226</v>
      </c>
      <c r="E410" s="613"/>
      <c r="F410" s="62">
        <v>0.88</v>
      </c>
      <c r="G410" s="37">
        <v>6</v>
      </c>
      <c r="H410" s="62">
        <v>5.28</v>
      </c>
      <c r="I410" s="62">
        <v>5.63</v>
      </c>
      <c r="J410" s="37">
        <v>104</v>
      </c>
      <c r="K410" s="37" t="s">
        <v>117</v>
      </c>
      <c r="L410" s="37" t="s">
        <v>45</v>
      </c>
      <c r="M410" s="38" t="s">
        <v>91</v>
      </c>
      <c r="N410" s="38"/>
      <c r="O410" s="37">
        <v>60</v>
      </c>
      <c r="P410" s="81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10" s="615"/>
      <c r="R410" s="615"/>
      <c r="S410" s="615"/>
      <c r="T410" s="616"/>
      <c r="U410" s="39" t="s">
        <v>45</v>
      </c>
      <c r="V410" s="39" t="s">
        <v>45</v>
      </c>
      <c r="W410" s="40" t="s">
        <v>0</v>
      </c>
      <c r="X410" s="58">
        <v>0</v>
      </c>
      <c r="Y410" s="55">
        <f t="shared" si="47"/>
        <v>0</v>
      </c>
      <c r="Z410" s="41" t="str">
        <f t="shared" si="48"/>
        <v/>
      </c>
      <c r="AA410" s="68" t="s">
        <v>45</v>
      </c>
      <c r="AB410" s="69" t="s">
        <v>45</v>
      </c>
      <c r="AC410" s="476" t="s">
        <v>644</v>
      </c>
      <c r="AG410" s="78"/>
      <c r="AJ410" s="84" t="s">
        <v>45</v>
      </c>
      <c r="AK410" s="84">
        <v>0</v>
      </c>
      <c r="BB410" s="477" t="s">
        <v>66</v>
      </c>
      <c r="BM410" s="78">
        <f t="shared" si="49"/>
        <v>0</v>
      </c>
      <c r="BN410" s="78">
        <f t="shared" si="50"/>
        <v>0</v>
      </c>
      <c r="BO410" s="78">
        <f t="shared" si="51"/>
        <v>0</v>
      </c>
      <c r="BP410" s="78">
        <f t="shared" si="52"/>
        <v>0</v>
      </c>
    </row>
    <row r="411" spans="1:68" ht="16.5" customHeight="1" x14ac:dyDescent="0.25">
      <c r="A411" s="63" t="s">
        <v>645</v>
      </c>
      <c r="B411" s="63" t="s">
        <v>646</v>
      </c>
      <c r="C411" s="36">
        <v>4301011774</v>
      </c>
      <c r="D411" s="613">
        <v>4680115884502</v>
      </c>
      <c r="E411" s="613"/>
      <c r="F411" s="62">
        <v>0.88</v>
      </c>
      <c r="G411" s="37">
        <v>6</v>
      </c>
      <c r="H411" s="62">
        <v>5.28</v>
      </c>
      <c r="I411" s="62">
        <v>5.63</v>
      </c>
      <c r="J411" s="37">
        <v>104</v>
      </c>
      <c r="K411" s="37" t="s">
        <v>117</v>
      </c>
      <c r="L411" s="37" t="s">
        <v>45</v>
      </c>
      <c r="M411" s="38" t="s">
        <v>116</v>
      </c>
      <c r="N411" s="38"/>
      <c r="O411" s="37">
        <v>60</v>
      </c>
      <c r="P411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11" s="615"/>
      <c r="R411" s="615"/>
      <c r="S411" s="615"/>
      <c r="T411" s="616"/>
      <c r="U411" s="39" t="s">
        <v>45</v>
      </c>
      <c r="V411" s="39" t="s">
        <v>45</v>
      </c>
      <c r="W411" s="40" t="s">
        <v>0</v>
      </c>
      <c r="X411" s="58">
        <v>0</v>
      </c>
      <c r="Y411" s="55">
        <f t="shared" si="47"/>
        <v>0</v>
      </c>
      <c r="Z411" s="41" t="str">
        <f t="shared" si="48"/>
        <v/>
      </c>
      <c r="AA411" s="68" t="s">
        <v>45</v>
      </c>
      <c r="AB411" s="69" t="s">
        <v>45</v>
      </c>
      <c r="AC411" s="478" t="s">
        <v>647</v>
      </c>
      <c r="AG411" s="78"/>
      <c r="AJ411" s="84" t="s">
        <v>45</v>
      </c>
      <c r="AK411" s="84">
        <v>0</v>
      </c>
      <c r="BB411" s="479" t="s">
        <v>66</v>
      </c>
      <c r="BM411" s="78">
        <f t="shared" si="49"/>
        <v>0</v>
      </c>
      <c r="BN411" s="78">
        <f t="shared" si="50"/>
        <v>0</v>
      </c>
      <c r="BO411" s="78">
        <f t="shared" si="51"/>
        <v>0</v>
      </c>
      <c r="BP411" s="78">
        <f t="shared" si="52"/>
        <v>0</v>
      </c>
    </row>
    <row r="412" spans="1:68" ht="27" customHeight="1" x14ac:dyDescent="0.25">
      <c r="A412" s="63" t="s">
        <v>648</v>
      </c>
      <c r="B412" s="63" t="s">
        <v>649</v>
      </c>
      <c r="C412" s="36">
        <v>4301011771</v>
      </c>
      <c r="D412" s="613">
        <v>4607091389104</v>
      </c>
      <c r="E412" s="613"/>
      <c r="F412" s="62">
        <v>0.88</v>
      </c>
      <c r="G412" s="37">
        <v>6</v>
      </c>
      <c r="H412" s="62">
        <v>5.28</v>
      </c>
      <c r="I412" s="62">
        <v>5.63</v>
      </c>
      <c r="J412" s="37">
        <v>104</v>
      </c>
      <c r="K412" s="37" t="s">
        <v>117</v>
      </c>
      <c r="L412" s="37" t="s">
        <v>45</v>
      </c>
      <c r="M412" s="38" t="s">
        <v>116</v>
      </c>
      <c r="N412" s="38"/>
      <c r="O412" s="37">
        <v>60</v>
      </c>
      <c r="P412" s="81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2" s="615"/>
      <c r="R412" s="615"/>
      <c r="S412" s="615"/>
      <c r="T412" s="616"/>
      <c r="U412" s="39" t="s">
        <v>45</v>
      </c>
      <c r="V412" s="39" t="s">
        <v>45</v>
      </c>
      <c r="W412" s="40" t="s">
        <v>0</v>
      </c>
      <c r="X412" s="58">
        <v>0</v>
      </c>
      <c r="Y412" s="55">
        <f t="shared" si="47"/>
        <v>0</v>
      </c>
      <c r="Z412" s="41" t="str">
        <f t="shared" si="48"/>
        <v/>
      </c>
      <c r="AA412" s="68" t="s">
        <v>45</v>
      </c>
      <c r="AB412" s="69" t="s">
        <v>45</v>
      </c>
      <c r="AC412" s="480" t="s">
        <v>650</v>
      </c>
      <c r="AG412" s="78"/>
      <c r="AJ412" s="84" t="s">
        <v>45</v>
      </c>
      <c r="AK412" s="84">
        <v>0</v>
      </c>
      <c r="BB412" s="481" t="s">
        <v>66</v>
      </c>
      <c r="BM412" s="78">
        <f t="shared" si="49"/>
        <v>0</v>
      </c>
      <c r="BN412" s="78">
        <f t="shared" si="50"/>
        <v>0</v>
      </c>
      <c r="BO412" s="78">
        <f t="shared" si="51"/>
        <v>0</v>
      </c>
      <c r="BP412" s="78">
        <f t="shared" si="52"/>
        <v>0</v>
      </c>
    </row>
    <row r="413" spans="1:68" ht="27" customHeight="1" x14ac:dyDescent="0.25">
      <c r="A413" s="63" t="s">
        <v>651</v>
      </c>
      <c r="B413" s="63" t="s">
        <v>652</v>
      </c>
      <c r="C413" s="36">
        <v>4301012125</v>
      </c>
      <c r="D413" s="613">
        <v>4680115886391</v>
      </c>
      <c r="E413" s="613"/>
      <c r="F413" s="62">
        <v>0.4</v>
      </c>
      <c r="G413" s="37">
        <v>6</v>
      </c>
      <c r="H413" s="62">
        <v>2.4</v>
      </c>
      <c r="I413" s="62">
        <v>2.58</v>
      </c>
      <c r="J413" s="37">
        <v>182</v>
      </c>
      <c r="K413" s="37" t="s">
        <v>82</v>
      </c>
      <c r="L413" s="37" t="s">
        <v>45</v>
      </c>
      <c r="M413" s="38" t="s">
        <v>91</v>
      </c>
      <c r="N413" s="38"/>
      <c r="O413" s="37">
        <v>60</v>
      </c>
      <c r="P413" s="81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13" s="615"/>
      <c r="R413" s="615"/>
      <c r="S413" s="615"/>
      <c r="T413" s="616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si="47"/>
        <v>0</v>
      </c>
      <c r="Z413" s="41" t="str">
        <f>IFERROR(IF(Y413=0,"",ROUNDUP(Y413/H413,0)*0.00651),"")</f>
        <v/>
      </c>
      <c r="AA413" s="68" t="s">
        <v>45</v>
      </c>
      <c r="AB413" s="69" t="s">
        <v>45</v>
      </c>
      <c r="AC413" s="482" t="s">
        <v>115</v>
      </c>
      <c r="AG413" s="78"/>
      <c r="AJ413" s="84" t="s">
        <v>45</v>
      </c>
      <c r="AK413" s="84">
        <v>0</v>
      </c>
      <c r="BB413" s="483" t="s">
        <v>66</v>
      </c>
      <c r="BM413" s="78">
        <f t="shared" si="49"/>
        <v>0</v>
      </c>
      <c r="BN413" s="78">
        <f t="shared" si="50"/>
        <v>0</v>
      </c>
      <c r="BO413" s="78">
        <f t="shared" si="51"/>
        <v>0</v>
      </c>
      <c r="BP413" s="78">
        <f t="shared" si="52"/>
        <v>0</v>
      </c>
    </row>
    <row r="414" spans="1:68" ht="27" customHeight="1" x14ac:dyDescent="0.25">
      <c r="A414" s="63" t="s">
        <v>653</v>
      </c>
      <c r="B414" s="63" t="s">
        <v>654</v>
      </c>
      <c r="C414" s="36">
        <v>4301012035</v>
      </c>
      <c r="D414" s="613">
        <v>4680115880603</v>
      </c>
      <c r="E414" s="613"/>
      <c r="F414" s="62">
        <v>0.6</v>
      </c>
      <c r="G414" s="37">
        <v>8</v>
      </c>
      <c r="H414" s="62">
        <v>4.8</v>
      </c>
      <c r="I414" s="62">
        <v>6.91</v>
      </c>
      <c r="J414" s="37">
        <v>132</v>
      </c>
      <c r="K414" s="37" t="s">
        <v>120</v>
      </c>
      <c r="L414" s="37" t="s">
        <v>45</v>
      </c>
      <c r="M414" s="38" t="s">
        <v>116</v>
      </c>
      <c r="N414" s="38"/>
      <c r="O414" s="37">
        <v>60</v>
      </c>
      <c r="P414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14" s="615"/>
      <c r="R414" s="615"/>
      <c r="S414" s="615"/>
      <c r="T414" s="616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47"/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4" t="s">
        <v>115</v>
      </c>
      <c r="AG414" s="78"/>
      <c r="AJ414" s="84" t="s">
        <v>45</v>
      </c>
      <c r="AK414" s="84">
        <v>0</v>
      </c>
      <c r="BB414" s="485" t="s">
        <v>66</v>
      </c>
      <c r="BM414" s="78">
        <f t="shared" si="49"/>
        <v>0</v>
      </c>
      <c r="BN414" s="78">
        <f t="shared" si="50"/>
        <v>0</v>
      </c>
      <c r="BO414" s="78">
        <f t="shared" si="51"/>
        <v>0</v>
      </c>
      <c r="BP414" s="78">
        <f t="shared" si="52"/>
        <v>0</v>
      </c>
    </row>
    <row r="415" spans="1:68" ht="27" customHeight="1" x14ac:dyDescent="0.25">
      <c r="A415" s="63" t="s">
        <v>655</v>
      </c>
      <c r="B415" s="63" t="s">
        <v>656</v>
      </c>
      <c r="C415" s="36">
        <v>4301012036</v>
      </c>
      <c r="D415" s="613">
        <v>4680115882782</v>
      </c>
      <c r="E415" s="613"/>
      <c r="F415" s="62">
        <v>0.6</v>
      </c>
      <c r="G415" s="37">
        <v>8</v>
      </c>
      <c r="H415" s="62">
        <v>4.8</v>
      </c>
      <c r="I415" s="62">
        <v>6.96</v>
      </c>
      <c r="J415" s="37">
        <v>120</v>
      </c>
      <c r="K415" s="37" t="s">
        <v>120</v>
      </c>
      <c r="L415" s="37" t="s">
        <v>45</v>
      </c>
      <c r="M415" s="38" t="s">
        <v>116</v>
      </c>
      <c r="N415" s="38"/>
      <c r="O415" s="37">
        <v>60</v>
      </c>
      <c r="P415" s="82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15" s="615"/>
      <c r="R415" s="615"/>
      <c r="S415" s="615"/>
      <c r="T415" s="616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47"/>
        <v>0</v>
      </c>
      <c r="Z415" s="41" t="str">
        <f>IFERROR(IF(Y415=0,"",ROUNDUP(Y415/H415,0)*0.00937),"")</f>
        <v/>
      </c>
      <c r="AA415" s="68" t="s">
        <v>45</v>
      </c>
      <c r="AB415" s="69" t="s">
        <v>45</v>
      </c>
      <c r="AC415" s="486" t="s">
        <v>641</v>
      </c>
      <c r="AG415" s="78"/>
      <c r="AJ415" s="84" t="s">
        <v>45</v>
      </c>
      <c r="AK415" s="84">
        <v>0</v>
      </c>
      <c r="BB415" s="487" t="s">
        <v>66</v>
      </c>
      <c r="BM415" s="78">
        <f t="shared" si="49"/>
        <v>0</v>
      </c>
      <c r="BN415" s="78">
        <f t="shared" si="50"/>
        <v>0</v>
      </c>
      <c r="BO415" s="78">
        <f t="shared" si="51"/>
        <v>0</v>
      </c>
      <c r="BP415" s="78">
        <f t="shared" si="52"/>
        <v>0</v>
      </c>
    </row>
    <row r="416" spans="1:68" ht="27" customHeight="1" x14ac:dyDescent="0.25">
      <c r="A416" s="63" t="s">
        <v>657</v>
      </c>
      <c r="B416" s="63" t="s">
        <v>658</v>
      </c>
      <c r="C416" s="36">
        <v>4301012050</v>
      </c>
      <c r="D416" s="613">
        <v>4680115885479</v>
      </c>
      <c r="E416" s="613"/>
      <c r="F416" s="62">
        <v>0.4</v>
      </c>
      <c r="G416" s="37">
        <v>6</v>
      </c>
      <c r="H416" s="62">
        <v>2.4</v>
      </c>
      <c r="I416" s="62">
        <v>2.58</v>
      </c>
      <c r="J416" s="37">
        <v>182</v>
      </c>
      <c r="K416" s="37" t="s">
        <v>82</v>
      </c>
      <c r="L416" s="37" t="s">
        <v>45</v>
      </c>
      <c r="M416" s="38" t="s">
        <v>116</v>
      </c>
      <c r="N416" s="38"/>
      <c r="O416" s="37">
        <v>60</v>
      </c>
      <c r="P416" s="8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16" s="615"/>
      <c r="R416" s="615"/>
      <c r="S416" s="615"/>
      <c r="T416" s="616"/>
      <c r="U416" s="39" t="s">
        <v>45</v>
      </c>
      <c r="V416" s="39" t="s">
        <v>45</v>
      </c>
      <c r="W416" s="40" t="s">
        <v>0</v>
      </c>
      <c r="X416" s="58">
        <v>0</v>
      </c>
      <c r="Y416" s="55">
        <f t="shared" si="47"/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88" t="s">
        <v>659</v>
      </c>
      <c r="AG416" s="78"/>
      <c r="AJ416" s="84" t="s">
        <v>45</v>
      </c>
      <c r="AK416" s="84">
        <v>0</v>
      </c>
      <c r="BB416" s="489" t="s">
        <v>66</v>
      </c>
      <c r="BM416" s="78">
        <f t="shared" si="49"/>
        <v>0</v>
      </c>
      <c r="BN416" s="78">
        <f t="shared" si="50"/>
        <v>0</v>
      </c>
      <c r="BO416" s="78">
        <f t="shared" si="51"/>
        <v>0</v>
      </c>
      <c r="BP416" s="78">
        <f t="shared" si="52"/>
        <v>0</v>
      </c>
    </row>
    <row r="417" spans="1:68" ht="27" customHeight="1" x14ac:dyDescent="0.25">
      <c r="A417" s="63" t="s">
        <v>660</v>
      </c>
      <c r="B417" s="63" t="s">
        <v>661</v>
      </c>
      <c r="C417" s="36">
        <v>4301012034</v>
      </c>
      <c r="D417" s="613">
        <v>4607091389982</v>
      </c>
      <c r="E417" s="613"/>
      <c r="F417" s="62">
        <v>0.6</v>
      </c>
      <c r="G417" s="37">
        <v>8</v>
      </c>
      <c r="H417" s="62">
        <v>4.8</v>
      </c>
      <c r="I417" s="62">
        <v>6.91</v>
      </c>
      <c r="J417" s="37">
        <v>132</v>
      </c>
      <c r="K417" s="37" t="s">
        <v>120</v>
      </c>
      <c r="L417" s="37" t="s">
        <v>45</v>
      </c>
      <c r="M417" s="38" t="s">
        <v>116</v>
      </c>
      <c r="N417" s="38"/>
      <c r="O417" s="37">
        <v>60</v>
      </c>
      <c r="P417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17" s="615"/>
      <c r="R417" s="615"/>
      <c r="S417" s="615"/>
      <c r="T417" s="616"/>
      <c r="U417" s="39" t="s">
        <v>45</v>
      </c>
      <c r="V417" s="39" t="s">
        <v>45</v>
      </c>
      <c r="W417" s="40" t="s">
        <v>0</v>
      </c>
      <c r="X417" s="58">
        <v>0</v>
      </c>
      <c r="Y417" s="55">
        <f t="shared" si="47"/>
        <v>0</v>
      </c>
      <c r="Z417" s="41" t="str">
        <f>IFERROR(IF(Y417=0,"",ROUNDUP(Y417/H417,0)*0.00902),"")</f>
        <v/>
      </c>
      <c r="AA417" s="68" t="s">
        <v>45</v>
      </c>
      <c r="AB417" s="69" t="s">
        <v>45</v>
      </c>
      <c r="AC417" s="490" t="s">
        <v>650</v>
      </c>
      <c r="AG417" s="78"/>
      <c r="AJ417" s="84" t="s">
        <v>45</v>
      </c>
      <c r="AK417" s="84">
        <v>0</v>
      </c>
      <c r="BB417" s="491" t="s">
        <v>66</v>
      </c>
      <c r="BM417" s="78">
        <f t="shared" si="49"/>
        <v>0</v>
      </c>
      <c r="BN417" s="78">
        <f t="shared" si="50"/>
        <v>0</v>
      </c>
      <c r="BO417" s="78">
        <f t="shared" si="51"/>
        <v>0</v>
      </c>
      <c r="BP417" s="78">
        <f t="shared" si="52"/>
        <v>0</v>
      </c>
    </row>
    <row r="418" spans="1:68" x14ac:dyDescent="0.2">
      <c r="A418" s="621"/>
      <c r="B418" s="621"/>
      <c r="C418" s="621"/>
      <c r="D418" s="621"/>
      <c r="E418" s="621"/>
      <c r="F418" s="621"/>
      <c r="G418" s="621"/>
      <c r="H418" s="621"/>
      <c r="I418" s="621"/>
      <c r="J418" s="621"/>
      <c r="K418" s="621"/>
      <c r="L418" s="621"/>
      <c r="M418" s="621"/>
      <c r="N418" s="621"/>
      <c r="O418" s="622"/>
      <c r="P418" s="618" t="s">
        <v>40</v>
      </c>
      <c r="Q418" s="619"/>
      <c r="R418" s="619"/>
      <c r="S418" s="619"/>
      <c r="T418" s="619"/>
      <c r="U418" s="619"/>
      <c r="V418" s="620"/>
      <c r="W418" s="42" t="s">
        <v>39</v>
      </c>
      <c r="X418" s="43">
        <f>IFERROR(X406/H406,"0")+IFERROR(X407/H407,"0")+IFERROR(X408/H408,"0")+IFERROR(X409/H409,"0")+IFERROR(X410/H410,"0")+IFERROR(X411/H411,"0")+IFERROR(X412/H412,"0")+IFERROR(X413/H413,"0")+IFERROR(X414/H414,"0")+IFERROR(X415/H415,"0")+IFERROR(X416/H416,"0")+IFERROR(X417/H417,"0")</f>
        <v>0</v>
      </c>
      <c r="Y418" s="43">
        <f>IFERROR(Y406/H406,"0")+IFERROR(Y407/H407,"0")+IFERROR(Y408/H408,"0")+IFERROR(Y409/H409,"0")+IFERROR(Y410/H410,"0")+IFERROR(Y411/H411,"0")+IFERROR(Y412/H412,"0")+IFERROR(Y413/H413,"0")+IFERROR(Y414/H414,"0")+IFERROR(Y415/H415,"0")+IFERROR(Y416/H416,"0")+IFERROR(Y417/H417,"0")</f>
        <v>0</v>
      </c>
      <c r="Z418" s="43">
        <f>IFERROR(IF(Z406="",0,Z406),"0")+IFERROR(IF(Z407="",0,Z407),"0")+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21"/>
      <c r="B419" s="621"/>
      <c r="C419" s="621"/>
      <c r="D419" s="621"/>
      <c r="E419" s="621"/>
      <c r="F419" s="621"/>
      <c r="G419" s="621"/>
      <c r="H419" s="621"/>
      <c r="I419" s="621"/>
      <c r="J419" s="621"/>
      <c r="K419" s="621"/>
      <c r="L419" s="621"/>
      <c r="M419" s="621"/>
      <c r="N419" s="621"/>
      <c r="O419" s="622"/>
      <c r="P419" s="618" t="s">
        <v>40</v>
      </c>
      <c r="Q419" s="619"/>
      <c r="R419" s="619"/>
      <c r="S419" s="619"/>
      <c r="T419" s="619"/>
      <c r="U419" s="619"/>
      <c r="V419" s="620"/>
      <c r="W419" s="42" t="s">
        <v>0</v>
      </c>
      <c r="X419" s="43">
        <f>IFERROR(SUM(X406:X417),"0")</f>
        <v>0</v>
      </c>
      <c r="Y419" s="43">
        <f>IFERROR(SUM(Y406:Y417),"0")</f>
        <v>0</v>
      </c>
      <c r="Z419" s="42"/>
      <c r="AA419" s="67"/>
      <c r="AB419" s="67"/>
      <c r="AC419" s="67"/>
    </row>
    <row r="420" spans="1:68" ht="14.25" customHeight="1" x14ac:dyDescent="0.25">
      <c r="A420" s="612" t="s">
        <v>145</v>
      </c>
      <c r="B420" s="612"/>
      <c r="C420" s="612"/>
      <c r="D420" s="612"/>
      <c r="E420" s="612"/>
      <c r="F420" s="612"/>
      <c r="G420" s="612"/>
      <c r="H420" s="612"/>
      <c r="I420" s="612"/>
      <c r="J420" s="612"/>
      <c r="K420" s="612"/>
      <c r="L420" s="612"/>
      <c r="M420" s="612"/>
      <c r="N420" s="612"/>
      <c r="O420" s="612"/>
      <c r="P420" s="612"/>
      <c r="Q420" s="612"/>
      <c r="R420" s="612"/>
      <c r="S420" s="612"/>
      <c r="T420" s="612"/>
      <c r="U420" s="612"/>
      <c r="V420" s="612"/>
      <c r="W420" s="612"/>
      <c r="X420" s="612"/>
      <c r="Y420" s="612"/>
      <c r="Z420" s="612"/>
      <c r="AA420" s="66"/>
      <c r="AB420" s="66"/>
      <c r="AC420" s="80"/>
    </row>
    <row r="421" spans="1:68" ht="16.5" customHeight="1" x14ac:dyDescent="0.25">
      <c r="A421" s="63" t="s">
        <v>662</v>
      </c>
      <c r="B421" s="63" t="s">
        <v>663</v>
      </c>
      <c r="C421" s="36">
        <v>4301020334</v>
      </c>
      <c r="D421" s="613">
        <v>4607091388930</v>
      </c>
      <c r="E421" s="613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117</v>
      </c>
      <c r="L421" s="37" t="s">
        <v>45</v>
      </c>
      <c r="M421" s="38" t="s">
        <v>91</v>
      </c>
      <c r="N421" s="38"/>
      <c r="O421" s="37">
        <v>70</v>
      </c>
      <c r="P42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21" s="615"/>
      <c r="R421" s="615"/>
      <c r="S421" s="615"/>
      <c r="T421" s="616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IFERROR(IF(Y421=0,"",ROUNDUP(Y421/H421,0)*0.01196),"")</f>
        <v/>
      </c>
      <c r="AA421" s="68" t="s">
        <v>45</v>
      </c>
      <c r="AB421" s="69" t="s">
        <v>45</v>
      </c>
      <c r="AC421" s="492" t="s">
        <v>664</v>
      </c>
      <c r="AG421" s="78"/>
      <c r="AJ421" s="84" t="s">
        <v>45</v>
      </c>
      <c r="AK421" s="84">
        <v>0</v>
      </c>
      <c r="BB421" s="493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customHeight="1" x14ac:dyDescent="0.25">
      <c r="A422" s="63" t="s">
        <v>665</v>
      </c>
      <c r="B422" s="63" t="s">
        <v>666</v>
      </c>
      <c r="C422" s="36">
        <v>4301020384</v>
      </c>
      <c r="D422" s="613">
        <v>4680115886407</v>
      </c>
      <c r="E422" s="613"/>
      <c r="F422" s="62">
        <v>0.4</v>
      </c>
      <c r="G422" s="37">
        <v>6</v>
      </c>
      <c r="H422" s="62">
        <v>2.4</v>
      </c>
      <c r="I422" s="62">
        <v>2.58</v>
      </c>
      <c r="J422" s="37">
        <v>182</v>
      </c>
      <c r="K422" s="37" t="s">
        <v>82</v>
      </c>
      <c r="L422" s="37" t="s">
        <v>45</v>
      </c>
      <c r="M422" s="38" t="s">
        <v>91</v>
      </c>
      <c r="N422" s="38"/>
      <c r="O422" s="37">
        <v>70</v>
      </c>
      <c r="P422" s="8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2" s="615"/>
      <c r="R422" s="615"/>
      <c r="S422" s="615"/>
      <c r="T422" s="61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4" t="s">
        <v>664</v>
      </c>
      <c r="AG422" s="78"/>
      <c r="AJ422" s="84" t="s">
        <v>45</v>
      </c>
      <c r="AK422" s="84">
        <v>0</v>
      </c>
      <c r="BB422" s="495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667</v>
      </c>
      <c r="B423" s="63" t="s">
        <v>668</v>
      </c>
      <c r="C423" s="36">
        <v>4301020385</v>
      </c>
      <c r="D423" s="613">
        <v>4680115880054</v>
      </c>
      <c r="E423" s="613"/>
      <c r="F423" s="62">
        <v>0.6</v>
      </c>
      <c r="G423" s="37">
        <v>8</v>
      </c>
      <c r="H423" s="62">
        <v>4.8</v>
      </c>
      <c r="I423" s="62">
        <v>6.91</v>
      </c>
      <c r="J423" s="37">
        <v>132</v>
      </c>
      <c r="K423" s="37" t="s">
        <v>120</v>
      </c>
      <c r="L423" s="37" t="s">
        <v>45</v>
      </c>
      <c r="M423" s="38" t="s">
        <v>116</v>
      </c>
      <c r="N423" s="38"/>
      <c r="O423" s="37">
        <v>70</v>
      </c>
      <c r="P423" s="82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23" s="615"/>
      <c r="R423" s="615"/>
      <c r="S423" s="615"/>
      <c r="T423" s="616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IFERROR(IF(Y423=0,"",ROUNDUP(Y423/H423,0)*0.00902),"")</f>
        <v/>
      </c>
      <c r="AA423" s="68" t="s">
        <v>45</v>
      </c>
      <c r="AB423" s="69" t="s">
        <v>45</v>
      </c>
      <c r="AC423" s="496" t="s">
        <v>664</v>
      </c>
      <c r="AG423" s="78"/>
      <c r="AJ423" s="84" t="s">
        <v>45</v>
      </c>
      <c r="AK423" s="84">
        <v>0</v>
      </c>
      <c r="BB423" s="497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21"/>
      <c r="B424" s="621"/>
      <c r="C424" s="621"/>
      <c r="D424" s="621"/>
      <c r="E424" s="621"/>
      <c r="F424" s="621"/>
      <c r="G424" s="621"/>
      <c r="H424" s="621"/>
      <c r="I424" s="621"/>
      <c r="J424" s="621"/>
      <c r="K424" s="621"/>
      <c r="L424" s="621"/>
      <c r="M424" s="621"/>
      <c r="N424" s="621"/>
      <c r="O424" s="622"/>
      <c r="P424" s="618" t="s">
        <v>40</v>
      </c>
      <c r="Q424" s="619"/>
      <c r="R424" s="619"/>
      <c r="S424" s="619"/>
      <c r="T424" s="619"/>
      <c r="U424" s="619"/>
      <c r="V424" s="620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621"/>
      <c r="B425" s="621"/>
      <c r="C425" s="621"/>
      <c r="D425" s="621"/>
      <c r="E425" s="621"/>
      <c r="F425" s="621"/>
      <c r="G425" s="621"/>
      <c r="H425" s="621"/>
      <c r="I425" s="621"/>
      <c r="J425" s="621"/>
      <c r="K425" s="621"/>
      <c r="L425" s="621"/>
      <c r="M425" s="621"/>
      <c r="N425" s="621"/>
      <c r="O425" s="622"/>
      <c r="P425" s="618" t="s">
        <v>40</v>
      </c>
      <c r="Q425" s="619"/>
      <c r="R425" s="619"/>
      <c r="S425" s="619"/>
      <c r="T425" s="619"/>
      <c r="U425" s="619"/>
      <c r="V425" s="620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14.25" customHeight="1" x14ac:dyDescent="0.25">
      <c r="A426" s="612" t="s">
        <v>76</v>
      </c>
      <c r="B426" s="612"/>
      <c r="C426" s="612"/>
      <c r="D426" s="612"/>
      <c r="E426" s="612"/>
      <c r="F426" s="612"/>
      <c r="G426" s="612"/>
      <c r="H426" s="612"/>
      <c r="I426" s="612"/>
      <c r="J426" s="612"/>
      <c r="K426" s="612"/>
      <c r="L426" s="612"/>
      <c r="M426" s="612"/>
      <c r="N426" s="612"/>
      <c r="O426" s="612"/>
      <c r="P426" s="612"/>
      <c r="Q426" s="612"/>
      <c r="R426" s="612"/>
      <c r="S426" s="612"/>
      <c r="T426" s="612"/>
      <c r="U426" s="612"/>
      <c r="V426" s="612"/>
      <c r="W426" s="612"/>
      <c r="X426" s="612"/>
      <c r="Y426" s="612"/>
      <c r="Z426" s="612"/>
      <c r="AA426" s="66"/>
      <c r="AB426" s="66"/>
      <c r="AC426" s="80"/>
    </row>
    <row r="427" spans="1:68" ht="27" customHeight="1" x14ac:dyDescent="0.25">
      <c r="A427" s="63" t="s">
        <v>669</v>
      </c>
      <c r="B427" s="63" t="s">
        <v>670</v>
      </c>
      <c r="C427" s="36">
        <v>4301031349</v>
      </c>
      <c r="D427" s="613">
        <v>4680115883116</v>
      </c>
      <c r="E427" s="61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45</v>
      </c>
      <c r="M427" s="38" t="s">
        <v>116</v>
      </c>
      <c r="N427" s="38"/>
      <c r="O427" s="37">
        <v>70</v>
      </c>
      <c r="P427" s="82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27" s="615"/>
      <c r="R427" s="615"/>
      <c r="S427" s="615"/>
      <c r="T427" s="61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2" si="53">IFERROR(IF(X427="",0,CEILING((X427/$H427),1)*$H427),"")</f>
        <v>0</v>
      </c>
      <c r="Z427" s="41" t="str">
        <f>IFERROR(IF(Y427=0,"",ROUNDUP(Y427/H427,0)*0.01196),"")</f>
        <v/>
      </c>
      <c r="AA427" s="68" t="s">
        <v>45</v>
      </c>
      <c r="AB427" s="69" t="s">
        <v>45</v>
      </c>
      <c r="AC427" s="498" t="s">
        <v>671</v>
      </c>
      <c r="AG427" s="78"/>
      <c r="AJ427" s="84" t="s">
        <v>45</v>
      </c>
      <c r="AK427" s="84">
        <v>0</v>
      </c>
      <c r="BB427" s="499" t="s">
        <v>66</v>
      </c>
      <c r="BM427" s="78">
        <f t="shared" ref="BM427:BM432" si="54">IFERROR(X427*I427/H427,"0")</f>
        <v>0</v>
      </c>
      <c r="BN427" s="78">
        <f t="shared" ref="BN427:BN432" si="55">IFERROR(Y427*I427/H427,"0")</f>
        <v>0</v>
      </c>
      <c r="BO427" s="78">
        <f t="shared" ref="BO427:BO432" si="56">IFERROR(1/J427*(X427/H427),"0")</f>
        <v>0</v>
      </c>
      <c r="BP427" s="78">
        <f t="shared" ref="BP427:BP432" si="57">IFERROR(1/J427*(Y427/H427),"0")</f>
        <v>0</v>
      </c>
    </row>
    <row r="428" spans="1:68" ht="27" customHeight="1" x14ac:dyDescent="0.25">
      <c r="A428" s="63" t="s">
        <v>672</v>
      </c>
      <c r="B428" s="63" t="s">
        <v>673</v>
      </c>
      <c r="C428" s="36">
        <v>4301031350</v>
      </c>
      <c r="D428" s="613">
        <v>4680115883093</v>
      </c>
      <c r="E428" s="61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81</v>
      </c>
      <c r="N428" s="38"/>
      <c r="O428" s="37">
        <v>70</v>
      </c>
      <c r="P428" s="8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28" s="615"/>
      <c r="R428" s="615"/>
      <c r="S428" s="615"/>
      <c r="T428" s="61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IFERROR(IF(Y428=0,"",ROUNDUP(Y428/H428,0)*0.01196),"")</f>
        <v/>
      </c>
      <c r="AA428" s="68" t="s">
        <v>45</v>
      </c>
      <c r="AB428" s="69" t="s">
        <v>45</v>
      </c>
      <c r="AC428" s="500" t="s">
        <v>674</v>
      </c>
      <c r="AG428" s="78"/>
      <c r="AJ428" s="84" t="s">
        <v>45</v>
      </c>
      <c r="AK428" s="84">
        <v>0</v>
      </c>
      <c r="BB428" s="501" t="s">
        <v>66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675</v>
      </c>
      <c r="B429" s="63" t="s">
        <v>676</v>
      </c>
      <c r="C429" s="36">
        <v>4301031353</v>
      </c>
      <c r="D429" s="613">
        <v>4680115883109</v>
      </c>
      <c r="E429" s="61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81</v>
      </c>
      <c r="N429" s="38"/>
      <c r="O429" s="37">
        <v>70</v>
      </c>
      <c r="P429" s="8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29" s="615"/>
      <c r="R429" s="615"/>
      <c r="S429" s="615"/>
      <c r="T429" s="61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IFERROR(IF(Y429=0,"",ROUNDUP(Y429/H429,0)*0.01196),"")</f>
        <v/>
      </c>
      <c r="AA429" s="68" t="s">
        <v>45</v>
      </c>
      <c r="AB429" s="69" t="s">
        <v>45</v>
      </c>
      <c r="AC429" s="502" t="s">
        <v>677</v>
      </c>
      <c r="AG429" s="78"/>
      <c r="AJ429" s="84" t="s">
        <v>45</v>
      </c>
      <c r="AK429" s="84">
        <v>0</v>
      </c>
      <c r="BB429" s="503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678</v>
      </c>
      <c r="B430" s="63" t="s">
        <v>679</v>
      </c>
      <c r="C430" s="36">
        <v>4301031419</v>
      </c>
      <c r="D430" s="613">
        <v>4680115882072</v>
      </c>
      <c r="E430" s="613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120</v>
      </c>
      <c r="L430" s="37" t="s">
        <v>45</v>
      </c>
      <c r="M430" s="38" t="s">
        <v>116</v>
      </c>
      <c r="N430" s="38"/>
      <c r="O430" s="37">
        <v>70</v>
      </c>
      <c r="P430" s="83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30" s="615"/>
      <c r="R430" s="615"/>
      <c r="S430" s="615"/>
      <c r="T430" s="61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504" t="s">
        <v>671</v>
      </c>
      <c r="AG430" s="78"/>
      <c r="AJ430" s="84" t="s">
        <v>45</v>
      </c>
      <c r="AK430" s="84">
        <v>0</v>
      </c>
      <c r="BB430" s="505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4301031418</v>
      </c>
      <c r="D431" s="613">
        <v>4680115882102</v>
      </c>
      <c r="E431" s="613"/>
      <c r="F431" s="62">
        <v>0.6</v>
      </c>
      <c r="G431" s="37">
        <v>8</v>
      </c>
      <c r="H431" s="62">
        <v>4.8</v>
      </c>
      <c r="I431" s="62">
        <v>6.67</v>
      </c>
      <c r="J431" s="37">
        <v>132</v>
      </c>
      <c r="K431" s="37" t="s">
        <v>120</v>
      </c>
      <c r="L431" s="37" t="s">
        <v>45</v>
      </c>
      <c r="M431" s="38" t="s">
        <v>81</v>
      </c>
      <c r="N431" s="38"/>
      <c r="O431" s="37">
        <v>70</v>
      </c>
      <c r="P431" s="8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31" s="615"/>
      <c r="R431" s="615"/>
      <c r="S431" s="615"/>
      <c r="T431" s="61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506" t="s">
        <v>674</v>
      </c>
      <c r="AG431" s="78"/>
      <c r="AJ431" s="84" t="s">
        <v>45</v>
      </c>
      <c r="AK431" s="84">
        <v>0</v>
      </c>
      <c r="BB431" s="507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682</v>
      </c>
      <c r="B432" s="63" t="s">
        <v>683</v>
      </c>
      <c r="C432" s="36">
        <v>4301031417</v>
      </c>
      <c r="D432" s="613">
        <v>4680115882096</v>
      </c>
      <c r="E432" s="613"/>
      <c r="F432" s="62">
        <v>0.6</v>
      </c>
      <c r="G432" s="37">
        <v>8</v>
      </c>
      <c r="H432" s="62">
        <v>4.8</v>
      </c>
      <c r="I432" s="62">
        <v>6.67</v>
      </c>
      <c r="J432" s="37">
        <v>132</v>
      </c>
      <c r="K432" s="37" t="s">
        <v>120</v>
      </c>
      <c r="L432" s="37" t="s">
        <v>45</v>
      </c>
      <c r="M432" s="38" t="s">
        <v>81</v>
      </c>
      <c r="N432" s="38"/>
      <c r="O432" s="37">
        <v>70</v>
      </c>
      <c r="P432" s="8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2" s="615"/>
      <c r="R432" s="615"/>
      <c r="S432" s="615"/>
      <c r="T432" s="61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8" t="s">
        <v>677</v>
      </c>
      <c r="AG432" s="78"/>
      <c r="AJ432" s="84" t="s">
        <v>45</v>
      </c>
      <c r="AK432" s="84">
        <v>0</v>
      </c>
      <c r="BB432" s="509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x14ac:dyDescent="0.2">
      <c r="A433" s="621"/>
      <c r="B433" s="621"/>
      <c r="C433" s="621"/>
      <c r="D433" s="621"/>
      <c r="E433" s="621"/>
      <c r="F433" s="621"/>
      <c r="G433" s="621"/>
      <c r="H433" s="621"/>
      <c r="I433" s="621"/>
      <c r="J433" s="621"/>
      <c r="K433" s="621"/>
      <c r="L433" s="621"/>
      <c r="M433" s="621"/>
      <c r="N433" s="621"/>
      <c r="O433" s="622"/>
      <c r="P433" s="618" t="s">
        <v>40</v>
      </c>
      <c r="Q433" s="619"/>
      <c r="R433" s="619"/>
      <c r="S433" s="619"/>
      <c r="T433" s="619"/>
      <c r="U433" s="619"/>
      <c r="V433" s="620"/>
      <c r="W433" s="42" t="s">
        <v>39</v>
      </c>
      <c r="X433" s="43">
        <f>IFERROR(X427/H427,"0")+IFERROR(X428/H428,"0")+IFERROR(X429/H429,"0")+IFERROR(X430/H430,"0")+IFERROR(X431/H431,"0")+IFERROR(X432/H432,"0")</f>
        <v>0</v>
      </c>
      <c r="Y433" s="43">
        <f>IFERROR(Y427/H427,"0")+IFERROR(Y428/H428,"0")+IFERROR(Y429/H429,"0")+IFERROR(Y430/H430,"0")+IFERROR(Y431/H431,"0")+IFERROR(Y432/H432,"0")</f>
        <v>0</v>
      </c>
      <c r="Z433" s="43">
        <f>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21"/>
      <c r="B434" s="621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1"/>
      <c r="N434" s="621"/>
      <c r="O434" s="622"/>
      <c r="P434" s="618" t="s">
        <v>40</v>
      </c>
      <c r="Q434" s="619"/>
      <c r="R434" s="619"/>
      <c r="S434" s="619"/>
      <c r="T434" s="619"/>
      <c r="U434" s="619"/>
      <c r="V434" s="620"/>
      <c r="W434" s="42" t="s">
        <v>0</v>
      </c>
      <c r="X434" s="43">
        <f>IFERROR(SUM(X427:X432),"0")</f>
        <v>0</v>
      </c>
      <c r="Y434" s="43">
        <f>IFERROR(SUM(Y427:Y432),"0")</f>
        <v>0</v>
      </c>
      <c r="Z434" s="42"/>
      <c r="AA434" s="67"/>
      <c r="AB434" s="67"/>
      <c r="AC434" s="67"/>
    </row>
    <row r="435" spans="1:68" ht="14.25" customHeight="1" x14ac:dyDescent="0.25">
      <c r="A435" s="612" t="s">
        <v>87</v>
      </c>
      <c r="B435" s="612"/>
      <c r="C435" s="612"/>
      <c r="D435" s="612"/>
      <c r="E435" s="612"/>
      <c r="F435" s="612"/>
      <c r="G435" s="612"/>
      <c r="H435" s="612"/>
      <c r="I435" s="612"/>
      <c r="J435" s="612"/>
      <c r="K435" s="612"/>
      <c r="L435" s="612"/>
      <c r="M435" s="612"/>
      <c r="N435" s="612"/>
      <c r="O435" s="612"/>
      <c r="P435" s="612"/>
      <c r="Q435" s="612"/>
      <c r="R435" s="612"/>
      <c r="S435" s="612"/>
      <c r="T435" s="612"/>
      <c r="U435" s="612"/>
      <c r="V435" s="612"/>
      <c r="W435" s="612"/>
      <c r="X435" s="612"/>
      <c r="Y435" s="612"/>
      <c r="Z435" s="612"/>
      <c r="AA435" s="66"/>
      <c r="AB435" s="66"/>
      <c r="AC435" s="80"/>
    </row>
    <row r="436" spans="1:68" ht="16.5" customHeight="1" x14ac:dyDescent="0.25">
      <c r="A436" s="63" t="s">
        <v>685</v>
      </c>
      <c r="B436" s="63" t="s">
        <v>686</v>
      </c>
      <c r="C436" s="36">
        <v>4301051232</v>
      </c>
      <c r="D436" s="613">
        <v>4607091383409</v>
      </c>
      <c r="E436" s="613"/>
      <c r="F436" s="62">
        <v>1.3</v>
      </c>
      <c r="G436" s="37">
        <v>6</v>
      </c>
      <c r="H436" s="62">
        <v>7.8</v>
      </c>
      <c r="I436" s="62">
        <v>8.2759999999999998</v>
      </c>
      <c r="J436" s="37">
        <v>64</v>
      </c>
      <c r="K436" s="37" t="s">
        <v>117</v>
      </c>
      <c r="L436" s="37" t="s">
        <v>45</v>
      </c>
      <c r="M436" s="38" t="s">
        <v>91</v>
      </c>
      <c r="N436" s="38"/>
      <c r="O436" s="37">
        <v>45</v>
      </c>
      <c r="P436" s="83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36" s="615"/>
      <c r="R436" s="615"/>
      <c r="S436" s="615"/>
      <c r="T436" s="616"/>
      <c r="U436" s="39" t="s">
        <v>45</v>
      </c>
      <c r="V436" s="39" t="s">
        <v>684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IFERROR(IF(Y436=0,"",ROUNDUP(Y436/H436,0)*0.01898),"")</f>
        <v/>
      </c>
      <c r="AA436" s="68" t="s">
        <v>45</v>
      </c>
      <c r="AB436" s="69" t="s">
        <v>45</v>
      </c>
      <c r="AC436" s="510" t="s">
        <v>687</v>
      </c>
      <c r="AG436" s="78"/>
      <c r="AJ436" s="84" t="s">
        <v>45</v>
      </c>
      <c r="AK436" s="84">
        <v>0</v>
      </c>
      <c r="BB436" s="511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688</v>
      </c>
      <c r="B437" s="63" t="s">
        <v>689</v>
      </c>
      <c r="C437" s="36">
        <v>4301051233</v>
      </c>
      <c r="D437" s="613">
        <v>4607091383416</v>
      </c>
      <c r="E437" s="613"/>
      <c r="F437" s="62">
        <v>1.3</v>
      </c>
      <c r="G437" s="37">
        <v>6</v>
      </c>
      <c r="H437" s="62">
        <v>7.8</v>
      </c>
      <c r="I437" s="62">
        <v>8.2759999999999998</v>
      </c>
      <c r="J437" s="37">
        <v>64</v>
      </c>
      <c r="K437" s="37" t="s">
        <v>117</v>
      </c>
      <c r="L437" s="37" t="s">
        <v>45</v>
      </c>
      <c r="M437" s="38" t="s">
        <v>91</v>
      </c>
      <c r="N437" s="38"/>
      <c r="O437" s="37">
        <v>45</v>
      </c>
      <c r="P437" s="8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37" s="615"/>
      <c r="R437" s="615"/>
      <c r="S437" s="615"/>
      <c r="T437" s="616"/>
      <c r="U437" s="39" t="s">
        <v>45</v>
      </c>
      <c r="V437" s="39" t="s">
        <v>684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45</v>
      </c>
      <c r="AB437" s="69" t="s">
        <v>45</v>
      </c>
      <c r="AC437" s="512" t="s">
        <v>690</v>
      </c>
      <c r="AG437" s="78"/>
      <c r="AJ437" s="84" t="s">
        <v>45</v>
      </c>
      <c r="AK437" s="84">
        <v>0</v>
      </c>
      <c r="BB437" s="513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691</v>
      </c>
      <c r="B438" s="63" t="s">
        <v>692</v>
      </c>
      <c r="C438" s="36">
        <v>4301051064</v>
      </c>
      <c r="D438" s="613">
        <v>4680115883536</v>
      </c>
      <c r="E438" s="613"/>
      <c r="F438" s="62">
        <v>0.3</v>
      </c>
      <c r="G438" s="37">
        <v>6</v>
      </c>
      <c r="H438" s="62">
        <v>1.8</v>
      </c>
      <c r="I438" s="62">
        <v>2.0459999999999998</v>
      </c>
      <c r="J438" s="37">
        <v>182</v>
      </c>
      <c r="K438" s="37" t="s">
        <v>82</v>
      </c>
      <c r="L438" s="37" t="s">
        <v>45</v>
      </c>
      <c r="M438" s="38" t="s">
        <v>91</v>
      </c>
      <c r="N438" s="38"/>
      <c r="O438" s="37">
        <v>45</v>
      </c>
      <c r="P438" s="83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38" s="615"/>
      <c r="R438" s="615"/>
      <c r="S438" s="615"/>
      <c r="T438" s="61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4" t="s">
        <v>693</v>
      </c>
      <c r="AG438" s="78"/>
      <c r="AJ438" s="84" t="s">
        <v>45</v>
      </c>
      <c r="AK438" s="84">
        <v>0</v>
      </c>
      <c r="BB438" s="515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21"/>
      <c r="B439" s="621"/>
      <c r="C439" s="621"/>
      <c r="D439" s="621"/>
      <c r="E439" s="621"/>
      <c r="F439" s="621"/>
      <c r="G439" s="621"/>
      <c r="H439" s="621"/>
      <c r="I439" s="621"/>
      <c r="J439" s="621"/>
      <c r="K439" s="621"/>
      <c r="L439" s="621"/>
      <c r="M439" s="621"/>
      <c r="N439" s="621"/>
      <c r="O439" s="622"/>
      <c r="P439" s="618" t="s">
        <v>40</v>
      </c>
      <c r="Q439" s="619"/>
      <c r="R439" s="619"/>
      <c r="S439" s="619"/>
      <c r="T439" s="619"/>
      <c r="U439" s="619"/>
      <c r="V439" s="620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21"/>
      <c r="B440" s="621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621"/>
      <c r="O440" s="622"/>
      <c r="P440" s="618" t="s">
        <v>40</v>
      </c>
      <c r="Q440" s="619"/>
      <c r="R440" s="619"/>
      <c r="S440" s="619"/>
      <c r="T440" s="619"/>
      <c r="U440" s="619"/>
      <c r="V440" s="620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27.75" customHeight="1" x14ac:dyDescent="0.2">
      <c r="A441" s="610" t="s">
        <v>694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4"/>
      <c r="AB441" s="54"/>
      <c r="AC441" s="54"/>
    </row>
    <row r="442" spans="1:68" ht="16.5" customHeight="1" x14ac:dyDescent="0.25">
      <c r="A442" s="611" t="s">
        <v>694</v>
      </c>
      <c r="B442" s="611"/>
      <c r="C442" s="611"/>
      <c r="D442" s="611"/>
      <c r="E442" s="611"/>
      <c r="F442" s="611"/>
      <c r="G442" s="611"/>
      <c r="H442" s="611"/>
      <c r="I442" s="611"/>
      <c r="J442" s="611"/>
      <c r="K442" s="611"/>
      <c r="L442" s="611"/>
      <c r="M442" s="611"/>
      <c r="N442" s="611"/>
      <c r="O442" s="611"/>
      <c r="P442" s="611"/>
      <c r="Q442" s="611"/>
      <c r="R442" s="611"/>
      <c r="S442" s="611"/>
      <c r="T442" s="611"/>
      <c r="U442" s="611"/>
      <c r="V442" s="611"/>
      <c r="W442" s="611"/>
      <c r="X442" s="611"/>
      <c r="Y442" s="611"/>
      <c r="Z442" s="611"/>
      <c r="AA442" s="65"/>
      <c r="AB442" s="65"/>
      <c r="AC442" s="79"/>
    </row>
    <row r="443" spans="1:68" ht="14.25" customHeight="1" x14ac:dyDescent="0.25">
      <c r="A443" s="612" t="s">
        <v>112</v>
      </c>
      <c r="B443" s="612"/>
      <c r="C443" s="612"/>
      <c r="D443" s="612"/>
      <c r="E443" s="612"/>
      <c r="F443" s="612"/>
      <c r="G443" s="612"/>
      <c r="H443" s="612"/>
      <c r="I443" s="612"/>
      <c r="J443" s="612"/>
      <c r="K443" s="612"/>
      <c r="L443" s="612"/>
      <c r="M443" s="612"/>
      <c r="N443" s="612"/>
      <c r="O443" s="612"/>
      <c r="P443" s="612"/>
      <c r="Q443" s="612"/>
      <c r="R443" s="612"/>
      <c r="S443" s="612"/>
      <c r="T443" s="612"/>
      <c r="U443" s="612"/>
      <c r="V443" s="612"/>
      <c r="W443" s="612"/>
      <c r="X443" s="612"/>
      <c r="Y443" s="612"/>
      <c r="Z443" s="612"/>
      <c r="AA443" s="66"/>
      <c r="AB443" s="66"/>
      <c r="AC443" s="80"/>
    </row>
    <row r="444" spans="1:68" ht="27" customHeight="1" x14ac:dyDescent="0.25">
      <c r="A444" s="63" t="s">
        <v>695</v>
      </c>
      <c r="B444" s="63" t="s">
        <v>696</v>
      </c>
      <c r="C444" s="36">
        <v>4301011763</v>
      </c>
      <c r="D444" s="613">
        <v>4640242181011</v>
      </c>
      <c r="E444" s="613"/>
      <c r="F444" s="62">
        <v>1.35</v>
      </c>
      <c r="G444" s="37">
        <v>8</v>
      </c>
      <c r="H444" s="62">
        <v>10.8</v>
      </c>
      <c r="I444" s="62">
        <v>11.21</v>
      </c>
      <c r="J444" s="37">
        <v>64</v>
      </c>
      <c r="K444" s="37" t="s">
        <v>117</v>
      </c>
      <c r="L444" s="37" t="s">
        <v>45</v>
      </c>
      <c r="M444" s="38" t="s">
        <v>91</v>
      </c>
      <c r="N444" s="38"/>
      <c r="O444" s="37">
        <v>55</v>
      </c>
      <c r="P444" s="83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4" s="615"/>
      <c r="R444" s="615"/>
      <c r="S444" s="615"/>
      <c r="T444" s="61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45</v>
      </c>
      <c r="AB444" s="69" t="s">
        <v>45</v>
      </c>
      <c r="AC444" s="516" t="s">
        <v>697</v>
      </c>
      <c r="AG444" s="78"/>
      <c r="AJ444" s="84" t="s">
        <v>45</v>
      </c>
      <c r="AK444" s="84">
        <v>0</v>
      </c>
      <c r="BB444" s="51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698</v>
      </c>
      <c r="B445" s="63" t="s">
        <v>699</v>
      </c>
      <c r="C445" s="36">
        <v>4301011585</v>
      </c>
      <c r="D445" s="613">
        <v>4640242180441</v>
      </c>
      <c r="E445" s="613"/>
      <c r="F445" s="62">
        <v>1.5</v>
      </c>
      <c r="G445" s="37">
        <v>8</v>
      </c>
      <c r="H445" s="62">
        <v>12</v>
      </c>
      <c r="I445" s="62">
        <v>12.41</v>
      </c>
      <c r="J445" s="37">
        <v>64</v>
      </c>
      <c r="K445" s="37" t="s">
        <v>117</v>
      </c>
      <c r="L445" s="37" t="s">
        <v>45</v>
      </c>
      <c r="M445" s="38" t="s">
        <v>116</v>
      </c>
      <c r="N445" s="38"/>
      <c r="O445" s="37">
        <v>50</v>
      </c>
      <c r="P445" s="8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45" s="615"/>
      <c r="R445" s="615"/>
      <c r="S445" s="615"/>
      <c r="T445" s="61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45</v>
      </c>
      <c r="AB445" s="69" t="s">
        <v>45</v>
      </c>
      <c r="AC445" s="518" t="s">
        <v>700</v>
      </c>
      <c r="AG445" s="78"/>
      <c r="AJ445" s="84" t="s">
        <v>45</v>
      </c>
      <c r="AK445" s="84">
        <v>0</v>
      </c>
      <c r="BB445" s="51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701</v>
      </c>
      <c r="B446" s="63" t="s">
        <v>702</v>
      </c>
      <c r="C446" s="36">
        <v>4301011584</v>
      </c>
      <c r="D446" s="613">
        <v>4640242180564</v>
      </c>
      <c r="E446" s="613"/>
      <c r="F446" s="62">
        <v>1.5</v>
      </c>
      <c r="G446" s="37">
        <v>8</v>
      </c>
      <c r="H446" s="62">
        <v>12</v>
      </c>
      <c r="I446" s="62">
        <v>12.41</v>
      </c>
      <c r="J446" s="37">
        <v>64</v>
      </c>
      <c r="K446" s="37" t="s">
        <v>117</v>
      </c>
      <c r="L446" s="37" t="s">
        <v>45</v>
      </c>
      <c r="M446" s="38" t="s">
        <v>116</v>
      </c>
      <c r="N446" s="38"/>
      <c r="O446" s="37">
        <v>50</v>
      </c>
      <c r="P446" s="83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46" s="615"/>
      <c r="R446" s="615"/>
      <c r="S446" s="615"/>
      <c r="T446" s="616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45</v>
      </c>
      <c r="AB446" s="69" t="s">
        <v>45</v>
      </c>
      <c r="AC446" s="520" t="s">
        <v>703</v>
      </c>
      <c r="AG446" s="78"/>
      <c r="AJ446" s="84" t="s">
        <v>45</v>
      </c>
      <c r="AK446" s="84">
        <v>0</v>
      </c>
      <c r="BB446" s="521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704</v>
      </c>
      <c r="B447" s="63" t="s">
        <v>705</v>
      </c>
      <c r="C447" s="36">
        <v>4301011764</v>
      </c>
      <c r="D447" s="613">
        <v>4640242181189</v>
      </c>
      <c r="E447" s="613"/>
      <c r="F447" s="62">
        <v>0.4</v>
      </c>
      <c r="G447" s="37">
        <v>10</v>
      </c>
      <c r="H447" s="62">
        <v>4</v>
      </c>
      <c r="I447" s="62">
        <v>4.1900000000000004</v>
      </c>
      <c r="J447" s="37">
        <v>132</v>
      </c>
      <c r="K447" s="37" t="s">
        <v>120</v>
      </c>
      <c r="L447" s="37" t="s">
        <v>45</v>
      </c>
      <c r="M447" s="38" t="s">
        <v>91</v>
      </c>
      <c r="N447" s="38"/>
      <c r="O447" s="37">
        <v>55</v>
      </c>
      <c r="P447" s="83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47" s="615"/>
      <c r="R447" s="615"/>
      <c r="S447" s="615"/>
      <c r="T447" s="616"/>
      <c r="U447" s="39" t="s">
        <v>45</v>
      </c>
      <c r="V447" s="39" t="s">
        <v>45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22" t="s">
        <v>697</v>
      </c>
      <c r="AG447" s="78"/>
      <c r="AJ447" s="84" t="s">
        <v>45</v>
      </c>
      <c r="AK447" s="84">
        <v>0</v>
      </c>
      <c r="BB447" s="523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21"/>
      <c r="B448" s="621"/>
      <c r="C448" s="621"/>
      <c r="D448" s="621"/>
      <c r="E448" s="621"/>
      <c r="F448" s="621"/>
      <c r="G448" s="621"/>
      <c r="H448" s="621"/>
      <c r="I448" s="621"/>
      <c r="J448" s="621"/>
      <c r="K448" s="621"/>
      <c r="L448" s="621"/>
      <c r="M448" s="621"/>
      <c r="N448" s="621"/>
      <c r="O448" s="622"/>
      <c r="P448" s="618" t="s">
        <v>40</v>
      </c>
      <c r="Q448" s="619"/>
      <c r="R448" s="619"/>
      <c r="S448" s="619"/>
      <c r="T448" s="619"/>
      <c r="U448" s="619"/>
      <c r="V448" s="620"/>
      <c r="W448" s="42" t="s">
        <v>39</v>
      </c>
      <c r="X448" s="43">
        <f>IFERROR(X444/H444,"0")+IFERROR(X445/H445,"0")+IFERROR(X446/H446,"0")+IFERROR(X447/H447,"0")</f>
        <v>0</v>
      </c>
      <c r="Y448" s="43">
        <f>IFERROR(Y444/H444,"0")+IFERROR(Y445/H445,"0")+IFERROR(Y446/H446,"0")+IFERROR(Y447/H447,"0")</f>
        <v>0</v>
      </c>
      <c r="Z448" s="43">
        <f>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21"/>
      <c r="B449" s="621"/>
      <c r="C449" s="621"/>
      <c r="D449" s="621"/>
      <c r="E449" s="621"/>
      <c r="F449" s="621"/>
      <c r="G449" s="621"/>
      <c r="H449" s="621"/>
      <c r="I449" s="621"/>
      <c r="J449" s="621"/>
      <c r="K449" s="621"/>
      <c r="L449" s="621"/>
      <c r="M449" s="621"/>
      <c r="N449" s="621"/>
      <c r="O449" s="622"/>
      <c r="P449" s="618" t="s">
        <v>40</v>
      </c>
      <c r="Q449" s="619"/>
      <c r="R449" s="619"/>
      <c r="S449" s="619"/>
      <c r="T449" s="619"/>
      <c r="U449" s="619"/>
      <c r="V449" s="620"/>
      <c r="W449" s="42" t="s">
        <v>0</v>
      </c>
      <c r="X449" s="43">
        <f>IFERROR(SUM(X444:X447),"0")</f>
        <v>0</v>
      </c>
      <c r="Y449" s="43">
        <f>IFERROR(SUM(Y444:Y447),"0")</f>
        <v>0</v>
      </c>
      <c r="Z449" s="42"/>
      <c r="AA449" s="67"/>
      <c r="AB449" s="67"/>
      <c r="AC449" s="67"/>
    </row>
    <row r="450" spans="1:68" ht="14.25" customHeight="1" x14ac:dyDescent="0.25">
      <c r="A450" s="612" t="s">
        <v>145</v>
      </c>
      <c r="B450" s="612"/>
      <c r="C450" s="612"/>
      <c r="D450" s="612"/>
      <c r="E450" s="612"/>
      <c r="F450" s="612"/>
      <c r="G450" s="612"/>
      <c r="H450" s="612"/>
      <c r="I450" s="612"/>
      <c r="J450" s="612"/>
      <c r="K450" s="612"/>
      <c r="L450" s="612"/>
      <c r="M450" s="612"/>
      <c r="N450" s="612"/>
      <c r="O450" s="612"/>
      <c r="P450" s="612"/>
      <c r="Q450" s="612"/>
      <c r="R450" s="612"/>
      <c r="S450" s="612"/>
      <c r="T450" s="612"/>
      <c r="U450" s="612"/>
      <c r="V450" s="612"/>
      <c r="W450" s="612"/>
      <c r="X450" s="612"/>
      <c r="Y450" s="612"/>
      <c r="Z450" s="612"/>
      <c r="AA450" s="66"/>
      <c r="AB450" s="66"/>
      <c r="AC450" s="80"/>
    </row>
    <row r="451" spans="1:68" ht="27" customHeight="1" x14ac:dyDescent="0.25">
      <c r="A451" s="63" t="s">
        <v>706</v>
      </c>
      <c r="B451" s="63" t="s">
        <v>707</v>
      </c>
      <c r="C451" s="36">
        <v>4301020400</v>
      </c>
      <c r="D451" s="613">
        <v>4640242180519</v>
      </c>
      <c r="E451" s="613"/>
      <c r="F451" s="62">
        <v>1.5</v>
      </c>
      <c r="G451" s="37">
        <v>8</v>
      </c>
      <c r="H451" s="62">
        <v>12</v>
      </c>
      <c r="I451" s="62">
        <v>12.41</v>
      </c>
      <c r="J451" s="37">
        <v>64</v>
      </c>
      <c r="K451" s="37" t="s">
        <v>117</v>
      </c>
      <c r="L451" s="37" t="s">
        <v>45</v>
      </c>
      <c r="M451" s="38" t="s">
        <v>116</v>
      </c>
      <c r="N451" s="38"/>
      <c r="O451" s="37">
        <v>50</v>
      </c>
      <c r="P451" s="8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51" s="615"/>
      <c r="R451" s="615"/>
      <c r="S451" s="615"/>
      <c r="T451" s="616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4" t="s">
        <v>708</v>
      </c>
      <c r="AG451" s="78"/>
      <c r="AJ451" s="84" t="s">
        <v>45</v>
      </c>
      <c r="AK451" s="84">
        <v>0</v>
      </c>
      <c r="BB451" s="525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709</v>
      </c>
      <c r="B452" s="63" t="s">
        <v>710</v>
      </c>
      <c r="C452" s="36">
        <v>4301020260</v>
      </c>
      <c r="D452" s="613">
        <v>4640242180526</v>
      </c>
      <c r="E452" s="613"/>
      <c r="F452" s="62">
        <v>1.8</v>
      </c>
      <c r="G452" s="37">
        <v>6</v>
      </c>
      <c r="H452" s="62">
        <v>10.8</v>
      </c>
      <c r="I452" s="62">
        <v>11.21</v>
      </c>
      <c r="J452" s="37">
        <v>64</v>
      </c>
      <c r="K452" s="37" t="s">
        <v>117</v>
      </c>
      <c r="L452" s="37" t="s">
        <v>45</v>
      </c>
      <c r="M452" s="38" t="s">
        <v>116</v>
      </c>
      <c r="N452" s="38"/>
      <c r="O452" s="37">
        <v>50</v>
      </c>
      <c r="P452" s="84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2" s="615"/>
      <c r="R452" s="615"/>
      <c r="S452" s="615"/>
      <c r="T452" s="616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6" t="s">
        <v>711</v>
      </c>
      <c r="AG452" s="78"/>
      <c r="AJ452" s="84" t="s">
        <v>45</v>
      </c>
      <c r="AK452" s="84">
        <v>0</v>
      </c>
      <c r="BB452" s="527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712</v>
      </c>
      <c r="B453" s="63" t="s">
        <v>713</v>
      </c>
      <c r="C453" s="36">
        <v>4301020295</v>
      </c>
      <c r="D453" s="613">
        <v>4640242181363</v>
      </c>
      <c r="E453" s="613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120</v>
      </c>
      <c r="L453" s="37" t="s">
        <v>45</v>
      </c>
      <c r="M453" s="38" t="s">
        <v>116</v>
      </c>
      <c r="N453" s="38"/>
      <c r="O453" s="37">
        <v>50</v>
      </c>
      <c r="P453" s="84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53" s="615"/>
      <c r="R453" s="615"/>
      <c r="S453" s="615"/>
      <c r="T453" s="61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28" t="s">
        <v>714</v>
      </c>
      <c r="AG453" s="78"/>
      <c r="AJ453" s="84" t="s">
        <v>45</v>
      </c>
      <c r="AK453" s="84">
        <v>0</v>
      </c>
      <c r="BB453" s="529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21"/>
      <c r="B454" s="621"/>
      <c r="C454" s="621"/>
      <c r="D454" s="621"/>
      <c r="E454" s="621"/>
      <c r="F454" s="621"/>
      <c r="G454" s="621"/>
      <c r="H454" s="621"/>
      <c r="I454" s="621"/>
      <c r="J454" s="621"/>
      <c r="K454" s="621"/>
      <c r="L454" s="621"/>
      <c r="M454" s="621"/>
      <c r="N454" s="621"/>
      <c r="O454" s="622"/>
      <c r="P454" s="618" t="s">
        <v>40</v>
      </c>
      <c r="Q454" s="619"/>
      <c r="R454" s="619"/>
      <c r="S454" s="619"/>
      <c r="T454" s="619"/>
      <c r="U454" s="619"/>
      <c r="V454" s="620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21"/>
      <c r="B455" s="621"/>
      <c r="C455" s="621"/>
      <c r="D455" s="621"/>
      <c r="E455" s="621"/>
      <c r="F455" s="621"/>
      <c r="G455" s="621"/>
      <c r="H455" s="621"/>
      <c r="I455" s="621"/>
      <c r="J455" s="621"/>
      <c r="K455" s="621"/>
      <c r="L455" s="621"/>
      <c r="M455" s="621"/>
      <c r="N455" s="621"/>
      <c r="O455" s="622"/>
      <c r="P455" s="618" t="s">
        <v>40</v>
      </c>
      <c r="Q455" s="619"/>
      <c r="R455" s="619"/>
      <c r="S455" s="619"/>
      <c r="T455" s="619"/>
      <c r="U455" s="619"/>
      <c r="V455" s="620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14.25" customHeight="1" x14ac:dyDescent="0.25">
      <c r="A456" s="612" t="s">
        <v>76</v>
      </c>
      <c r="B456" s="612"/>
      <c r="C456" s="612"/>
      <c r="D456" s="612"/>
      <c r="E456" s="612"/>
      <c r="F456" s="612"/>
      <c r="G456" s="612"/>
      <c r="H456" s="612"/>
      <c r="I456" s="612"/>
      <c r="J456" s="612"/>
      <c r="K456" s="612"/>
      <c r="L456" s="612"/>
      <c r="M456" s="612"/>
      <c r="N456" s="612"/>
      <c r="O456" s="612"/>
      <c r="P456" s="612"/>
      <c r="Q456" s="612"/>
      <c r="R456" s="612"/>
      <c r="S456" s="612"/>
      <c r="T456" s="612"/>
      <c r="U456" s="612"/>
      <c r="V456" s="612"/>
      <c r="W456" s="612"/>
      <c r="X456" s="612"/>
      <c r="Y456" s="612"/>
      <c r="Z456" s="612"/>
      <c r="AA456" s="66"/>
      <c r="AB456" s="66"/>
      <c r="AC456" s="80"/>
    </row>
    <row r="457" spans="1:68" ht="27" customHeight="1" x14ac:dyDescent="0.25">
      <c r="A457" s="63" t="s">
        <v>715</v>
      </c>
      <c r="B457" s="63" t="s">
        <v>716</v>
      </c>
      <c r="C457" s="36">
        <v>4301031280</v>
      </c>
      <c r="D457" s="613">
        <v>4640242180816</v>
      </c>
      <c r="E457" s="613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120</v>
      </c>
      <c r="L457" s="37" t="s">
        <v>45</v>
      </c>
      <c r="M457" s="38" t="s">
        <v>81</v>
      </c>
      <c r="N457" s="38"/>
      <c r="O457" s="37">
        <v>40</v>
      </c>
      <c r="P457" s="84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57" s="615"/>
      <c r="R457" s="615"/>
      <c r="S457" s="615"/>
      <c r="T457" s="616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45</v>
      </c>
      <c r="AB457" s="69" t="s">
        <v>45</v>
      </c>
      <c r="AC457" s="530" t="s">
        <v>717</v>
      </c>
      <c r="AG457" s="78"/>
      <c r="AJ457" s="84" t="s">
        <v>45</v>
      </c>
      <c r="AK457" s="84">
        <v>0</v>
      </c>
      <c r="BB457" s="531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718</v>
      </c>
      <c r="B458" s="63" t="s">
        <v>719</v>
      </c>
      <c r="C458" s="36">
        <v>4301031244</v>
      </c>
      <c r="D458" s="613">
        <v>4640242180595</v>
      </c>
      <c r="E458" s="613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120</v>
      </c>
      <c r="L458" s="37" t="s">
        <v>45</v>
      </c>
      <c r="M458" s="38" t="s">
        <v>81</v>
      </c>
      <c r="N458" s="38"/>
      <c r="O458" s="37">
        <v>40</v>
      </c>
      <c r="P458" s="84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58" s="615"/>
      <c r="R458" s="615"/>
      <c r="S458" s="615"/>
      <c r="T458" s="61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45</v>
      </c>
      <c r="AB458" s="69" t="s">
        <v>45</v>
      </c>
      <c r="AC458" s="532" t="s">
        <v>720</v>
      </c>
      <c r="AG458" s="78"/>
      <c r="AJ458" s="84" t="s">
        <v>45</v>
      </c>
      <c r="AK458" s="84">
        <v>0</v>
      </c>
      <c r="BB458" s="533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21"/>
      <c r="B459" s="621"/>
      <c r="C459" s="621"/>
      <c r="D459" s="621"/>
      <c r="E459" s="621"/>
      <c r="F459" s="621"/>
      <c r="G459" s="621"/>
      <c r="H459" s="621"/>
      <c r="I459" s="621"/>
      <c r="J459" s="621"/>
      <c r="K459" s="621"/>
      <c r="L459" s="621"/>
      <c r="M459" s="621"/>
      <c r="N459" s="621"/>
      <c r="O459" s="622"/>
      <c r="P459" s="618" t="s">
        <v>40</v>
      </c>
      <c r="Q459" s="619"/>
      <c r="R459" s="619"/>
      <c r="S459" s="619"/>
      <c r="T459" s="619"/>
      <c r="U459" s="619"/>
      <c r="V459" s="620"/>
      <c r="W459" s="42" t="s">
        <v>39</v>
      </c>
      <c r="X459" s="43">
        <f>IFERROR(X457/H457,"0")+IFERROR(X458/H458,"0")</f>
        <v>0</v>
      </c>
      <c r="Y459" s="43">
        <f>IFERROR(Y457/H457,"0")+IFERROR(Y458/H458,"0")</f>
        <v>0</v>
      </c>
      <c r="Z459" s="43">
        <f>IFERROR(IF(Z457="",0,Z457),"0")+IFERROR(IF(Z458="",0,Z458),"0")</f>
        <v>0</v>
      </c>
      <c r="AA459" s="67"/>
      <c r="AB459" s="67"/>
      <c r="AC459" s="67"/>
    </row>
    <row r="460" spans="1:68" x14ac:dyDescent="0.2">
      <c r="A460" s="621"/>
      <c r="B460" s="621"/>
      <c r="C460" s="621"/>
      <c r="D460" s="621"/>
      <c r="E460" s="621"/>
      <c r="F460" s="621"/>
      <c r="G460" s="621"/>
      <c r="H460" s="621"/>
      <c r="I460" s="621"/>
      <c r="J460" s="621"/>
      <c r="K460" s="621"/>
      <c r="L460" s="621"/>
      <c r="M460" s="621"/>
      <c r="N460" s="621"/>
      <c r="O460" s="622"/>
      <c r="P460" s="618" t="s">
        <v>40</v>
      </c>
      <c r="Q460" s="619"/>
      <c r="R460" s="619"/>
      <c r="S460" s="619"/>
      <c r="T460" s="619"/>
      <c r="U460" s="619"/>
      <c r="V460" s="620"/>
      <c r="W460" s="42" t="s">
        <v>0</v>
      </c>
      <c r="X460" s="43">
        <f>IFERROR(SUM(X457:X458),"0")</f>
        <v>0</v>
      </c>
      <c r="Y460" s="43">
        <f>IFERROR(SUM(Y457:Y458),"0")</f>
        <v>0</v>
      </c>
      <c r="Z460" s="42"/>
      <c r="AA460" s="67"/>
      <c r="AB460" s="67"/>
      <c r="AC460" s="67"/>
    </row>
    <row r="461" spans="1:68" ht="14.25" customHeight="1" x14ac:dyDescent="0.25">
      <c r="A461" s="612" t="s">
        <v>87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66"/>
      <c r="AB461" s="66"/>
      <c r="AC461" s="80"/>
    </row>
    <row r="462" spans="1:68" ht="27" customHeight="1" x14ac:dyDescent="0.25">
      <c r="A462" s="63" t="s">
        <v>721</v>
      </c>
      <c r="B462" s="63" t="s">
        <v>722</v>
      </c>
      <c r="C462" s="36">
        <v>4301052046</v>
      </c>
      <c r="D462" s="613">
        <v>4640242180533</v>
      </c>
      <c r="E462" s="61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117</v>
      </c>
      <c r="L462" s="37" t="s">
        <v>45</v>
      </c>
      <c r="M462" s="38" t="s">
        <v>98</v>
      </c>
      <c r="N462" s="38"/>
      <c r="O462" s="37">
        <v>45</v>
      </c>
      <c r="P462" s="8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2" s="615"/>
      <c r="R462" s="615"/>
      <c r="S462" s="615"/>
      <c r="T462" s="61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4" t="s">
        <v>723</v>
      </c>
      <c r="AG462" s="78"/>
      <c r="AJ462" s="84" t="s">
        <v>45</v>
      </c>
      <c r="AK462" s="84">
        <v>0</v>
      </c>
      <c r="BB462" s="535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21"/>
      <c r="B463" s="621"/>
      <c r="C463" s="621"/>
      <c r="D463" s="621"/>
      <c r="E463" s="621"/>
      <c r="F463" s="621"/>
      <c r="G463" s="621"/>
      <c r="H463" s="621"/>
      <c r="I463" s="621"/>
      <c r="J463" s="621"/>
      <c r="K463" s="621"/>
      <c r="L463" s="621"/>
      <c r="M463" s="621"/>
      <c r="N463" s="621"/>
      <c r="O463" s="622"/>
      <c r="P463" s="618" t="s">
        <v>40</v>
      </c>
      <c r="Q463" s="619"/>
      <c r="R463" s="619"/>
      <c r="S463" s="619"/>
      <c r="T463" s="619"/>
      <c r="U463" s="619"/>
      <c r="V463" s="620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x14ac:dyDescent="0.2">
      <c r="A464" s="621"/>
      <c r="B464" s="621"/>
      <c r="C464" s="621"/>
      <c r="D464" s="621"/>
      <c r="E464" s="621"/>
      <c r="F464" s="621"/>
      <c r="G464" s="621"/>
      <c r="H464" s="621"/>
      <c r="I464" s="621"/>
      <c r="J464" s="621"/>
      <c r="K464" s="621"/>
      <c r="L464" s="621"/>
      <c r="M464" s="621"/>
      <c r="N464" s="621"/>
      <c r="O464" s="622"/>
      <c r="P464" s="618" t="s">
        <v>40</v>
      </c>
      <c r="Q464" s="619"/>
      <c r="R464" s="619"/>
      <c r="S464" s="619"/>
      <c r="T464" s="619"/>
      <c r="U464" s="619"/>
      <c r="V464" s="620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customHeight="1" x14ac:dyDescent="0.25">
      <c r="A465" s="612" t="s">
        <v>173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66"/>
      <c r="AB465" s="66"/>
      <c r="AC465" s="80"/>
    </row>
    <row r="466" spans="1:68" ht="27" customHeight="1" x14ac:dyDescent="0.25">
      <c r="A466" s="63" t="s">
        <v>724</v>
      </c>
      <c r="B466" s="63" t="s">
        <v>725</v>
      </c>
      <c r="C466" s="36">
        <v>4301060491</v>
      </c>
      <c r="D466" s="613">
        <v>4640242180120</v>
      </c>
      <c r="E466" s="613"/>
      <c r="F466" s="62">
        <v>1.5</v>
      </c>
      <c r="G466" s="37">
        <v>6</v>
      </c>
      <c r="H466" s="62">
        <v>9</v>
      </c>
      <c r="I466" s="62">
        <v>9.41</v>
      </c>
      <c r="J466" s="37">
        <v>64</v>
      </c>
      <c r="K466" s="37" t="s">
        <v>117</v>
      </c>
      <c r="L466" s="37" t="s">
        <v>45</v>
      </c>
      <c r="M466" s="38" t="s">
        <v>91</v>
      </c>
      <c r="N466" s="38"/>
      <c r="O466" s="37">
        <v>40</v>
      </c>
      <c r="P466" s="84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6" s="615"/>
      <c r="R466" s="615"/>
      <c r="S466" s="615"/>
      <c r="T466" s="61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6" t="s">
        <v>726</v>
      </c>
      <c r="AG466" s="78"/>
      <c r="AJ466" s="84" t="s">
        <v>45</v>
      </c>
      <c r="AK466" s="84">
        <v>0</v>
      </c>
      <c r="BB466" s="537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727</v>
      </c>
      <c r="B467" s="63" t="s">
        <v>728</v>
      </c>
      <c r="C467" s="36">
        <v>4301060493</v>
      </c>
      <c r="D467" s="613">
        <v>4640242180137</v>
      </c>
      <c r="E467" s="613"/>
      <c r="F467" s="62">
        <v>1.5</v>
      </c>
      <c r="G467" s="37">
        <v>6</v>
      </c>
      <c r="H467" s="62">
        <v>9</v>
      </c>
      <c r="I467" s="62">
        <v>9.41</v>
      </c>
      <c r="J467" s="37">
        <v>64</v>
      </c>
      <c r="K467" s="37" t="s">
        <v>117</v>
      </c>
      <c r="L467" s="37" t="s">
        <v>45</v>
      </c>
      <c r="M467" s="38" t="s">
        <v>91</v>
      </c>
      <c r="N467" s="38"/>
      <c r="O467" s="37">
        <v>40</v>
      </c>
      <c r="P467" s="8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67" s="615"/>
      <c r="R467" s="615"/>
      <c r="S467" s="615"/>
      <c r="T467" s="61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8" t="s">
        <v>729</v>
      </c>
      <c r="AG467" s="78"/>
      <c r="AJ467" s="84" t="s">
        <v>45</v>
      </c>
      <c r="AK467" s="84">
        <v>0</v>
      </c>
      <c r="BB467" s="539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1"/>
      <c r="B468" s="621"/>
      <c r="C468" s="621"/>
      <c r="D468" s="621"/>
      <c r="E468" s="621"/>
      <c r="F468" s="621"/>
      <c r="G468" s="621"/>
      <c r="H468" s="621"/>
      <c r="I468" s="621"/>
      <c r="J468" s="621"/>
      <c r="K468" s="621"/>
      <c r="L468" s="621"/>
      <c r="M468" s="621"/>
      <c r="N468" s="621"/>
      <c r="O468" s="622"/>
      <c r="P468" s="618" t="s">
        <v>40</v>
      </c>
      <c r="Q468" s="619"/>
      <c r="R468" s="619"/>
      <c r="S468" s="619"/>
      <c r="T468" s="619"/>
      <c r="U468" s="619"/>
      <c r="V468" s="620"/>
      <c r="W468" s="42" t="s">
        <v>39</v>
      </c>
      <c r="X468" s="43">
        <f>IFERROR(X466/H466,"0")+IFERROR(X467/H467,"0")</f>
        <v>0</v>
      </c>
      <c r="Y468" s="43">
        <f>IFERROR(Y466/H466,"0")+IFERROR(Y467/H467,"0")</f>
        <v>0</v>
      </c>
      <c r="Z468" s="43">
        <f>IFERROR(IF(Z466="",0,Z466),"0")+IFERROR(IF(Z467="",0,Z467),"0")</f>
        <v>0</v>
      </c>
      <c r="AA468" s="67"/>
      <c r="AB468" s="67"/>
      <c r="AC468" s="67"/>
    </row>
    <row r="469" spans="1:68" x14ac:dyDescent="0.2">
      <c r="A469" s="621"/>
      <c r="B469" s="621"/>
      <c r="C469" s="621"/>
      <c r="D469" s="621"/>
      <c r="E469" s="621"/>
      <c r="F469" s="621"/>
      <c r="G469" s="621"/>
      <c r="H469" s="621"/>
      <c r="I469" s="621"/>
      <c r="J469" s="621"/>
      <c r="K469" s="621"/>
      <c r="L469" s="621"/>
      <c r="M469" s="621"/>
      <c r="N469" s="621"/>
      <c r="O469" s="622"/>
      <c r="P469" s="618" t="s">
        <v>40</v>
      </c>
      <c r="Q469" s="619"/>
      <c r="R469" s="619"/>
      <c r="S469" s="619"/>
      <c r="T469" s="619"/>
      <c r="U469" s="619"/>
      <c r="V469" s="620"/>
      <c r="W469" s="42" t="s">
        <v>0</v>
      </c>
      <c r="X469" s="43">
        <f>IFERROR(SUM(X466:X467),"0")</f>
        <v>0</v>
      </c>
      <c r="Y469" s="43">
        <f>IFERROR(SUM(Y466:Y467),"0")</f>
        <v>0</v>
      </c>
      <c r="Z469" s="42"/>
      <c r="AA469" s="67"/>
      <c r="AB469" s="67"/>
      <c r="AC469" s="67"/>
    </row>
    <row r="470" spans="1:68" ht="16.5" customHeight="1" x14ac:dyDescent="0.25">
      <c r="A470" s="611" t="s">
        <v>730</v>
      </c>
      <c r="B470" s="611"/>
      <c r="C470" s="611"/>
      <c r="D470" s="611"/>
      <c r="E470" s="611"/>
      <c r="F470" s="611"/>
      <c r="G470" s="611"/>
      <c r="H470" s="611"/>
      <c r="I470" s="611"/>
      <c r="J470" s="611"/>
      <c r="K470" s="611"/>
      <c r="L470" s="611"/>
      <c r="M470" s="611"/>
      <c r="N470" s="611"/>
      <c r="O470" s="611"/>
      <c r="P470" s="611"/>
      <c r="Q470" s="611"/>
      <c r="R470" s="611"/>
      <c r="S470" s="611"/>
      <c r="T470" s="611"/>
      <c r="U470" s="611"/>
      <c r="V470" s="611"/>
      <c r="W470" s="611"/>
      <c r="X470" s="611"/>
      <c r="Y470" s="611"/>
      <c r="Z470" s="611"/>
      <c r="AA470" s="65"/>
      <c r="AB470" s="65"/>
      <c r="AC470" s="79"/>
    </row>
    <row r="471" spans="1:68" ht="14.25" customHeight="1" x14ac:dyDescent="0.25">
      <c r="A471" s="612" t="s">
        <v>145</v>
      </c>
      <c r="B471" s="612"/>
      <c r="C471" s="612"/>
      <c r="D471" s="612"/>
      <c r="E471" s="612"/>
      <c r="F471" s="612"/>
      <c r="G471" s="612"/>
      <c r="H471" s="612"/>
      <c r="I471" s="612"/>
      <c r="J471" s="612"/>
      <c r="K471" s="612"/>
      <c r="L471" s="612"/>
      <c r="M471" s="612"/>
      <c r="N471" s="612"/>
      <c r="O471" s="612"/>
      <c r="P471" s="612"/>
      <c r="Q471" s="612"/>
      <c r="R471" s="612"/>
      <c r="S471" s="612"/>
      <c r="T471" s="612"/>
      <c r="U471" s="612"/>
      <c r="V471" s="612"/>
      <c r="W471" s="612"/>
      <c r="X471" s="612"/>
      <c r="Y471" s="612"/>
      <c r="Z471" s="612"/>
      <c r="AA471" s="66"/>
      <c r="AB471" s="66"/>
      <c r="AC471" s="80"/>
    </row>
    <row r="472" spans="1:68" ht="27" customHeight="1" x14ac:dyDescent="0.25">
      <c r="A472" s="63" t="s">
        <v>731</v>
      </c>
      <c r="B472" s="63" t="s">
        <v>732</v>
      </c>
      <c r="C472" s="36">
        <v>4301020314</v>
      </c>
      <c r="D472" s="613">
        <v>4640242180090</v>
      </c>
      <c r="E472" s="613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84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2" s="615"/>
      <c r="R472" s="615"/>
      <c r="S472" s="615"/>
      <c r="T472" s="61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1"/>
      <c r="B473" s="621"/>
      <c r="C473" s="621"/>
      <c r="D473" s="621"/>
      <c r="E473" s="621"/>
      <c r="F473" s="621"/>
      <c r="G473" s="621"/>
      <c r="H473" s="621"/>
      <c r="I473" s="621"/>
      <c r="J473" s="621"/>
      <c r="K473" s="621"/>
      <c r="L473" s="621"/>
      <c r="M473" s="621"/>
      <c r="N473" s="621"/>
      <c r="O473" s="622"/>
      <c r="P473" s="618" t="s">
        <v>40</v>
      </c>
      <c r="Q473" s="619"/>
      <c r="R473" s="619"/>
      <c r="S473" s="619"/>
      <c r="T473" s="619"/>
      <c r="U473" s="619"/>
      <c r="V473" s="6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621"/>
      <c r="B474" s="621"/>
      <c r="C474" s="621"/>
      <c r="D474" s="621"/>
      <c r="E474" s="621"/>
      <c r="F474" s="621"/>
      <c r="G474" s="621"/>
      <c r="H474" s="621"/>
      <c r="I474" s="621"/>
      <c r="J474" s="621"/>
      <c r="K474" s="621"/>
      <c r="L474" s="621"/>
      <c r="M474" s="621"/>
      <c r="N474" s="621"/>
      <c r="O474" s="622"/>
      <c r="P474" s="618" t="s">
        <v>40</v>
      </c>
      <c r="Q474" s="619"/>
      <c r="R474" s="619"/>
      <c r="S474" s="619"/>
      <c r="T474" s="619"/>
      <c r="U474" s="619"/>
      <c r="V474" s="6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5" customHeight="1" x14ac:dyDescent="0.2">
      <c r="A475" s="621"/>
      <c r="B475" s="621"/>
      <c r="C475" s="621"/>
      <c r="D475" s="621"/>
      <c r="E475" s="621"/>
      <c r="F475" s="621"/>
      <c r="G475" s="621"/>
      <c r="H475" s="621"/>
      <c r="I475" s="621"/>
      <c r="J475" s="621"/>
      <c r="K475" s="621"/>
      <c r="L475" s="621"/>
      <c r="M475" s="621"/>
      <c r="N475" s="621"/>
      <c r="O475" s="852"/>
      <c r="P475" s="849" t="s">
        <v>33</v>
      </c>
      <c r="Q475" s="850"/>
      <c r="R475" s="850"/>
      <c r="S475" s="850"/>
      <c r="T475" s="850"/>
      <c r="U475" s="850"/>
      <c r="V475" s="851"/>
      <c r="W475" s="42" t="s">
        <v>0</v>
      </c>
      <c r="X475" s="43">
        <f>IFERROR(X25+X33+X37+X45+X49+X59+X65+X71+X78+X83+X90+X97+X105+X111+X118+X122+X128+X134+X138+X144+X157+X163+X167+X173+X178+X189+X201+X206+X220+X224+X228+X236+X245+X253+X260+X266+X271+X281+X290+X297+X303+X310+X316+X323+X335+X340+X345+X349+X355+X360+X366+X380+X385+X390+X397+X402+X419+X425+X434+X440+X449+X455+X460+X464+X469+X474,"0")</f>
        <v>0</v>
      </c>
      <c r="Y475" s="43">
        <f>IFERROR(Y25+Y33+Y37+Y45+Y49+Y59+Y65+Y71+Y78+Y83+Y90+Y97+Y105+Y111+Y118+Y122+Y128+Y134+Y138+Y144+Y157+Y163+Y167+Y173+Y178+Y189+Y201+Y206+Y220+Y224+Y228+Y236+Y245+Y253+Y260+Y266+Y271+Y281+Y290+Y297+Y303+Y310+Y316+Y323+Y335+Y340+Y345+Y349+Y355+Y360+Y366+Y380+Y385+Y390+Y397+Y402+Y419+Y425+Y434+Y440+Y449+Y455+Y460+Y464+Y469+Y474,"0")</f>
        <v>0</v>
      </c>
      <c r="Z475" s="42"/>
      <c r="AA475" s="67"/>
      <c r="AB475" s="67"/>
      <c r="AC475" s="67"/>
    </row>
    <row r="476" spans="1:68" x14ac:dyDescent="0.2">
      <c r="A476" s="621"/>
      <c r="B476" s="621"/>
      <c r="C476" s="621"/>
      <c r="D476" s="621"/>
      <c r="E476" s="621"/>
      <c r="F476" s="621"/>
      <c r="G476" s="621"/>
      <c r="H476" s="621"/>
      <c r="I476" s="621"/>
      <c r="J476" s="621"/>
      <c r="K476" s="621"/>
      <c r="L476" s="621"/>
      <c r="M476" s="621"/>
      <c r="N476" s="621"/>
      <c r="O476" s="852"/>
      <c r="P476" s="849" t="s">
        <v>34</v>
      </c>
      <c r="Q476" s="850"/>
      <c r="R476" s="850"/>
      <c r="S476" s="850"/>
      <c r="T476" s="850"/>
      <c r="U476" s="850"/>
      <c r="V476" s="851"/>
      <c r="W476" s="42" t="s">
        <v>0</v>
      </c>
      <c r="X476" s="43">
        <f>IFERROR(SUM(BM22:BM472),"0")</f>
        <v>0</v>
      </c>
      <c r="Y476" s="43">
        <f>IFERROR(SUM(BN22:BN472),"0")</f>
        <v>0</v>
      </c>
      <c r="Z476" s="42"/>
      <c r="AA476" s="67"/>
      <c r="AB476" s="67"/>
      <c r="AC476" s="67"/>
    </row>
    <row r="477" spans="1:68" x14ac:dyDescent="0.2">
      <c r="A477" s="621"/>
      <c r="B477" s="621"/>
      <c r="C477" s="621"/>
      <c r="D477" s="621"/>
      <c r="E477" s="621"/>
      <c r="F477" s="621"/>
      <c r="G477" s="621"/>
      <c r="H477" s="621"/>
      <c r="I477" s="621"/>
      <c r="J477" s="621"/>
      <c r="K477" s="621"/>
      <c r="L477" s="621"/>
      <c r="M477" s="621"/>
      <c r="N477" s="621"/>
      <c r="O477" s="852"/>
      <c r="P477" s="849" t="s">
        <v>35</v>
      </c>
      <c r="Q477" s="850"/>
      <c r="R477" s="850"/>
      <c r="S477" s="850"/>
      <c r="T477" s="850"/>
      <c r="U477" s="850"/>
      <c r="V477" s="851"/>
      <c r="W477" s="42" t="s">
        <v>20</v>
      </c>
      <c r="X477" s="44">
        <f>ROUNDUP(SUM(BO22:BO472),0)</f>
        <v>0</v>
      </c>
      <c r="Y477" s="44">
        <f>ROUNDUP(SUM(BP22:BP472),0)</f>
        <v>0</v>
      </c>
      <c r="Z477" s="42"/>
      <c r="AA477" s="67"/>
      <c r="AB477" s="67"/>
      <c r="AC477" s="67"/>
    </row>
    <row r="478" spans="1:68" x14ac:dyDescent="0.2">
      <c r="A478" s="621"/>
      <c r="B478" s="621"/>
      <c r="C478" s="621"/>
      <c r="D478" s="621"/>
      <c r="E478" s="621"/>
      <c r="F478" s="621"/>
      <c r="G478" s="621"/>
      <c r="H478" s="621"/>
      <c r="I478" s="621"/>
      <c r="J478" s="621"/>
      <c r="K478" s="621"/>
      <c r="L478" s="621"/>
      <c r="M478" s="621"/>
      <c r="N478" s="621"/>
      <c r="O478" s="852"/>
      <c r="P478" s="849" t="s">
        <v>36</v>
      </c>
      <c r="Q478" s="850"/>
      <c r="R478" s="850"/>
      <c r="S478" s="850"/>
      <c r="T478" s="850"/>
      <c r="U478" s="850"/>
      <c r="V478" s="851"/>
      <c r="W478" s="42" t="s">
        <v>0</v>
      </c>
      <c r="X478" s="43">
        <f>GrossWeightTotal+PalletQtyTotal*25</f>
        <v>0</v>
      </c>
      <c r="Y478" s="43">
        <f>GrossWeightTotalR+PalletQtyTotalR*25</f>
        <v>0</v>
      </c>
      <c r="Z478" s="42"/>
      <c r="AA478" s="67"/>
      <c r="AB478" s="67"/>
      <c r="AC478" s="67"/>
    </row>
    <row r="479" spans="1:68" x14ac:dyDescent="0.2">
      <c r="A479" s="621"/>
      <c r="B479" s="621"/>
      <c r="C479" s="621"/>
      <c r="D479" s="621"/>
      <c r="E479" s="621"/>
      <c r="F479" s="621"/>
      <c r="G479" s="621"/>
      <c r="H479" s="621"/>
      <c r="I479" s="621"/>
      <c r="J479" s="621"/>
      <c r="K479" s="621"/>
      <c r="L479" s="621"/>
      <c r="M479" s="621"/>
      <c r="N479" s="621"/>
      <c r="O479" s="852"/>
      <c r="P479" s="849" t="s">
        <v>37</v>
      </c>
      <c r="Q479" s="850"/>
      <c r="R479" s="850"/>
      <c r="S479" s="850"/>
      <c r="T479" s="850"/>
      <c r="U479" s="850"/>
      <c r="V479" s="851"/>
      <c r="W479" s="42" t="s">
        <v>20</v>
      </c>
      <c r="X479" s="43">
        <f>IFERROR(X24+X32+X36+X44+X48+X58+X64+X70+X77+X82+X89+X96+X104+X110+X117+X121+X127+X133+X137+X143+X156+X162+X166+X172+X177+X188+X200+X205+X219+X223+X227+X235+X244+X252+X259+X265+X270+X280+X289+X296+X302+X309+X315+X322+X334+X339+X344+X348+X354+X359+X365+X379+X384+X389+X396+X401+X418+X424+X433+X439+X448+X454+X459+X463+X468+X473,"0")</f>
        <v>0</v>
      </c>
      <c r="Y479" s="43">
        <f>IFERROR(Y24+Y32+Y36+Y44+Y48+Y58+Y64+Y70+Y77+Y82+Y89+Y96+Y104+Y110+Y117+Y121+Y127+Y133+Y137+Y143+Y156+Y162+Y166+Y172+Y177+Y188+Y200+Y205+Y219+Y223+Y227+Y235+Y244+Y252+Y259+Y265+Y270+Y280+Y289+Y296+Y302+Y309+Y315+Y322+Y334+Y339+Y344+Y348+Y354+Y359+Y365+Y379+Y384+Y389+Y396+Y401+Y418+Y424+Y433+Y439+Y448+Y454+Y459+Y463+Y468+Y473,"0")</f>
        <v>0</v>
      </c>
      <c r="Z479" s="42"/>
      <c r="AA479" s="67"/>
      <c r="AB479" s="67"/>
      <c r="AC479" s="67"/>
    </row>
    <row r="480" spans="1:68" ht="14.25" x14ac:dyDescent="0.2">
      <c r="A480" s="621"/>
      <c r="B480" s="621"/>
      <c r="C480" s="621"/>
      <c r="D480" s="621"/>
      <c r="E480" s="621"/>
      <c r="F480" s="621"/>
      <c r="G480" s="621"/>
      <c r="H480" s="621"/>
      <c r="I480" s="621"/>
      <c r="J480" s="621"/>
      <c r="K480" s="621"/>
      <c r="L480" s="621"/>
      <c r="M480" s="621"/>
      <c r="N480" s="621"/>
      <c r="O480" s="852"/>
      <c r="P480" s="849" t="s">
        <v>38</v>
      </c>
      <c r="Q480" s="850"/>
      <c r="R480" s="850"/>
      <c r="S480" s="850"/>
      <c r="T480" s="850"/>
      <c r="U480" s="850"/>
      <c r="V480" s="851"/>
      <c r="W480" s="45" t="s">
        <v>51</v>
      </c>
      <c r="X480" s="42"/>
      <c r="Y480" s="42"/>
      <c r="Z480" s="42">
        <f>IFERROR(Z24+Z32+Z36+Z44+Z48+Z58+Z64+Z70+Z77+Z82+Z89+Z96+Z104+Z110+Z117+Z121+Z127+Z133+Z137+Z143+Z156+Z162+Z166+Z172+Z177+Z188+Z200+Z205+Z219+Z223+Z227+Z235+Z244+Z252+Z259+Z265+Z270+Z280+Z289+Z296+Z302+Z309+Z315+Z322+Z334+Z339+Z344+Z348+Z354+Z359+Z365+Z379+Z384+Z389+Z396+Z401+Z418+Z424+Z433+Z439+Z448+Z454+Z459+Z463+Z468+Z473,"0")</f>
        <v>0</v>
      </c>
      <c r="AA480" s="67"/>
      <c r="AB480" s="67"/>
      <c r="AC480" s="67"/>
    </row>
    <row r="481" spans="1:32" ht="13.5" thickBot="1" x14ac:dyDescent="0.25"/>
    <row r="482" spans="1:32" ht="27" thickTop="1" thickBot="1" x14ac:dyDescent="0.25">
      <c r="A482" s="46" t="s">
        <v>9</v>
      </c>
      <c r="B482" s="85" t="s">
        <v>75</v>
      </c>
      <c r="C482" s="855" t="s">
        <v>110</v>
      </c>
      <c r="D482" s="855" t="s">
        <v>110</v>
      </c>
      <c r="E482" s="855" t="s">
        <v>110</v>
      </c>
      <c r="F482" s="855" t="s">
        <v>110</v>
      </c>
      <c r="G482" s="855" t="s">
        <v>110</v>
      </c>
      <c r="H482" s="855" t="s">
        <v>247</v>
      </c>
      <c r="I482" s="855" t="s">
        <v>247</v>
      </c>
      <c r="J482" s="855" t="s">
        <v>247</v>
      </c>
      <c r="K482" s="855" t="s">
        <v>247</v>
      </c>
      <c r="L482" s="855" t="s">
        <v>247</v>
      </c>
      <c r="M482" s="855" t="s">
        <v>247</v>
      </c>
      <c r="N482" s="856"/>
      <c r="O482" s="855" t="s">
        <v>247</v>
      </c>
      <c r="P482" s="855" t="s">
        <v>247</v>
      </c>
      <c r="Q482" s="855" t="s">
        <v>247</v>
      </c>
      <c r="R482" s="855" t="s">
        <v>526</v>
      </c>
      <c r="S482" s="855" t="s">
        <v>526</v>
      </c>
      <c r="T482" s="855" t="s">
        <v>580</v>
      </c>
      <c r="U482" s="855" t="s">
        <v>580</v>
      </c>
      <c r="V482" s="855" t="s">
        <v>580</v>
      </c>
      <c r="W482" s="85" t="s">
        <v>631</v>
      </c>
      <c r="X482" s="855" t="s">
        <v>694</v>
      </c>
      <c r="Y482" s="855" t="s">
        <v>694</v>
      </c>
      <c r="AB482" s="60"/>
      <c r="AC482" s="60"/>
      <c r="AF482" s="1"/>
    </row>
    <row r="483" spans="1:32" ht="14.25" customHeight="1" thickTop="1" x14ac:dyDescent="0.2">
      <c r="A483" s="853" t="s">
        <v>10</v>
      </c>
      <c r="B483" s="855" t="s">
        <v>75</v>
      </c>
      <c r="C483" s="855" t="s">
        <v>111</v>
      </c>
      <c r="D483" s="855" t="s">
        <v>126</v>
      </c>
      <c r="E483" s="855" t="s">
        <v>180</v>
      </c>
      <c r="F483" s="855" t="s">
        <v>199</v>
      </c>
      <c r="G483" s="855" t="s">
        <v>110</v>
      </c>
      <c r="H483" s="855" t="s">
        <v>248</v>
      </c>
      <c r="I483" s="855" t="s">
        <v>291</v>
      </c>
      <c r="J483" s="855" t="s">
        <v>350</v>
      </c>
      <c r="K483" s="855" t="s">
        <v>392</v>
      </c>
      <c r="L483" s="855" t="s">
        <v>408</v>
      </c>
      <c r="M483" s="855" t="s">
        <v>419</v>
      </c>
      <c r="N483" s="1"/>
      <c r="O483" s="855" t="s">
        <v>428</v>
      </c>
      <c r="P483" s="855" t="s">
        <v>441</v>
      </c>
      <c r="Q483" s="855" t="s">
        <v>516</v>
      </c>
      <c r="R483" s="855" t="s">
        <v>527</v>
      </c>
      <c r="S483" s="855" t="s">
        <v>562</v>
      </c>
      <c r="T483" s="855" t="s">
        <v>581</v>
      </c>
      <c r="U483" s="855" t="s">
        <v>612</v>
      </c>
      <c r="V483" s="855" t="s">
        <v>627</v>
      </c>
      <c r="W483" s="855" t="s">
        <v>631</v>
      </c>
      <c r="X483" s="855" t="s">
        <v>694</v>
      </c>
      <c r="Y483" s="855" t="s">
        <v>730</v>
      </c>
      <c r="AB483" s="60"/>
      <c r="AC483" s="60"/>
      <c r="AF483" s="1"/>
    </row>
    <row r="484" spans="1:32" ht="13.5" thickBot="1" x14ac:dyDescent="0.25">
      <c r="A484" s="854"/>
      <c r="B484" s="855"/>
      <c r="C484" s="855"/>
      <c r="D484" s="855"/>
      <c r="E484" s="855"/>
      <c r="F484" s="855"/>
      <c r="G484" s="855"/>
      <c r="H484" s="855"/>
      <c r="I484" s="855"/>
      <c r="J484" s="855"/>
      <c r="K484" s="855"/>
      <c r="L484" s="855"/>
      <c r="M484" s="855"/>
      <c r="N484" s="1"/>
      <c r="O484" s="855"/>
      <c r="P484" s="855"/>
      <c r="Q484" s="855"/>
      <c r="R484" s="855"/>
      <c r="S484" s="855"/>
      <c r="T484" s="855"/>
      <c r="U484" s="855"/>
      <c r="V484" s="855"/>
      <c r="W484" s="855"/>
      <c r="X484" s="855"/>
      <c r="Y484" s="855"/>
      <c r="AB484" s="60"/>
      <c r="AC484" s="60"/>
      <c r="AF484" s="1"/>
    </row>
    <row r="485" spans="1:32" ht="18" thickTop="1" thickBot="1" x14ac:dyDescent="0.25">
      <c r="A485" s="46" t="s">
        <v>13</v>
      </c>
      <c r="B485" s="52">
        <f>IFERROR(Y22*1,"0")+IFERROR(Y23*1,"0")+IFERROR(Y27*1,"0")+IFERROR(Y28*1,"0")+IFERROR(Y29*1,"0")+IFERROR(Y30*1,"0")+IFERROR(Y31*1,"0")+IFERROR(Y35*1,"0")</f>
        <v>0</v>
      </c>
      <c r="C485" s="52">
        <f>IFERROR(Y41*1,"0")+IFERROR(Y42*1,"0")+IFERROR(Y43*1,"0")+IFERROR(Y47*1,"0")</f>
        <v>0</v>
      </c>
      <c r="D485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485" s="52">
        <f>IFERROR(Y86*1,"0")+IFERROR(Y87*1,"0")+IFERROR(Y88*1,"0")+IFERROR(Y92*1,"0")+IFERROR(Y93*1,"0")+IFERROR(Y94*1,"0")+IFERROR(Y95*1,"0")</f>
        <v>0</v>
      </c>
      <c r="F485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485" s="52">
        <f>IFERROR(Y125*1,"0")+IFERROR(Y126*1,"0")+IFERROR(Y130*1,"0")+IFERROR(Y131*1,"0")+IFERROR(Y132*1,"0")+IFERROR(Y136*1,"0")</f>
        <v>0</v>
      </c>
      <c r="H485" s="52">
        <f>IFERROR(Y142*1,"0")+IFERROR(Y146*1,"0")+IFERROR(Y147*1,"0")+IFERROR(Y148*1,"0")+IFERROR(Y149*1,"0")+IFERROR(Y150*1,"0")+IFERROR(Y151*1,"0")+IFERROR(Y152*1,"0")+IFERROR(Y153*1,"0")+IFERROR(Y154*1,"0")+IFERROR(Y155*1,"0")+IFERROR(Y159*1,"0")+IFERROR(Y160*1,"0")+IFERROR(Y161*1,"0")+IFERROR(Y165*1,"0")</f>
        <v>0</v>
      </c>
      <c r="I485" s="52">
        <f>IFERROR(Y170*1,"0")+IFERROR(Y171*1,"0")+IFERROR(Y175*1,"0")+IFERROR(Y176*1,"0")+IFERROR(Y180*1,"0")+IFERROR(Y181*1,"0")+IFERROR(Y182*1,"0")+IFERROR(Y183*1,"0")+IFERROR(Y184*1,"0")+IFERROR(Y185*1,"0")+IFERROR(Y186*1,"0")+IFERROR(Y187*1,"0")+IFERROR(Y191*1,"0")+IFERROR(Y192*1,"0")+IFERROR(Y193*1,"0")+IFERROR(Y194*1,"0")+IFERROR(Y195*1,"0")+IFERROR(Y196*1,"0")+IFERROR(Y197*1,"0")+IFERROR(Y198*1,"0")+IFERROR(Y199*1,"0")+IFERROR(Y203*1,"0")+IFERROR(Y204*1,"0")</f>
        <v>0</v>
      </c>
      <c r="J485" s="52">
        <f>IFERROR(Y209*1,"0")+IFERROR(Y210*1,"0")+IFERROR(Y211*1,"0")+IFERROR(Y212*1,"0")+IFERROR(Y213*1,"0")+IFERROR(Y214*1,"0")+IFERROR(Y215*1,"0")+IFERROR(Y216*1,"0")+IFERROR(Y217*1,"0")+IFERROR(Y218*1,"0")+IFERROR(Y222*1,"0")+IFERROR(Y226*1,"0")+IFERROR(Y230*1,"0")+IFERROR(Y231*1,"0")+IFERROR(Y232*1,"0")+IFERROR(Y233*1,"0")+IFERROR(Y234*1,"0")</f>
        <v>0</v>
      </c>
      <c r="K485" s="52">
        <f>IFERROR(Y239*1,"0")+IFERROR(Y240*1,"0")+IFERROR(Y241*1,"0")+IFERROR(Y242*1,"0")+IFERROR(Y243*1,"0")</f>
        <v>0</v>
      </c>
      <c r="L485" s="52">
        <f>IFERROR(Y248*1,"0")+IFERROR(Y249*1,"0")+IFERROR(Y250*1,"0")+IFERROR(Y251*1,"0")</f>
        <v>0</v>
      </c>
      <c r="M485" s="52">
        <f>IFERROR(Y256*1,"0")+IFERROR(Y257*1,"0")+IFERROR(Y258*1,"0")</f>
        <v>0</v>
      </c>
      <c r="N485" s="1"/>
      <c r="O485" s="52">
        <f>IFERROR(Y263*1,"0")+IFERROR(Y264*1,"0")+IFERROR(Y268*1,"0")+IFERROR(Y269*1,"0")</f>
        <v>0</v>
      </c>
      <c r="P485" s="52">
        <f>IFERROR(Y274*1,"0")+IFERROR(Y275*1,"0")+IFERROR(Y276*1,"0")+IFERROR(Y277*1,"0")+IFERROR(Y278*1,"0")+IFERROR(Y279*1,"0")+IFERROR(Y283*1,"0")+IFERROR(Y284*1,"0")+IFERROR(Y285*1,"0")+IFERROR(Y286*1,"0")+IFERROR(Y287*1,"0")+IFERROR(Y288*1,"0")+IFERROR(Y292*1,"0")+IFERROR(Y293*1,"0")+IFERROR(Y294*1,"0")+IFERROR(Y295*1,"0")+IFERROR(Y299*1,"0")+IFERROR(Y300*1,"0")+IFERROR(Y301*1,"0")+IFERROR(Y305*1,"0")+IFERROR(Y306*1,"0")+IFERROR(Y307*1,"0")+IFERROR(Y308*1,"0")+IFERROR(Y312*1,"0")+IFERROR(Y313*1,"0")+IFERROR(Y314*1,"0")</f>
        <v>0</v>
      </c>
      <c r="Q485" s="52">
        <f>IFERROR(Y319*1,"0")+IFERROR(Y320*1,"0")+IFERROR(Y321*1,"0")</f>
        <v>0</v>
      </c>
      <c r="R485" s="52">
        <f>IFERROR(Y327*1,"0")+IFERROR(Y328*1,"0")+IFERROR(Y329*1,"0")+IFERROR(Y330*1,"0")+IFERROR(Y331*1,"0")+IFERROR(Y332*1,"0")+IFERROR(Y333*1,"0")+IFERROR(Y337*1,"0")+IFERROR(Y338*1,"0")+IFERROR(Y342*1,"0")+IFERROR(Y343*1,"0")+IFERROR(Y347*1,"0")</f>
        <v>0</v>
      </c>
      <c r="S485" s="52">
        <f>IFERROR(Y352*1,"0")+IFERROR(Y353*1,"0")+IFERROR(Y357*1,"0")+IFERROR(Y358*1,"0")+IFERROR(Y362*1,"0")+IFERROR(Y363*1,"0")+IFERROR(Y364*1,"0")</f>
        <v>0</v>
      </c>
      <c r="T485" s="52">
        <f>IFERROR(Y370*1,"0")+IFERROR(Y371*1,"0")+IFERROR(Y372*1,"0")+IFERROR(Y373*1,"0")+IFERROR(Y374*1,"0")+IFERROR(Y375*1,"0")+IFERROR(Y376*1,"0")+IFERROR(Y377*1,"0")+IFERROR(Y378*1,"0")+IFERROR(Y382*1,"0")+IFERROR(Y383*1,"0")</f>
        <v>0</v>
      </c>
      <c r="U485" s="52">
        <f>IFERROR(Y388*1,"0")+IFERROR(Y392*1,"0")+IFERROR(Y393*1,"0")+IFERROR(Y394*1,"0")+IFERROR(Y395*1,"0")</f>
        <v>0</v>
      </c>
      <c r="V485" s="52">
        <f>IFERROR(Y400*1,"0")</f>
        <v>0</v>
      </c>
      <c r="W485" s="52">
        <f>IFERROR(Y406*1,"0")+IFERROR(Y407*1,"0")+IFERROR(Y408*1,"0")+IFERROR(Y409*1,"0")+IFERROR(Y410*1,"0")+IFERROR(Y411*1,"0")+IFERROR(Y412*1,"0")+IFERROR(Y413*1,"0")+IFERROR(Y414*1,"0")+IFERROR(Y415*1,"0")+IFERROR(Y416*1,"0")+IFERROR(Y417*1,"0")+IFERROR(Y421*1,"0")+IFERROR(Y422*1,"0")+IFERROR(Y423*1,"0")+IFERROR(Y427*1,"0")+IFERROR(Y428*1,"0")+IFERROR(Y429*1,"0")+IFERROR(Y430*1,"0")+IFERROR(Y431*1,"0")+IFERROR(Y432*1,"0")+IFERROR(Y436*1,"0")+IFERROR(Y437*1,"0")+IFERROR(Y438*1,"0")</f>
        <v>0</v>
      </c>
      <c r="X485" s="52">
        <f>IFERROR(Y444*1,"0")+IFERROR(Y445*1,"0")+IFERROR(Y446*1,"0")+IFERROR(Y447*1,"0")+IFERROR(Y451*1,"0")+IFERROR(Y452*1,"0")+IFERROR(Y453*1,"0")+IFERROR(Y457*1,"0")+IFERROR(Y458*1,"0")+IFERROR(Y462*1,"0")+IFERROR(Y466*1,"0")+IFERROR(Y467*1,"0")</f>
        <v>0</v>
      </c>
      <c r="Y485" s="52">
        <f>IFERROR(Y472*1,"0")</f>
        <v>0</v>
      </c>
      <c r="AB485" s="60"/>
      <c r="AC485" s="60"/>
      <c r="AF485" s="1"/>
    </row>
  </sheetData>
  <sheetProtection algorithmName="SHA-512" hashValue="Mx2gfZPLNDbMzVxbLDg9hGXcETZhu4vLL8GY4Hen1hYknC9/L68ebCUqguZwAQw25xuvzC0FRHVbzdNn1wUwEQ==" saltValue="t77gKx2vvyIZpaTNi1Vg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52">
    <mergeCell ref="U483:U484"/>
    <mergeCell ref="V483:V484"/>
    <mergeCell ref="W483:W484"/>
    <mergeCell ref="X483:X484"/>
    <mergeCell ref="Y483:Y484"/>
    <mergeCell ref="C482:G482"/>
    <mergeCell ref="H482:Q482"/>
    <mergeCell ref="R482:S482"/>
    <mergeCell ref="T482:V482"/>
    <mergeCell ref="X482:Y482"/>
    <mergeCell ref="J483:J484"/>
    <mergeCell ref="K483:K484"/>
    <mergeCell ref="L483:L484"/>
    <mergeCell ref="M483:M484"/>
    <mergeCell ref="O483:O484"/>
    <mergeCell ref="P483:P484"/>
    <mergeCell ref="Q483:Q484"/>
    <mergeCell ref="R483:R484"/>
    <mergeCell ref="S483:S484"/>
    <mergeCell ref="T483:T484"/>
    <mergeCell ref="A483:A484"/>
    <mergeCell ref="B483:B484"/>
    <mergeCell ref="C483:C484"/>
    <mergeCell ref="D483:D484"/>
    <mergeCell ref="E483:E484"/>
    <mergeCell ref="F483:F484"/>
    <mergeCell ref="G483:G484"/>
    <mergeCell ref="H483:H484"/>
    <mergeCell ref="I483:I484"/>
    <mergeCell ref="P473:V473"/>
    <mergeCell ref="A473:O474"/>
    <mergeCell ref="P474:V474"/>
    <mergeCell ref="P475:V475"/>
    <mergeCell ref="A475:O480"/>
    <mergeCell ref="P476:V476"/>
    <mergeCell ref="P477:V477"/>
    <mergeCell ref="P478:V478"/>
    <mergeCell ref="P479:V479"/>
    <mergeCell ref="P480:V480"/>
    <mergeCell ref="D467:E467"/>
    <mergeCell ref="P467:T467"/>
    <mergeCell ref="P468:V468"/>
    <mergeCell ref="A468:O469"/>
    <mergeCell ref="P469:V469"/>
    <mergeCell ref="A470:Z470"/>
    <mergeCell ref="A471:Z471"/>
    <mergeCell ref="D472:E472"/>
    <mergeCell ref="P472:T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P459:V459"/>
    <mergeCell ref="A459:O460"/>
    <mergeCell ref="P460:V460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A403:Z403"/>
    <mergeCell ref="A404:Z404"/>
    <mergeCell ref="A405:Z405"/>
    <mergeCell ref="D406:E406"/>
    <mergeCell ref="P406:T406"/>
    <mergeCell ref="D407:E407"/>
    <mergeCell ref="P407:T407"/>
    <mergeCell ref="D408:E408"/>
    <mergeCell ref="P408:T408"/>
    <mergeCell ref="P396:V396"/>
    <mergeCell ref="A396:O397"/>
    <mergeCell ref="P397:V397"/>
    <mergeCell ref="A398:Z398"/>
    <mergeCell ref="A399:Z399"/>
    <mergeCell ref="D400:E400"/>
    <mergeCell ref="P400:T400"/>
    <mergeCell ref="P401:V401"/>
    <mergeCell ref="A401:O402"/>
    <mergeCell ref="P402:V402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A387:Z387"/>
    <mergeCell ref="D388:E388"/>
    <mergeCell ref="P388:T388"/>
    <mergeCell ref="P389:V389"/>
    <mergeCell ref="A389:O390"/>
    <mergeCell ref="P390:V390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A367:Z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D347:E347"/>
    <mergeCell ref="P347:T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24:Z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A318:Z318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94:E294"/>
    <mergeCell ref="P294:T294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7:Z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54:Z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43:E243"/>
    <mergeCell ref="P243:T243"/>
    <mergeCell ref="P244:V244"/>
    <mergeCell ref="A244:O245"/>
    <mergeCell ref="P245:V245"/>
    <mergeCell ref="A246:Z246"/>
    <mergeCell ref="A247:Z247"/>
    <mergeCell ref="D248:E248"/>
    <mergeCell ref="P248:T248"/>
    <mergeCell ref="A237:Z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P223:V223"/>
    <mergeCell ref="A223:O224"/>
    <mergeCell ref="P224:V224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A207:Z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P205:V205"/>
    <mergeCell ref="A205:O206"/>
    <mergeCell ref="P206:V206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A168:Z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D159:E159"/>
    <mergeCell ref="P159:T159"/>
    <mergeCell ref="D160:E160"/>
    <mergeCell ref="P160:T160"/>
    <mergeCell ref="D161:E161"/>
    <mergeCell ref="P161:T161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A139:Z139"/>
    <mergeCell ref="A140:Z140"/>
    <mergeCell ref="A141:Z141"/>
    <mergeCell ref="D142:E142"/>
    <mergeCell ref="P142:T142"/>
    <mergeCell ref="P143:V143"/>
    <mergeCell ref="A143:O144"/>
    <mergeCell ref="P144:V144"/>
    <mergeCell ref="A145:Z145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734</v>
      </c>
      <c r="H1" s="9"/>
    </row>
    <row r="3" spans="2:8" x14ac:dyDescent="0.2">
      <c r="B3" s="53" t="s">
        <v>735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736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737</v>
      </c>
      <c r="C6" s="53" t="s">
        <v>738</v>
      </c>
      <c r="D6" s="53" t="s">
        <v>739</v>
      </c>
      <c r="E6" s="53" t="s">
        <v>45</v>
      </c>
    </row>
    <row r="7" spans="2:8" x14ac:dyDescent="0.2">
      <c r="B7" s="53" t="s">
        <v>740</v>
      </c>
      <c r="C7" s="53" t="s">
        <v>741</v>
      </c>
      <c r="D7" s="53" t="s">
        <v>742</v>
      </c>
      <c r="E7" s="53" t="s">
        <v>45</v>
      </c>
    </row>
    <row r="9" spans="2:8" x14ac:dyDescent="0.2">
      <c r="B9" s="53" t="s">
        <v>743</v>
      </c>
      <c r="C9" s="53" t="s">
        <v>738</v>
      </c>
      <c r="D9" s="53" t="s">
        <v>45</v>
      </c>
      <c r="E9" s="53" t="s">
        <v>45</v>
      </c>
    </row>
    <row r="11" spans="2:8" x14ac:dyDescent="0.2">
      <c r="B11" s="53" t="s">
        <v>744</v>
      </c>
      <c r="C11" s="53" t="s">
        <v>741</v>
      </c>
      <c r="D11" s="53" t="s">
        <v>45</v>
      </c>
      <c r="E11" s="53" t="s">
        <v>45</v>
      </c>
    </row>
    <row r="13" spans="2:8" x14ac:dyDescent="0.2">
      <c r="B13" s="53" t="s">
        <v>745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746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747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748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749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752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753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754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755</v>
      </c>
      <c r="C23" s="53" t="s">
        <v>45</v>
      </c>
      <c r="D23" s="53" t="s">
        <v>45</v>
      </c>
      <c r="E23" s="53" t="s">
        <v>45</v>
      </c>
    </row>
  </sheetData>
  <sheetProtection algorithmName="SHA-512" hashValue="An/oKy4rlBB9y3ZCqsZ92da7Wmq8LIZPhdACJ1zYJ0+Z4YzjQGVMXb4aTDAv08osZ6MSbcnOAIJJfunW/s3yJg==" saltValue="KZJVFNmwVAjR4+PmPcSac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956</vt:i4>
      </vt:variant>
    </vt:vector>
  </HeadingPairs>
  <TitlesOfParts>
    <vt:vector size="95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