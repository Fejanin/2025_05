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чистый бланк\"/>
    </mc:Choice>
  </mc:AlternateContent>
  <xr:revisionPtr revIDLastSave="0" documentId="13_ncr:1_{DE74B709-DC23-40B3-BB93-6FB8E02AC70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2" l="1"/>
  <c r="X491" i="2"/>
  <c r="BO490" i="2"/>
  <c r="BM490" i="2"/>
  <c r="Y490" i="2"/>
  <c r="Z503" i="2" s="1"/>
  <c r="P490" i="2"/>
  <c r="X487" i="2"/>
  <c r="X486" i="2"/>
  <c r="BO485" i="2"/>
  <c r="BM485" i="2"/>
  <c r="Y485" i="2"/>
  <c r="Z485" i="2" s="1"/>
  <c r="P485" i="2"/>
  <c r="BO484" i="2"/>
  <c r="BM484" i="2"/>
  <c r="Y484" i="2"/>
  <c r="BP484" i="2" s="1"/>
  <c r="P484" i="2"/>
  <c r="X482" i="2"/>
  <c r="X481" i="2"/>
  <c r="BO480" i="2"/>
  <c r="BM480" i="2"/>
  <c r="Y480" i="2"/>
  <c r="P480" i="2"/>
  <c r="X478" i="2"/>
  <c r="X477" i="2"/>
  <c r="BO476" i="2"/>
  <c r="BM476" i="2"/>
  <c r="Y476" i="2"/>
  <c r="P476" i="2"/>
  <c r="X474" i="2"/>
  <c r="X473" i="2"/>
  <c r="BO472" i="2"/>
  <c r="BM472" i="2"/>
  <c r="Y472" i="2"/>
  <c r="BP472" i="2" s="1"/>
  <c r="P472" i="2"/>
  <c r="BO471" i="2"/>
  <c r="BM471" i="2"/>
  <c r="Y471" i="2"/>
  <c r="Y474" i="2" s="1"/>
  <c r="P471" i="2"/>
  <c r="X469" i="2"/>
  <c r="X468" i="2"/>
  <c r="BO467" i="2"/>
  <c r="BM467" i="2"/>
  <c r="Y467" i="2"/>
  <c r="BP467" i="2" s="1"/>
  <c r="P467" i="2"/>
  <c r="BO466" i="2"/>
  <c r="BM466" i="2"/>
  <c r="Y466" i="2"/>
  <c r="P466" i="2"/>
  <c r="BO465" i="2"/>
  <c r="BM465" i="2"/>
  <c r="Y465" i="2"/>
  <c r="BP465" i="2" s="1"/>
  <c r="P465" i="2"/>
  <c r="BO464" i="2"/>
  <c r="BM464" i="2"/>
  <c r="Y464" i="2"/>
  <c r="P464" i="2"/>
  <c r="X460" i="2"/>
  <c r="X459" i="2"/>
  <c r="BO458" i="2"/>
  <c r="BM458" i="2"/>
  <c r="Y458" i="2"/>
  <c r="P458" i="2"/>
  <c r="X456" i="2"/>
  <c r="X455" i="2"/>
  <c r="BO454" i="2"/>
  <c r="BM454" i="2"/>
  <c r="Y454" i="2"/>
  <c r="P454" i="2"/>
  <c r="BO453" i="2"/>
  <c r="BM453" i="2"/>
  <c r="Y453" i="2"/>
  <c r="BP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BP450" i="2" s="1"/>
  <c r="P450" i="2"/>
  <c r="BP449" i="2"/>
  <c r="BO449" i="2"/>
  <c r="BN449" i="2"/>
  <c r="BM449" i="2"/>
  <c r="Z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Z437" i="2" s="1"/>
  <c r="P437" i="2"/>
  <c r="BO436" i="2"/>
  <c r="BM436" i="2"/>
  <c r="Y436" i="2"/>
  <c r="P436" i="2"/>
  <c r="BO435" i="2"/>
  <c r="BM435" i="2"/>
  <c r="Y435" i="2"/>
  <c r="BP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P428" i="2"/>
  <c r="X424" i="2"/>
  <c r="X423" i="2"/>
  <c r="BO422" i="2"/>
  <c r="BM422" i="2"/>
  <c r="Y422" i="2"/>
  <c r="Z422" i="2" s="1"/>
  <c r="Z423" i="2" s="1"/>
  <c r="P422" i="2"/>
  <c r="X419" i="2"/>
  <c r="X418" i="2"/>
  <c r="BO417" i="2"/>
  <c r="BM417" i="2"/>
  <c r="Y417" i="2"/>
  <c r="Z417" i="2" s="1"/>
  <c r="P417" i="2"/>
  <c r="BO416" i="2"/>
  <c r="BM416" i="2"/>
  <c r="Y416" i="2"/>
  <c r="P416" i="2"/>
  <c r="BO415" i="2"/>
  <c r="BM415" i="2"/>
  <c r="Z415" i="2"/>
  <c r="Y415" i="2"/>
  <c r="BP415" i="2" s="1"/>
  <c r="P415" i="2"/>
  <c r="BO414" i="2"/>
  <c r="BM414" i="2"/>
  <c r="Y414" i="2"/>
  <c r="BN414" i="2" s="1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BP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Z398" i="2" s="1"/>
  <c r="P398" i="2"/>
  <c r="BO397" i="2"/>
  <c r="BM397" i="2"/>
  <c r="Y397" i="2"/>
  <c r="BP397" i="2" s="1"/>
  <c r="P397" i="2"/>
  <c r="BO396" i="2"/>
  <c r="BM396" i="2"/>
  <c r="Y396" i="2"/>
  <c r="BP396" i="2" s="1"/>
  <c r="P396" i="2"/>
  <c r="BO395" i="2"/>
  <c r="BM395" i="2"/>
  <c r="Y395" i="2"/>
  <c r="P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BP385" i="2" s="1"/>
  <c r="P385" i="2"/>
  <c r="BP384" i="2"/>
  <c r="BO384" i="2"/>
  <c r="BN384" i="2"/>
  <c r="BM384" i="2"/>
  <c r="Z384" i="2"/>
  <c r="Y384" i="2"/>
  <c r="P384" i="2"/>
  <c r="X382" i="2"/>
  <c r="X381" i="2"/>
  <c r="BO380" i="2"/>
  <c r="BM380" i="2"/>
  <c r="Y380" i="2"/>
  <c r="BP380" i="2" s="1"/>
  <c r="P380" i="2"/>
  <c r="BO379" i="2"/>
  <c r="BM379" i="2"/>
  <c r="Y379" i="2"/>
  <c r="Y381" i="2" s="1"/>
  <c r="P379" i="2"/>
  <c r="X377" i="2"/>
  <c r="X376" i="2"/>
  <c r="BO375" i="2"/>
  <c r="BM375" i="2"/>
  <c r="Y375" i="2"/>
  <c r="BP375" i="2" s="1"/>
  <c r="P375" i="2"/>
  <c r="BO374" i="2"/>
  <c r="BM374" i="2"/>
  <c r="Y374" i="2"/>
  <c r="Y377" i="2" s="1"/>
  <c r="P374" i="2"/>
  <c r="X371" i="2"/>
  <c r="X370" i="2"/>
  <c r="BO369" i="2"/>
  <c r="BM369" i="2"/>
  <c r="Y369" i="2"/>
  <c r="Y371" i="2" s="1"/>
  <c r="P369" i="2"/>
  <c r="X367" i="2"/>
  <c r="X366" i="2"/>
  <c r="BO365" i="2"/>
  <c r="BM365" i="2"/>
  <c r="Y365" i="2"/>
  <c r="BP365" i="2" s="1"/>
  <c r="P365" i="2"/>
  <c r="BO364" i="2"/>
  <c r="BM364" i="2"/>
  <c r="Y364" i="2"/>
  <c r="BP364" i="2" s="1"/>
  <c r="P364" i="2"/>
  <c r="X362" i="2"/>
  <c r="X361" i="2"/>
  <c r="BO360" i="2"/>
  <c r="BM360" i="2"/>
  <c r="Y360" i="2"/>
  <c r="Z360" i="2" s="1"/>
  <c r="P360" i="2"/>
  <c r="BO359" i="2"/>
  <c r="BM359" i="2"/>
  <c r="Y359" i="2"/>
  <c r="Z359" i="2" s="1"/>
  <c r="Z361" i="2" s="1"/>
  <c r="P359" i="2"/>
  <c r="X357" i="2"/>
  <c r="X356" i="2"/>
  <c r="BO355" i="2"/>
  <c r="BM355" i="2"/>
  <c r="Y355" i="2"/>
  <c r="BP355" i="2" s="1"/>
  <c r="P355" i="2"/>
  <c r="BO354" i="2"/>
  <c r="BM354" i="2"/>
  <c r="Y354" i="2"/>
  <c r="BN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Z350" i="2" s="1"/>
  <c r="P350" i="2"/>
  <c r="BO349" i="2"/>
  <c r="BM349" i="2"/>
  <c r="Y349" i="2"/>
  <c r="Y356" i="2" s="1"/>
  <c r="P349" i="2"/>
  <c r="X345" i="2"/>
  <c r="X344" i="2"/>
  <c r="BO343" i="2"/>
  <c r="BM343" i="2"/>
  <c r="Y343" i="2"/>
  <c r="P343" i="2"/>
  <c r="BO342" i="2"/>
  <c r="BM342" i="2"/>
  <c r="Y342" i="2"/>
  <c r="BN342" i="2" s="1"/>
  <c r="P342" i="2"/>
  <c r="BO341" i="2"/>
  <c r="BM341" i="2"/>
  <c r="Y341" i="2"/>
  <c r="BP341" i="2" s="1"/>
  <c r="P341" i="2"/>
  <c r="X338" i="2"/>
  <c r="X337" i="2"/>
  <c r="BO336" i="2"/>
  <c r="BM336" i="2"/>
  <c r="Y336" i="2"/>
  <c r="P336" i="2"/>
  <c r="BP335" i="2"/>
  <c r="BO335" i="2"/>
  <c r="BN335" i="2"/>
  <c r="BM335" i="2"/>
  <c r="Z335" i="2"/>
  <c r="Y335" i="2"/>
  <c r="P335" i="2"/>
  <c r="BO334" i="2"/>
  <c r="BM334" i="2"/>
  <c r="Y334" i="2"/>
  <c r="Z334" i="2" s="1"/>
  <c r="P334" i="2"/>
  <c r="X332" i="2"/>
  <c r="X331" i="2"/>
  <c r="BO330" i="2"/>
  <c r="BM330" i="2"/>
  <c r="Y330" i="2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M327" i="2"/>
  <c r="Y327" i="2"/>
  <c r="P327" i="2"/>
  <c r="X325" i="2"/>
  <c r="X324" i="2"/>
  <c r="BO323" i="2"/>
  <c r="BM323" i="2"/>
  <c r="Y323" i="2"/>
  <c r="BP323" i="2" s="1"/>
  <c r="P323" i="2"/>
  <c r="BO322" i="2"/>
  <c r="BM322" i="2"/>
  <c r="Y322" i="2"/>
  <c r="P322" i="2"/>
  <c r="BO321" i="2"/>
  <c r="BM321" i="2"/>
  <c r="Y321" i="2"/>
  <c r="Y325" i="2" s="1"/>
  <c r="P321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Z315" i="2" s="1"/>
  <c r="P315" i="2"/>
  <c r="BO314" i="2"/>
  <c r="BM314" i="2"/>
  <c r="Y314" i="2"/>
  <c r="P314" i="2"/>
  <c r="X312" i="2"/>
  <c r="X311" i="2"/>
  <c r="BO310" i="2"/>
  <c r="BM310" i="2"/>
  <c r="Y310" i="2"/>
  <c r="BP310" i="2" s="1"/>
  <c r="P310" i="2"/>
  <c r="BO309" i="2"/>
  <c r="BM309" i="2"/>
  <c r="Y309" i="2"/>
  <c r="Z309" i="2" s="1"/>
  <c r="P309" i="2"/>
  <c r="BO308" i="2"/>
  <c r="BM308" i="2"/>
  <c r="Y308" i="2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Z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P298" i="2"/>
  <c r="BO298" i="2"/>
  <c r="BM298" i="2"/>
  <c r="Y298" i="2"/>
  <c r="BN298" i="2" s="1"/>
  <c r="P298" i="2"/>
  <c r="BO297" i="2"/>
  <c r="BM297" i="2"/>
  <c r="Y297" i="2"/>
  <c r="BP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BP291" i="2" s="1"/>
  <c r="P291" i="2"/>
  <c r="X289" i="2"/>
  <c r="X288" i="2"/>
  <c r="BO287" i="2"/>
  <c r="BM287" i="2"/>
  <c r="Y287" i="2"/>
  <c r="P287" i="2"/>
  <c r="BO286" i="2"/>
  <c r="BM286" i="2"/>
  <c r="Y286" i="2"/>
  <c r="P286" i="2"/>
  <c r="X283" i="2"/>
  <c r="X282" i="2"/>
  <c r="BO281" i="2"/>
  <c r="BM281" i="2"/>
  <c r="Y281" i="2"/>
  <c r="Z281" i="2" s="1"/>
  <c r="P281" i="2"/>
  <c r="BO280" i="2"/>
  <c r="BM280" i="2"/>
  <c r="Y280" i="2"/>
  <c r="Z280" i="2" s="1"/>
  <c r="P280" i="2"/>
  <c r="BO279" i="2"/>
  <c r="BM279" i="2"/>
  <c r="Y279" i="2"/>
  <c r="BP279" i="2" s="1"/>
  <c r="P279" i="2"/>
  <c r="X276" i="2"/>
  <c r="X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N271" i="2" s="1"/>
  <c r="P271" i="2"/>
  <c r="X268" i="2"/>
  <c r="X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Y268" i="2" s="1"/>
  <c r="P263" i="2"/>
  <c r="BP262" i="2"/>
  <c r="BO262" i="2"/>
  <c r="BM262" i="2"/>
  <c r="Y262" i="2"/>
  <c r="BN262" i="2" s="1"/>
  <c r="P262" i="2"/>
  <c r="X259" i="2"/>
  <c r="X258" i="2"/>
  <c r="BO257" i="2"/>
  <c r="BM257" i="2"/>
  <c r="Y257" i="2"/>
  <c r="P257" i="2"/>
  <c r="BO256" i="2"/>
  <c r="BM256" i="2"/>
  <c r="Y256" i="2"/>
  <c r="BP256" i="2" s="1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Z249" i="2" s="1"/>
  <c r="Z250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P234" i="2"/>
  <c r="BO233" i="2"/>
  <c r="BM233" i="2"/>
  <c r="Y233" i="2"/>
  <c r="Z233" i="2" s="1"/>
  <c r="P233" i="2"/>
  <c r="X230" i="2"/>
  <c r="X229" i="2"/>
  <c r="BO228" i="2"/>
  <c r="BM228" i="2"/>
  <c r="Y228" i="2"/>
  <c r="P228" i="2"/>
  <c r="BO227" i="2"/>
  <c r="BM227" i="2"/>
  <c r="Y227" i="2"/>
  <c r="P227" i="2"/>
  <c r="X225" i="2"/>
  <c r="X224" i="2"/>
  <c r="BP223" i="2"/>
  <c r="BO223" i="2"/>
  <c r="BN223" i="2"/>
  <c r="BM223" i="2"/>
  <c r="Z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Z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Z215" i="2" s="1"/>
  <c r="P215" i="2"/>
  <c r="X213" i="2"/>
  <c r="X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P206" i="2"/>
  <c r="BO205" i="2"/>
  <c r="BM205" i="2"/>
  <c r="Y205" i="2"/>
  <c r="Z205" i="2" s="1"/>
  <c r="P205" i="2"/>
  <c r="BO204" i="2"/>
  <c r="BM204" i="2"/>
  <c r="Y204" i="2"/>
  <c r="P204" i="2"/>
  <c r="X202" i="2"/>
  <c r="X201" i="2"/>
  <c r="BO200" i="2"/>
  <c r="BM200" i="2"/>
  <c r="Y200" i="2"/>
  <c r="BP200" i="2" s="1"/>
  <c r="P200" i="2"/>
  <c r="BO199" i="2"/>
  <c r="BM199" i="2"/>
  <c r="Y199" i="2"/>
  <c r="Y201" i="2" s="1"/>
  <c r="P199" i="2"/>
  <c r="X197" i="2"/>
  <c r="X196" i="2"/>
  <c r="BO195" i="2"/>
  <c r="BM195" i="2"/>
  <c r="Y195" i="2"/>
  <c r="BP195" i="2" s="1"/>
  <c r="P195" i="2"/>
  <c r="BO194" i="2"/>
  <c r="BM194" i="2"/>
  <c r="Y194" i="2"/>
  <c r="Y197" i="2" s="1"/>
  <c r="P194" i="2"/>
  <c r="X191" i="2"/>
  <c r="X190" i="2"/>
  <c r="BO189" i="2"/>
  <c r="BM189" i="2"/>
  <c r="Y189" i="2"/>
  <c r="Y190" i="2" s="1"/>
  <c r="P189" i="2"/>
  <c r="X187" i="2"/>
  <c r="X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P183" i="2"/>
  <c r="X181" i="2"/>
  <c r="X180" i="2"/>
  <c r="BO179" i="2"/>
  <c r="BM179" i="2"/>
  <c r="Y179" i="2"/>
  <c r="Z179" i="2" s="1"/>
  <c r="P179" i="2"/>
  <c r="BP178" i="2"/>
  <c r="BO178" i="2"/>
  <c r="BN178" i="2"/>
  <c r="BM178" i="2"/>
  <c r="Z178" i="2"/>
  <c r="Y178" i="2"/>
  <c r="P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N171" i="2" s="1"/>
  <c r="P171" i="2"/>
  <c r="BO170" i="2"/>
  <c r="BM170" i="2"/>
  <c r="Y170" i="2"/>
  <c r="P170" i="2"/>
  <c r="BO169" i="2"/>
  <c r="BM169" i="2"/>
  <c r="Y169" i="2"/>
  <c r="BP169" i="2" s="1"/>
  <c r="P169" i="2"/>
  <c r="BO168" i="2"/>
  <c r="BM168" i="2"/>
  <c r="Y168" i="2"/>
  <c r="P168" i="2"/>
  <c r="BO167" i="2"/>
  <c r="BM167" i="2"/>
  <c r="Y167" i="2"/>
  <c r="P167" i="2"/>
  <c r="BO166" i="2"/>
  <c r="BM166" i="2"/>
  <c r="Y166" i="2"/>
  <c r="P166" i="2"/>
  <c r="X164" i="2"/>
  <c r="X163" i="2"/>
  <c r="BO162" i="2"/>
  <c r="BM162" i="2"/>
  <c r="Y162" i="2"/>
  <c r="Z162" i="2" s="1"/>
  <c r="Z163" i="2" s="1"/>
  <c r="P162" i="2"/>
  <c r="X158" i="2"/>
  <c r="X157" i="2"/>
  <c r="BO156" i="2"/>
  <c r="BM156" i="2"/>
  <c r="Y156" i="2"/>
  <c r="Y158" i="2" s="1"/>
  <c r="P156" i="2"/>
  <c r="X154" i="2"/>
  <c r="X153" i="2"/>
  <c r="BO152" i="2"/>
  <c r="BM152" i="2"/>
  <c r="Y152" i="2"/>
  <c r="Z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P149" i="2"/>
  <c r="BP148" i="2"/>
  <c r="BO148" i="2"/>
  <c r="BN148" i="2"/>
  <c r="BM148" i="2"/>
  <c r="Z148" i="2"/>
  <c r="Y148" i="2"/>
  <c r="P148" i="2"/>
  <c r="BO147" i="2"/>
  <c r="BM147" i="2"/>
  <c r="Y147" i="2"/>
  <c r="P147" i="2"/>
  <c r="X145" i="2"/>
  <c r="X144" i="2"/>
  <c r="BO143" i="2"/>
  <c r="BM143" i="2"/>
  <c r="Y143" i="2"/>
  <c r="P143" i="2"/>
  <c r="BO142" i="2"/>
  <c r="BM142" i="2"/>
  <c r="Y142" i="2"/>
  <c r="P142" i="2"/>
  <c r="X139" i="2"/>
  <c r="X138" i="2"/>
  <c r="BO137" i="2"/>
  <c r="BM137" i="2"/>
  <c r="Y137" i="2"/>
  <c r="Z137" i="2" s="1"/>
  <c r="P137" i="2"/>
  <c r="BO136" i="2"/>
  <c r="BM136" i="2"/>
  <c r="Y136" i="2"/>
  <c r="Z136" i="2" s="1"/>
  <c r="Z138" i="2" s="1"/>
  <c r="P136" i="2"/>
  <c r="X134" i="2"/>
  <c r="X133" i="2"/>
  <c r="BO132" i="2"/>
  <c r="BM132" i="2"/>
  <c r="Y132" i="2"/>
  <c r="BP132" i="2" s="1"/>
  <c r="P132" i="2"/>
  <c r="BO131" i="2"/>
  <c r="BM131" i="2"/>
  <c r="Y131" i="2"/>
  <c r="Y133" i="2" s="1"/>
  <c r="P131" i="2"/>
  <c r="X129" i="2"/>
  <c r="X128" i="2"/>
  <c r="BO127" i="2"/>
  <c r="BM127" i="2"/>
  <c r="Y127" i="2"/>
  <c r="BP127" i="2" s="1"/>
  <c r="P127" i="2"/>
  <c r="BO126" i="2"/>
  <c r="BM126" i="2"/>
  <c r="Y126" i="2"/>
  <c r="P126" i="2"/>
  <c r="X123" i="2"/>
  <c r="X122" i="2"/>
  <c r="BO121" i="2"/>
  <c r="BM121" i="2"/>
  <c r="Y121" i="2"/>
  <c r="Y122" i="2" s="1"/>
  <c r="P121" i="2"/>
  <c r="X119" i="2"/>
  <c r="X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P115" i="2"/>
  <c r="BO114" i="2"/>
  <c r="BM114" i="2"/>
  <c r="Y114" i="2"/>
  <c r="Z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P108" i="2"/>
  <c r="BO107" i="2"/>
  <c r="BM107" i="2"/>
  <c r="Y107" i="2"/>
  <c r="Z107" i="2" s="1"/>
  <c r="P107" i="2"/>
  <c r="X105" i="2"/>
  <c r="X104" i="2"/>
  <c r="BO103" i="2"/>
  <c r="BM103" i="2"/>
  <c r="Z103" i="2"/>
  <c r="Y103" i="2"/>
  <c r="BN103" i="2" s="1"/>
  <c r="P103" i="2"/>
  <c r="BO102" i="2"/>
  <c r="BM102" i="2"/>
  <c r="Y102" i="2"/>
  <c r="P102" i="2"/>
  <c r="BO101" i="2"/>
  <c r="BM101" i="2"/>
  <c r="Y101" i="2"/>
  <c r="BN101" i="2" s="1"/>
  <c r="P101" i="2"/>
  <c r="BO100" i="2"/>
  <c r="BM100" i="2"/>
  <c r="Y100" i="2"/>
  <c r="BP100" i="2" s="1"/>
  <c r="P100" i="2"/>
  <c r="BO99" i="2"/>
  <c r="BM99" i="2"/>
  <c r="Y99" i="2"/>
  <c r="P99" i="2"/>
  <c r="X96" i="2"/>
  <c r="X95" i="2"/>
  <c r="BO94" i="2"/>
  <c r="BM94" i="2"/>
  <c r="Y94" i="2"/>
  <c r="Z94" i="2" s="1"/>
  <c r="P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BP91" i="2" s="1"/>
  <c r="P91" i="2"/>
  <c r="X89" i="2"/>
  <c r="X88" i="2"/>
  <c r="BO87" i="2"/>
  <c r="BM87" i="2"/>
  <c r="Y87" i="2"/>
  <c r="P87" i="2"/>
  <c r="BO86" i="2"/>
  <c r="BM86" i="2"/>
  <c r="Y86" i="2"/>
  <c r="P86" i="2"/>
  <c r="BO85" i="2"/>
  <c r="BM85" i="2"/>
  <c r="Y85" i="2"/>
  <c r="Z85" i="2" s="1"/>
  <c r="P85" i="2"/>
  <c r="BO84" i="2"/>
  <c r="BM84" i="2"/>
  <c r="Y84" i="2"/>
  <c r="Z84" i="2" s="1"/>
  <c r="P84" i="2"/>
  <c r="X81" i="2"/>
  <c r="X80" i="2"/>
  <c r="BO79" i="2"/>
  <c r="BM79" i="2"/>
  <c r="Y79" i="2"/>
  <c r="P79" i="2"/>
  <c r="BO78" i="2"/>
  <c r="BM78" i="2"/>
  <c r="Y78" i="2"/>
  <c r="BP78" i="2" s="1"/>
  <c r="P78" i="2"/>
  <c r="X76" i="2"/>
  <c r="X75" i="2"/>
  <c r="BO74" i="2"/>
  <c r="BM74" i="2"/>
  <c r="Y74" i="2"/>
  <c r="Z74" i="2" s="1"/>
  <c r="P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P67" i="2"/>
  <c r="BO66" i="2"/>
  <c r="BM66" i="2"/>
  <c r="Y66" i="2"/>
  <c r="Y68" i="2" s="1"/>
  <c r="P66" i="2"/>
  <c r="X64" i="2"/>
  <c r="X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Y64" i="2" s="1"/>
  <c r="P60" i="2"/>
  <c r="X58" i="2"/>
  <c r="X57" i="2"/>
  <c r="BP56" i="2"/>
  <c r="BO56" i="2"/>
  <c r="BN56" i="2"/>
  <c r="BM56" i="2"/>
  <c r="Z56" i="2"/>
  <c r="Y56" i="2"/>
  <c r="P56" i="2"/>
  <c r="BO55" i="2"/>
  <c r="BM55" i="2"/>
  <c r="Y55" i="2"/>
  <c r="BN55" i="2" s="1"/>
  <c r="P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X48" i="2"/>
  <c r="X47" i="2"/>
  <c r="BO46" i="2"/>
  <c r="BM46" i="2"/>
  <c r="Y46" i="2"/>
  <c r="BN46" i="2" s="1"/>
  <c r="P46" i="2"/>
  <c r="X44" i="2"/>
  <c r="X43" i="2"/>
  <c r="BO42" i="2"/>
  <c r="BM42" i="2"/>
  <c r="Y42" i="2"/>
  <c r="BP42" i="2" s="1"/>
  <c r="P42" i="2"/>
  <c r="BO41" i="2"/>
  <c r="BM41" i="2"/>
  <c r="Y41" i="2"/>
  <c r="P41" i="2"/>
  <c r="BO40" i="2"/>
  <c r="BM40" i="2"/>
  <c r="Y40" i="2"/>
  <c r="Z40" i="2" s="1"/>
  <c r="P40" i="2"/>
  <c r="X36" i="2"/>
  <c r="X35" i="2"/>
  <c r="BO34" i="2"/>
  <c r="BM34" i="2"/>
  <c r="Y34" i="2"/>
  <c r="BN34" i="2" s="1"/>
  <c r="P34" i="2"/>
  <c r="X32" i="2"/>
  <c r="X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Y31" i="2" s="1"/>
  <c r="P27" i="2"/>
  <c r="X25" i="2"/>
  <c r="X24" i="2"/>
  <c r="BO23" i="2"/>
  <c r="BM23" i="2"/>
  <c r="Y23" i="2"/>
  <c r="Z23" i="2" s="1"/>
  <c r="P23" i="2"/>
  <c r="BO22" i="2"/>
  <c r="BM22" i="2"/>
  <c r="Y22" i="2"/>
  <c r="P22" i="2"/>
  <c r="H10" i="2"/>
  <c r="A10" i="2"/>
  <c r="H9" i="2"/>
  <c r="A9" i="2"/>
  <c r="F9" i="2" s="1"/>
  <c r="D7" i="2"/>
  <c r="Q6" i="2"/>
  <c r="P2" i="2"/>
  <c r="Z30" i="2" l="1"/>
  <c r="Z91" i="2"/>
  <c r="BN91" i="2"/>
  <c r="F503" i="2"/>
  <c r="Z121" i="2"/>
  <c r="Z122" i="2" s="1"/>
  <c r="Z169" i="2"/>
  <c r="BP208" i="2"/>
  <c r="Z237" i="2"/>
  <c r="Z279" i="2"/>
  <c r="BN279" i="2"/>
  <c r="Z310" i="2"/>
  <c r="BN310" i="2"/>
  <c r="Z316" i="2"/>
  <c r="Z355" i="2"/>
  <c r="BN355" i="2"/>
  <c r="Z365" i="2"/>
  <c r="BN365" i="2"/>
  <c r="Y366" i="2"/>
  <c r="Y367" i="2"/>
  <c r="Z396" i="2"/>
  <c r="BN396" i="2"/>
  <c r="BP434" i="2"/>
  <c r="Z472" i="2"/>
  <c r="Y191" i="2"/>
  <c r="B503" i="2"/>
  <c r="Z55" i="2"/>
  <c r="Z100" i="2"/>
  <c r="BN100" i="2"/>
  <c r="Z110" i="2"/>
  <c r="BN110" i="2"/>
  <c r="Y123" i="2"/>
  <c r="Y139" i="2"/>
  <c r="Z156" i="2"/>
  <c r="Z157" i="2" s="1"/>
  <c r="BN156" i="2"/>
  <c r="BP156" i="2"/>
  <c r="Y157" i="2"/>
  <c r="Y181" i="2"/>
  <c r="BP175" i="2"/>
  <c r="Z189" i="2"/>
  <c r="Z190" i="2" s="1"/>
  <c r="Z211" i="2"/>
  <c r="BN211" i="2"/>
  <c r="Z241" i="2"/>
  <c r="BN241" i="2"/>
  <c r="Z256" i="2"/>
  <c r="BN256" i="2"/>
  <c r="Z271" i="2"/>
  <c r="Z292" i="2"/>
  <c r="BN292" i="2"/>
  <c r="Z323" i="2"/>
  <c r="BN323" i="2"/>
  <c r="Z380" i="2"/>
  <c r="Z392" i="2"/>
  <c r="BN392" i="2"/>
  <c r="Z393" i="2"/>
  <c r="BN393" i="2"/>
  <c r="Z405" i="2"/>
  <c r="BN405" i="2"/>
  <c r="Z431" i="2"/>
  <c r="BN431" i="2"/>
  <c r="Z438" i="2"/>
  <c r="Z452" i="2"/>
  <c r="BN452" i="2"/>
  <c r="Z484" i="2"/>
  <c r="BN23" i="2"/>
  <c r="BP23" i="2"/>
  <c r="Y24" i="2"/>
  <c r="Y25" i="2"/>
  <c r="Y32" i="2"/>
  <c r="BN40" i="2"/>
  <c r="BP40" i="2"/>
  <c r="Y43" i="2"/>
  <c r="BN42" i="2"/>
  <c r="Y44" i="2"/>
  <c r="BN51" i="2"/>
  <c r="BP51" i="2"/>
  <c r="BN61" i="2"/>
  <c r="BP61" i="2"/>
  <c r="BN73" i="2"/>
  <c r="BP73" i="2"/>
  <c r="BN94" i="2"/>
  <c r="BP94" i="2"/>
  <c r="BN99" i="2"/>
  <c r="BP102" i="2"/>
  <c r="BN102" i="2"/>
  <c r="Z102" i="2"/>
  <c r="G503" i="2"/>
  <c r="Z126" i="2"/>
  <c r="BP142" i="2"/>
  <c r="Y145" i="2"/>
  <c r="Y144" i="2"/>
  <c r="BP143" i="2"/>
  <c r="BN143" i="2"/>
  <c r="Z143" i="2"/>
  <c r="BN162" i="2"/>
  <c r="BP162" i="2"/>
  <c r="Y163" i="2"/>
  <c r="Y164" i="2"/>
  <c r="BP167" i="2"/>
  <c r="BN167" i="2"/>
  <c r="Z167" i="2"/>
  <c r="BN177" i="2"/>
  <c r="BN185" i="2"/>
  <c r="BP185" i="2"/>
  <c r="BN200" i="2"/>
  <c r="BN210" i="2"/>
  <c r="BN215" i="2"/>
  <c r="BP215" i="2"/>
  <c r="BN218" i="2"/>
  <c r="BP218" i="2"/>
  <c r="BP221" i="2"/>
  <c r="BN221" i="2"/>
  <c r="Z221" i="2"/>
  <c r="BP234" i="2"/>
  <c r="BN234" i="2"/>
  <c r="Z234" i="2"/>
  <c r="BP257" i="2"/>
  <c r="Z257" i="2"/>
  <c r="BN273" i="2"/>
  <c r="BP273" i="2"/>
  <c r="BN398" i="2"/>
  <c r="BP398" i="2"/>
  <c r="BP400" i="2"/>
  <c r="BN400" i="2"/>
  <c r="Z400" i="2"/>
  <c r="BP416" i="2"/>
  <c r="BN416" i="2"/>
  <c r="Z416" i="2"/>
  <c r="X503" i="2"/>
  <c r="Y440" i="2"/>
  <c r="BN428" i="2"/>
  <c r="Z428" i="2"/>
  <c r="BP429" i="2"/>
  <c r="BN429" i="2"/>
  <c r="Z429" i="2"/>
  <c r="BP436" i="2"/>
  <c r="BN436" i="2"/>
  <c r="Z436" i="2"/>
  <c r="BP451" i="2"/>
  <c r="BN451" i="2"/>
  <c r="Z451" i="2"/>
  <c r="Y478" i="2"/>
  <c r="Y477" i="2"/>
  <c r="BP476" i="2"/>
  <c r="BN476" i="2"/>
  <c r="Z476" i="2"/>
  <c r="Z477" i="2" s="1"/>
  <c r="BN480" i="2"/>
  <c r="Y482" i="2"/>
  <c r="Y481" i="2"/>
  <c r="BP480" i="2"/>
  <c r="J9" i="2"/>
  <c r="F10" i="2"/>
  <c r="X493" i="2"/>
  <c r="Z28" i="2"/>
  <c r="BN28" i="2"/>
  <c r="BP30" i="2"/>
  <c r="Z53" i="2"/>
  <c r="BN53" i="2"/>
  <c r="BP55" i="2"/>
  <c r="Z66" i="2"/>
  <c r="BN66" i="2"/>
  <c r="BP66" i="2"/>
  <c r="Y69" i="2"/>
  <c r="Z78" i="2"/>
  <c r="BN78" i="2"/>
  <c r="Y81" i="2"/>
  <c r="BN84" i="2"/>
  <c r="BP84" i="2"/>
  <c r="BP86" i="2"/>
  <c r="BN86" i="2"/>
  <c r="Z86" i="2"/>
  <c r="Z88" i="2" s="1"/>
  <c r="BN107" i="2"/>
  <c r="BP107" i="2"/>
  <c r="Y112" i="2"/>
  <c r="BN109" i="2"/>
  <c r="BN114" i="2"/>
  <c r="BP114" i="2"/>
  <c r="BN117" i="2"/>
  <c r="BP117" i="2"/>
  <c r="Y129" i="2"/>
  <c r="BN132" i="2"/>
  <c r="BN149" i="2"/>
  <c r="Z149" i="2"/>
  <c r="BP170" i="2"/>
  <c r="BN170" i="2"/>
  <c r="Z170" i="2"/>
  <c r="Y196" i="2"/>
  <c r="Z194" i="2"/>
  <c r="BP227" i="2"/>
  <c r="Y230" i="2"/>
  <c r="Y229" i="2"/>
  <c r="BN228" i="2"/>
  <c r="BP228" i="2"/>
  <c r="BN239" i="2"/>
  <c r="BP239" i="2"/>
  <c r="BP253" i="2"/>
  <c r="BN253" i="2"/>
  <c r="Z253" i="2"/>
  <c r="BP254" i="2"/>
  <c r="BN254" i="2"/>
  <c r="Z254" i="2"/>
  <c r="BP264" i="2"/>
  <c r="BN264" i="2"/>
  <c r="Z264" i="2"/>
  <c r="BP265" i="2"/>
  <c r="BN265" i="2"/>
  <c r="Z265" i="2"/>
  <c r="Z282" i="2"/>
  <c r="BN281" i="2"/>
  <c r="BP281" i="2"/>
  <c r="Y282" i="2"/>
  <c r="Y283" i="2"/>
  <c r="BP286" i="2"/>
  <c r="Y289" i="2"/>
  <c r="Y288" i="2"/>
  <c r="BP287" i="2"/>
  <c r="BN287" i="2"/>
  <c r="Z287" i="2"/>
  <c r="BP300" i="2"/>
  <c r="BN300" i="2"/>
  <c r="Z300" i="2"/>
  <c r="BP301" i="2"/>
  <c r="BN301" i="2"/>
  <c r="Z301" i="2"/>
  <c r="BP322" i="2"/>
  <c r="Z322" i="2"/>
  <c r="BP336" i="2"/>
  <c r="BN336" i="2"/>
  <c r="Z336" i="2"/>
  <c r="Z337" i="2" s="1"/>
  <c r="BN374" i="2"/>
  <c r="BN137" i="2"/>
  <c r="BP137" i="2"/>
  <c r="Y138" i="2"/>
  <c r="Y154" i="2"/>
  <c r="BN151" i="2"/>
  <c r="BP151" i="2"/>
  <c r="BN172" i="2"/>
  <c r="BP172" i="2"/>
  <c r="BN205" i="2"/>
  <c r="BP205" i="2"/>
  <c r="BN220" i="2"/>
  <c r="Y242" i="2"/>
  <c r="K503" i="2"/>
  <c r="BN236" i="2"/>
  <c r="BP236" i="2"/>
  <c r="BN249" i="2"/>
  <c r="BP249" i="2"/>
  <c r="Y250" i="2"/>
  <c r="Y294" i="2"/>
  <c r="BN308" i="2"/>
  <c r="BP308" i="2"/>
  <c r="BP327" i="2"/>
  <c r="Y332" i="2"/>
  <c r="Y331" i="2"/>
  <c r="BN328" i="2"/>
  <c r="BP328" i="2"/>
  <c r="BP330" i="2"/>
  <c r="BN330" i="2"/>
  <c r="Z330" i="2"/>
  <c r="BP343" i="2"/>
  <c r="BN343" i="2"/>
  <c r="Z343" i="2"/>
  <c r="BN350" i="2"/>
  <c r="BP350" i="2"/>
  <c r="BP351" i="2"/>
  <c r="BN351" i="2"/>
  <c r="Z351" i="2"/>
  <c r="BN353" i="2"/>
  <c r="BP353" i="2"/>
  <c r="BN386" i="2"/>
  <c r="BP386" i="2"/>
  <c r="Y387" i="2"/>
  <c r="BP395" i="2"/>
  <c r="BN395" i="2"/>
  <c r="Z395" i="2"/>
  <c r="BP432" i="2"/>
  <c r="BN432" i="2"/>
  <c r="Z432" i="2"/>
  <c r="BP439" i="2"/>
  <c r="BN439" i="2"/>
  <c r="Z439" i="2"/>
  <c r="Z444" i="2"/>
  <c r="BP444" i="2"/>
  <c r="Y455" i="2"/>
  <c r="Z454" i="2"/>
  <c r="BP454" i="2"/>
  <c r="Y459" i="2"/>
  <c r="Y460" i="2"/>
  <c r="Z458" i="2"/>
  <c r="Z459" i="2" s="1"/>
  <c r="BP466" i="2"/>
  <c r="BN466" i="2"/>
  <c r="Z466" i="2"/>
  <c r="Z486" i="2"/>
  <c r="BN305" i="2"/>
  <c r="BP305" i="2"/>
  <c r="Y311" i="2"/>
  <c r="Y319" i="2"/>
  <c r="BN315" i="2"/>
  <c r="BP315" i="2"/>
  <c r="Y344" i="2"/>
  <c r="BN360" i="2"/>
  <c r="BP360" i="2"/>
  <c r="Y361" i="2"/>
  <c r="Y362" i="2"/>
  <c r="Y382" i="2"/>
  <c r="Y401" i="2"/>
  <c r="Y402" i="2"/>
  <c r="Y407" i="2"/>
  <c r="BN422" i="2"/>
  <c r="BP422" i="2"/>
  <c r="Y423" i="2"/>
  <c r="BN437" i="2"/>
  <c r="BP437" i="2"/>
  <c r="Y503" i="2"/>
  <c r="BN465" i="2"/>
  <c r="BN471" i="2"/>
  <c r="BP471" i="2"/>
  <c r="Y492" i="2"/>
  <c r="BN485" i="2"/>
  <c r="BP485" i="2"/>
  <c r="Y486" i="2"/>
  <c r="Y487" i="2"/>
  <c r="BP173" i="2"/>
  <c r="BN173" i="2"/>
  <c r="Z173" i="2"/>
  <c r="Z206" i="2"/>
  <c r="BP206" i="2"/>
  <c r="BN206" i="2"/>
  <c r="Z216" i="2"/>
  <c r="BP216" i="2"/>
  <c r="Y225" i="2"/>
  <c r="BN216" i="2"/>
  <c r="Y224" i="2"/>
  <c r="BP183" i="2"/>
  <c r="Z183" i="2"/>
  <c r="Y186" i="2"/>
  <c r="Y187" i="2"/>
  <c r="BN183" i="2"/>
  <c r="BP168" i="2"/>
  <c r="BN168" i="2"/>
  <c r="Z168" i="2"/>
  <c r="BN115" i="2"/>
  <c r="Y119" i="2"/>
  <c r="BP115" i="2"/>
  <c r="Y118" i="2"/>
  <c r="BN87" i="2"/>
  <c r="BP87" i="2"/>
  <c r="Z87" i="2"/>
  <c r="Z115" i="2"/>
  <c r="Y212" i="2"/>
  <c r="Y57" i="2"/>
  <c r="BN54" i="2"/>
  <c r="Z54" i="2"/>
  <c r="BP54" i="2"/>
  <c r="BN29" i="2"/>
  <c r="Z29" i="2"/>
  <c r="BP29" i="2"/>
  <c r="X497" i="2"/>
  <c r="X494" i="2"/>
  <c r="BN71" i="2"/>
  <c r="Y76" i="2"/>
  <c r="BP71" i="2"/>
  <c r="Y75" i="2"/>
  <c r="X495" i="2"/>
  <c r="Z374" i="2"/>
  <c r="BN434" i="2"/>
  <c r="BN444" i="2"/>
  <c r="BN454" i="2"/>
  <c r="H503" i="2"/>
  <c r="Y134" i="2"/>
  <c r="Y202" i="2"/>
  <c r="Y243" i="2"/>
  <c r="Y293" i="2"/>
  <c r="Y312" i="2"/>
  <c r="Z321" i="2"/>
  <c r="Z324" i="2" s="1"/>
  <c r="Y345" i="2"/>
  <c r="Y357" i="2"/>
  <c r="Z379" i="2"/>
  <c r="Z381" i="2" s="1"/>
  <c r="Y406" i="2"/>
  <c r="Z414" i="2"/>
  <c r="Z418" i="2" s="1"/>
  <c r="Z471" i="2"/>
  <c r="Z473" i="2" s="1"/>
  <c r="I503" i="2"/>
  <c r="BN237" i="2"/>
  <c r="BN316" i="2"/>
  <c r="J503" i="2"/>
  <c r="BN306" i="2"/>
  <c r="Z22" i="2"/>
  <c r="Z24" i="2" s="1"/>
  <c r="L503" i="2"/>
  <c r="Z131" i="2"/>
  <c r="Z354" i="2"/>
  <c r="Y95" i="2"/>
  <c r="Z204" i="2"/>
  <c r="Y111" i="2"/>
  <c r="BN199" i="2"/>
  <c r="BN240" i="2"/>
  <c r="Y302" i="2"/>
  <c r="BN309" i="2"/>
  <c r="BP321" i="2"/>
  <c r="Z329" i="2"/>
  <c r="Z364" i="2"/>
  <c r="Z366" i="2" s="1"/>
  <c r="BP379" i="2"/>
  <c r="Z399" i="2"/>
  <c r="BP414" i="2"/>
  <c r="Z435" i="2"/>
  <c r="Z445" i="2"/>
  <c r="M503" i="2"/>
  <c r="Z41" i="2"/>
  <c r="Z199" i="2"/>
  <c r="Z274" i="2"/>
  <c r="BN379" i="2"/>
  <c r="Z46" i="2"/>
  <c r="Z47" i="2" s="1"/>
  <c r="Z245" i="2"/>
  <c r="Z246" i="2" s="1"/>
  <c r="O503" i="2"/>
  <c r="Z240" i="2"/>
  <c r="Z171" i="2"/>
  <c r="BN257" i="2"/>
  <c r="BP374" i="2"/>
  <c r="Z52" i="2"/>
  <c r="Z62" i="2"/>
  <c r="Y58" i="2"/>
  <c r="BP92" i="2"/>
  <c r="BN136" i="2"/>
  <c r="BP194" i="2"/>
  <c r="Y441" i="2"/>
  <c r="Z450" i="2"/>
  <c r="BN464" i="2"/>
  <c r="BN27" i="2"/>
  <c r="BP41" i="2"/>
  <c r="BN52" i="2"/>
  <c r="BN62" i="2"/>
  <c r="Z72" i="2"/>
  <c r="Z75" i="2" s="1"/>
  <c r="BP74" i="2"/>
  <c r="BN85" i="2"/>
  <c r="Y88" i="2"/>
  <c r="Y96" i="2"/>
  <c r="BP108" i="2"/>
  <c r="Z116" i="2"/>
  <c r="BP131" i="2"/>
  <c r="BN142" i="2"/>
  <c r="BN152" i="2"/>
  <c r="BN166" i="2"/>
  <c r="Z174" i="2"/>
  <c r="BP176" i="2"/>
  <c r="Z184" i="2"/>
  <c r="BP199" i="2"/>
  <c r="Z207" i="2"/>
  <c r="BP209" i="2"/>
  <c r="Z217" i="2"/>
  <c r="BP219" i="2"/>
  <c r="Z227" i="2"/>
  <c r="Z238" i="2"/>
  <c r="Y251" i="2"/>
  <c r="BP263" i="2"/>
  <c r="Z272" i="2"/>
  <c r="BP274" i="2"/>
  <c r="BN286" i="2"/>
  <c r="Z297" i="2"/>
  <c r="BP299" i="2"/>
  <c r="Z307" i="2"/>
  <c r="BP309" i="2"/>
  <c r="Z317" i="2"/>
  <c r="BN329" i="2"/>
  <c r="BP342" i="2"/>
  <c r="Z352" i="2"/>
  <c r="BP354" i="2"/>
  <c r="BN364" i="2"/>
  <c r="Z375" i="2"/>
  <c r="Y388" i="2"/>
  <c r="BN399" i="2"/>
  <c r="Z410" i="2"/>
  <c r="Z411" i="2" s="1"/>
  <c r="Y424" i="2"/>
  <c r="BN435" i="2"/>
  <c r="BN445" i="2"/>
  <c r="Y456" i="2"/>
  <c r="Z467" i="2"/>
  <c r="P503" i="2"/>
  <c r="Z108" i="2"/>
  <c r="Z176" i="2"/>
  <c r="BN321" i="2"/>
  <c r="Z342" i="2"/>
  <c r="Z79" i="2"/>
  <c r="Z80" i="2" s="1"/>
  <c r="BN92" i="2"/>
  <c r="Z27" i="2"/>
  <c r="Z142" i="2"/>
  <c r="Z144" i="2" s="1"/>
  <c r="BN263" i="2"/>
  <c r="Z286" i="2"/>
  <c r="Z288" i="2" s="1"/>
  <c r="Z147" i="2"/>
  <c r="BP149" i="2"/>
  <c r="BN204" i="2"/>
  <c r="Z222" i="2"/>
  <c r="BN349" i="2"/>
  <c r="Z430" i="2"/>
  <c r="BP359" i="2"/>
  <c r="BN430" i="2"/>
  <c r="BP464" i="2"/>
  <c r="Q503" i="2"/>
  <c r="BN280" i="2"/>
  <c r="BP171" i="2"/>
  <c r="BN179" i="2"/>
  <c r="BP204" i="2"/>
  <c r="Y213" i="2"/>
  <c r="BN222" i="2"/>
  <c r="BP235" i="2"/>
  <c r="BP245" i="2"/>
  <c r="BN255" i="2"/>
  <c r="Y258" i="2"/>
  <c r="BN266" i="2"/>
  <c r="BP280" i="2"/>
  <c r="BN291" i="2"/>
  <c r="Y303" i="2"/>
  <c r="BP314" i="2"/>
  <c r="BN334" i="2"/>
  <c r="Y337" i="2"/>
  <c r="BP349" i="2"/>
  <c r="BN369" i="2"/>
  <c r="BN394" i="2"/>
  <c r="BN404" i="2"/>
  <c r="BP417" i="2"/>
  <c r="BN450" i="2"/>
  <c r="BP85" i="2"/>
  <c r="BN116" i="2"/>
  <c r="Z127" i="2"/>
  <c r="Z128" i="2" s="1"/>
  <c r="Z150" i="2"/>
  <c r="BP152" i="2"/>
  <c r="BP166" i="2"/>
  <c r="BN174" i="2"/>
  <c r="BN184" i="2"/>
  <c r="Z195" i="2"/>
  <c r="Z196" i="2" s="1"/>
  <c r="BN207" i="2"/>
  <c r="BN217" i="2"/>
  <c r="BN227" i="2"/>
  <c r="BN238" i="2"/>
  <c r="BN272" i="2"/>
  <c r="Y275" i="2"/>
  <c r="BN297" i="2"/>
  <c r="BN307" i="2"/>
  <c r="BN317" i="2"/>
  <c r="Z327" i="2"/>
  <c r="BN352" i="2"/>
  <c r="BN375" i="2"/>
  <c r="Z385" i="2"/>
  <c r="Z387" i="2" s="1"/>
  <c r="Z397" i="2"/>
  <c r="BN410" i="2"/>
  <c r="Z433" i="2"/>
  <c r="Z443" i="2"/>
  <c r="Z453" i="2"/>
  <c r="BN467" i="2"/>
  <c r="Z490" i="2"/>
  <c r="Z491" i="2" s="1"/>
  <c r="R503" i="2"/>
  <c r="Y324" i="2"/>
  <c r="BN126" i="2"/>
  <c r="BN194" i="2"/>
  <c r="BP271" i="2"/>
  <c r="BP306" i="2"/>
  <c r="BN74" i="2"/>
  <c r="BN108" i="2"/>
  <c r="BN209" i="2"/>
  <c r="BN219" i="2"/>
  <c r="BN22" i="2"/>
  <c r="BP34" i="2"/>
  <c r="BN79" i="2"/>
  <c r="Z101" i="2"/>
  <c r="BP103" i="2"/>
  <c r="BN235" i="2"/>
  <c r="BN245" i="2"/>
  <c r="Z255" i="2"/>
  <c r="Z291" i="2"/>
  <c r="Z293" i="2" s="1"/>
  <c r="BN359" i="2"/>
  <c r="Z369" i="2"/>
  <c r="Z370" i="2" s="1"/>
  <c r="Z394" i="2"/>
  <c r="Z404" i="2"/>
  <c r="BN417" i="2"/>
  <c r="BP22" i="2"/>
  <c r="BP46" i="2"/>
  <c r="BN67" i="2"/>
  <c r="Y104" i="2"/>
  <c r="BP136" i="2"/>
  <c r="BN147" i="2"/>
  <c r="BP27" i="2"/>
  <c r="Z60" i="2"/>
  <c r="BN72" i="2"/>
  <c r="Z93" i="2"/>
  <c r="Z95" i="2" s="1"/>
  <c r="Z42" i="2"/>
  <c r="Y47" i="2"/>
  <c r="BP67" i="2"/>
  <c r="Y80" i="2"/>
  <c r="BP101" i="2"/>
  <c r="Z109" i="2"/>
  <c r="BN121" i="2"/>
  <c r="Z132" i="2"/>
  <c r="BN169" i="2"/>
  <c r="Y246" i="2"/>
  <c r="BP266" i="2"/>
  <c r="BN322" i="2"/>
  <c r="BP334" i="2"/>
  <c r="BP369" i="2"/>
  <c r="BN380" i="2"/>
  <c r="BN415" i="2"/>
  <c r="Y418" i="2"/>
  <c r="BN438" i="2"/>
  <c r="BN472" i="2"/>
  <c r="BN484" i="2"/>
  <c r="S503" i="2"/>
  <c r="Z34" i="2"/>
  <c r="Z35" i="2" s="1"/>
  <c r="Z263" i="2"/>
  <c r="Y35" i="2"/>
  <c r="BP79" i="2"/>
  <c r="Y89" i="2"/>
  <c r="Z99" i="2"/>
  <c r="BP147" i="2"/>
  <c r="Z177" i="2"/>
  <c r="BP179" i="2"/>
  <c r="BN189" i="2"/>
  <c r="Z200" i="2"/>
  <c r="Z210" i="2"/>
  <c r="Z220" i="2"/>
  <c r="BN233" i="2"/>
  <c r="Y36" i="2"/>
  <c r="BN60" i="2"/>
  <c r="Y63" i="2"/>
  <c r="BN93" i="2"/>
  <c r="Y105" i="2"/>
  <c r="BN127" i="2"/>
  <c r="BN150" i="2"/>
  <c r="Y153" i="2"/>
  <c r="BN195" i="2"/>
  <c r="Y259" i="2"/>
  <c r="BN327" i="2"/>
  <c r="Y338" i="2"/>
  <c r="BN385" i="2"/>
  <c r="BN397" i="2"/>
  <c r="BP410" i="2"/>
  <c r="BN433" i="2"/>
  <c r="BN443" i="2"/>
  <c r="Y446" i="2"/>
  <c r="BN453" i="2"/>
  <c r="Z465" i="2"/>
  <c r="BN490" i="2"/>
  <c r="T503" i="2"/>
  <c r="BP121" i="2"/>
  <c r="Y180" i="2"/>
  <c r="BP189" i="2"/>
  <c r="BP233" i="2"/>
  <c r="Y267" i="2"/>
  <c r="Y276" i="2"/>
  <c r="Y370" i="2"/>
  <c r="BN458" i="2"/>
  <c r="U503" i="2"/>
  <c r="Y48" i="2"/>
  <c r="BP60" i="2"/>
  <c r="Y318" i="2"/>
  <c r="Y376" i="2"/>
  <c r="Y411" i="2"/>
  <c r="Y419" i="2"/>
  <c r="BP443" i="2"/>
  <c r="Y468" i="2"/>
  <c r="BP490" i="2"/>
  <c r="C503" i="2"/>
  <c r="V503" i="2"/>
  <c r="Z299" i="2"/>
  <c r="Z464" i="2"/>
  <c r="Z468" i="2" s="1"/>
  <c r="BN131" i="2"/>
  <c r="Z166" i="2"/>
  <c r="Z67" i="2"/>
  <c r="Z68" i="2" s="1"/>
  <c r="BP126" i="2"/>
  <c r="BN314" i="2"/>
  <c r="BP99" i="2"/>
  <c r="Z117" i="2"/>
  <c r="Z175" i="2"/>
  <c r="Z185" i="2"/>
  <c r="Z208" i="2"/>
  <c r="Z218" i="2"/>
  <c r="Z228" i="2"/>
  <c r="Z239" i="2"/>
  <c r="Z262" i="2"/>
  <c r="Z273" i="2"/>
  <c r="Z298" i="2"/>
  <c r="Z308" i="2"/>
  <c r="Z341" i="2"/>
  <c r="Z353" i="2"/>
  <c r="BP428" i="2"/>
  <c r="BP458" i="2"/>
  <c r="Y473" i="2"/>
  <c r="Z480" i="2"/>
  <c r="Z481" i="2" s="1"/>
  <c r="D503" i="2"/>
  <c r="W503" i="2"/>
  <c r="Y491" i="2"/>
  <c r="E503" i="2"/>
  <c r="Z314" i="2"/>
  <c r="Z349" i="2"/>
  <c r="BN41" i="2"/>
  <c r="Y128" i="2"/>
  <c r="BN341" i="2"/>
  <c r="Y469" i="2"/>
  <c r="Z344" i="2" l="1"/>
  <c r="Z104" i="2"/>
  <c r="Z406" i="2"/>
  <c r="Z31" i="2"/>
  <c r="Z118" i="2"/>
  <c r="Z63" i="2"/>
  <c r="Z401" i="2"/>
  <c r="Z258" i="2"/>
  <c r="Z331" i="2"/>
  <c r="Z57" i="2"/>
  <c r="Z180" i="2"/>
  <c r="Y495" i="2"/>
  <c r="Z111" i="2"/>
  <c r="Z311" i="2"/>
  <c r="Z242" i="2"/>
  <c r="Z455" i="2"/>
  <c r="Z43" i="2"/>
  <c r="Z376" i="2"/>
  <c r="Z224" i="2"/>
  <c r="Y493" i="2"/>
  <c r="Y497" i="2"/>
  <c r="Z275" i="2"/>
  <c r="Z201" i="2"/>
  <c r="Z212" i="2"/>
  <c r="X496" i="2"/>
  <c r="Z133" i="2"/>
  <c r="Z267" i="2"/>
  <c r="Z302" i="2"/>
  <c r="Z440" i="2"/>
  <c r="Z446" i="2"/>
  <c r="Z186" i="2"/>
  <c r="Y494" i="2"/>
  <c r="Y496" i="2" s="1"/>
  <c r="Z153" i="2"/>
  <c r="Z318" i="2"/>
  <c r="Z229" i="2"/>
  <c r="Z356" i="2"/>
  <c r="Z498" i="2" l="1"/>
</calcChain>
</file>

<file path=xl/sharedStrings.xml><?xml version="1.0" encoding="utf-8"?>
<sst xmlns="http://schemas.openxmlformats.org/spreadsheetml/2006/main" count="3633" uniqueCount="774">
  <si>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</si>
  <si>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</si>
  <si>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</si>
  <si>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</si>
  <si>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</si>
  <si>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</si>
  <si>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</si>
  <si>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</si>
  <si>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</si>
  <si>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</si>
  <si>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</si>
  <si>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</si>
  <si>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</si>
  <si>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</si>
  <si>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</si>
  <si>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</si>
  <si>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</si>
  <si>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</si>
  <si>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</si>
  <si>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</si>
  <si>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</si>
  <si>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</si>
  <si>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</si>
  <si>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</si>
  <si>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</si>
  <si>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</si>
  <si>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</si>
  <si>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</si>
  <si>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</si>
  <si>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</si>
  <si>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</si>
  <si>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</si>
  <si>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</si>
  <si>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</si>
  <si>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</si>
  <si>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</si>
  <si>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</si>
  <si>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</si>
  <si>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</si>
  <si>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</si>
  <si>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</si>
  <si>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</si>
  <si>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</si>
  <si>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</si>
  <si>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</si>
  <si>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</si>
  <si>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</si>
  <si>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</si>
  <si>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</si>
  <si>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</si>
  <si>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</si>
  <si>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</si>
  <si>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</si>
  <si>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</si>
  <si>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</si>
  <si>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</si>
  <si>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</si>
  <si>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</si>
  <si>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</si>
  <si>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</si>
  <si>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</si>
  <si>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</si>
  <si>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</si>
  <si>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</si>
  <si>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</si>
  <si>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</si>
  <si>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</si>
  <si>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19.01.2026</t>
  </si>
  <si>
    <t>14.01.2026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</si>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</sst>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6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70" t="s">
        <v>26</v>
      </c>
      <c r="E1" s="870"/>
      <c r="F1" s="870"/>
      <c r="G1" s="14" t="s">
        <v>66</v>
      </c>
      <c r="H1" s="870" t="s">
        <v>46</v>
      </c>
      <c r="I1" s="870"/>
      <c r="J1" s="870"/>
      <c r="K1" s="870"/>
      <c r="L1" s="870"/>
      <c r="M1" s="870"/>
      <c r="N1" s="870"/>
      <c r="O1" s="870"/>
      <c r="P1" s="870"/>
      <c r="Q1" s="870"/>
      <c r="R1" s="871" t="s">
        <v>67</v>
      </c>
      <c r="S1" s="872"/>
      <c r="T1" s="87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7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73"/>
      <c r="R2" s="873"/>
      <c r="S2" s="873"/>
      <c r="T2" s="873"/>
      <c r="U2" s="873"/>
      <c r="V2" s="873"/>
      <c r="W2" s="87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73"/>
      <c r="Q3" s="873"/>
      <c r="R3" s="873"/>
      <c r="S3" s="873"/>
      <c r="T3" s="873"/>
      <c r="U3" s="873"/>
      <c r="V3" s="873"/>
      <c r="W3" s="87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52" t="s">
        <v>8</v>
      </c>
      <c r="B5" s="852"/>
      <c r="C5" s="852"/>
      <c r="D5" s="874"/>
      <c r="E5" s="874"/>
      <c r="F5" s="875" t="s">
        <v>14</v>
      </c>
      <c r="G5" s="875"/>
      <c r="H5" s="874"/>
      <c r="I5" s="874"/>
      <c r="J5" s="874"/>
      <c r="K5" s="874"/>
      <c r="L5" s="874"/>
      <c r="M5" s="874"/>
      <c r="N5" s="72"/>
      <c r="P5" s="27" t="s">
        <v>4</v>
      </c>
      <c r="Q5" s="876">
        <v>46040</v>
      </c>
      <c r="R5" s="876"/>
      <c r="T5" s="877" t="s">
        <v>3</v>
      </c>
      <c r="U5" s="878"/>
      <c r="V5" s="879" t="s">
        <v>760</v>
      </c>
      <c r="W5" s="880"/>
      <c r="AB5" s="59"/>
      <c r="AC5" s="59"/>
      <c r="AD5" s="59"/>
      <c r="AE5" s="59"/>
    </row>
    <row r="6" spans="1:32" s="17" customFormat="1" ht="24" customHeight="1" x14ac:dyDescent="0.2">
      <c r="A6" s="852" t="s">
        <v>1</v>
      </c>
      <c r="B6" s="852"/>
      <c r="C6" s="852"/>
      <c r="D6" s="853" t="s">
        <v>75</v>
      </c>
      <c r="E6" s="853"/>
      <c r="F6" s="853"/>
      <c r="G6" s="853"/>
      <c r="H6" s="853"/>
      <c r="I6" s="853"/>
      <c r="J6" s="853"/>
      <c r="K6" s="853"/>
      <c r="L6" s="853"/>
      <c r="M6" s="853"/>
      <c r="N6" s="73"/>
      <c r="P6" s="27" t="s">
        <v>27</v>
      </c>
      <c r="Q6" s="854" t="str">
        <f>IF(Q5=0," ",CHOOSE(WEEKDAY(Q5,2),"Понедельник","Вторник","Среда","Четверг","Пятница","Суббота","Воскресенье"))</f>
        <v>Воскресенье</v>
      </c>
      <c r="R6" s="854"/>
      <c r="T6" s="855" t="s">
        <v>5</v>
      </c>
      <c r="U6" s="856"/>
      <c r="V6" s="857" t="s">
        <v>69</v>
      </c>
      <c r="W6" s="85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63" t="str">
        <f>IFERROR(VLOOKUP(DeliveryAddress,Table,3,0),1)</f>
        <v>1</v>
      </c>
      <c r="E7" s="864"/>
      <c r="F7" s="864"/>
      <c r="G7" s="864"/>
      <c r="H7" s="864"/>
      <c r="I7" s="864"/>
      <c r="J7" s="864"/>
      <c r="K7" s="864"/>
      <c r="L7" s="864"/>
      <c r="M7" s="865"/>
      <c r="N7" s="74"/>
      <c r="P7" s="29"/>
      <c r="Q7" s="48"/>
      <c r="R7" s="48"/>
      <c r="T7" s="855"/>
      <c r="U7" s="856"/>
      <c r="V7" s="859"/>
      <c r="W7" s="860"/>
      <c r="AB7" s="59"/>
      <c r="AC7" s="59"/>
      <c r="AD7" s="59"/>
      <c r="AE7" s="59"/>
    </row>
    <row r="8" spans="1:32" s="17" customFormat="1" ht="25.5" customHeight="1" x14ac:dyDescent="0.2">
      <c r="A8" s="866" t="s">
        <v>57</v>
      </c>
      <c r="B8" s="866"/>
      <c r="C8" s="866"/>
      <c r="D8" s="867" t="s">
        <v>76</v>
      </c>
      <c r="E8" s="867"/>
      <c r="F8" s="867"/>
      <c r="G8" s="867"/>
      <c r="H8" s="867"/>
      <c r="I8" s="867"/>
      <c r="J8" s="867"/>
      <c r="K8" s="867"/>
      <c r="L8" s="867"/>
      <c r="M8" s="867"/>
      <c r="N8" s="75"/>
      <c r="P8" s="27" t="s">
        <v>11</v>
      </c>
      <c r="Q8" s="850">
        <v>0.375</v>
      </c>
      <c r="R8" s="850"/>
      <c r="T8" s="855"/>
      <c r="U8" s="856"/>
      <c r="V8" s="859"/>
      <c r="W8" s="860"/>
      <c r="AB8" s="59"/>
      <c r="AC8" s="59"/>
      <c r="AD8" s="59"/>
      <c r="AE8" s="59"/>
    </row>
    <row r="9" spans="1:32" s="17" customFormat="1" ht="39.950000000000003" customHeight="1" x14ac:dyDescent="0.2">
      <c r="A9" s="84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42"/>
      <c r="C9" s="842"/>
      <c r="D9" s="843" t="s">
        <v>45</v>
      </c>
      <c r="E9" s="844"/>
      <c r="F9" s="84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42"/>
      <c r="H9" s="868" t="str">
        <f>IF(AND($A$9="Тип доверенности/получателя при получении в адресе перегруза:",$D$9="Разовая доверенность"),"Введите ФИО","")</f>
        <v/>
      </c>
      <c r="I9" s="868"/>
      <c r="J9" s="8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68"/>
      <c r="L9" s="868"/>
      <c r="M9" s="868"/>
      <c r="N9" s="70"/>
      <c r="P9" s="31" t="s">
        <v>15</v>
      </c>
      <c r="Q9" s="869"/>
      <c r="R9" s="869"/>
      <c r="T9" s="855"/>
      <c r="U9" s="856"/>
      <c r="V9" s="861"/>
      <c r="W9" s="86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4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42"/>
      <c r="C10" s="842"/>
      <c r="D10" s="843"/>
      <c r="E10" s="844"/>
      <c r="F10" s="84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42"/>
      <c r="H10" s="845" t="str">
        <f>IFERROR(VLOOKUP($D$10,Proxy,2,FALSE),"")</f>
        <v/>
      </c>
      <c r="I10" s="845"/>
      <c r="J10" s="845"/>
      <c r="K10" s="845"/>
      <c r="L10" s="845"/>
      <c r="M10" s="845"/>
      <c r="N10" s="71"/>
      <c r="P10" s="31" t="s">
        <v>32</v>
      </c>
      <c r="Q10" s="846"/>
      <c r="R10" s="846"/>
      <c r="U10" s="29" t="s">
        <v>12</v>
      </c>
      <c r="V10" s="847" t="s">
        <v>70</v>
      </c>
      <c r="W10" s="84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49"/>
      <c r="R11" s="849"/>
      <c r="U11" s="29" t="s">
        <v>28</v>
      </c>
      <c r="V11" s="828" t="s">
        <v>54</v>
      </c>
      <c r="W11" s="82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27" t="s">
        <v>71</v>
      </c>
      <c r="B12" s="827"/>
      <c r="C12" s="827"/>
      <c r="D12" s="827"/>
      <c r="E12" s="827"/>
      <c r="F12" s="827"/>
      <c r="G12" s="827"/>
      <c r="H12" s="827"/>
      <c r="I12" s="827"/>
      <c r="J12" s="827"/>
      <c r="K12" s="827"/>
      <c r="L12" s="827"/>
      <c r="M12" s="827"/>
      <c r="N12" s="76"/>
      <c r="P12" s="27" t="s">
        <v>30</v>
      </c>
      <c r="Q12" s="850"/>
      <c r="R12" s="850"/>
      <c r="S12" s="28"/>
      <c r="T12"/>
      <c r="U12" s="29" t="s">
        <v>45</v>
      </c>
      <c r="V12" s="851"/>
      <c r="W12" s="851"/>
      <c r="X12"/>
      <c r="AB12" s="59"/>
      <c r="AC12" s="59"/>
      <c r="AD12" s="59"/>
      <c r="AE12" s="59"/>
    </row>
    <row r="13" spans="1:32" s="17" customFormat="1" ht="23.25" customHeight="1" x14ac:dyDescent="0.2">
      <c r="A13" s="827" t="s">
        <v>72</v>
      </c>
      <c r="B13" s="827"/>
      <c r="C13" s="827"/>
      <c r="D13" s="827"/>
      <c r="E13" s="827"/>
      <c r="F13" s="827"/>
      <c r="G13" s="827"/>
      <c r="H13" s="827"/>
      <c r="I13" s="827"/>
      <c r="J13" s="827"/>
      <c r="K13" s="827"/>
      <c r="L13" s="827"/>
      <c r="M13" s="827"/>
      <c r="N13" s="76"/>
      <c r="O13" s="31"/>
      <c r="P13" s="31" t="s">
        <v>31</v>
      </c>
      <c r="Q13" s="828"/>
      <c r="R13" s="82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27" t="s">
        <v>73</v>
      </c>
      <c r="B14" s="827"/>
      <c r="C14" s="827"/>
      <c r="D14" s="827"/>
      <c r="E14" s="827"/>
      <c r="F14" s="827"/>
      <c r="G14" s="827"/>
      <c r="H14" s="827"/>
      <c r="I14" s="827"/>
      <c r="J14" s="827"/>
      <c r="K14" s="827"/>
      <c r="L14" s="827"/>
      <c r="M14" s="82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29" t="s">
        <v>74</v>
      </c>
      <c r="B15" s="829"/>
      <c r="C15" s="829"/>
      <c r="D15" s="829"/>
      <c r="E15" s="829"/>
      <c r="F15" s="829"/>
      <c r="G15" s="829"/>
      <c r="H15" s="829"/>
      <c r="I15" s="829"/>
      <c r="J15" s="829"/>
      <c r="K15" s="829"/>
      <c r="L15" s="829"/>
      <c r="M15" s="829"/>
      <c r="N15" s="77"/>
      <c r="O15"/>
      <c r="P15" s="830" t="s">
        <v>60</v>
      </c>
      <c r="Q15" s="830"/>
      <c r="R15" s="830"/>
      <c r="S15" s="830"/>
      <c r="T15" s="83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31"/>
      <c r="Q16" s="831"/>
      <c r="R16" s="831"/>
      <c r="S16" s="831"/>
      <c r="T16" s="83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13" t="s">
        <v>58</v>
      </c>
      <c r="B17" s="813" t="s">
        <v>48</v>
      </c>
      <c r="C17" s="834" t="s">
        <v>47</v>
      </c>
      <c r="D17" s="836" t="s">
        <v>49</v>
      </c>
      <c r="E17" s="837"/>
      <c r="F17" s="813" t="s">
        <v>21</v>
      </c>
      <c r="G17" s="813" t="s">
        <v>24</v>
      </c>
      <c r="H17" s="813" t="s">
        <v>22</v>
      </c>
      <c r="I17" s="813" t="s">
        <v>23</v>
      </c>
      <c r="J17" s="813" t="s">
        <v>16</v>
      </c>
      <c r="K17" s="813" t="s">
        <v>65</v>
      </c>
      <c r="L17" s="813" t="s">
        <v>63</v>
      </c>
      <c r="M17" s="813" t="s">
        <v>2</v>
      </c>
      <c r="N17" s="813" t="s">
        <v>62</v>
      </c>
      <c r="O17" s="813" t="s">
        <v>25</v>
      </c>
      <c r="P17" s="836" t="s">
        <v>17</v>
      </c>
      <c r="Q17" s="840"/>
      <c r="R17" s="840"/>
      <c r="S17" s="840"/>
      <c r="T17" s="837"/>
      <c r="U17" s="832" t="s">
        <v>55</v>
      </c>
      <c r="V17" s="833"/>
      <c r="W17" s="813" t="s">
        <v>6</v>
      </c>
      <c r="X17" s="813" t="s">
        <v>41</v>
      </c>
      <c r="Y17" s="815" t="s">
        <v>53</v>
      </c>
      <c r="Z17" s="817" t="s">
        <v>18</v>
      </c>
      <c r="AA17" s="819" t="s">
        <v>59</v>
      </c>
      <c r="AB17" s="819" t="s">
        <v>19</v>
      </c>
      <c r="AC17" s="819" t="s">
        <v>64</v>
      </c>
      <c r="AD17" s="821" t="s">
        <v>56</v>
      </c>
      <c r="AE17" s="822"/>
      <c r="AF17" s="823"/>
      <c r="AG17" s="82"/>
      <c r="BD17" s="81" t="s">
        <v>61</v>
      </c>
    </row>
    <row r="18" spans="1:68" ht="14.25" customHeight="1" x14ac:dyDescent="0.2">
      <c r="A18" s="814"/>
      <c r="B18" s="814"/>
      <c r="C18" s="835"/>
      <c r="D18" s="838"/>
      <c r="E18" s="839"/>
      <c r="F18" s="814"/>
      <c r="G18" s="814"/>
      <c r="H18" s="814"/>
      <c r="I18" s="814"/>
      <c r="J18" s="814"/>
      <c r="K18" s="814"/>
      <c r="L18" s="814"/>
      <c r="M18" s="814"/>
      <c r="N18" s="814"/>
      <c r="O18" s="814"/>
      <c r="P18" s="838"/>
      <c r="Q18" s="841"/>
      <c r="R18" s="841"/>
      <c r="S18" s="841"/>
      <c r="T18" s="839"/>
      <c r="U18" s="83" t="s">
        <v>44</v>
      </c>
      <c r="V18" s="83" t="s">
        <v>43</v>
      </c>
      <c r="W18" s="814"/>
      <c r="X18" s="814"/>
      <c r="Y18" s="816"/>
      <c r="Z18" s="818"/>
      <c r="AA18" s="820"/>
      <c r="AB18" s="820"/>
      <c r="AC18" s="820"/>
      <c r="AD18" s="824"/>
      <c r="AE18" s="825"/>
      <c r="AF18" s="826"/>
      <c r="AG18" s="82"/>
      <c r="BD18" s="81"/>
    </row>
    <row r="19" spans="1:68" ht="27.75" customHeight="1" x14ac:dyDescent="0.2">
      <c r="A19" s="588" t="s">
        <v>77</v>
      </c>
      <c r="B19" s="588"/>
      <c r="C19" s="588"/>
      <c r="D19" s="588"/>
      <c r="E19" s="588"/>
      <c r="F19" s="588"/>
      <c r="G19" s="588"/>
      <c r="H19" s="588"/>
      <c r="I19" s="588"/>
      <c r="J19" s="588"/>
      <c r="K19" s="588"/>
      <c r="L19" s="588"/>
      <c r="M19" s="588"/>
      <c r="N19" s="588"/>
      <c r="O19" s="588"/>
      <c r="P19" s="588"/>
      <c r="Q19" s="588"/>
      <c r="R19" s="588"/>
      <c r="S19" s="588"/>
      <c r="T19" s="588"/>
      <c r="U19" s="588"/>
      <c r="V19" s="588"/>
      <c r="W19" s="588"/>
      <c r="X19" s="588"/>
      <c r="Y19" s="588"/>
      <c r="Z19" s="588"/>
      <c r="AA19" s="54"/>
      <c r="AB19" s="54"/>
      <c r="AC19" s="54"/>
    </row>
    <row r="20" spans="1:68" ht="16.5" customHeight="1" x14ac:dyDescent="0.25">
      <c r="A20" s="578" t="s">
        <v>77</v>
      </c>
      <c r="B20" s="578"/>
      <c r="C20" s="578"/>
      <c r="D20" s="578"/>
      <c r="E20" s="578"/>
      <c r="F20" s="578"/>
      <c r="G20" s="578"/>
      <c r="H20" s="578"/>
      <c r="I20" s="578"/>
      <c r="J20" s="578"/>
      <c r="K20" s="578"/>
      <c r="L20" s="578"/>
      <c r="M20" s="578"/>
      <c r="N20" s="578"/>
      <c r="O20" s="578"/>
      <c r="P20" s="578"/>
      <c r="Q20" s="578"/>
      <c r="R20" s="578"/>
      <c r="S20" s="578"/>
      <c r="T20" s="578"/>
      <c r="U20" s="578"/>
      <c r="V20" s="578"/>
      <c r="W20" s="578"/>
      <c r="X20" s="578"/>
      <c r="Y20" s="578"/>
      <c r="Z20" s="578"/>
      <c r="AA20" s="65"/>
      <c r="AB20" s="65"/>
      <c r="AC20" s="79"/>
    </row>
    <row r="21" spans="1:68" ht="14.25" customHeight="1" x14ac:dyDescent="0.25">
      <c r="A21" s="562" t="s">
        <v>78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563">
        <v>4680115887510</v>
      </c>
      <c r="E22" s="56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81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5"/>
      <c r="R22" s="565"/>
      <c r="S22" s="565"/>
      <c r="T22" s="56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563">
        <v>4680115886643</v>
      </c>
      <c r="E23" s="56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8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5"/>
      <c r="R23" s="565"/>
      <c r="S23" s="565"/>
      <c r="T23" s="566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570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1"/>
      <c r="P24" s="567" t="s">
        <v>40</v>
      </c>
      <c r="Q24" s="568"/>
      <c r="R24" s="568"/>
      <c r="S24" s="568"/>
      <c r="T24" s="568"/>
      <c r="U24" s="568"/>
      <c r="V24" s="56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1"/>
      <c r="P25" s="567" t="s">
        <v>40</v>
      </c>
      <c r="Q25" s="568"/>
      <c r="R25" s="568"/>
      <c r="S25" s="568"/>
      <c r="T25" s="568"/>
      <c r="U25" s="568"/>
      <c r="V25" s="56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562" t="s">
        <v>88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563">
        <v>4680115885912</v>
      </c>
      <c r="E27" s="56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8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5"/>
      <c r="R27" s="565"/>
      <c r="S27" s="565"/>
      <c r="T27" s="56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563">
        <v>4607091388237</v>
      </c>
      <c r="E28" s="56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8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5"/>
      <c r="R28" s="565"/>
      <c r="S28" s="565"/>
      <c r="T28" s="56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563">
        <v>4680115887350</v>
      </c>
      <c r="E29" s="56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8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5"/>
      <c r="R29" s="565"/>
      <c r="S29" s="565"/>
      <c r="T29" s="56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563">
        <v>4680115885905</v>
      </c>
      <c r="E30" s="56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8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5"/>
      <c r="R30" s="565"/>
      <c r="S30" s="565"/>
      <c r="T30" s="56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570"/>
      <c r="B31" s="570"/>
      <c r="C31" s="570"/>
      <c r="D31" s="570"/>
      <c r="E31" s="570"/>
      <c r="F31" s="570"/>
      <c r="G31" s="570"/>
      <c r="H31" s="570"/>
      <c r="I31" s="570"/>
      <c r="J31" s="570"/>
      <c r="K31" s="570"/>
      <c r="L31" s="570"/>
      <c r="M31" s="570"/>
      <c r="N31" s="570"/>
      <c r="O31" s="571"/>
      <c r="P31" s="567" t="s">
        <v>40</v>
      </c>
      <c r="Q31" s="568"/>
      <c r="R31" s="568"/>
      <c r="S31" s="568"/>
      <c r="T31" s="568"/>
      <c r="U31" s="568"/>
      <c r="V31" s="569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570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1"/>
      <c r="P32" s="567" t="s">
        <v>40</v>
      </c>
      <c r="Q32" s="568"/>
      <c r="R32" s="568"/>
      <c r="S32" s="568"/>
      <c r="T32" s="568"/>
      <c r="U32" s="568"/>
      <c r="V32" s="569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562" t="s">
        <v>102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563">
        <v>4607091388503</v>
      </c>
      <c r="E34" s="563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80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65"/>
      <c r="R34" s="565"/>
      <c r="S34" s="565"/>
      <c r="T34" s="566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570"/>
      <c r="B35" s="570"/>
      <c r="C35" s="570"/>
      <c r="D35" s="570"/>
      <c r="E35" s="570"/>
      <c r="F35" s="570"/>
      <c r="G35" s="570"/>
      <c r="H35" s="570"/>
      <c r="I35" s="570"/>
      <c r="J35" s="570"/>
      <c r="K35" s="570"/>
      <c r="L35" s="570"/>
      <c r="M35" s="570"/>
      <c r="N35" s="570"/>
      <c r="O35" s="571"/>
      <c r="P35" s="567" t="s">
        <v>40</v>
      </c>
      <c r="Q35" s="568"/>
      <c r="R35" s="568"/>
      <c r="S35" s="568"/>
      <c r="T35" s="568"/>
      <c r="U35" s="568"/>
      <c r="V35" s="569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570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1"/>
      <c r="P36" s="567" t="s">
        <v>40</v>
      </c>
      <c r="Q36" s="568"/>
      <c r="R36" s="568"/>
      <c r="S36" s="568"/>
      <c r="T36" s="568"/>
      <c r="U36" s="568"/>
      <c r="V36" s="569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588" t="s">
        <v>108</v>
      </c>
      <c r="B37" s="588"/>
      <c r="C37" s="588"/>
      <c r="D37" s="588"/>
      <c r="E37" s="588"/>
      <c r="F37" s="588"/>
      <c r="G37" s="588"/>
      <c r="H37" s="58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Y37" s="588"/>
      <c r="Z37" s="588"/>
      <c r="AA37" s="54"/>
      <c r="AB37" s="54"/>
      <c r="AC37" s="54"/>
    </row>
    <row r="38" spans="1:68" ht="16.5" customHeight="1" x14ac:dyDescent="0.25">
      <c r="A38" s="578" t="s">
        <v>109</v>
      </c>
      <c r="B38" s="578"/>
      <c r="C38" s="578"/>
      <c r="D38" s="578"/>
      <c r="E38" s="578"/>
      <c r="F38" s="578"/>
      <c r="G38" s="578"/>
      <c r="H38" s="578"/>
      <c r="I38" s="578"/>
      <c r="J38" s="578"/>
      <c r="K38" s="578"/>
      <c r="L38" s="578"/>
      <c r="M38" s="578"/>
      <c r="N38" s="578"/>
      <c r="O38" s="578"/>
      <c r="P38" s="578"/>
      <c r="Q38" s="578"/>
      <c r="R38" s="578"/>
      <c r="S38" s="578"/>
      <c r="T38" s="578"/>
      <c r="U38" s="578"/>
      <c r="V38" s="578"/>
      <c r="W38" s="578"/>
      <c r="X38" s="578"/>
      <c r="Y38" s="578"/>
      <c r="Z38" s="578"/>
      <c r="AA38" s="65"/>
      <c r="AB38" s="65"/>
      <c r="AC38" s="79"/>
    </row>
    <row r="39" spans="1:68" ht="14.25" customHeight="1" x14ac:dyDescent="0.25">
      <c r="A39" s="562" t="s">
        <v>110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563">
        <v>4607091385670</v>
      </c>
      <c r="E40" s="563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80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65"/>
      <c r="R40" s="565"/>
      <c r="S40" s="565"/>
      <c r="T40" s="566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563">
        <v>4607091385687</v>
      </c>
      <c r="E41" s="563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121</v>
      </c>
      <c r="M41" s="38" t="s">
        <v>92</v>
      </c>
      <c r="N41" s="38"/>
      <c r="O41" s="37">
        <v>50</v>
      </c>
      <c r="P41" s="8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65"/>
      <c r="R41" s="565"/>
      <c r="S41" s="565"/>
      <c r="T41" s="56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117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4301011565</v>
      </c>
      <c r="D42" s="563">
        <v>4680115882539</v>
      </c>
      <c r="E42" s="563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45</v>
      </c>
      <c r="M42" s="38" t="s">
        <v>92</v>
      </c>
      <c r="N42" s="38"/>
      <c r="O42" s="37">
        <v>50</v>
      </c>
      <c r="P42" s="80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5"/>
      <c r="R42" s="565"/>
      <c r="S42" s="565"/>
      <c r="T42" s="56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570"/>
      <c r="B43" s="570"/>
      <c r="C43" s="570"/>
      <c r="D43" s="570"/>
      <c r="E43" s="570"/>
      <c r="F43" s="570"/>
      <c r="G43" s="570"/>
      <c r="H43" s="570"/>
      <c r="I43" s="570"/>
      <c r="J43" s="570"/>
      <c r="K43" s="570"/>
      <c r="L43" s="570"/>
      <c r="M43" s="570"/>
      <c r="N43" s="570"/>
      <c r="O43" s="571"/>
      <c r="P43" s="567" t="s">
        <v>40</v>
      </c>
      <c r="Q43" s="568"/>
      <c r="R43" s="568"/>
      <c r="S43" s="568"/>
      <c r="T43" s="568"/>
      <c r="U43" s="568"/>
      <c r="V43" s="569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570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1"/>
      <c r="P44" s="567" t="s">
        <v>40</v>
      </c>
      <c r="Q44" s="568"/>
      <c r="R44" s="568"/>
      <c r="S44" s="568"/>
      <c r="T44" s="568"/>
      <c r="U44" s="568"/>
      <c r="V44" s="569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562" t="s">
        <v>88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563">
        <v>4680115884915</v>
      </c>
      <c r="E46" s="563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80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65"/>
      <c r="R46" s="565"/>
      <c r="S46" s="565"/>
      <c r="T46" s="566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570"/>
      <c r="B47" s="570"/>
      <c r="C47" s="570"/>
      <c r="D47" s="570"/>
      <c r="E47" s="570"/>
      <c r="F47" s="570"/>
      <c r="G47" s="570"/>
      <c r="H47" s="570"/>
      <c r="I47" s="570"/>
      <c r="J47" s="570"/>
      <c r="K47" s="570"/>
      <c r="L47" s="570"/>
      <c r="M47" s="570"/>
      <c r="N47" s="570"/>
      <c r="O47" s="571"/>
      <c r="P47" s="567" t="s">
        <v>40</v>
      </c>
      <c r="Q47" s="568"/>
      <c r="R47" s="568"/>
      <c r="S47" s="568"/>
      <c r="T47" s="568"/>
      <c r="U47" s="568"/>
      <c r="V47" s="569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570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1"/>
      <c r="P48" s="567" t="s">
        <v>40</v>
      </c>
      <c r="Q48" s="568"/>
      <c r="R48" s="568"/>
      <c r="S48" s="568"/>
      <c r="T48" s="568"/>
      <c r="U48" s="568"/>
      <c r="V48" s="569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578" t="s">
        <v>127</v>
      </c>
      <c r="B49" s="578"/>
      <c r="C49" s="578"/>
      <c r="D49" s="578"/>
      <c r="E49" s="578"/>
      <c r="F49" s="578"/>
      <c r="G49" s="578"/>
      <c r="H49" s="578"/>
      <c r="I49" s="578"/>
      <c r="J49" s="578"/>
      <c r="K49" s="578"/>
      <c r="L49" s="578"/>
      <c r="M49" s="578"/>
      <c r="N49" s="578"/>
      <c r="O49" s="578"/>
      <c r="P49" s="578"/>
      <c r="Q49" s="578"/>
      <c r="R49" s="578"/>
      <c r="S49" s="578"/>
      <c r="T49" s="578"/>
      <c r="U49" s="578"/>
      <c r="V49" s="578"/>
      <c r="W49" s="578"/>
      <c r="X49" s="578"/>
      <c r="Y49" s="578"/>
      <c r="Z49" s="578"/>
      <c r="AA49" s="65"/>
      <c r="AB49" s="65"/>
      <c r="AC49" s="79"/>
    </row>
    <row r="50" spans="1:68" ht="14.25" customHeight="1" x14ac:dyDescent="0.25">
      <c r="A50" s="562" t="s">
        <v>110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563">
        <v>4680115885882</v>
      </c>
      <c r="E51" s="563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92</v>
      </c>
      <c r="N51" s="38"/>
      <c r="O51" s="37">
        <v>50</v>
      </c>
      <c r="P51" s="79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65"/>
      <c r="R51" s="565"/>
      <c r="S51" s="565"/>
      <c r="T51" s="566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563">
        <v>4680115881426</v>
      </c>
      <c r="E52" s="563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45</v>
      </c>
      <c r="M52" s="38" t="s">
        <v>114</v>
      </c>
      <c r="N52" s="38"/>
      <c r="O52" s="37">
        <v>50</v>
      </c>
      <c r="P52" s="79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65"/>
      <c r="R52" s="565"/>
      <c r="S52" s="565"/>
      <c r="T52" s="56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563">
        <v>4680115880283</v>
      </c>
      <c r="E53" s="563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80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65"/>
      <c r="R53" s="565"/>
      <c r="S53" s="565"/>
      <c r="T53" s="56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137</v>
      </c>
      <c r="B54" s="63" t="s">
        <v>138</v>
      </c>
      <c r="C54" s="36">
        <v>4301011806</v>
      </c>
      <c r="D54" s="563">
        <v>4680115881525</v>
      </c>
      <c r="E54" s="563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45</v>
      </c>
      <c r="M54" s="38" t="s">
        <v>114</v>
      </c>
      <c r="N54" s="38"/>
      <c r="O54" s="37">
        <v>50</v>
      </c>
      <c r="P54" s="80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65"/>
      <c r="R54" s="565"/>
      <c r="S54" s="565"/>
      <c r="T54" s="56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563">
        <v>4680115885899</v>
      </c>
      <c r="E55" s="563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79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65"/>
      <c r="R55" s="565"/>
      <c r="S55" s="565"/>
      <c r="T55" s="56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143</v>
      </c>
      <c r="B56" s="63" t="s">
        <v>144</v>
      </c>
      <c r="C56" s="36">
        <v>4301011801</v>
      </c>
      <c r="D56" s="563">
        <v>4680115881419</v>
      </c>
      <c r="E56" s="563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45</v>
      </c>
      <c r="M56" s="38" t="s">
        <v>114</v>
      </c>
      <c r="N56" s="38"/>
      <c r="O56" s="37">
        <v>50</v>
      </c>
      <c r="P56" s="79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65"/>
      <c r="R56" s="565"/>
      <c r="S56" s="565"/>
      <c r="T56" s="56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570"/>
      <c r="B57" s="570"/>
      <c r="C57" s="570"/>
      <c r="D57" s="570"/>
      <c r="E57" s="570"/>
      <c r="F57" s="570"/>
      <c r="G57" s="570"/>
      <c r="H57" s="570"/>
      <c r="I57" s="570"/>
      <c r="J57" s="570"/>
      <c r="K57" s="570"/>
      <c r="L57" s="570"/>
      <c r="M57" s="570"/>
      <c r="N57" s="570"/>
      <c r="O57" s="571"/>
      <c r="P57" s="567" t="s">
        <v>40</v>
      </c>
      <c r="Q57" s="568"/>
      <c r="R57" s="568"/>
      <c r="S57" s="568"/>
      <c r="T57" s="568"/>
      <c r="U57" s="568"/>
      <c r="V57" s="569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570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1"/>
      <c r="P58" s="567" t="s">
        <v>40</v>
      </c>
      <c r="Q58" s="568"/>
      <c r="R58" s="568"/>
      <c r="S58" s="568"/>
      <c r="T58" s="568"/>
      <c r="U58" s="568"/>
      <c r="V58" s="569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562" t="s">
        <v>146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563">
        <v>4680115881440</v>
      </c>
      <c r="E60" s="56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65"/>
      <c r="R60" s="565"/>
      <c r="S60" s="565"/>
      <c r="T60" s="566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563">
        <v>4680115885950</v>
      </c>
      <c r="E61" s="563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7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65"/>
      <c r="R61" s="565"/>
      <c r="S61" s="565"/>
      <c r="T61" s="56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563">
        <v>4680115881433</v>
      </c>
      <c r="E62" s="563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79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65"/>
      <c r="R62" s="565"/>
      <c r="S62" s="565"/>
      <c r="T62" s="56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570"/>
      <c r="B63" s="570"/>
      <c r="C63" s="570"/>
      <c r="D63" s="570"/>
      <c r="E63" s="570"/>
      <c r="F63" s="570"/>
      <c r="G63" s="570"/>
      <c r="H63" s="570"/>
      <c r="I63" s="570"/>
      <c r="J63" s="570"/>
      <c r="K63" s="570"/>
      <c r="L63" s="570"/>
      <c r="M63" s="570"/>
      <c r="N63" s="570"/>
      <c r="O63" s="571"/>
      <c r="P63" s="567" t="s">
        <v>40</v>
      </c>
      <c r="Q63" s="568"/>
      <c r="R63" s="568"/>
      <c r="S63" s="568"/>
      <c r="T63" s="568"/>
      <c r="U63" s="568"/>
      <c r="V63" s="569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570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1"/>
      <c r="P64" s="567" t="s">
        <v>40</v>
      </c>
      <c r="Q64" s="568"/>
      <c r="R64" s="568"/>
      <c r="S64" s="568"/>
      <c r="T64" s="568"/>
      <c r="U64" s="568"/>
      <c r="V64" s="569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562" t="s">
        <v>78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4301031243</v>
      </c>
      <c r="D66" s="563">
        <v>4680115885073</v>
      </c>
      <c r="E66" s="563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7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65"/>
      <c r="R66" s="565"/>
      <c r="S66" s="565"/>
      <c r="T66" s="566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157</v>
      </c>
      <c r="B67" s="63" t="s">
        <v>158</v>
      </c>
      <c r="C67" s="36">
        <v>4301031316</v>
      </c>
      <c r="D67" s="563">
        <v>4680115885097</v>
      </c>
      <c r="E67" s="56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78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65"/>
      <c r="R67" s="565"/>
      <c r="S67" s="565"/>
      <c r="T67" s="56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570"/>
      <c r="B68" s="570"/>
      <c r="C68" s="570"/>
      <c r="D68" s="570"/>
      <c r="E68" s="570"/>
      <c r="F68" s="570"/>
      <c r="G68" s="570"/>
      <c r="H68" s="570"/>
      <c r="I68" s="570"/>
      <c r="J68" s="570"/>
      <c r="K68" s="570"/>
      <c r="L68" s="570"/>
      <c r="M68" s="570"/>
      <c r="N68" s="570"/>
      <c r="O68" s="571"/>
      <c r="P68" s="567" t="s">
        <v>40</v>
      </c>
      <c r="Q68" s="568"/>
      <c r="R68" s="568"/>
      <c r="S68" s="568"/>
      <c r="T68" s="568"/>
      <c r="U68" s="568"/>
      <c r="V68" s="569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570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1"/>
      <c r="P69" s="567" t="s">
        <v>40</v>
      </c>
      <c r="Q69" s="568"/>
      <c r="R69" s="568"/>
      <c r="S69" s="568"/>
      <c r="T69" s="568"/>
      <c r="U69" s="568"/>
      <c r="V69" s="569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customHeight="1" x14ac:dyDescent="0.25">
      <c r="A70" s="562" t="s">
        <v>88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66"/>
      <c r="AB70" s="66"/>
      <c r="AC70" s="80"/>
    </row>
    <row r="71" spans="1:68" ht="27" customHeight="1" x14ac:dyDescent="0.25">
      <c r="A71" s="63" t="s">
        <v>160</v>
      </c>
      <c r="B71" s="63" t="s">
        <v>161</v>
      </c>
      <c r="C71" s="36">
        <v>4301051846</v>
      </c>
      <c r="D71" s="563">
        <v>4680115885769</v>
      </c>
      <c r="E71" s="563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115</v>
      </c>
      <c r="L71" s="37" t="s">
        <v>45</v>
      </c>
      <c r="M71" s="38" t="s">
        <v>92</v>
      </c>
      <c r="N71" s="38"/>
      <c r="O71" s="37">
        <v>45</v>
      </c>
      <c r="P71" s="79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65"/>
      <c r="R71" s="565"/>
      <c r="S71" s="565"/>
      <c r="T71" s="566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162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163</v>
      </c>
      <c r="B72" s="63" t="s">
        <v>164</v>
      </c>
      <c r="C72" s="36">
        <v>4301051837</v>
      </c>
      <c r="D72" s="563">
        <v>4680115884311</v>
      </c>
      <c r="E72" s="56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40</v>
      </c>
      <c r="P72" s="79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65"/>
      <c r="R72" s="565"/>
      <c r="S72" s="565"/>
      <c r="T72" s="566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166</v>
      </c>
      <c r="B73" s="63" t="s">
        <v>167</v>
      </c>
      <c r="C73" s="36">
        <v>4301051844</v>
      </c>
      <c r="D73" s="563">
        <v>4680115885929</v>
      </c>
      <c r="E73" s="563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45</v>
      </c>
      <c r="P73" s="78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65"/>
      <c r="R73" s="565"/>
      <c r="S73" s="565"/>
      <c r="T73" s="56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162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4301051929</v>
      </c>
      <c r="D74" s="563">
        <v>4680115884403</v>
      </c>
      <c r="E74" s="56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78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65"/>
      <c r="R74" s="565"/>
      <c r="S74" s="565"/>
      <c r="T74" s="56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570"/>
      <c r="B75" s="570"/>
      <c r="C75" s="570"/>
      <c r="D75" s="570"/>
      <c r="E75" s="570"/>
      <c r="F75" s="570"/>
      <c r="G75" s="570"/>
      <c r="H75" s="570"/>
      <c r="I75" s="570"/>
      <c r="J75" s="570"/>
      <c r="K75" s="570"/>
      <c r="L75" s="570"/>
      <c r="M75" s="570"/>
      <c r="N75" s="570"/>
      <c r="O75" s="571"/>
      <c r="P75" s="567" t="s">
        <v>40</v>
      </c>
      <c r="Q75" s="568"/>
      <c r="R75" s="568"/>
      <c r="S75" s="568"/>
      <c r="T75" s="568"/>
      <c r="U75" s="568"/>
      <c r="V75" s="569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570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1"/>
      <c r="P76" s="567" t="s">
        <v>40</v>
      </c>
      <c r="Q76" s="568"/>
      <c r="R76" s="568"/>
      <c r="S76" s="568"/>
      <c r="T76" s="568"/>
      <c r="U76" s="568"/>
      <c r="V76" s="569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customHeight="1" x14ac:dyDescent="0.25">
      <c r="A77" s="562" t="s">
        <v>171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66"/>
      <c r="AB77" s="66"/>
      <c r="AC77" s="80"/>
    </row>
    <row r="78" spans="1:68" ht="27" customHeight="1" x14ac:dyDescent="0.25">
      <c r="A78" s="63" t="s">
        <v>172</v>
      </c>
      <c r="B78" s="63" t="s">
        <v>173</v>
      </c>
      <c r="C78" s="36">
        <v>4301060455</v>
      </c>
      <c r="D78" s="563">
        <v>4680115881532</v>
      </c>
      <c r="E78" s="56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115</v>
      </c>
      <c r="L78" s="37" t="s">
        <v>116</v>
      </c>
      <c r="M78" s="38" t="s">
        <v>98</v>
      </c>
      <c r="N78" s="38"/>
      <c r="O78" s="37">
        <v>30</v>
      </c>
      <c r="P78" s="7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65"/>
      <c r="R78" s="565"/>
      <c r="S78" s="565"/>
      <c r="T78" s="566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174</v>
      </c>
      <c r="AG78" s="78"/>
      <c r="AJ78" s="84" t="s">
        <v>117</v>
      </c>
      <c r="AK78" s="84">
        <v>62.4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175</v>
      </c>
      <c r="B79" s="63" t="s">
        <v>176</v>
      </c>
      <c r="C79" s="36">
        <v>4301060351</v>
      </c>
      <c r="D79" s="563">
        <v>4680115881464</v>
      </c>
      <c r="E79" s="56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120</v>
      </c>
      <c r="L79" s="37" t="s">
        <v>45</v>
      </c>
      <c r="M79" s="38" t="s">
        <v>92</v>
      </c>
      <c r="N79" s="38"/>
      <c r="O79" s="37">
        <v>30</v>
      </c>
      <c r="P79" s="7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65"/>
      <c r="R79" s="565"/>
      <c r="S79" s="565"/>
      <c r="T79" s="566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570"/>
      <c r="B80" s="570"/>
      <c r="C80" s="570"/>
      <c r="D80" s="570"/>
      <c r="E80" s="570"/>
      <c r="F80" s="570"/>
      <c r="G80" s="570"/>
      <c r="H80" s="570"/>
      <c r="I80" s="570"/>
      <c r="J80" s="570"/>
      <c r="K80" s="570"/>
      <c r="L80" s="570"/>
      <c r="M80" s="570"/>
      <c r="N80" s="570"/>
      <c r="O80" s="571"/>
      <c r="P80" s="567" t="s">
        <v>40</v>
      </c>
      <c r="Q80" s="568"/>
      <c r="R80" s="568"/>
      <c r="S80" s="568"/>
      <c r="T80" s="568"/>
      <c r="U80" s="568"/>
      <c r="V80" s="569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570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1"/>
      <c r="P81" s="567" t="s">
        <v>40</v>
      </c>
      <c r="Q81" s="568"/>
      <c r="R81" s="568"/>
      <c r="S81" s="568"/>
      <c r="T81" s="568"/>
      <c r="U81" s="568"/>
      <c r="V81" s="569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578" t="s">
        <v>178</v>
      </c>
      <c r="B82" s="578"/>
      <c r="C82" s="578"/>
      <c r="D82" s="578"/>
      <c r="E82" s="578"/>
      <c r="F82" s="578"/>
      <c r="G82" s="578"/>
      <c r="H82" s="578"/>
      <c r="I82" s="578"/>
      <c r="J82" s="578"/>
      <c r="K82" s="578"/>
      <c r="L82" s="578"/>
      <c r="M82" s="578"/>
      <c r="N82" s="578"/>
      <c r="O82" s="578"/>
      <c r="P82" s="578"/>
      <c r="Q82" s="578"/>
      <c r="R82" s="578"/>
      <c r="S82" s="578"/>
      <c r="T82" s="578"/>
      <c r="U82" s="578"/>
      <c r="V82" s="578"/>
      <c r="W82" s="578"/>
      <c r="X82" s="578"/>
      <c r="Y82" s="578"/>
      <c r="Z82" s="578"/>
      <c r="AA82" s="65"/>
      <c r="AB82" s="65"/>
      <c r="AC82" s="79"/>
    </row>
    <row r="83" spans="1:68" ht="14.25" customHeight="1" x14ac:dyDescent="0.25">
      <c r="A83" s="562" t="s">
        <v>110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66"/>
      <c r="AB83" s="66"/>
      <c r="AC83" s="80"/>
    </row>
    <row r="84" spans="1:68" ht="27" customHeight="1" x14ac:dyDescent="0.25">
      <c r="A84" s="63" t="s">
        <v>179</v>
      </c>
      <c r="B84" s="63" t="s">
        <v>180</v>
      </c>
      <c r="C84" s="36">
        <v>4301011468</v>
      </c>
      <c r="D84" s="563">
        <v>4680115881327</v>
      </c>
      <c r="E84" s="563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115</v>
      </c>
      <c r="L84" s="37" t="s">
        <v>116</v>
      </c>
      <c r="M84" s="38" t="s">
        <v>98</v>
      </c>
      <c r="N84" s="38"/>
      <c r="O84" s="37">
        <v>50</v>
      </c>
      <c r="P84" s="78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65"/>
      <c r="R84" s="565"/>
      <c r="S84" s="565"/>
      <c r="T84" s="566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181</v>
      </c>
      <c r="AG84" s="78"/>
      <c r="AJ84" s="84" t="s">
        <v>117</v>
      </c>
      <c r="AK84" s="84">
        <v>86.4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182</v>
      </c>
      <c r="B85" s="63" t="s">
        <v>183</v>
      </c>
      <c r="C85" s="36">
        <v>4301011261</v>
      </c>
      <c r="D85" s="563">
        <v>4680115887732</v>
      </c>
      <c r="E85" s="563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185</v>
      </c>
      <c r="L85" s="37" t="s">
        <v>45</v>
      </c>
      <c r="M85" s="38" t="s">
        <v>82</v>
      </c>
      <c r="N85" s="38"/>
      <c r="O85" s="37">
        <v>30</v>
      </c>
      <c r="P85" s="78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65"/>
      <c r="R85" s="565"/>
      <c r="S85" s="565"/>
      <c r="T85" s="566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4301011476</v>
      </c>
      <c r="D86" s="563">
        <v>4680115881518</v>
      </c>
      <c r="E86" s="563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92</v>
      </c>
      <c r="N86" s="38"/>
      <c r="O86" s="37">
        <v>50</v>
      </c>
      <c r="P86" s="78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65"/>
      <c r="R86" s="565"/>
      <c r="S86" s="565"/>
      <c r="T86" s="56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4301011443</v>
      </c>
      <c r="D87" s="563">
        <v>4680115881303</v>
      </c>
      <c r="E87" s="563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45</v>
      </c>
      <c r="M87" s="38" t="s">
        <v>98</v>
      </c>
      <c r="N87" s="38"/>
      <c r="O87" s="37">
        <v>50</v>
      </c>
      <c r="P87" s="78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65"/>
      <c r="R87" s="565"/>
      <c r="S87" s="565"/>
      <c r="T87" s="56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181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570"/>
      <c r="B88" s="570"/>
      <c r="C88" s="570"/>
      <c r="D88" s="570"/>
      <c r="E88" s="570"/>
      <c r="F88" s="570"/>
      <c r="G88" s="570"/>
      <c r="H88" s="570"/>
      <c r="I88" s="570"/>
      <c r="J88" s="570"/>
      <c r="K88" s="570"/>
      <c r="L88" s="570"/>
      <c r="M88" s="570"/>
      <c r="N88" s="570"/>
      <c r="O88" s="571"/>
      <c r="P88" s="567" t="s">
        <v>40</v>
      </c>
      <c r="Q88" s="568"/>
      <c r="R88" s="568"/>
      <c r="S88" s="568"/>
      <c r="T88" s="568"/>
      <c r="U88" s="568"/>
      <c r="V88" s="569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570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1"/>
      <c r="P89" s="567" t="s">
        <v>40</v>
      </c>
      <c r="Q89" s="568"/>
      <c r="R89" s="568"/>
      <c r="S89" s="568"/>
      <c r="T89" s="568"/>
      <c r="U89" s="568"/>
      <c r="V89" s="569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562" t="s">
        <v>88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66"/>
      <c r="AB90" s="66"/>
      <c r="AC90" s="80"/>
    </row>
    <row r="91" spans="1:68" ht="27" customHeight="1" x14ac:dyDescent="0.25">
      <c r="A91" s="63" t="s">
        <v>190</v>
      </c>
      <c r="B91" s="63" t="s">
        <v>191</v>
      </c>
      <c r="C91" s="36">
        <v>4301051712</v>
      </c>
      <c r="D91" s="563">
        <v>4607091386967</v>
      </c>
      <c r="E91" s="563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98</v>
      </c>
      <c r="N91" s="38"/>
      <c r="O91" s="37">
        <v>45</v>
      </c>
      <c r="P91" s="77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65"/>
      <c r="R91" s="565"/>
      <c r="S91" s="565"/>
      <c r="T91" s="566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192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193</v>
      </c>
      <c r="B92" s="63" t="s">
        <v>194</v>
      </c>
      <c r="C92" s="36">
        <v>4301051788</v>
      </c>
      <c r="D92" s="563">
        <v>4680115884953</v>
      </c>
      <c r="E92" s="563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83</v>
      </c>
      <c r="L92" s="37" t="s">
        <v>45</v>
      </c>
      <c r="M92" s="38" t="s">
        <v>92</v>
      </c>
      <c r="N92" s="38"/>
      <c r="O92" s="37">
        <v>45</v>
      </c>
      <c r="P92" s="77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65"/>
      <c r="R92" s="565"/>
      <c r="S92" s="565"/>
      <c r="T92" s="566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192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4301051718</v>
      </c>
      <c r="D93" s="563">
        <v>4607091385731</v>
      </c>
      <c r="E93" s="563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83</v>
      </c>
      <c r="L93" s="37" t="s">
        <v>45</v>
      </c>
      <c r="M93" s="38" t="s">
        <v>98</v>
      </c>
      <c r="N93" s="38"/>
      <c r="O93" s="37">
        <v>45</v>
      </c>
      <c r="P93" s="7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65"/>
      <c r="R93" s="565"/>
      <c r="S93" s="565"/>
      <c r="T93" s="56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192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197</v>
      </c>
      <c r="B94" s="63" t="s">
        <v>198</v>
      </c>
      <c r="C94" s="36">
        <v>4301051438</v>
      </c>
      <c r="D94" s="563">
        <v>4680115880894</v>
      </c>
      <c r="E94" s="563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83</v>
      </c>
      <c r="L94" s="37" t="s">
        <v>45</v>
      </c>
      <c r="M94" s="38" t="s">
        <v>92</v>
      </c>
      <c r="N94" s="38"/>
      <c r="O94" s="37">
        <v>45</v>
      </c>
      <c r="P94" s="78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65"/>
      <c r="R94" s="565"/>
      <c r="S94" s="565"/>
      <c r="T94" s="56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199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570"/>
      <c r="B95" s="570"/>
      <c r="C95" s="570"/>
      <c r="D95" s="570"/>
      <c r="E95" s="570"/>
      <c r="F95" s="570"/>
      <c r="G95" s="570"/>
      <c r="H95" s="570"/>
      <c r="I95" s="570"/>
      <c r="J95" s="570"/>
      <c r="K95" s="570"/>
      <c r="L95" s="570"/>
      <c r="M95" s="570"/>
      <c r="N95" s="570"/>
      <c r="O95" s="571"/>
      <c r="P95" s="567" t="s">
        <v>40</v>
      </c>
      <c r="Q95" s="568"/>
      <c r="R95" s="568"/>
      <c r="S95" s="568"/>
      <c r="T95" s="568"/>
      <c r="U95" s="568"/>
      <c r="V95" s="569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570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1"/>
      <c r="P96" s="567" t="s">
        <v>40</v>
      </c>
      <c r="Q96" s="568"/>
      <c r="R96" s="568"/>
      <c r="S96" s="568"/>
      <c r="T96" s="568"/>
      <c r="U96" s="568"/>
      <c r="V96" s="569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578" t="s">
        <v>200</v>
      </c>
      <c r="B97" s="578"/>
      <c r="C97" s="578"/>
      <c r="D97" s="578"/>
      <c r="E97" s="578"/>
      <c r="F97" s="578"/>
      <c r="G97" s="578"/>
      <c r="H97" s="578"/>
      <c r="I97" s="578"/>
      <c r="J97" s="578"/>
      <c r="K97" s="578"/>
      <c r="L97" s="578"/>
      <c r="M97" s="578"/>
      <c r="N97" s="578"/>
      <c r="O97" s="578"/>
      <c r="P97" s="578"/>
      <c r="Q97" s="578"/>
      <c r="R97" s="578"/>
      <c r="S97" s="578"/>
      <c r="T97" s="578"/>
      <c r="U97" s="578"/>
      <c r="V97" s="578"/>
      <c r="W97" s="578"/>
      <c r="X97" s="578"/>
      <c r="Y97" s="578"/>
      <c r="Z97" s="578"/>
      <c r="AA97" s="65"/>
      <c r="AB97" s="65"/>
      <c r="AC97" s="79"/>
    </row>
    <row r="98" spans="1:68" ht="14.25" customHeight="1" x14ac:dyDescent="0.25">
      <c r="A98" s="562" t="s">
        <v>110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66"/>
      <c r="AB98" s="66"/>
      <c r="AC98" s="80"/>
    </row>
    <row r="99" spans="1:68" ht="37.5" customHeight="1" x14ac:dyDescent="0.25">
      <c r="A99" s="63" t="s">
        <v>201</v>
      </c>
      <c r="B99" s="63" t="s">
        <v>202</v>
      </c>
      <c r="C99" s="36">
        <v>4301011514</v>
      </c>
      <c r="D99" s="563">
        <v>4680115882133</v>
      </c>
      <c r="E99" s="563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7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65"/>
      <c r="R99" s="565"/>
      <c r="S99" s="565"/>
      <c r="T99" s="566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203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204</v>
      </c>
      <c r="B100" s="63" t="s">
        <v>205</v>
      </c>
      <c r="C100" s="36">
        <v>4301012051</v>
      </c>
      <c r="D100" s="563">
        <v>4680115887718</v>
      </c>
      <c r="E100" s="563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185</v>
      </c>
      <c r="L100" s="37" t="s">
        <v>45</v>
      </c>
      <c r="M100" s="38" t="s">
        <v>82</v>
      </c>
      <c r="N100" s="38"/>
      <c r="O100" s="37">
        <v>30</v>
      </c>
      <c r="P100" s="77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65"/>
      <c r="R100" s="565"/>
      <c r="S100" s="565"/>
      <c r="T100" s="56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206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207</v>
      </c>
      <c r="B101" s="63" t="s">
        <v>208</v>
      </c>
      <c r="C101" s="36">
        <v>4301011417</v>
      </c>
      <c r="D101" s="563">
        <v>4680115880269</v>
      </c>
      <c r="E101" s="563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120</v>
      </c>
      <c r="L101" s="37" t="s">
        <v>45</v>
      </c>
      <c r="M101" s="38" t="s">
        <v>92</v>
      </c>
      <c r="N101" s="38"/>
      <c r="O101" s="37">
        <v>50</v>
      </c>
      <c r="P101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5"/>
      <c r="R101" s="565"/>
      <c r="S101" s="565"/>
      <c r="T101" s="56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203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4301011415</v>
      </c>
      <c r="D102" s="563">
        <v>4680115880429</v>
      </c>
      <c r="E102" s="563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121</v>
      </c>
      <c r="M102" s="38" t="s">
        <v>92</v>
      </c>
      <c r="N102" s="38"/>
      <c r="O102" s="37">
        <v>50</v>
      </c>
      <c r="P102" s="77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5"/>
      <c r="R102" s="565"/>
      <c r="S102" s="565"/>
      <c r="T102" s="56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203</v>
      </c>
      <c r="AG102" s="78"/>
      <c r="AJ102" s="84" t="s">
        <v>117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211</v>
      </c>
      <c r="B103" s="63" t="s">
        <v>212</v>
      </c>
      <c r="C103" s="36">
        <v>4301011462</v>
      </c>
      <c r="D103" s="563">
        <v>4680115881457</v>
      </c>
      <c r="E103" s="563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120</v>
      </c>
      <c r="L103" s="37" t="s">
        <v>45</v>
      </c>
      <c r="M103" s="38" t="s">
        <v>92</v>
      </c>
      <c r="N103" s="38"/>
      <c r="O103" s="37">
        <v>50</v>
      </c>
      <c r="P103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5"/>
      <c r="R103" s="565"/>
      <c r="S103" s="565"/>
      <c r="T103" s="566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203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570"/>
      <c r="B104" s="570"/>
      <c r="C104" s="570"/>
      <c r="D104" s="570"/>
      <c r="E104" s="570"/>
      <c r="F104" s="570"/>
      <c r="G104" s="570"/>
      <c r="H104" s="570"/>
      <c r="I104" s="570"/>
      <c r="J104" s="570"/>
      <c r="K104" s="570"/>
      <c r="L104" s="570"/>
      <c r="M104" s="570"/>
      <c r="N104" s="570"/>
      <c r="O104" s="571"/>
      <c r="P104" s="567" t="s">
        <v>40</v>
      </c>
      <c r="Q104" s="568"/>
      <c r="R104" s="568"/>
      <c r="S104" s="568"/>
      <c r="T104" s="568"/>
      <c r="U104" s="568"/>
      <c r="V104" s="569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570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1"/>
      <c r="P105" s="567" t="s">
        <v>40</v>
      </c>
      <c r="Q105" s="568"/>
      <c r="R105" s="568"/>
      <c r="S105" s="568"/>
      <c r="T105" s="568"/>
      <c r="U105" s="568"/>
      <c r="V105" s="569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customHeight="1" x14ac:dyDescent="0.25">
      <c r="A106" s="562" t="s">
        <v>146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66"/>
      <c r="AB106" s="66"/>
      <c r="AC106" s="80"/>
    </row>
    <row r="107" spans="1:68" ht="16.5" customHeight="1" x14ac:dyDescent="0.25">
      <c r="A107" s="63" t="s">
        <v>213</v>
      </c>
      <c r="B107" s="63" t="s">
        <v>214</v>
      </c>
      <c r="C107" s="36">
        <v>4301020345</v>
      </c>
      <c r="D107" s="563">
        <v>4680115881488</v>
      </c>
      <c r="E107" s="56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115</v>
      </c>
      <c r="L107" s="37" t="s">
        <v>116</v>
      </c>
      <c r="M107" s="38" t="s">
        <v>114</v>
      </c>
      <c r="N107" s="38"/>
      <c r="O107" s="37">
        <v>55</v>
      </c>
      <c r="P107" s="76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5"/>
      <c r="R107" s="565"/>
      <c r="S107" s="565"/>
      <c r="T107" s="56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215</v>
      </c>
      <c r="AG107" s="78"/>
      <c r="AJ107" s="84" t="s">
        <v>117</v>
      </c>
      <c r="AK107" s="84">
        <v>86.4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customHeight="1" x14ac:dyDescent="0.25">
      <c r="A108" s="63" t="s">
        <v>216</v>
      </c>
      <c r="B108" s="63" t="s">
        <v>217</v>
      </c>
      <c r="C108" s="36">
        <v>4301020186</v>
      </c>
      <c r="D108" s="563">
        <v>4680115887664</v>
      </c>
      <c r="E108" s="563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219</v>
      </c>
      <c r="L108" s="37" t="s">
        <v>45</v>
      </c>
      <c r="M108" s="38" t="s">
        <v>82</v>
      </c>
      <c r="N108" s="38"/>
      <c r="O108" s="37">
        <v>30</v>
      </c>
      <c r="P108" s="76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65"/>
      <c r="R108" s="565"/>
      <c r="S108" s="565"/>
      <c r="T108" s="56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218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220</v>
      </c>
      <c r="B109" s="63" t="s">
        <v>221</v>
      </c>
      <c r="C109" s="36">
        <v>4301020346</v>
      </c>
      <c r="D109" s="563">
        <v>4680115882775</v>
      </c>
      <c r="E109" s="563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87</v>
      </c>
      <c r="L109" s="37" t="s">
        <v>45</v>
      </c>
      <c r="M109" s="38" t="s">
        <v>114</v>
      </c>
      <c r="N109" s="38"/>
      <c r="O109" s="37">
        <v>55</v>
      </c>
      <c r="P109" s="7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65"/>
      <c r="R109" s="565"/>
      <c r="S109" s="565"/>
      <c r="T109" s="566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215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222</v>
      </c>
      <c r="B110" s="63" t="s">
        <v>223</v>
      </c>
      <c r="C110" s="36">
        <v>4301020344</v>
      </c>
      <c r="D110" s="563">
        <v>4680115880658</v>
      </c>
      <c r="E110" s="563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45</v>
      </c>
      <c r="M110" s="38" t="s">
        <v>114</v>
      </c>
      <c r="N110" s="38"/>
      <c r="O110" s="37">
        <v>55</v>
      </c>
      <c r="P110" s="7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65"/>
      <c r="R110" s="565"/>
      <c r="S110" s="565"/>
      <c r="T110" s="566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215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x14ac:dyDescent="0.2">
      <c r="A111" s="570"/>
      <c r="B111" s="570"/>
      <c r="C111" s="570"/>
      <c r="D111" s="570"/>
      <c r="E111" s="570"/>
      <c r="F111" s="570"/>
      <c r="G111" s="570"/>
      <c r="H111" s="570"/>
      <c r="I111" s="570"/>
      <c r="J111" s="570"/>
      <c r="K111" s="570"/>
      <c r="L111" s="570"/>
      <c r="M111" s="570"/>
      <c r="N111" s="570"/>
      <c r="O111" s="571"/>
      <c r="P111" s="567" t="s">
        <v>40</v>
      </c>
      <c r="Q111" s="568"/>
      <c r="R111" s="568"/>
      <c r="S111" s="568"/>
      <c r="T111" s="568"/>
      <c r="U111" s="568"/>
      <c r="V111" s="569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570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1"/>
      <c r="P112" s="567" t="s">
        <v>40</v>
      </c>
      <c r="Q112" s="568"/>
      <c r="R112" s="568"/>
      <c r="S112" s="568"/>
      <c r="T112" s="568"/>
      <c r="U112" s="568"/>
      <c r="V112" s="569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customHeight="1" x14ac:dyDescent="0.25">
      <c r="A113" s="562" t="s">
        <v>88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66"/>
      <c r="AB113" s="66"/>
      <c r="AC113" s="80"/>
    </row>
    <row r="114" spans="1:68" ht="27" customHeight="1" x14ac:dyDescent="0.25">
      <c r="A114" s="63" t="s">
        <v>224</v>
      </c>
      <c r="B114" s="63" t="s">
        <v>225</v>
      </c>
      <c r="C114" s="36">
        <v>4301051724</v>
      </c>
      <c r="D114" s="563">
        <v>4607091385168</v>
      </c>
      <c r="E114" s="563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115</v>
      </c>
      <c r="L114" s="37" t="s">
        <v>116</v>
      </c>
      <c r="M114" s="38" t="s">
        <v>98</v>
      </c>
      <c r="N114" s="38"/>
      <c r="O114" s="37">
        <v>45</v>
      </c>
      <c r="P114" s="76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65"/>
      <c r="R114" s="565"/>
      <c r="S114" s="565"/>
      <c r="T114" s="56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226</v>
      </c>
      <c r="AG114" s="78"/>
      <c r="AJ114" s="84" t="s">
        <v>117</v>
      </c>
      <c r="AK114" s="84">
        <v>64.8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227</v>
      </c>
      <c r="B115" s="63" t="s">
        <v>228</v>
      </c>
      <c r="C115" s="36">
        <v>4301051730</v>
      </c>
      <c r="D115" s="563">
        <v>4607091383256</v>
      </c>
      <c r="E115" s="563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83</v>
      </c>
      <c r="L115" s="37" t="s">
        <v>45</v>
      </c>
      <c r="M115" s="38" t="s">
        <v>98</v>
      </c>
      <c r="N115" s="38"/>
      <c r="O115" s="37">
        <v>45</v>
      </c>
      <c r="P115" s="76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65"/>
      <c r="R115" s="565"/>
      <c r="S115" s="565"/>
      <c r="T115" s="56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226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229</v>
      </c>
      <c r="B116" s="63" t="s">
        <v>230</v>
      </c>
      <c r="C116" s="36">
        <v>4301051721</v>
      </c>
      <c r="D116" s="563">
        <v>4607091385748</v>
      </c>
      <c r="E116" s="563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83</v>
      </c>
      <c r="L116" s="37" t="s">
        <v>231</v>
      </c>
      <c r="M116" s="38" t="s">
        <v>98</v>
      </c>
      <c r="N116" s="38"/>
      <c r="O116" s="37">
        <v>45</v>
      </c>
      <c r="P116" s="76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65"/>
      <c r="R116" s="565"/>
      <c r="S116" s="565"/>
      <c r="T116" s="566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226</v>
      </c>
      <c r="AG116" s="78"/>
      <c r="AJ116" s="84" t="s">
        <v>117</v>
      </c>
      <c r="AK116" s="84">
        <v>37.799999999999997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customHeight="1" x14ac:dyDescent="0.25">
      <c r="A117" s="63" t="s">
        <v>232</v>
      </c>
      <c r="B117" s="63" t="s">
        <v>233</v>
      </c>
      <c r="C117" s="36">
        <v>4301051740</v>
      </c>
      <c r="D117" s="563">
        <v>4680115884533</v>
      </c>
      <c r="E117" s="563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83</v>
      </c>
      <c r="L117" s="37" t="s">
        <v>231</v>
      </c>
      <c r="M117" s="38" t="s">
        <v>92</v>
      </c>
      <c r="N117" s="38"/>
      <c r="O117" s="37">
        <v>45</v>
      </c>
      <c r="P117" s="76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65"/>
      <c r="R117" s="565"/>
      <c r="S117" s="565"/>
      <c r="T117" s="566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234</v>
      </c>
      <c r="AG117" s="78"/>
      <c r="AJ117" s="84" t="s">
        <v>117</v>
      </c>
      <c r="AK117" s="84">
        <v>25.2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570"/>
      <c r="B118" s="570"/>
      <c r="C118" s="570"/>
      <c r="D118" s="570"/>
      <c r="E118" s="570"/>
      <c r="F118" s="570"/>
      <c r="G118" s="570"/>
      <c r="H118" s="570"/>
      <c r="I118" s="570"/>
      <c r="J118" s="570"/>
      <c r="K118" s="570"/>
      <c r="L118" s="570"/>
      <c r="M118" s="570"/>
      <c r="N118" s="570"/>
      <c r="O118" s="571"/>
      <c r="P118" s="567" t="s">
        <v>40</v>
      </c>
      <c r="Q118" s="568"/>
      <c r="R118" s="568"/>
      <c r="S118" s="568"/>
      <c r="T118" s="568"/>
      <c r="U118" s="568"/>
      <c r="V118" s="569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570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1"/>
      <c r="P119" s="567" t="s">
        <v>40</v>
      </c>
      <c r="Q119" s="568"/>
      <c r="R119" s="568"/>
      <c r="S119" s="568"/>
      <c r="T119" s="568"/>
      <c r="U119" s="568"/>
      <c r="V119" s="569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customHeight="1" x14ac:dyDescent="0.25">
      <c r="A120" s="562" t="s">
        <v>171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66"/>
      <c r="AB120" s="66"/>
      <c r="AC120" s="80"/>
    </row>
    <row r="121" spans="1:68" ht="16.5" customHeight="1" x14ac:dyDescent="0.25">
      <c r="A121" s="63" t="s">
        <v>235</v>
      </c>
      <c r="B121" s="63" t="s">
        <v>236</v>
      </c>
      <c r="C121" s="36">
        <v>4301060317</v>
      </c>
      <c r="D121" s="563">
        <v>4680115880238</v>
      </c>
      <c r="E121" s="563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83</v>
      </c>
      <c r="L121" s="37" t="s">
        <v>231</v>
      </c>
      <c r="M121" s="38" t="s">
        <v>92</v>
      </c>
      <c r="N121" s="38"/>
      <c r="O121" s="37">
        <v>40</v>
      </c>
      <c r="P121" s="7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65"/>
      <c r="R121" s="565"/>
      <c r="S121" s="565"/>
      <c r="T121" s="566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237</v>
      </c>
      <c r="AG121" s="78"/>
      <c r="AJ121" s="84" t="s">
        <v>117</v>
      </c>
      <c r="AK121" s="84">
        <v>27.72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570"/>
      <c r="B122" s="570"/>
      <c r="C122" s="570"/>
      <c r="D122" s="570"/>
      <c r="E122" s="570"/>
      <c r="F122" s="570"/>
      <c r="G122" s="570"/>
      <c r="H122" s="570"/>
      <c r="I122" s="570"/>
      <c r="J122" s="570"/>
      <c r="K122" s="570"/>
      <c r="L122" s="570"/>
      <c r="M122" s="570"/>
      <c r="N122" s="570"/>
      <c r="O122" s="571"/>
      <c r="P122" s="567" t="s">
        <v>40</v>
      </c>
      <c r="Q122" s="568"/>
      <c r="R122" s="568"/>
      <c r="S122" s="568"/>
      <c r="T122" s="568"/>
      <c r="U122" s="568"/>
      <c r="V122" s="569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570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1"/>
      <c r="P123" s="567" t="s">
        <v>40</v>
      </c>
      <c r="Q123" s="568"/>
      <c r="R123" s="568"/>
      <c r="S123" s="568"/>
      <c r="T123" s="568"/>
      <c r="U123" s="568"/>
      <c r="V123" s="569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customHeight="1" x14ac:dyDescent="0.25">
      <c r="A124" s="578" t="s">
        <v>238</v>
      </c>
      <c r="B124" s="578"/>
      <c r="C124" s="578"/>
      <c r="D124" s="578"/>
      <c r="E124" s="578"/>
      <c r="F124" s="578"/>
      <c r="G124" s="578"/>
      <c r="H124" s="578"/>
      <c r="I124" s="578"/>
      <c r="J124" s="578"/>
      <c r="K124" s="578"/>
      <c r="L124" s="578"/>
      <c r="M124" s="578"/>
      <c r="N124" s="578"/>
      <c r="O124" s="578"/>
      <c r="P124" s="578"/>
      <c r="Q124" s="578"/>
      <c r="R124" s="578"/>
      <c r="S124" s="578"/>
      <c r="T124" s="578"/>
      <c r="U124" s="578"/>
      <c r="V124" s="578"/>
      <c r="W124" s="578"/>
      <c r="X124" s="578"/>
      <c r="Y124" s="578"/>
      <c r="Z124" s="578"/>
      <c r="AA124" s="65"/>
      <c r="AB124" s="65"/>
      <c r="AC124" s="79"/>
    </row>
    <row r="125" spans="1:68" ht="14.25" customHeight="1" x14ac:dyDescent="0.25">
      <c r="A125" s="562" t="s">
        <v>110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66"/>
      <c r="AB125" s="66"/>
      <c r="AC125" s="80"/>
    </row>
    <row r="126" spans="1:68" ht="27" customHeight="1" x14ac:dyDescent="0.25">
      <c r="A126" s="63" t="s">
        <v>239</v>
      </c>
      <c r="B126" s="63" t="s">
        <v>240</v>
      </c>
      <c r="C126" s="36">
        <v>4301011562</v>
      </c>
      <c r="D126" s="563">
        <v>4680115882577</v>
      </c>
      <c r="E126" s="563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231</v>
      </c>
      <c r="M126" s="38" t="s">
        <v>107</v>
      </c>
      <c r="N126" s="38"/>
      <c r="O126" s="37">
        <v>90</v>
      </c>
      <c r="P126" s="7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65"/>
      <c r="R126" s="565"/>
      <c r="S126" s="565"/>
      <c r="T126" s="566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241</v>
      </c>
      <c r="AG126" s="78"/>
      <c r="AJ126" s="84" t="s">
        <v>117</v>
      </c>
      <c r="AK126" s="84">
        <v>44.8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customHeight="1" x14ac:dyDescent="0.25">
      <c r="A127" s="63" t="s">
        <v>239</v>
      </c>
      <c r="B127" s="63" t="s">
        <v>242</v>
      </c>
      <c r="C127" s="36">
        <v>4301011564</v>
      </c>
      <c r="D127" s="563">
        <v>4680115882577</v>
      </c>
      <c r="E127" s="563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45</v>
      </c>
      <c r="M127" s="38" t="s">
        <v>107</v>
      </c>
      <c r="N127" s="38"/>
      <c r="O127" s="37">
        <v>90</v>
      </c>
      <c r="P127" s="76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65"/>
      <c r="R127" s="565"/>
      <c r="S127" s="565"/>
      <c r="T127" s="566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241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570"/>
      <c r="B128" s="570"/>
      <c r="C128" s="570"/>
      <c r="D128" s="570"/>
      <c r="E128" s="570"/>
      <c r="F128" s="570"/>
      <c r="G128" s="570"/>
      <c r="H128" s="570"/>
      <c r="I128" s="570"/>
      <c r="J128" s="570"/>
      <c r="K128" s="570"/>
      <c r="L128" s="570"/>
      <c r="M128" s="570"/>
      <c r="N128" s="570"/>
      <c r="O128" s="571"/>
      <c r="P128" s="567" t="s">
        <v>40</v>
      </c>
      <c r="Q128" s="568"/>
      <c r="R128" s="568"/>
      <c r="S128" s="568"/>
      <c r="T128" s="568"/>
      <c r="U128" s="568"/>
      <c r="V128" s="569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x14ac:dyDescent="0.2">
      <c r="A129" s="570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1"/>
      <c r="P129" s="567" t="s">
        <v>40</v>
      </c>
      <c r="Q129" s="568"/>
      <c r="R129" s="568"/>
      <c r="S129" s="568"/>
      <c r="T129" s="568"/>
      <c r="U129" s="568"/>
      <c r="V129" s="569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customHeight="1" x14ac:dyDescent="0.25">
      <c r="A130" s="562" t="s">
        <v>78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66"/>
      <c r="AB130" s="66"/>
      <c r="AC130" s="80"/>
    </row>
    <row r="131" spans="1:68" ht="27" customHeight="1" x14ac:dyDescent="0.25">
      <c r="A131" s="63" t="s">
        <v>243</v>
      </c>
      <c r="B131" s="63" t="s">
        <v>244</v>
      </c>
      <c r="C131" s="36">
        <v>4301031235</v>
      </c>
      <c r="D131" s="563">
        <v>4680115883444</v>
      </c>
      <c r="E131" s="563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107</v>
      </c>
      <c r="N131" s="38"/>
      <c r="O131" s="37">
        <v>90</v>
      </c>
      <c r="P131" s="75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65"/>
      <c r="R131" s="565"/>
      <c r="S131" s="565"/>
      <c r="T131" s="566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245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243</v>
      </c>
      <c r="B132" s="63" t="s">
        <v>246</v>
      </c>
      <c r="C132" s="36">
        <v>4301031234</v>
      </c>
      <c r="D132" s="563">
        <v>4680115883444</v>
      </c>
      <c r="E132" s="563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231</v>
      </c>
      <c r="M132" s="38" t="s">
        <v>107</v>
      </c>
      <c r="N132" s="38"/>
      <c r="O132" s="37">
        <v>90</v>
      </c>
      <c r="P132" s="76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65"/>
      <c r="R132" s="565"/>
      <c r="S132" s="565"/>
      <c r="T132" s="566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245</v>
      </c>
      <c r="AG132" s="78"/>
      <c r="AJ132" s="84" t="s">
        <v>117</v>
      </c>
      <c r="AK132" s="84">
        <v>39.200000000000003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570"/>
      <c r="B133" s="570"/>
      <c r="C133" s="570"/>
      <c r="D133" s="570"/>
      <c r="E133" s="570"/>
      <c r="F133" s="570"/>
      <c r="G133" s="570"/>
      <c r="H133" s="570"/>
      <c r="I133" s="570"/>
      <c r="J133" s="570"/>
      <c r="K133" s="570"/>
      <c r="L133" s="570"/>
      <c r="M133" s="570"/>
      <c r="N133" s="570"/>
      <c r="O133" s="571"/>
      <c r="P133" s="567" t="s">
        <v>40</v>
      </c>
      <c r="Q133" s="568"/>
      <c r="R133" s="568"/>
      <c r="S133" s="568"/>
      <c r="T133" s="568"/>
      <c r="U133" s="568"/>
      <c r="V133" s="569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570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1"/>
      <c r="P134" s="567" t="s">
        <v>40</v>
      </c>
      <c r="Q134" s="568"/>
      <c r="R134" s="568"/>
      <c r="S134" s="568"/>
      <c r="T134" s="568"/>
      <c r="U134" s="568"/>
      <c r="V134" s="569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562" t="s">
        <v>88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66"/>
      <c r="AB135" s="66"/>
      <c r="AC135" s="80"/>
    </row>
    <row r="136" spans="1:68" ht="16.5" customHeight="1" x14ac:dyDescent="0.25">
      <c r="A136" s="63" t="s">
        <v>247</v>
      </c>
      <c r="B136" s="63" t="s">
        <v>248</v>
      </c>
      <c r="C136" s="36">
        <v>4301051477</v>
      </c>
      <c r="D136" s="563">
        <v>4680115882584</v>
      </c>
      <c r="E136" s="563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107</v>
      </c>
      <c r="N136" s="38"/>
      <c r="O136" s="37">
        <v>60</v>
      </c>
      <c r="P136" s="7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65"/>
      <c r="R136" s="565"/>
      <c r="S136" s="565"/>
      <c r="T136" s="566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241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247</v>
      </c>
      <c r="B137" s="63" t="s">
        <v>249</v>
      </c>
      <c r="C137" s="36">
        <v>4301051476</v>
      </c>
      <c r="D137" s="563">
        <v>4680115882584</v>
      </c>
      <c r="E137" s="563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231</v>
      </c>
      <c r="M137" s="38" t="s">
        <v>107</v>
      </c>
      <c r="N137" s="38"/>
      <c r="O137" s="37">
        <v>60</v>
      </c>
      <c r="P137" s="75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65"/>
      <c r="R137" s="565"/>
      <c r="S137" s="565"/>
      <c r="T137" s="566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241</v>
      </c>
      <c r="AG137" s="78"/>
      <c r="AJ137" s="84" t="s">
        <v>117</v>
      </c>
      <c r="AK137" s="84">
        <v>36.96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570"/>
      <c r="B138" s="570"/>
      <c r="C138" s="570"/>
      <c r="D138" s="570"/>
      <c r="E138" s="570"/>
      <c r="F138" s="570"/>
      <c r="G138" s="570"/>
      <c r="H138" s="570"/>
      <c r="I138" s="570"/>
      <c r="J138" s="570"/>
      <c r="K138" s="570"/>
      <c r="L138" s="570"/>
      <c r="M138" s="570"/>
      <c r="N138" s="570"/>
      <c r="O138" s="571"/>
      <c r="P138" s="567" t="s">
        <v>40</v>
      </c>
      <c r="Q138" s="568"/>
      <c r="R138" s="568"/>
      <c r="S138" s="568"/>
      <c r="T138" s="568"/>
      <c r="U138" s="568"/>
      <c r="V138" s="56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570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1"/>
      <c r="P139" s="567" t="s">
        <v>40</v>
      </c>
      <c r="Q139" s="568"/>
      <c r="R139" s="568"/>
      <c r="S139" s="568"/>
      <c r="T139" s="568"/>
      <c r="U139" s="568"/>
      <c r="V139" s="56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6.5" customHeight="1" x14ac:dyDescent="0.25">
      <c r="A140" s="578" t="s">
        <v>108</v>
      </c>
      <c r="B140" s="578"/>
      <c r="C140" s="578"/>
      <c r="D140" s="578"/>
      <c r="E140" s="578"/>
      <c r="F140" s="578"/>
      <c r="G140" s="578"/>
      <c r="H140" s="578"/>
      <c r="I140" s="578"/>
      <c r="J140" s="578"/>
      <c r="K140" s="578"/>
      <c r="L140" s="578"/>
      <c r="M140" s="578"/>
      <c r="N140" s="578"/>
      <c r="O140" s="578"/>
      <c r="P140" s="578"/>
      <c r="Q140" s="578"/>
      <c r="R140" s="578"/>
      <c r="S140" s="578"/>
      <c r="T140" s="578"/>
      <c r="U140" s="578"/>
      <c r="V140" s="578"/>
      <c r="W140" s="578"/>
      <c r="X140" s="578"/>
      <c r="Y140" s="578"/>
      <c r="Z140" s="578"/>
      <c r="AA140" s="65"/>
      <c r="AB140" s="65"/>
      <c r="AC140" s="79"/>
    </row>
    <row r="141" spans="1:68" ht="14.25" customHeight="1" x14ac:dyDescent="0.25">
      <c r="A141" s="562" t="s">
        <v>110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66"/>
      <c r="AB141" s="66"/>
      <c r="AC141" s="80"/>
    </row>
    <row r="142" spans="1:68" ht="27" customHeight="1" x14ac:dyDescent="0.25">
      <c r="A142" s="63" t="s">
        <v>250</v>
      </c>
      <c r="B142" s="63" t="s">
        <v>251</v>
      </c>
      <c r="C142" s="36">
        <v>4301012244</v>
      </c>
      <c r="D142" s="563">
        <v>4680115887374</v>
      </c>
      <c r="E142" s="563"/>
      <c r="F142" s="62">
        <v>1.6</v>
      </c>
      <c r="G142" s="37">
        <v>8</v>
      </c>
      <c r="H142" s="62">
        <v>12.8</v>
      </c>
      <c r="I142" s="62">
        <v>13.21</v>
      </c>
      <c r="J142" s="37">
        <v>64</v>
      </c>
      <c r="K142" s="37" t="s">
        <v>115</v>
      </c>
      <c r="L142" s="37" t="s">
        <v>45</v>
      </c>
      <c r="M142" s="38" t="s">
        <v>114</v>
      </c>
      <c r="N142" s="38"/>
      <c r="O142" s="37">
        <v>55</v>
      </c>
      <c r="P142" s="7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65"/>
      <c r="R142" s="565"/>
      <c r="S142" s="565"/>
      <c r="T142" s="566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IFERROR(IF(Y142=0,"",ROUNDUP(Y142/H142,0)*0.01898),"")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customHeight="1" x14ac:dyDescent="0.25">
      <c r="A143" s="63" t="s">
        <v>253</v>
      </c>
      <c r="B143" s="63" t="s">
        <v>254</v>
      </c>
      <c r="C143" s="36">
        <v>4301011705</v>
      </c>
      <c r="D143" s="563">
        <v>4607091384604</v>
      </c>
      <c r="E143" s="563"/>
      <c r="F143" s="62">
        <v>0.4</v>
      </c>
      <c r="G143" s="37">
        <v>10</v>
      </c>
      <c r="H143" s="62">
        <v>4</v>
      </c>
      <c r="I143" s="62">
        <v>4.1900000000000004</v>
      </c>
      <c r="J143" s="37">
        <v>132</v>
      </c>
      <c r="K143" s="37" t="s">
        <v>120</v>
      </c>
      <c r="L143" s="37" t="s">
        <v>45</v>
      </c>
      <c r="M143" s="38" t="s">
        <v>114</v>
      </c>
      <c r="N143" s="38"/>
      <c r="O143" s="37">
        <v>50</v>
      </c>
      <c r="P143" s="75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65"/>
      <c r="R143" s="565"/>
      <c r="S143" s="565"/>
      <c r="T143" s="566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IFERROR(IF(Y143=0,"",ROUNDUP(Y143/H143,0)*0.00902),"")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570"/>
      <c r="B144" s="570"/>
      <c r="C144" s="570"/>
      <c r="D144" s="570"/>
      <c r="E144" s="570"/>
      <c r="F144" s="570"/>
      <c r="G144" s="570"/>
      <c r="H144" s="570"/>
      <c r="I144" s="570"/>
      <c r="J144" s="570"/>
      <c r="K144" s="570"/>
      <c r="L144" s="570"/>
      <c r="M144" s="570"/>
      <c r="N144" s="570"/>
      <c r="O144" s="571"/>
      <c r="P144" s="567" t="s">
        <v>40</v>
      </c>
      <c r="Q144" s="568"/>
      <c r="R144" s="568"/>
      <c r="S144" s="568"/>
      <c r="T144" s="568"/>
      <c r="U144" s="568"/>
      <c r="V144" s="569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570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1"/>
      <c r="P145" s="567" t="s">
        <v>40</v>
      </c>
      <c r="Q145" s="568"/>
      <c r="R145" s="568"/>
      <c r="S145" s="568"/>
      <c r="T145" s="568"/>
      <c r="U145" s="568"/>
      <c r="V145" s="569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customHeight="1" x14ac:dyDescent="0.25">
      <c r="A146" s="562" t="s">
        <v>78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66"/>
      <c r="AB146" s="66"/>
      <c r="AC146" s="80"/>
    </row>
    <row r="147" spans="1:68" ht="16.5" customHeight="1" x14ac:dyDescent="0.25">
      <c r="A147" s="63" t="s">
        <v>256</v>
      </c>
      <c r="B147" s="63" t="s">
        <v>257</v>
      </c>
      <c r="C147" s="36">
        <v>4301030895</v>
      </c>
      <c r="D147" s="563">
        <v>4607091387667</v>
      </c>
      <c r="E147" s="563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115</v>
      </c>
      <c r="L147" s="37" t="s">
        <v>45</v>
      </c>
      <c r="M147" s="38" t="s">
        <v>114</v>
      </c>
      <c r="N147" s="38"/>
      <c r="O147" s="37">
        <v>40</v>
      </c>
      <c r="P147" s="75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65"/>
      <c r="R147" s="565"/>
      <c r="S147" s="565"/>
      <c r="T147" s="566"/>
      <c r="U147" s="39" t="s">
        <v>45</v>
      </c>
      <c r="V147" s="39" t="s">
        <v>45</v>
      </c>
      <c r="W147" s="40" t="s">
        <v>0</v>
      </c>
      <c r="X147" s="58">
        <v>0</v>
      </c>
      <c r="Y147" s="55">
        <f t="shared" ref="Y147:Y152" si="5"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 t="shared" ref="BM147:BM152" si="6">IFERROR(X147*I147/H147,"0")</f>
        <v>0</v>
      </c>
      <c r="BN147" s="78">
        <f t="shared" ref="BN147:BN152" si="7">IFERROR(Y147*I147/H147,"0")</f>
        <v>0</v>
      </c>
      <c r="BO147" s="78">
        <f t="shared" ref="BO147:BO152" si="8">IFERROR(1/J147*(X147/H147),"0")</f>
        <v>0</v>
      </c>
      <c r="BP147" s="78">
        <f t="shared" ref="BP147:BP152" si="9">IFERROR(1/J147*(Y147/H147),"0")</f>
        <v>0</v>
      </c>
    </row>
    <row r="148" spans="1:68" ht="16.5" customHeight="1" x14ac:dyDescent="0.25">
      <c r="A148" s="63" t="s">
        <v>259</v>
      </c>
      <c r="B148" s="63" t="s">
        <v>260</v>
      </c>
      <c r="C148" s="36">
        <v>4301031450</v>
      </c>
      <c r="D148" s="563">
        <v>4680115887428</v>
      </c>
      <c r="E148" s="563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120</v>
      </c>
      <c r="L148" s="37" t="s">
        <v>45</v>
      </c>
      <c r="M148" s="38" t="s">
        <v>82</v>
      </c>
      <c r="N148" s="38"/>
      <c r="O148" s="37">
        <v>40</v>
      </c>
      <c r="P148" s="74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65"/>
      <c r="R148" s="565"/>
      <c r="S148" s="565"/>
      <c r="T148" s="566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si="5"/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 t="shared" si="6"/>
        <v>0</v>
      </c>
      <c r="BN148" s="78">
        <f t="shared" si="7"/>
        <v>0</v>
      </c>
      <c r="BO148" s="78">
        <f t="shared" si="8"/>
        <v>0</v>
      </c>
      <c r="BP148" s="78">
        <f t="shared" si="9"/>
        <v>0</v>
      </c>
    </row>
    <row r="149" spans="1:68" ht="16.5" customHeight="1" x14ac:dyDescent="0.25">
      <c r="A149" s="63" t="s">
        <v>262</v>
      </c>
      <c r="B149" s="63" t="s">
        <v>263</v>
      </c>
      <c r="C149" s="36">
        <v>4301030961</v>
      </c>
      <c r="D149" s="563">
        <v>4607091387636</v>
      </c>
      <c r="E149" s="563"/>
      <c r="F149" s="62">
        <v>0.7</v>
      </c>
      <c r="G149" s="37">
        <v>6</v>
      </c>
      <c r="H149" s="62">
        <v>4.2</v>
      </c>
      <c r="I149" s="62">
        <v>4.47</v>
      </c>
      <c r="J149" s="37">
        <v>182</v>
      </c>
      <c r="K149" s="37" t="s">
        <v>83</v>
      </c>
      <c r="L149" s="37" t="s">
        <v>45</v>
      </c>
      <c r="M149" s="38" t="s">
        <v>82</v>
      </c>
      <c r="N149" s="38"/>
      <c r="O149" s="37">
        <v>40</v>
      </c>
      <c r="P149" s="75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65"/>
      <c r="R149" s="565"/>
      <c r="S149" s="565"/>
      <c r="T149" s="566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IFERROR(IF(Y149=0,"",ROUNDUP(Y149/H149,0)*0.00651),"")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4301031453</v>
      </c>
      <c r="D150" s="563">
        <v>4680115887336</v>
      </c>
      <c r="E150" s="563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120</v>
      </c>
      <c r="L150" s="37" t="s">
        <v>45</v>
      </c>
      <c r="M150" s="38" t="s">
        <v>82</v>
      </c>
      <c r="N150" s="38"/>
      <c r="O150" s="37">
        <v>40</v>
      </c>
      <c r="P150" s="751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5"/>
      <c r="R150" s="565"/>
      <c r="S150" s="565"/>
      <c r="T150" s="566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268</v>
      </c>
      <c r="B151" s="63" t="s">
        <v>269</v>
      </c>
      <c r="C151" s="36">
        <v>4301030963</v>
      </c>
      <c r="D151" s="563">
        <v>4607091382426</v>
      </c>
      <c r="E151" s="563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115</v>
      </c>
      <c r="L151" s="37" t="s">
        <v>45</v>
      </c>
      <c r="M151" s="38" t="s">
        <v>82</v>
      </c>
      <c r="N151" s="38"/>
      <c r="O151" s="37">
        <v>40</v>
      </c>
      <c r="P151" s="75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5"/>
      <c r="R151" s="565"/>
      <c r="S151" s="565"/>
      <c r="T151" s="566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270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customHeight="1" x14ac:dyDescent="0.25">
      <c r="A152" s="63" t="s">
        <v>271</v>
      </c>
      <c r="B152" s="63" t="s">
        <v>272</v>
      </c>
      <c r="C152" s="36">
        <v>4301031456</v>
      </c>
      <c r="D152" s="563">
        <v>4680115887398</v>
      </c>
      <c r="E152" s="563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120</v>
      </c>
      <c r="L152" s="37" t="s">
        <v>45</v>
      </c>
      <c r="M152" s="38" t="s">
        <v>82</v>
      </c>
      <c r="N152" s="38"/>
      <c r="O152" s="37">
        <v>40</v>
      </c>
      <c r="P152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5"/>
      <c r="R152" s="565"/>
      <c r="S152" s="565"/>
      <c r="T152" s="566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273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x14ac:dyDescent="0.2">
      <c r="A153" s="570"/>
      <c r="B153" s="570"/>
      <c r="C153" s="570"/>
      <c r="D153" s="570"/>
      <c r="E153" s="570"/>
      <c r="F153" s="570"/>
      <c r="G153" s="570"/>
      <c r="H153" s="570"/>
      <c r="I153" s="570"/>
      <c r="J153" s="570"/>
      <c r="K153" s="570"/>
      <c r="L153" s="570"/>
      <c r="M153" s="570"/>
      <c r="N153" s="570"/>
      <c r="O153" s="571"/>
      <c r="P153" s="567" t="s">
        <v>40</v>
      </c>
      <c r="Q153" s="568"/>
      <c r="R153" s="568"/>
      <c r="S153" s="568"/>
      <c r="T153" s="568"/>
      <c r="U153" s="568"/>
      <c r="V153" s="569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x14ac:dyDescent="0.2">
      <c r="A154" s="570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1"/>
      <c r="P154" s="567" t="s">
        <v>40</v>
      </c>
      <c r="Q154" s="568"/>
      <c r="R154" s="568"/>
      <c r="S154" s="568"/>
      <c r="T154" s="568"/>
      <c r="U154" s="568"/>
      <c r="V154" s="569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customHeight="1" x14ac:dyDescent="0.25">
      <c r="A155" s="562" t="s">
        <v>88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66"/>
      <c r="AB155" s="66"/>
      <c r="AC155" s="80"/>
    </row>
    <row r="156" spans="1:68" ht="27" customHeight="1" x14ac:dyDescent="0.25">
      <c r="A156" s="63" t="s">
        <v>274</v>
      </c>
      <c r="B156" s="63" t="s">
        <v>275</v>
      </c>
      <c r="C156" s="36">
        <v>4301052064</v>
      </c>
      <c r="D156" s="563">
        <v>4680115887459</v>
      </c>
      <c r="E156" s="563"/>
      <c r="F156" s="62">
        <v>0.3</v>
      </c>
      <c r="G156" s="37">
        <v>6</v>
      </c>
      <c r="H156" s="62">
        <v>1.8</v>
      </c>
      <c r="I156" s="62">
        <v>2.0579999999999998</v>
      </c>
      <c r="J156" s="37">
        <v>182</v>
      </c>
      <c r="K156" s="37" t="s">
        <v>83</v>
      </c>
      <c r="L156" s="37" t="s">
        <v>45</v>
      </c>
      <c r="M156" s="38" t="s">
        <v>92</v>
      </c>
      <c r="N156" s="38"/>
      <c r="O156" s="37">
        <v>45</v>
      </c>
      <c r="P156" s="74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65"/>
      <c r="R156" s="565"/>
      <c r="S156" s="565"/>
      <c r="T156" s="566"/>
      <c r="U156" s="39" t="s">
        <v>45</v>
      </c>
      <c r="V156" s="39" t="s">
        <v>45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45</v>
      </c>
      <c r="AB156" s="69" t="s">
        <v>45</v>
      </c>
      <c r="AC156" s="214" t="s">
        <v>276</v>
      </c>
      <c r="AG156" s="78"/>
      <c r="AJ156" s="84" t="s">
        <v>45</v>
      </c>
      <c r="AK156" s="84">
        <v>0</v>
      </c>
      <c r="BB156" s="215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x14ac:dyDescent="0.2">
      <c r="A157" s="570"/>
      <c r="B157" s="570"/>
      <c r="C157" s="570"/>
      <c r="D157" s="570"/>
      <c r="E157" s="570"/>
      <c r="F157" s="570"/>
      <c r="G157" s="570"/>
      <c r="H157" s="570"/>
      <c r="I157" s="570"/>
      <c r="J157" s="570"/>
      <c r="K157" s="570"/>
      <c r="L157" s="570"/>
      <c r="M157" s="570"/>
      <c r="N157" s="570"/>
      <c r="O157" s="571"/>
      <c r="P157" s="567" t="s">
        <v>40</v>
      </c>
      <c r="Q157" s="568"/>
      <c r="R157" s="568"/>
      <c r="S157" s="568"/>
      <c r="T157" s="568"/>
      <c r="U157" s="568"/>
      <c r="V157" s="569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570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1"/>
      <c r="P158" s="567" t="s">
        <v>40</v>
      </c>
      <c r="Q158" s="568"/>
      <c r="R158" s="568"/>
      <c r="S158" s="568"/>
      <c r="T158" s="568"/>
      <c r="U158" s="568"/>
      <c r="V158" s="569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27.75" customHeight="1" x14ac:dyDescent="0.2">
      <c r="A159" s="588" t="s">
        <v>277</v>
      </c>
      <c r="B159" s="588"/>
      <c r="C159" s="588"/>
      <c r="D159" s="588"/>
      <c r="E159" s="588"/>
      <c r="F159" s="588"/>
      <c r="G159" s="588"/>
      <c r="H159" s="588"/>
      <c r="I159" s="588"/>
      <c r="J159" s="588"/>
      <c r="K159" s="588"/>
      <c r="L159" s="588"/>
      <c r="M159" s="588"/>
      <c r="N159" s="588"/>
      <c r="O159" s="588"/>
      <c r="P159" s="588"/>
      <c r="Q159" s="588"/>
      <c r="R159" s="588"/>
      <c r="S159" s="588"/>
      <c r="T159" s="588"/>
      <c r="U159" s="588"/>
      <c r="V159" s="588"/>
      <c r="W159" s="588"/>
      <c r="X159" s="588"/>
      <c r="Y159" s="588"/>
      <c r="Z159" s="588"/>
      <c r="AA159" s="54"/>
      <c r="AB159" s="54"/>
      <c r="AC159" s="54"/>
    </row>
    <row r="160" spans="1:68" ht="16.5" customHeight="1" x14ac:dyDescent="0.25">
      <c r="A160" s="578" t="s">
        <v>278</v>
      </c>
      <c r="B160" s="578"/>
      <c r="C160" s="578"/>
      <c r="D160" s="578"/>
      <c r="E160" s="578"/>
      <c r="F160" s="578"/>
      <c r="G160" s="578"/>
      <c r="H160" s="578"/>
      <c r="I160" s="578"/>
      <c r="J160" s="578"/>
      <c r="K160" s="578"/>
      <c r="L160" s="578"/>
      <c r="M160" s="578"/>
      <c r="N160" s="578"/>
      <c r="O160" s="578"/>
      <c r="P160" s="578"/>
      <c r="Q160" s="578"/>
      <c r="R160" s="578"/>
      <c r="S160" s="578"/>
      <c r="T160" s="578"/>
      <c r="U160" s="578"/>
      <c r="V160" s="578"/>
      <c r="W160" s="578"/>
      <c r="X160" s="578"/>
      <c r="Y160" s="578"/>
      <c r="Z160" s="578"/>
      <c r="AA160" s="65"/>
      <c r="AB160" s="65"/>
      <c r="AC160" s="79"/>
    </row>
    <row r="161" spans="1:68" ht="14.25" customHeight="1" x14ac:dyDescent="0.25">
      <c r="A161" s="562" t="s">
        <v>146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66"/>
      <c r="AB161" s="66"/>
      <c r="AC161" s="80"/>
    </row>
    <row r="162" spans="1:68" ht="27" customHeight="1" x14ac:dyDescent="0.25">
      <c r="A162" s="63" t="s">
        <v>279</v>
      </c>
      <c r="B162" s="63" t="s">
        <v>280</v>
      </c>
      <c r="C162" s="36">
        <v>4301020323</v>
      </c>
      <c r="D162" s="563">
        <v>4680115886223</v>
      </c>
      <c r="E162" s="563"/>
      <c r="F162" s="62">
        <v>0.33</v>
      </c>
      <c r="G162" s="37">
        <v>6</v>
      </c>
      <c r="H162" s="62">
        <v>1.98</v>
      </c>
      <c r="I162" s="62">
        <v>2.08</v>
      </c>
      <c r="J162" s="37">
        <v>234</v>
      </c>
      <c r="K162" s="37" t="s">
        <v>87</v>
      </c>
      <c r="L162" s="37" t="s">
        <v>45</v>
      </c>
      <c r="M162" s="38" t="s">
        <v>82</v>
      </c>
      <c r="N162" s="38"/>
      <c r="O162" s="37">
        <v>40</v>
      </c>
      <c r="P162" s="74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65"/>
      <c r="R162" s="565"/>
      <c r="S162" s="565"/>
      <c r="T162" s="566"/>
      <c r="U162" s="39" t="s">
        <v>45</v>
      </c>
      <c r="V162" s="39" t="s">
        <v>45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IFERROR(IF(Y162=0,"",ROUNDUP(Y162/H162,0)*0.00502),"")</f>
        <v/>
      </c>
      <c r="AA162" s="68" t="s">
        <v>45</v>
      </c>
      <c r="AB162" s="69" t="s">
        <v>45</v>
      </c>
      <c r="AC162" s="216" t="s">
        <v>281</v>
      </c>
      <c r="AG162" s="78"/>
      <c r="AJ162" s="84" t="s">
        <v>45</v>
      </c>
      <c r="AK162" s="84">
        <v>0</v>
      </c>
      <c r="BB162" s="217" t="s">
        <v>66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570"/>
      <c r="B163" s="570"/>
      <c r="C163" s="570"/>
      <c r="D163" s="570"/>
      <c r="E163" s="570"/>
      <c r="F163" s="570"/>
      <c r="G163" s="570"/>
      <c r="H163" s="570"/>
      <c r="I163" s="570"/>
      <c r="J163" s="570"/>
      <c r="K163" s="570"/>
      <c r="L163" s="570"/>
      <c r="M163" s="570"/>
      <c r="N163" s="570"/>
      <c r="O163" s="571"/>
      <c r="P163" s="567" t="s">
        <v>40</v>
      </c>
      <c r="Q163" s="568"/>
      <c r="R163" s="568"/>
      <c r="S163" s="568"/>
      <c r="T163" s="568"/>
      <c r="U163" s="568"/>
      <c r="V163" s="569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570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1"/>
      <c r="P164" s="567" t="s">
        <v>40</v>
      </c>
      <c r="Q164" s="568"/>
      <c r="R164" s="568"/>
      <c r="S164" s="568"/>
      <c r="T164" s="568"/>
      <c r="U164" s="568"/>
      <c r="V164" s="569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 x14ac:dyDescent="0.25">
      <c r="A165" s="562" t="s">
        <v>78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66"/>
      <c r="AB165" s="66"/>
      <c r="AC165" s="80"/>
    </row>
    <row r="166" spans="1:68" ht="27" customHeight="1" x14ac:dyDescent="0.25">
      <c r="A166" s="63" t="s">
        <v>282</v>
      </c>
      <c r="B166" s="63" t="s">
        <v>283</v>
      </c>
      <c r="C166" s="36">
        <v>4301031191</v>
      </c>
      <c r="D166" s="563">
        <v>4680115880993</v>
      </c>
      <c r="E166" s="563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120</v>
      </c>
      <c r="L166" s="37" t="s">
        <v>121</v>
      </c>
      <c r="M166" s="38" t="s">
        <v>82</v>
      </c>
      <c r="N166" s="38"/>
      <c r="O166" s="37">
        <v>40</v>
      </c>
      <c r="P166" s="7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5"/>
      <c r="R166" s="565"/>
      <c r="S166" s="565"/>
      <c r="T166" s="56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ref="Y166:Y179" si="10">IFERROR(IF(X166="",0,CEILING((X166/$H166),1)*$H166),"")</f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117</v>
      </c>
      <c r="AK166" s="84">
        <v>50.4</v>
      </c>
      <c r="BB166" s="219" t="s">
        <v>66</v>
      </c>
      <c r="BM166" s="78">
        <f t="shared" ref="BM166:BM179" si="11">IFERROR(X166*I166/H166,"0")</f>
        <v>0</v>
      </c>
      <c r="BN166" s="78">
        <f t="shared" ref="BN166:BN179" si="12">IFERROR(Y166*I166/H166,"0")</f>
        <v>0</v>
      </c>
      <c r="BO166" s="78">
        <f t="shared" ref="BO166:BO179" si="13">IFERROR(1/J166*(X166/H166),"0")</f>
        <v>0</v>
      </c>
      <c r="BP166" s="78">
        <f t="shared" ref="BP166:BP179" si="14">IFERROR(1/J166*(Y166/H166),"0")</f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4301031204</v>
      </c>
      <c r="D167" s="563">
        <v>4680115881761</v>
      </c>
      <c r="E167" s="563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120</v>
      </c>
      <c r="L167" s="37" t="s">
        <v>121</v>
      </c>
      <c r="M167" s="38" t="s">
        <v>82</v>
      </c>
      <c r="N167" s="38"/>
      <c r="O167" s="37">
        <v>40</v>
      </c>
      <c r="P167" s="7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5"/>
      <c r="R167" s="565"/>
      <c r="S167" s="565"/>
      <c r="T167" s="56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117</v>
      </c>
      <c r="AK167" s="84">
        <v>50.4</v>
      </c>
      <c r="BB167" s="221" t="s">
        <v>66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customHeight="1" x14ac:dyDescent="0.25">
      <c r="A168" s="63" t="s">
        <v>288</v>
      </c>
      <c r="B168" s="63" t="s">
        <v>289</v>
      </c>
      <c r="C168" s="36">
        <v>4301031201</v>
      </c>
      <c r="D168" s="563">
        <v>4680115881563</v>
      </c>
      <c r="E168" s="563"/>
      <c r="F168" s="62">
        <v>0.7</v>
      </c>
      <c r="G168" s="37">
        <v>6</v>
      </c>
      <c r="H168" s="62">
        <v>4.2</v>
      </c>
      <c r="I168" s="62">
        <v>4.3899999999999997</v>
      </c>
      <c r="J168" s="37">
        <v>132</v>
      </c>
      <c r="K168" s="37" t="s">
        <v>120</v>
      </c>
      <c r="L168" s="37" t="s">
        <v>121</v>
      </c>
      <c r="M168" s="38" t="s">
        <v>82</v>
      </c>
      <c r="N168" s="38"/>
      <c r="O168" s="37">
        <v>40</v>
      </c>
      <c r="P168" s="7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5"/>
      <c r="R168" s="565"/>
      <c r="S168" s="565"/>
      <c r="T168" s="56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290</v>
      </c>
      <c r="AG168" s="78"/>
      <c r="AJ168" s="84" t="s">
        <v>117</v>
      </c>
      <c r="AK168" s="84">
        <v>50.4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37.5" customHeight="1" x14ac:dyDescent="0.25">
      <c r="A169" s="63" t="s">
        <v>291</v>
      </c>
      <c r="B169" s="63" t="s">
        <v>292</v>
      </c>
      <c r="C169" s="36">
        <v>4301031447</v>
      </c>
      <c r="D169" s="563">
        <v>4680115887565</v>
      </c>
      <c r="E169" s="563"/>
      <c r="F169" s="62">
        <v>0.08</v>
      </c>
      <c r="G169" s="37">
        <v>10</v>
      </c>
      <c r="H169" s="62">
        <v>0.8</v>
      </c>
      <c r="I169" s="62">
        <v>0.93</v>
      </c>
      <c r="J169" s="37">
        <v>216</v>
      </c>
      <c r="K169" s="37" t="s">
        <v>87</v>
      </c>
      <c r="L169" s="37" t="s">
        <v>45</v>
      </c>
      <c r="M169" s="38" t="s">
        <v>82</v>
      </c>
      <c r="N169" s="38"/>
      <c r="O169" s="37">
        <v>45</v>
      </c>
      <c r="P169" s="7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65"/>
      <c r="R169" s="565"/>
      <c r="S169" s="565"/>
      <c r="T169" s="56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IFERROR(IF(Y169=0,"",ROUNDUP(Y169/H169,0)*0.00556),"")</f>
        <v/>
      </c>
      <c r="AA169" s="68" t="s">
        <v>45</v>
      </c>
      <c r="AB169" s="69" t="s">
        <v>45</v>
      </c>
      <c r="AC169" s="224" t="s">
        <v>293</v>
      </c>
      <c r="AG169" s="78"/>
      <c r="AJ169" s="84" t="s">
        <v>45</v>
      </c>
      <c r="AK169" s="84">
        <v>0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4301031199</v>
      </c>
      <c r="D170" s="563">
        <v>4680115880986</v>
      </c>
      <c r="E170" s="563"/>
      <c r="F170" s="62">
        <v>0.35</v>
      </c>
      <c r="G170" s="37">
        <v>6</v>
      </c>
      <c r="H170" s="62">
        <v>2.1</v>
      </c>
      <c r="I170" s="62">
        <v>2.23</v>
      </c>
      <c r="J170" s="37">
        <v>234</v>
      </c>
      <c r="K170" s="37" t="s">
        <v>87</v>
      </c>
      <c r="L170" s="37" t="s">
        <v>296</v>
      </c>
      <c r="M170" s="38" t="s">
        <v>82</v>
      </c>
      <c r="N170" s="38"/>
      <c r="O170" s="37">
        <v>40</v>
      </c>
      <c r="P170" s="7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65"/>
      <c r="R170" s="565"/>
      <c r="S170" s="565"/>
      <c r="T170" s="56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284</v>
      </c>
      <c r="AG170" s="78"/>
      <c r="AJ170" s="84" t="s">
        <v>117</v>
      </c>
      <c r="AK170" s="84">
        <v>37.799999999999997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297</v>
      </c>
      <c r="B171" s="63" t="s">
        <v>298</v>
      </c>
      <c r="C171" s="36">
        <v>4301031443</v>
      </c>
      <c r="D171" s="563">
        <v>4680115887213</v>
      </c>
      <c r="E171" s="563"/>
      <c r="F171" s="62">
        <v>0.3</v>
      </c>
      <c r="G171" s="37">
        <v>6</v>
      </c>
      <c r="H171" s="62">
        <v>1.8</v>
      </c>
      <c r="I171" s="62">
        <v>1.9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45</v>
      </c>
      <c r="P171" s="7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65"/>
      <c r="R171" s="565"/>
      <c r="S171" s="565"/>
      <c r="T171" s="566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299</v>
      </c>
      <c r="AG171" s="78"/>
      <c r="AJ171" s="84" t="s">
        <v>45</v>
      </c>
      <c r="AK171" s="84">
        <v>0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300</v>
      </c>
      <c r="B172" s="63" t="s">
        <v>301</v>
      </c>
      <c r="C172" s="36">
        <v>4301031205</v>
      </c>
      <c r="D172" s="563">
        <v>4680115881785</v>
      </c>
      <c r="E172" s="563"/>
      <c r="F172" s="62">
        <v>0.35</v>
      </c>
      <c r="G172" s="37">
        <v>6</v>
      </c>
      <c r="H172" s="62">
        <v>2.1</v>
      </c>
      <c r="I172" s="62">
        <v>2.23</v>
      </c>
      <c r="J172" s="37">
        <v>234</v>
      </c>
      <c r="K172" s="37" t="s">
        <v>87</v>
      </c>
      <c r="L172" s="37" t="s">
        <v>296</v>
      </c>
      <c r="M172" s="38" t="s">
        <v>82</v>
      </c>
      <c r="N172" s="38"/>
      <c r="O172" s="37">
        <v>40</v>
      </c>
      <c r="P172" s="73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65"/>
      <c r="R172" s="565"/>
      <c r="S172" s="565"/>
      <c r="T172" s="566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287</v>
      </c>
      <c r="AG172" s="78"/>
      <c r="AJ172" s="84" t="s">
        <v>117</v>
      </c>
      <c r="AK172" s="84">
        <v>37.799999999999997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302</v>
      </c>
      <c r="B173" s="63" t="s">
        <v>303</v>
      </c>
      <c r="C173" s="36">
        <v>4301031463</v>
      </c>
      <c r="D173" s="563">
        <v>4680115887824</v>
      </c>
      <c r="E173" s="563"/>
      <c r="F173" s="62">
        <v>0.15</v>
      </c>
      <c r="G173" s="37">
        <v>16</v>
      </c>
      <c r="H173" s="62">
        <v>2.4</v>
      </c>
      <c r="I173" s="62">
        <v>2.58</v>
      </c>
      <c r="J173" s="37">
        <v>182</v>
      </c>
      <c r="K173" s="37" t="s">
        <v>83</v>
      </c>
      <c r="L173" s="37" t="s">
        <v>45</v>
      </c>
      <c r="M173" s="38" t="s">
        <v>305</v>
      </c>
      <c r="N173" s="38"/>
      <c r="O173" s="37">
        <v>60</v>
      </c>
      <c r="P173" s="739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65"/>
      <c r="R173" s="565"/>
      <c r="S173" s="565"/>
      <c r="T173" s="566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IFERROR(IF(Y173=0,"",ROUNDUP(Y173/H173,0)*0.00651),"")</f>
        <v/>
      </c>
      <c r="AA173" s="68" t="s">
        <v>45</v>
      </c>
      <c r="AB173" s="69" t="s">
        <v>45</v>
      </c>
      <c r="AC173" s="232" t="s">
        <v>304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306</v>
      </c>
      <c r="B174" s="63" t="s">
        <v>307</v>
      </c>
      <c r="C174" s="36">
        <v>4301031464</v>
      </c>
      <c r="D174" s="563">
        <v>4680115887701</v>
      </c>
      <c r="E174" s="563"/>
      <c r="F174" s="62">
        <v>0.3</v>
      </c>
      <c r="G174" s="37">
        <v>8</v>
      </c>
      <c r="H174" s="62">
        <v>2.4</v>
      </c>
      <c r="I174" s="62">
        <v>2.58</v>
      </c>
      <c r="J174" s="37">
        <v>182</v>
      </c>
      <c r="K174" s="37" t="s">
        <v>83</v>
      </c>
      <c r="L174" s="37" t="s">
        <v>45</v>
      </c>
      <c r="M174" s="38" t="s">
        <v>305</v>
      </c>
      <c r="N174" s="38"/>
      <c r="O174" s="37">
        <v>60</v>
      </c>
      <c r="P174" s="74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65"/>
      <c r="R174" s="565"/>
      <c r="S174" s="565"/>
      <c r="T174" s="566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304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4301031399</v>
      </c>
      <c r="D175" s="563">
        <v>4680115886537</v>
      </c>
      <c r="E175" s="563"/>
      <c r="F175" s="62">
        <v>0.3</v>
      </c>
      <c r="G175" s="37">
        <v>6</v>
      </c>
      <c r="H175" s="62">
        <v>1.8</v>
      </c>
      <c r="I175" s="62">
        <v>1.93</v>
      </c>
      <c r="J175" s="37">
        <v>234</v>
      </c>
      <c r="K175" s="37" t="s">
        <v>87</v>
      </c>
      <c r="L175" s="37" t="s">
        <v>45</v>
      </c>
      <c r="M175" s="38" t="s">
        <v>82</v>
      </c>
      <c r="N175" s="38"/>
      <c r="O175" s="37">
        <v>40</v>
      </c>
      <c r="P175" s="74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65"/>
      <c r="R175" s="565"/>
      <c r="S175" s="565"/>
      <c r="T175" s="566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310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4301031279</v>
      </c>
      <c r="D176" s="563">
        <v>4680115887596</v>
      </c>
      <c r="E176" s="563"/>
      <c r="F176" s="62">
        <v>0.08</v>
      </c>
      <c r="G176" s="37">
        <v>10</v>
      </c>
      <c r="H176" s="62">
        <v>0.8</v>
      </c>
      <c r="I176" s="62">
        <v>1.01</v>
      </c>
      <c r="J176" s="37">
        <v>336</v>
      </c>
      <c r="K176" s="37" t="s">
        <v>185</v>
      </c>
      <c r="L176" s="37" t="s">
        <v>45</v>
      </c>
      <c r="M176" s="38" t="s">
        <v>82</v>
      </c>
      <c r="N176" s="38"/>
      <c r="O176" s="37">
        <v>45</v>
      </c>
      <c r="P176" s="7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65"/>
      <c r="R176" s="565"/>
      <c r="S176" s="565"/>
      <c r="T176" s="566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45</v>
      </c>
      <c r="AB176" s="69" t="s">
        <v>45</v>
      </c>
      <c r="AC176" s="238" t="s">
        <v>313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37.5" customHeight="1" x14ac:dyDescent="0.25">
      <c r="A177" s="63" t="s">
        <v>314</v>
      </c>
      <c r="B177" s="63" t="s">
        <v>315</v>
      </c>
      <c r="C177" s="36">
        <v>4301031202</v>
      </c>
      <c r="D177" s="563">
        <v>4680115881679</v>
      </c>
      <c r="E177" s="563"/>
      <c r="F177" s="62">
        <v>0.35</v>
      </c>
      <c r="G177" s="37">
        <v>6</v>
      </c>
      <c r="H177" s="62">
        <v>2.1</v>
      </c>
      <c r="I177" s="62">
        <v>2.2000000000000002</v>
      </c>
      <c r="J177" s="37">
        <v>234</v>
      </c>
      <c r="K177" s="37" t="s">
        <v>87</v>
      </c>
      <c r="L177" s="37" t="s">
        <v>296</v>
      </c>
      <c r="M177" s="38" t="s">
        <v>82</v>
      </c>
      <c r="N177" s="38"/>
      <c r="O177" s="37">
        <v>40</v>
      </c>
      <c r="P177" s="7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65"/>
      <c r="R177" s="565"/>
      <c r="S177" s="565"/>
      <c r="T177" s="566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290</v>
      </c>
      <c r="AG177" s="78"/>
      <c r="AJ177" s="84" t="s">
        <v>117</v>
      </c>
      <c r="AK177" s="84">
        <v>37.799999999999997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customHeight="1" x14ac:dyDescent="0.25">
      <c r="A178" s="63" t="s">
        <v>316</v>
      </c>
      <c r="B178" s="63" t="s">
        <v>317</v>
      </c>
      <c r="C178" s="36">
        <v>4301031158</v>
      </c>
      <c r="D178" s="563">
        <v>4680115880191</v>
      </c>
      <c r="E178" s="563"/>
      <c r="F178" s="62">
        <v>0.4</v>
      </c>
      <c r="G178" s="37">
        <v>6</v>
      </c>
      <c r="H178" s="62">
        <v>2.4</v>
      </c>
      <c r="I178" s="62">
        <v>2.58</v>
      </c>
      <c r="J178" s="37">
        <v>182</v>
      </c>
      <c r="K178" s="37" t="s">
        <v>83</v>
      </c>
      <c r="L178" s="37" t="s">
        <v>45</v>
      </c>
      <c r="M178" s="38" t="s">
        <v>82</v>
      </c>
      <c r="N178" s="38"/>
      <c r="O178" s="37">
        <v>40</v>
      </c>
      <c r="P178" s="7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65"/>
      <c r="R178" s="565"/>
      <c r="S178" s="565"/>
      <c r="T178" s="566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IFERROR(IF(Y178=0,"",ROUNDUP(Y178/H178,0)*0.00651),"")</f>
        <v/>
      </c>
      <c r="AA178" s="68" t="s">
        <v>45</v>
      </c>
      <c r="AB178" s="69" t="s">
        <v>45</v>
      </c>
      <c r="AC178" s="242" t="s">
        <v>290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318</v>
      </c>
      <c r="B179" s="63" t="s">
        <v>319</v>
      </c>
      <c r="C179" s="36">
        <v>4301031245</v>
      </c>
      <c r="D179" s="563">
        <v>4680115883963</v>
      </c>
      <c r="E179" s="56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87</v>
      </c>
      <c r="L179" s="37" t="s">
        <v>45</v>
      </c>
      <c r="M179" s="38" t="s">
        <v>82</v>
      </c>
      <c r="N179" s="38"/>
      <c r="O179" s="37">
        <v>40</v>
      </c>
      <c r="P179" s="7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65"/>
      <c r="R179" s="565"/>
      <c r="S179" s="565"/>
      <c r="T179" s="566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320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x14ac:dyDescent="0.2">
      <c r="A180" s="570"/>
      <c r="B180" s="570"/>
      <c r="C180" s="570"/>
      <c r="D180" s="570"/>
      <c r="E180" s="570"/>
      <c r="F180" s="570"/>
      <c r="G180" s="570"/>
      <c r="H180" s="570"/>
      <c r="I180" s="570"/>
      <c r="J180" s="570"/>
      <c r="K180" s="570"/>
      <c r="L180" s="570"/>
      <c r="M180" s="570"/>
      <c r="N180" s="570"/>
      <c r="O180" s="571"/>
      <c r="P180" s="567" t="s">
        <v>40</v>
      </c>
      <c r="Q180" s="568"/>
      <c r="R180" s="568"/>
      <c r="S180" s="568"/>
      <c r="T180" s="568"/>
      <c r="U180" s="568"/>
      <c r="V180" s="569"/>
      <c r="W180" s="42" t="s">
        <v>39</v>
      </c>
      <c r="X180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"/>
      <c r="AB180" s="67"/>
      <c r="AC180" s="67"/>
    </row>
    <row r="181" spans="1:68" x14ac:dyDescent="0.2">
      <c r="A181" s="570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1"/>
      <c r="P181" s="567" t="s">
        <v>40</v>
      </c>
      <c r="Q181" s="568"/>
      <c r="R181" s="568"/>
      <c r="S181" s="568"/>
      <c r="T181" s="568"/>
      <c r="U181" s="568"/>
      <c r="V181" s="569"/>
      <c r="W181" s="42" t="s">
        <v>0</v>
      </c>
      <c r="X181" s="43">
        <f>IFERROR(SUM(X166:X179),"0")</f>
        <v>0</v>
      </c>
      <c r="Y181" s="43">
        <f>IFERROR(SUM(Y166:Y179),"0")</f>
        <v>0</v>
      </c>
      <c r="Z181" s="42"/>
      <c r="AA181" s="67"/>
      <c r="AB181" s="67"/>
      <c r="AC181" s="67"/>
    </row>
    <row r="182" spans="1:68" ht="14.25" customHeight="1" x14ac:dyDescent="0.25">
      <c r="A182" s="562" t="s">
        <v>102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66"/>
      <c r="AB182" s="66"/>
      <c r="AC182" s="80"/>
    </row>
    <row r="183" spans="1:68" ht="27" customHeight="1" x14ac:dyDescent="0.25">
      <c r="A183" s="63" t="s">
        <v>321</v>
      </c>
      <c r="B183" s="63" t="s">
        <v>322</v>
      </c>
      <c r="C183" s="36">
        <v>4301032053</v>
      </c>
      <c r="D183" s="563">
        <v>4680115886780</v>
      </c>
      <c r="E183" s="563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324</v>
      </c>
      <c r="L183" s="37" t="s">
        <v>45</v>
      </c>
      <c r="M183" s="38" t="s">
        <v>305</v>
      </c>
      <c r="N183" s="38"/>
      <c r="O183" s="37">
        <v>60</v>
      </c>
      <c r="P183" s="7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65"/>
      <c r="R183" s="565"/>
      <c r="S183" s="565"/>
      <c r="T183" s="566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323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325</v>
      </c>
      <c r="B184" s="63" t="s">
        <v>326</v>
      </c>
      <c r="C184" s="36">
        <v>4301032051</v>
      </c>
      <c r="D184" s="563">
        <v>4680115886742</v>
      </c>
      <c r="E184" s="563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324</v>
      </c>
      <c r="L184" s="37" t="s">
        <v>45</v>
      </c>
      <c r="M184" s="38" t="s">
        <v>305</v>
      </c>
      <c r="N184" s="38"/>
      <c r="O184" s="37">
        <v>90</v>
      </c>
      <c r="P184" s="7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65"/>
      <c r="R184" s="565"/>
      <c r="S184" s="565"/>
      <c r="T184" s="566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327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customHeight="1" x14ac:dyDescent="0.25">
      <c r="A185" s="63" t="s">
        <v>328</v>
      </c>
      <c r="B185" s="63" t="s">
        <v>329</v>
      </c>
      <c r="C185" s="36">
        <v>4301032052</v>
      </c>
      <c r="D185" s="563">
        <v>4680115886766</v>
      </c>
      <c r="E185" s="563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324</v>
      </c>
      <c r="L185" s="37" t="s">
        <v>45</v>
      </c>
      <c r="M185" s="38" t="s">
        <v>305</v>
      </c>
      <c r="N185" s="38"/>
      <c r="O185" s="37">
        <v>90</v>
      </c>
      <c r="P185" s="7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65"/>
      <c r="R185" s="565"/>
      <c r="S185" s="565"/>
      <c r="T185" s="566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327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x14ac:dyDescent="0.2">
      <c r="A186" s="570"/>
      <c r="B186" s="570"/>
      <c r="C186" s="570"/>
      <c r="D186" s="570"/>
      <c r="E186" s="570"/>
      <c r="F186" s="570"/>
      <c r="G186" s="570"/>
      <c r="H186" s="570"/>
      <c r="I186" s="570"/>
      <c r="J186" s="570"/>
      <c r="K186" s="570"/>
      <c r="L186" s="570"/>
      <c r="M186" s="570"/>
      <c r="N186" s="570"/>
      <c r="O186" s="571"/>
      <c r="P186" s="567" t="s">
        <v>40</v>
      </c>
      <c r="Q186" s="568"/>
      <c r="R186" s="568"/>
      <c r="S186" s="568"/>
      <c r="T186" s="568"/>
      <c r="U186" s="568"/>
      <c r="V186" s="569"/>
      <c r="W186" s="42" t="s">
        <v>39</v>
      </c>
      <c r="X186" s="43">
        <f>IFERROR(X183/H183,"0")+IFERROR(X184/H184,"0")+IFERROR(X185/H185,"0")</f>
        <v>0</v>
      </c>
      <c r="Y186" s="43">
        <f>IFERROR(Y183/H183,"0")+IFERROR(Y184/H184,"0")+IFERROR(Y185/H185,"0")</f>
        <v>0</v>
      </c>
      <c r="Z186" s="43">
        <f>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570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1"/>
      <c r="P187" s="567" t="s">
        <v>40</v>
      </c>
      <c r="Q187" s="568"/>
      <c r="R187" s="568"/>
      <c r="S187" s="568"/>
      <c r="T187" s="568"/>
      <c r="U187" s="568"/>
      <c r="V187" s="569"/>
      <c r="W187" s="42" t="s">
        <v>0</v>
      </c>
      <c r="X187" s="43">
        <f>IFERROR(SUM(X183:X185),"0")</f>
        <v>0</v>
      </c>
      <c r="Y187" s="43">
        <f>IFERROR(SUM(Y183:Y185),"0")</f>
        <v>0</v>
      </c>
      <c r="Z187" s="42"/>
      <c r="AA187" s="67"/>
      <c r="AB187" s="67"/>
      <c r="AC187" s="67"/>
    </row>
    <row r="188" spans="1:68" ht="14.25" customHeight="1" x14ac:dyDescent="0.25">
      <c r="A188" s="562" t="s">
        <v>330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66"/>
      <c r="AB188" s="66"/>
      <c r="AC188" s="80"/>
    </row>
    <row r="189" spans="1:68" ht="27" customHeight="1" x14ac:dyDescent="0.25">
      <c r="A189" s="63" t="s">
        <v>331</v>
      </c>
      <c r="B189" s="63" t="s">
        <v>332</v>
      </c>
      <c r="C189" s="36">
        <v>4301170013</v>
      </c>
      <c r="D189" s="563">
        <v>4680115886797</v>
      </c>
      <c r="E189" s="563"/>
      <c r="F189" s="62">
        <v>7.0000000000000007E-2</v>
      </c>
      <c r="G189" s="37">
        <v>18</v>
      </c>
      <c r="H189" s="62">
        <v>1.26</v>
      </c>
      <c r="I189" s="62">
        <v>1.45</v>
      </c>
      <c r="J189" s="37">
        <v>216</v>
      </c>
      <c r="K189" s="37" t="s">
        <v>324</v>
      </c>
      <c r="L189" s="37" t="s">
        <v>45</v>
      </c>
      <c r="M189" s="38" t="s">
        <v>305</v>
      </c>
      <c r="N189" s="38"/>
      <c r="O189" s="37">
        <v>90</v>
      </c>
      <c r="P189" s="72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65"/>
      <c r="R189" s="565"/>
      <c r="S189" s="565"/>
      <c r="T189" s="566"/>
      <c r="U189" s="39" t="s">
        <v>45</v>
      </c>
      <c r="V189" s="39" t="s">
        <v>45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45</v>
      </c>
      <c r="AB189" s="69" t="s">
        <v>45</v>
      </c>
      <c r="AC189" s="252" t="s">
        <v>327</v>
      </c>
      <c r="AG189" s="78"/>
      <c r="AJ189" s="84" t="s">
        <v>45</v>
      </c>
      <c r="AK189" s="84">
        <v>0</v>
      </c>
      <c r="BB189" s="253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570"/>
      <c r="B190" s="570"/>
      <c r="C190" s="570"/>
      <c r="D190" s="570"/>
      <c r="E190" s="570"/>
      <c r="F190" s="570"/>
      <c r="G190" s="570"/>
      <c r="H190" s="570"/>
      <c r="I190" s="570"/>
      <c r="J190" s="570"/>
      <c r="K190" s="570"/>
      <c r="L190" s="570"/>
      <c r="M190" s="570"/>
      <c r="N190" s="570"/>
      <c r="O190" s="571"/>
      <c r="P190" s="567" t="s">
        <v>40</v>
      </c>
      <c r="Q190" s="568"/>
      <c r="R190" s="568"/>
      <c r="S190" s="568"/>
      <c r="T190" s="568"/>
      <c r="U190" s="568"/>
      <c r="V190" s="569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x14ac:dyDescent="0.2">
      <c r="A191" s="570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1"/>
      <c r="P191" s="567" t="s">
        <v>40</v>
      </c>
      <c r="Q191" s="568"/>
      <c r="R191" s="568"/>
      <c r="S191" s="568"/>
      <c r="T191" s="568"/>
      <c r="U191" s="568"/>
      <c r="V191" s="569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6.5" customHeight="1" x14ac:dyDescent="0.25">
      <c r="A192" s="578" t="s">
        <v>333</v>
      </c>
      <c r="B192" s="578"/>
      <c r="C192" s="578"/>
      <c r="D192" s="578"/>
      <c r="E192" s="578"/>
      <c r="F192" s="578"/>
      <c r="G192" s="578"/>
      <c r="H192" s="578"/>
      <c r="I192" s="578"/>
      <c r="J192" s="578"/>
      <c r="K192" s="578"/>
      <c r="L192" s="578"/>
      <c r="M192" s="578"/>
      <c r="N192" s="578"/>
      <c r="O192" s="578"/>
      <c r="P192" s="578"/>
      <c r="Q192" s="578"/>
      <c r="R192" s="578"/>
      <c r="S192" s="578"/>
      <c r="T192" s="578"/>
      <c r="U192" s="578"/>
      <c r="V192" s="578"/>
      <c r="W192" s="578"/>
      <c r="X192" s="578"/>
      <c r="Y192" s="578"/>
      <c r="Z192" s="578"/>
      <c r="AA192" s="65"/>
      <c r="AB192" s="65"/>
      <c r="AC192" s="79"/>
    </row>
    <row r="193" spans="1:68" ht="14.25" customHeight="1" x14ac:dyDescent="0.25">
      <c r="A193" s="562" t="s">
        <v>110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66"/>
      <c r="AB193" s="66"/>
      <c r="AC193" s="80"/>
    </row>
    <row r="194" spans="1:68" ht="27" customHeight="1" x14ac:dyDescent="0.25">
      <c r="A194" s="63" t="s">
        <v>334</v>
      </c>
      <c r="B194" s="63" t="s">
        <v>335</v>
      </c>
      <c r="C194" s="36">
        <v>4301011450</v>
      </c>
      <c r="D194" s="563">
        <v>4680115881402</v>
      </c>
      <c r="E194" s="563"/>
      <c r="F194" s="62">
        <v>1.35</v>
      </c>
      <c r="G194" s="37">
        <v>8</v>
      </c>
      <c r="H194" s="62">
        <v>10.8</v>
      </c>
      <c r="I194" s="62">
        <v>11.21</v>
      </c>
      <c r="J194" s="37">
        <v>64</v>
      </c>
      <c r="K194" s="37" t="s">
        <v>115</v>
      </c>
      <c r="L194" s="37" t="s">
        <v>45</v>
      </c>
      <c r="M194" s="38" t="s">
        <v>114</v>
      </c>
      <c r="N194" s="38"/>
      <c r="O194" s="37">
        <v>55</v>
      </c>
      <c r="P194" s="72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65"/>
      <c r="R194" s="565"/>
      <c r="S194" s="565"/>
      <c r="T194" s="566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IFERROR(IF(Y194=0,"",ROUNDUP(Y194/H194,0)*0.01898),"")</f>
        <v/>
      </c>
      <c r="AA194" s="68" t="s">
        <v>45</v>
      </c>
      <c r="AB194" s="69" t="s">
        <v>45</v>
      </c>
      <c r="AC194" s="254" t="s">
        <v>336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t="27" customHeight="1" x14ac:dyDescent="0.25">
      <c r="A195" s="63" t="s">
        <v>337</v>
      </c>
      <c r="B195" s="63" t="s">
        <v>338</v>
      </c>
      <c r="C195" s="36">
        <v>4301011768</v>
      </c>
      <c r="D195" s="563">
        <v>4680115881396</v>
      </c>
      <c r="E195" s="563"/>
      <c r="F195" s="62">
        <v>0.45</v>
      </c>
      <c r="G195" s="37">
        <v>6</v>
      </c>
      <c r="H195" s="62">
        <v>2.7</v>
      </c>
      <c r="I195" s="62">
        <v>2.88</v>
      </c>
      <c r="J195" s="37">
        <v>182</v>
      </c>
      <c r="K195" s="37" t="s">
        <v>83</v>
      </c>
      <c r="L195" s="37" t="s">
        <v>45</v>
      </c>
      <c r="M195" s="38" t="s">
        <v>114</v>
      </c>
      <c r="N195" s="38"/>
      <c r="O195" s="37">
        <v>55</v>
      </c>
      <c r="P195" s="7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65"/>
      <c r="R195" s="565"/>
      <c r="S195" s="565"/>
      <c r="T195" s="566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45</v>
      </c>
      <c r="AB195" s="69" t="s">
        <v>45</v>
      </c>
      <c r="AC195" s="256" t="s">
        <v>336</v>
      </c>
      <c r="AG195" s="78"/>
      <c r="AJ195" s="84" t="s">
        <v>45</v>
      </c>
      <c r="AK195" s="84">
        <v>0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x14ac:dyDescent="0.2">
      <c r="A196" s="570"/>
      <c r="B196" s="570"/>
      <c r="C196" s="570"/>
      <c r="D196" s="570"/>
      <c r="E196" s="570"/>
      <c r="F196" s="570"/>
      <c r="G196" s="570"/>
      <c r="H196" s="570"/>
      <c r="I196" s="570"/>
      <c r="J196" s="570"/>
      <c r="K196" s="570"/>
      <c r="L196" s="570"/>
      <c r="M196" s="570"/>
      <c r="N196" s="570"/>
      <c r="O196" s="571"/>
      <c r="P196" s="567" t="s">
        <v>40</v>
      </c>
      <c r="Q196" s="568"/>
      <c r="R196" s="568"/>
      <c r="S196" s="568"/>
      <c r="T196" s="568"/>
      <c r="U196" s="568"/>
      <c r="V196" s="569"/>
      <c r="W196" s="42" t="s">
        <v>39</v>
      </c>
      <c r="X196" s="43">
        <f>IFERROR(X194/H194,"0")+IFERROR(X195/H195,"0")</f>
        <v>0</v>
      </c>
      <c r="Y196" s="43">
        <f>IFERROR(Y194/H194,"0")+IFERROR(Y195/H195,"0")</f>
        <v>0</v>
      </c>
      <c r="Z196" s="43">
        <f>IFERROR(IF(Z194="",0,Z194),"0")+IFERROR(IF(Z195="",0,Z195),"0")</f>
        <v>0</v>
      </c>
      <c r="AA196" s="67"/>
      <c r="AB196" s="67"/>
      <c r="AC196" s="67"/>
    </row>
    <row r="197" spans="1:68" x14ac:dyDescent="0.2">
      <c r="A197" s="570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1"/>
      <c r="P197" s="567" t="s">
        <v>40</v>
      </c>
      <c r="Q197" s="568"/>
      <c r="R197" s="568"/>
      <c r="S197" s="568"/>
      <c r="T197" s="568"/>
      <c r="U197" s="568"/>
      <c r="V197" s="569"/>
      <c r="W197" s="42" t="s">
        <v>0</v>
      </c>
      <c r="X197" s="43">
        <f>IFERROR(SUM(X194:X195),"0")</f>
        <v>0</v>
      </c>
      <c r="Y197" s="43">
        <f>IFERROR(SUM(Y194:Y195),"0")</f>
        <v>0</v>
      </c>
      <c r="Z197" s="42"/>
      <c r="AA197" s="67"/>
      <c r="AB197" s="67"/>
      <c r="AC197" s="67"/>
    </row>
    <row r="198" spans="1:68" ht="14.25" customHeight="1" x14ac:dyDescent="0.25">
      <c r="A198" s="562" t="s">
        <v>146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66"/>
      <c r="AB198" s="66"/>
      <c r="AC198" s="80"/>
    </row>
    <row r="199" spans="1:68" ht="16.5" customHeight="1" x14ac:dyDescent="0.25">
      <c r="A199" s="63" t="s">
        <v>339</v>
      </c>
      <c r="B199" s="63" t="s">
        <v>340</v>
      </c>
      <c r="C199" s="36">
        <v>4301020261</v>
      </c>
      <c r="D199" s="563">
        <v>4680115882935</v>
      </c>
      <c r="E199" s="563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115</v>
      </c>
      <c r="L199" s="37" t="s">
        <v>45</v>
      </c>
      <c r="M199" s="38" t="s">
        <v>114</v>
      </c>
      <c r="N199" s="38"/>
      <c r="O199" s="37">
        <v>50</v>
      </c>
      <c r="P199" s="7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65"/>
      <c r="R199" s="565"/>
      <c r="S199" s="565"/>
      <c r="T199" s="566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45</v>
      </c>
      <c r="AB199" s="69" t="s">
        <v>45</v>
      </c>
      <c r="AC199" s="258" t="s">
        <v>341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342</v>
      </c>
      <c r="B200" s="63" t="s">
        <v>343</v>
      </c>
      <c r="C200" s="36">
        <v>4301020220</v>
      </c>
      <c r="D200" s="563">
        <v>4680115880764</v>
      </c>
      <c r="E200" s="563"/>
      <c r="F200" s="62">
        <v>0.35</v>
      </c>
      <c r="G200" s="37">
        <v>6</v>
      </c>
      <c r="H200" s="62">
        <v>2.1</v>
      </c>
      <c r="I200" s="62">
        <v>2.2799999999999998</v>
      </c>
      <c r="J200" s="37">
        <v>182</v>
      </c>
      <c r="K200" s="37" t="s">
        <v>83</v>
      </c>
      <c r="L200" s="37" t="s">
        <v>45</v>
      </c>
      <c r="M200" s="38" t="s">
        <v>114</v>
      </c>
      <c r="N200" s="38"/>
      <c r="O200" s="37">
        <v>50</v>
      </c>
      <c r="P200" s="7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65"/>
      <c r="R200" s="565"/>
      <c r="S200" s="565"/>
      <c r="T200" s="566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45</v>
      </c>
      <c r="AB200" s="69" t="s">
        <v>45</v>
      </c>
      <c r="AC200" s="260" t="s">
        <v>341</v>
      </c>
      <c r="AG200" s="78"/>
      <c r="AJ200" s="84" t="s">
        <v>45</v>
      </c>
      <c r="AK200" s="84">
        <v>0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570"/>
      <c r="B201" s="570"/>
      <c r="C201" s="570"/>
      <c r="D201" s="570"/>
      <c r="E201" s="570"/>
      <c r="F201" s="570"/>
      <c r="G201" s="570"/>
      <c r="H201" s="570"/>
      <c r="I201" s="570"/>
      <c r="J201" s="570"/>
      <c r="K201" s="570"/>
      <c r="L201" s="570"/>
      <c r="M201" s="570"/>
      <c r="N201" s="570"/>
      <c r="O201" s="571"/>
      <c r="P201" s="567" t="s">
        <v>40</v>
      </c>
      <c r="Q201" s="568"/>
      <c r="R201" s="568"/>
      <c r="S201" s="568"/>
      <c r="T201" s="568"/>
      <c r="U201" s="568"/>
      <c r="V201" s="569"/>
      <c r="W201" s="42" t="s">
        <v>39</v>
      </c>
      <c r="X201" s="43">
        <f>IFERROR(X199/H199,"0")+IFERROR(X200/H200,"0")</f>
        <v>0</v>
      </c>
      <c r="Y201" s="43">
        <f>IFERROR(Y199/H199,"0")+IFERROR(Y200/H200,"0")</f>
        <v>0</v>
      </c>
      <c r="Z201" s="43">
        <f>IFERROR(IF(Z199="",0,Z199),"0")+IFERROR(IF(Z200="",0,Z200),"0")</f>
        <v>0</v>
      </c>
      <c r="AA201" s="67"/>
      <c r="AB201" s="67"/>
      <c r="AC201" s="67"/>
    </row>
    <row r="202" spans="1:68" x14ac:dyDescent="0.2">
      <c r="A202" s="570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1"/>
      <c r="P202" s="567" t="s">
        <v>40</v>
      </c>
      <c r="Q202" s="568"/>
      <c r="R202" s="568"/>
      <c r="S202" s="568"/>
      <c r="T202" s="568"/>
      <c r="U202" s="568"/>
      <c r="V202" s="569"/>
      <c r="W202" s="42" t="s">
        <v>0</v>
      </c>
      <c r="X202" s="43">
        <f>IFERROR(SUM(X199:X200),"0")</f>
        <v>0</v>
      </c>
      <c r="Y202" s="43">
        <f>IFERROR(SUM(Y199:Y200),"0")</f>
        <v>0</v>
      </c>
      <c r="Z202" s="42"/>
      <c r="AA202" s="67"/>
      <c r="AB202" s="67"/>
      <c r="AC202" s="67"/>
    </row>
    <row r="203" spans="1:68" ht="14.25" customHeight="1" x14ac:dyDescent="0.25">
      <c r="A203" s="562" t="s">
        <v>78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66"/>
      <c r="AB203" s="66"/>
      <c r="AC203" s="80"/>
    </row>
    <row r="204" spans="1:68" ht="27" customHeight="1" x14ac:dyDescent="0.25">
      <c r="A204" s="63" t="s">
        <v>344</v>
      </c>
      <c r="B204" s="63" t="s">
        <v>345</v>
      </c>
      <c r="C204" s="36">
        <v>4301031224</v>
      </c>
      <c r="D204" s="563">
        <v>4680115882683</v>
      </c>
      <c r="E204" s="563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120</v>
      </c>
      <c r="L204" s="37" t="s">
        <v>121</v>
      </c>
      <c r="M204" s="38" t="s">
        <v>82</v>
      </c>
      <c r="N204" s="38"/>
      <c r="O204" s="37">
        <v>40</v>
      </c>
      <c r="P204" s="7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65"/>
      <c r="R204" s="565"/>
      <c r="S204" s="565"/>
      <c r="T204" s="566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ref="Y204:Y211" si="15">IFERROR(IF(X204="",0,CEILING((X204/$H204),1)*$H204),"")</f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117</v>
      </c>
      <c r="AK204" s="84">
        <v>64.8</v>
      </c>
      <c r="BB204" s="263" t="s">
        <v>66</v>
      </c>
      <c r="BM204" s="78">
        <f t="shared" ref="BM204:BM211" si="16">IFERROR(X204*I204/H204,"0")</f>
        <v>0</v>
      </c>
      <c r="BN204" s="78">
        <f t="shared" ref="BN204:BN211" si="17">IFERROR(Y204*I204/H204,"0")</f>
        <v>0</v>
      </c>
      <c r="BO204" s="78">
        <f t="shared" ref="BO204:BO211" si="18">IFERROR(1/J204*(X204/H204),"0")</f>
        <v>0</v>
      </c>
      <c r="BP204" s="78">
        <f t="shared" ref="BP204:BP211" si="19">IFERROR(1/J204*(Y204/H204),"0")</f>
        <v>0</v>
      </c>
    </row>
    <row r="205" spans="1:68" ht="27" customHeight="1" x14ac:dyDescent="0.25">
      <c r="A205" s="63" t="s">
        <v>347</v>
      </c>
      <c r="B205" s="63" t="s">
        <v>348</v>
      </c>
      <c r="C205" s="36">
        <v>4301031230</v>
      </c>
      <c r="D205" s="563">
        <v>4680115882690</v>
      </c>
      <c r="E205" s="563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121</v>
      </c>
      <c r="M205" s="38" t="s">
        <v>82</v>
      </c>
      <c r="N205" s="38"/>
      <c r="O205" s="37">
        <v>40</v>
      </c>
      <c r="P205" s="72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65"/>
      <c r="R205" s="565"/>
      <c r="S205" s="565"/>
      <c r="T205" s="566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117</v>
      </c>
      <c r="AK205" s="84">
        <v>64.8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4301031220</v>
      </c>
      <c r="D206" s="563">
        <v>4680115882669</v>
      </c>
      <c r="E206" s="563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120</v>
      </c>
      <c r="L206" s="37" t="s">
        <v>121</v>
      </c>
      <c r="M206" s="38" t="s">
        <v>82</v>
      </c>
      <c r="N206" s="38"/>
      <c r="O206" s="37">
        <v>40</v>
      </c>
      <c r="P206" s="7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65"/>
      <c r="R206" s="565"/>
      <c r="S206" s="565"/>
      <c r="T206" s="566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352</v>
      </c>
      <c r="AG206" s="78"/>
      <c r="AJ206" s="84" t="s">
        <v>117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353</v>
      </c>
      <c r="B207" s="63" t="s">
        <v>354</v>
      </c>
      <c r="C207" s="36">
        <v>4301031221</v>
      </c>
      <c r="D207" s="563">
        <v>4680115882676</v>
      </c>
      <c r="E207" s="563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120</v>
      </c>
      <c r="L207" s="37" t="s">
        <v>121</v>
      </c>
      <c r="M207" s="38" t="s">
        <v>82</v>
      </c>
      <c r="N207" s="38"/>
      <c r="O207" s="37">
        <v>40</v>
      </c>
      <c r="P207" s="7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65"/>
      <c r="R207" s="565"/>
      <c r="S207" s="565"/>
      <c r="T207" s="56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355</v>
      </c>
      <c r="AG207" s="78"/>
      <c r="AJ207" s="84" t="s">
        <v>117</v>
      </c>
      <c r="AK207" s="84">
        <v>64.8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356</v>
      </c>
      <c r="B208" s="63" t="s">
        <v>357</v>
      </c>
      <c r="C208" s="36">
        <v>4301031223</v>
      </c>
      <c r="D208" s="563">
        <v>4680115884014</v>
      </c>
      <c r="E208" s="563"/>
      <c r="F208" s="62">
        <v>0.3</v>
      </c>
      <c r="G208" s="37">
        <v>6</v>
      </c>
      <c r="H208" s="62">
        <v>1.8</v>
      </c>
      <c r="I208" s="62">
        <v>1.93</v>
      </c>
      <c r="J208" s="37">
        <v>234</v>
      </c>
      <c r="K208" s="37" t="s">
        <v>87</v>
      </c>
      <c r="L208" s="37" t="s">
        <v>296</v>
      </c>
      <c r="M208" s="38" t="s">
        <v>82</v>
      </c>
      <c r="N208" s="38"/>
      <c r="O208" s="37">
        <v>40</v>
      </c>
      <c r="P208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65"/>
      <c r="R208" s="565"/>
      <c r="S208" s="565"/>
      <c r="T208" s="56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117</v>
      </c>
      <c r="AK208" s="84">
        <v>32.4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358</v>
      </c>
      <c r="B209" s="63" t="s">
        <v>359</v>
      </c>
      <c r="C209" s="36">
        <v>4301031222</v>
      </c>
      <c r="D209" s="563">
        <v>4680115884007</v>
      </c>
      <c r="E209" s="563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296</v>
      </c>
      <c r="M209" s="38" t="s">
        <v>82</v>
      </c>
      <c r="N209" s="38"/>
      <c r="O209" s="37">
        <v>40</v>
      </c>
      <c r="P209" s="7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65"/>
      <c r="R209" s="565"/>
      <c r="S209" s="565"/>
      <c r="T209" s="56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117</v>
      </c>
      <c r="AK209" s="84">
        <v>32.4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360</v>
      </c>
      <c r="B210" s="63" t="s">
        <v>361</v>
      </c>
      <c r="C210" s="36">
        <v>4301031229</v>
      </c>
      <c r="D210" s="563">
        <v>4680115884038</v>
      </c>
      <c r="E210" s="563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296</v>
      </c>
      <c r="M210" s="38" t="s">
        <v>82</v>
      </c>
      <c r="N210" s="38"/>
      <c r="O210" s="37">
        <v>40</v>
      </c>
      <c r="P210" s="72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65"/>
      <c r="R210" s="565"/>
      <c r="S210" s="565"/>
      <c r="T210" s="56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352</v>
      </c>
      <c r="AG210" s="78"/>
      <c r="AJ210" s="84" t="s">
        <v>117</v>
      </c>
      <c r="AK210" s="84">
        <v>32.4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362</v>
      </c>
      <c r="B211" s="63" t="s">
        <v>363</v>
      </c>
      <c r="C211" s="36">
        <v>4301031225</v>
      </c>
      <c r="D211" s="563">
        <v>4680115884021</v>
      </c>
      <c r="E211" s="563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296</v>
      </c>
      <c r="M211" s="38" t="s">
        <v>82</v>
      </c>
      <c r="N211" s="38"/>
      <c r="O211" s="37">
        <v>40</v>
      </c>
      <c r="P211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65"/>
      <c r="R211" s="565"/>
      <c r="S211" s="565"/>
      <c r="T211" s="56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355</v>
      </c>
      <c r="AG211" s="78"/>
      <c r="AJ211" s="84" t="s">
        <v>117</v>
      </c>
      <c r="AK211" s="84">
        <v>32.4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x14ac:dyDescent="0.2">
      <c r="A212" s="570"/>
      <c r="B212" s="570"/>
      <c r="C212" s="570"/>
      <c r="D212" s="570"/>
      <c r="E212" s="570"/>
      <c r="F212" s="570"/>
      <c r="G212" s="570"/>
      <c r="H212" s="570"/>
      <c r="I212" s="570"/>
      <c r="J212" s="570"/>
      <c r="K212" s="570"/>
      <c r="L212" s="570"/>
      <c r="M212" s="570"/>
      <c r="N212" s="570"/>
      <c r="O212" s="571"/>
      <c r="P212" s="567" t="s">
        <v>40</v>
      </c>
      <c r="Q212" s="568"/>
      <c r="R212" s="568"/>
      <c r="S212" s="568"/>
      <c r="T212" s="568"/>
      <c r="U212" s="568"/>
      <c r="V212" s="569"/>
      <c r="W212" s="42" t="s">
        <v>39</v>
      </c>
      <c r="X212" s="43">
        <f>IFERROR(X204/H204,"0")+IFERROR(X205/H205,"0")+IFERROR(X206/H206,"0")+IFERROR(X207/H207,"0")+IFERROR(X208/H208,"0")+IFERROR(X209/H209,"0")+IFERROR(X210/H210,"0")+IFERROR(X211/H211,"0")</f>
        <v>0</v>
      </c>
      <c r="Y212" s="43">
        <f>IFERROR(Y204/H204,"0")+IFERROR(Y205/H205,"0")+IFERROR(Y206/H206,"0")+IFERROR(Y207/H207,"0")+IFERROR(Y208/H208,"0")+IFERROR(Y209/H209,"0")+IFERROR(Y210/H210,"0")+IFERROR(Y211/H211,"0")</f>
        <v>0</v>
      </c>
      <c r="Z212" s="4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570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1"/>
      <c r="P213" s="567" t="s">
        <v>40</v>
      </c>
      <c r="Q213" s="568"/>
      <c r="R213" s="568"/>
      <c r="S213" s="568"/>
      <c r="T213" s="568"/>
      <c r="U213" s="568"/>
      <c r="V213" s="569"/>
      <c r="W213" s="42" t="s">
        <v>0</v>
      </c>
      <c r="X213" s="43">
        <f>IFERROR(SUM(X204:X211),"0")</f>
        <v>0</v>
      </c>
      <c r="Y213" s="43">
        <f>IFERROR(SUM(Y204:Y211),"0")</f>
        <v>0</v>
      </c>
      <c r="Z213" s="42"/>
      <c r="AA213" s="67"/>
      <c r="AB213" s="67"/>
      <c r="AC213" s="67"/>
    </row>
    <row r="214" spans="1:68" ht="14.25" customHeight="1" x14ac:dyDescent="0.25">
      <c r="A214" s="562" t="s">
        <v>88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66"/>
      <c r="AB214" s="66"/>
      <c r="AC214" s="80"/>
    </row>
    <row r="215" spans="1:68" ht="27" customHeight="1" x14ac:dyDescent="0.25">
      <c r="A215" s="63" t="s">
        <v>364</v>
      </c>
      <c r="B215" s="63" t="s">
        <v>365</v>
      </c>
      <c r="C215" s="36">
        <v>4301051408</v>
      </c>
      <c r="D215" s="563">
        <v>4680115881594</v>
      </c>
      <c r="E215" s="563"/>
      <c r="F215" s="62">
        <v>1.35</v>
      </c>
      <c r="G215" s="37">
        <v>6</v>
      </c>
      <c r="H215" s="62">
        <v>8.1</v>
      </c>
      <c r="I215" s="62">
        <v>8.5939999999999994</v>
      </c>
      <c r="J215" s="37">
        <v>64</v>
      </c>
      <c r="K215" s="37" t="s">
        <v>115</v>
      </c>
      <c r="L215" s="37" t="s">
        <v>45</v>
      </c>
      <c r="M215" s="38" t="s">
        <v>92</v>
      </c>
      <c r="N215" s="38"/>
      <c r="O215" s="37">
        <v>40</v>
      </c>
      <c r="P215" s="7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65"/>
      <c r="R215" s="565"/>
      <c r="S215" s="565"/>
      <c r="T215" s="566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ref="Y215:Y223" si="20">IFERROR(IF(X215="",0,CEILING((X215/$H215),1)*$H215),"")</f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45</v>
      </c>
      <c r="AK215" s="84">
        <v>0</v>
      </c>
      <c r="BB215" s="279" t="s">
        <v>66</v>
      </c>
      <c r="BM215" s="78">
        <f t="shared" ref="BM215:BM223" si="21">IFERROR(X215*I215/H215,"0")</f>
        <v>0</v>
      </c>
      <c r="BN215" s="78">
        <f t="shared" ref="BN215:BN223" si="22">IFERROR(Y215*I215/H215,"0")</f>
        <v>0</v>
      </c>
      <c r="BO215" s="78">
        <f t="shared" ref="BO215:BO223" si="23">IFERROR(1/J215*(X215/H215),"0")</f>
        <v>0</v>
      </c>
      <c r="BP215" s="78">
        <f t="shared" ref="BP215:BP223" si="24">IFERROR(1/J215*(Y215/H215),"0")</f>
        <v>0</v>
      </c>
    </row>
    <row r="216" spans="1:68" ht="27" customHeight="1" x14ac:dyDescent="0.25">
      <c r="A216" s="63" t="s">
        <v>367</v>
      </c>
      <c r="B216" s="63" t="s">
        <v>368</v>
      </c>
      <c r="C216" s="36">
        <v>4301051411</v>
      </c>
      <c r="D216" s="563">
        <v>4680115881617</v>
      </c>
      <c r="E216" s="563"/>
      <c r="F216" s="62">
        <v>1.35</v>
      </c>
      <c r="G216" s="37">
        <v>6</v>
      </c>
      <c r="H216" s="62">
        <v>8.1</v>
      </c>
      <c r="I216" s="62">
        <v>8.5760000000000005</v>
      </c>
      <c r="J216" s="37">
        <v>64</v>
      </c>
      <c r="K216" s="37" t="s">
        <v>115</v>
      </c>
      <c r="L216" s="37" t="s">
        <v>45</v>
      </c>
      <c r="M216" s="38" t="s">
        <v>92</v>
      </c>
      <c r="N216" s="38"/>
      <c r="O216" s="37">
        <v>40</v>
      </c>
      <c r="P216" s="71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65"/>
      <c r="R216" s="565"/>
      <c r="S216" s="565"/>
      <c r="T216" s="566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45</v>
      </c>
      <c r="AK216" s="84">
        <v>0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27" customHeight="1" x14ac:dyDescent="0.25">
      <c r="A217" s="63" t="s">
        <v>370</v>
      </c>
      <c r="B217" s="63" t="s">
        <v>371</v>
      </c>
      <c r="C217" s="36">
        <v>4301051656</v>
      </c>
      <c r="D217" s="563">
        <v>4680115880573</v>
      </c>
      <c r="E217" s="563"/>
      <c r="F217" s="62">
        <v>1.45</v>
      </c>
      <c r="G217" s="37">
        <v>6</v>
      </c>
      <c r="H217" s="62">
        <v>8.6999999999999993</v>
      </c>
      <c r="I217" s="62">
        <v>9.1940000000000008</v>
      </c>
      <c r="J217" s="37">
        <v>64</v>
      </c>
      <c r="K217" s="37" t="s">
        <v>115</v>
      </c>
      <c r="L217" s="37" t="s">
        <v>116</v>
      </c>
      <c r="M217" s="38" t="s">
        <v>92</v>
      </c>
      <c r="N217" s="38"/>
      <c r="O217" s="37">
        <v>45</v>
      </c>
      <c r="P217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65"/>
      <c r="R217" s="565"/>
      <c r="S217" s="565"/>
      <c r="T217" s="566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372</v>
      </c>
      <c r="AG217" s="78"/>
      <c r="AJ217" s="84" t="s">
        <v>117</v>
      </c>
      <c r="AK217" s="84">
        <v>69.599999999999994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37.5" customHeight="1" x14ac:dyDescent="0.25">
      <c r="A218" s="63" t="s">
        <v>373</v>
      </c>
      <c r="B218" s="63" t="s">
        <v>374</v>
      </c>
      <c r="C218" s="36">
        <v>4301051407</v>
      </c>
      <c r="D218" s="563">
        <v>4680115882195</v>
      </c>
      <c r="E218" s="563"/>
      <c r="F218" s="62">
        <v>0.4</v>
      </c>
      <c r="G218" s="37">
        <v>6</v>
      </c>
      <c r="H218" s="62">
        <v>2.4</v>
      </c>
      <c r="I218" s="62">
        <v>2.67</v>
      </c>
      <c r="J218" s="37">
        <v>182</v>
      </c>
      <c r="K218" s="37" t="s">
        <v>83</v>
      </c>
      <c r="L218" s="37" t="s">
        <v>231</v>
      </c>
      <c r="M218" s="38" t="s">
        <v>92</v>
      </c>
      <c r="N218" s="38"/>
      <c r="O218" s="37">
        <v>40</v>
      </c>
      <c r="P218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65"/>
      <c r="R218" s="565"/>
      <c r="S218" s="565"/>
      <c r="T218" s="566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ref="Z218:Z223" si="25">IFERROR(IF(Y218=0,"",ROUNDUP(Y218/H218,0)*0.00651),"")</f>
        <v/>
      </c>
      <c r="AA218" s="68" t="s">
        <v>45</v>
      </c>
      <c r="AB218" s="69" t="s">
        <v>45</v>
      </c>
      <c r="AC218" s="284" t="s">
        <v>375</v>
      </c>
      <c r="AG218" s="78"/>
      <c r="AJ218" s="84" t="s">
        <v>117</v>
      </c>
      <c r="AK218" s="84">
        <v>33.6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customHeight="1" x14ac:dyDescent="0.25">
      <c r="A219" s="63" t="s">
        <v>376</v>
      </c>
      <c r="B219" s="63" t="s">
        <v>377</v>
      </c>
      <c r="C219" s="36">
        <v>4301051752</v>
      </c>
      <c r="D219" s="563">
        <v>4680115882607</v>
      </c>
      <c r="E219" s="563"/>
      <c r="F219" s="62">
        <v>0.3</v>
      </c>
      <c r="G219" s="37">
        <v>6</v>
      </c>
      <c r="H219" s="62">
        <v>1.8</v>
      </c>
      <c r="I219" s="62">
        <v>2.052</v>
      </c>
      <c r="J219" s="37">
        <v>182</v>
      </c>
      <c r="K219" s="37" t="s">
        <v>83</v>
      </c>
      <c r="L219" s="37" t="s">
        <v>45</v>
      </c>
      <c r="M219" s="38" t="s">
        <v>98</v>
      </c>
      <c r="N219" s="38"/>
      <c r="O219" s="37">
        <v>45</v>
      </c>
      <c r="P219" s="71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65"/>
      <c r="R219" s="565"/>
      <c r="S219" s="565"/>
      <c r="T219" s="566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372</v>
      </c>
      <c r="AG219" s="78"/>
      <c r="AJ219" s="84" t="s">
        <v>45</v>
      </c>
      <c r="AK219" s="84">
        <v>0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378</v>
      </c>
      <c r="B220" s="63" t="s">
        <v>379</v>
      </c>
      <c r="C220" s="36">
        <v>4301051666</v>
      </c>
      <c r="D220" s="563">
        <v>4680115880092</v>
      </c>
      <c r="E220" s="563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231</v>
      </c>
      <c r="M220" s="38" t="s">
        <v>92</v>
      </c>
      <c r="N220" s="38"/>
      <c r="O220" s="37">
        <v>45</v>
      </c>
      <c r="P220" s="7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65"/>
      <c r="R220" s="565"/>
      <c r="S220" s="565"/>
      <c r="T220" s="566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372</v>
      </c>
      <c r="AG220" s="78"/>
      <c r="AJ220" s="84" t="s">
        <v>117</v>
      </c>
      <c r="AK220" s="84">
        <v>33.6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380</v>
      </c>
      <c r="B221" s="63" t="s">
        <v>381</v>
      </c>
      <c r="C221" s="36">
        <v>4301051668</v>
      </c>
      <c r="D221" s="563">
        <v>4680115880221</v>
      </c>
      <c r="E221" s="563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45</v>
      </c>
      <c r="M221" s="38" t="s">
        <v>92</v>
      </c>
      <c r="N221" s="38"/>
      <c r="O221" s="37">
        <v>45</v>
      </c>
      <c r="P221" s="7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65"/>
      <c r="R221" s="565"/>
      <c r="S221" s="565"/>
      <c r="T221" s="566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372</v>
      </c>
      <c r="AG221" s="78"/>
      <c r="AJ221" s="84" t="s">
        <v>45</v>
      </c>
      <c r="AK221" s="84">
        <v>0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4301051945</v>
      </c>
      <c r="D222" s="563">
        <v>4680115880504</v>
      </c>
      <c r="E222" s="563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231</v>
      </c>
      <c r="M222" s="38" t="s">
        <v>98</v>
      </c>
      <c r="N222" s="38"/>
      <c r="O222" s="37">
        <v>40</v>
      </c>
      <c r="P222" s="7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65"/>
      <c r="R222" s="565"/>
      <c r="S222" s="565"/>
      <c r="T222" s="566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384</v>
      </c>
      <c r="AG222" s="78"/>
      <c r="AJ222" s="84" t="s">
        <v>117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4301051410</v>
      </c>
      <c r="D223" s="563">
        <v>4680115882164</v>
      </c>
      <c r="E223" s="563"/>
      <c r="F223" s="62">
        <v>0.4</v>
      </c>
      <c r="G223" s="37">
        <v>6</v>
      </c>
      <c r="H223" s="62">
        <v>2.4</v>
      </c>
      <c r="I223" s="62">
        <v>2.6579999999999999</v>
      </c>
      <c r="J223" s="37">
        <v>182</v>
      </c>
      <c r="K223" s="37" t="s">
        <v>83</v>
      </c>
      <c r="L223" s="37" t="s">
        <v>231</v>
      </c>
      <c r="M223" s="38" t="s">
        <v>92</v>
      </c>
      <c r="N223" s="38"/>
      <c r="O223" s="37">
        <v>40</v>
      </c>
      <c r="P223" s="70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65"/>
      <c r="R223" s="565"/>
      <c r="S223" s="565"/>
      <c r="T223" s="566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369</v>
      </c>
      <c r="AG223" s="78"/>
      <c r="AJ223" s="84" t="s">
        <v>117</v>
      </c>
      <c r="AK223" s="84">
        <v>33.6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x14ac:dyDescent="0.2">
      <c r="A224" s="570"/>
      <c r="B224" s="570"/>
      <c r="C224" s="570"/>
      <c r="D224" s="570"/>
      <c r="E224" s="570"/>
      <c r="F224" s="570"/>
      <c r="G224" s="570"/>
      <c r="H224" s="570"/>
      <c r="I224" s="570"/>
      <c r="J224" s="570"/>
      <c r="K224" s="570"/>
      <c r="L224" s="570"/>
      <c r="M224" s="570"/>
      <c r="N224" s="570"/>
      <c r="O224" s="571"/>
      <c r="P224" s="567" t="s">
        <v>40</v>
      </c>
      <c r="Q224" s="568"/>
      <c r="R224" s="568"/>
      <c r="S224" s="568"/>
      <c r="T224" s="568"/>
      <c r="U224" s="568"/>
      <c r="V224" s="569"/>
      <c r="W224" s="42" t="s">
        <v>39</v>
      </c>
      <c r="X224" s="43">
        <f>IFERROR(X215/H215,"0")+IFERROR(X216/H216,"0")+IFERROR(X217/H217,"0")+IFERROR(X218/H218,"0")+IFERROR(X219/H219,"0")+IFERROR(X220/H220,"0")+IFERROR(X221/H221,"0")+IFERROR(X222/H222,"0")+IFERROR(X223/H223,"0")</f>
        <v>0</v>
      </c>
      <c r="Y224" s="43">
        <f>IFERROR(Y215/H215,"0")+IFERROR(Y216/H216,"0")+IFERROR(Y217/H217,"0")+IFERROR(Y218/H218,"0")+IFERROR(Y219/H219,"0")+IFERROR(Y220/H220,"0")+IFERROR(Y221/H221,"0")+IFERROR(Y222/H222,"0")+IFERROR(Y223/H223,"0")</f>
        <v>0</v>
      </c>
      <c r="Z224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x14ac:dyDescent="0.2">
      <c r="A225" s="570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1"/>
      <c r="P225" s="567" t="s">
        <v>40</v>
      </c>
      <c r="Q225" s="568"/>
      <c r="R225" s="568"/>
      <c r="S225" s="568"/>
      <c r="T225" s="568"/>
      <c r="U225" s="568"/>
      <c r="V225" s="569"/>
      <c r="W225" s="42" t="s">
        <v>0</v>
      </c>
      <c r="X225" s="43">
        <f>IFERROR(SUM(X215:X223),"0")</f>
        <v>0</v>
      </c>
      <c r="Y225" s="43">
        <f>IFERROR(SUM(Y215:Y223),"0")</f>
        <v>0</v>
      </c>
      <c r="Z225" s="42"/>
      <c r="AA225" s="67"/>
      <c r="AB225" s="67"/>
      <c r="AC225" s="67"/>
    </row>
    <row r="226" spans="1:68" ht="14.25" customHeight="1" x14ac:dyDescent="0.25">
      <c r="A226" s="562" t="s">
        <v>171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66"/>
      <c r="AB226" s="66"/>
      <c r="AC226" s="80"/>
    </row>
    <row r="227" spans="1:68" ht="27" customHeight="1" x14ac:dyDescent="0.25">
      <c r="A227" s="63" t="s">
        <v>387</v>
      </c>
      <c r="B227" s="63" t="s">
        <v>388</v>
      </c>
      <c r="C227" s="36">
        <v>4301060463</v>
      </c>
      <c r="D227" s="563">
        <v>4680115880818</v>
      </c>
      <c r="E227" s="563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231</v>
      </c>
      <c r="M227" s="38" t="s">
        <v>98</v>
      </c>
      <c r="N227" s="38"/>
      <c r="O227" s="37">
        <v>40</v>
      </c>
      <c r="P227" s="70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65"/>
      <c r="R227" s="565"/>
      <c r="S227" s="565"/>
      <c r="T227" s="566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389</v>
      </c>
      <c r="AG227" s="78"/>
      <c r="AJ227" s="84" t="s">
        <v>117</v>
      </c>
      <c r="AK227" s="84">
        <v>33.6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37.5" customHeight="1" x14ac:dyDescent="0.25">
      <c r="A228" s="63" t="s">
        <v>390</v>
      </c>
      <c r="B228" s="63" t="s">
        <v>391</v>
      </c>
      <c r="C228" s="36">
        <v>4301060389</v>
      </c>
      <c r="D228" s="563">
        <v>4680115880801</v>
      </c>
      <c r="E228" s="563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231</v>
      </c>
      <c r="M228" s="38" t="s">
        <v>92</v>
      </c>
      <c r="N228" s="38"/>
      <c r="O228" s="37">
        <v>40</v>
      </c>
      <c r="P228" s="70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65"/>
      <c r="R228" s="565"/>
      <c r="S228" s="565"/>
      <c r="T228" s="566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392</v>
      </c>
      <c r="AG228" s="78"/>
      <c r="AJ228" s="84" t="s">
        <v>117</v>
      </c>
      <c r="AK228" s="84">
        <v>33.6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x14ac:dyDescent="0.2">
      <c r="A229" s="570"/>
      <c r="B229" s="570"/>
      <c r="C229" s="570"/>
      <c r="D229" s="570"/>
      <c r="E229" s="570"/>
      <c r="F229" s="570"/>
      <c r="G229" s="570"/>
      <c r="H229" s="570"/>
      <c r="I229" s="570"/>
      <c r="J229" s="570"/>
      <c r="K229" s="570"/>
      <c r="L229" s="570"/>
      <c r="M229" s="570"/>
      <c r="N229" s="570"/>
      <c r="O229" s="571"/>
      <c r="P229" s="567" t="s">
        <v>40</v>
      </c>
      <c r="Q229" s="568"/>
      <c r="R229" s="568"/>
      <c r="S229" s="568"/>
      <c r="T229" s="568"/>
      <c r="U229" s="568"/>
      <c r="V229" s="569"/>
      <c r="W229" s="42" t="s">
        <v>39</v>
      </c>
      <c r="X229" s="43">
        <f>IFERROR(X227/H227,"0")+IFERROR(X228/H228,"0")</f>
        <v>0</v>
      </c>
      <c r="Y229" s="43">
        <f>IFERROR(Y227/H227,"0")+IFERROR(Y228/H228,"0")</f>
        <v>0</v>
      </c>
      <c r="Z229" s="43">
        <f>IFERROR(IF(Z227="",0,Z227),"0")+IFERROR(IF(Z228="",0,Z228),"0")</f>
        <v>0</v>
      </c>
      <c r="AA229" s="67"/>
      <c r="AB229" s="67"/>
      <c r="AC229" s="67"/>
    </row>
    <row r="230" spans="1:68" x14ac:dyDescent="0.2">
      <c r="A230" s="570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1"/>
      <c r="P230" s="567" t="s">
        <v>40</v>
      </c>
      <c r="Q230" s="568"/>
      <c r="R230" s="568"/>
      <c r="S230" s="568"/>
      <c r="T230" s="568"/>
      <c r="U230" s="568"/>
      <c r="V230" s="569"/>
      <c r="W230" s="42" t="s">
        <v>0</v>
      </c>
      <c r="X230" s="43">
        <f>IFERROR(SUM(X227:X228),"0")</f>
        <v>0</v>
      </c>
      <c r="Y230" s="43">
        <f>IFERROR(SUM(Y227:Y228),"0")</f>
        <v>0</v>
      </c>
      <c r="Z230" s="42"/>
      <c r="AA230" s="67"/>
      <c r="AB230" s="67"/>
      <c r="AC230" s="67"/>
    </row>
    <row r="231" spans="1:68" ht="16.5" customHeight="1" x14ac:dyDescent="0.25">
      <c r="A231" s="578" t="s">
        <v>393</v>
      </c>
      <c r="B231" s="578"/>
      <c r="C231" s="578"/>
      <c r="D231" s="578"/>
      <c r="E231" s="578"/>
      <c r="F231" s="578"/>
      <c r="G231" s="578"/>
      <c r="H231" s="578"/>
      <c r="I231" s="578"/>
      <c r="J231" s="578"/>
      <c r="K231" s="578"/>
      <c r="L231" s="578"/>
      <c r="M231" s="578"/>
      <c r="N231" s="578"/>
      <c r="O231" s="578"/>
      <c r="P231" s="578"/>
      <c r="Q231" s="578"/>
      <c r="R231" s="578"/>
      <c r="S231" s="578"/>
      <c r="T231" s="578"/>
      <c r="U231" s="578"/>
      <c r="V231" s="578"/>
      <c r="W231" s="578"/>
      <c r="X231" s="578"/>
      <c r="Y231" s="578"/>
      <c r="Z231" s="578"/>
      <c r="AA231" s="65"/>
      <c r="AB231" s="65"/>
      <c r="AC231" s="79"/>
    </row>
    <row r="232" spans="1:68" ht="14.25" customHeight="1" x14ac:dyDescent="0.25">
      <c r="A232" s="562" t="s">
        <v>110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66"/>
      <c r="AB232" s="66"/>
      <c r="AC232" s="80"/>
    </row>
    <row r="233" spans="1:68" ht="27" customHeight="1" x14ac:dyDescent="0.25">
      <c r="A233" s="63" t="s">
        <v>394</v>
      </c>
      <c r="B233" s="63" t="s">
        <v>395</v>
      </c>
      <c r="C233" s="36">
        <v>4301011826</v>
      </c>
      <c r="D233" s="563">
        <v>4680115884137</v>
      </c>
      <c r="E233" s="563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116</v>
      </c>
      <c r="M233" s="38" t="s">
        <v>114</v>
      </c>
      <c r="N233" s="38"/>
      <c r="O233" s="37">
        <v>55</v>
      </c>
      <c r="P233" s="70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65"/>
      <c r="R233" s="565"/>
      <c r="S233" s="565"/>
      <c r="T233" s="566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ref="Y233:Y241" si="26">IFERROR(IF(X233="",0,CEILING((X233/$H233),1)*$H233),"")</f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117</v>
      </c>
      <c r="AK233" s="84">
        <v>92.8</v>
      </c>
      <c r="BB233" s="301" t="s">
        <v>66</v>
      </c>
      <c r="BM233" s="78">
        <f t="shared" ref="BM233:BM241" si="27">IFERROR(X233*I233/H233,"0")</f>
        <v>0</v>
      </c>
      <c r="BN233" s="78">
        <f t="shared" ref="BN233:BN241" si="28">IFERROR(Y233*I233/H233,"0")</f>
        <v>0</v>
      </c>
      <c r="BO233" s="78">
        <f t="shared" ref="BO233:BO241" si="29">IFERROR(1/J233*(X233/H233),"0")</f>
        <v>0</v>
      </c>
      <c r="BP233" s="78">
        <f t="shared" ref="BP233:BP241" si="30">IFERROR(1/J233*(Y233/H233),"0")</f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4301011724</v>
      </c>
      <c r="D234" s="563">
        <v>4680115884236</v>
      </c>
      <c r="E234" s="563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115</v>
      </c>
      <c r="L234" s="37" t="s">
        <v>45</v>
      </c>
      <c r="M234" s="38" t="s">
        <v>114</v>
      </c>
      <c r="N234" s="38"/>
      <c r="O234" s="37">
        <v>55</v>
      </c>
      <c r="P234" s="70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65"/>
      <c r="R234" s="565"/>
      <c r="S234" s="565"/>
      <c r="T234" s="566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399</v>
      </c>
      <c r="AG234" s="78"/>
      <c r="AJ234" s="84" t="s">
        <v>45</v>
      </c>
      <c r="AK234" s="84">
        <v>0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customHeight="1" x14ac:dyDescent="0.25">
      <c r="A235" s="63" t="s">
        <v>400</v>
      </c>
      <c r="B235" s="63" t="s">
        <v>401</v>
      </c>
      <c r="C235" s="36">
        <v>4301011721</v>
      </c>
      <c r="D235" s="563">
        <v>4680115884175</v>
      </c>
      <c r="E235" s="563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115</v>
      </c>
      <c r="L235" s="37" t="s">
        <v>116</v>
      </c>
      <c r="M235" s="38" t="s">
        <v>114</v>
      </c>
      <c r="N235" s="38"/>
      <c r="O235" s="37">
        <v>55</v>
      </c>
      <c r="P235" s="69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65"/>
      <c r="R235" s="565"/>
      <c r="S235" s="565"/>
      <c r="T235" s="566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402</v>
      </c>
      <c r="AG235" s="78"/>
      <c r="AJ235" s="84" t="s">
        <v>117</v>
      </c>
      <c r="AK235" s="84">
        <v>92.8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403</v>
      </c>
      <c r="B236" s="63" t="s">
        <v>404</v>
      </c>
      <c r="C236" s="36">
        <v>4301011824</v>
      </c>
      <c r="D236" s="563">
        <v>4680115884144</v>
      </c>
      <c r="E236" s="563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120</v>
      </c>
      <c r="L236" s="37" t="s">
        <v>121</v>
      </c>
      <c r="M236" s="38" t="s">
        <v>114</v>
      </c>
      <c r="N236" s="38"/>
      <c r="O236" s="37">
        <v>55</v>
      </c>
      <c r="P236" s="7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65"/>
      <c r="R236" s="565"/>
      <c r="S236" s="565"/>
      <c r="T236" s="566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396</v>
      </c>
      <c r="AG236" s="78"/>
      <c r="AJ236" s="84" t="s">
        <v>117</v>
      </c>
      <c r="AK236" s="84">
        <v>48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403</v>
      </c>
      <c r="B237" s="63" t="s">
        <v>405</v>
      </c>
      <c r="C237" s="36">
        <v>4301012196</v>
      </c>
      <c r="D237" s="563">
        <v>4680115884144</v>
      </c>
      <c r="E237" s="563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120</v>
      </c>
      <c r="L237" s="37" t="s">
        <v>45</v>
      </c>
      <c r="M237" s="38" t="s">
        <v>114</v>
      </c>
      <c r="N237" s="38"/>
      <c r="O237" s="37">
        <v>55</v>
      </c>
      <c r="P237" s="70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65"/>
      <c r="R237" s="565"/>
      <c r="S237" s="565"/>
      <c r="T237" s="566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396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4301012149</v>
      </c>
      <c r="D238" s="563">
        <v>4680115886551</v>
      </c>
      <c r="E238" s="563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120</v>
      </c>
      <c r="L238" s="37" t="s">
        <v>45</v>
      </c>
      <c r="M238" s="38" t="s">
        <v>114</v>
      </c>
      <c r="N238" s="38"/>
      <c r="O238" s="37">
        <v>55</v>
      </c>
      <c r="P238" s="7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65"/>
      <c r="R238" s="565"/>
      <c r="S238" s="565"/>
      <c r="T238" s="566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408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409</v>
      </c>
      <c r="B239" s="63" t="s">
        <v>410</v>
      </c>
      <c r="C239" s="36">
        <v>4301012228</v>
      </c>
      <c r="D239" s="563">
        <v>4680115887282</v>
      </c>
      <c r="E239" s="563"/>
      <c r="F239" s="62">
        <v>0.4</v>
      </c>
      <c r="G239" s="37">
        <v>6</v>
      </c>
      <c r="H239" s="62">
        <v>2.4</v>
      </c>
      <c r="I239" s="62">
        <v>2.58</v>
      </c>
      <c r="J239" s="37">
        <v>182</v>
      </c>
      <c r="K239" s="37" t="s">
        <v>83</v>
      </c>
      <c r="L239" s="37" t="s">
        <v>45</v>
      </c>
      <c r="M239" s="38" t="s">
        <v>114</v>
      </c>
      <c r="N239" s="38"/>
      <c r="O239" s="37">
        <v>55</v>
      </c>
      <c r="P239" s="7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65"/>
      <c r="R239" s="565"/>
      <c r="S239" s="565"/>
      <c r="T239" s="566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IFERROR(IF(Y239=0,"",ROUNDUP(Y239/H239,0)*0.00651),"")</f>
        <v/>
      </c>
      <c r="AA239" s="68" t="s">
        <v>45</v>
      </c>
      <c r="AB239" s="69" t="s">
        <v>45</v>
      </c>
      <c r="AC239" s="312" t="s">
        <v>411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412</v>
      </c>
      <c r="B240" s="63" t="s">
        <v>413</v>
      </c>
      <c r="C240" s="36">
        <v>4301011722</v>
      </c>
      <c r="D240" s="563">
        <v>4680115884205</v>
      </c>
      <c r="E240" s="563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120</v>
      </c>
      <c r="L240" s="37" t="s">
        <v>121</v>
      </c>
      <c r="M240" s="38" t="s">
        <v>114</v>
      </c>
      <c r="N240" s="38"/>
      <c r="O240" s="37">
        <v>55</v>
      </c>
      <c r="P240" s="6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65"/>
      <c r="R240" s="565"/>
      <c r="S240" s="565"/>
      <c r="T240" s="566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402</v>
      </c>
      <c r="AG240" s="78"/>
      <c r="AJ240" s="84" t="s">
        <v>117</v>
      </c>
      <c r="AK240" s="84">
        <v>48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customHeight="1" x14ac:dyDescent="0.25">
      <c r="A241" s="63" t="s">
        <v>412</v>
      </c>
      <c r="B241" s="63" t="s">
        <v>414</v>
      </c>
      <c r="C241" s="36">
        <v>4301012195</v>
      </c>
      <c r="D241" s="563">
        <v>4680115884205</v>
      </c>
      <c r="E241" s="563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120</v>
      </c>
      <c r="L241" s="37" t="s">
        <v>45</v>
      </c>
      <c r="M241" s="38" t="s">
        <v>114</v>
      </c>
      <c r="N241" s="38"/>
      <c r="O241" s="37">
        <v>55</v>
      </c>
      <c r="P241" s="69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65"/>
      <c r="R241" s="565"/>
      <c r="S241" s="565"/>
      <c r="T241" s="566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x14ac:dyDescent="0.2">
      <c r="A242" s="570"/>
      <c r="B242" s="570"/>
      <c r="C242" s="570"/>
      <c r="D242" s="570"/>
      <c r="E242" s="570"/>
      <c r="F242" s="570"/>
      <c r="G242" s="570"/>
      <c r="H242" s="570"/>
      <c r="I242" s="570"/>
      <c r="J242" s="570"/>
      <c r="K242" s="570"/>
      <c r="L242" s="570"/>
      <c r="M242" s="570"/>
      <c r="N242" s="570"/>
      <c r="O242" s="571"/>
      <c r="P242" s="567" t="s">
        <v>40</v>
      </c>
      <c r="Q242" s="568"/>
      <c r="R242" s="568"/>
      <c r="S242" s="568"/>
      <c r="T242" s="568"/>
      <c r="U242" s="568"/>
      <c r="V242" s="569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570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1"/>
      <c r="P243" s="567" t="s">
        <v>40</v>
      </c>
      <c r="Q243" s="568"/>
      <c r="R243" s="568"/>
      <c r="S243" s="568"/>
      <c r="T243" s="568"/>
      <c r="U243" s="568"/>
      <c r="V243" s="569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customHeight="1" x14ac:dyDescent="0.25">
      <c r="A244" s="562" t="s">
        <v>146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66"/>
      <c r="AB244" s="66"/>
      <c r="AC244" s="80"/>
    </row>
    <row r="245" spans="1:68" ht="27" customHeight="1" x14ac:dyDescent="0.25">
      <c r="A245" s="63" t="s">
        <v>415</v>
      </c>
      <c r="B245" s="63" t="s">
        <v>416</v>
      </c>
      <c r="C245" s="36">
        <v>4301020377</v>
      </c>
      <c r="D245" s="563">
        <v>4680115885981</v>
      </c>
      <c r="E245" s="563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87</v>
      </c>
      <c r="L245" s="37" t="s">
        <v>45</v>
      </c>
      <c r="M245" s="38" t="s">
        <v>92</v>
      </c>
      <c r="N245" s="38"/>
      <c r="O245" s="37">
        <v>50</v>
      </c>
      <c r="P245" s="69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5"/>
      <c r="R245" s="565"/>
      <c r="S245" s="565"/>
      <c r="T245" s="566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417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570"/>
      <c r="B246" s="570"/>
      <c r="C246" s="570"/>
      <c r="D246" s="570"/>
      <c r="E246" s="570"/>
      <c r="F246" s="570"/>
      <c r="G246" s="570"/>
      <c r="H246" s="570"/>
      <c r="I246" s="570"/>
      <c r="J246" s="570"/>
      <c r="K246" s="570"/>
      <c r="L246" s="570"/>
      <c r="M246" s="570"/>
      <c r="N246" s="570"/>
      <c r="O246" s="571"/>
      <c r="P246" s="567" t="s">
        <v>40</v>
      </c>
      <c r="Q246" s="568"/>
      <c r="R246" s="568"/>
      <c r="S246" s="568"/>
      <c r="T246" s="568"/>
      <c r="U246" s="568"/>
      <c r="V246" s="569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570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1"/>
      <c r="P247" s="567" t="s">
        <v>40</v>
      </c>
      <c r="Q247" s="568"/>
      <c r="R247" s="568"/>
      <c r="S247" s="568"/>
      <c r="T247" s="568"/>
      <c r="U247" s="568"/>
      <c r="V247" s="569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customHeight="1" x14ac:dyDescent="0.25">
      <c r="A248" s="562" t="s">
        <v>418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66"/>
      <c r="AB248" s="66"/>
      <c r="AC248" s="80"/>
    </row>
    <row r="249" spans="1:68" ht="27" customHeight="1" x14ac:dyDescent="0.25">
      <c r="A249" s="63" t="s">
        <v>419</v>
      </c>
      <c r="B249" s="63" t="s">
        <v>420</v>
      </c>
      <c r="C249" s="36">
        <v>4301040362</v>
      </c>
      <c r="D249" s="563">
        <v>4680115886803</v>
      </c>
      <c r="E249" s="563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324</v>
      </c>
      <c r="L249" s="37" t="s">
        <v>45</v>
      </c>
      <c r="M249" s="38" t="s">
        <v>305</v>
      </c>
      <c r="N249" s="38"/>
      <c r="O249" s="37">
        <v>45</v>
      </c>
      <c r="P249" s="6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5"/>
      <c r="R249" s="565"/>
      <c r="S249" s="565"/>
      <c r="T249" s="566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421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570"/>
      <c r="B250" s="570"/>
      <c r="C250" s="570"/>
      <c r="D250" s="570"/>
      <c r="E250" s="570"/>
      <c r="F250" s="570"/>
      <c r="G250" s="570"/>
      <c r="H250" s="570"/>
      <c r="I250" s="570"/>
      <c r="J250" s="570"/>
      <c r="K250" s="570"/>
      <c r="L250" s="570"/>
      <c r="M250" s="570"/>
      <c r="N250" s="570"/>
      <c r="O250" s="571"/>
      <c r="P250" s="567" t="s">
        <v>40</v>
      </c>
      <c r="Q250" s="568"/>
      <c r="R250" s="568"/>
      <c r="S250" s="568"/>
      <c r="T250" s="568"/>
      <c r="U250" s="568"/>
      <c r="V250" s="569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570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1"/>
      <c r="P251" s="567" t="s">
        <v>40</v>
      </c>
      <c r="Q251" s="568"/>
      <c r="R251" s="568"/>
      <c r="S251" s="568"/>
      <c r="T251" s="568"/>
      <c r="U251" s="568"/>
      <c r="V251" s="569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customHeight="1" x14ac:dyDescent="0.25">
      <c r="A252" s="562" t="s">
        <v>422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66"/>
      <c r="AB252" s="66"/>
      <c r="AC252" s="80"/>
    </row>
    <row r="253" spans="1:68" ht="27" customHeight="1" x14ac:dyDescent="0.25">
      <c r="A253" s="63" t="s">
        <v>423</v>
      </c>
      <c r="B253" s="63" t="s">
        <v>424</v>
      </c>
      <c r="C253" s="36">
        <v>4301041004</v>
      </c>
      <c r="D253" s="563">
        <v>4680115886704</v>
      </c>
      <c r="E253" s="563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324</v>
      </c>
      <c r="L253" s="37" t="s">
        <v>45</v>
      </c>
      <c r="M253" s="38" t="s">
        <v>305</v>
      </c>
      <c r="N253" s="38"/>
      <c r="O253" s="37">
        <v>90</v>
      </c>
      <c r="P253" s="6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5"/>
      <c r="R253" s="565"/>
      <c r="S253" s="565"/>
      <c r="T253" s="566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425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426</v>
      </c>
      <c r="B254" s="63" t="s">
        <v>427</v>
      </c>
      <c r="C254" s="36">
        <v>4301041008</v>
      </c>
      <c r="D254" s="563">
        <v>4680115886681</v>
      </c>
      <c r="E254" s="563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324</v>
      </c>
      <c r="L254" s="37" t="s">
        <v>45</v>
      </c>
      <c r="M254" s="38" t="s">
        <v>305</v>
      </c>
      <c r="N254" s="38"/>
      <c r="O254" s="37">
        <v>90</v>
      </c>
      <c r="P254" s="6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5"/>
      <c r="R254" s="565"/>
      <c r="S254" s="565"/>
      <c r="T254" s="566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425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428</v>
      </c>
      <c r="B255" s="63" t="s">
        <v>429</v>
      </c>
      <c r="C255" s="36">
        <v>4301041007</v>
      </c>
      <c r="D255" s="563">
        <v>4680115886735</v>
      </c>
      <c r="E255" s="563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324</v>
      </c>
      <c r="L255" s="37" t="s">
        <v>45</v>
      </c>
      <c r="M255" s="38" t="s">
        <v>305</v>
      </c>
      <c r="N255" s="38"/>
      <c r="O255" s="37">
        <v>90</v>
      </c>
      <c r="P255" s="6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5"/>
      <c r="R255" s="565"/>
      <c r="S255" s="565"/>
      <c r="T255" s="56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425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430</v>
      </c>
      <c r="B256" s="63" t="s">
        <v>431</v>
      </c>
      <c r="C256" s="36">
        <v>4301041006</v>
      </c>
      <c r="D256" s="563">
        <v>4680115886728</v>
      </c>
      <c r="E256" s="563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324</v>
      </c>
      <c r="L256" s="37" t="s">
        <v>45</v>
      </c>
      <c r="M256" s="38" t="s">
        <v>305</v>
      </c>
      <c r="N256" s="38"/>
      <c r="O256" s="37">
        <v>90</v>
      </c>
      <c r="P256" s="69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5"/>
      <c r="R256" s="565"/>
      <c r="S256" s="565"/>
      <c r="T256" s="56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425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432</v>
      </c>
      <c r="B257" s="63" t="s">
        <v>433</v>
      </c>
      <c r="C257" s="36">
        <v>4301041005</v>
      </c>
      <c r="D257" s="563">
        <v>4680115886711</v>
      </c>
      <c r="E257" s="563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324</v>
      </c>
      <c r="L257" s="37" t="s">
        <v>45</v>
      </c>
      <c r="M257" s="38" t="s">
        <v>305</v>
      </c>
      <c r="N257" s="38"/>
      <c r="O257" s="37">
        <v>90</v>
      </c>
      <c r="P257" s="68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5"/>
      <c r="R257" s="565"/>
      <c r="S257" s="565"/>
      <c r="T257" s="56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425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570"/>
      <c r="B258" s="570"/>
      <c r="C258" s="570"/>
      <c r="D258" s="570"/>
      <c r="E258" s="570"/>
      <c r="F258" s="570"/>
      <c r="G258" s="570"/>
      <c r="H258" s="570"/>
      <c r="I258" s="570"/>
      <c r="J258" s="570"/>
      <c r="K258" s="570"/>
      <c r="L258" s="570"/>
      <c r="M258" s="570"/>
      <c r="N258" s="570"/>
      <c r="O258" s="571"/>
      <c r="P258" s="567" t="s">
        <v>40</v>
      </c>
      <c r="Q258" s="568"/>
      <c r="R258" s="568"/>
      <c r="S258" s="568"/>
      <c r="T258" s="568"/>
      <c r="U258" s="568"/>
      <c r="V258" s="569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570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1"/>
      <c r="P259" s="567" t="s">
        <v>40</v>
      </c>
      <c r="Q259" s="568"/>
      <c r="R259" s="568"/>
      <c r="S259" s="568"/>
      <c r="T259" s="568"/>
      <c r="U259" s="568"/>
      <c r="V259" s="569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customHeight="1" x14ac:dyDescent="0.25">
      <c r="A260" s="578" t="s">
        <v>434</v>
      </c>
      <c r="B260" s="578"/>
      <c r="C260" s="578"/>
      <c r="D260" s="578"/>
      <c r="E260" s="578"/>
      <c r="F260" s="578"/>
      <c r="G260" s="578"/>
      <c r="H260" s="578"/>
      <c r="I260" s="578"/>
      <c r="J260" s="578"/>
      <c r="K260" s="578"/>
      <c r="L260" s="578"/>
      <c r="M260" s="578"/>
      <c r="N260" s="578"/>
      <c r="O260" s="578"/>
      <c r="P260" s="578"/>
      <c r="Q260" s="578"/>
      <c r="R260" s="578"/>
      <c r="S260" s="578"/>
      <c r="T260" s="578"/>
      <c r="U260" s="578"/>
      <c r="V260" s="578"/>
      <c r="W260" s="578"/>
      <c r="X260" s="578"/>
      <c r="Y260" s="578"/>
      <c r="Z260" s="578"/>
      <c r="AA260" s="65"/>
      <c r="AB260" s="65"/>
      <c r="AC260" s="79"/>
    </row>
    <row r="261" spans="1:68" ht="14.25" customHeight="1" x14ac:dyDescent="0.25">
      <c r="A261" s="562" t="s">
        <v>110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66"/>
      <c r="AB261" s="66"/>
      <c r="AC261" s="80"/>
    </row>
    <row r="262" spans="1:68" ht="27" customHeight="1" x14ac:dyDescent="0.25">
      <c r="A262" s="63" t="s">
        <v>435</v>
      </c>
      <c r="B262" s="63" t="s">
        <v>436</v>
      </c>
      <c r="C262" s="36">
        <v>4301011855</v>
      </c>
      <c r="D262" s="563">
        <v>4680115885837</v>
      </c>
      <c r="E262" s="56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45</v>
      </c>
      <c r="M262" s="38" t="s">
        <v>114</v>
      </c>
      <c r="N262" s="38"/>
      <c r="O262" s="37">
        <v>55</v>
      </c>
      <c r="P262" s="6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5"/>
      <c r="R262" s="565"/>
      <c r="S262" s="565"/>
      <c r="T262" s="566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438</v>
      </c>
      <c r="B263" s="63" t="s">
        <v>439</v>
      </c>
      <c r="C263" s="36">
        <v>4301011853</v>
      </c>
      <c r="D263" s="563">
        <v>4680115885851</v>
      </c>
      <c r="E263" s="563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115</v>
      </c>
      <c r="L263" s="37" t="s">
        <v>45</v>
      </c>
      <c r="M263" s="38" t="s">
        <v>114</v>
      </c>
      <c r="N263" s="38"/>
      <c r="O263" s="37">
        <v>55</v>
      </c>
      <c r="P263" s="68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5"/>
      <c r="R263" s="565"/>
      <c r="S263" s="565"/>
      <c r="T263" s="566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441</v>
      </c>
      <c r="B264" s="63" t="s">
        <v>442</v>
      </c>
      <c r="C264" s="36">
        <v>4301011850</v>
      </c>
      <c r="D264" s="563">
        <v>4680115885806</v>
      </c>
      <c r="E264" s="56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114</v>
      </c>
      <c r="N264" s="38"/>
      <c r="O264" s="37">
        <v>55</v>
      </c>
      <c r="P264" s="6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5"/>
      <c r="R264" s="565"/>
      <c r="S264" s="565"/>
      <c r="T264" s="56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444</v>
      </c>
      <c r="B265" s="63" t="s">
        <v>445</v>
      </c>
      <c r="C265" s="36">
        <v>4301011852</v>
      </c>
      <c r="D265" s="563">
        <v>4680115885844</v>
      </c>
      <c r="E265" s="563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120</v>
      </c>
      <c r="L265" s="37" t="s">
        <v>45</v>
      </c>
      <c r="M265" s="38" t="s">
        <v>114</v>
      </c>
      <c r="N265" s="38"/>
      <c r="O265" s="37">
        <v>55</v>
      </c>
      <c r="P265" s="6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5"/>
      <c r="R265" s="565"/>
      <c r="S265" s="565"/>
      <c r="T265" s="56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446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447</v>
      </c>
      <c r="B266" s="63" t="s">
        <v>448</v>
      </c>
      <c r="C266" s="36">
        <v>4301011851</v>
      </c>
      <c r="D266" s="563">
        <v>4680115885820</v>
      </c>
      <c r="E266" s="563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120</v>
      </c>
      <c r="L266" s="37" t="s">
        <v>45</v>
      </c>
      <c r="M266" s="38" t="s">
        <v>114</v>
      </c>
      <c r="N266" s="38"/>
      <c r="O266" s="37">
        <v>55</v>
      </c>
      <c r="P266" s="6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5"/>
      <c r="R266" s="565"/>
      <c r="S266" s="565"/>
      <c r="T266" s="56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449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570"/>
      <c r="B267" s="570"/>
      <c r="C267" s="570"/>
      <c r="D267" s="570"/>
      <c r="E267" s="570"/>
      <c r="F267" s="570"/>
      <c r="G267" s="570"/>
      <c r="H267" s="570"/>
      <c r="I267" s="570"/>
      <c r="J267" s="570"/>
      <c r="K267" s="570"/>
      <c r="L267" s="570"/>
      <c r="M267" s="570"/>
      <c r="N267" s="570"/>
      <c r="O267" s="571"/>
      <c r="P267" s="567" t="s">
        <v>40</v>
      </c>
      <c r="Q267" s="568"/>
      <c r="R267" s="568"/>
      <c r="S267" s="568"/>
      <c r="T267" s="568"/>
      <c r="U267" s="568"/>
      <c r="V267" s="569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570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1"/>
      <c r="P268" s="567" t="s">
        <v>40</v>
      </c>
      <c r="Q268" s="568"/>
      <c r="R268" s="568"/>
      <c r="S268" s="568"/>
      <c r="T268" s="568"/>
      <c r="U268" s="568"/>
      <c r="V268" s="569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customHeight="1" x14ac:dyDescent="0.25">
      <c r="A269" s="578" t="s">
        <v>450</v>
      </c>
      <c r="B269" s="578"/>
      <c r="C269" s="578"/>
      <c r="D269" s="578"/>
      <c r="E269" s="578"/>
      <c r="F269" s="578"/>
      <c r="G269" s="578"/>
      <c r="H269" s="578"/>
      <c r="I269" s="578"/>
      <c r="J269" s="578"/>
      <c r="K269" s="578"/>
      <c r="L269" s="578"/>
      <c r="M269" s="578"/>
      <c r="N269" s="578"/>
      <c r="O269" s="578"/>
      <c r="P269" s="578"/>
      <c r="Q269" s="578"/>
      <c r="R269" s="578"/>
      <c r="S269" s="578"/>
      <c r="T269" s="578"/>
      <c r="U269" s="578"/>
      <c r="V269" s="578"/>
      <c r="W269" s="578"/>
      <c r="X269" s="578"/>
      <c r="Y269" s="578"/>
      <c r="Z269" s="578"/>
      <c r="AA269" s="65"/>
      <c r="AB269" s="65"/>
      <c r="AC269" s="79"/>
    </row>
    <row r="270" spans="1:68" ht="14.25" customHeight="1" x14ac:dyDescent="0.25">
      <c r="A270" s="562" t="s">
        <v>110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66"/>
      <c r="AB270" s="66"/>
      <c r="AC270" s="80"/>
    </row>
    <row r="271" spans="1:68" ht="27" customHeight="1" x14ac:dyDescent="0.25">
      <c r="A271" s="63" t="s">
        <v>451</v>
      </c>
      <c r="B271" s="63" t="s">
        <v>452</v>
      </c>
      <c r="C271" s="36">
        <v>4301011223</v>
      </c>
      <c r="D271" s="563">
        <v>4607091383423</v>
      </c>
      <c r="E271" s="563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35</v>
      </c>
      <c r="P271" s="68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5"/>
      <c r="R271" s="565"/>
      <c r="S271" s="565"/>
      <c r="T271" s="566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113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453</v>
      </c>
      <c r="B272" s="63" t="s">
        <v>454</v>
      </c>
      <c r="C272" s="36">
        <v>4301012199</v>
      </c>
      <c r="D272" s="563">
        <v>4680115886957</v>
      </c>
      <c r="E272" s="563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115</v>
      </c>
      <c r="L272" s="37" t="s">
        <v>45</v>
      </c>
      <c r="M272" s="38" t="s">
        <v>92</v>
      </c>
      <c r="N272" s="38"/>
      <c r="O272" s="37">
        <v>30</v>
      </c>
      <c r="P272" s="68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5"/>
      <c r="R272" s="565"/>
      <c r="S272" s="565"/>
      <c r="T272" s="56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455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456</v>
      </c>
      <c r="B273" s="63" t="s">
        <v>457</v>
      </c>
      <c r="C273" s="36">
        <v>4301012098</v>
      </c>
      <c r="D273" s="563">
        <v>4680115885660</v>
      </c>
      <c r="E273" s="563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115</v>
      </c>
      <c r="L273" s="37" t="s">
        <v>45</v>
      </c>
      <c r="M273" s="38" t="s">
        <v>92</v>
      </c>
      <c r="N273" s="38"/>
      <c r="O273" s="37">
        <v>35</v>
      </c>
      <c r="P273" s="68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5"/>
      <c r="R273" s="565"/>
      <c r="S273" s="565"/>
      <c r="T273" s="56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458</v>
      </c>
      <c r="B274" s="63" t="s">
        <v>459</v>
      </c>
      <c r="C274" s="36">
        <v>4301012176</v>
      </c>
      <c r="D274" s="563">
        <v>4680115886773</v>
      </c>
      <c r="E274" s="563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115</v>
      </c>
      <c r="L274" s="37" t="s">
        <v>45</v>
      </c>
      <c r="M274" s="38" t="s">
        <v>114</v>
      </c>
      <c r="N274" s="38"/>
      <c r="O274" s="37">
        <v>31</v>
      </c>
      <c r="P274" s="68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5"/>
      <c r="R274" s="565"/>
      <c r="S274" s="565"/>
      <c r="T274" s="566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460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570"/>
      <c r="B275" s="570"/>
      <c r="C275" s="570"/>
      <c r="D275" s="570"/>
      <c r="E275" s="570"/>
      <c r="F275" s="570"/>
      <c r="G275" s="570"/>
      <c r="H275" s="570"/>
      <c r="I275" s="570"/>
      <c r="J275" s="570"/>
      <c r="K275" s="570"/>
      <c r="L275" s="570"/>
      <c r="M275" s="570"/>
      <c r="N275" s="570"/>
      <c r="O275" s="571"/>
      <c r="P275" s="567" t="s">
        <v>40</v>
      </c>
      <c r="Q275" s="568"/>
      <c r="R275" s="568"/>
      <c r="S275" s="568"/>
      <c r="T275" s="568"/>
      <c r="U275" s="568"/>
      <c r="V275" s="569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570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1"/>
      <c r="P276" s="567" t="s">
        <v>40</v>
      </c>
      <c r="Q276" s="568"/>
      <c r="R276" s="568"/>
      <c r="S276" s="568"/>
      <c r="T276" s="568"/>
      <c r="U276" s="568"/>
      <c r="V276" s="569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customHeight="1" x14ac:dyDescent="0.25">
      <c r="A277" s="578" t="s">
        <v>461</v>
      </c>
      <c r="B277" s="578"/>
      <c r="C277" s="578"/>
      <c r="D277" s="578"/>
      <c r="E277" s="578"/>
      <c r="F277" s="578"/>
      <c r="G277" s="578"/>
      <c r="H277" s="578"/>
      <c r="I277" s="578"/>
      <c r="J277" s="578"/>
      <c r="K277" s="578"/>
      <c r="L277" s="578"/>
      <c r="M277" s="578"/>
      <c r="N277" s="578"/>
      <c r="O277" s="578"/>
      <c r="P277" s="578"/>
      <c r="Q277" s="578"/>
      <c r="R277" s="578"/>
      <c r="S277" s="578"/>
      <c r="T277" s="578"/>
      <c r="U277" s="578"/>
      <c r="V277" s="578"/>
      <c r="W277" s="578"/>
      <c r="X277" s="578"/>
      <c r="Y277" s="578"/>
      <c r="Z277" s="578"/>
      <c r="AA277" s="65"/>
      <c r="AB277" s="65"/>
      <c r="AC277" s="79"/>
    </row>
    <row r="278" spans="1:68" ht="14.25" customHeight="1" x14ac:dyDescent="0.25">
      <c r="A278" s="562" t="s">
        <v>88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66"/>
      <c r="AB278" s="66"/>
      <c r="AC278" s="80"/>
    </row>
    <row r="279" spans="1:68" ht="27" customHeight="1" x14ac:dyDescent="0.25">
      <c r="A279" s="63" t="s">
        <v>462</v>
      </c>
      <c r="B279" s="63" t="s">
        <v>463</v>
      </c>
      <c r="C279" s="36">
        <v>4301051893</v>
      </c>
      <c r="D279" s="563">
        <v>4680115886186</v>
      </c>
      <c r="E279" s="563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83</v>
      </c>
      <c r="L279" s="37" t="s">
        <v>45</v>
      </c>
      <c r="M279" s="38" t="s">
        <v>92</v>
      </c>
      <c r="N279" s="38"/>
      <c r="O279" s="37">
        <v>45</v>
      </c>
      <c r="P279" s="6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5"/>
      <c r="R279" s="565"/>
      <c r="S279" s="565"/>
      <c r="T279" s="566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464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465</v>
      </c>
      <c r="B280" s="63" t="s">
        <v>466</v>
      </c>
      <c r="C280" s="36">
        <v>4301051795</v>
      </c>
      <c r="D280" s="563">
        <v>4680115881228</v>
      </c>
      <c r="E280" s="56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83</v>
      </c>
      <c r="L280" s="37" t="s">
        <v>231</v>
      </c>
      <c r="M280" s="38" t="s">
        <v>98</v>
      </c>
      <c r="N280" s="38"/>
      <c r="O280" s="37">
        <v>40</v>
      </c>
      <c r="P280" s="68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5"/>
      <c r="R280" s="565"/>
      <c r="S280" s="565"/>
      <c r="T280" s="566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467</v>
      </c>
      <c r="AG280" s="78"/>
      <c r="AJ280" s="84" t="s">
        <v>117</v>
      </c>
      <c r="AK280" s="84">
        <v>33.6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468</v>
      </c>
      <c r="B281" s="63" t="s">
        <v>469</v>
      </c>
      <c r="C281" s="36">
        <v>4301051388</v>
      </c>
      <c r="D281" s="563">
        <v>4680115881211</v>
      </c>
      <c r="E281" s="563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83</v>
      </c>
      <c r="L281" s="37" t="s">
        <v>45</v>
      </c>
      <c r="M281" s="38" t="s">
        <v>92</v>
      </c>
      <c r="N281" s="38"/>
      <c r="O281" s="37">
        <v>45</v>
      </c>
      <c r="P281" s="67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5"/>
      <c r="R281" s="565"/>
      <c r="S281" s="565"/>
      <c r="T281" s="566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464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570"/>
      <c r="B282" s="570"/>
      <c r="C282" s="570"/>
      <c r="D282" s="570"/>
      <c r="E282" s="570"/>
      <c r="F282" s="570"/>
      <c r="G282" s="570"/>
      <c r="H282" s="570"/>
      <c r="I282" s="570"/>
      <c r="J282" s="570"/>
      <c r="K282" s="570"/>
      <c r="L282" s="570"/>
      <c r="M282" s="570"/>
      <c r="N282" s="570"/>
      <c r="O282" s="571"/>
      <c r="P282" s="567" t="s">
        <v>40</v>
      </c>
      <c r="Q282" s="568"/>
      <c r="R282" s="568"/>
      <c r="S282" s="568"/>
      <c r="T282" s="568"/>
      <c r="U282" s="568"/>
      <c r="V282" s="569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570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1"/>
      <c r="P283" s="567" t="s">
        <v>40</v>
      </c>
      <c r="Q283" s="568"/>
      <c r="R283" s="568"/>
      <c r="S283" s="568"/>
      <c r="T283" s="568"/>
      <c r="U283" s="568"/>
      <c r="V283" s="569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customHeight="1" x14ac:dyDescent="0.25">
      <c r="A284" s="578" t="s">
        <v>470</v>
      </c>
      <c r="B284" s="578"/>
      <c r="C284" s="578"/>
      <c r="D284" s="578"/>
      <c r="E284" s="578"/>
      <c r="F284" s="578"/>
      <c r="G284" s="578"/>
      <c r="H284" s="578"/>
      <c r="I284" s="578"/>
      <c r="J284" s="578"/>
      <c r="K284" s="578"/>
      <c r="L284" s="578"/>
      <c r="M284" s="578"/>
      <c r="N284" s="578"/>
      <c r="O284" s="578"/>
      <c r="P284" s="578"/>
      <c r="Q284" s="578"/>
      <c r="R284" s="578"/>
      <c r="S284" s="578"/>
      <c r="T284" s="578"/>
      <c r="U284" s="578"/>
      <c r="V284" s="578"/>
      <c r="W284" s="578"/>
      <c r="X284" s="578"/>
      <c r="Y284" s="578"/>
      <c r="Z284" s="578"/>
      <c r="AA284" s="65"/>
      <c r="AB284" s="65"/>
      <c r="AC284" s="79"/>
    </row>
    <row r="285" spans="1:68" ht="14.25" customHeight="1" x14ac:dyDescent="0.25">
      <c r="A285" s="562" t="s">
        <v>78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66"/>
      <c r="AB285" s="66"/>
      <c r="AC285" s="80"/>
    </row>
    <row r="286" spans="1:68" ht="27" customHeight="1" x14ac:dyDescent="0.25">
      <c r="A286" s="63" t="s">
        <v>471</v>
      </c>
      <c r="B286" s="63" t="s">
        <v>472</v>
      </c>
      <c r="C286" s="36">
        <v>4301031307</v>
      </c>
      <c r="D286" s="563">
        <v>4680115880344</v>
      </c>
      <c r="E286" s="563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87</v>
      </c>
      <c r="L286" s="37" t="s">
        <v>45</v>
      </c>
      <c r="M286" s="38" t="s">
        <v>82</v>
      </c>
      <c r="N286" s="38"/>
      <c r="O286" s="37">
        <v>40</v>
      </c>
      <c r="P286" s="67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5"/>
      <c r="R286" s="565"/>
      <c r="S286" s="565"/>
      <c r="T286" s="566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473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474</v>
      </c>
      <c r="B287" s="63" t="s">
        <v>475</v>
      </c>
      <c r="C287" s="36">
        <v>4301031429</v>
      </c>
      <c r="D287" s="563">
        <v>4680115886919</v>
      </c>
      <c r="E287" s="563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83</v>
      </c>
      <c r="L287" s="37" t="s">
        <v>45</v>
      </c>
      <c r="M287" s="38" t="s">
        <v>82</v>
      </c>
      <c r="N287" s="38"/>
      <c r="O287" s="37">
        <v>40</v>
      </c>
      <c r="P287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5"/>
      <c r="R287" s="565"/>
      <c r="S287" s="565"/>
      <c r="T287" s="566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476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570"/>
      <c r="B288" s="570"/>
      <c r="C288" s="570"/>
      <c r="D288" s="570"/>
      <c r="E288" s="570"/>
      <c r="F288" s="570"/>
      <c r="G288" s="570"/>
      <c r="H288" s="570"/>
      <c r="I288" s="570"/>
      <c r="J288" s="570"/>
      <c r="K288" s="570"/>
      <c r="L288" s="570"/>
      <c r="M288" s="570"/>
      <c r="N288" s="570"/>
      <c r="O288" s="571"/>
      <c r="P288" s="567" t="s">
        <v>40</v>
      </c>
      <c r="Q288" s="568"/>
      <c r="R288" s="568"/>
      <c r="S288" s="568"/>
      <c r="T288" s="568"/>
      <c r="U288" s="568"/>
      <c r="V288" s="569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570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1"/>
      <c r="P289" s="567" t="s">
        <v>40</v>
      </c>
      <c r="Q289" s="568"/>
      <c r="R289" s="568"/>
      <c r="S289" s="568"/>
      <c r="T289" s="568"/>
      <c r="U289" s="568"/>
      <c r="V289" s="569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customHeight="1" x14ac:dyDescent="0.25">
      <c r="A290" s="562" t="s">
        <v>88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66"/>
      <c r="AB290" s="66"/>
      <c r="AC290" s="80"/>
    </row>
    <row r="291" spans="1:68" ht="37.5" customHeight="1" x14ac:dyDescent="0.25">
      <c r="A291" s="63" t="s">
        <v>477</v>
      </c>
      <c r="B291" s="63" t="s">
        <v>478</v>
      </c>
      <c r="C291" s="36">
        <v>4301051782</v>
      </c>
      <c r="D291" s="563">
        <v>4680115884618</v>
      </c>
      <c r="E291" s="563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120</v>
      </c>
      <c r="L291" s="37" t="s">
        <v>45</v>
      </c>
      <c r="M291" s="38" t="s">
        <v>92</v>
      </c>
      <c r="N291" s="38"/>
      <c r="O291" s="37">
        <v>45</v>
      </c>
      <c r="P291" s="6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5"/>
      <c r="R291" s="565"/>
      <c r="S291" s="565"/>
      <c r="T291" s="566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479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480</v>
      </c>
      <c r="B292" s="63" t="s">
        <v>481</v>
      </c>
      <c r="C292" s="36">
        <v>4301052057</v>
      </c>
      <c r="D292" s="563">
        <v>4680115887114</v>
      </c>
      <c r="E292" s="563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120</v>
      </c>
      <c r="L292" s="37" t="s">
        <v>45</v>
      </c>
      <c r="M292" s="38" t="s">
        <v>92</v>
      </c>
      <c r="N292" s="38"/>
      <c r="O292" s="37">
        <v>45</v>
      </c>
      <c r="P292" s="6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5"/>
      <c r="R292" s="565"/>
      <c r="S292" s="565"/>
      <c r="T292" s="566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482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570"/>
      <c r="B293" s="570"/>
      <c r="C293" s="570"/>
      <c r="D293" s="570"/>
      <c r="E293" s="570"/>
      <c r="F293" s="570"/>
      <c r="G293" s="570"/>
      <c r="H293" s="570"/>
      <c r="I293" s="570"/>
      <c r="J293" s="570"/>
      <c r="K293" s="570"/>
      <c r="L293" s="570"/>
      <c r="M293" s="570"/>
      <c r="N293" s="570"/>
      <c r="O293" s="571"/>
      <c r="P293" s="567" t="s">
        <v>40</v>
      </c>
      <c r="Q293" s="568"/>
      <c r="R293" s="568"/>
      <c r="S293" s="568"/>
      <c r="T293" s="568"/>
      <c r="U293" s="568"/>
      <c r="V293" s="569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570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1"/>
      <c r="P294" s="567" t="s">
        <v>40</v>
      </c>
      <c r="Q294" s="568"/>
      <c r="R294" s="568"/>
      <c r="S294" s="568"/>
      <c r="T294" s="568"/>
      <c r="U294" s="568"/>
      <c r="V294" s="569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578" t="s">
        <v>483</v>
      </c>
      <c r="B295" s="578"/>
      <c r="C295" s="578"/>
      <c r="D295" s="578"/>
      <c r="E295" s="578"/>
      <c r="F295" s="578"/>
      <c r="G295" s="578"/>
      <c r="H295" s="578"/>
      <c r="I295" s="578"/>
      <c r="J295" s="578"/>
      <c r="K295" s="578"/>
      <c r="L295" s="578"/>
      <c r="M295" s="578"/>
      <c r="N295" s="578"/>
      <c r="O295" s="578"/>
      <c r="P295" s="578"/>
      <c r="Q295" s="578"/>
      <c r="R295" s="578"/>
      <c r="S295" s="578"/>
      <c r="T295" s="578"/>
      <c r="U295" s="578"/>
      <c r="V295" s="578"/>
      <c r="W295" s="578"/>
      <c r="X295" s="578"/>
      <c r="Y295" s="578"/>
      <c r="Z295" s="578"/>
      <c r="AA295" s="65"/>
      <c r="AB295" s="65"/>
      <c r="AC295" s="79"/>
    </row>
    <row r="296" spans="1:68" ht="14.25" customHeight="1" x14ac:dyDescent="0.25">
      <c r="A296" s="562" t="s">
        <v>110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66"/>
      <c r="AB296" s="66"/>
      <c r="AC296" s="80"/>
    </row>
    <row r="297" spans="1:68" ht="27" customHeight="1" x14ac:dyDescent="0.25">
      <c r="A297" s="63" t="s">
        <v>484</v>
      </c>
      <c r="B297" s="63" t="s">
        <v>485</v>
      </c>
      <c r="C297" s="36">
        <v>4301012024</v>
      </c>
      <c r="D297" s="563">
        <v>4680115885615</v>
      </c>
      <c r="E297" s="563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92</v>
      </c>
      <c r="N297" s="38"/>
      <c r="O297" s="37">
        <v>55</v>
      </c>
      <c r="P297" s="6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5"/>
      <c r="R297" s="565"/>
      <c r="S297" s="565"/>
      <c r="T297" s="566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customHeight="1" x14ac:dyDescent="0.25">
      <c r="A298" s="63" t="s">
        <v>487</v>
      </c>
      <c r="B298" s="63" t="s">
        <v>488</v>
      </c>
      <c r="C298" s="36">
        <v>4301011858</v>
      </c>
      <c r="D298" s="563">
        <v>4680115885646</v>
      </c>
      <c r="E298" s="563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115</v>
      </c>
      <c r="L298" s="37" t="s">
        <v>45</v>
      </c>
      <c r="M298" s="38" t="s">
        <v>114</v>
      </c>
      <c r="N298" s="38"/>
      <c r="O298" s="37">
        <v>55</v>
      </c>
      <c r="P298" s="6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5"/>
      <c r="R298" s="565"/>
      <c r="S298" s="565"/>
      <c r="T298" s="566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489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490</v>
      </c>
      <c r="B299" s="63" t="s">
        <v>491</v>
      </c>
      <c r="C299" s="36">
        <v>4301012016</v>
      </c>
      <c r="D299" s="563">
        <v>4680115885554</v>
      </c>
      <c r="E299" s="563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115</v>
      </c>
      <c r="L299" s="37" t="s">
        <v>45</v>
      </c>
      <c r="M299" s="38" t="s">
        <v>92</v>
      </c>
      <c r="N299" s="38"/>
      <c r="O299" s="37">
        <v>55</v>
      </c>
      <c r="P299" s="6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5"/>
      <c r="R299" s="565"/>
      <c r="S299" s="565"/>
      <c r="T299" s="566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492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493</v>
      </c>
      <c r="B300" s="63" t="s">
        <v>494</v>
      </c>
      <c r="C300" s="36">
        <v>4301011857</v>
      </c>
      <c r="D300" s="563">
        <v>4680115885622</v>
      </c>
      <c r="E300" s="56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120</v>
      </c>
      <c r="L300" s="37" t="s">
        <v>45</v>
      </c>
      <c r="M300" s="38" t="s">
        <v>114</v>
      </c>
      <c r="N300" s="38"/>
      <c r="O300" s="37">
        <v>55</v>
      </c>
      <c r="P300" s="67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5"/>
      <c r="R300" s="565"/>
      <c r="S300" s="565"/>
      <c r="T300" s="566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486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495</v>
      </c>
      <c r="B301" s="63" t="s">
        <v>496</v>
      </c>
      <c r="C301" s="36">
        <v>4301011859</v>
      </c>
      <c r="D301" s="563">
        <v>4680115885608</v>
      </c>
      <c r="E301" s="56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120</v>
      </c>
      <c r="L301" s="37" t="s">
        <v>45</v>
      </c>
      <c r="M301" s="38" t="s">
        <v>114</v>
      </c>
      <c r="N301" s="38"/>
      <c r="O301" s="37">
        <v>55</v>
      </c>
      <c r="P301" s="6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5"/>
      <c r="R301" s="565"/>
      <c r="S301" s="565"/>
      <c r="T301" s="566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497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570"/>
      <c r="B302" s="570"/>
      <c r="C302" s="570"/>
      <c r="D302" s="570"/>
      <c r="E302" s="570"/>
      <c r="F302" s="570"/>
      <c r="G302" s="570"/>
      <c r="H302" s="570"/>
      <c r="I302" s="570"/>
      <c r="J302" s="570"/>
      <c r="K302" s="570"/>
      <c r="L302" s="570"/>
      <c r="M302" s="570"/>
      <c r="N302" s="570"/>
      <c r="O302" s="571"/>
      <c r="P302" s="567" t="s">
        <v>40</v>
      </c>
      <c r="Q302" s="568"/>
      <c r="R302" s="568"/>
      <c r="S302" s="568"/>
      <c r="T302" s="568"/>
      <c r="U302" s="568"/>
      <c r="V302" s="569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570"/>
      <c r="B303" s="570"/>
      <c r="C303" s="570"/>
      <c r="D303" s="570"/>
      <c r="E303" s="570"/>
      <c r="F303" s="570"/>
      <c r="G303" s="570"/>
      <c r="H303" s="570"/>
      <c r="I303" s="570"/>
      <c r="J303" s="570"/>
      <c r="K303" s="570"/>
      <c r="L303" s="570"/>
      <c r="M303" s="570"/>
      <c r="N303" s="570"/>
      <c r="O303" s="571"/>
      <c r="P303" s="567" t="s">
        <v>40</v>
      </c>
      <c r="Q303" s="568"/>
      <c r="R303" s="568"/>
      <c r="S303" s="568"/>
      <c r="T303" s="568"/>
      <c r="U303" s="568"/>
      <c r="V303" s="569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customHeight="1" x14ac:dyDescent="0.25">
      <c r="A304" s="562" t="s">
        <v>78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66"/>
      <c r="AB304" s="66"/>
      <c r="AC304" s="80"/>
    </row>
    <row r="305" spans="1:68" ht="27" customHeight="1" x14ac:dyDescent="0.25">
      <c r="A305" s="63" t="s">
        <v>498</v>
      </c>
      <c r="B305" s="63" t="s">
        <v>499</v>
      </c>
      <c r="C305" s="36">
        <v>4301030878</v>
      </c>
      <c r="D305" s="563">
        <v>4607091387193</v>
      </c>
      <c r="E305" s="563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120</v>
      </c>
      <c r="L305" s="37" t="s">
        <v>45</v>
      </c>
      <c r="M305" s="38" t="s">
        <v>82</v>
      </c>
      <c r="N305" s="38"/>
      <c r="O305" s="37">
        <v>35</v>
      </c>
      <c r="P305" s="6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5"/>
      <c r="R305" s="565"/>
      <c r="S305" s="565"/>
      <c r="T305" s="566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0" si="31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0" si="32">IFERROR(X305*I305/H305,"0")</f>
        <v>0</v>
      </c>
      <c r="BN305" s="78">
        <f t="shared" ref="BN305:BN310" si="33">IFERROR(Y305*I305/H305,"0")</f>
        <v>0</v>
      </c>
      <c r="BO305" s="78">
        <f t="shared" ref="BO305:BO310" si="34">IFERROR(1/J305*(X305/H305),"0")</f>
        <v>0</v>
      </c>
      <c r="BP305" s="78">
        <f t="shared" ref="BP305:BP310" si="35">IFERROR(1/J305*(Y305/H305),"0")</f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4301031153</v>
      </c>
      <c r="D306" s="563">
        <v>4607091387230</v>
      </c>
      <c r="E306" s="563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120</v>
      </c>
      <c r="L306" s="37" t="s">
        <v>45</v>
      </c>
      <c r="M306" s="38" t="s">
        <v>82</v>
      </c>
      <c r="N306" s="38"/>
      <c r="O306" s="37">
        <v>40</v>
      </c>
      <c r="P306" s="6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5"/>
      <c r="R306" s="565"/>
      <c r="S306" s="565"/>
      <c r="T306" s="566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45</v>
      </c>
      <c r="AK306" s="84">
        <v>0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504</v>
      </c>
      <c r="B307" s="63" t="s">
        <v>505</v>
      </c>
      <c r="C307" s="36">
        <v>4301031154</v>
      </c>
      <c r="D307" s="563">
        <v>4607091387292</v>
      </c>
      <c r="E307" s="563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120</v>
      </c>
      <c r="L307" s="37" t="s">
        <v>45</v>
      </c>
      <c r="M307" s="38" t="s">
        <v>82</v>
      </c>
      <c r="N307" s="38"/>
      <c r="O307" s="37">
        <v>45</v>
      </c>
      <c r="P307" s="6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5"/>
      <c r="R307" s="565"/>
      <c r="S307" s="565"/>
      <c r="T307" s="566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506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507</v>
      </c>
      <c r="B308" s="63" t="s">
        <v>508</v>
      </c>
      <c r="C308" s="36">
        <v>4301031152</v>
      </c>
      <c r="D308" s="563">
        <v>4607091387285</v>
      </c>
      <c r="E308" s="563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87</v>
      </c>
      <c r="L308" s="37" t="s">
        <v>296</v>
      </c>
      <c r="M308" s="38" t="s">
        <v>82</v>
      </c>
      <c r="N308" s="38"/>
      <c r="O308" s="37">
        <v>40</v>
      </c>
      <c r="P308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5"/>
      <c r="R308" s="565"/>
      <c r="S308" s="565"/>
      <c r="T308" s="566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503</v>
      </c>
      <c r="AG308" s="78"/>
      <c r="AJ308" s="84" t="s">
        <v>117</v>
      </c>
      <c r="AK308" s="84">
        <v>37.799999999999997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509</v>
      </c>
      <c r="B309" s="63" t="s">
        <v>510</v>
      </c>
      <c r="C309" s="36">
        <v>4301031305</v>
      </c>
      <c r="D309" s="563">
        <v>4607091389845</v>
      </c>
      <c r="E309" s="563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87</v>
      </c>
      <c r="L309" s="37" t="s">
        <v>296</v>
      </c>
      <c r="M309" s="38" t="s">
        <v>82</v>
      </c>
      <c r="N309" s="38"/>
      <c r="O309" s="37">
        <v>40</v>
      </c>
      <c r="P309" s="66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5"/>
      <c r="R309" s="565"/>
      <c r="S309" s="565"/>
      <c r="T309" s="566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511</v>
      </c>
      <c r="AG309" s="78"/>
      <c r="AJ309" s="84" t="s">
        <v>117</v>
      </c>
      <c r="AK309" s="84">
        <v>37.799999999999997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ht="27" customHeight="1" x14ac:dyDescent="0.25">
      <c r="A310" s="63" t="s">
        <v>512</v>
      </c>
      <c r="B310" s="63" t="s">
        <v>513</v>
      </c>
      <c r="C310" s="36">
        <v>4301031066</v>
      </c>
      <c r="D310" s="563">
        <v>4607091383836</v>
      </c>
      <c r="E310" s="563"/>
      <c r="F310" s="62">
        <v>0.3</v>
      </c>
      <c r="G310" s="37">
        <v>6</v>
      </c>
      <c r="H310" s="62">
        <v>1.8</v>
      </c>
      <c r="I310" s="62">
        <v>2.028</v>
      </c>
      <c r="J310" s="37">
        <v>182</v>
      </c>
      <c r="K310" s="37" t="s">
        <v>83</v>
      </c>
      <c r="L310" s="37" t="s">
        <v>231</v>
      </c>
      <c r="M310" s="38" t="s">
        <v>82</v>
      </c>
      <c r="N310" s="38"/>
      <c r="O310" s="37">
        <v>40</v>
      </c>
      <c r="P310" s="6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5"/>
      <c r="R310" s="565"/>
      <c r="S310" s="565"/>
      <c r="T310" s="566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1"/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84" t="s">
        <v>514</v>
      </c>
      <c r="AG310" s="78"/>
      <c r="AJ310" s="84" t="s">
        <v>117</v>
      </c>
      <c r="AK310" s="84">
        <v>25.2</v>
      </c>
      <c r="BB310" s="385" t="s">
        <v>66</v>
      </c>
      <c r="BM310" s="78">
        <f t="shared" si="32"/>
        <v>0</v>
      </c>
      <c r="BN310" s="78">
        <f t="shared" si="33"/>
        <v>0</v>
      </c>
      <c r="BO310" s="78">
        <f t="shared" si="34"/>
        <v>0</v>
      </c>
      <c r="BP310" s="78">
        <f t="shared" si="35"/>
        <v>0</v>
      </c>
    </row>
    <row r="311" spans="1:68" x14ac:dyDescent="0.2">
      <c r="A311" s="570"/>
      <c r="B311" s="570"/>
      <c r="C311" s="570"/>
      <c r="D311" s="570"/>
      <c r="E311" s="570"/>
      <c r="F311" s="570"/>
      <c r="G311" s="570"/>
      <c r="H311" s="570"/>
      <c r="I311" s="570"/>
      <c r="J311" s="570"/>
      <c r="K311" s="570"/>
      <c r="L311" s="570"/>
      <c r="M311" s="570"/>
      <c r="N311" s="570"/>
      <c r="O311" s="571"/>
      <c r="P311" s="567" t="s">
        <v>40</v>
      </c>
      <c r="Q311" s="568"/>
      <c r="R311" s="568"/>
      <c r="S311" s="568"/>
      <c r="T311" s="568"/>
      <c r="U311" s="568"/>
      <c r="V311" s="569"/>
      <c r="W311" s="42" t="s">
        <v>39</v>
      </c>
      <c r="X311" s="43">
        <f>IFERROR(X305/H305,"0")+IFERROR(X306/H306,"0")+IFERROR(X307/H307,"0")+IFERROR(X308/H308,"0")+IFERROR(X309/H309,"0")+IFERROR(X310/H310,"0")</f>
        <v>0</v>
      </c>
      <c r="Y311" s="43">
        <f>IFERROR(Y305/H305,"0")+IFERROR(Y306/H306,"0")+IFERROR(Y307/H307,"0")+IFERROR(Y308/H308,"0")+IFERROR(Y309/H309,"0")+IFERROR(Y310/H310,"0")</f>
        <v>0</v>
      </c>
      <c r="Z311" s="43">
        <f>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570"/>
      <c r="B312" s="570"/>
      <c r="C312" s="570"/>
      <c r="D312" s="570"/>
      <c r="E312" s="570"/>
      <c r="F312" s="570"/>
      <c r="G312" s="570"/>
      <c r="H312" s="570"/>
      <c r="I312" s="570"/>
      <c r="J312" s="570"/>
      <c r="K312" s="570"/>
      <c r="L312" s="570"/>
      <c r="M312" s="570"/>
      <c r="N312" s="570"/>
      <c r="O312" s="571"/>
      <c r="P312" s="567" t="s">
        <v>40</v>
      </c>
      <c r="Q312" s="568"/>
      <c r="R312" s="568"/>
      <c r="S312" s="568"/>
      <c r="T312" s="568"/>
      <c r="U312" s="568"/>
      <c r="V312" s="569"/>
      <c r="W312" s="42" t="s">
        <v>0</v>
      </c>
      <c r="X312" s="43">
        <f>IFERROR(SUM(X305:X310),"0")</f>
        <v>0</v>
      </c>
      <c r="Y312" s="43">
        <f>IFERROR(SUM(Y305:Y310),"0")</f>
        <v>0</v>
      </c>
      <c r="Z312" s="42"/>
      <c r="AA312" s="67"/>
      <c r="AB312" s="67"/>
      <c r="AC312" s="67"/>
    </row>
    <row r="313" spans="1:68" ht="14.25" customHeight="1" x14ac:dyDescent="0.25">
      <c r="A313" s="562" t="s">
        <v>88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66"/>
      <c r="AB313" s="66"/>
      <c r="AC313" s="80"/>
    </row>
    <row r="314" spans="1:68" ht="27" customHeight="1" x14ac:dyDescent="0.25">
      <c r="A314" s="63" t="s">
        <v>515</v>
      </c>
      <c r="B314" s="63" t="s">
        <v>516</v>
      </c>
      <c r="C314" s="36">
        <v>4301051100</v>
      </c>
      <c r="D314" s="563">
        <v>4607091387766</v>
      </c>
      <c r="E314" s="563"/>
      <c r="F314" s="62">
        <v>1.3</v>
      </c>
      <c r="G314" s="37">
        <v>6</v>
      </c>
      <c r="H314" s="62">
        <v>7.8</v>
      </c>
      <c r="I314" s="62">
        <v>8.2880000000000003</v>
      </c>
      <c r="J314" s="37">
        <v>64</v>
      </c>
      <c r="K314" s="37" t="s">
        <v>115</v>
      </c>
      <c r="L314" s="37" t="s">
        <v>45</v>
      </c>
      <c r="M314" s="38" t="s">
        <v>92</v>
      </c>
      <c r="N314" s="38"/>
      <c r="O314" s="37">
        <v>40</v>
      </c>
      <c r="P314" s="6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5"/>
      <c r="R314" s="565"/>
      <c r="S314" s="565"/>
      <c r="T314" s="566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518</v>
      </c>
      <c r="B315" s="63" t="s">
        <v>519</v>
      </c>
      <c r="C315" s="36">
        <v>4301051818</v>
      </c>
      <c r="D315" s="563">
        <v>4607091387957</v>
      </c>
      <c r="E315" s="563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45</v>
      </c>
      <c r="M315" s="38" t="s">
        <v>92</v>
      </c>
      <c r="N315" s="38"/>
      <c r="O315" s="37">
        <v>40</v>
      </c>
      <c r="P315" s="6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5"/>
      <c r="R315" s="565"/>
      <c r="S315" s="565"/>
      <c r="T315" s="56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521</v>
      </c>
      <c r="B316" s="63" t="s">
        <v>522</v>
      </c>
      <c r="C316" s="36">
        <v>4301051819</v>
      </c>
      <c r="D316" s="563">
        <v>4607091387964</v>
      </c>
      <c r="E316" s="563"/>
      <c r="F316" s="62">
        <v>1.35</v>
      </c>
      <c r="G316" s="37">
        <v>6</v>
      </c>
      <c r="H316" s="62">
        <v>8.1</v>
      </c>
      <c r="I316" s="62">
        <v>8.5760000000000005</v>
      </c>
      <c r="J316" s="37">
        <v>64</v>
      </c>
      <c r="K316" s="37" t="s">
        <v>115</v>
      </c>
      <c r="L316" s="37" t="s">
        <v>45</v>
      </c>
      <c r="M316" s="38" t="s">
        <v>92</v>
      </c>
      <c r="N316" s="38"/>
      <c r="O316" s="37">
        <v>40</v>
      </c>
      <c r="P316" s="6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5"/>
      <c r="R316" s="565"/>
      <c r="S316" s="565"/>
      <c r="T316" s="56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523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524</v>
      </c>
      <c r="B317" s="63" t="s">
        <v>525</v>
      </c>
      <c r="C317" s="36">
        <v>4301051734</v>
      </c>
      <c r="D317" s="563">
        <v>4680115884588</v>
      </c>
      <c r="E317" s="563"/>
      <c r="F317" s="62">
        <v>0.5</v>
      </c>
      <c r="G317" s="37">
        <v>6</v>
      </c>
      <c r="H317" s="62">
        <v>3</v>
      </c>
      <c r="I317" s="62">
        <v>3.246</v>
      </c>
      <c r="J317" s="37">
        <v>182</v>
      </c>
      <c r="K317" s="37" t="s">
        <v>83</v>
      </c>
      <c r="L317" s="37" t="s">
        <v>45</v>
      </c>
      <c r="M317" s="38" t="s">
        <v>92</v>
      </c>
      <c r="N317" s="38"/>
      <c r="O317" s="37">
        <v>40</v>
      </c>
      <c r="P317" s="6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5"/>
      <c r="R317" s="565"/>
      <c r="S317" s="565"/>
      <c r="T317" s="566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IFERROR(IF(Y317=0,"",ROUNDUP(Y317/H317,0)*0.00651),"")</f>
        <v/>
      </c>
      <c r="AA317" s="68" t="s">
        <v>45</v>
      </c>
      <c r="AB317" s="69" t="s">
        <v>45</v>
      </c>
      <c r="AC317" s="392" t="s">
        <v>526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570"/>
      <c r="B318" s="570"/>
      <c r="C318" s="570"/>
      <c r="D318" s="570"/>
      <c r="E318" s="570"/>
      <c r="F318" s="570"/>
      <c r="G318" s="570"/>
      <c r="H318" s="570"/>
      <c r="I318" s="570"/>
      <c r="J318" s="570"/>
      <c r="K318" s="570"/>
      <c r="L318" s="570"/>
      <c r="M318" s="570"/>
      <c r="N318" s="570"/>
      <c r="O318" s="571"/>
      <c r="P318" s="567" t="s">
        <v>40</v>
      </c>
      <c r="Q318" s="568"/>
      <c r="R318" s="568"/>
      <c r="S318" s="568"/>
      <c r="T318" s="568"/>
      <c r="U318" s="568"/>
      <c r="V318" s="569"/>
      <c r="W318" s="42" t="s">
        <v>39</v>
      </c>
      <c r="X318" s="43">
        <f>IFERROR(X314/H314,"0")+IFERROR(X315/H315,"0")+IFERROR(X316/H316,"0")+IFERROR(X317/H317,"0")</f>
        <v>0</v>
      </c>
      <c r="Y318" s="43">
        <f>IFERROR(Y314/H314,"0")+IFERROR(Y315/H315,"0")+IFERROR(Y316/H316,"0")+IFERROR(Y317/H317,"0")</f>
        <v>0</v>
      </c>
      <c r="Z318" s="43">
        <f>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570"/>
      <c r="B319" s="570"/>
      <c r="C319" s="570"/>
      <c r="D319" s="570"/>
      <c r="E319" s="570"/>
      <c r="F319" s="570"/>
      <c r="G319" s="570"/>
      <c r="H319" s="570"/>
      <c r="I319" s="570"/>
      <c r="J319" s="570"/>
      <c r="K319" s="570"/>
      <c r="L319" s="570"/>
      <c r="M319" s="570"/>
      <c r="N319" s="570"/>
      <c r="O319" s="571"/>
      <c r="P319" s="567" t="s">
        <v>40</v>
      </c>
      <c r="Q319" s="568"/>
      <c r="R319" s="568"/>
      <c r="S319" s="568"/>
      <c r="T319" s="568"/>
      <c r="U319" s="568"/>
      <c r="V319" s="569"/>
      <c r="W319" s="42" t="s">
        <v>0</v>
      </c>
      <c r="X319" s="43">
        <f>IFERROR(SUM(X314:X317),"0")</f>
        <v>0</v>
      </c>
      <c r="Y319" s="43">
        <f>IFERROR(SUM(Y314:Y317),"0")</f>
        <v>0</v>
      </c>
      <c r="Z319" s="42"/>
      <c r="AA319" s="67"/>
      <c r="AB319" s="67"/>
      <c r="AC319" s="67"/>
    </row>
    <row r="320" spans="1:68" ht="14.25" customHeight="1" x14ac:dyDescent="0.25">
      <c r="A320" s="562" t="s">
        <v>171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66"/>
      <c r="AB320" s="66"/>
      <c r="AC320" s="80"/>
    </row>
    <row r="321" spans="1:68" ht="27" customHeight="1" x14ac:dyDescent="0.25">
      <c r="A321" s="63" t="s">
        <v>527</v>
      </c>
      <c r="B321" s="63" t="s">
        <v>528</v>
      </c>
      <c r="C321" s="36">
        <v>4301060387</v>
      </c>
      <c r="D321" s="563">
        <v>4607091380880</v>
      </c>
      <c r="E321" s="563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115</v>
      </c>
      <c r="L321" s="37" t="s">
        <v>116</v>
      </c>
      <c r="M321" s="38" t="s">
        <v>92</v>
      </c>
      <c r="N321" s="38"/>
      <c r="O321" s="37">
        <v>30</v>
      </c>
      <c r="P321" s="6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5"/>
      <c r="R321" s="565"/>
      <c r="S321" s="565"/>
      <c r="T321" s="566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117</v>
      </c>
      <c r="AK321" s="84">
        <v>67.2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530</v>
      </c>
      <c r="B322" s="63" t="s">
        <v>531</v>
      </c>
      <c r="C322" s="36">
        <v>4301060406</v>
      </c>
      <c r="D322" s="563">
        <v>4607091384482</v>
      </c>
      <c r="E322" s="563"/>
      <c r="F322" s="62">
        <v>1.3</v>
      </c>
      <c r="G322" s="37">
        <v>6</v>
      </c>
      <c r="H322" s="62">
        <v>7.8</v>
      </c>
      <c r="I322" s="62">
        <v>8.2940000000000005</v>
      </c>
      <c r="J322" s="37">
        <v>64</v>
      </c>
      <c r="K322" s="37" t="s">
        <v>115</v>
      </c>
      <c r="L322" s="37" t="s">
        <v>116</v>
      </c>
      <c r="M322" s="38" t="s">
        <v>92</v>
      </c>
      <c r="N322" s="38"/>
      <c r="O322" s="37">
        <v>30</v>
      </c>
      <c r="P322" s="6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5"/>
      <c r="R322" s="565"/>
      <c r="S322" s="565"/>
      <c r="T322" s="56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117</v>
      </c>
      <c r="AK322" s="84">
        <v>62.4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16.5" customHeight="1" x14ac:dyDescent="0.25">
      <c r="A323" s="63" t="s">
        <v>533</v>
      </c>
      <c r="B323" s="63" t="s">
        <v>534</v>
      </c>
      <c r="C323" s="36">
        <v>4301060484</v>
      </c>
      <c r="D323" s="563">
        <v>4607091380897</v>
      </c>
      <c r="E323" s="563"/>
      <c r="F323" s="62">
        <v>1.4</v>
      </c>
      <c r="G323" s="37">
        <v>6</v>
      </c>
      <c r="H323" s="62">
        <v>8.4</v>
      </c>
      <c r="I323" s="62">
        <v>8.8940000000000001</v>
      </c>
      <c r="J323" s="37">
        <v>64</v>
      </c>
      <c r="K323" s="37" t="s">
        <v>115</v>
      </c>
      <c r="L323" s="37" t="s">
        <v>116</v>
      </c>
      <c r="M323" s="38" t="s">
        <v>98</v>
      </c>
      <c r="N323" s="38"/>
      <c r="O323" s="37">
        <v>30</v>
      </c>
      <c r="P323" s="6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5"/>
      <c r="R323" s="565"/>
      <c r="S323" s="565"/>
      <c r="T323" s="56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535</v>
      </c>
      <c r="AG323" s="78"/>
      <c r="AJ323" s="84" t="s">
        <v>117</v>
      </c>
      <c r="AK323" s="84">
        <v>67.2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570"/>
      <c r="B324" s="570"/>
      <c r="C324" s="570"/>
      <c r="D324" s="570"/>
      <c r="E324" s="570"/>
      <c r="F324" s="570"/>
      <c r="G324" s="570"/>
      <c r="H324" s="570"/>
      <c r="I324" s="570"/>
      <c r="J324" s="570"/>
      <c r="K324" s="570"/>
      <c r="L324" s="570"/>
      <c r="M324" s="570"/>
      <c r="N324" s="570"/>
      <c r="O324" s="571"/>
      <c r="P324" s="567" t="s">
        <v>40</v>
      </c>
      <c r="Q324" s="568"/>
      <c r="R324" s="568"/>
      <c r="S324" s="568"/>
      <c r="T324" s="568"/>
      <c r="U324" s="568"/>
      <c r="V324" s="569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570"/>
      <c r="B325" s="570"/>
      <c r="C325" s="570"/>
      <c r="D325" s="570"/>
      <c r="E325" s="570"/>
      <c r="F325" s="570"/>
      <c r="G325" s="570"/>
      <c r="H325" s="570"/>
      <c r="I325" s="570"/>
      <c r="J325" s="570"/>
      <c r="K325" s="570"/>
      <c r="L325" s="570"/>
      <c r="M325" s="570"/>
      <c r="N325" s="570"/>
      <c r="O325" s="571"/>
      <c r="P325" s="567" t="s">
        <v>40</v>
      </c>
      <c r="Q325" s="568"/>
      <c r="R325" s="568"/>
      <c r="S325" s="568"/>
      <c r="T325" s="568"/>
      <c r="U325" s="568"/>
      <c r="V325" s="569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4.25" customHeight="1" x14ac:dyDescent="0.25">
      <c r="A326" s="562" t="s">
        <v>102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66"/>
      <c r="AB326" s="66"/>
      <c r="AC326" s="80"/>
    </row>
    <row r="327" spans="1:68" ht="27" customHeight="1" x14ac:dyDescent="0.25">
      <c r="A327" s="63" t="s">
        <v>536</v>
      </c>
      <c r="B327" s="63" t="s">
        <v>537</v>
      </c>
      <c r="C327" s="36">
        <v>4301030235</v>
      </c>
      <c r="D327" s="563">
        <v>4607091388381</v>
      </c>
      <c r="E327" s="563"/>
      <c r="F327" s="62">
        <v>0.38</v>
      </c>
      <c r="G327" s="37">
        <v>8</v>
      </c>
      <c r="H327" s="62">
        <v>3.04</v>
      </c>
      <c r="I327" s="62">
        <v>3.31</v>
      </c>
      <c r="J327" s="37">
        <v>132</v>
      </c>
      <c r="K327" s="37" t="s">
        <v>120</v>
      </c>
      <c r="L327" s="37" t="s">
        <v>45</v>
      </c>
      <c r="M327" s="38" t="s">
        <v>107</v>
      </c>
      <c r="N327" s="38"/>
      <c r="O327" s="37">
        <v>180</v>
      </c>
      <c r="P327" s="6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5"/>
      <c r="R327" s="565"/>
      <c r="S327" s="565"/>
      <c r="T327" s="566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538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539</v>
      </c>
      <c r="B328" s="63" t="s">
        <v>540</v>
      </c>
      <c r="C328" s="36">
        <v>4301030232</v>
      </c>
      <c r="D328" s="563">
        <v>4607091388374</v>
      </c>
      <c r="E328" s="563"/>
      <c r="F328" s="62">
        <v>0.38</v>
      </c>
      <c r="G328" s="37">
        <v>8</v>
      </c>
      <c r="H328" s="62">
        <v>3.04</v>
      </c>
      <c r="I328" s="62">
        <v>3.27</v>
      </c>
      <c r="J328" s="37">
        <v>132</v>
      </c>
      <c r="K328" s="37" t="s">
        <v>120</v>
      </c>
      <c r="L328" s="37" t="s">
        <v>45</v>
      </c>
      <c r="M328" s="38" t="s">
        <v>107</v>
      </c>
      <c r="N328" s="38"/>
      <c r="O328" s="37">
        <v>180</v>
      </c>
      <c r="P328" s="6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5"/>
      <c r="R328" s="565"/>
      <c r="S328" s="565"/>
      <c r="T328" s="56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538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541</v>
      </c>
      <c r="B329" s="63" t="s">
        <v>542</v>
      </c>
      <c r="C329" s="36">
        <v>4301032015</v>
      </c>
      <c r="D329" s="563">
        <v>4607091383102</v>
      </c>
      <c r="E329" s="563"/>
      <c r="F329" s="62">
        <v>0.17</v>
      </c>
      <c r="G329" s="37">
        <v>15</v>
      </c>
      <c r="H329" s="62">
        <v>2.5499999999999998</v>
      </c>
      <c r="I329" s="62">
        <v>2.9550000000000001</v>
      </c>
      <c r="J329" s="37">
        <v>182</v>
      </c>
      <c r="K329" s="37" t="s">
        <v>83</v>
      </c>
      <c r="L329" s="37" t="s">
        <v>231</v>
      </c>
      <c r="M329" s="38" t="s">
        <v>107</v>
      </c>
      <c r="N329" s="38"/>
      <c r="O329" s="37">
        <v>180</v>
      </c>
      <c r="P329" s="65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5"/>
      <c r="R329" s="565"/>
      <c r="S329" s="565"/>
      <c r="T329" s="56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538</v>
      </c>
      <c r="AG329" s="78"/>
      <c r="AJ329" s="84" t="s">
        <v>117</v>
      </c>
      <c r="AK329" s="84">
        <v>35.700000000000003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543</v>
      </c>
      <c r="B330" s="63" t="s">
        <v>544</v>
      </c>
      <c r="C330" s="36">
        <v>4301030233</v>
      </c>
      <c r="D330" s="563">
        <v>4607091388404</v>
      </c>
      <c r="E330" s="563"/>
      <c r="F330" s="62">
        <v>0.17</v>
      </c>
      <c r="G330" s="37">
        <v>15</v>
      </c>
      <c r="H330" s="62">
        <v>2.5499999999999998</v>
      </c>
      <c r="I330" s="62">
        <v>2.88</v>
      </c>
      <c r="J330" s="37">
        <v>182</v>
      </c>
      <c r="K330" s="37" t="s">
        <v>83</v>
      </c>
      <c r="L330" s="37" t="s">
        <v>231</v>
      </c>
      <c r="M330" s="38" t="s">
        <v>107</v>
      </c>
      <c r="N330" s="38"/>
      <c r="O330" s="37">
        <v>180</v>
      </c>
      <c r="P330" s="65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5"/>
      <c r="R330" s="565"/>
      <c r="S330" s="565"/>
      <c r="T330" s="566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538</v>
      </c>
      <c r="AG330" s="78"/>
      <c r="AJ330" s="84" t="s">
        <v>117</v>
      </c>
      <c r="AK330" s="84">
        <v>35.700000000000003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570"/>
      <c r="B331" s="570"/>
      <c r="C331" s="570"/>
      <c r="D331" s="570"/>
      <c r="E331" s="570"/>
      <c r="F331" s="570"/>
      <c r="G331" s="570"/>
      <c r="H331" s="570"/>
      <c r="I331" s="570"/>
      <c r="J331" s="570"/>
      <c r="K331" s="570"/>
      <c r="L331" s="570"/>
      <c r="M331" s="570"/>
      <c r="N331" s="570"/>
      <c r="O331" s="571"/>
      <c r="P331" s="567" t="s">
        <v>40</v>
      </c>
      <c r="Q331" s="568"/>
      <c r="R331" s="568"/>
      <c r="S331" s="568"/>
      <c r="T331" s="568"/>
      <c r="U331" s="568"/>
      <c r="V331" s="569"/>
      <c r="W331" s="42" t="s">
        <v>39</v>
      </c>
      <c r="X331" s="43">
        <f>IFERROR(X327/H327,"0")+IFERROR(X328/H328,"0")+IFERROR(X329/H329,"0")+IFERROR(X330/H330,"0")</f>
        <v>0</v>
      </c>
      <c r="Y331" s="43">
        <f>IFERROR(Y327/H327,"0")+IFERROR(Y328/H328,"0")+IFERROR(Y329/H329,"0")+IFERROR(Y330/H330,"0")</f>
        <v>0</v>
      </c>
      <c r="Z331" s="43">
        <f>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570"/>
      <c r="B332" s="570"/>
      <c r="C332" s="570"/>
      <c r="D332" s="570"/>
      <c r="E332" s="570"/>
      <c r="F332" s="570"/>
      <c r="G332" s="570"/>
      <c r="H332" s="570"/>
      <c r="I332" s="570"/>
      <c r="J332" s="570"/>
      <c r="K332" s="570"/>
      <c r="L332" s="570"/>
      <c r="M332" s="570"/>
      <c r="N332" s="570"/>
      <c r="O332" s="571"/>
      <c r="P332" s="567" t="s">
        <v>40</v>
      </c>
      <c r="Q332" s="568"/>
      <c r="R332" s="568"/>
      <c r="S332" s="568"/>
      <c r="T332" s="568"/>
      <c r="U332" s="568"/>
      <c r="V332" s="569"/>
      <c r="W332" s="42" t="s">
        <v>0</v>
      </c>
      <c r="X332" s="43">
        <f>IFERROR(SUM(X327:X330),"0")</f>
        <v>0</v>
      </c>
      <c r="Y332" s="43">
        <f>IFERROR(SUM(Y327:Y330),"0")</f>
        <v>0</v>
      </c>
      <c r="Z332" s="42"/>
      <c r="AA332" s="67"/>
      <c r="AB332" s="67"/>
      <c r="AC332" s="67"/>
    </row>
    <row r="333" spans="1:68" ht="14.25" customHeight="1" x14ac:dyDescent="0.25">
      <c r="A333" s="562" t="s">
        <v>545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66"/>
      <c r="AB333" s="66"/>
      <c r="AC333" s="80"/>
    </row>
    <row r="334" spans="1:68" ht="16.5" customHeight="1" x14ac:dyDescent="0.25">
      <c r="A334" s="63" t="s">
        <v>546</v>
      </c>
      <c r="B334" s="63" t="s">
        <v>547</v>
      </c>
      <c r="C334" s="36">
        <v>4301180007</v>
      </c>
      <c r="D334" s="563">
        <v>4680115881808</v>
      </c>
      <c r="E334" s="563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231</v>
      </c>
      <c r="M334" s="38" t="s">
        <v>549</v>
      </c>
      <c r="N334" s="38"/>
      <c r="O334" s="37">
        <v>730</v>
      </c>
      <c r="P334" s="6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5"/>
      <c r="R334" s="565"/>
      <c r="S334" s="565"/>
      <c r="T334" s="566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548</v>
      </c>
      <c r="AG334" s="78"/>
      <c r="AJ334" s="84" t="s">
        <v>117</v>
      </c>
      <c r="AK334" s="84">
        <v>28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550</v>
      </c>
      <c r="B335" s="63" t="s">
        <v>551</v>
      </c>
      <c r="C335" s="36">
        <v>4301180006</v>
      </c>
      <c r="D335" s="563">
        <v>4680115881822</v>
      </c>
      <c r="E335" s="563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549</v>
      </c>
      <c r="N335" s="38"/>
      <c r="O335" s="37">
        <v>730</v>
      </c>
      <c r="P335" s="6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5"/>
      <c r="R335" s="565"/>
      <c r="S335" s="565"/>
      <c r="T335" s="56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548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552</v>
      </c>
      <c r="B336" s="63" t="s">
        <v>553</v>
      </c>
      <c r="C336" s="36">
        <v>4301180001</v>
      </c>
      <c r="D336" s="563">
        <v>4680115880016</v>
      </c>
      <c r="E336" s="563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231</v>
      </c>
      <c r="M336" s="38" t="s">
        <v>549</v>
      </c>
      <c r="N336" s="38"/>
      <c r="O336" s="37">
        <v>730</v>
      </c>
      <c r="P336" s="6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5"/>
      <c r="R336" s="565"/>
      <c r="S336" s="565"/>
      <c r="T336" s="56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548</v>
      </c>
      <c r="AG336" s="78"/>
      <c r="AJ336" s="84" t="s">
        <v>117</v>
      </c>
      <c r="AK336" s="84">
        <v>28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570"/>
      <c r="B337" s="570"/>
      <c r="C337" s="570"/>
      <c r="D337" s="570"/>
      <c r="E337" s="570"/>
      <c r="F337" s="570"/>
      <c r="G337" s="570"/>
      <c r="H337" s="570"/>
      <c r="I337" s="570"/>
      <c r="J337" s="570"/>
      <c r="K337" s="570"/>
      <c r="L337" s="570"/>
      <c r="M337" s="570"/>
      <c r="N337" s="570"/>
      <c r="O337" s="571"/>
      <c r="P337" s="567" t="s">
        <v>40</v>
      </c>
      <c r="Q337" s="568"/>
      <c r="R337" s="568"/>
      <c r="S337" s="568"/>
      <c r="T337" s="568"/>
      <c r="U337" s="568"/>
      <c r="V337" s="569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570"/>
      <c r="B338" s="570"/>
      <c r="C338" s="570"/>
      <c r="D338" s="570"/>
      <c r="E338" s="570"/>
      <c r="F338" s="570"/>
      <c r="G338" s="570"/>
      <c r="H338" s="570"/>
      <c r="I338" s="570"/>
      <c r="J338" s="570"/>
      <c r="K338" s="570"/>
      <c r="L338" s="570"/>
      <c r="M338" s="570"/>
      <c r="N338" s="570"/>
      <c r="O338" s="571"/>
      <c r="P338" s="567" t="s">
        <v>40</v>
      </c>
      <c r="Q338" s="568"/>
      <c r="R338" s="568"/>
      <c r="S338" s="568"/>
      <c r="T338" s="568"/>
      <c r="U338" s="568"/>
      <c r="V338" s="569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customHeight="1" x14ac:dyDescent="0.25">
      <c r="A339" s="578" t="s">
        <v>554</v>
      </c>
      <c r="B339" s="578"/>
      <c r="C339" s="578"/>
      <c r="D339" s="578"/>
      <c r="E339" s="578"/>
      <c r="F339" s="578"/>
      <c r="G339" s="578"/>
      <c r="H339" s="578"/>
      <c r="I339" s="578"/>
      <c r="J339" s="578"/>
      <c r="K339" s="578"/>
      <c r="L339" s="578"/>
      <c r="M339" s="578"/>
      <c r="N339" s="578"/>
      <c r="O339" s="578"/>
      <c r="P339" s="578"/>
      <c r="Q339" s="578"/>
      <c r="R339" s="578"/>
      <c r="S339" s="578"/>
      <c r="T339" s="578"/>
      <c r="U339" s="578"/>
      <c r="V339" s="578"/>
      <c r="W339" s="578"/>
      <c r="X339" s="578"/>
      <c r="Y339" s="578"/>
      <c r="Z339" s="578"/>
      <c r="AA339" s="65"/>
      <c r="AB339" s="65"/>
      <c r="AC339" s="79"/>
    </row>
    <row r="340" spans="1:68" ht="14.25" customHeight="1" x14ac:dyDescent="0.25">
      <c r="A340" s="562" t="s">
        <v>88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66"/>
      <c r="AB340" s="66"/>
      <c r="AC340" s="80"/>
    </row>
    <row r="341" spans="1:68" ht="27" customHeight="1" x14ac:dyDescent="0.25">
      <c r="A341" s="63" t="s">
        <v>555</v>
      </c>
      <c r="B341" s="63" t="s">
        <v>556</v>
      </c>
      <c r="C341" s="36">
        <v>4301051489</v>
      </c>
      <c r="D341" s="563">
        <v>4607091387919</v>
      </c>
      <c r="E341" s="563"/>
      <c r="F341" s="62">
        <v>1.35</v>
      </c>
      <c r="G341" s="37">
        <v>6</v>
      </c>
      <c r="H341" s="62">
        <v>8.1</v>
      </c>
      <c r="I341" s="62">
        <v>8.5939999999999994</v>
      </c>
      <c r="J341" s="37">
        <v>64</v>
      </c>
      <c r="K341" s="37" t="s">
        <v>115</v>
      </c>
      <c r="L341" s="37" t="s">
        <v>45</v>
      </c>
      <c r="M341" s="38" t="s">
        <v>98</v>
      </c>
      <c r="N341" s="38"/>
      <c r="O341" s="37">
        <v>45</v>
      </c>
      <c r="P341" s="6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5"/>
      <c r="R341" s="565"/>
      <c r="S341" s="565"/>
      <c r="T341" s="566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IFERROR(IF(Y341=0,"",ROUNDUP(Y341/H341,0)*0.01898),"")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45</v>
      </c>
      <c r="AK341" s="84">
        <v>0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558</v>
      </c>
      <c r="B342" s="63" t="s">
        <v>559</v>
      </c>
      <c r="C342" s="36">
        <v>4301051461</v>
      </c>
      <c r="D342" s="563">
        <v>4680115883604</v>
      </c>
      <c r="E342" s="563"/>
      <c r="F342" s="62">
        <v>0.35</v>
      </c>
      <c r="G342" s="37">
        <v>6</v>
      </c>
      <c r="H342" s="62">
        <v>2.1</v>
      </c>
      <c r="I342" s="62">
        <v>2.3519999999999999</v>
      </c>
      <c r="J342" s="37">
        <v>182</v>
      </c>
      <c r="K342" s="37" t="s">
        <v>83</v>
      </c>
      <c r="L342" s="37" t="s">
        <v>231</v>
      </c>
      <c r="M342" s="38" t="s">
        <v>92</v>
      </c>
      <c r="N342" s="38"/>
      <c r="O342" s="37">
        <v>45</v>
      </c>
      <c r="P342" s="6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5"/>
      <c r="R342" s="565"/>
      <c r="S342" s="565"/>
      <c r="T342" s="566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560</v>
      </c>
      <c r="AG342" s="78"/>
      <c r="AJ342" s="84" t="s">
        <v>117</v>
      </c>
      <c r="AK342" s="84">
        <v>29.4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561</v>
      </c>
      <c r="B343" s="63" t="s">
        <v>562</v>
      </c>
      <c r="C343" s="36">
        <v>4301051864</v>
      </c>
      <c r="D343" s="563">
        <v>4680115883567</v>
      </c>
      <c r="E343" s="563"/>
      <c r="F343" s="62">
        <v>0.35</v>
      </c>
      <c r="G343" s="37">
        <v>6</v>
      </c>
      <c r="H343" s="62">
        <v>2.1</v>
      </c>
      <c r="I343" s="62">
        <v>2.34</v>
      </c>
      <c r="J343" s="37">
        <v>182</v>
      </c>
      <c r="K343" s="37" t="s">
        <v>83</v>
      </c>
      <c r="L343" s="37" t="s">
        <v>231</v>
      </c>
      <c r="M343" s="38" t="s">
        <v>98</v>
      </c>
      <c r="N343" s="38"/>
      <c r="O343" s="37">
        <v>40</v>
      </c>
      <c r="P343" s="64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5"/>
      <c r="R343" s="565"/>
      <c r="S343" s="565"/>
      <c r="T343" s="566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563</v>
      </c>
      <c r="AG343" s="78"/>
      <c r="AJ343" s="84" t="s">
        <v>117</v>
      </c>
      <c r="AK343" s="84">
        <v>29.4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x14ac:dyDescent="0.2">
      <c r="A344" s="570"/>
      <c r="B344" s="570"/>
      <c r="C344" s="570"/>
      <c r="D344" s="570"/>
      <c r="E344" s="570"/>
      <c r="F344" s="570"/>
      <c r="G344" s="570"/>
      <c r="H344" s="570"/>
      <c r="I344" s="570"/>
      <c r="J344" s="570"/>
      <c r="K344" s="570"/>
      <c r="L344" s="570"/>
      <c r="M344" s="570"/>
      <c r="N344" s="570"/>
      <c r="O344" s="571"/>
      <c r="P344" s="567" t="s">
        <v>40</v>
      </c>
      <c r="Q344" s="568"/>
      <c r="R344" s="568"/>
      <c r="S344" s="568"/>
      <c r="T344" s="568"/>
      <c r="U344" s="568"/>
      <c r="V344" s="569"/>
      <c r="W344" s="42" t="s">
        <v>39</v>
      </c>
      <c r="X344" s="43">
        <f>IFERROR(X341/H341,"0")+IFERROR(X342/H342,"0")+IFERROR(X343/H343,"0")</f>
        <v>0</v>
      </c>
      <c r="Y344" s="43">
        <f>IFERROR(Y341/H341,"0")+IFERROR(Y342/H342,"0")+IFERROR(Y343/H343,"0")</f>
        <v>0</v>
      </c>
      <c r="Z344" s="43">
        <f>IFERROR(IF(Z341="",0,Z341),"0")+IFERROR(IF(Z342="",0,Z342),"0")+IFERROR(IF(Z343="",0,Z343),"0")</f>
        <v>0</v>
      </c>
      <c r="AA344" s="67"/>
      <c r="AB344" s="67"/>
      <c r="AC344" s="67"/>
    </row>
    <row r="345" spans="1:68" x14ac:dyDescent="0.2">
      <c r="A345" s="570"/>
      <c r="B345" s="570"/>
      <c r="C345" s="570"/>
      <c r="D345" s="570"/>
      <c r="E345" s="570"/>
      <c r="F345" s="570"/>
      <c r="G345" s="570"/>
      <c r="H345" s="570"/>
      <c r="I345" s="570"/>
      <c r="J345" s="570"/>
      <c r="K345" s="570"/>
      <c r="L345" s="570"/>
      <c r="M345" s="570"/>
      <c r="N345" s="570"/>
      <c r="O345" s="571"/>
      <c r="P345" s="567" t="s">
        <v>40</v>
      </c>
      <c r="Q345" s="568"/>
      <c r="R345" s="568"/>
      <c r="S345" s="568"/>
      <c r="T345" s="568"/>
      <c r="U345" s="568"/>
      <c r="V345" s="569"/>
      <c r="W345" s="42" t="s">
        <v>0</v>
      </c>
      <c r="X345" s="43">
        <f>IFERROR(SUM(X341:X343),"0")</f>
        <v>0</v>
      </c>
      <c r="Y345" s="43">
        <f>IFERROR(SUM(Y341:Y343),"0")</f>
        <v>0</v>
      </c>
      <c r="Z345" s="42"/>
      <c r="AA345" s="67"/>
      <c r="AB345" s="67"/>
      <c r="AC345" s="67"/>
    </row>
    <row r="346" spans="1:68" ht="27.75" customHeight="1" x14ac:dyDescent="0.2">
      <c r="A346" s="588" t="s">
        <v>564</v>
      </c>
      <c r="B346" s="588"/>
      <c r="C346" s="588"/>
      <c r="D346" s="588"/>
      <c r="E346" s="588"/>
      <c r="F346" s="588"/>
      <c r="G346" s="588"/>
      <c r="H346" s="588"/>
      <c r="I346" s="588"/>
      <c r="J346" s="588"/>
      <c r="K346" s="588"/>
      <c r="L346" s="588"/>
      <c r="M346" s="588"/>
      <c r="N346" s="588"/>
      <c r="O346" s="588"/>
      <c r="P346" s="588"/>
      <c r="Q346" s="588"/>
      <c r="R346" s="588"/>
      <c r="S346" s="588"/>
      <c r="T346" s="588"/>
      <c r="U346" s="588"/>
      <c r="V346" s="588"/>
      <c r="W346" s="588"/>
      <c r="X346" s="588"/>
      <c r="Y346" s="588"/>
      <c r="Z346" s="588"/>
      <c r="AA346" s="54"/>
      <c r="AB346" s="54"/>
      <c r="AC346" s="54"/>
    </row>
    <row r="347" spans="1:68" ht="16.5" customHeight="1" x14ac:dyDescent="0.25">
      <c r="A347" s="578" t="s">
        <v>565</v>
      </c>
      <c r="B347" s="578"/>
      <c r="C347" s="578"/>
      <c r="D347" s="578"/>
      <c r="E347" s="578"/>
      <c r="F347" s="578"/>
      <c r="G347" s="578"/>
      <c r="H347" s="578"/>
      <c r="I347" s="578"/>
      <c r="J347" s="578"/>
      <c r="K347" s="578"/>
      <c r="L347" s="578"/>
      <c r="M347" s="578"/>
      <c r="N347" s="578"/>
      <c r="O347" s="578"/>
      <c r="P347" s="578"/>
      <c r="Q347" s="578"/>
      <c r="R347" s="578"/>
      <c r="S347" s="578"/>
      <c r="T347" s="578"/>
      <c r="U347" s="578"/>
      <c r="V347" s="578"/>
      <c r="W347" s="578"/>
      <c r="X347" s="578"/>
      <c r="Y347" s="578"/>
      <c r="Z347" s="578"/>
      <c r="AA347" s="65"/>
      <c r="AB347" s="65"/>
      <c r="AC347" s="79"/>
    </row>
    <row r="348" spans="1:68" ht="14.25" customHeight="1" x14ac:dyDescent="0.25">
      <c r="A348" s="562" t="s">
        <v>110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66"/>
      <c r="AB348" s="66"/>
      <c r="AC348" s="80"/>
    </row>
    <row r="349" spans="1:68" ht="37.5" customHeight="1" x14ac:dyDescent="0.25">
      <c r="A349" s="63" t="s">
        <v>566</v>
      </c>
      <c r="B349" s="63" t="s">
        <v>567</v>
      </c>
      <c r="C349" s="36">
        <v>4301011869</v>
      </c>
      <c r="D349" s="563">
        <v>4680115884847</v>
      </c>
      <c r="E349" s="563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45</v>
      </c>
      <c r="M349" s="38" t="s">
        <v>82</v>
      </c>
      <c r="N349" s="38"/>
      <c r="O349" s="37">
        <v>60</v>
      </c>
      <c r="P349" s="6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5"/>
      <c r="R349" s="565"/>
      <c r="S349" s="565"/>
      <c r="T349" s="566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ref="Y349:Y355" si="36">IFERROR(IF(X349="",0,CEILING((X349/$H349),1)*$H349),"")</f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45</v>
      </c>
      <c r="AK349" s="84">
        <v>0</v>
      </c>
      <c r="BB349" s="421" t="s">
        <v>66</v>
      </c>
      <c r="BM349" s="78">
        <f t="shared" ref="BM349:BM355" si="37">IFERROR(X349*I349/H349,"0")</f>
        <v>0</v>
      </c>
      <c r="BN349" s="78">
        <f t="shared" ref="BN349:BN355" si="38">IFERROR(Y349*I349/H349,"0")</f>
        <v>0</v>
      </c>
      <c r="BO349" s="78">
        <f t="shared" ref="BO349:BO355" si="39">IFERROR(1/J349*(X349/H349),"0")</f>
        <v>0</v>
      </c>
      <c r="BP349" s="78">
        <f t="shared" ref="BP349:BP355" si="40">IFERROR(1/J349*(Y349/H349),"0")</f>
        <v>0</v>
      </c>
    </row>
    <row r="350" spans="1:68" ht="27" customHeight="1" x14ac:dyDescent="0.25">
      <c r="A350" s="63" t="s">
        <v>569</v>
      </c>
      <c r="B350" s="63" t="s">
        <v>570</v>
      </c>
      <c r="C350" s="36">
        <v>4301011870</v>
      </c>
      <c r="D350" s="563">
        <v>4680115884854</v>
      </c>
      <c r="E350" s="563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45</v>
      </c>
      <c r="M350" s="38" t="s">
        <v>82</v>
      </c>
      <c r="N350" s="38"/>
      <c r="O350" s="37">
        <v>60</v>
      </c>
      <c r="P350" s="6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5"/>
      <c r="R350" s="565"/>
      <c r="S350" s="565"/>
      <c r="T350" s="566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45</v>
      </c>
      <c r="AK350" s="84">
        <v>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37.5" customHeight="1" x14ac:dyDescent="0.25">
      <c r="A351" s="63" t="s">
        <v>572</v>
      </c>
      <c r="B351" s="63" t="s">
        <v>573</v>
      </c>
      <c r="C351" s="36">
        <v>4301011867</v>
      </c>
      <c r="D351" s="563">
        <v>4680115884830</v>
      </c>
      <c r="E351" s="563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115</v>
      </c>
      <c r="L351" s="37" t="s">
        <v>45</v>
      </c>
      <c r="M351" s="38" t="s">
        <v>82</v>
      </c>
      <c r="N351" s="38"/>
      <c r="O351" s="37">
        <v>60</v>
      </c>
      <c r="P351" s="64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65"/>
      <c r="R351" s="565"/>
      <c r="S351" s="565"/>
      <c r="T351" s="566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27" customHeight="1" x14ac:dyDescent="0.25">
      <c r="A352" s="63" t="s">
        <v>575</v>
      </c>
      <c r="B352" s="63" t="s">
        <v>576</v>
      </c>
      <c r="C352" s="36">
        <v>4301012215</v>
      </c>
      <c r="D352" s="563">
        <v>4680115887046</v>
      </c>
      <c r="E352" s="563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45</v>
      </c>
      <c r="M352" s="38" t="s">
        <v>98</v>
      </c>
      <c r="N352" s="38"/>
      <c r="O352" s="37">
        <v>60</v>
      </c>
      <c r="P352" s="64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65"/>
      <c r="R352" s="565"/>
      <c r="S352" s="565"/>
      <c r="T352" s="566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578</v>
      </c>
      <c r="B353" s="63" t="s">
        <v>579</v>
      </c>
      <c r="C353" s="36">
        <v>4301011433</v>
      </c>
      <c r="D353" s="563">
        <v>4680115882638</v>
      </c>
      <c r="E353" s="563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120</v>
      </c>
      <c r="L353" s="37" t="s">
        <v>45</v>
      </c>
      <c r="M353" s="38" t="s">
        <v>114</v>
      </c>
      <c r="N353" s="38"/>
      <c r="O353" s="37">
        <v>90</v>
      </c>
      <c r="P353" s="64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5"/>
      <c r="R353" s="565"/>
      <c r="S353" s="565"/>
      <c r="T353" s="566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580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27" customHeight="1" x14ac:dyDescent="0.25">
      <c r="A354" s="63" t="s">
        <v>581</v>
      </c>
      <c r="B354" s="63" t="s">
        <v>582</v>
      </c>
      <c r="C354" s="36">
        <v>4301011952</v>
      </c>
      <c r="D354" s="563">
        <v>4680115884922</v>
      </c>
      <c r="E354" s="563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120</v>
      </c>
      <c r="L354" s="37" t="s">
        <v>45</v>
      </c>
      <c r="M354" s="38" t="s">
        <v>82</v>
      </c>
      <c r="N354" s="38"/>
      <c r="O354" s="37">
        <v>60</v>
      </c>
      <c r="P354" s="64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5"/>
      <c r="R354" s="565"/>
      <c r="S354" s="565"/>
      <c r="T354" s="566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571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ht="37.5" customHeight="1" x14ac:dyDescent="0.25">
      <c r="A355" s="63" t="s">
        <v>583</v>
      </c>
      <c r="B355" s="63" t="s">
        <v>584</v>
      </c>
      <c r="C355" s="36">
        <v>4301011868</v>
      </c>
      <c r="D355" s="563">
        <v>4680115884861</v>
      </c>
      <c r="E355" s="563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120</v>
      </c>
      <c r="L355" s="37" t="s">
        <v>45</v>
      </c>
      <c r="M355" s="38" t="s">
        <v>82</v>
      </c>
      <c r="N355" s="38"/>
      <c r="O355" s="37">
        <v>60</v>
      </c>
      <c r="P355" s="6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5"/>
      <c r="R355" s="565"/>
      <c r="S355" s="565"/>
      <c r="T355" s="566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6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574</v>
      </c>
      <c r="AG355" s="78"/>
      <c r="AJ355" s="84" t="s">
        <v>45</v>
      </c>
      <c r="AK355" s="84">
        <v>0</v>
      </c>
      <c r="BB355" s="433" t="s">
        <v>66</v>
      </c>
      <c r="BM355" s="78">
        <f t="shared" si="37"/>
        <v>0</v>
      </c>
      <c r="BN355" s="78">
        <f t="shared" si="38"/>
        <v>0</v>
      </c>
      <c r="BO355" s="78">
        <f t="shared" si="39"/>
        <v>0</v>
      </c>
      <c r="BP355" s="78">
        <f t="shared" si="40"/>
        <v>0</v>
      </c>
    </row>
    <row r="356" spans="1:68" x14ac:dyDescent="0.2">
      <c r="A356" s="570"/>
      <c r="B356" s="570"/>
      <c r="C356" s="570"/>
      <c r="D356" s="570"/>
      <c r="E356" s="570"/>
      <c r="F356" s="570"/>
      <c r="G356" s="570"/>
      <c r="H356" s="570"/>
      <c r="I356" s="570"/>
      <c r="J356" s="570"/>
      <c r="K356" s="570"/>
      <c r="L356" s="570"/>
      <c r="M356" s="570"/>
      <c r="N356" s="570"/>
      <c r="O356" s="571"/>
      <c r="P356" s="567" t="s">
        <v>40</v>
      </c>
      <c r="Q356" s="568"/>
      <c r="R356" s="568"/>
      <c r="S356" s="568"/>
      <c r="T356" s="568"/>
      <c r="U356" s="568"/>
      <c r="V356" s="569"/>
      <c r="W356" s="42" t="s">
        <v>39</v>
      </c>
      <c r="X356" s="43">
        <f>IFERROR(X349/H349,"0")+IFERROR(X350/H350,"0")+IFERROR(X351/H351,"0")+IFERROR(X352/H352,"0")+IFERROR(X353/H353,"0")+IFERROR(X354/H354,"0")+IFERROR(X355/H355,"0")</f>
        <v>0</v>
      </c>
      <c r="Y356" s="43">
        <f>IFERROR(Y349/H349,"0")+IFERROR(Y350/H350,"0")+IFERROR(Y351/H351,"0")+IFERROR(Y352/H352,"0")+IFERROR(Y353/H353,"0")+IFERROR(Y354/H354,"0")+IFERROR(Y355/H355,"0")</f>
        <v>0</v>
      </c>
      <c r="Z356" s="43">
        <f>IFERROR(IF(Z349="",0,Z349),"0")+IFERROR(IF(Z350="",0,Z350),"0")+IFERROR(IF(Z351="",0,Z351),"0")+IFERROR(IF(Z352="",0,Z352),"0")+IFERROR(IF(Z353="",0,Z353),"0")+IFERROR(IF(Z354="",0,Z354),"0")+IFERROR(IF(Z355="",0,Z355),"0")</f>
        <v>0</v>
      </c>
      <c r="AA356" s="67"/>
      <c r="AB356" s="67"/>
      <c r="AC356" s="67"/>
    </row>
    <row r="357" spans="1:68" x14ac:dyDescent="0.2">
      <c r="A357" s="570"/>
      <c r="B357" s="570"/>
      <c r="C357" s="570"/>
      <c r="D357" s="570"/>
      <c r="E357" s="570"/>
      <c r="F357" s="570"/>
      <c r="G357" s="570"/>
      <c r="H357" s="570"/>
      <c r="I357" s="570"/>
      <c r="J357" s="570"/>
      <c r="K357" s="570"/>
      <c r="L357" s="570"/>
      <c r="M357" s="570"/>
      <c r="N357" s="570"/>
      <c r="O357" s="571"/>
      <c r="P357" s="567" t="s">
        <v>40</v>
      </c>
      <c r="Q357" s="568"/>
      <c r="R357" s="568"/>
      <c r="S357" s="568"/>
      <c r="T357" s="568"/>
      <c r="U357" s="568"/>
      <c r="V357" s="569"/>
      <c r="W357" s="42" t="s">
        <v>0</v>
      </c>
      <c r="X357" s="43">
        <f>IFERROR(SUM(X349:X355),"0")</f>
        <v>0</v>
      </c>
      <c r="Y357" s="43">
        <f>IFERROR(SUM(Y349:Y355),"0")</f>
        <v>0</v>
      </c>
      <c r="Z357" s="42"/>
      <c r="AA357" s="67"/>
      <c r="AB357" s="67"/>
      <c r="AC357" s="67"/>
    </row>
    <row r="358" spans="1:68" ht="14.25" customHeight="1" x14ac:dyDescent="0.25">
      <c r="A358" s="562" t="s">
        <v>146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66"/>
      <c r="AB358" s="66"/>
      <c r="AC358" s="80"/>
    </row>
    <row r="359" spans="1:68" ht="27" customHeight="1" x14ac:dyDescent="0.25">
      <c r="A359" s="63" t="s">
        <v>585</v>
      </c>
      <c r="B359" s="63" t="s">
        <v>586</v>
      </c>
      <c r="C359" s="36">
        <v>4301020178</v>
      </c>
      <c r="D359" s="563">
        <v>4607091383980</v>
      </c>
      <c r="E359" s="563"/>
      <c r="F359" s="62">
        <v>2.5</v>
      </c>
      <c r="G359" s="37">
        <v>6</v>
      </c>
      <c r="H359" s="62">
        <v>15</v>
      </c>
      <c r="I359" s="62">
        <v>15.47</v>
      </c>
      <c r="J359" s="37">
        <v>48</v>
      </c>
      <c r="K359" s="37" t="s">
        <v>115</v>
      </c>
      <c r="L359" s="37" t="s">
        <v>45</v>
      </c>
      <c r="M359" s="38" t="s">
        <v>114</v>
      </c>
      <c r="N359" s="38"/>
      <c r="O359" s="37">
        <v>50</v>
      </c>
      <c r="P359" s="6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5"/>
      <c r="R359" s="565"/>
      <c r="S359" s="565"/>
      <c r="T359" s="566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IFERROR(IF(Y359=0,"",ROUNDUP(Y359/H359,0)*0.02175),"")</f>
        <v/>
      </c>
      <c r="AA359" s="68" t="s">
        <v>45</v>
      </c>
      <c r="AB359" s="69" t="s">
        <v>45</v>
      </c>
      <c r="AC359" s="434" t="s">
        <v>587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588</v>
      </c>
      <c r="B360" s="63" t="s">
        <v>589</v>
      </c>
      <c r="C360" s="36">
        <v>4301020179</v>
      </c>
      <c r="D360" s="563">
        <v>4607091384178</v>
      </c>
      <c r="E360" s="563"/>
      <c r="F360" s="62">
        <v>0.4</v>
      </c>
      <c r="G360" s="37">
        <v>10</v>
      </c>
      <c r="H360" s="62">
        <v>4</v>
      </c>
      <c r="I360" s="62">
        <v>4.1900000000000004</v>
      </c>
      <c r="J360" s="37">
        <v>132</v>
      </c>
      <c r="K360" s="37" t="s">
        <v>120</v>
      </c>
      <c r="L360" s="37" t="s">
        <v>45</v>
      </c>
      <c r="M360" s="38" t="s">
        <v>114</v>
      </c>
      <c r="N360" s="38"/>
      <c r="O360" s="37">
        <v>50</v>
      </c>
      <c r="P360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5"/>
      <c r="R360" s="565"/>
      <c r="S360" s="565"/>
      <c r="T360" s="566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IFERROR(IF(Y360=0,"",ROUNDUP(Y360/H360,0)*0.00902),"")</f>
        <v/>
      </c>
      <c r="AA360" s="68" t="s">
        <v>45</v>
      </c>
      <c r="AB360" s="69" t="s">
        <v>45</v>
      </c>
      <c r="AC360" s="436" t="s">
        <v>590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">
      <c r="A361" s="570"/>
      <c r="B361" s="570"/>
      <c r="C361" s="570"/>
      <c r="D361" s="570"/>
      <c r="E361" s="570"/>
      <c r="F361" s="570"/>
      <c r="G361" s="570"/>
      <c r="H361" s="570"/>
      <c r="I361" s="570"/>
      <c r="J361" s="570"/>
      <c r="K361" s="570"/>
      <c r="L361" s="570"/>
      <c r="M361" s="570"/>
      <c r="N361" s="570"/>
      <c r="O361" s="571"/>
      <c r="P361" s="567" t="s">
        <v>40</v>
      </c>
      <c r="Q361" s="568"/>
      <c r="R361" s="568"/>
      <c r="S361" s="568"/>
      <c r="T361" s="568"/>
      <c r="U361" s="568"/>
      <c r="V361" s="569"/>
      <c r="W361" s="42" t="s">
        <v>39</v>
      </c>
      <c r="X361" s="43">
        <f>IFERROR(X359/H359,"0")+IFERROR(X360/H360,"0")</f>
        <v>0</v>
      </c>
      <c r="Y361" s="43">
        <f>IFERROR(Y359/H359,"0")+IFERROR(Y360/H360,"0")</f>
        <v>0</v>
      </c>
      <c r="Z361" s="43">
        <f>IFERROR(IF(Z359="",0,Z359),"0")+IFERROR(IF(Z360="",0,Z360),"0")</f>
        <v>0</v>
      </c>
      <c r="AA361" s="67"/>
      <c r="AB361" s="67"/>
      <c r="AC361" s="67"/>
    </row>
    <row r="362" spans="1:68" x14ac:dyDescent="0.2">
      <c r="A362" s="570"/>
      <c r="B362" s="570"/>
      <c r="C362" s="570"/>
      <c r="D362" s="570"/>
      <c r="E362" s="570"/>
      <c r="F362" s="570"/>
      <c r="G362" s="570"/>
      <c r="H362" s="570"/>
      <c r="I362" s="570"/>
      <c r="J362" s="570"/>
      <c r="K362" s="570"/>
      <c r="L362" s="570"/>
      <c r="M362" s="570"/>
      <c r="N362" s="570"/>
      <c r="O362" s="571"/>
      <c r="P362" s="567" t="s">
        <v>40</v>
      </c>
      <c r="Q362" s="568"/>
      <c r="R362" s="568"/>
      <c r="S362" s="568"/>
      <c r="T362" s="568"/>
      <c r="U362" s="568"/>
      <c r="V362" s="569"/>
      <c r="W362" s="42" t="s">
        <v>0</v>
      </c>
      <c r="X362" s="43">
        <f>IFERROR(SUM(X359:X360),"0")</f>
        <v>0</v>
      </c>
      <c r="Y362" s="43">
        <f>IFERROR(SUM(Y359:Y360),"0")</f>
        <v>0</v>
      </c>
      <c r="Z362" s="42"/>
      <c r="AA362" s="67"/>
      <c r="AB362" s="67"/>
      <c r="AC362" s="67"/>
    </row>
    <row r="363" spans="1:68" ht="14.25" customHeight="1" x14ac:dyDescent="0.25">
      <c r="A363" s="562" t="s">
        <v>88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66"/>
      <c r="AB363" s="66"/>
      <c r="AC363" s="80"/>
    </row>
    <row r="364" spans="1:68" ht="27" customHeight="1" x14ac:dyDescent="0.25">
      <c r="A364" s="63" t="s">
        <v>591</v>
      </c>
      <c r="B364" s="63" t="s">
        <v>592</v>
      </c>
      <c r="C364" s="36">
        <v>4301051903</v>
      </c>
      <c r="D364" s="563">
        <v>4607091383928</v>
      </c>
      <c r="E364" s="563"/>
      <c r="F364" s="62">
        <v>1.5</v>
      </c>
      <c r="G364" s="37">
        <v>6</v>
      </c>
      <c r="H364" s="62">
        <v>9</v>
      </c>
      <c r="I364" s="62">
        <v>9.5</v>
      </c>
      <c r="J364" s="37">
        <v>64</v>
      </c>
      <c r="K364" s="37" t="s">
        <v>115</v>
      </c>
      <c r="L364" s="37" t="s">
        <v>45</v>
      </c>
      <c r="M364" s="38" t="s">
        <v>92</v>
      </c>
      <c r="N364" s="38"/>
      <c r="O364" s="37">
        <v>40</v>
      </c>
      <c r="P364" s="63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5"/>
      <c r="R364" s="565"/>
      <c r="S364" s="565"/>
      <c r="T364" s="566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593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594</v>
      </c>
      <c r="B365" s="63" t="s">
        <v>595</v>
      </c>
      <c r="C365" s="36">
        <v>4301051897</v>
      </c>
      <c r="D365" s="563">
        <v>4607091384260</v>
      </c>
      <c r="E365" s="563"/>
      <c r="F365" s="62">
        <v>1.5</v>
      </c>
      <c r="G365" s="37">
        <v>6</v>
      </c>
      <c r="H365" s="62">
        <v>9</v>
      </c>
      <c r="I365" s="62">
        <v>9.4939999999999998</v>
      </c>
      <c r="J365" s="37">
        <v>64</v>
      </c>
      <c r="K365" s="37" t="s">
        <v>115</v>
      </c>
      <c r="L365" s="37" t="s">
        <v>116</v>
      </c>
      <c r="M365" s="38" t="s">
        <v>92</v>
      </c>
      <c r="N365" s="38"/>
      <c r="O365" s="37">
        <v>40</v>
      </c>
      <c r="P365" s="63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5"/>
      <c r="R365" s="565"/>
      <c r="S365" s="565"/>
      <c r="T365" s="566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596</v>
      </c>
      <c r="AG365" s="78"/>
      <c r="AJ365" s="84" t="s">
        <v>117</v>
      </c>
      <c r="AK365" s="84">
        <v>72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570"/>
      <c r="B366" s="570"/>
      <c r="C366" s="570"/>
      <c r="D366" s="570"/>
      <c r="E366" s="570"/>
      <c r="F366" s="570"/>
      <c r="G366" s="570"/>
      <c r="H366" s="570"/>
      <c r="I366" s="570"/>
      <c r="J366" s="570"/>
      <c r="K366" s="570"/>
      <c r="L366" s="570"/>
      <c r="M366" s="570"/>
      <c r="N366" s="570"/>
      <c r="O366" s="571"/>
      <c r="P366" s="567" t="s">
        <v>40</v>
      </c>
      <c r="Q366" s="568"/>
      <c r="R366" s="568"/>
      <c r="S366" s="568"/>
      <c r="T366" s="568"/>
      <c r="U366" s="568"/>
      <c r="V366" s="569"/>
      <c r="W366" s="42" t="s">
        <v>39</v>
      </c>
      <c r="X366" s="43">
        <f>IFERROR(X364/H364,"0")+IFERROR(X365/H365,"0")</f>
        <v>0</v>
      </c>
      <c r="Y366" s="43">
        <f>IFERROR(Y364/H364,"0")+IFERROR(Y365/H365,"0")</f>
        <v>0</v>
      </c>
      <c r="Z366" s="43">
        <f>IFERROR(IF(Z364="",0,Z364),"0")+IFERROR(IF(Z365="",0,Z365),"0")</f>
        <v>0</v>
      </c>
      <c r="AA366" s="67"/>
      <c r="AB366" s="67"/>
      <c r="AC366" s="67"/>
    </row>
    <row r="367" spans="1:68" x14ac:dyDescent="0.2">
      <c r="A367" s="570"/>
      <c r="B367" s="570"/>
      <c r="C367" s="570"/>
      <c r="D367" s="570"/>
      <c r="E367" s="570"/>
      <c r="F367" s="570"/>
      <c r="G367" s="570"/>
      <c r="H367" s="570"/>
      <c r="I367" s="570"/>
      <c r="J367" s="570"/>
      <c r="K367" s="570"/>
      <c r="L367" s="570"/>
      <c r="M367" s="570"/>
      <c r="N367" s="570"/>
      <c r="O367" s="571"/>
      <c r="P367" s="567" t="s">
        <v>40</v>
      </c>
      <c r="Q367" s="568"/>
      <c r="R367" s="568"/>
      <c r="S367" s="568"/>
      <c r="T367" s="568"/>
      <c r="U367" s="568"/>
      <c r="V367" s="569"/>
      <c r="W367" s="42" t="s">
        <v>0</v>
      </c>
      <c r="X367" s="43">
        <f>IFERROR(SUM(X364:X365),"0")</f>
        <v>0</v>
      </c>
      <c r="Y367" s="43">
        <f>IFERROR(SUM(Y364:Y365),"0")</f>
        <v>0</v>
      </c>
      <c r="Z367" s="42"/>
      <c r="AA367" s="67"/>
      <c r="AB367" s="67"/>
      <c r="AC367" s="67"/>
    </row>
    <row r="368" spans="1:68" ht="14.25" customHeight="1" x14ac:dyDescent="0.25">
      <c r="A368" s="562" t="s">
        <v>171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66"/>
      <c r="AB368" s="66"/>
      <c r="AC368" s="80"/>
    </row>
    <row r="369" spans="1:68" ht="16.5" customHeight="1" x14ac:dyDescent="0.25">
      <c r="A369" s="63" t="s">
        <v>597</v>
      </c>
      <c r="B369" s="63" t="s">
        <v>598</v>
      </c>
      <c r="C369" s="36">
        <v>4301060524</v>
      </c>
      <c r="D369" s="563">
        <v>4607091384673</v>
      </c>
      <c r="E369" s="563"/>
      <c r="F369" s="62">
        <v>1.5</v>
      </c>
      <c r="G369" s="37">
        <v>6</v>
      </c>
      <c r="H369" s="62">
        <v>9</v>
      </c>
      <c r="I369" s="62">
        <v>9.4939999999999998</v>
      </c>
      <c r="J369" s="37">
        <v>64</v>
      </c>
      <c r="K369" s="37" t="s">
        <v>115</v>
      </c>
      <c r="L369" s="37" t="s">
        <v>45</v>
      </c>
      <c r="M369" s="38" t="s">
        <v>92</v>
      </c>
      <c r="N369" s="38"/>
      <c r="O369" s="37">
        <v>40</v>
      </c>
      <c r="P369" s="6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5"/>
      <c r="R369" s="565"/>
      <c r="S369" s="565"/>
      <c r="T369" s="566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45</v>
      </c>
      <c r="AB369" s="69" t="s">
        <v>45</v>
      </c>
      <c r="AC369" s="442" t="s">
        <v>599</v>
      </c>
      <c r="AG369" s="78"/>
      <c r="AJ369" s="84" t="s">
        <v>45</v>
      </c>
      <c r="AK369" s="84">
        <v>0</v>
      </c>
      <c r="BB369" s="443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570"/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1"/>
      <c r="P370" s="567" t="s">
        <v>40</v>
      </c>
      <c r="Q370" s="568"/>
      <c r="R370" s="568"/>
      <c r="S370" s="568"/>
      <c r="T370" s="568"/>
      <c r="U370" s="568"/>
      <c r="V370" s="569"/>
      <c r="W370" s="42" t="s">
        <v>39</v>
      </c>
      <c r="X370" s="43">
        <f>IFERROR(X369/H369,"0")</f>
        <v>0</v>
      </c>
      <c r="Y370" s="43">
        <f>IFERROR(Y369/H369,"0")</f>
        <v>0</v>
      </c>
      <c r="Z370" s="43">
        <f>IFERROR(IF(Z369="",0,Z369),"0")</f>
        <v>0</v>
      </c>
      <c r="AA370" s="67"/>
      <c r="AB370" s="67"/>
      <c r="AC370" s="67"/>
    </row>
    <row r="371" spans="1:68" x14ac:dyDescent="0.2">
      <c r="A371" s="570"/>
      <c r="B371" s="570"/>
      <c r="C371" s="570"/>
      <c r="D371" s="570"/>
      <c r="E371" s="570"/>
      <c r="F371" s="570"/>
      <c r="G371" s="570"/>
      <c r="H371" s="570"/>
      <c r="I371" s="570"/>
      <c r="J371" s="570"/>
      <c r="K371" s="570"/>
      <c r="L371" s="570"/>
      <c r="M371" s="570"/>
      <c r="N371" s="570"/>
      <c r="O371" s="571"/>
      <c r="P371" s="567" t="s">
        <v>40</v>
      </c>
      <c r="Q371" s="568"/>
      <c r="R371" s="568"/>
      <c r="S371" s="568"/>
      <c r="T371" s="568"/>
      <c r="U371" s="568"/>
      <c r="V371" s="569"/>
      <c r="W371" s="42" t="s">
        <v>0</v>
      </c>
      <c r="X371" s="43">
        <f>IFERROR(SUM(X369:X369),"0")</f>
        <v>0</v>
      </c>
      <c r="Y371" s="43">
        <f>IFERROR(SUM(Y369:Y369),"0")</f>
        <v>0</v>
      </c>
      <c r="Z371" s="42"/>
      <c r="AA371" s="67"/>
      <c r="AB371" s="67"/>
      <c r="AC371" s="67"/>
    </row>
    <row r="372" spans="1:68" ht="16.5" customHeight="1" x14ac:dyDescent="0.25">
      <c r="A372" s="578" t="s">
        <v>600</v>
      </c>
      <c r="B372" s="578"/>
      <c r="C372" s="578"/>
      <c r="D372" s="578"/>
      <c r="E372" s="578"/>
      <c r="F372" s="578"/>
      <c r="G372" s="578"/>
      <c r="H372" s="578"/>
      <c r="I372" s="578"/>
      <c r="J372" s="578"/>
      <c r="K372" s="578"/>
      <c r="L372" s="578"/>
      <c r="M372" s="578"/>
      <c r="N372" s="578"/>
      <c r="O372" s="578"/>
      <c r="P372" s="578"/>
      <c r="Q372" s="578"/>
      <c r="R372" s="578"/>
      <c r="S372" s="578"/>
      <c r="T372" s="578"/>
      <c r="U372" s="578"/>
      <c r="V372" s="578"/>
      <c r="W372" s="578"/>
      <c r="X372" s="578"/>
      <c r="Y372" s="578"/>
      <c r="Z372" s="578"/>
      <c r="AA372" s="65"/>
      <c r="AB372" s="65"/>
      <c r="AC372" s="79"/>
    </row>
    <row r="373" spans="1:68" ht="14.25" customHeight="1" x14ac:dyDescent="0.25">
      <c r="A373" s="562" t="s">
        <v>110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66"/>
      <c r="AB373" s="66"/>
      <c r="AC373" s="80"/>
    </row>
    <row r="374" spans="1:68" ht="37.5" customHeight="1" x14ac:dyDescent="0.25">
      <c r="A374" s="63" t="s">
        <v>601</v>
      </c>
      <c r="B374" s="63" t="s">
        <v>602</v>
      </c>
      <c r="C374" s="36">
        <v>4301011875</v>
      </c>
      <c r="D374" s="563">
        <v>4680115884885</v>
      </c>
      <c r="E374" s="563"/>
      <c r="F374" s="62">
        <v>0.8</v>
      </c>
      <c r="G374" s="37">
        <v>15</v>
      </c>
      <c r="H374" s="62">
        <v>12</v>
      </c>
      <c r="I374" s="62">
        <v>12.41</v>
      </c>
      <c r="J374" s="37">
        <v>64</v>
      </c>
      <c r="K374" s="37" t="s">
        <v>115</v>
      </c>
      <c r="L374" s="37" t="s">
        <v>116</v>
      </c>
      <c r="M374" s="38" t="s">
        <v>82</v>
      </c>
      <c r="N374" s="38"/>
      <c r="O374" s="37">
        <v>60</v>
      </c>
      <c r="P374" s="6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5"/>
      <c r="R374" s="565"/>
      <c r="S374" s="565"/>
      <c r="T374" s="566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45</v>
      </c>
      <c r="AB374" s="69" t="s">
        <v>45</v>
      </c>
      <c r="AC374" s="444" t="s">
        <v>603</v>
      </c>
      <c r="AG374" s="78"/>
      <c r="AJ374" s="84" t="s">
        <v>117</v>
      </c>
      <c r="AK374" s="84">
        <v>96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37.5" customHeight="1" x14ac:dyDescent="0.25">
      <c r="A375" s="63" t="s">
        <v>604</v>
      </c>
      <c r="B375" s="63" t="s">
        <v>605</v>
      </c>
      <c r="C375" s="36">
        <v>4301011871</v>
      </c>
      <c r="D375" s="563">
        <v>4680115884908</v>
      </c>
      <c r="E375" s="56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120</v>
      </c>
      <c r="L375" s="37" t="s">
        <v>45</v>
      </c>
      <c r="M375" s="38" t="s">
        <v>82</v>
      </c>
      <c r="N375" s="38"/>
      <c r="O375" s="37">
        <v>60</v>
      </c>
      <c r="P375" s="63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5"/>
      <c r="R375" s="565"/>
      <c r="S375" s="565"/>
      <c r="T375" s="566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IFERROR(IF(Y375=0,"",ROUNDUP(Y375/H375,0)*0.00902),"")</f>
        <v/>
      </c>
      <c r="AA375" s="68" t="s">
        <v>45</v>
      </c>
      <c r="AB375" s="69" t="s">
        <v>45</v>
      </c>
      <c r="AC375" s="446" t="s">
        <v>603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570"/>
      <c r="B376" s="570"/>
      <c r="C376" s="570"/>
      <c r="D376" s="570"/>
      <c r="E376" s="570"/>
      <c r="F376" s="570"/>
      <c r="G376" s="570"/>
      <c r="H376" s="570"/>
      <c r="I376" s="570"/>
      <c r="J376" s="570"/>
      <c r="K376" s="570"/>
      <c r="L376" s="570"/>
      <c r="M376" s="570"/>
      <c r="N376" s="570"/>
      <c r="O376" s="571"/>
      <c r="P376" s="567" t="s">
        <v>40</v>
      </c>
      <c r="Q376" s="568"/>
      <c r="R376" s="568"/>
      <c r="S376" s="568"/>
      <c r="T376" s="568"/>
      <c r="U376" s="568"/>
      <c r="V376" s="569"/>
      <c r="W376" s="42" t="s">
        <v>39</v>
      </c>
      <c r="X376" s="43">
        <f>IFERROR(X374/H374,"0")+IFERROR(X375/H375,"0")</f>
        <v>0</v>
      </c>
      <c r="Y376" s="43">
        <f>IFERROR(Y374/H374,"0")+IFERROR(Y375/H375,"0")</f>
        <v>0</v>
      </c>
      <c r="Z376" s="43">
        <f>IFERROR(IF(Z374="",0,Z374),"0")+IFERROR(IF(Z375="",0,Z375),"0")</f>
        <v>0</v>
      </c>
      <c r="AA376" s="67"/>
      <c r="AB376" s="67"/>
      <c r="AC376" s="67"/>
    </row>
    <row r="377" spans="1:68" x14ac:dyDescent="0.2">
      <c r="A377" s="570"/>
      <c r="B377" s="570"/>
      <c r="C377" s="570"/>
      <c r="D377" s="570"/>
      <c r="E377" s="570"/>
      <c r="F377" s="570"/>
      <c r="G377" s="570"/>
      <c r="H377" s="570"/>
      <c r="I377" s="570"/>
      <c r="J377" s="570"/>
      <c r="K377" s="570"/>
      <c r="L377" s="570"/>
      <c r="M377" s="570"/>
      <c r="N377" s="570"/>
      <c r="O377" s="571"/>
      <c r="P377" s="567" t="s">
        <v>40</v>
      </c>
      <c r="Q377" s="568"/>
      <c r="R377" s="568"/>
      <c r="S377" s="568"/>
      <c r="T377" s="568"/>
      <c r="U377" s="568"/>
      <c r="V377" s="569"/>
      <c r="W377" s="42" t="s">
        <v>0</v>
      </c>
      <c r="X377" s="43">
        <f>IFERROR(SUM(X374:X375),"0")</f>
        <v>0</v>
      </c>
      <c r="Y377" s="43">
        <f>IFERROR(SUM(Y374:Y375),"0")</f>
        <v>0</v>
      </c>
      <c r="Z377" s="42"/>
      <c r="AA377" s="67"/>
      <c r="AB377" s="67"/>
      <c r="AC377" s="67"/>
    </row>
    <row r="378" spans="1:68" ht="14.25" customHeight="1" x14ac:dyDescent="0.25">
      <c r="A378" s="562" t="s">
        <v>78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66"/>
      <c r="AB378" s="66"/>
      <c r="AC378" s="80"/>
    </row>
    <row r="379" spans="1:68" ht="27" customHeight="1" x14ac:dyDescent="0.25">
      <c r="A379" s="63" t="s">
        <v>606</v>
      </c>
      <c r="B379" s="63" t="s">
        <v>607</v>
      </c>
      <c r="C379" s="36">
        <v>4301031303</v>
      </c>
      <c r="D379" s="563">
        <v>4607091384802</v>
      </c>
      <c r="E379" s="563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120</v>
      </c>
      <c r="L379" s="37" t="s">
        <v>45</v>
      </c>
      <c r="M379" s="38" t="s">
        <v>82</v>
      </c>
      <c r="N379" s="38"/>
      <c r="O379" s="37">
        <v>35</v>
      </c>
      <c r="P379" s="63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65"/>
      <c r="R379" s="565"/>
      <c r="S379" s="565"/>
      <c r="T379" s="566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608</v>
      </c>
      <c r="AG379" s="78"/>
      <c r="AJ379" s="84" t="s">
        <v>45</v>
      </c>
      <c r="AK379" s="84">
        <v>0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606</v>
      </c>
      <c r="B380" s="63" t="s">
        <v>609</v>
      </c>
      <c r="C380" s="36">
        <v>4301031457</v>
      </c>
      <c r="D380" s="563">
        <v>4607091384802</v>
      </c>
      <c r="E380" s="56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120</v>
      </c>
      <c r="L380" s="37" t="s">
        <v>45</v>
      </c>
      <c r="M380" s="38" t="s">
        <v>82</v>
      </c>
      <c r="N380" s="38"/>
      <c r="O380" s="37">
        <v>50</v>
      </c>
      <c r="P380" s="63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5"/>
      <c r="R380" s="565"/>
      <c r="S380" s="565"/>
      <c r="T380" s="566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570"/>
      <c r="B381" s="570"/>
      <c r="C381" s="570"/>
      <c r="D381" s="570"/>
      <c r="E381" s="570"/>
      <c r="F381" s="570"/>
      <c r="G381" s="570"/>
      <c r="H381" s="570"/>
      <c r="I381" s="570"/>
      <c r="J381" s="570"/>
      <c r="K381" s="570"/>
      <c r="L381" s="570"/>
      <c r="M381" s="570"/>
      <c r="N381" s="570"/>
      <c r="O381" s="571"/>
      <c r="P381" s="567" t="s">
        <v>40</v>
      </c>
      <c r="Q381" s="568"/>
      <c r="R381" s="568"/>
      <c r="S381" s="568"/>
      <c r="T381" s="568"/>
      <c r="U381" s="568"/>
      <c r="V381" s="569"/>
      <c r="W381" s="42" t="s">
        <v>39</v>
      </c>
      <c r="X381" s="43">
        <f>IFERROR(X379/H379,"0")+IFERROR(X380/H380,"0")</f>
        <v>0</v>
      </c>
      <c r="Y381" s="43">
        <f>IFERROR(Y379/H379,"0")+IFERROR(Y380/H380,"0")</f>
        <v>0</v>
      </c>
      <c r="Z381" s="43">
        <f>IFERROR(IF(Z379="",0,Z379),"0")+IFERROR(IF(Z380="",0,Z380),"0")</f>
        <v>0</v>
      </c>
      <c r="AA381" s="67"/>
      <c r="AB381" s="67"/>
      <c r="AC381" s="67"/>
    </row>
    <row r="382" spans="1:68" x14ac:dyDescent="0.2">
      <c r="A382" s="570"/>
      <c r="B382" s="570"/>
      <c r="C382" s="570"/>
      <c r="D382" s="570"/>
      <c r="E382" s="570"/>
      <c r="F382" s="570"/>
      <c r="G382" s="570"/>
      <c r="H382" s="570"/>
      <c r="I382" s="570"/>
      <c r="J382" s="570"/>
      <c r="K382" s="570"/>
      <c r="L382" s="570"/>
      <c r="M382" s="570"/>
      <c r="N382" s="570"/>
      <c r="O382" s="571"/>
      <c r="P382" s="567" t="s">
        <v>40</v>
      </c>
      <c r="Q382" s="568"/>
      <c r="R382" s="568"/>
      <c r="S382" s="568"/>
      <c r="T382" s="568"/>
      <c r="U382" s="568"/>
      <c r="V382" s="569"/>
      <c r="W382" s="42" t="s">
        <v>0</v>
      </c>
      <c r="X382" s="43">
        <f>IFERROR(SUM(X379:X380),"0")</f>
        <v>0</v>
      </c>
      <c r="Y382" s="43">
        <f>IFERROR(SUM(Y379:Y380),"0")</f>
        <v>0</v>
      </c>
      <c r="Z382" s="42"/>
      <c r="AA382" s="67"/>
      <c r="AB382" s="67"/>
      <c r="AC382" s="67"/>
    </row>
    <row r="383" spans="1:68" ht="14.25" customHeight="1" x14ac:dyDescent="0.25">
      <c r="A383" s="562" t="s">
        <v>88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563">
        <v>4607091384246</v>
      </c>
      <c r="E384" s="563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115</v>
      </c>
      <c r="L384" s="37" t="s">
        <v>116</v>
      </c>
      <c r="M384" s="38" t="s">
        <v>92</v>
      </c>
      <c r="N384" s="38"/>
      <c r="O384" s="37">
        <v>40</v>
      </c>
      <c r="P384" s="6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5"/>
      <c r="R384" s="565"/>
      <c r="S384" s="565"/>
      <c r="T384" s="566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45</v>
      </c>
      <c r="AB384" s="69" t="s">
        <v>45</v>
      </c>
      <c r="AC384" s="452" t="s">
        <v>613</v>
      </c>
      <c r="AG384" s="78"/>
      <c r="AJ384" s="84" t="s">
        <v>117</v>
      </c>
      <c r="AK384" s="84">
        <v>72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563">
        <v>4607091384253</v>
      </c>
      <c r="E385" s="563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45</v>
      </c>
      <c r="M385" s="38" t="s">
        <v>92</v>
      </c>
      <c r="N385" s="38"/>
      <c r="O385" s="37">
        <v>40</v>
      </c>
      <c r="P385" s="62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5"/>
      <c r="R385" s="565"/>
      <c r="S385" s="565"/>
      <c r="T385" s="566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614</v>
      </c>
      <c r="B386" s="63" t="s">
        <v>616</v>
      </c>
      <c r="C386" s="36">
        <v>4301052069</v>
      </c>
      <c r="D386" s="563">
        <v>4607091384253</v>
      </c>
      <c r="E386" s="563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45</v>
      </c>
      <c r="M386" s="38" t="s">
        <v>92</v>
      </c>
      <c r="N386" s="38"/>
      <c r="O386" s="37">
        <v>40</v>
      </c>
      <c r="P386" s="62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5"/>
      <c r="R386" s="565"/>
      <c r="S386" s="565"/>
      <c r="T386" s="566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570"/>
      <c r="B387" s="570"/>
      <c r="C387" s="570"/>
      <c r="D387" s="570"/>
      <c r="E387" s="570"/>
      <c r="F387" s="570"/>
      <c r="G387" s="570"/>
      <c r="H387" s="570"/>
      <c r="I387" s="570"/>
      <c r="J387" s="570"/>
      <c r="K387" s="570"/>
      <c r="L387" s="570"/>
      <c r="M387" s="570"/>
      <c r="N387" s="570"/>
      <c r="O387" s="571"/>
      <c r="P387" s="567" t="s">
        <v>40</v>
      </c>
      <c r="Q387" s="568"/>
      <c r="R387" s="568"/>
      <c r="S387" s="568"/>
      <c r="T387" s="568"/>
      <c r="U387" s="568"/>
      <c r="V387" s="569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x14ac:dyDescent="0.2">
      <c r="A388" s="570"/>
      <c r="B388" s="570"/>
      <c r="C388" s="570"/>
      <c r="D388" s="570"/>
      <c r="E388" s="570"/>
      <c r="F388" s="570"/>
      <c r="G388" s="570"/>
      <c r="H388" s="570"/>
      <c r="I388" s="570"/>
      <c r="J388" s="570"/>
      <c r="K388" s="570"/>
      <c r="L388" s="570"/>
      <c r="M388" s="570"/>
      <c r="N388" s="570"/>
      <c r="O388" s="571"/>
      <c r="P388" s="567" t="s">
        <v>40</v>
      </c>
      <c r="Q388" s="568"/>
      <c r="R388" s="568"/>
      <c r="S388" s="568"/>
      <c r="T388" s="568"/>
      <c r="U388" s="568"/>
      <c r="V388" s="569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27.75" customHeight="1" x14ac:dyDescent="0.2">
      <c r="A389" s="588" t="s">
        <v>618</v>
      </c>
      <c r="B389" s="588"/>
      <c r="C389" s="588"/>
      <c r="D389" s="588"/>
      <c r="E389" s="588"/>
      <c r="F389" s="588"/>
      <c r="G389" s="588"/>
      <c r="H389" s="588"/>
      <c r="I389" s="588"/>
      <c r="J389" s="588"/>
      <c r="K389" s="588"/>
      <c r="L389" s="588"/>
      <c r="M389" s="588"/>
      <c r="N389" s="588"/>
      <c r="O389" s="588"/>
      <c r="P389" s="588"/>
      <c r="Q389" s="588"/>
      <c r="R389" s="588"/>
      <c r="S389" s="588"/>
      <c r="T389" s="588"/>
      <c r="U389" s="588"/>
      <c r="V389" s="588"/>
      <c r="W389" s="588"/>
      <c r="X389" s="588"/>
      <c r="Y389" s="588"/>
      <c r="Z389" s="588"/>
      <c r="AA389" s="54"/>
      <c r="AB389" s="54"/>
      <c r="AC389" s="54"/>
    </row>
    <row r="390" spans="1:68" ht="16.5" customHeight="1" x14ac:dyDescent="0.25">
      <c r="A390" s="578" t="s">
        <v>619</v>
      </c>
      <c r="B390" s="578"/>
      <c r="C390" s="578"/>
      <c r="D390" s="578"/>
      <c r="E390" s="578"/>
      <c r="F390" s="578"/>
      <c r="G390" s="578"/>
      <c r="H390" s="578"/>
      <c r="I390" s="578"/>
      <c r="J390" s="578"/>
      <c r="K390" s="578"/>
      <c r="L390" s="578"/>
      <c r="M390" s="578"/>
      <c r="N390" s="578"/>
      <c r="O390" s="578"/>
      <c r="P390" s="578"/>
      <c r="Q390" s="578"/>
      <c r="R390" s="578"/>
      <c r="S390" s="578"/>
      <c r="T390" s="578"/>
      <c r="U390" s="578"/>
      <c r="V390" s="578"/>
      <c r="W390" s="578"/>
      <c r="X390" s="578"/>
      <c r="Y390" s="578"/>
      <c r="Z390" s="578"/>
      <c r="AA390" s="65"/>
      <c r="AB390" s="65"/>
      <c r="AC390" s="79"/>
    </row>
    <row r="391" spans="1:68" ht="14.25" customHeight="1" x14ac:dyDescent="0.25">
      <c r="A391" s="562" t="s">
        <v>78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66"/>
      <c r="AB391" s="66"/>
      <c r="AC391" s="80"/>
    </row>
    <row r="392" spans="1:68" ht="27" customHeight="1" x14ac:dyDescent="0.25">
      <c r="A392" s="63" t="s">
        <v>620</v>
      </c>
      <c r="B392" s="63" t="s">
        <v>621</v>
      </c>
      <c r="C392" s="36">
        <v>4301031405</v>
      </c>
      <c r="D392" s="563">
        <v>4680115886100</v>
      </c>
      <c r="E392" s="563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120</v>
      </c>
      <c r="L392" s="37" t="s">
        <v>45</v>
      </c>
      <c r="M392" s="38" t="s">
        <v>82</v>
      </c>
      <c r="N392" s="38"/>
      <c r="O392" s="37">
        <v>50</v>
      </c>
      <c r="P392" s="62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5"/>
      <c r="R392" s="565"/>
      <c r="S392" s="565"/>
      <c r="T392" s="566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1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2">IFERROR(X392*I392/H392,"0")</f>
        <v>0</v>
      </c>
      <c r="BN392" s="78">
        <f t="shared" ref="BN392:BN400" si="43">IFERROR(Y392*I392/H392,"0")</f>
        <v>0</v>
      </c>
      <c r="BO392" s="78">
        <f t="shared" ref="BO392:BO400" si="44">IFERROR(1/J392*(X392/H392),"0")</f>
        <v>0</v>
      </c>
      <c r="BP392" s="78">
        <f t="shared" ref="BP392:BP400" si="45">IFERROR(1/J392*(Y392/H392),"0")</f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4301031406</v>
      </c>
      <c r="D393" s="563">
        <v>4680115886117</v>
      </c>
      <c r="E393" s="563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120</v>
      </c>
      <c r="L393" s="37" t="s">
        <v>45</v>
      </c>
      <c r="M393" s="38" t="s">
        <v>82</v>
      </c>
      <c r="N393" s="38"/>
      <c r="O393" s="37">
        <v>50</v>
      </c>
      <c r="P393" s="62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5"/>
      <c r="R393" s="565"/>
      <c r="S393" s="565"/>
      <c r="T393" s="56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4301031402</v>
      </c>
      <c r="D394" s="563">
        <v>4680115886124</v>
      </c>
      <c r="E394" s="563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120</v>
      </c>
      <c r="L394" s="37" t="s">
        <v>45</v>
      </c>
      <c r="M394" s="38" t="s">
        <v>82</v>
      </c>
      <c r="N394" s="38"/>
      <c r="O394" s="37">
        <v>50</v>
      </c>
      <c r="P394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5"/>
      <c r="R394" s="565"/>
      <c r="S394" s="565"/>
      <c r="T394" s="566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4301031366</v>
      </c>
      <c r="D395" s="563">
        <v>4680115883147</v>
      </c>
      <c r="E395" s="563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62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5"/>
      <c r="R395" s="565"/>
      <c r="S395" s="565"/>
      <c r="T395" s="566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ref="Z395:Z400" si="46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customHeight="1" x14ac:dyDescent="0.25">
      <c r="A396" s="63" t="s">
        <v>631</v>
      </c>
      <c r="B396" s="63" t="s">
        <v>632</v>
      </c>
      <c r="C396" s="36">
        <v>4301031362</v>
      </c>
      <c r="D396" s="563">
        <v>4607091384338</v>
      </c>
      <c r="E396" s="563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296</v>
      </c>
      <c r="M396" s="38" t="s">
        <v>82</v>
      </c>
      <c r="N396" s="38"/>
      <c r="O396" s="37">
        <v>50</v>
      </c>
      <c r="P396" s="62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5"/>
      <c r="R396" s="565"/>
      <c r="S396" s="565"/>
      <c r="T396" s="566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117</v>
      </c>
      <c r="AK396" s="84">
        <v>37.799999999999997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37.5" customHeight="1" x14ac:dyDescent="0.25">
      <c r="A397" s="63" t="s">
        <v>633</v>
      </c>
      <c r="B397" s="63" t="s">
        <v>634</v>
      </c>
      <c r="C397" s="36">
        <v>4301031361</v>
      </c>
      <c r="D397" s="563">
        <v>4607091389524</v>
      </c>
      <c r="E397" s="563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296</v>
      </c>
      <c r="M397" s="38" t="s">
        <v>82</v>
      </c>
      <c r="N397" s="38"/>
      <c r="O397" s="37">
        <v>50</v>
      </c>
      <c r="P397" s="62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5"/>
      <c r="R397" s="565"/>
      <c r="S397" s="565"/>
      <c r="T397" s="566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117</v>
      </c>
      <c r="AK397" s="84">
        <v>37.799999999999997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4301031364</v>
      </c>
      <c r="D398" s="563">
        <v>4680115883161</v>
      </c>
      <c r="E398" s="563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62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5"/>
      <c r="R398" s="565"/>
      <c r="S398" s="565"/>
      <c r="T398" s="566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4301031358</v>
      </c>
      <c r="D399" s="563">
        <v>4607091389531</v>
      </c>
      <c r="E399" s="563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296</v>
      </c>
      <c r="M399" s="38" t="s">
        <v>82</v>
      </c>
      <c r="N399" s="38"/>
      <c r="O399" s="37">
        <v>50</v>
      </c>
      <c r="P399" s="6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5"/>
      <c r="R399" s="565"/>
      <c r="S399" s="565"/>
      <c r="T399" s="566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117</v>
      </c>
      <c r="AK399" s="84">
        <v>37.799999999999997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ht="37.5" customHeight="1" x14ac:dyDescent="0.25">
      <c r="A400" s="63" t="s">
        <v>642</v>
      </c>
      <c r="B400" s="63" t="s">
        <v>643</v>
      </c>
      <c r="C400" s="36">
        <v>4301031360</v>
      </c>
      <c r="D400" s="563">
        <v>4607091384345</v>
      </c>
      <c r="E400" s="563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6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5"/>
      <c r="R400" s="565"/>
      <c r="S400" s="565"/>
      <c r="T400" s="566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1"/>
        <v>0</v>
      </c>
      <c r="Z400" s="41" t="str">
        <f t="shared" si="46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2"/>
        <v>0</v>
      </c>
      <c r="BN400" s="78">
        <f t="shared" si="43"/>
        <v>0</v>
      </c>
      <c r="BO400" s="78">
        <f t="shared" si="44"/>
        <v>0</v>
      </c>
      <c r="BP400" s="78">
        <f t="shared" si="45"/>
        <v>0</v>
      </c>
    </row>
    <row r="401" spans="1:68" x14ac:dyDescent="0.2">
      <c r="A401" s="570"/>
      <c r="B401" s="570"/>
      <c r="C401" s="570"/>
      <c r="D401" s="570"/>
      <c r="E401" s="570"/>
      <c r="F401" s="570"/>
      <c r="G401" s="570"/>
      <c r="H401" s="570"/>
      <c r="I401" s="570"/>
      <c r="J401" s="570"/>
      <c r="K401" s="570"/>
      <c r="L401" s="570"/>
      <c r="M401" s="570"/>
      <c r="N401" s="570"/>
      <c r="O401" s="571"/>
      <c r="P401" s="567" t="s">
        <v>40</v>
      </c>
      <c r="Q401" s="568"/>
      <c r="R401" s="568"/>
      <c r="S401" s="568"/>
      <c r="T401" s="568"/>
      <c r="U401" s="568"/>
      <c r="V401" s="569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570"/>
      <c r="B402" s="570"/>
      <c r="C402" s="570"/>
      <c r="D402" s="570"/>
      <c r="E402" s="570"/>
      <c r="F402" s="570"/>
      <c r="G402" s="570"/>
      <c r="H402" s="570"/>
      <c r="I402" s="570"/>
      <c r="J402" s="570"/>
      <c r="K402" s="570"/>
      <c r="L402" s="570"/>
      <c r="M402" s="570"/>
      <c r="N402" s="570"/>
      <c r="O402" s="571"/>
      <c r="P402" s="567" t="s">
        <v>40</v>
      </c>
      <c r="Q402" s="568"/>
      <c r="R402" s="568"/>
      <c r="S402" s="568"/>
      <c r="T402" s="568"/>
      <c r="U402" s="568"/>
      <c r="V402" s="569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562" t="s">
        <v>88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66"/>
      <c r="AB403" s="66"/>
      <c r="AC403" s="80"/>
    </row>
    <row r="404" spans="1:68" ht="27" customHeight="1" x14ac:dyDescent="0.25">
      <c r="A404" s="63" t="s">
        <v>644</v>
      </c>
      <c r="B404" s="63" t="s">
        <v>645</v>
      </c>
      <c r="C404" s="36">
        <v>4301051284</v>
      </c>
      <c r="D404" s="563">
        <v>4607091384352</v>
      </c>
      <c r="E404" s="563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120</v>
      </c>
      <c r="L404" s="37" t="s">
        <v>45</v>
      </c>
      <c r="M404" s="38" t="s">
        <v>92</v>
      </c>
      <c r="N404" s="38"/>
      <c r="O404" s="37">
        <v>45</v>
      </c>
      <c r="P404" s="61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5"/>
      <c r="R404" s="565"/>
      <c r="S404" s="565"/>
      <c r="T404" s="566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647</v>
      </c>
      <c r="B405" s="63" t="s">
        <v>648</v>
      </c>
      <c r="C405" s="36">
        <v>4301051431</v>
      </c>
      <c r="D405" s="563">
        <v>4607091389654</v>
      </c>
      <c r="E405" s="563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83</v>
      </c>
      <c r="L405" s="37" t="s">
        <v>45</v>
      </c>
      <c r="M405" s="38" t="s">
        <v>92</v>
      </c>
      <c r="N405" s="38"/>
      <c r="O405" s="37">
        <v>45</v>
      </c>
      <c r="P405" s="61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5"/>
      <c r="R405" s="565"/>
      <c r="S405" s="565"/>
      <c r="T405" s="566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570"/>
      <c r="B406" s="570"/>
      <c r="C406" s="570"/>
      <c r="D406" s="570"/>
      <c r="E406" s="570"/>
      <c r="F406" s="570"/>
      <c r="G406" s="570"/>
      <c r="H406" s="570"/>
      <c r="I406" s="570"/>
      <c r="J406" s="570"/>
      <c r="K406" s="570"/>
      <c r="L406" s="570"/>
      <c r="M406" s="570"/>
      <c r="N406" s="570"/>
      <c r="O406" s="571"/>
      <c r="P406" s="567" t="s">
        <v>40</v>
      </c>
      <c r="Q406" s="568"/>
      <c r="R406" s="568"/>
      <c r="S406" s="568"/>
      <c r="T406" s="568"/>
      <c r="U406" s="568"/>
      <c r="V406" s="569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570"/>
      <c r="B407" s="570"/>
      <c r="C407" s="570"/>
      <c r="D407" s="570"/>
      <c r="E407" s="570"/>
      <c r="F407" s="570"/>
      <c r="G407" s="570"/>
      <c r="H407" s="570"/>
      <c r="I407" s="570"/>
      <c r="J407" s="570"/>
      <c r="K407" s="570"/>
      <c r="L407" s="570"/>
      <c r="M407" s="570"/>
      <c r="N407" s="570"/>
      <c r="O407" s="571"/>
      <c r="P407" s="567" t="s">
        <v>40</v>
      </c>
      <c r="Q407" s="568"/>
      <c r="R407" s="568"/>
      <c r="S407" s="568"/>
      <c r="T407" s="568"/>
      <c r="U407" s="568"/>
      <c r="V407" s="569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578" t="s">
        <v>650</v>
      </c>
      <c r="B408" s="578"/>
      <c r="C408" s="578"/>
      <c r="D408" s="578"/>
      <c r="E408" s="578"/>
      <c r="F408" s="578"/>
      <c r="G408" s="578"/>
      <c r="H408" s="578"/>
      <c r="I408" s="578"/>
      <c r="J408" s="578"/>
      <c r="K408" s="578"/>
      <c r="L408" s="578"/>
      <c r="M408" s="578"/>
      <c r="N408" s="578"/>
      <c r="O408" s="578"/>
      <c r="P408" s="578"/>
      <c r="Q408" s="578"/>
      <c r="R408" s="578"/>
      <c r="S408" s="578"/>
      <c r="T408" s="578"/>
      <c r="U408" s="578"/>
      <c r="V408" s="578"/>
      <c r="W408" s="578"/>
      <c r="X408" s="578"/>
      <c r="Y408" s="578"/>
      <c r="Z408" s="578"/>
      <c r="AA408" s="65"/>
      <c r="AB408" s="65"/>
      <c r="AC408" s="79"/>
    </row>
    <row r="409" spans="1:68" ht="14.25" customHeight="1" x14ac:dyDescent="0.25">
      <c r="A409" s="562" t="s">
        <v>146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66"/>
      <c r="AB409" s="66"/>
      <c r="AC409" s="80"/>
    </row>
    <row r="410" spans="1:68" ht="27" customHeight="1" x14ac:dyDescent="0.25">
      <c r="A410" s="63" t="s">
        <v>651</v>
      </c>
      <c r="B410" s="63" t="s">
        <v>652</v>
      </c>
      <c r="C410" s="36">
        <v>4301020319</v>
      </c>
      <c r="D410" s="563">
        <v>4680115885240</v>
      </c>
      <c r="E410" s="563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83</v>
      </c>
      <c r="L410" s="37" t="s">
        <v>45</v>
      </c>
      <c r="M410" s="38" t="s">
        <v>82</v>
      </c>
      <c r="N410" s="38"/>
      <c r="O410" s="37">
        <v>40</v>
      </c>
      <c r="P410" s="61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5"/>
      <c r="R410" s="565"/>
      <c r="S410" s="565"/>
      <c r="T410" s="566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570"/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1"/>
      <c r="P411" s="567" t="s">
        <v>40</v>
      </c>
      <c r="Q411" s="568"/>
      <c r="R411" s="568"/>
      <c r="S411" s="568"/>
      <c r="T411" s="568"/>
      <c r="U411" s="568"/>
      <c r="V411" s="569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570"/>
      <c r="B412" s="570"/>
      <c r="C412" s="570"/>
      <c r="D412" s="570"/>
      <c r="E412" s="570"/>
      <c r="F412" s="570"/>
      <c r="G412" s="570"/>
      <c r="H412" s="570"/>
      <c r="I412" s="570"/>
      <c r="J412" s="570"/>
      <c r="K412" s="570"/>
      <c r="L412" s="570"/>
      <c r="M412" s="570"/>
      <c r="N412" s="570"/>
      <c r="O412" s="571"/>
      <c r="P412" s="567" t="s">
        <v>40</v>
      </c>
      <c r="Q412" s="568"/>
      <c r="R412" s="568"/>
      <c r="S412" s="568"/>
      <c r="T412" s="568"/>
      <c r="U412" s="568"/>
      <c r="V412" s="569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562" t="s">
        <v>78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66"/>
      <c r="AB413" s="66"/>
      <c r="AC413" s="80"/>
    </row>
    <row r="414" spans="1:68" ht="27" customHeight="1" x14ac:dyDescent="0.25">
      <c r="A414" s="63" t="s">
        <v>654</v>
      </c>
      <c r="B414" s="63" t="s">
        <v>655</v>
      </c>
      <c r="C414" s="36">
        <v>4301031403</v>
      </c>
      <c r="D414" s="563">
        <v>4680115886094</v>
      </c>
      <c r="E414" s="563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120</v>
      </c>
      <c r="L414" s="37" t="s">
        <v>45</v>
      </c>
      <c r="M414" s="38" t="s">
        <v>114</v>
      </c>
      <c r="N414" s="38"/>
      <c r="O414" s="37">
        <v>50</v>
      </c>
      <c r="P414" s="6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5"/>
      <c r="R414" s="565"/>
      <c r="S414" s="565"/>
      <c r="T414" s="566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4301031363</v>
      </c>
      <c r="D415" s="563">
        <v>4607091389425</v>
      </c>
      <c r="E415" s="563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61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5"/>
      <c r="R415" s="565"/>
      <c r="S415" s="565"/>
      <c r="T415" s="566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4301031373</v>
      </c>
      <c r="D416" s="563">
        <v>4680115880771</v>
      </c>
      <c r="E416" s="563"/>
      <c r="F416" s="62">
        <v>0.28000000000000003</v>
      </c>
      <c r="G416" s="37">
        <v>6</v>
      </c>
      <c r="H416" s="62">
        <v>1.68</v>
      </c>
      <c r="I416" s="62">
        <v>1.81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6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5"/>
      <c r="R416" s="565"/>
      <c r="S416" s="565"/>
      <c r="T416" s="566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662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663</v>
      </c>
      <c r="B417" s="63" t="s">
        <v>664</v>
      </c>
      <c r="C417" s="36">
        <v>4301031359</v>
      </c>
      <c r="D417" s="563">
        <v>4607091389500</v>
      </c>
      <c r="E417" s="563"/>
      <c r="F417" s="62">
        <v>0.35</v>
      </c>
      <c r="G417" s="37">
        <v>6</v>
      </c>
      <c r="H417" s="62">
        <v>2.1</v>
      </c>
      <c r="I417" s="62">
        <v>2.23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6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5"/>
      <c r="R417" s="565"/>
      <c r="S417" s="565"/>
      <c r="T417" s="566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662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570"/>
      <c r="B418" s="570"/>
      <c r="C418" s="570"/>
      <c r="D418" s="570"/>
      <c r="E418" s="570"/>
      <c r="F418" s="570"/>
      <c r="G418" s="570"/>
      <c r="H418" s="570"/>
      <c r="I418" s="570"/>
      <c r="J418" s="570"/>
      <c r="K418" s="570"/>
      <c r="L418" s="570"/>
      <c r="M418" s="570"/>
      <c r="N418" s="570"/>
      <c r="O418" s="571"/>
      <c r="P418" s="567" t="s">
        <v>40</v>
      </c>
      <c r="Q418" s="568"/>
      <c r="R418" s="568"/>
      <c r="S418" s="568"/>
      <c r="T418" s="568"/>
      <c r="U418" s="568"/>
      <c r="V418" s="569"/>
      <c r="W418" s="42" t="s">
        <v>39</v>
      </c>
      <c r="X418" s="43">
        <f>IFERROR(X414/H414,"0")+IFERROR(X415/H415,"0")+IFERROR(X416/H416,"0")+IFERROR(X417/H417,"0")</f>
        <v>0</v>
      </c>
      <c r="Y418" s="43">
        <f>IFERROR(Y414/H414,"0")+IFERROR(Y415/H415,"0")+IFERROR(Y416/H416,"0")+IFERROR(Y417/H417,"0")</f>
        <v>0</v>
      </c>
      <c r="Z418" s="43">
        <f>IFERROR(IF(Z414="",0,Z414),"0")+IFERROR(IF(Z415="",0,Z415),"0")+IFERROR(IF(Z416="",0,Z416),"0")+IFERROR(IF(Z417="",0,Z417),"0")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570"/>
      <c r="B419" s="570"/>
      <c r="C419" s="570"/>
      <c r="D419" s="570"/>
      <c r="E419" s="570"/>
      <c r="F419" s="570"/>
      <c r="G419" s="570"/>
      <c r="H419" s="570"/>
      <c r="I419" s="570"/>
      <c r="J419" s="570"/>
      <c r="K419" s="570"/>
      <c r="L419" s="570"/>
      <c r="M419" s="570"/>
      <c r="N419" s="570"/>
      <c r="O419" s="571"/>
      <c r="P419" s="567" t="s">
        <v>40</v>
      </c>
      <c r="Q419" s="568"/>
      <c r="R419" s="568"/>
      <c r="S419" s="568"/>
      <c r="T419" s="568"/>
      <c r="U419" s="568"/>
      <c r="V419" s="569"/>
      <c r="W419" s="42" t="s">
        <v>0</v>
      </c>
      <c r="X419" s="43">
        <f>IFERROR(SUM(X414:X417),"0")</f>
        <v>0</v>
      </c>
      <c r="Y419" s="43">
        <f>IFERROR(SUM(Y414:Y417),"0")</f>
        <v>0</v>
      </c>
      <c r="Z419" s="42"/>
      <c r="AA419" s="67"/>
      <c r="AB419" s="67"/>
      <c r="AC419" s="67"/>
    </row>
    <row r="420" spans="1:68" ht="16.5" customHeight="1" x14ac:dyDescent="0.25">
      <c r="A420" s="578" t="s">
        <v>665</v>
      </c>
      <c r="B420" s="578"/>
      <c r="C420" s="578"/>
      <c r="D420" s="578"/>
      <c r="E420" s="578"/>
      <c r="F420" s="578"/>
      <c r="G420" s="578"/>
      <c r="H420" s="578"/>
      <c r="I420" s="578"/>
      <c r="J420" s="578"/>
      <c r="K420" s="578"/>
      <c r="L420" s="578"/>
      <c r="M420" s="578"/>
      <c r="N420" s="578"/>
      <c r="O420" s="578"/>
      <c r="P420" s="578"/>
      <c r="Q420" s="578"/>
      <c r="R420" s="578"/>
      <c r="S420" s="578"/>
      <c r="T420" s="578"/>
      <c r="U420" s="578"/>
      <c r="V420" s="578"/>
      <c r="W420" s="578"/>
      <c r="X420" s="578"/>
      <c r="Y420" s="578"/>
      <c r="Z420" s="578"/>
      <c r="AA420" s="65"/>
      <c r="AB420" s="65"/>
      <c r="AC420" s="79"/>
    </row>
    <row r="421" spans="1:68" ht="14.25" customHeight="1" x14ac:dyDescent="0.25">
      <c r="A421" s="562" t="s">
        <v>78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66"/>
      <c r="AB421" s="66"/>
      <c r="AC421" s="80"/>
    </row>
    <row r="422" spans="1:68" ht="27" customHeight="1" x14ac:dyDescent="0.25">
      <c r="A422" s="63" t="s">
        <v>666</v>
      </c>
      <c r="B422" s="63" t="s">
        <v>667</v>
      </c>
      <c r="C422" s="36">
        <v>4301031347</v>
      </c>
      <c r="D422" s="563">
        <v>4680115885110</v>
      </c>
      <c r="E422" s="563"/>
      <c r="F422" s="62">
        <v>0.2</v>
      </c>
      <c r="G422" s="37">
        <v>6</v>
      </c>
      <c r="H422" s="62">
        <v>1.2</v>
      </c>
      <c r="I422" s="62">
        <v>2.1</v>
      </c>
      <c r="J422" s="37">
        <v>182</v>
      </c>
      <c r="K422" s="37" t="s">
        <v>83</v>
      </c>
      <c r="L422" s="37" t="s">
        <v>231</v>
      </c>
      <c r="M422" s="38" t="s">
        <v>82</v>
      </c>
      <c r="N422" s="38"/>
      <c r="O422" s="37">
        <v>50</v>
      </c>
      <c r="P422" s="61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5"/>
      <c r="R422" s="565"/>
      <c r="S422" s="565"/>
      <c r="T422" s="566"/>
      <c r="U422" s="39" t="s">
        <v>45</v>
      </c>
      <c r="V422" s="39" t="s">
        <v>45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45</v>
      </c>
      <c r="AB422" s="69" t="s">
        <v>45</v>
      </c>
      <c r="AC422" s="490" t="s">
        <v>668</v>
      </c>
      <c r="AG422" s="78"/>
      <c r="AJ422" s="84" t="s">
        <v>117</v>
      </c>
      <c r="AK422" s="84">
        <v>16.8</v>
      </c>
      <c r="BB422" s="491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570"/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1"/>
      <c r="P423" s="567" t="s">
        <v>40</v>
      </c>
      <c r="Q423" s="568"/>
      <c r="R423" s="568"/>
      <c r="S423" s="568"/>
      <c r="T423" s="568"/>
      <c r="U423" s="568"/>
      <c r="V423" s="569"/>
      <c r="W423" s="42" t="s">
        <v>39</v>
      </c>
      <c r="X423" s="43">
        <f>IFERROR(X422/H422,"0")</f>
        <v>0</v>
      </c>
      <c r="Y423" s="43">
        <f>IFERROR(Y422/H422,"0")</f>
        <v>0</v>
      </c>
      <c r="Z423" s="43">
        <f>IFERROR(IF(Z422="",0,Z422),"0")</f>
        <v>0</v>
      </c>
      <c r="AA423" s="67"/>
      <c r="AB423" s="67"/>
      <c r="AC423" s="67"/>
    </row>
    <row r="424" spans="1:68" x14ac:dyDescent="0.2">
      <c r="A424" s="570"/>
      <c r="B424" s="570"/>
      <c r="C424" s="570"/>
      <c r="D424" s="570"/>
      <c r="E424" s="570"/>
      <c r="F424" s="570"/>
      <c r="G424" s="570"/>
      <c r="H424" s="570"/>
      <c r="I424" s="570"/>
      <c r="J424" s="570"/>
      <c r="K424" s="570"/>
      <c r="L424" s="570"/>
      <c r="M424" s="570"/>
      <c r="N424" s="570"/>
      <c r="O424" s="571"/>
      <c r="P424" s="567" t="s">
        <v>40</v>
      </c>
      <c r="Q424" s="568"/>
      <c r="R424" s="568"/>
      <c r="S424" s="568"/>
      <c r="T424" s="568"/>
      <c r="U424" s="568"/>
      <c r="V424" s="569"/>
      <c r="W424" s="42" t="s">
        <v>0</v>
      </c>
      <c r="X424" s="43">
        <f>IFERROR(SUM(X422:X422),"0")</f>
        <v>0</v>
      </c>
      <c r="Y424" s="43">
        <f>IFERROR(SUM(Y422:Y422),"0")</f>
        <v>0</v>
      </c>
      <c r="Z424" s="42"/>
      <c r="AA424" s="67"/>
      <c r="AB424" s="67"/>
      <c r="AC424" s="67"/>
    </row>
    <row r="425" spans="1:68" ht="27.75" customHeight="1" x14ac:dyDescent="0.2">
      <c r="A425" s="588" t="s">
        <v>669</v>
      </c>
      <c r="B425" s="588"/>
      <c r="C425" s="588"/>
      <c r="D425" s="588"/>
      <c r="E425" s="588"/>
      <c r="F425" s="588"/>
      <c r="G425" s="588"/>
      <c r="H425" s="588"/>
      <c r="I425" s="588"/>
      <c r="J425" s="588"/>
      <c r="K425" s="588"/>
      <c r="L425" s="588"/>
      <c r="M425" s="588"/>
      <c r="N425" s="588"/>
      <c r="O425" s="588"/>
      <c r="P425" s="588"/>
      <c r="Q425" s="588"/>
      <c r="R425" s="588"/>
      <c r="S425" s="588"/>
      <c r="T425" s="588"/>
      <c r="U425" s="588"/>
      <c r="V425" s="588"/>
      <c r="W425" s="588"/>
      <c r="X425" s="588"/>
      <c r="Y425" s="588"/>
      <c r="Z425" s="588"/>
      <c r="AA425" s="54"/>
      <c r="AB425" s="54"/>
      <c r="AC425" s="54"/>
    </row>
    <row r="426" spans="1:68" ht="16.5" customHeight="1" x14ac:dyDescent="0.25">
      <c r="A426" s="578" t="s">
        <v>669</v>
      </c>
      <c r="B426" s="578"/>
      <c r="C426" s="578"/>
      <c r="D426" s="578"/>
      <c r="E426" s="578"/>
      <c r="F426" s="578"/>
      <c r="G426" s="578"/>
      <c r="H426" s="578"/>
      <c r="I426" s="578"/>
      <c r="J426" s="578"/>
      <c r="K426" s="578"/>
      <c r="L426" s="578"/>
      <c r="M426" s="578"/>
      <c r="N426" s="578"/>
      <c r="O426" s="578"/>
      <c r="P426" s="578"/>
      <c r="Q426" s="578"/>
      <c r="R426" s="578"/>
      <c r="S426" s="578"/>
      <c r="T426" s="578"/>
      <c r="U426" s="578"/>
      <c r="V426" s="578"/>
      <c r="W426" s="578"/>
      <c r="X426" s="578"/>
      <c r="Y426" s="578"/>
      <c r="Z426" s="578"/>
      <c r="AA426" s="65"/>
      <c r="AB426" s="65"/>
      <c r="AC426" s="79"/>
    </row>
    <row r="427" spans="1:68" ht="14.25" customHeight="1" x14ac:dyDescent="0.25">
      <c r="A427" s="562" t="s">
        <v>110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66"/>
      <c r="AB427" s="66"/>
      <c r="AC427" s="80"/>
    </row>
    <row r="428" spans="1:68" ht="27" customHeight="1" x14ac:dyDescent="0.25">
      <c r="A428" s="63" t="s">
        <v>670</v>
      </c>
      <c r="B428" s="63" t="s">
        <v>671</v>
      </c>
      <c r="C428" s="36">
        <v>4301011795</v>
      </c>
      <c r="D428" s="563">
        <v>4607091389067</v>
      </c>
      <c r="E428" s="563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116</v>
      </c>
      <c r="M428" s="38" t="s">
        <v>114</v>
      </c>
      <c r="N428" s="38"/>
      <c r="O428" s="37">
        <v>60</v>
      </c>
      <c r="P428" s="60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5"/>
      <c r="R428" s="565"/>
      <c r="S428" s="565"/>
      <c r="T428" s="56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ref="Y428:Y439" si="47">IFERROR(IF(X428="",0,CEILING((X428/$H428),1)*$H428),"")</f>
        <v>0</v>
      </c>
      <c r="Z428" s="41" t="str">
        <f t="shared" ref="Z428:Z434" si="48">IFERROR(IF(Y428=0,"",ROUNDUP(Y428/H428,0)*0.01196),"")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117</v>
      </c>
      <c r="AK428" s="84">
        <v>42.24</v>
      </c>
      <c r="BB428" s="493" t="s">
        <v>66</v>
      </c>
      <c r="BM428" s="78">
        <f t="shared" ref="BM428:BM439" si="49">IFERROR(X428*I428/H428,"0")</f>
        <v>0</v>
      </c>
      <c r="BN428" s="78">
        <f t="shared" ref="BN428:BN439" si="50">IFERROR(Y428*I428/H428,"0")</f>
        <v>0</v>
      </c>
      <c r="BO428" s="78">
        <f t="shared" ref="BO428:BO439" si="51">IFERROR(1/J428*(X428/H428),"0")</f>
        <v>0</v>
      </c>
      <c r="BP428" s="78">
        <f t="shared" ref="BP428:BP439" si="52">IFERROR(1/J428*(Y428/H428),"0")</f>
        <v>0</v>
      </c>
    </row>
    <row r="429" spans="1:68" ht="27" customHeight="1" x14ac:dyDescent="0.25">
      <c r="A429" s="63" t="s">
        <v>672</v>
      </c>
      <c r="B429" s="63" t="s">
        <v>673</v>
      </c>
      <c r="C429" s="36">
        <v>4301012210</v>
      </c>
      <c r="D429" s="563">
        <v>4607091383522</v>
      </c>
      <c r="E429" s="563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45</v>
      </c>
      <c r="M429" s="38" t="s">
        <v>114</v>
      </c>
      <c r="N429" s="38"/>
      <c r="O429" s="37">
        <v>60</v>
      </c>
      <c r="P429" s="60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5"/>
      <c r="R429" s="565"/>
      <c r="S429" s="565"/>
      <c r="T429" s="56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674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672</v>
      </c>
      <c r="B430" s="63" t="s">
        <v>675</v>
      </c>
      <c r="C430" s="36">
        <v>4301012145</v>
      </c>
      <c r="D430" s="563">
        <v>4607091383522</v>
      </c>
      <c r="E430" s="563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45</v>
      </c>
      <c r="M430" s="38" t="s">
        <v>114</v>
      </c>
      <c r="N430" s="38"/>
      <c r="O430" s="37">
        <v>60</v>
      </c>
      <c r="P430" s="60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65"/>
      <c r="R430" s="565"/>
      <c r="S430" s="565"/>
      <c r="T430" s="56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674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4301011961</v>
      </c>
      <c r="D431" s="563">
        <v>4680115885271</v>
      </c>
      <c r="E431" s="563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45</v>
      </c>
      <c r="M431" s="38" t="s">
        <v>114</v>
      </c>
      <c r="N431" s="38"/>
      <c r="O431" s="37">
        <v>60</v>
      </c>
      <c r="P431" s="6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5"/>
      <c r="R431" s="565"/>
      <c r="S431" s="565"/>
      <c r="T431" s="56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679</v>
      </c>
      <c r="B432" s="63" t="s">
        <v>680</v>
      </c>
      <c r="C432" s="36">
        <v>4301011376</v>
      </c>
      <c r="D432" s="563">
        <v>4680115885226</v>
      </c>
      <c r="E432" s="563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115</v>
      </c>
      <c r="L432" s="37" t="s">
        <v>116</v>
      </c>
      <c r="M432" s="38" t="s">
        <v>92</v>
      </c>
      <c r="N432" s="38"/>
      <c r="O432" s="37">
        <v>60</v>
      </c>
      <c r="P432" s="6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5"/>
      <c r="R432" s="565"/>
      <c r="S432" s="565"/>
      <c r="T432" s="56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117</v>
      </c>
      <c r="AK432" s="84">
        <v>42.24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16.5" customHeight="1" x14ac:dyDescent="0.25">
      <c r="A433" s="63" t="s">
        <v>682</v>
      </c>
      <c r="B433" s="63" t="s">
        <v>683</v>
      </c>
      <c r="C433" s="36">
        <v>4301011774</v>
      </c>
      <c r="D433" s="563">
        <v>4680115884502</v>
      </c>
      <c r="E433" s="563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115</v>
      </c>
      <c r="L433" s="37" t="s">
        <v>45</v>
      </c>
      <c r="M433" s="38" t="s">
        <v>114</v>
      </c>
      <c r="N433" s="38"/>
      <c r="O433" s="37">
        <v>60</v>
      </c>
      <c r="P433" s="6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5"/>
      <c r="R433" s="565"/>
      <c r="S433" s="565"/>
      <c r="T433" s="566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685</v>
      </c>
      <c r="B434" s="63" t="s">
        <v>686</v>
      </c>
      <c r="C434" s="36">
        <v>4301011771</v>
      </c>
      <c r="D434" s="563">
        <v>4607091389104</v>
      </c>
      <c r="E434" s="563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115</v>
      </c>
      <c r="L434" s="37" t="s">
        <v>116</v>
      </c>
      <c r="M434" s="38" t="s">
        <v>114</v>
      </c>
      <c r="N434" s="38"/>
      <c r="O434" s="37">
        <v>60</v>
      </c>
      <c r="P434" s="6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5"/>
      <c r="R434" s="565"/>
      <c r="S434" s="565"/>
      <c r="T434" s="566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 t="shared" si="48"/>
        <v/>
      </c>
      <c r="AA434" s="68" t="s">
        <v>45</v>
      </c>
      <c r="AB434" s="69" t="s">
        <v>45</v>
      </c>
      <c r="AC434" s="504" t="s">
        <v>687</v>
      </c>
      <c r="AG434" s="78"/>
      <c r="AJ434" s="84" t="s">
        <v>117</v>
      </c>
      <c r="AK434" s="84">
        <v>42.24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688</v>
      </c>
      <c r="B435" s="63" t="s">
        <v>689</v>
      </c>
      <c r="C435" s="36">
        <v>4301012125</v>
      </c>
      <c r="D435" s="563">
        <v>4680115886391</v>
      </c>
      <c r="E435" s="563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92</v>
      </c>
      <c r="N435" s="38"/>
      <c r="O435" s="37">
        <v>60</v>
      </c>
      <c r="P435" s="5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5"/>
      <c r="R435" s="565"/>
      <c r="S435" s="565"/>
      <c r="T435" s="566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113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690</v>
      </c>
      <c r="B436" s="63" t="s">
        <v>691</v>
      </c>
      <c r="C436" s="36">
        <v>4301012035</v>
      </c>
      <c r="D436" s="563">
        <v>4680115880603</v>
      </c>
      <c r="E436" s="563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120</v>
      </c>
      <c r="L436" s="37" t="s">
        <v>45</v>
      </c>
      <c r="M436" s="38" t="s">
        <v>114</v>
      </c>
      <c r="N436" s="38"/>
      <c r="O436" s="37">
        <v>60</v>
      </c>
      <c r="P436" s="5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5"/>
      <c r="R436" s="565"/>
      <c r="S436" s="565"/>
      <c r="T436" s="566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113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692</v>
      </c>
      <c r="B437" s="63" t="s">
        <v>693</v>
      </c>
      <c r="C437" s="36">
        <v>4301012036</v>
      </c>
      <c r="D437" s="563">
        <v>4680115882782</v>
      </c>
      <c r="E437" s="563"/>
      <c r="F437" s="62">
        <v>0.6</v>
      </c>
      <c r="G437" s="37">
        <v>8</v>
      </c>
      <c r="H437" s="62">
        <v>4.8</v>
      </c>
      <c r="I437" s="62">
        <v>6.96</v>
      </c>
      <c r="J437" s="37">
        <v>120</v>
      </c>
      <c r="K437" s="37" t="s">
        <v>120</v>
      </c>
      <c r="L437" s="37" t="s">
        <v>45</v>
      </c>
      <c r="M437" s="38" t="s">
        <v>114</v>
      </c>
      <c r="N437" s="38"/>
      <c r="O437" s="37">
        <v>60</v>
      </c>
      <c r="P437" s="60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5"/>
      <c r="R437" s="565"/>
      <c r="S437" s="565"/>
      <c r="T437" s="566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IFERROR(IF(Y437=0,"",ROUNDUP(Y437/H437,0)*0.00937),"")</f>
        <v/>
      </c>
      <c r="AA437" s="68" t="s">
        <v>45</v>
      </c>
      <c r="AB437" s="69" t="s">
        <v>45</v>
      </c>
      <c r="AC437" s="510" t="s">
        <v>678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694</v>
      </c>
      <c r="B438" s="63" t="s">
        <v>695</v>
      </c>
      <c r="C438" s="36">
        <v>4301012050</v>
      </c>
      <c r="D438" s="563">
        <v>4680115885479</v>
      </c>
      <c r="E438" s="563"/>
      <c r="F438" s="62">
        <v>0.4</v>
      </c>
      <c r="G438" s="37">
        <v>6</v>
      </c>
      <c r="H438" s="62">
        <v>2.4</v>
      </c>
      <c r="I438" s="62">
        <v>2.58</v>
      </c>
      <c r="J438" s="37">
        <v>182</v>
      </c>
      <c r="K438" s="37" t="s">
        <v>83</v>
      </c>
      <c r="L438" s="37" t="s">
        <v>45</v>
      </c>
      <c r="M438" s="38" t="s">
        <v>114</v>
      </c>
      <c r="N438" s="38"/>
      <c r="O438" s="37">
        <v>60</v>
      </c>
      <c r="P438" s="60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5"/>
      <c r="R438" s="565"/>
      <c r="S438" s="565"/>
      <c r="T438" s="566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IFERROR(IF(Y438=0,"",ROUNDUP(Y438/H438,0)*0.00651),"")</f>
        <v/>
      </c>
      <c r="AA438" s="68" t="s">
        <v>45</v>
      </c>
      <c r="AB438" s="69" t="s">
        <v>45</v>
      </c>
      <c r="AC438" s="512" t="s">
        <v>696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ht="27" customHeight="1" x14ac:dyDescent="0.25">
      <c r="A439" s="63" t="s">
        <v>697</v>
      </c>
      <c r="B439" s="63" t="s">
        <v>698</v>
      </c>
      <c r="C439" s="36">
        <v>4301012034</v>
      </c>
      <c r="D439" s="563">
        <v>4607091389982</v>
      </c>
      <c r="E439" s="563"/>
      <c r="F439" s="62">
        <v>0.6</v>
      </c>
      <c r="G439" s="37">
        <v>8</v>
      </c>
      <c r="H439" s="62">
        <v>4.8</v>
      </c>
      <c r="I439" s="62">
        <v>6.91</v>
      </c>
      <c r="J439" s="37">
        <v>132</v>
      </c>
      <c r="K439" s="37" t="s">
        <v>120</v>
      </c>
      <c r="L439" s="37" t="s">
        <v>45</v>
      </c>
      <c r="M439" s="38" t="s">
        <v>114</v>
      </c>
      <c r="N439" s="38"/>
      <c r="O439" s="37">
        <v>60</v>
      </c>
      <c r="P439" s="6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5"/>
      <c r="R439" s="565"/>
      <c r="S439" s="565"/>
      <c r="T439" s="566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47"/>
        <v>0</v>
      </c>
      <c r="Z439" s="41" t="str">
        <f>IFERROR(IF(Y439=0,"",ROUNDUP(Y439/H439,0)*0.00902),"")</f>
        <v/>
      </c>
      <c r="AA439" s="68" t="s">
        <v>45</v>
      </c>
      <c r="AB439" s="69" t="s">
        <v>45</v>
      </c>
      <c r="AC439" s="514" t="s">
        <v>687</v>
      </c>
      <c r="AG439" s="78"/>
      <c r="AJ439" s="84" t="s">
        <v>45</v>
      </c>
      <c r="AK439" s="84">
        <v>0</v>
      </c>
      <c r="BB439" s="515" t="s">
        <v>66</v>
      </c>
      <c r="BM439" s="78">
        <f t="shared" si="49"/>
        <v>0</v>
      </c>
      <c r="BN439" s="78">
        <f t="shared" si="50"/>
        <v>0</v>
      </c>
      <c r="BO439" s="78">
        <f t="shared" si="51"/>
        <v>0</v>
      </c>
      <c r="BP439" s="78">
        <f t="shared" si="52"/>
        <v>0</v>
      </c>
    </row>
    <row r="440" spans="1:68" x14ac:dyDescent="0.2">
      <c r="A440" s="570"/>
      <c r="B440" s="570"/>
      <c r="C440" s="570"/>
      <c r="D440" s="570"/>
      <c r="E440" s="570"/>
      <c r="F440" s="570"/>
      <c r="G440" s="570"/>
      <c r="H440" s="570"/>
      <c r="I440" s="570"/>
      <c r="J440" s="570"/>
      <c r="K440" s="570"/>
      <c r="L440" s="570"/>
      <c r="M440" s="570"/>
      <c r="N440" s="570"/>
      <c r="O440" s="571"/>
      <c r="P440" s="567" t="s">
        <v>40</v>
      </c>
      <c r="Q440" s="568"/>
      <c r="R440" s="568"/>
      <c r="S440" s="568"/>
      <c r="T440" s="568"/>
      <c r="U440" s="568"/>
      <c r="V440" s="569"/>
      <c r="W440" s="42" t="s">
        <v>39</v>
      </c>
      <c r="X440" s="43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43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43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570"/>
      <c r="B441" s="570"/>
      <c r="C441" s="570"/>
      <c r="D441" s="570"/>
      <c r="E441" s="570"/>
      <c r="F441" s="570"/>
      <c r="G441" s="570"/>
      <c r="H441" s="570"/>
      <c r="I441" s="570"/>
      <c r="J441" s="570"/>
      <c r="K441" s="570"/>
      <c r="L441" s="570"/>
      <c r="M441" s="570"/>
      <c r="N441" s="570"/>
      <c r="O441" s="571"/>
      <c r="P441" s="567" t="s">
        <v>40</v>
      </c>
      <c r="Q441" s="568"/>
      <c r="R441" s="568"/>
      <c r="S441" s="568"/>
      <c r="T441" s="568"/>
      <c r="U441" s="568"/>
      <c r="V441" s="569"/>
      <c r="W441" s="42" t="s">
        <v>0</v>
      </c>
      <c r="X441" s="43">
        <f>IFERROR(SUM(X428:X439),"0")</f>
        <v>0</v>
      </c>
      <c r="Y441" s="43">
        <f>IFERROR(SUM(Y428:Y439),"0")</f>
        <v>0</v>
      </c>
      <c r="Z441" s="42"/>
      <c r="AA441" s="67"/>
      <c r="AB441" s="67"/>
      <c r="AC441" s="67"/>
    </row>
    <row r="442" spans="1:68" ht="14.25" customHeight="1" x14ac:dyDescent="0.25">
      <c r="A442" s="562" t="s">
        <v>146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66"/>
      <c r="AB442" s="66"/>
      <c r="AC442" s="80"/>
    </row>
    <row r="443" spans="1:68" ht="16.5" customHeight="1" x14ac:dyDescent="0.25">
      <c r="A443" s="63" t="s">
        <v>699</v>
      </c>
      <c r="B443" s="63" t="s">
        <v>700</v>
      </c>
      <c r="C443" s="36">
        <v>4301020334</v>
      </c>
      <c r="D443" s="563">
        <v>4607091388930</v>
      </c>
      <c r="E443" s="56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116</v>
      </c>
      <c r="M443" s="38" t="s">
        <v>92</v>
      </c>
      <c r="N443" s="38"/>
      <c r="O443" s="37">
        <v>70</v>
      </c>
      <c r="P443" s="5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5"/>
      <c r="R443" s="565"/>
      <c r="S443" s="565"/>
      <c r="T443" s="566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6" t="s">
        <v>701</v>
      </c>
      <c r="AG443" s="78"/>
      <c r="AJ443" s="84" t="s">
        <v>117</v>
      </c>
      <c r="AK443" s="84">
        <v>42.24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702</v>
      </c>
      <c r="B444" s="63" t="s">
        <v>703</v>
      </c>
      <c r="C444" s="36">
        <v>4301020384</v>
      </c>
      <c r="D444" s="563">
        <v>4680115886407</v>
      </c>
      <c r="E444" s="563"/>
      <c r="F444" s="62">
        <v>0.4</v>
      </c>
      <c r="G444" s="37">
        <v>6</v>
      </c>
      <c r="H444" s="62">
        <v>2.4</v>
      </c>
      <c r="I444" s="62">
        <v>2.58</v>
      </c>
      <c r="J444" s="37">
        <v>182</v>
      </c>
      <c r="K444" s="37" t="s">
        <v>83</v>
      </c>
      <c r="L444" s="37" t="s">
        <v>45</v>
      </c>
      <c r="M444" s="38" t="s">
        <v>92</v>
      </c>
      <c r="N444" s="38"/>
      <c r="O444" s="37">
        <v>70</v>
      </c>
      <c r="P444" s="5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5"/>
      <c r="R444" s="565"/>
      <c r="S444" s="565"/>
      <c r="T444" s="566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45</v>
      </c>
      <c r="AB444" s="69" t="s">
        <v>45</v>
      </c>
      <c r="AC444" s="518" t="s">
        <v>701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704</v>
      </c>
      <c r="B445" s="63" t="s">
        <v>705</v>
      </c>
      <c r="C445" s="36">
        <v>4301020385</v>
      </c>
      <c r="D445" s="563">
        <v>4680115880054</v>
      </c>
      <c r="E445" s="563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120</v>
      </c>
      <c r="L445" s="37" t="s">
        <v>45</v>
      </c>
      <c r="M445" s="38" t="s">
        <v>114</v>
      </c>
      <c r="N445" s="38"/>
      <c r="O445" s="37">
        <v>70</v>
      </c>
      <c r="P445" s="5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5"/>
      <c r="R445" s="565"/>
      <c r="S445" s="565"/>
      <c r="T445" s="566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20" t="s">
        <v>701</v>
      </c>
      <c r="AG445" s="78"/>
      <c r="AJ445" s="84" t="s">
        <v>45</v>
      </c>
      <c r="AK445" s="84">
        <v>0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570"/>
      <c r="B446" s="570"/>
      <c r="C446" s="570"/>
      <c r="D446" s="570"/>
      <c r="E446" s="570"/>
      <c r="F446" s="570"/>
      <c r="G446" s="570"/>
      <c r="H446" s="570"/>
      <c r="I446" s="570"/>
      <c r="J446" s="570"/>
      <c r="K446" s="570"/>
      <c r="L446" s="570"/>
      <c r="M446" s="570"/>
      <c r="N446" s="570"/>
      <c r="O446" s="571"/>
      <c r="P446" s="567" t="s">
        <v>40</v>
      </c>
      <c r="Q446" s="568"/>
      <c r="R446" s="568"/>
      <c r="S446" s="568"/>
      <c r="T446" s="568"/>
      <c r="U446" s="568"/>
      <c r="V446" s="569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570"/>
      <c r="B447" s="570"/>
      <c r="C447" s="570"/>
      <c r="D447" s="570"/>
      <c r="E447" s="570"/>
      <c r="F447" s="570"/>
      <c r="G447" s="570"/>
      <c r="H447" s="570"/>
      <c r="I447" s="570"/>
      <c r="J447" s="570"/>
      <c r="K447" s="570"/>
      <c r="L447" s="570"/>
      <c r="M447" s="570"/>
      <c r="N447" s="570"/>
      <c r="O447" s="571"/>
      <c r="P447" s="567" t="s">
        <v>40</v>
      </c>
      <c r="Q447" s="568"/>
      <c r="R447" s="568"/>
      <c r="S447" s="568"/>
      <c r="T447" s="568"/>
      <c r="U447" s="568"/>
      <c r="V447" s="569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562" t="s">
        <v>78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66"/>
      <c r="AB448" s="66"/>
      <c r="AC448" s="80"/>
    </row>
    <row r="449" spans="1:68" ht="27" customHeight="1" x14ac:dyDescent="0.25">
      <c r="A449" s="63" t="s">
        <v>706</v>
      </c>
      <c r="B449" s="63" t="s">
        <v>707</v>
      </c>
      <c r="C449" s="36">
        <v>4301031349</v>
      </c>
      <c r="D449" s="563">
        <v>4680115883116</v>
      </c>
      <c r="E449" s="563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115</v>
      </c>
      <c r="L449" s="37" t="s">
        <v>116</v>
      </c>
      <c r="M449" s="38" t="s">
        <v>114</v>
      </c>
      <c r="N449" s="38"/>
      <c r="O449" s="37">
        <v>70</v>
      </c>
      <c r="P449" s="5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5"/>
      <c r="R449" s="565"/>
      <c r="S449" s="565"/>
      <c r="T449" s="566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ref="Y449:Y454" si="53">IFERROR(IF(X449="",0,CEILING((X449/$H449),1)*$H449),"")</f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708</v>
      </c>
      <c r="AG449" s="78"/>
      <c r="AJ449" s="84" t="s">
        <v>117</v>
      </c>
      <c r="AK449" s="84">
        <v>42.24</v>
      </c>
      <c r="BB449" s="523" t="s">
        <v>66</v>
      </c>
      <c r="BM449" s="78">
        <f t="shared" ref="BM449:BM454" si="54">IFERROR(X449*I449/H449,"0")</f>
        <v>0</v>
      </c>
      <c r="BN449" s="78">
        <f t="shared" ref="BN449:BN454" si="55">IFERROR(Y449*I449/H449,"0")</f>
        <v>0</v>
      </c>
      <c r="BO449" s="78">
        <f t="shared" ref="BO449:BO454" si="56">IFERROR(1/J449*(X449/H449),"0")</f>
        <v>0</v>
      </c>
      <c r="BP449" s="78">
        <f t="shared" ref="BP449:BP454" si="57">IFERROR(1/J449*(Y449/H449),"0")</f>
        <v>0</v>
      </c>
    </row>
    <row r="450" spans="1:68" ht="27" customHeight="1" x14ac:dyDescent="0.25">
      <c r="A450" s="63" t="s">
        <v>709</v>
      </c>
      <c r="B450" s="63" t="s">
        <v>710</v>
      </c>
      <c r="C450" s="36">
        <v>4301031350</v>
      </c>
      <c r="D450" s="563">
        <v>4680115883093</v>
      </c>
      <c r="E450" s="563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115</v>
      </c>
      <c r="L450" s="37" t="s">
        <v>116</v>
      </c>
      <c r="M450" s="38" t="s">
        <v>82</v>
      </c>
      <c r="N450" s="38"/>
      <c r="O450" s="37">
        <v>70</v>
      </c>
      <c r="P450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5"/>
      <c r="R450" s="565"/>
      <c r="S450" s="565"/>
      <c r="T450" s="566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711</v>
      </c>
      <c r="AG450" s="78"/>
      <c r="AJ450" s="84" t="s">
        <v>117</v>
      </c>
      <c r="AK450" s="84">
        <v>42.24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712</v>
      </c>
      <c r="B451" s="63" t="s">
        <v>713</v>
      </c>
      <c r="C451" s="36">
        <v>4301031353</v>
      </c>
      <c r="D451" s="563">
        <v>4680115883109</v>
      </c>
      <c r="E451" s="563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115</v>
      </c>
      <c r="L451" s="37" t="s">
        <v>116</v>
      </c>
      <c r="M451" s="38" t="s">
        <v>82</v>
      </c>
      <c r="N451" s="38"/>
      <c r="O451" s="37">
        <v>70</v>
      </c>
      <c r="P451" s="5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5"/>
      <c r="R451" s="565"/>
      <c r="S451" s="565"/>
      <c r="T451" s="566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714</v>
      </c>
      <c r="AG451" s="78"/>
      <c r="AJ451" s="84" t="s">
        <v>117</v>
      </c>
      <c r="AK451" s="84">
        <v>42.24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715</v>
      </c>
      <c r="B452" s="63" t="s">
        <v>716</v>
      </c>
      <c r="C452" s="36">
        <v>4301031419</v>
      </c>
      <c r="D452" s="563">
        <v>4680115882072</v>
      </c>
      <c r="E452" s="563"/>
      <c r="F452" s="62">
        <v>0.6</v>
      </c>
      <c r="G452" s="37">
        <v>8</v>
      </c>
      <c r="H452" s="62">
        <v>4.8</v>
      </c>
      <c r="I452" s="62">
        <v>6.91</v>
      </c>
      <c r="J452" s="37">
        <v>132</v>
      </c>
      <c r="K452" s="37" t="s">
        <v>120</v>
      </c>
      <c r="L452" s="37" t="s">
        <v>121</v>
      </c>
      <c r="M452" s="38" t="s">
        <v>114</v>
      </c>
      <c r="N452" s="38"/>
      <c r="O452" s="37">
        <v>70</v>
      </c>
      <c r="P452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5"/>
      <c r="R452" s="565"/>
      <c r="S452" s="565"/>
      <c r="T452" s="566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708</v>
      </c>
      <c r="AG452" s="78"/>
      <c r="AJ452" s="84" t="s">
        <v>117</v>
      </c>
      <c r="AK452" s="84">
        <v>57.6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717</v>
      </c>
      <c r="B453" s="63" t="s">
        <v>718</v>
      </c>
      <c r="C453" s="36">
        <v>4301031418</v>
      </c>
      <c r="D453" s="563">
        <v>4680115882102</v>
      </c>
      <c r="E453" s="563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120</v>
      </c>
      <c r="L453" s="37" t="s">
        <v>121</v>
      </c>
      <c r="M453" s="38" t="s">
        <v>82</v>
      </c>
      <c r="N453" s="38"/>
      <c r="O453" s="37">
        <v>70</v>
      </c>
      <c r="P453" s="59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5"/>
      <c r="R453" s="565"/>
      <c r="S453" s="565"/>
      <c r="T453" s="566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711</v>
      </c>
      <c r="AG453" s="78"/>
      <c r="AJ453" s="84" t="s">
        <v>117</v>
      </c>
      <c r="AK453" s="84">
        <v>57.6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ht="27" customHeight="1" x14ac:dyDescent="0.25">
      <c r="A454" s="63" t="s">
        <v>719</v>
      </c>
      <c r="B454" s="63" t="s">
        <v>720</v>
      </c>
      <c r="C454" s="36">
        <v>4301031417</v>
      </c>
      <c r="D454" s="563">
        <v>4680115882096</v>
      </c>
      <c r="E454" s="563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120</v>
      </c>
      <c r="L454" s="37" t="s">
        <v>121</v>
      </c>
      <c r="M454" s="38" t="s">
        <v>82</v>
      </c>
      <c r="N454" s="38"/>
      <c r="O454" s="37">
        <v>70</v>
      </c>
      <c r="P454" s="59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5"/>
      <c r="R454" s="565"/>
      <c r="S454" s="565"/>
      <c r="T454" s="566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3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714</v>
      </c>
      <c r="AG454" s="78"/>
      <c r="AJ454" s="84" t="s">
        <v>117</v>
      </c>
      <c r="AK454" s="84">
        <v>57.6</v>
      </c>
      <c r="BB454" s="533" t="s">
        <v>66</v>
      </c>
      <c r="BM454" s="78">
        <f t="shared" si="54"/>
        <v>0</v>
      </c>
      <c r="BN454" s="78">
        <f t="shared" si="55"/>
        <v>0</v>
      </c>
      <c r="BO454" s="78">
        <f t="shared" si="56"/>
        <v>0</v>
      </c>
      <c r="BP454" s="78">
        <f t="shared" si="57"/>
        <v>0</v>
      </c>
    </row>
    <row r="455" spans="1:68" x14ac:dyDescent="0.2">
      <c r="A455" s="570"/>
      <c r="B455" s="570"/>
      <c r="C455" s="570"/>
      <c r="D455" s="570"/>
      <c r="E455" s="570"/>
      <c r="F455" s="570"/>
      <c r="G455" s="570"/>
      <c r="H455" s="570"/>
      <c r="I455" s="570"/>
      <c r="J455" s="570"/>
      <c r="K455" s="570"/>
      <c r="L455" s="570"/>
      <c r="M455" s="570"/>
      <c r="N455" s="570"/>
      <c r="O455" s="571"/>
      <c r="P455" s="567" t="s">
        <v>40</v>
      </c>
      <c r="Q455" s="568"/>
      <c r="R455" s="568"/>
      <c r="S455" s="568"/>
      <c r="T455" s="568"/>
      <c r="U455" s="568"/>
      <c r="V455" s="569"/>
      <c r="W455" s="42" t="s">
        <v>39</v>
      </c>
      <c r="X455" s="43">
        <f>IFERROR(X449/H449,"0")+IFERROR(X450/H450,"0")+IFERROR(X451/H451,"0")+IFERROR(X452/H452,"0")+IFERROR(X453/H453,"0")+IFERROR(X454/H454,"0")</f>
        <v>0</v>
      </c>
      <c r="Y455" s="43">
        <f>IFERROR(Y449/H449,"0")+IFERROR(Y450/H450,"0")+IFERROR(Y451/H451,"0")+IFERROR(Y452/H452,"0")+IFERROR(Y453/H453,"0")+IFERROR(Y454/H454,"0")</f>
        <v>0</v>
      </c>
      <c r="Z455" s="43">
        <f>IFERROR(IF(Z449="",0,Z449),"0")+IFERROR(IF(Z450="",0,Z450),"0")+IFERROR(IF(Z451="",0,Z451),"0")+IFERROR(IF(Z452="",0,Z452),"0")+IFERROR(IF(Z453="",0,Z453),"0")+IFERROR(IF(Z454="",0,Z454),"0")</f>
        <v>0</v>
      </c>
      <c r="AA455" s="67"/>
      <c r="AB455" s="67"/>
      <c r="AC455" s="67"/>
    </row>
    <row r="456" spans="1:68" x14ac:dyDescent="0.2">
      <c r="A456" s="570"/>
      <c r="B456" s="570"/>
      <c r="C456" s="570"/>
      <c r="D456" s="570"/>
      <c r="E456" s="570"/>
      <c r="F456" s="570"/>
      <c r="G456" s="570"/>
      <c r="H456" s="570"/>
      <c r="I456" s="570"/>
      <c r="J456" s="570"/>
      <c r="K456" s="570"/>
      <c r="L456" s="570"/>
      <c r="M456" s="570"/>
      <c r="N456" s="570"/>
      <c r="O456" s="571"/>
      <c r="P456" s="567" t="s">
        <v>40</v>
      </c>
      <c r="Q456" s="568"/>
      <c r="R456" s="568"/>
      <c r="S456" s="568"/>
      <c r="T456" s="568"/>
      <c r="U456" s="568"/>
      <c r="V456" s="569"/>
      <c r="W456" s="42" t="s">
        <v>0</v>
      </c>
      <c r="X456" s="43">
        <f>IFERROR(SUM(X449:X454),"0")</f>
        <v>0</v>
      </c>
      <c r="Y456" s="43">
        <f>IFERROR(SUM(Y449:Y454),"0")</f>
        <v>0</v>
      </c>
      <c r="Z456" s="42"/>
      <c r="AA456" s="67"/>
      <c r="AB456" s="67"/>
      <c r="AC456" s="67"/>
    </row>
    <row r="457" spans="1:68" ht="14.25" customHeight="1" x14ac:dyDescent="0.25">
      <c r="A457" s="562" t="s">
        <v>88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66"/>
      <c r="AB457" s="66"/>
      <c r="AC457" s="80"/>
    </row>
    <row r="458" spans="1:68" ht="27" customHeight="1" x14ac:dyDescent="0.25">
      <c r="A458" s="63" t="s">
        <v>721</v>
      </c>
      <c r="B458" s="63" t="s">
        <v>722</v>
      </c>
      <c r="C458" s="36">
        <v>4301051064</v>
      </c>
      <c r="D458" s="563">
        <v>4680115883536</v>
      </c>
      <c r="E458" s="563"/>
      <c r="F458" s="62">
        <v>0.3</v>
      </c>
      <c r="G458" s="37">
        <v>6</v>
      </c>
      <c r="H458" s="62">
        <v>1.8</v>
      </c>
      <c r="I458" s="62">
        <v>2.0459999999999998</v>
      </c>
      <c r="J458" s="37">
        <v>182</v>
      </c>
      <c r="K458" s="37" t="s">
        <v>83</v>
      </c>
      <c r="L458" s="37" t="s">
        <v>45</v>
      </c>
      <c r="M458" s="38" t="s">
        <v>92</v>
      </c>
      <c r="N458" s="38"/>
      <c r="O458" s="37">
        <v>45</v>
      </c>
      <c r="P458" s="58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5"/>
      <c r="R458" s="565"/>
      <c r="S458" s="565"/>
      <c r="T458" s="566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45</v>
      </c>
      <c r="AB458" s="69" t="s">
        <v>45</v>
      </c>
      <c r="AC458" s="534" t="s">
        <v>723</v>
      </c>
      <c r="AG458" s="78"/>
      <c r="AJ458" s="84" t="s">
        <v>45</v>
      </c>
      <c r="AK458" s="84">
        <v>0</v>
      </c>
      <c r="BB458" s="53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">
      <c r="A459" s="570"/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1"/>
      <c r="P459" s="567" t="s">
        <v>40</v>
      </c>
      <c r="Q459" s="568"/>
      <c r="R459" s="568"/>
      <c r="S459" s="568"/>
      <c r="T459" s="568"/>
      <c r="U459" s="568"/>
      <c r="V459" s="569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x14ac:dyDescent="0.2">
      <c r="A460" s="570"/>
      <c r="B460" s="570"/>
      <c r="C460" s="570"/>
      <c r="D460" s="570"/>
      <c r="E460" s="570"/>
      <c r="F460" s="570"/>
      <c r="G460" s="570"/>
      <c r="H460" s="570"/>
      <c r="I460" s="570"/>
      <c r="J460" s="570"/>
      <c r="K460" s="570"/>
      <c r="L460" s="570"/>
      <c r="M460" s="570"/>
      <c r="N460" s="570"/>
      <c r="O460" s="571"/>
      <c r="P460" s="567" t="s">
        <v>40</v>
      </c>
      <c r="Q460" s="568"/>
      <c r="R460" s="568"/>
      <c r="S460" s="568"/>
      <c r="T460" s="568"/>
      <c r="U460" s="568"/>
      <c r="V460" s="569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27.75" customHeight="1" x14ac:dyDescent="0.2">
      <c r="A461" s="588" t="s">
        <v>724</v>
      </c>
      <c r="B461" s="588"/>
      <c r="C461" s="588"/>
      <c r="D461" s="588"/>
      <c r="E461" s="588"/>
      <c r="F461" s="588"/>
      <c r="G461" s="588"/>
      <c r="H461" s="588"/>
      <c r="I461" s="588"/>
      <c r="J461" s="588"/>
      <c r="K461" s="588"/>
      <c r="L461" s="588"/>
      <c r="M461" s="588"/>
      <c r="N461" s="588"/>
      <c r="O461" s="588"/>
      <c r="P461" s="588"/>
      <c r="Q461" s="588"/>
      <c r="R461" s="588"/>
      <c r="S461" s="588"/>
      <c r="T461" s="588"/>
      <c r="U461" s="588"/>
      <c r="V461" s="588"/>
      <c r="W461" s="588"/>
      <c r="X461" s="588"/>
      <c r="Y461" s="588"/>
      <c r="Z461" s="588"/>
      <c r="AA461" s="54"/>
      <c r="AB461" s="54"/>
      <c r="AC461" s="54"/>
    </row>
    <row r="462" spans="1:68" ht="16.5" customHeight="1" x14ac:dyDescent="0.25">
      <c r="A462" s="578" t="s">
        <v>724</v>
      </c>
      <c r="B462" s="578"/>
      <c r="C462" s="578"/>
      <c r="D462" s="578"/>
      <c r="E462" s="578"/>
      <c r="F462" s="578"/>
      <c r="G462" s="578"/>
      <c r="H462" s="578"/>
      <c r="I462" s="578"/>
      <c r="J462" s="578"/>
      <c r="K462" s="578"/>
      <c r="L462" s="578"/>
      <c r="M462" s="578"/>
      <c r="N462" s="578"/>
      <c r="O462" s="578"/>
      <c r="P462" s="578"/>
      <c r="Q462" s="578"/>
      <c r="R462" s="578"/>
      <c r="S462" s="578"/>
      <c r="T462" s="578"/>
      <c r="U462" s="578"/>
      <c r="V462" s="578"/>
      <c r="W462" s="578"/>
      <c r="X462" s="578"/>
      <c r="Y462" s="578"/>
      <c r="Z462" s="578"/>
      <c r="AA462" s="65"/>
      <c r="AB462" s="65"/>
      <c r="AC462" s="79"/>
    </row>
    <row r="463" spans="1:68" ht="14.25" customHeight="1" x14ac:dyDescent="0.25">
      <c r="A463" s="562" t="s">
        <v>110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66"/>
      <c r="AB463" s="66"/>
      <c r="AC463" s="80"/>
    </row>
    <row r="464" spans="1:68" ht="27" customHeight="1" x14ac:dyDescent="0.25">
      <c r="A464" s="63" t="s">
        <v>725</v>
      </c>
      <c r="B464" s="63" t="s">
        <v>726</v>
      </c>
      <c r="C464" s="36">
        <v>4301011763</v>
      </c>
      <c r="D464" s="563">
        <v>4640242181011</v>
      </c>
      <c r="E464" s="563"/>
      <c r="F464" s="62">
        <v>1.35</v>
      </c>
      <c r="G464" s="37">
        <v>8</v>
      </c>
      <c r="H464" s="62">
        <v>10.8</v>
      </c>
      <c r="I464" s="62">
        <v>11.21</v>
      </c>
      <c r="J464" s="37">
        <v>64</v>
      </c>
      <c r="K464" s="37" t="s">
        <v>115</v>
      </c>
      <c r="L464" s="37" t="s">
        <v>45</v>
      </c>
      <c r="M464" s="38" t="s">
        <v>92</v>
      </c>
      <c r="N464" s="38"/>
      <c r="O464" s="37">
        <v>55</v>
      </c>
      <c r="P464" s="58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5"/>
      <c r="R464" s="565"/>
      <c r="S464" s="565"/>
      <c r="T464" s="566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727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728</v>
      </c>
      <c r="B465" s="63" t="s">
        <v>729</v>
      </c>
      <c r="C465" s="36">
        <v>4301011585</v>
      </c>
      <c r="D465" s="563">
        <v>4640242180441</v>
      </c>
      <c r="E465" s="563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5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5"/>
      <c r="R465" s="565"/>
      <c r="S465" s="565"/>
      <c r="T465" s="566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730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731</v>
      </c>
      <c r="B466" s="63" t="s">
        <v>732</v>
      </c>
      <c r="C466" s="36">
        <v>4301011584</v>
      </c>
      <c r="D466" s="563">
        <v>4640242180564</v>
      </c>
      <c r="E466" s="563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5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5"/>
      <c r="R466" s="565"/>
      <c r="S466" s="565"/>
      <c r="T466" s="56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733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734</v>
      </c>
      <c r="B467" s="63" t="s">
        <v>735</v>
      </c>
      <c r="C467" s="36">
        <v>4301011764</v>
      </c>
      <c r="D467" s="563">
        <v>4640242181189</v>
      </c>
      <c r="E467" s="563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120</v>
      </c>
      <c r="L467" s="37" t="s">
        <v>45</v>
      </c>
      <c r="M467" s="38" t="s">
        <v>92</v>
      </c>
      <c r="N467" s="38"/>
      <c r="O467" s="37">
        <v>55</v>
      </c>
      <c r="P467" s="5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5"/>
      <c r="R467" s="565"/>
      <c r="S467" s="565"/>
      <c r="T467" s="56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42" t="s">
        <v>727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570"/>
      <c r="B468" s="570"/>
      <c r="C468" s="570"/>
      <c r="D468" s="570"/>
      <c r="E468" s="570"/>
      <c r="F468" s="570"/>
      <c r="G468" s="570"/>
      <c r="H468" s="570"/>
      <c r="I468" s="570"/>
      <c r="J468" s="570"/>
      <c r="K468" s="570"/>
      <c r="L468" s="570"/>
      <c r="M468" s="570"/>
      <c r="N468" s="570"/>
      <c r="O468" s="571"/>
      <c r="P468" s="567" t="s">
        <v>40</v>
      </c>
      <c r="Q468" s="568"/>
      <c r="R468" s="568"/>
      <c r="S468" s="568"/>
      <c r="T468" s="568"/>
      <c r="U468" s="568"/>
      <c r="V468" s="569"/>
      <c r="W468" s="42" t="s">
        <v>39</v>
      </c>
      <c r="X468" s="43">
        <f>IFERROR(X464/H464,"0")+IFERROR(X465/H465,"0")+IFERROR(X466/H466,"0")+IFERROR(X467/H467,"0")</f>
        <v>0</v>
      </c>
      <c r="Y468" s="43">
        <f>IFERROR(Y464/H464,"0")+IFERROR(Y465/H465,"0")+IFERROR(Y466/H466,"0")+IFERROR(Y467/H467,"0")</f>
        <v>0</v>
      </c>
      <c r="Z468" s="43">
        <f>IFERROR(IF(Z464="",0,Z464),"0")+IFERROR(IF(Z465="",0,Z465),"0")+IFERROR(IF(Z466="",0,Z466),"0")+IFERROR(IF(Z467="",0,Z467),"0")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570"/>
      <c r="B469" s="570"/>
      <c r="C469" s="570"/>
      <c r="D469" s="570"/>
      <c r="E469" s="570"/>
      <c r="F469" s="570"/>
      <c r="G469" s="570"/>
      <c r="H469" s="570"/>
      <c r="I469" s="570"/>
      <c r="J469" s="570"/>
      <c r="K469" s="570"/>
      <c r="L469" s="570"/>
      <c r="M469" s="570"/>
      <c r="N469" s="570"/>
      <c r="O469" s="571"/>
      <c r="P469" s="567" t="s">
        <v>40</v>
      </c>
      <c r="Q469" s="568"/>
      <c r="R469" s="568"/>
      <c r="S469" s="568"/>
      <c r="T469" s="568"/>
      <c r="U469" s="568"/>
      <c r="V469" s="569"/>
      <c r="W469" s="42" t="s">
        <v>0</v>
      </c>
      <c r="X469" s="43">
        <f>IFERROR(SUM(X464:X467),"0")</f>
        <v>0</v>
      </c>
      <c r="Y469" s="43">
        <f>IFERROR(SUM(Y464:Y467),"0")</f>
        <v>0</v>
      </c>
      <c r="Z469" s="42"/>
      <c r="AA469" s="67"/>
      <c r="AB469" s="67"/>
      <c r="AC469" s="67"/>
    </row>
    <row r="470" spans="1:68" ht="14.25" customHeight="1" x14ac:dyDescent="0.25">
      <c r="A470" s="562" t="s">
        <v>146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66"/>
      <c r="AB470" s="66"/>
      <c r="AC470" s="80"/>
    </row>
    <row r="471" spans="1:68" ht="27" customHeight="1" x14ac:dyDescent="0.25">
      <c r="A471" s="63" t="s">
        <v>736</v>
      </c>
      <c r="B471" s="63" t="s">
        <v>737</v>
      </c>
      <c r="C471" s="36">
        <v>4301020400</v>
      </c>
      <c r="D471" s="563">
        <v>4640242180519</v>
      </c>
      <c r="E471" s="563"/>
      <c r="F471" s="62">
        <v>1.5</v>
      </c>
      <c r="G471" s="37">
        <v>8</v>
      </c>
      <c r="H471" s="62">
        <v>12</v>
      </c>
      <c r="I471" s="62">
        <v>12.41</v>
      </c>
      <c r="J471" s="37">
        <v>64</v>
      </c>
      <c r="K471" s="37" t="s">
        <v>115</v>
      </c>
      <c r="L471" s="37" t="s">
        <v>45</v>
      </c>
      <c r="M471" s="38" t="s">
        <v>114</v>
      </c>
      <c r="N471" s="38"/>
      <c r="O471" s="37">
        <v>50</v>
      </c>
      <c r="P471" s="5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5"/>
      <c r="R471" s="565"/>
      <c r="S471" s="565"/>
      <c r="T471" s="566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44" t="s">
        <v>738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739</v>
      </c>
      <c r="B472" s="63" t="s">
        <v>740</v>
      </c>
      <c r="C472" s="36">
        <v>4301020260</v>
      </c>
      <c r="D472" s="563">
        <v>4640242180526</v>
      </c>
      <c r="E472" s="563"/>
      <c r="F472" s="62">
        <v>1.8</v>
      </c>
      <c r="G472" s="37">
        <v>6</v>
      </c>
      <c r="H472" s="62">
        <v>10.8</v>
      </c>
      <c r="I472" s="62">
        <v>11.21</v>
      </c>
      <c r="J472" s="37">
        <v>64</v>
      </c>
      <c r="K472" s="37" t="s">
        <v>115</v>
      </c>
      <c r="L472" s="37" t="s">
        <v>45</v>
      </c>
      <c r="M472" s="38" t="s">
        <v>114</v>
      </c>
      <c r="N472" s="38"/>
      <c r="O472" s="37">
        <v>50</v>
      </c>
      <c r="P472" s="58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5"/>
      <c r="R472" s="565"/>
      <c r="S472" s="565"/>
      <c r="T472" s="56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741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570"/>
      <c r="B473" s="570"/>
      <c r="C473" s="570"/>
      <c r="D473" s="570"/>
      <c r="E473" s="570"/>
      <c r="F473" s="570"/>
      <c r="G473" s="570"/>
      <c r="H473" s="570"/>
      <c r="I473" s="570"/>
      <c r="J473" s="570"/>
      <c r="K473" s="570"/>
      <c r="L473" s="570"/>
      <c r="M473" s="570"/>
      <c r="N473" s="570"/>
      <c r="O473" s="571"/>
      <c r="P473" s="567" t="s">
        <v>40</v>
      </c>
      <c r="Q473" s="568"/>
      <c r="R473" s="568"/>
      <c r="S473" s="568"/>
      <c r="T473" s="568"/>
      <c r="U473" s="568"/>
      <c r="V473" s="569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570"/>
      <c r="B474" s="570"/>
      <c r="C474" s="570"/>
      <c r="D474" s="570"/>
      <c r="E474" s="570"/>
      <c r="F474" s="570"/>
      <c r="G474" s="570"/>
      <c r="H474" s="570"/>
      <c r="I474" s="570"/>
      <c r="J474" s="570"/>
      <c r="K474" s="570"/>
      <c r="L474" s="570"/>
      <c r="M474" s="570"/>
      <c r="N474" s="570"/>
      <c r="O474" s="571"/>
      <c r="P474" s="567" t="s">
        <v>40</v>
      </c>
      <c r="Q474" s="568"/>
      <c r="R474" s="568"/>
      <c r="S474" s="568"/>
      <c r="T474" s="568"/>
      <c r="U474" s="568"/>
      <c r="V474" s="569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562" t="s">
        <v>78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66"/>
      <c r="AB475" s="66"/>
      <c r="AC475" s="80"/>
    </row>
    <row r="476" spans="1:68" ht="27" customHeight="1" x14ac:dyDescent="0.25">
      <c r="A476" s="63" t="s">
        <v>742</v>
      </c>
      <c r="B476" s="63" t="s">
        <v>743</v>
      </c>
      <c r="C476" s="36">
        <v>4301031467</v>
      </c>
      <c r="D476" s="563">
        <v>4640242180595</v>
      </c>
      <c r="E476" s="563"/>
      <c r="F476" s="62">
        <v>0.8</v>
      </c>
      <c r="G476" s="37">
        <v>6</v>
      </c>
      <c r="H476" s="62">
        <v>4.8</v>
      </c>
      <c r="I476" s="62">
        <v>5.05</v>
      </c>
      <c r="J476" s="37">
        <v>132</v>
      </c>
      <c r="K476" s="37" t="s">
        <v>120</v>
      </c>
      <c r="L476" s="37" t="s">
        <v>45</v>
      </c>
      <c r="M476" s="38" t="s">
        <v>82</v>
      </c>
      <c r="N476" s="38"/>
      <c r="O476" s="37">
        <v>40</v>
      </c>
      <c r="P476" s="57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65"/>
      <c r="R476" s="565"/>
      <c r="S476" s="565"/>
      <c r="T476" s="566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IFERROR(IF(Y476=0,"",ROUNDUP(Y476/H476,0)*0.00902),"")</f>
        <v/>
      </c>
      <c r="AA476" s="68" t="s">
        <v>45</v>
      </c>
      <c r="AB476" s="69" t="s">
        <v>45</v>
      </c>
      <c r="AC476" s="548" t="s">
        <v>744</v>
      </c>
      <c r="AG476" s="78"/>
      <c r="AJ476" s="84" t="s">
        <v>45</v>
      </c>
      <c r="AK476" s="84">
        <v>0</v>
      </c>
      <c r="BB476" s="549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570"/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1"/>
      <c r="P477" s="567" t="s">
        <v>40</v>
      </c>
      <c r="Q477" s="568"/>
      <c r="R477" s="568"/>
      <c r="S477" s="568"/>
      <c r="T477" s="568"/>
      <c r="U477" s="568"/>
      <c r="V477" s="569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570"/>
      <c r="B478" s="570"/>
      <c r="C478" s="570"/>
      <c r="D478" s="570"/>
      <c r="E478" s="570"/>
      <c r="F478" s="570"/>
      <c r="G478" s="570"/>
      <c r="H478" s="570"/>
      <c r="I478" s="570"/>
      <c r="J478" s="570"/>
      <c r="K478" s="570"/>
      <c r="L478" s="570"/>
      <c r="M478" s="570"/>
      <c r="N478" s="570"/>
      <c r="O478" s="571"/>
      <c r="P478" s="567" t="s">
        <v>40</v>
      </c>
      <c r="Q478" s="568"/>
      <c r="R478" s="568"/>
      <c r="S478" s="568"/>
      <c r="T478" s="568"/>
      <c r="U478" s="568"/>
      <c r="V478" s="569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562" t="s">
        <v>88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66"/>
      <c r="AB479" s="66"/>
      <c r="AC479" s="80"/>
    </row>
    <row r="480" spans="1:68" ht="27" customHeight="1" x14ac:dyDescent="0.25">
      <c r="A480" s="63" t="s">
        <v>745</v>
      </c>
      <c r="B480" s="63" t="s">
        <v>746</v>
      </c>
      <c r="C480" s="36">
        <v>4301052046</v>
      </c>
      <c r="D480" s="563">
        <v>4640242180533</v>
      </c>
      <c r="E480" s="563"/>
      <c r="F480" s="62">
        <v>1.5</v>
      </c>
      <c r="G480" s="37">
        <v>6</v>
      </c>
      <c r="H480" s="62">
        <v>9</v>
      </c>
      <c r="I480" s="62">
        <v>9.4939999999999998</v>
      </c>
      <c r="J480" s="37">
        <v>64</v>
      </c>
      <c r="K480" s="37" t="s">
        <v>115</v>
      </c>
      <c r="L480" s="37" t="s">
        <v>116</v>
      </c>
      <c r="M480" s="38" t="s">
        <v>98</v>
      </c>
      <c r="N480" s="38"/>
      <c r="O480" s="37">
        <v>45</v>
      </c>
      <c r="P480" s="58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5"/>
      <c r="R480" s="565"/>
      <c r="S480" s="565"/>
      <c r="T480" s="566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747</v>
      </c>
      <c r="AG480" s="78"/>
      <c r="AJ480" s="84" t="s">
        <v>117</v>
      </c>
      <c r="AK480" s="84">
        <v>72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1"/>
      <c r="P481" s="567" t="s">
        <v>40</v>
      </c>
      <c r="Q481" s="568"/>
      <c r="R481" s="568"/>
      <c r="S481" s="568"/>
      <c r="T481" s="568"/>
      <c r="U481" s="568"/>
      <c r="V481" s="569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x14ac:dyDescent="0.2">
      <c r="A482" s="570"/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1"/>
      <c r="P482" s="567" t="s">
        <v>40</v>
      </c>
      <c r="Q482" s="568"/>
      <c r="R482" s="568"/>
      <c r="S482" s="568"/>
      <c r="T482" s="568"/>
      <c r="U482" s="568"/>
      <c r="V482" s="569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customHeight="1" x14ac:dyDescent="0.25">
      <c r="A483" s="562" t="s">
        <v>171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66"/>
      <c r="AB483" s="66"/>
      <c r="AC483" s="80"/>
    </row>
    <row r="484" spans="1:68" ht="27" customHeight="1" x14ac:dyDescent="0.25">
      <c r="A484" s="63" t="s">
        <v>748</v>
      </c>
      <c r="B484" s="63" t="s">
        <v>749</v>
      </c>
      <c r="C484" s="36">
        <v>4301060491</v>
      </c>
      <c r="D484" s="563">
        <v>4640242180120</v>
      </c>
      <c r="E484" s="563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115</v>
      </c>
      <c r="L484" s="37" t="s">
        <v>45</v>
      </c>
      <c r="M484" s="38" t="s">
        <v>92</v>
      </c>
      <c r="N484" s="38"/>
      <c r="O484" s="37">
        <v>40</v>
      </c>
      <c r="P484" s="57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5"/>
      <c r="R484" s="565"/>
      <c r="S484" s="565"/>
      <c r="T484" s="566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750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751</v>
      </c>
      <c r="B485" s="63" t="s">
        <v>752</v>
      </c>
      <c r="C485" s="36">
        <v>4301060493</v>
      </c>
      <c r="D485" s="563">
        <v>4640242180137</v>
      </c>
      <c r="E485" s="563"/>
      <c r="F485" s="62">
        <v>1.5</v>
      </c>
      <c r="G485" s="37">
        <v>6</v>
      </c>
      <c r="H485" s="62">
        <v>9</v>
      </c>
      <c r="I485" s="62">
        <v>9.41</v>
      </c>
      <c r="J485" s="37">
        <v>64</v>
      </c>
      <c r="K485" s="37" t="s">
        <v>115</v>
      </c>
      <c r="L485" s="37" t="s">
        <v>45</v>
      </c>
      <c r="M485" s="38" t="s">
        <v>92</v>
      </c>
      <c r="N485" s="38"/>
      <c r="O485" s="37">
        <v>40</v>
      </c>
      <c r="P485" s="57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5"/>
      <c r="R485" s="565"/>
      <c r="S485" s="565"/>
      <c r="T485" s="566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4" t="s">
        <v>753</v>
      </c>
      <c r="AG485" s="78"/>
      <c r="AJ485" s="84" t="s">
        <v>45</v>
      </c>
      <c r="AK485" s="84">
        <v>0</v>
      </c>
      <c r="BB485" s="555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570"/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1"/>
      <c r="P486" s="567" t="s">
        <v>40</v>
      </c>
      <c r="Q486" s="568"/>
      <c r="R486" s="568"/>
      <c r="S486" s="568"/>
      <c r="T486" s="568"/>
      <c r="U486" s="568"/>
      <c r="V486" s="569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x14ac:dyDescent="0.2">
      <c r="A487" s="570"/>
      <c r="B487" s="570"/>
      <c r="C487" s="570"/>
      <c r="D487" s="570"/>
      <c r="E487" s="570"/>
      <c r="F487" s="570"/>
      <c r="G487" s="570"/>
      <c r="H487" s="570"/>
      <c r="I487" s="570"/>
      <c r="J487" s="570"/>
      <c r="K487" s="570"/>
      <c r="L487" s="570"/>
      <c r="M487" s="570"/>
      <c r="N487" s="570"/>
      <c r="O487" s="571"/>
      <c r="P487" s="567" t="s">
        <v>40</v>
      </c>
      <c r="Q487" s="568"/>
      <c r="R487" s="568"/>
      <c r="S487" s="568"/>
      <c r="T487" s="568"/>
      <c r="U487" s="568"/>
      <c r="V487" s="569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customHeight="1" x14ac:dyDescent="0.25">
      <c r="A488" s="578" t="s">
        <v>754</v>
      </c>
      <c r="B488" s="578"/>
      <c r="C488" s="578"/>
      <c r="D488" s="578"/>
      <c r="E488" s="578"/>
      <c r="F488" s="578"/>
      <c r="G488" s="578"/>
      <c r="H488" s="578"/>
      <c r="I488" s="578"/>
      <c r="J488" s="578"/>
      <c r="K488" s="578"/>
      <c r="L488" s="578"/>
      <c r="M488" s="578"/>
      <c r="N488" s="578"/>
      <c r="O488" s="578"/>
      <c r="P488" s="578"/>
      <c r="Q488" s="578"/>
      <c r="R488" s="578"/>
      <c r="S488" s="578"/>
      <c r="T488" s="578"/>
      <c r="U488" s="578"/>
      <c r="V488" s="578"/>
      <c r="W488" s="578"/>
      <c r="X488" s="578"/>
      <c r="Y488" s="578"/>
      <c r="Z488" s="578"/>
      <c r="AA488" s="65"/>
      <c r="AB488" s="65"/>
      <c r="AC488" s="79"/>
    </row>
    <row r="489" spans="1:68" ht="14.25" customHeight="1" x14ac:dyDescent="0.25">
      <c r="A489" s="562" t="s">
        <v>146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66"/>
      <c r="AB489" s="66"/>
      <c r="AC489" s="80"/>
    </row>
    <row r="490" spans="1:68" ht="27" customHeight="1" x14ac:dyDescent="0.25">
      <c r="A490" s="63" t="s">
        <v>755</v>
      </c>
      <c r="B490" s="63" t="s">
        <v>756</v>
      </c>
      <c r="C490" s="36">
        <v>4301020314</v>
      </c>
      <c r="D490" s="563">
        <v>4640242180090</v>
      </c>
      <c r="E490" s="563"/>
      <c r="F490" s="62">
        <v>1.5</v>
      </c>
      <c r="G490" s="37">
        <v>8</v>
      </c>
      <c r="H490" s="62">
        <v>12</v>
      </c>
      <c r="I490" s="62">
        <v>12.41</v>
      </c>
      <c r="J490" s="37">
        <v>64</v>
      </c>
      <c r="K490" s="37" t="s">
        <v>115</v>
      </c>
      <c r="L490" s="37" t="s">
        <v>45</v>
      </c>
      <c r="M490" s="38" t="s">
        <v>114</v>
      </c>
      <c r="N490" s="38"/>
      <c r="O490" s="37">
        <v>50</v>
      </c>
      <c r="P490" s="56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5"/>
      <c r="R490" s="565"/>
      <c r="S490" s="565"/>
      <c r="T490" s="566"/>
      <c r="U490" s="39" t="s">
        <v>45</v>
      </c>
      <c r="V490" s="39" t="s">
        <v>45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IFERROR(IF(Y490=0,"",ROUNDUP(Y490/H490,0)*0.01898),"")</f>
        <v/>
      </c>
      <c r="AA490" s="68" t="s">
        <v>45</v>
      </c>
      <c r="AB490" s="69" t="s">
        <v>45</v>
      </c>
      <c r="AC490" s="556" t="s">
        <v>757</v>
      </c>
      <c r="AG490" s="78"/>
      <c r="AJ490" s="84" t="s">
        <v>45</v>
      </c>
      <c r="AK490" s="84">
        <v>0</v>
      </c>
      <c r="BB490" s="557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570"/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1"/>
      <c r="P491" s="567" t="s">
        <v>40</v>
      </c>
      <c r="Q491" s="568"/>
      <c r="R491" s="568"/>
      <c r="S491" s="568"/>
      <c r="T491" s="568"/>
      <c r="U491" s="568"/>
      <c r="V491" s="569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x14ac:dyDescent="0.2">
      <c r="A492" s="570"/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1"/>
      <c r="P492" s="567" t="s">
        <v>40</v>
      </c>
      <c r="Q492" s="568"/>
      <c r="R492" s="568"/>
      <c r="S492" s="568"/>
      <c r="T492" s="568"/>
      <c r="U492" s="568"/>
      <c r="V492" s="569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5" customHeight="1" x14ac:dyDescent="0.2">
      <c r="A493" s="570"/>
      <c r="B493" s="570"/>
      <c r="C493" s="570"/>
      <c r="D493" s="570"/>
      <c r="E493" s="570"/>
      <c r="F493" s="570"/>
      <c r="G493" s="570"/>
      <c r="H493" s="570"/>
      <c r="I493" s="570"/>
      <c r="J493" s="570"/>
      <c r="K493" s="570"/>
      <c r="L493" s="570"/>
      <c r="M493" s="570"/>
      <c r="N493" s="570"/>
      <c r="O493" s="575"/>
      <c r="P493" s="572" t="s">
        <v>33</v>
      </c>
      <c r="Q493" s="573"/>
      <c r="R493" s="573"/>
      <c r="S493" s="573"/>
      <c r="T493" s="573"/>
      <c r="U493" s="573"/>
      <c r="V493" s="574"/>
      <c r="W493" s="42" t="s">
        <v>0</v>
      </c>
      <c r="X493" s="43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0</v>
      </c>
      <c r="Y493" s="43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0</v>
      </c>
      <c r="Z493" s="42"/>
      <c r="AA493" s="67"/>
      <c r="AB493" s="67"/>
      <c r="AC493" s="67"/>
    </row>
    <row r="494" spans="1:68" x14ac:dyDescent="0.2">
      <c r="A494" s="570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5"/>
      <c r="P494" s="572" t="s">
        <v>34</v>
      </c>
      <c r="Q494" s="573"/>
      <c r="R494" s="573"/>
      <c r="S494" s="573"/>
      <c r="T494" s="573"/>
      <c r="U494" s="573"/>
      <c r="V494" s="574"/>
      <c r="W494" s="42" t="s">
        <v>0</v>
      </c>
      <c r="X494" s="43">
        <f>IFERROR(SUM(BM22:BM490),"0")</f>
        <v>0</v>
      </c>
      <c r="Y494" s="43">
        <f>IFERROR(SUM(BN22:BN490),"0")</f>
        <v>0</v>
      </c>
      <c r="Z494" s="42"/>
      <c r="AA494" s="67"/>
      <c r="AB494" s="67"/>
      <c r="AC494" s="67"/>
    </row>
    <row r="495" spans="1:68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5"/>
      <c r="P495" s="572" t="s">
        <v>35</v>
      </c>
      <c r="Q495" s="573"/>
      <c r="R495" s="573"/>
      <c r="S495" s="573"/>
      <c r="T495" s="573"/>
      <c r="U495" s="573"/>
      <c r="V495" s="574"/>
      <c r="W495" s="42" t="s">
        <v>20</v>
      </c>
      <c r="X495" s="44">
        <f>ROUNDUP(SUM(BO22:BO490),0)</f>
        <v>0</v>
      </c>
      <c r="Y495" s="44">
        <f>ROUNDUP(SUM(BP22:BP490),0)</f>
        <v>0</v>
      </c>
      <c r="Z495" s="42"/>
      <c r="AA495" s="67"/>
      <c r="AB495" s="67"/>
      <c r="AC495" s="67"/>
    </row>
    <row r="496" spans="1:68" x14ac:dyDescent="0.2">
      <c r="A496" s="570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575"/>
      <c r="P496" s="572" t="s">
        <v>36</v>
      </c>
      <c r="Q496" s="573"/>
      <c r="R496" s="573"/>
      <c r="S496" s="573"/>
      <c r="T496" s="573"/>
      <c r="U496" s="573"/>
      <c r="V496" s="574"/>
      <c r="W496" s="42" t="s">
        <v>0</v>
      </c>
      <c r="X496" s="43">
        <f>GrossWeightTotal+PalletQtyTotal*25</f>
        <v>0</v>
      </c>
      <c r="Y496" s="43">
        <f>GrossWeightTotalR+PalletQtyTotalR*25</f>
        <v>0</v>
      </c>
      <c r="Z496" s="42"/>
      <c r="AA496" s="67"/>
      <c r="AB496" s="67"/>
      <c r="AC496" s="67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575"/>
      <c r="P497" s="572" t="s">
        <v>37</v>
      </c>
      <c r="Q497" s="573"/>
      <c r="R497" s="573"/>
      <c r="S497" s="573"/>
      <c r="T497" s="573"/>
      <c r="U497" s="573"/>
      <c r="V497" s="574"/>
      <c r="W497" s="42" t="s">
        <v>20</v>
      </c>
      <c r="X497" s="43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0</v>
      </c>
      <c r="Y497" s="43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0</v>
      </c>
      <c r="Z497" s="42"/>
      <c r="AA497" s="67"/>
      <c r="AB497" s="67"/>
      <c r="AC497" s="67"/>
    </row>
    <row r="498" spans="1:32" ht="14.25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575"/>
      <c r="P498" s="572" t="s">
        <v>38</v>
      </c>
      <c r="Q498" s="573"/>
      <c r="R498" s="573"/>
      <c r="S498" s="573"/>
      <c r="T498" s="573"/>
      <c r="U498" s="573"/>
      <c r="V498" s="574"/>
      <c r="W498" s="45" t="s">
        <v>51</v>
      </c>
      <c r="X498" s="42"/>
      <c r="Y498" s="42"/>
      <c r="Z498" s="42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0</v>
      </c>
      <c r="AA498" s="67"/>
      <c r="AB498" s="67"/>
      <c r="AC498" s="67"/>
    </row>
    <row r="499" spans="1:32" ht="13.5" thickBot="1" x14ac:dyDescent="0.25"/>
    <row r="500" spans="1:32" ht="27" thickTop="1" thickBot="1" x14ac:dyDescent="0.25">
      <c r="A500" s="46" t="s">
        <v>9</v>
      </c>
      <c r="B500" s="85" t="s">
        <v>77</v>
      </c>
      <c r="C500" s="558" t="s">
        <v>108</v>
      </c>
      <c r="D500" s="558" t="s">
        <v>108</v>
      </c>
      <c r="E500" s="558" t="s">
        <v>108</v>
      </c>
      <c r="F500" s="558" t="s">
        <v>108</v>
      </c>
      <c r="G500" s="558" t="s">
        <v>108</v>
      </c>
      <c r="H500" s="558" t="s">
        <v>108</v>
      </c>
      <c r="I500" s="558" t="s">
        <v>277</v>
      </c>
      <c r="J500" s="558" t="s">
        <v>277</v>
      </c>
      <c r="K500" s="558" t="s">
        <v>277</v>
      </c>
      <c r="L500" s="558" t="s">
        <v>277</v>
      </c>
      <c r="M500" s="558" t="s">
        <v>277</v>
      </c>
      <c r="N500" s="559"/>
      <c r="O500" s="558" t="s">
        <v>277</v>
      </c>
      <c r="P500" s="558" t="s">
        <v>277</v>
      </c>
      <c r="Q500" s="558" t="s">
        <v>277</v>
      </c>
      <c r="R500" s="558" t="s">
        <v>277</v>
      </c>
      <c r="S500" s="558" t="s">
        <v>564</v>
      </c>
      <c r="T500" s="558" t="s">
        <v>564</v>
      </c>
      <c r="U500" s="558" t="s">
        <v>618</v>
      </c>
      <c r="V500" s="558" t="s">
        <v>618</v>
      </c>
      <c r="W500" s="558" t="s">
        <v>618</v>
      </c>
      <c r="X500" s="85" t="s">
        <v>669</v>
      </c>
      <c r="Y500" s="558" t="s">
        <v>724</v>
      </c>
      <c r="Z500" s="558" t="s">
        <v>724</v>
      </c>
      <c r="AB500" s="60"/>
      <c r="AC500" s="60"/>
      <c r="AF500" s="1"/>
    </row>
    <row r="501" spans="1:32" ht="14.25" customHeight="1" thickTop="1" x14ac:dyDescent="0.2">
      <c r="A501" s="560" t="s">
        <v>10</v>
      </c>
      <c r="B501" s="558" t="s">
        <v>77</v>
      </c>
      <c r="C501" s="558" t="s">
        <v>109</v>
      </c>
      <c r="D501" s="558" t="s">
        <v>127</v>
      </c>
      <c r="E501" s="558" t="s">
        <v>178</v>
      </c>
      <c r="F501" s="558" t="s">
        <v>200</v>
      </c>
      <c r="G501" s="558" t="s">
        <v>238</v>
      </c>
      <c r="H501" s="558" t="s">
        <v>108</v>
      </c>
      <c r="I501" s="558" t="s">
        <v>278</v>
      </c>
      <c r="J501" s="558" t="s">
        <v>333</v>
      </c>
      <c r="K501" s="558" t="s">
        <v>393</v>
      </c>
      <c r="L501" s="558" t="s">
        <v>434</v>
      </c>
      <c r="M501" s="558" t="s">
        <v>450</v>
      </c>
      <c r="N501" s="1"/>
      <c r="O501" s="558" t="s">
        <v>461</v>
      </c>
      <c r="P501" s="558" t="s">
        <v>470</v>
      </c>
      <c r="Q501" s="558" t="s">
        <v>483</v>
      </c>
      <c r="R501" s="558" t="s">
        <v>554</v>
      </c>
      <c r="S501" s="558" t="s">
        <v>565</v>
      </c>
      <c r="T501" s="558" t="s">
        <v>600</v>
      </c>
      <c r="U501" s="558" t="s">
        <v>619</v>
      </c>
      <c r="V501" s="558" t="s">
        <v>650</v>
      </c>
      <c r="W501" s="558" t="s">
        <v>665</v>
      </c>
      <c r="X501" s="558" t="s">
        <v>669</v>
      </c>
      <c r="Y501" s="558" t="s">
        <v>724</v>
      </c>
      <c r="Z501" s="558" t="s">
        <v>754</v>
      </c>
      <c r="AB501" s="60"/>
      <c r="AC501" s="60"/>
      <c r="AF501" s="1"/>
    </row>
    <row r="502" spans="1:32" ht="13.5" thickBot="1" x14ac:dyDescent="0.25">
      <c r="A502" s="561"/>
      <c r="B502" s="558"/>
      <c r="C502" s="558"/>
      <c r="D502" s="558"/>
      <c r="E502" s="558"/>
      <c r="F502" s="558"/>
      <c r="G502" s="558"/>
      <c r="H502" s="558"/>
      <c r="I502" s="558"/>
      <c r="J502" s="558"/>
      <c r="K502" s="558"/>
      <c r="L502" s="558"/>
      <c r="M502" s="558"/>
      <c r="N502" s="1"/>
      <c r="O502" s="558"/>
      <c r="P502" s="558"/>
      <c r="Q502" s="558"/>
      <c r="R502" s="558"/>
      <c r="S502" s="558"/>
      <c r="T502" s="558"/>
      <c r="U502" s="558"/>
      <c r="V502" s="558"/>
      <c r="W502" s="558"/>
      <c r="X502" s="558"/>
      <c r="Y502" s="558"/>
      <c r="Z502" s="558"/>
      <c r="AB502" s="60"/>
      <c r="AC502" s="60"/>
      <c r="AF502" s="1"/>
    </row>
    <row r="503" spans="1:32" ht="18" thickTop="1" thickBot="1" x14ac:dyDescent="0.25">
      <c r="A503" s="46" t="s">
        <v>13</v>
      </c>
      <c r="B503" s="52">
        <f>IFERROR(Y22*1,"0")+IFERROR(Y23*1,"0")+IFERROR(Y27*1,"0")+IFERROR(Y28*1,"0")+IFERROR(Y29*1,"0")+IFERROR(Y30*1,"0")+IFERROR(Y34*1,"0")</f>
        <v>0</v>
      </c>
      <c r="C503" s="52">
        <f>IFERROR(Y40*1,"0")+IFERROR(Y41*1,"0")+IFERROR(Y42*1,"0")+IFERROR(Y46*1,"0")</f>
        <v>0</v>
      </c>
      <c r="D503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52">
        <f>IFERROR(Y84*1,"0")+IFERROR(Y85*1,"0")+IFERROR(Y86*1,"0")+IFERROR(Y87*1,"0")+IFERROR(Y91*1,"0")+IFERROR(Y92*1,"0")+IFERROR(Y93*1,"0")+IFERROR(Y94*1,"0")</f>
        <v>0</v>
      </c>
      <c r="F503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503" s="52">
        <f>IFERROR(Y126*1,"0")+IFERROR(Y127*1,"0")+IFERROR(Y131*1,"0")+IFERROR(Y132*1,"0")+IFERROR(Y136*1,"0")+IFERROR(Y137*1,"0")</f>
        <v>0</v>
      </c>
      <c r="H503" s="52">
        <f>IFERROR(Y142*1,"0")+IFERROR(Y143*1,"0")+IFERROR(Y147*1,"0")+IFERROR(Y148*1,"0")+IFERROR(Y149*1,"0")+IFERROR(Y150*1,"0")+IFERROR(Y151*1,"0")+IFERROR(Y152*1,"0")+IFERROR(Y156*1,"0")</f>
        <v>0</v>
      </c>
      <c r="I503" s="52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3" s="52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503" s="52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52">
        <f>IFERROR(Y262*1,"0")+IFERROR(Y263*1,"0")+IFERROR(Y264*1,"0")+IFERROR(Y265*1,"0")+IFERROR(Y266*1,"0")</f>
        <v>0</v>
      </c>
      <c r="M503" s="52">
        <f>IFERROR(Y271*1,"0")+IFERROR(Y272*1,"0")+IFERROR(Y273*1,"0")+IFERROR(Y274*1,"0")</f>
        <v>0</v>
      </c>
      <c r="N503" s="1"/>
      <c r="O503" s="52">
        <f>IFERROR(Y279*1,"0")+IFERROR(Y280*1,"0")+IFERROR(Y281*1,"0")</f>
        <v>0</v>
      </c>
      <c r="P503" s="52">
        <f>IFERROR(Y286*1,"0")+IFERROR(Y287*1,"0")+IFERROR(Y291*1,"0")+IFERROR(Y292*1,"0")</f>
        <v>0</v>
      </c>
      <c r="Q503" s="52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503" s="52">
        <f>IFERROR(Y341*1,"0")+IFERROR(Y342*1,"0")+IFERROR(Y343*1,"0")</f>
        <v>0</v>
      </c>
      <c r="S503" s="52">
        <f>IFERROR(Y349*1,"0")+IFERROR(Y350*1,"0")+IFERROR(Y351*1,"0")+IFERROR(Y352*1,"0")+IFERROR(Y353*1,"0")+IFERROR(Y354*1,"0")+IFERROR(Y355*1,"0")+IFERROR(Y359*1,"0")+IFERROR(Y360*1,"0")+IFERROR(Y364*1,"0")+IFERROR(Y365*1,"0")+IFERROR(Y369*1,"0")</f>
        <v>0</v>
      </c>
      <c r="T503" s="52">
        <f>IFERROR(Y374*1,"0")+IFERROR(Y375*1,"0")+IFERROR(Y379*1,"0")+IFERROR(Y380*1,"0")+IFERROR(Y384*1,"0")+IFERROR(Y385*1,"0")+IFERROR(Y386*1,"0")</f>
        <v>0</v>
      </c>
      <c r="U503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52">
        <f>IFERROR(Y410*1,"0")+IFERROR(Y414*1,"0")+IFERROR(Y415*1,"0")+IFERROR(Y416*1,"0")+IFERROR(Y417*1,"0")</f>
        <v>0</v>
      </c>
      <c r="W503" s="52">
        <f>IFERROR(Y422*1,"0")</f>
        <v>0</v>
      </c>
      <c r="X503" s="52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0</v>
      </c>
      <c r="Y503" s="52">
        <f>IFERROR(Y464*1,"0")+IFERROR(Y465*1,"0")+IFERROR(Y466*1,"0")+IFERROR(Y467*1,"0")+IFERROR(Y471*1,"0")+IFERROR(Y472*1,"0")+IFERROR(Y476*1,"0")+IFERROR(Y480*1,"0")+IFERROR(Y484*1,"0")+IFERROR(Y485*1,"0")</f>
        <v>0</v>
      </c>
      <c r="Z503" s="52">
        <f>IFERROR(Y490*1,"0")</f>
        <v>0</v>
      </c>
      <c r="AB503" s="60"/>
      <c r="AC503" s="60"/>
      <c r="AF503" s="1"/>
    </row>
  </sheetData>
  <sheetProtection algorithmName="SHA-512" hashValue="3c4cUvZozU7TVPA1SdM19GCshhOvAsQB1EPtzWTv4zqEzxrVeIkc+Xmit+bi0X46iNC9C9PuwH+pK/tXCuxK6Q==" saltValue="EawbfKbxb5/y1jAmRhEHQg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2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P180:V180"/>
    <mergeCell ref="A180:O181"/>
    <mergeCell ref="P181:V181"/>
    <mergeCell ref="A182:Z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P229:V229"/>
    <mergeCell ref="A229:O230"/>
    <mergeCell ref="P230:V230"/>
    <mergeCell ref="A231:Z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P344:V344"/>
    <mergeCell ref="A344:O345"/>
    <mergeCell ref="P345:V345"/>
    <mergeCell ref="A346:Z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P370:V370"/>
    <mergeCell ref="A370:O371"/>
    <mergeCell ref="P371:V371"/>
    <mergeCell ref="A372:Z372"/>
    <mergeCell ref="A373:Z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P423:V423"/>
    <mergeCell ref="A423:O424"/>
    <mergeCell ref="P424:V424"/>
    <mergeCell ref="A425:Z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P459:V459"/>
    <mergeCell ref="A459:O460"/>
    <mergeCell ref="P460:V460"/>
    <mergeCell ref="A461:Z461"/>
    <mergeCell ref="A462:Z462"/>
    <mergeCell ref="A463:Z463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P493:V493"/>
    <mergeCell ref="A493:O498"/>
    <mergeCell ref="P494:V494"/>
    <mergeCell ref="P495:V495"/>
    <mergeCell ref="P496:V496"/>
    <mergeCell ref="P497:V497"/>
    <mergeCell ref="P498:V498"/>
    <mergeCell ref="A501:A502"/>
    <mergeCell ref="B501:B502"/>
    <mergeCell ref="C501:C502"/>
    <mergeCell ref="D501:D502"/>
    <mergeCell ref="E501:E502"/>
    <mergeCell ref="F501:F502"/>
    <mergeCell ref="G501:G502"/>
    <mergeCell ref="H501:H502"/>
    <mergeCell ref="I501:I502"/>
    <mergeCell ref="U501:U502"/>
    <mergeCell ref="V501:V502"/>
    <mergeCell ref="W501:W502"/>
    <mergeCell ref="X501:X502"/>
    <mergeCell ref="Y501:Y502"/>
    <mergeCell ref="Z501:Z502"/>
    <mergeCell ref="C500:H500"/>
    <mergeCell ref="I500:R500"/>
    <mergeCell ref="S500:T500"/>
    <mergeCell ref="U500:W500"/>
    <mergeCell ref="Y500:Z500"/>
    <mergeCell ref="J501:J502"/>
    <mergeCell ref="K501:K502"/>
    <mergeCell ref="L501:L502"/>
    <mergeCell ref="M501:M502"/>
    <mergeCell ref="O501:O502"/>
    <mergeCell ref="P501:P502"/>
    <mergeCell ref="Q501:Q502"/>
    <mergeCell ref="R501:R502"/>
    <mergeCell ref="S501:S502"/>
    <mergeCell ref="T501:T502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0 X449:X454 X443 X434 X432 X428 X422 X399 X396:X397 X384 X374 X365 X342:X343 X336 X334 X329:X330 X321:X323 X308:X310 X280 X240 X235:X236 X233 X227:X228 X222:X223 X220 X217:X218 X204:X211 X177 X172 X170 X166:X168 X137 X132 X126 X121 X116:X117 X114 X107 X102 X99 X91 X84 X78 X60 X40:X4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9"/>
    </row>
    <row r="3" spans="2:8" x14ac:dyDescent="0.2">
      <c r="B3" s="53" t="s">
        <v>759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760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761</v>
      </c>
      <c r="D6" s="53" t="s">
        <v>762</v>
      </c>
      <c r="E6" s="53" t="s">
        <v>45</v>
      </c>
    </row>
    <row r="8" spans="2:8" x14ac:dyDescent="0.2">
      <c r="B8" s="53" t="s">
        <v>76</v>
      </c>
      <c r="C8" s="53" t="s">
        <v>761</v>
      </c>
      <c r="D8" s="53" t="s">
        <v>45</v>
      </c>
      <c r="E8" s="53" t="s">
        <v>45</v>
      </c>
    </row>
    <row r="10" spans="2:8" x14ac:dyDescent="0.2">
      <c r="B10" s="53" t="s">
        <v>763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764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765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766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767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768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769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770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771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772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773</v>
      </c>
      <c r="C20" s="53" t="s">
        <v>45</v>
      </c>
      <c r="D20" s="53" t="s">
        <v>45</v>
      </c>
      <c r="E20" s="53" t="s">
        <v>45</v>
      </c>
    </row>
  </sheetData>
  <sheetProtection algorithmName="SHA-512" hashValue="TuA5dqvBPoxXiwBi31f/kj29OwRxJi+2epTUa89xPKQDtC2Hm7HqMt7XCkY13e84yhmWqNgkEm0NEeYHjEvidA==" saltValue="ueXSHp+Ulw04OMAuBYwmd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2026-01-15T10:44:53Z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