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FE6B887-55FA-4F68-9FD7-6F5BC471BDDF}" xr6:coauthVersionLast="47" xr6:coauthVersionMax="47" xr10:uidLastSave="{00000000-0000-0000-0000-000000000000}"/>
  <bookViews>
    <workbookView xWindow="120" yWindow="0" windowWidth="23775" windowHeight="1563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заказа'!$X$548:$X$548</definedName>
    <definedName name="GrossWeightTotalR">'Бланк заказа'!$Y$548:$Y$548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заказа'!$X$549:$X$549</definedName>
    <definedName name="PalletQtyTotalR">'Бланк заказа'!$Y$549:$Y$549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заказа'!$B$42:$B$42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заказа'!$B$50:$B$50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заказа'!$B$51:$B$51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заказа'!$B$58:$B$58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заказа'!$B$411:$B$411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заказа'!$B$419:$B$419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заказа'!$B$430:$B$430</definedName>
    <definedName name="ProductId221">'Бланк заказа'!$B$431:$B$431</definedName>
    <definedName name="ProductId222">'Бланк заказа'!$B$432:$B$432</definedName>
    <definedName name="ProductId223">'Бланк заказа'!$B$436:$B$436</definedName>
    <definedName name="ProductId224">'Бланк заказа'!$B$437:$B$437</definedName>
    <definedName name="ProductId225">'Бланк заказа'!$B$438:$B$438</definedName>
    <definedName name="ProductId226">'Бланк заказа'!$B$442:$B$442</definedName>
    <definedName name="ProductId227">'Бланк заказа'!$B$443:$B$443</definedName>
    <definedName name="ProductId228">'Бланк заказа'!$B$448:$B$448</definedName>
    <definedName name="ProductId229">'Бланк заказа'!$B$449:$B$449</definedName>
    <definedName name="ProductId23">'Бланк заказа'!$B$61:$B$61</definedName>
    <definedName name="ProductId230">'Бланк заказа'!$B$453:$B$453</definedName>
    <definedName name="ProductId231">'Бланк заказа'!$B$457:$B$457</definedName>
    <definedName name="ProductId232">'Бланк заказа'!$B$458:$B$458</definedName>
    <definedName name="ProductId233">'Бланк заказа'!$B$459:$B$459</definedName>
    <definedName name="ProductId234">'Бланк заказа'!$B$465:$B$465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заказа'!$B$474:$B$474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заказа'!$B$504:$B$504</definedName>
    <definedName name="ProductId256">'Бланк заказа'!$B$505:$B$505</definedName>
    <definedName name="ProductId257">'Бланк заказа'!$B$506:$B$506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заказа'!$B$516:$B$516</definedName>
    <definedName name="ProductId265">'Бланк заказа'!$B$522:$B$522</definedName>
    <definedName name="ProductId266">'Бланк заказа'!$B$526:$B$526</definedName>
    <definedName name="ProductId267">'Бланк заказа'!$B$530:$B$530</definedName>
    <definedName name="ProductId268">'Бланк заказа'!$B$534:$B$534</definedName>
    <definedName name="ProductId269">'Бланк заказа'!$B$538:$B$538</definedName>
    <definedName name="ProductId27">'Бланк заказа'!$B$68:$B$68</definedName>
    <definedName name="ProductId270">'Бланк заказа'!$B$539:$B$539</definedName>
    <definedName name="ProductId271">'Бланк заказа'!$B$544:$B$544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заказа'!$B$142:$B$142</definedName>
    <definedName name="ProductId62">'Бланк заказа'!$B$143:$B$143</definedName>
    <definedName name="ProductId63">'Бланк заказа'!$B$144:$B$144</definedName>
    <definedName name="ProductId64">'Бланк заказа'!$B$145:$B$145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заказа'!$B$192:$B$192</definedName>
    <definedName name="ProductId9">'Бланк заказа'!$B$38:$B$38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заказа'!$X$42:$X$42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заказа'!$X$50:$X$50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заказа'!$X$51:$X$51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заказа'!$X$58:$X$58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заказа'!$X$411:$X$411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заказа'!$X$419:$X$419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заказа'!$X$430:$X$430</definedName>
    <definedName name="SalesQty221">'Бланк заказа'!$X$431:$X$431</definedName>
    <definedName name="SalesQty222">'Бланк заказа'!$X$432:$X$432</definedName>
    <definedName name="SalesQty223">'Бланк заказа'!$X$436:$X$436</definedName>
    <definedName name="SalesQty224">'Бланк заказа'!$X$437:$X$437</definedName>
    <definedName name="SalesQty225">'Бланк заказа'!$X$438:$X$438</definedName>
    <definedName name="SalesQty226">'Бланк заказа'!$X$442:$X$442</definedName>
    <definedName name="SalesQty227">'Бланк заказа'!$X$443:$X$443</definedName>
    <definedName name="SalesQty228">'Бланк заказа'!$X$448:$X$448</definedName>
    <definedName name="SalesQty229">'Бланк заказа'!$X$449:$X$449</definedName>
    <definedName name="SalesQty23">'Бланк заказа'!$X$61:$X$61</definedName>
    <definedName name="SalesQty230">'Бланк заказа'!$X$453:$X$453</definedName>
    <definedName name="SalesQty231">'Бланк заказа'!$X$457:$X$457</definedName>
    <definedName name="SalesQty232">'Бланк заказа'!$X$458:$X$458</definedName>
    <definedName name="SalesQty233">'Бланк заказа'!$X$459:$X$459</definedName>
    <definedName name="SalesQty234">'Бланк заказа'!$X$465:$X$465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заказа'!$X$474:$X$474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заказа'!$X$504:$X$504</definedName>
    <definedName name="SalesQty256">'Бланк заказа'!$X$505:$X$505</definedName>
    <definedName name="SalesQty257">'Бланк заказа'!$X$506:$X$506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заказа'!$X$516:$X$516</definedName>
    <definedName name="SalesQty265">'Бланк заказа'!$X$522:$X$522</definedName>
    <definedName name="SalesQty266">'Бланк заказа'!$X$526:$X$526</definedName>
    <definedName name="SalesQty267">'Бланк заказа'!$X$530:$X$530</definedName>
    <definedName name="SalesQty268">'Бланк заказа'!$X$534:$X$534</definedName>
    <definedName name="SalesQty269">'Бланк заказа'!$X$538:$X$538</definedName>
    <definedName name="SalesQty27">'Бланк заказа'!$X$68:$X$68</definedName>
    <definedName name="SalesQty270">'Бланк заказа'!$X$539:$X$539</definedName>
    <definedName name="SalesQty271">'Бланк заказа'!$X$544:$X$544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заказа'!$X$142:$X$142</definedName>
    <definedName name="SalesQty62">'Бланк заказа'!$X$143:$X$143</definedName>
    <definedName name="SalesQty63">'Бланк заказа'!$X$144:$X$144</definedName>
    <definedName name="SalesQty64">'Бланк заказа'!$X$145:$X$145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заказа'!$X$192:$X$192</definedName>
    <definedName name="SalesQty9">'Бланк заказа'!$X$38:$X$38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заказа'!$Y$42:$Y$42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заказа'!$Y$50:$Y$50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заказа'!$Y$51:$Y$51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заказа'!$Y$58:$Y$58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заказа'!$Y$411:$Y$411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заказа'!$Y$419:$Y$419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заказа'!$Y$430:$Y$430</definedName>
    <definedName name="SalesRoundBox221">'Бланк заказа'!$Y$431:$Y$431</definedName>
    <definedName name="SalesRoundBox222">'Бланк заказа'!$Y$432:$Y$432</definedName>
    <definedName name="SalesRoundBox223">'Бланк заказа'!$Y$436:$Y$436</definedName>
    <definedName name="SalesRoundBox224">'Бланк заказа'!$Y$437:$Y$437</definedName>
    <definedName name="SalesRoundBox225">'Бланк заказа'!$Y$438:$Y$438</definedName>
    <definedName name="SalesRoundBox226">'Бланк заказа'!$Y$442:$Y$442</definedName>
    <definedName name="SalesRoundBox227">'Бланк заказа'!$Y$443:$Y$443</definedName>
    <definedName name="SalesRoundBox228">'Бланк заказа'!$Y$448:$Y$448</definedName>
    <definedName name="SalesRoundBox229">'Бланк заказа'!$Y$449:$Y$449</definedName>
    <definedName name="SalesRoundBox23">'Бланк заказа'!$Y$61:$Y$61</definedName>
    <definedName name="SalesRoundBox230">'Бланк заказа'!$Y$453:$Y$453</definedName>
    <definedName name="SalesRoundBox231">'Бланк заказа'!$Y$457:$Y$457</definedName>
    <definedName name="SalesRoundBox232">'Бланк заказа'!$Y$458:$Y$458</definedName>
    <definedName name="SalesRoundBox233">'Бланк заказа'!$Y$459:$Y$459</definedName>
    <definedName name="SalesRoundBox234">'Бланк заказа'!$Y$465:$Y$465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заказа'!$Y$474:$Y$474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заказа'!$Y$504:$Y$504</definedName>
    <definedName name="SalesRoundBox256">'Бланк заказа'!$Y$505:$Y$505</definedName>
    <definedName name="SalesRoundBox257">'Бланк заказа'!$Y$506:$Y$506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заказа'!$Y$516:$Y$516</definedName>
    <definedName name="SalesRoundBox265">'Бланк заказа'!$Y$522:$Y$522</definedName>
    <definedName name="SalesRoundBox266">'Бланк заказа'!$Y$526:$Y$526</definedName>
    <definedName name="SalesRoundBox267">'Бланк заказа'!$Y$530:$Y$530</definedName>
    <definedName name="SalesRoundBox268">'Бланк заказа'!$Y$534:$Y$534</definedName>
    <definedName name="SalesRoundBox269">'Бланк заказа'!$Y$538:$Y$538</definedName>
    <definedName name="SalesRoundBox27">'Бланк заказа'!$Y$68:$Y$68</definedName>
    <definedName name="SalesRoundBox270">'Бланк заказа'!$Y$539:$Y$539</definedName>
    <definedName name="SalesRoundBox271">'Бланк заказа'!$Y$544:$Y$544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заказа'!$Y$142:$Y$142</definedName>
    <definedName name="SalesRoundBox62">'Бланк заказа'!$Y$143:$Y$143</definedName>
    <definedName name="SalesRoundBox63">'Бланк заказа'!$Y$144:$Y$144</definedName>
    <definedName name="SalesRoundBox64">'Бланк заказа'!$Y$145:$Y$145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заказа'!$Y$192:$Y$192</definedName>
    <definedName name="SalesRoundBox9">'Бланк заказа'!$Y$38:$Y$38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заказа'!$W$42:$W$42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заказа'!$W$50:$W$50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заказа'!$W$51:$W$51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заказа'!$W$58:$W$58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заказа'!$W$411:$W$411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заказа'!$W$419:$W$419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заказа'!$W$430:$W$430</definedName>
    <definedName name="UnitOfMeasure221">'Бланк заказа'!$W$431:$W$431</definedName>
    <definedName name="UnitOfMeasure222">'Бланк заказа'!$W$432:$W$432</definedName>
    <definedName name="UnitOfMeasure223">'Бланк заказа'!$W$436:$W$436</definedName>
    <definedName name="UnitOfMeasure224">'Бланк заказа'!$W$437:$W$437</definedName>
    <definedName name="UnitOfMeasure225">'Бланк заказа'!$W$438:$W$438</definedName>
    <definedName name="UnitOfMeasure226">'Бланк заказа'!$W$442:$W$442</definedName>
    <definedName name="UnitOfMeasure227">'Бланк заказа'!$W$443:$W$443</definedName>
    <definedName name="UnitOfMeasure228">'Бланк заказа'!$W$448:$W$448</definedName>
    <definedName name="UnitOfMeasure229">'Бланк заказа'!$W$449:$W$449</definedName>
    <definedName name="UnitOfMeasure23">'Бланк заказа'!$W$61:$W$61</definedName>
    <definedName name="UnitOfMeasure230">'Бланк заказа'!$W$453:$W$453</definedName>
    <definedName name="UnitOfMeasure231">'Бланк заказа'!$W$457:$W$457</definedName>
    <definedName name="UnitOfMeasure232">'Бланк заказа'!$W$458:$W$458</definedName>
    <definedName name="UnitOfMeasure233">'Бланк заказа'!$W$459:$W$459</definedName>
    <definedName name="UnitOfMeasure234">'Бланк заказа'!$W$465:$W$465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заказа'!$W$474:$W$474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заказа'!$W$504:$W$504</definedName>
    <definedName name="UnitOfMeasure256">'Бланк заказа'!$W$505:$W$505</definedName>
    <definedName name="UnitOfMeasure257">'Бланк заказа'!$W$506:$W$506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заказа'!$W$516:$W$516</definedName>
    <definedName name="UnitOfMeasure265">'Бланк заказа'!$W$522:$W$522</definedName>
    <definedName name="UnitOfMeasure266">'Бланк заказа'!$W$526:$W$526</definedName>
    <definedName name="UnitOfMeasure267">'Бланк заказа'!$W$530:$W$530</definedName>
    <definedName name="UnitOfMeasure268">'Бланк заказа'!$W$534:$W$534</definedName>
    <definedName name="UnitOfMeasure269">'Бланк заказа'!$W$538:$W$538</definedName>
    <definedName name="UnitOfMeasure27">'Бланк заказа'!$W$68:$W$68</definedName>
    <definedName name="UnitOfMeasure270">'Бланк заказа'!$W$539:$W$539</definedName>
    <definedName name="UnitOfMeasure271">'Бланк заказа'!$W$544:$W$544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заказа'!$W$142:$W$142</definedName>
    <definedName name="UnitOfMeasure62">'Бланк заказа'!$W$143:$W$143</definedName>
    <definedName name="UnitOfMeasure63">'Бланк заказа'!$W$144:$W$144</definedName>
    <definedName name="UnitOfMeasure64">'Бланк заказа'!$W$145:$W$145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заказа'!$W$192:$W$192</definedName>
    <definedName name="UnitOfMeasure9">'Бланк заказа'!$W$38:$W$38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6" i="2" l="1"/>
  <c r="X545" i="2"/>
  <c r="BO544" i="2"/>
  <c r="BM544" i="2"/>
  <c r="Y544" i="2"/>
  <c r="AC557" i="2" s="1"/>
  <c r="P544" i="2"/>
  <c r="X541" i="2"/>
  <c r="X540" i="2"/>
  <c r="BO539" i="2"/>
  <c r="BM539" i="2"/>
  <c r="Y539" i="2"/>
  <c r="BP539" i="2" s="1"/>
  <c r="P539" i="2"/>
  <c r="BO538" i="2"/>
  <c r="BM538" i="2"/>
  <c r="Y538" i="2"/>
  <c r="BP538" i="2" s="1"/>
  <c r="P538" i="2"/>
  <c r="X536" i="2"/>
  <c r="X535" i="2"/>
  <c r="BO534" i="2"/>
  <c r="BM534" i="2"/>
  <c r="Y534" i="2"/>
  <c r="Y535" i="2" s="1"/>
  <c r="P534" i="2"/>
  <c r="X532" i="2"/>
  <c r="X531" i="2"/>
  <c r="BO530" i="2"/>
  <c r="BM530" i="2"/>
  <c r="Y530" i="2"/>
  <c r="Z530" i="2" s="1"/>
  <c r="Z531" i="2" s="1"/>
  <c r="P530" i="2"/>
  <c r="X528" i="2"/>
  <c r="X527" i="2"/>
  <c r="BO526" i="2"/>
  <c r="BM526" i="2"/>
  <c r="Y526" i="2"/>
  <c r="Y528" i="2" s="1"/>
  <c r="P526" i="2"/>
  <c r="X524" i="2"/>
  <c r="X523" i="2"/>
  <c r="BO522" i="2"/>
  <c r="BM522" i="2"/>
  <c r="Y522" i="2"/>
  <c r="Y523" i="2" s="1"/>
  <c r="P522" i="2"/>
  <c r="X518" i="2"/>
  <c r="X517" i="2"/>
  <c r="BO516" i="2"/>
  <c r="BM516" i="2"/>
  <c r="Y516" i="2"/>
  <c r="Z516" i="2" s="1"/>
  <c r="P516" i="2"/>
  <c r="BO515" i="2"/>
  <c r="BM515" i="2"/>
  <c r="Y515" i="2"/>
  <c r="BP515" i="2" s="1"/>
  <c r="P515" i="2"/>
  <c r="BO514" i="2"/>
  <c r="BN514" i="2"/>
  <c r="BM514" i="2"/>
  <c r="Y514" i="2"/>
  <c r="BP514" i="2" s="1"/>
  <c r="P514" i="2"/>
  <c r="BO513" i="2"/>
  <c r="BM513" i="2"/>
  <c r="Y513" i="2"/>
  <c r="BN513" i="2" s="1"/>
  <c r="P513" i="2"/>
  <c r="BO512" i="2"/>
  <c r="BM512" i="2"/>
  <c r="Y512" i="2"/>
  <c r="P512" i="2"/>
  <c r="BO511" i="2"/>
  <c r="BM511" i="2"/>
  <c r="Y511" i="2"/>
  <c r="Y517" i="2" s="1"/>
  <c r="P511" i="2"/>
  <c r="BO510" i="2"/>
  <c r="BM510" i="2"/>
  <c r="Z510" i="2"/>
  <c r="Y510" i="2"/>
  <c r="BP510" i="2" s="1"/>
  <c r="P510" i="2"/>
  <c r="X508" i="2"/>
  <c r="X507" i="2"/>
  <c r="BO506" i="2"/>
  <c r="BM506" i="2"/>
  <c r="Z506" i="2"/>
  <c r="Y506" i="2"/>
  <c r="BP506" i="2" s="1"/>
  <c r="P506" i="2"/>
  <c r="BO505" i="2"/>
  <c r="BM505" i="2"/>
  <c r="Y505" i="2"/>
  <c r="BP505" i="2" s="1"/>
  <c r="P505" i="2"/>
  <c r="BO504" i="2"/>
  <c r="BN504" i="2"/>
  <c r="BM504" i="2"/>
  <c r="Y504" i="2"/>
  <c r="Y508" i="2" s="1"/>
  <c r="P504" i="2"/>
  <c r="X502" i="2"/>
  <c r="X501" i="2"/>
  <c r="BO500" i="2"/>
  <c r="BM500" i="2"/>
  <c r="Y500" i="2"/>
  <c r="P500" i="2"/>
  <c r="BO499" i="2"/>
  <c r="BM499" i="2"/>
  <c r="Y499" i="2"/>
  <c r="BP499" i="2" s="1"/>
  <c r="P499" i="2"/>
  <c r="BO498" i="2"/>
  <c r="BM498" i="2"/>
  <c r="Z498" i="2"/>
  <c r="Y498" i="2"/>
  <c r="BN498" i="2" s="1"/>
  <c r="P498" i="2"/>
  <c r="BO497" i="2"/>
  <c r="BM497" i="2"/>
  <c r="Y497" i="2"/>
  <c r="P497" i="2"/>
  <c r="BO496" i="2"/>
  <c r="BM496" i="2"/>
  <c r="Z496" i="2"/>
  <c r="Y496" i="2"/>
  <c r="BP496" i="2" s="1"/>
  <c r="P496" i="2"/>
  <c r="BO495" i="2"/>
  <c r="BM495" i="2"/>
  <c r="Y495" i="2"/>
  <c r="BP495" i="2" s="1"/>
  <c r="P495" i="2"/>
  <c r="BO494" i="2"/>
  <c r="BN494" i="2"/>
  <c r="BM494" i="2"/>
  <c r="Y494" i="2"/>
  <c r="BP494" i="2" s="1"/>
  <c r="P494" i="2"/>
  <c r="BO493" i="2"/>
  <c r="BM493" i="2"/>
  <c r="Y493" i="2"/>
  <c r="BN493" i="2" s="1"/>
  <c r="P493" i="2"/>
  <c r="BO492" i="2"/>
  <c r="BM492" i="2"/>
  <c r="Y492" i="2"/>
  <c r="BN492" i="2" s="1"/>
  <c r="P492" i="2"/>
  <c r="X488" i="2"/>
  <c r="X487" i="2"/>
  <c r="BO486" i="2"/>
  <c r="BM486" i="2"/>
  <c r="Z486" i="2"/>
  <c r="Y486" i="2"/>
  <c r="BN486" i="2" s="1"/>
  <c r="P486" i="2"/>
  <c r="BO485" i="2"/>
  <c r="BN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P480" i="2"/>
  <c r="X477" i="2"/>
  <c r="Y476" i="2"/>
  <c r="X476" i="2"/>
  <c r="BO475" i="2"/>
  <c r="BM475" i="2"/>
  <c r="Y475" i="2"/>
  <c r="BP475" i="2" s="1"/>
  <c r="P475" i="2"/>
  <c r="BP474" i="2"/>
  <c r="BO474" i="2"/>
  <c r="BM474" i="2"/>
  <c r="Z474" i="2"/>
  <c r="Y474" i="2"/>
  <c r="Y477" i="2" s="1"/>
  <c r="P474" i="2"/>
  <c r="X472" i="2"/>
  <c r="X471" i="2"/>
  <c r="BO470" i="2"/>
  <c r="BM470" i="2"/>
  <c r="Y470" i="2"/>
  <c r="BP470" i="2" s="1"/>
  <c r="P470" i="2"/>
  <c r="BO469" i="2"/>
  <c r="BM469" i="2"/>
  <c r="Y469" i="2"/>
  <c r="P469" i="2"/>
  <c r="BO468" i="2"/>
  <c r="BM468" i="2"/>
  <c r="Y468" i="2"/>
  <c r="BN468" i="2" s="1"/>
  <c r="P468" i="2"/>
  <c r="BO467" i="2"/>
  <c r="BN467" i="2"/>
  <c r="BM467" i="2"/>
  <c r="Y467" i="2"/>
  <c r="Z467" i="2" s="1"/>
  <c r="P467" i="2"/>
  <c r="BO466" i="2"/>
  <c r="BM466" i="2"/>
  <c r="Y466" i="2"/>
  <c r="P466" i="2"/>
  <c r="BO465" i="2"/>
  <c r="BM465" i="2"/>
  <c r="Y465" i="2"/>
  <c r="P465" i="2"/>
  <c r="X461" i="2"/>
  <c r="X460" i="2"/>
  <c r="BO459" i="2"/>
  <c r="BM459" i="2"/>
  <c r="Y459" i="2"/>
  <c r="P459" i="2"/>
  <c r="BO458" i="2"/>
  <c r="BM458" i="2"/>
  <c r="Y458" i="2"/>
  <c r="BP458" i="2" s="1"/>
  <c r="P458" i="2"/>
  <c r="BO457" i="2"/>
  <c r="BM457" i="2"/>
  <c r="Y457" i="2"/>
  <c r="BP457" i="2" s="1"/>
  <c r="P457" i="2"/>
  <c r="X455" i="2"/>
  <c r="X454" i="2"/>
  <c r="BO453" i="2"/>
  <c r="BM453" i="2"/>
  <c r="Y453" i="2"/>
  <c r="P453" i="2"/>
  <c r="X451" i="2"/>
  <c r="X450" i="2"/>
  <c r="BO449" i="2"/>
  <c r="BM449" i="2"/>
  <c r="Y449" i="2"/>
  <c r="Z449" i="2" s="1"/>
  <c r="P449" i="2"/>
  <c r="BO448" i="2"/>
  <c r="BM448" i="2"/>
  <c r="Z448" i="2"/>
  <c r="Y448" i="2"/>
  <c r="P448" i="2"/>
  <c r="X445" i="2"/>
  <c r="X444" i="2"/>
  <c r="BO443" i="2"/>
  <c r="BM443" i="2"/>
  <c r="Y443" i="2"/>
  <c r="BN443" i="2" s="1"/>
  <c r="P443" i="2"/>
  <c r="BO442" i="2"/>
  <c r="BN442" i="2"/>
  <c r="BM442" i="2"/>
  <c r="Y442" i="2"/>
  <c r="Z442" i="2" s="1"/>
  <c r="P442" i="2"/>
  <c r="X440" i="2"/>
  <c r="X439" i="2"/>
  <c r="BO438" i="2"/>
  <c r="BM438" i="2"/>
  <c r="Z438" i="2"/>
  <c r="Y438" i="2"/>
  <c r="BN438" i="2" s="1"/>
  <c r="P438" i="2"/>
  <c r="BO437" i="2"/>
  <c r="BM437" i="2"/>
  <c r="Y437" i="2"/>
  <c r="P437" i="2"/>
  <c r="BO436" i="2"/>
  <c r="BM436" i="2"/>
  <c r="Z436" i="2"/>
  <c r="Y436" i="2"/>
  <c r="BP436" i="2" s="1"/>
  <c r="P436" i="2"/>
  <c r="X434" i="2"/>
  <c r="X433" i="2"/>
  <c r="BO432" i="2"/>
  <c r="BM432" i="2"/>
  <c r="Y432" i="2"/>
  <c r="BN432" i="2" s="1"/>
  <c r="P432" i="2"/>
  <c r="BP431" i="2"/>
  <c r="BO431" i="2"/>
  <c r="BM431" i="2"/>
  <c r="Y431" i="2"/>
  <c r="P431" i="2"/>
  <c r="BO430" i="2"/>
  <c r="BM430" i="2"/>
  <c r="Y430" i="2"/>
  <c r="BN430" i="2" s="1"/>
  <c r="P430" i="2"/>
  <c r="X428" i="2"/>
  <c r="X427" i="2"/>
  <c r="BO426" i="2"/>
  <c r="BM426" i="2"/>
  <c r="Y426" i="2"/>
  <c r="Z426" i="2" s="1"/>
  <c r="P426" i="2"/>
  <c r="BO425" i="2"/>
  <c r="BM425" i="2"/>
  <c r="Z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BP423" i="2" s="1"/>
  <c r="P423" i="2"/>
  <c r="BP422" i="2"/>
  <c r="BO422" i="2"/>
  <c r="BM422" i="2"/>
  <c r="Y422" i="2"/>
  <c r="BN422" i="2" s="1"/>
  <c r="P422" i="2"/>
  <c r="BO421" i="2"/>
  <c r="BM421" i="2"/>
  <c r="Z421" i="2"/>
  <c r="Y421" i="2"/>
  <c r="BN421" i="2" s="1"/>
  <c r="P421" i="2"/>
  <c r="BO420" i="2"/>
  <c r="BN420" i="2"/>
  <c r="BM420" i="2"/>
  <c r="Y420" i="2"/>
  <c r="BP420" i="2" s="1"/>
  <c r="P420" i="2"/>
  <c r="BO419" i="2"/>
  <c r="BM419" i="2"/>
  <c r="Y419" i="2"/>
  <c r="P419" i="2"/>
  <c r="X415" i="2"/>
  <c r="X414" i="2"/>
  <c r="BO413" i="2"/>
  <c r="BM413" i="2"/>
  <c r="Y413" i="2"/>
  <c r="BN413" i="2" s="1"/>
  <c r="P413" i="2"/>
  <c r="BP412" i="2"/>
  <c r="BO412" i="2"/>
  <c r="BN412" i="2"/>
  <c r="BM412" i="2"/>
  <c r="Z412" i="2"/>
  <c r="Y412" i="2"/>
  <c r="P412" i="2"/>
  <c r="BO411" i="2"/>
  <c r="BM411" i="2"/>
  <c r="Y411" i="2"/>
  <c r="BP411" i="2" s="1"/>
  <c r="P411" i="2"/>
  <c r="X408" i="2"/>
  <c r="X407" i="2"/>
  <c r="BO406" i="2"/>
  <c r="BM406" i="2"/>
  <c r="Y406" i="2"/>
  <c r="Y407" i="2" s="1"/>
  <c r="P406" i="2"/>
  <c r="BO405" i="2"/>
  <c r="BM405" i="2"/>
  <c r="Y405" i="2"/>
  <c r="BP405" i="2" s="1"/>
  <c r="P405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P398" i="2" s="1"/>
  <c r="P398" i="2"/>
  <c r="X396" i="2"/>
  <c r="X395" i="2"/>
  <c r="BO394" i="2"/>
  <c r="BN394" i="2"/>
  <c r="BM394" i="2"/>
  <c r="Z394" i="2"/>
  <c r="Y394" i="2"/>
  <c r="BP394" i="2" s="1"/>
  <c r="P394" i="2"/>
  <c r="BO393" i="2"/>
  <c r="BM393" i="2"/>
  <c r="Y393" i="2"/>
  <c r="BP393" i="2" s="1"/>
  <c r="P393" i="2"/>
  <c r="BO392" i="2"/>
  <c r="BM392" i="2"/>
  <c r="Z392" i="2"/>
  <c r="Y392" i="2"/>
  <c r="Y395" i="2" s="1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P386" i="2"/>
  <c r="BO386" i="2"/>
  <c r="BM386" i="2"/>
  <c r="Y386" i="2"/>
  <c r="P386" i="2"/>
  <c r="BO385" i="2"/>
  <c r="BM385" i="2"/>
  <c r="Y385" i="2"/>
  <c r="P385" i="2"/>
  <c r="X383" i="2"/>
  <c r="X382" i="2"/>
  <c r="BO381" i="2"/>
  <c r="BM381" i="2"/>
  <c r="Y381" i="2"/>
  <c r="BP381" i="2" s="1"/>
  <c r="P381" i="2"/>
  <c r="BP380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N374" i="2"/>
  <c r="BM374" i="2"/>
  <c r="Y374" i="2"/>
  <c r="Z374" i="2" s="1"/>
  <c r="P374" i="2"/>
  <c r="BO373" i="2"/>
  <c r="BM373" i="2"/>
  <c r="Y373" i="2"/>
  <c r="P373" i="2"/>
  <c r="BO372" i="2"/>
  <c r="BM372" i="2"/>
  <c r="Y372" i="2"/>
  <c r="P372" i="2"/>
  <c r="X370" i="2"/>
  <c r="X369" i="2"/>
  <c r="BO368" i="2"/>
  <c r="BN368" i="2"/>
  <c r="BM368" i="2"/>
  <c r="Z368" i="2"/>
  <c r="Y368" i="2"/>
  <c r="BP368" i="2" s="1"/>
  <c r="P368" i="2"/>
  <c r="BO367" i="2"/>
  <c r="BM367" i="2"/>
  <c r="Y367" i="2"/>
  <c r="BP367" i="2" s="1"/>
  <c r="P367" i="2"/>
  <c r="BO366" i="2"/>
  <c r="BN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Y369" i="2" s="1"/>
  <c r="P363" i="2"/>
  <c r="BO362" i="2"/>
  <c r="BM362" i="2"/>
  <c r="Y362" i="2"/>
  <c r="BP362" i="2" s="1"/>
  <c r="P362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N356" i="2"/>
  <c r="BM356" i="2"/>
  <c r="Y356" i="2"/>
  <c r="BP356" i="2" s="1"/>
  <c r="P356" i="2"/>
  <c r="BO355" i="2"/>
  <c r="BM355" i="2"/>
  <c r="Y355" i="2"/>
  <c r="BN355" i="2" s="1"/>
  <c r="P355" i="2"/>
  <c r="BO354" i="2"/>
  <c r="BM354" i="2"/>
  <c r="Y354" i="2"/>
  <c r="Z354" i="2" s="1"/>
  <c r="P354" i="2"/>
  <c r="BO353" i="2"/>
  <c r="BM353" i="2"/>
  <c r="Y353" i="2"/>
  <c r="P353" i="2"/>
  <c r="X350" i="2"/>
  <c r="X349" i="2"/>
  <c r="BO348" i="2"/>
  <c r="BN348" i="2"/>
  <c r="BM348" i="2"/>
  <c r="Z348" i="2"/>
  <c r="Y348" i="2"/>
  <c r="BP348" i="2" s="1"/>
  <c r="P348" i="2"/>
  <c r="BO347" i="2"/>
  <c r="BN347" i="2"/>
  <c r="BM347" i="2"/>
  <c r="Z347" i="2"/>
  <c r="Y347" i="2"/>
  <c r="BP347" i="2" s="1"/>
  <c r="P347" i="2"/>
  <c r="BO346" i="2"/>
  <c r="BM346" i="2"/>
  <c r="Y346" i="2"/>
  <c r="P346" i="2"/>
  <c r="X343" i="2"/>
  <c r="X342" i="2"/>
  <c r="BO341" i="2"/>
  <c r="BM341" i="2"/>
  <c r="Z341" i="2"/>
  <c r="Y341" i="2"/>
  <c r="BN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Z336" i="2" s="1"/>
  <c r="P336" i="2"/>
  <c r="BO335" i="2"/>
  <c r="BM335" i="2"/>
  <c r="Z335" i="2"/>
  <c r="Y335" i="2"/>
  <c r="BN335" i="2" s="1"/>
  <c r="P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BN332" i="2" s="1"/>
  <c r="P332" i="2"/>
  <c r="X329" i="2"/>
  <c r="X328" i="2"/>
  <c r="BO327" i="2"/>
  <c r="BM327" i="2"/>
  <c r="Z327" i="2"/>
  <c r="Y327" i="2"/>
  <c r="BP327" i="2" s="1"/>
  <c r="P327" i="2"/>
  <c r="BO326" i="2"/>
  <c r="BM326" i="2"/>
  <c r="Y326" i="2"/>
  <c r="P326" i="2"/>
  <c r="BO325" i="2"/>
  <c r="BM325" i="2"/>
  <c r="Y325" i="2"/>
  <c r="Y328" i="2" s="1"/>
  <c r="P325" i="2"/>
  <c r="X322" i="2"/>
  <c r="X321" i="2"/>
  <c r="BO320" i="2"/>
  <c r="BM320" i="2"/>
  <c r="Y320" i="2"/>
  <c r="Z320" i="2" s="1"/>
  <c r="P320" i="2"/>
  <c r="BO319" i="2"/>
  <c r="BM319" i="2"/>
  <c r="Z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Y322" i="2" s="1"/>
  <c r="P317" i="2"/>
  <c r="BO316" i="2"/>
  <c r="BM316" i="2"/>
  <c r="Z316" i="2"/>
  <c r="Y316" i="2"/>
  <c r="BP316" i="2" s="1"/>
  <c r="P316" i="2"/>
  <c r="X313" i="2"/>
  <c r="X312" i="2"/>
  <c r="BO311" i="2"/>
  <c r="BM311" i="2"/>
  <c r="Z311" i="2"/>
  <c r="Y311" i="2"/>
  <c r="BP311" i="2" s="1"/>
  <c r="P311" i="2"/>
  <c r="BO310" i="2"/>
  <c r="BM310" i="2"/>
  <c r="Y310" i="2"/>
  <c r="BP310" i="2" s="1"/>
  <c r="P310" i="2"/>
  <c r="BO309" i="2"/>
  <c r="BN309" i="2"/>
  <c r="BM309" i="2"/>
  <c r="Y309" i="2"/>
  <c r="BP309" i="2" s="1"/>
  <c r="P309" i="2"/>
  <c r="X307" i="2"/>
  <c r="X306" i="2"/>
  <c r="BO305" i="2"/>
  <c r="BM305" i="2"/>
  <c r="Y305" i="2"/>
  <c r="Y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N297" i="2"/>
  <c r="BM297" i="2"/>
  <c r="Y297" i="2"/>
  <c r="BP297" i="2" s="1"/>
  <c r="P297" i="2"/>
  <c r="BO296" i="2"/>
  <c r="BM296" i="2"/>
  <c r="Z296" i="2"/>
  <c r="Y296" i="2"/>
  <c r="BN296" i="2" s="1"/>
  <c r="P296" i="2"/>
  <c r="BO295" i="2"/>
  <c r="BM295" i="2"/>
  <c r="Y295" i="2"/>
  <c r="Z295" i="2" s="1"/>
  <c r="P295" i="2"/>
  <c r="BO294" i="2"/>
  <c r="BM294" i="2"/>
  <c r="Y294" i="2"/>
  <c r="BN294" i="2" s="1"/>
  <c r="P294" i="2"/>
  <c r="BO293" i="2"/>
  <c r="BM293" i="2"/>
  <c r="Y293" i="2"/>
  <c r="P293" i="2"/>
  <c r="BP292" i="2"/>
  <c r="BO292" i="2"/>
  <c r="BN292" i="2"/>
  <c r="BM292" i="2"/>
  <c r="Z292" i="2"/>
  <c r="Y292" i="2"/>
  <c r="P292" i="2"/>
  <c r="BO291" i="2"/>
  <c r="BM291" i="2"/>
  <c r="Y291" i="2"/>
  <c r="BN291" i="2" s="1"/>
  <c r="P291" i="2"/>
  <c r="X288" i="2"/>
  <c r="X287" i="2"/>
  <c r="BO286" i="2"/>
  <c r="BM286" i="2"/>
  <c r="Y286" i="2"/>
  <c r="BP286" i="2" s="1"/>
  <c r="P286" i="2"/>
  <c r="BO285" i="2"/>
  <c r="BM285" i="2"/>
  <c r="Y285" i="2"/>
  <c r="P285" i="2"/>
  <c r="X283" i="2"/>
  <c r="X282" i="2"/>
  <c r="BO281" i="2"/>
  <c r="BM281" i="2"/>
  <c r="Y281" i="2"/>
  <c r="BP281" i="2" s="1"/>
  <c r="P281" i="2"/>
  <c r="BO280" i="2"/>
  <c r="BM280" i="2"/>
  <c r="Z280" i="2"/>
  <c r="Y280" i="2"/>
  <c r="BN280" i="2" s="1"/>
  <c r="P280" i="2"/>
  <c r="BO279" i="2"/>
  <c r="BN279" i="2"/>
  <c r="BM279" i="2"/>
  <c r="Z279" i="2"/>
  <c r="Y279" i="2"/>
  <c r="BP279" i="2" s="1"/>
  <c r="P279" i="2"/>
  <c r="BO278" i="2"/>
  <c r="BN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N274" i="2"/>
  <c r="BM274" i="2"/>
  <c r="Y274" i="2"/>
  <c r="Z274" i="2" s="1"/>
  <c r="P274" i="2"/>
  <c r="BP273" i="2"/>
  <c r="BO273" i="2"/>
  <c r="BM273" i="2"/>
  <c r="Y273" i="2"/>
  <c r="BN273" i="2" s="1"/>
  <c r="P273" i="2"/>
  <c r="BO272" i="2"/>
  <c r="BN272" i="2"/>
  <c r="BM272" i="2"/>
  <c r="Z272" i="2"/>
  <c r="Y272" i="2"/>
  <c r="BP272" i="2" s="1"/>
  <c r="P272" i="2"/>
  <c r="BO271" i="2"/>
  <c r="BM271" i="2"/>
  <c r="Y271" i="2"/>
  <c r="P271" i="2"/>
  <c r="BO270" i="2"/>
  <c r="BM270" i="2"/>
  <c r="Y270" i="2"/>
  <c r="Z270" i="2" s="1"/>
  <c r="P270" i="2"/>
  <c r="X268" i="2"/>
  <c r="X267" i="2"/>
  <c r="BO266" i="2"/>
  <c r="BM266" i="2"/>
  <c r="Y266" i="2"/>
  <c r="P266" i="2"/>
  <c r="BO265" i="2"/>
  <c r="BM265" i="2"/>
  <c r="Z265" i="2"/>
  <c r="Y265" i="2"/>
  <c r="BN265" i="2" s="1"/>
  <c r="P265" i="2"/>
  <c r="BO264" i="2"/>
  <c r="BN264" i="2"/>
  <c r="BM264" i="2"/>
  <c r="Y264" i="2"/>
  <c r="Z264" i="2" s="1"/>
  <c r="P264" i="2"/>
  <c r="BO263" i="2"/>
  <c r="BM263" i="2"/>
  <c r="Y263" i="2"/>
  <c r="P263" i="2"/>
  <c r="BO262" i="2"/>
  <c r="BM262" i="2"/>
  <c r="Y262" i="2"/>
  <c r="BP262" i="2" s="1"/>
  <c r="P262" i="2"/>
  <c r="BP261" i="2"/>
  <c r="BO261" i="2"/>
  <c r="BM261" i="2"/>
  <c r="Z261" i="2"/>
  <c r="Y261" i="2"/>
  <c r="BN261" i="2" s="1"/>
  <c r="P261" i="2"/>
  <c r="BO260" i="2"/>
  <c r="BM260" i="2"/>
  <c r="Y260" i="2"/>
  <c r="BN260" i="2" s="1"/>
  <c r="P260" i="2"/>
  <c r="BO259" i="2"/>
  <c r="BM259" i="2"/>
  <c r="Z259" i="2"/>
  <c r="Y259" i="2"/>
  <c r="BN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X246" i="2"/>
  <c r="X245" i="2"/>
  <c r="BO244" i="2"/>
  <c r="BM244" i="2"/>
  <c r="Y244" i="2"/>
  <c r="P244" i="2"/>
  <c r="X242" i="2"/>
  <c r="Y241" i="2"/>
  <c r="X241" i="2"/>
  <c r="BP240" i="2"/>
  <c r="BO240" i="2"/>
  <c r="BM240" i="2"/>
  <c r="Y240" i="2"/>
  <c r="BN240" i="2" s="1"/>
  <c r="P240" i="2"/>
  <c r="BO239" i="2"/>
  <c r="BN239" i="2"/>
  <c r="BM239" i="2"/>
  <c r="Z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N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N219" i="2"/>
  <c r="BM219" i="2"/>
  <c r="Z219" i="2"/>
  <c r="Y219" i="2"/>
  <c r="BP219" i="2" s="1"/>
  <c r="P219" i="2"/>
  <c r="BP218" i="2"/>
  <c r="BO218" i="2"/>
  <c r="BM218" i="2"/>
  <c r="Z218" i="2"/>
  <c r="Y218" i="2"/>
  <c r="BN218" i="2" s="1"/>
  <c r="P218" i="2"/>
  <c r="BO217" i="2"/>
  <c r="BM217" i="2"/>
  <c r="Y217" i="2"/>
  <c r="Z217" i="2" s="1"/>
  <c r="P217" i="2"/>
  <c r="BO216" i="2"/>
  <c r="BM216" i="2"/>
  <c r="Z216" i="2"/>
  <c r="Y216" i="2"/>
  <c r="BN216" i="2" s="1"/>
  <c r="P216" i="2"/>
  <c r="BO215" i="2"/>
  <c r="BM215" i="2"/>
  <c r="Y215" i="2"/>
  <c r="P215" i="2"/>
  <c r="BO214" i="2"/>
  <c r="BM214" i="2"/>
  <c r="Y214" i="2"/>
  <c r="P214" i="2"/>
  <c r="BO213" i="2"/>
  <c r="BM213" i="2"/>
  <c r="Y213" i="2"/>
  <c r="P213" i="2"/>
  <c r="X211" i="2"/>
  <c r="Y210" i="2"/>
  <c r="X210" i="2"/>
  <c r="BO209" i="2"/>
  <c r="BN209" i="2"/>
  <c r="BM209" i="2"/>
  <c r="Z209" i="2"/>
  <c r="Z210" i="2" s="1"/>
  <c r="Y209" i="2"/>
  <c r="BP209" i="2" s="1"/>
  <c r="P209" i="2"/>
  <c r="X206" i="2"/>
  <c r="X205" i="2"/>
  <c r="BO204" i="2"/>
  <c r="BN204" i="2"/>
  <c r="BM204" i="2"/>
  <c r="Y204" i="2"/>
  <c r="BP204" i="2" s="1"/>
  <c r="P204" i="2"/>
  <c r="BO203" i="2"/>
  <c r="BM203" i="2"/>
  <c r="Y203" i="2"/>
  <c r="P203" i="2"/>
  <c r="BO202" i="2"/>
  <c r="BN202" i="2"/>
  <c r="BM202" i="2"/>
  <c r="Y202" i="2"/>
  <c r="BP202" i="2" s="1"/>
  <c r="P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N199" i="2" s="1"/>
  <c r="P199" i="2"/>
  <c r="BO198" i="2"/>
  <c r="BN198" i="2"/>
  <c r="BM198" i="2"/>
  <c r="Y198" i="2"/>
  <c r="P198" i="2"/>
  <c r="X194" i="2"/>
  <c r="X193" i="2"/>
  <c r="BO192" i="2"/>
  <c r="BM192" i="2"/>
  <c r="Y192" i="2"/>
  <c r="P192" i="2"/>
  <c r="X190" i="2"/>
  <c r="Y189" i="2"/>
  <c r="X189" i="2"/>
  <c r="BO188" i="2"/>
  <c r="BM188" i="2"/>
  <c r="Y188" i="2"/>
  <c r="Y190" i="2" s="1"/>
  <c r="P188" i="2"/>
  <c r="X186" i="2"/>
  <c r="X185" i="2"/>
  <c r="BO184" i="2"/>
  <c r="BM184" i="2"/>
  <c r="Z184" i="2"/>
  <c r="Y184" i="2"/>
  <c r="BP184" i="2" s="1"/>
  <c r="P184" i="2"/>
  <c r="BO183" i="2"/>
  <c r="BM183" i="2"/>
  <c r="Z183" i="2"/>
  <c r="Y183" i="2"/>
  <c r="BN183" i="2" s="1"/>
  <c r="P183" i="2"/>
  <c r="BO182" i="2"/>
  <c r="BM182" i="2"/>
  <c r="Y182" i="2"/>
  <c r="P182" i="2"/>
  <c r="X180" i="2"/>
  <c r="X179" i="2"/>
  <c r="BO178" i="2"/>
  <c r="BM178" i="2"/>
  <c r="Y178" i="2"/>
  <c r="P178" i="2"/>
  <c r="BO177" i="2"/>
  <c r="BM177" i="2"/>
  <c r="Y177" i="2"/>
  <c r="P177" i="2"/>
  <c r="BO176" i="2"/>
  <c r="BN176" i="2"/>
  <c r="BM176" i="2"/>
  <c r="Y176" i="2"/>
  <c r="Z176" i="2" s="1"/>
  <c r="P176" i="2"/>
  <c r="BP175" i="2"/>
  <c r="BO175" i="2"/>
  <c r="BM175" i="2"/>
  <c r="Y175" i="2"/>
  <c r="BN175" i="2" s="1"/>
  <c r="P175" i="2"/>
  <c r="BO174" i="2"/>
  <c r="BM174" i="2"/>
  <c r="Z174" i="2"/>
  <c r="Y174" i="2"/>
  <c r="P174" i="2"/>
  <c r="BO173" i="2"/>
  <c r="BM173" i="2"/>
  <c r="Y173" i="2"/>
  <c r="P173" i="2"/>
  <c r="BO172" i="2"/>
  <c r="BM172" i="2"/>
  <c r="Y172" i="2"/>
  <c r="P172" i="2"/>
  <c r="BP171" i="2"/>
  <c r="BO171" i="2"/>
  <c r="BN171" i="2"/>
  <c r="BM171" i="2"/>
  <c r="Z171" i="2"/>
  <c r="Y171" i="2"/>
  <c r="P171" i="2"/>
  <c r="BO170" i="2"/>
  <c r="BM170" i="2"/>
  <c r="Z170" i="2"/>
  <c r="Y170" i="2"/>
  <c r="BN170" i="2" s="1"/>
  <c r="P170" i="2"/>
  <c r="BO169" i="2"/>
  <c r="BM169" i="2"/>
  <c r="Y169" i="2"/>
  <c r="BP169" i="2" s="1"/>
  <c r="P169" i="2"/>
  <c r="BP168" i="2"/>
  <c r="BO168" i="2"/>
  <c r="BM168" i="2"/>
  <c r="Y168" i="2"/>
  <c r="BN168" i="2" s="1"/>
  <c r="P168" i="2"/>
  <c r="X166" i="2"/>
  <c r="X165" i="2"/>
  <c r="BO164" i="2"/>
  <c r="BN164" i="2"/>
  <c r="BM164" i="2"/>
  <c r="Z164" i="2"/>
  <c r="Y164" i="2"/>
  <c r="BP164" i="2" s="1"/>
  <c r="P164" i="2"/>
  <c r="BO163" i="2"/>
  <c r="BM163" i="2"/>
  <c r="Y163" i="2"/>
  <c r="P163" i="2"/>
  <c r="X161" i="2"/>
  <c r="X160" i="2"/>
  <c r="BP159" i="2"/>
  <c r="BO159" i="2"/>
  <c r="BM159" i="2"/>
  <c r="Y159" i="2"/>
  <c r="Z159" i="2" s="1"/>
  <c r="P159" i="2"/>
  <c r="BO158" i="2"/>
  <c r="BM158" i="2"/>
  <c r="Y158" i="2"/>
  <c r="BP158" i="2" s="1"/>
  <c r="P158" i="2"/>
  <c r="BO157" i="2"/>
  <c r="BM157" i="2"/>
  <c r="Y157" i="2"/>
  <c r="Y161" i="2" s="1"/>
  <c r="P157" i="2"/>
  <c r="X154" i="2"/>
  <c r="X153" i="2"/>
  <c r="BO152" i="2"/>
  <c r="BM152" i="2"/>
  <c r="Y152" i="2"/>
  <c r="Z152" i="2" s="1"/>
  <c r="Z153" i="2" s="1"/>
  <c r="P152" i="2"/>
  <c r="X150" i="2"/>
  <c r="X149" i="2"/>
  <c r="BO148" i="2"/>
  <c r="BM148" i="2"/>
  <c r="Y148" i="2"/>
  <c r="BN148" i="2" s="1"/>
  <c r="P148" i="2"/>
  <c r="BP147" i="2"/>
  <c r="BO147" i="2"/>
  <c r="BN147" i="2"/>
  <c r="BM147" i="2"/>
  <c r="Z147" i="2"/>
  <c r="Y147" i="2"/>
  <c r="P147" i="2"/>
  <c r="BO146" i="2"/>
  <c r="BM146" i="2"/>
  <c r="Z146" i="2"/>
  <c r="Y146" i="2"/>
  <c r="BP146" i="2" s="1"/>
  <c r="P146" i="2"/>
  <c r="BO145" i="2"/>
  <c r="BM145" i="2"/>
  <c r="Y145" i="2"/>
  <c r="BN145" i="2" s="1"/>
  <c r="P145" i="2"/>
  <c r="BO144" i="2"/>
  <c r="BM144" i="2"/>
  <c r="Z144" i="2"/>
  <c r="Y144" i="2"/>
  <c r="BN144" i="2" s="1"/>
  <c r="P144" i="2"/>
  <c r="BP143" i="2"/>
  <c r="BO143" i="2"/>
  <c r="BM143" i="2"/>
  <c r="Z143" i="2"/>
  <c r="Y143" i="2"/>
  <c r="BN143" i="2" s="1"/>
  <c r="P143" i="2"/>
  <c r="BO142" i="2"/>
  <c r="BM142" i="2"/>
  <c r="Y142" i="2"/>
  <c r="Y149" i="2" s="1"/>
  <c r="P142" i="2"/>
  <c r="Y139" i="2"/>
  <c r="X139" i="2"/>
  <c r="X138" i="2"/>
  <c r="BP137" i="2"/>
  <c r="BO137" i="2"/>
  <c r="BM137" i="2"/>
  <c r="Z137" i="2"/>
  <c r="Z138" i="2" s="1"/>
  <c r="Y137" i="2"/>
  <c r="Y138" i="2" s="1"/>
  <c r="P137" i="2"/>
  <c r="X135" i="2"/>
  <c r="X134" i="2"/>
  <c r="BO133" i="2"/>
  <c r="BM133" i="2"/>
  <c r="Y133" i="2"/>
  <c r="Z133" i="2" s="1"/>
  <c r="P133" i="2"/>
  <c r="BO132" i="2"/>
  <c r="BM132" i="2"/>
  <c r="Y132" i="2"/>
  <c r="P132" i="2"/>
  <c r="X130" i="2"/>
  <c r="Y129" i="2"/>
  <c r="X129" i="2"/>
  <c r="BO128" i="2"/>
  <c r="BM128" i="2"/>
  <c r="Z128" i="2"/>
  <c r="Z129" i="2" s="1"/>
  <c r="Y128" i="2"/>
  <c r="Y130" i="2" s="1"/>
  <c r="P128" i="2"/>
  <c r="X125" i="2"/>
  <c r="X124" i="2"/>
  <c r="BO123" i="2"/>
  <c r="BM123" i="2"/>
  <c r="Y123" i="2"/>
  <c r="Y124" i="2" s="1"/>
  <c r="P123" i="2"/>
  <c r="X121" i="2"/>
  <c r="X120" i="2"/>
  <c r="BO119" i="2"/>
  <c r="BN119" i="2"/>
  <c r="BM119" i="2"/>
  <c r="Y119" i="2"/>
  <c r="P119" i="2"/>
  <c r="BO118" i="2"/>
  <c r="BM118" i="2"/>
  <c r="Y118" i="2"/>
  <c r="BN118" i="2" s="1"/>
  <c r="P118" i="2"/>
  <c r="BO117" i="2"/>
  <c r="BM117" i="2"/>
  <c r="Z117" i="2"/>
  <c r="Y117" i="2"/>
  <c r="BP117" i="2" s="1"/>
  <c r="P117" i="2"/>
  <c r="BP116" i="2"/>
  <c r="BO116" i="2"/>
  <c r="BM116" i="2"/>
  <c r="Z116" i="2"/>
  <c r="Y116" i="2"/>
  <c r="BN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P109" i="2"/>
  <c r="BO108" i="2"/>
  <c r="BM108" i="2"/>
  <c r="Y108" i="2"/>
  <c r="BN108" i="2" s="1"/>
  <c r="P108" i="2"/>
  <c r="X106" i="2"/>
  <c r="X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Z102" i="2" s="1"/>
  <c r="P102" i="2"/>
  <c r="BO101" i="2"/>
  <c r="BN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BP98" i="2" s="1"/>
  <c r="P98" i="2"/>
  <c r="X95" i="2"/>
  <c r="X94" i="2"/>
  <c r="BO93" i="2"/>
  <c r="BM93" i="2"/>
  <c r="Z93" i="2"/>
  <c r="Y93" i="2"/>
  <c r="BP93" i="2" s="1"/>
  <c r="P93" i="2"/>
  <c r="BO92" i="2"/>
  <c r="BN92" i="2"/>
  <c r="BM92" i="2"/>
  <c r="Y92" i="2"/>
  <c r="BP92" i="2" s="1"/>
  <c r="P92" i="2"/>
  <c r="BO91" i="2"/>
  <c r="BM91" i="2"/>
  <c r="Y91" i="2"/>
  <c r="Z91" i="2" s="1"/>
  <c r="P91" i="2"/>
  <c r="BO90" i="2"/>
  <c r="BM90" i="2"/>
  <c r="Y90" i="2"/>
  <c r="Y95" i="2" s="1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Z83" i="2"/>
  <c r="Y83" i="2"/>
  <c r="P83" i="2"/>
  <c r="X80" i="2"/>
  <c r="X79" i="2"/>
  <c r="BO78" i="2"/>
  <c r="BM78" i="2"/>
  <c r="Y78" i="2"/>
  <c r="BP78" i="2" s="1"/>
  <c r="P78" i="2"/>
  <c r="BO77" i="2"/>
  <c r="BM77" i="2"/>
  <c r="Z77" i="2"/>
  <c r="Y77" i="2"/>
  <c r="BP77" i="2" s="1"/>
  <c r="P77" i="2"/>
  <c r="X75" i="2"/>
  <c r="Y74" i="2"/>
  <c r="X74" i="2"/>
  <c r="BO73" i="2"/>
  <c r="BN73" i="2"/>
  <c r="BM73" i="2"/>
  <c r="Y73" i="2"/>
  <c r="BP73" i="2" s="1"/>
  <c r="P73" i="2"/>
  <c r="BP72" i="2"/>
  <c r="BO72" i="2"/>
  <c r="BN72" i="2"/>
  <c r="BM72" i="2"/>
  <c r="Z72" i="2"/>
  <c r="Y72" i="2"/>
  <c r="Y75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P66" i="2" s="1"/>
  <c r="P66" i="2"/>
  <c r="BO65" i="2"/>
  <c r="BM65" i="2"/>
  <c r="Y65" i="2"/>
  <c r="Z65" i="2" s="1"/>
  <c r="P65" i="2"/>
  <c r="X63" i="2"/>
  <c r="X62" i="2"/>
  <c r="BO61" i="2"/>
  <c r="BM61" i="2"/>
  <c r="Y61" i="2"/>
  <c r="P61" i="2"/>
  <c r="BO60" i="2"/>
  <c r="BM60" i="2"/>
  <c r="Z60" i="2"/>
  <c r="Y60" i="2"/>
  <c r="BP60" i="2" s="1"/>
  <c r="P60" i="2"/>
  <c r="BO59" i="2"/>
  <c r="BM59" i="2"/>
  <c r="Y59" i="2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X53" i="2"/>
  <c r="X52" i="2"/>
  <c r="BO51" i="2"/>
  <c r="BM51" i="2"/>
  <c r="Y51" i="2"/>
  <c r="Z51" i="2" s="1"/>
  <c r="P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P48" i="2"/>
  <c r="X44" i="2"/>
  <c r="X43" i="2"/>
  <c r="BO42" i="2"/>
  <c r="BM42" i="2"/>
  <c r="Y42" i="2"/>
  <c r="BN42" i="2" s="1"/>
  <c r="P42" i="2"/>
  <c r="BO41" i="2"/>
  <c r="BM41" i="2"/>
  <c r="Z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P38" i="2"/>
  <c r="BO37" i="2"/>
  <c r="BM37" i="2"/>
  <c r="Z37" i="2"/>
  <c r="Y37" i="2"/>
  <c r="BN37" i="2" s="1"/>
  <c r="P37" i="2"/>
  <c r="X33" i="2"/>
  <c r="X32" i="2"/>
  <c r="BO31" i="2"/>
  <c r="BN31" i="2"/>
  <c r="BM31" i="2"/>
  <c r="Y31" i="2"/>
  <c r="BP31" i="2" s="1"/>
  <c r="P31" i="2"/>
  <c r="BO30" i="2"/>
  <c r="BM30" i="2"/>
  <c r="Y30" i="2"/>
  <c r="BN30" i="2" s="1"/>
  <c r="P30" i="2"/>
  <c r="BO29" i="2"/>
  <c r="BM29" i="2"/>
  <c r="Z29" i="2"/>
  <c r="Y29" i="2"/>
  <c r="BN29" i="2" s="1"/>
  <c r="P29" i="2"/>
  <c r="BO28" i="2"/>
  <c r="BN28" i="2"/>
  <c r="BM28" i="2"/>
  <c r="Y28" i="2"/>
  <c r="Z28" i="2" s="1"/>
  <c r="P28" i="2"/>
  <c r="BO27" i="2"/>
  <c r="BM27" i="2"/>
  <c r="Y27" i="2"/>
  <c r="BN27" i="2" s="1"/>
  <c r="P27" i="2"/>
  <c r="X25" i="2"/>
  <c r="Y24" i="2"/>
  <c r="X24" i="2"/>
  <c r="BO23" i="2"/>
  <c r="BN23" i="2"/>
  <c r="BM23" i="2"/>
  <c r="Y23" i="2"/>
  <c r="BP23" i="2" s="1"/>
  <c r="P23" i="2"/>
  <c r="BP22" i="2"/>
  <c r="BO22" i="2"/>
  <c r="BM22" i="2"/>
  <c r="Z22" i="2"/>
  <c r="Y22" i="2"/>
  <c r="Y25" i="2" s="1"/>
  <c r="P22" i="2"/>
  <c r="H10" i="2"/>
  <c r="A9" i="2"/>
  <c r="F10" i="2" s="1"/>
  <c r="D7" i="2"/>
  <c r="Q6" i="2"/>
  <c r="P2" i="2"/>
  <c r="F9" i="2" l="1"/>
  <c r="Y94" i="2"/>
  <c r="BP99" i="2"/>
  <c r="Y165" i="2"/>
  <c r="BP163" i="2"/>
  <c r="Z163" i="2"/>
  <c r="Z165" i="2" s="1"/>
  <c r="Y166" i="2"/>
  <c r="BP173" i="2"/>
  <c r="Z173" i="2"/>
  <c r="BP215" i="2"/>
  <c r="Z215" i="2"/>
  <c r="BP266" i="2"/>
  <c r="BN266" i="2"/>
  <c r="Y454" i="2"/>
  <c r="BN453" i="2"/>
  <c r="BP465" i="2"/>
  <c r="BN465" i="2"/>
  <c r="Z465" i="2"/>
  <c r="BP497" i="2"/>
  <c r="BN497" i="2"/>
  <c r="Z512" i="2"/>
  <c r="BN512" i="2"/>
  <c r="H9" i="2"/>
  <c r="BN22" i="2"/>
  <c r="BP28" i="2"/>
  <c r="BP41" i="2"/>
  <c r="BN57" i="2"/>
  <c r="BN60" i="2"/>
  <c r="BN67" i="2"/>
  <c r="BN93" i="2"/>
  <c r="BN103" i="2"/>
  <c r="BP108" i="2"/>
  <c r="BN111" i="2"/>
  <c r="BN117" i="2"/>
  <c r="Z123" i="2"/>
  <c r="Z124" i="2" s="1"/>
  <c r="BP123" i="2"/>
  <c r="Y125" i="2"/>
  <c r="BP144" i="2"/>
  <c r="Z148" i="2"/>
  <c r="BP148" i="2"/>
  <c r="BP174" i="2"/>
  <c r="BN174" i="2"/>
  <c r="BP198" i="2"/>
  <c r="Z198" i="2"/>
  <c r="BP216" i="2"/>
  <c r="Z225" i="2"/>
  <c r="BN225" i="2"/>
  <c r="BP226" i="2"/>
  <c r="BN226" i="2"/>
  <c r="Z226" i="2"/>
  <c r="BP293" i="2"/>
  <c r="BN293" i="2"/>
  <c r="Z293" i="2"/>
  <c r="BN334" i="2"/>
  <c r="BP334" i="2"/>
  <c r="Z334" i="2"/>
  <c r="Z380" i="2"/>
  <c r="BN380" i="2"/>
  <c r="BP469" i="2"/>
  <c r="BN469" i="2"/>
  <c r="BN500" i="2"/>
  <c r="BP500" i="2"/>
  <c r="Z500" i="2"/>
  <c r="BP58" i="2"/>
  <c r="BP178" i="2"/>
  <c r="BN178" i="2"/>
  <c r="Z254" i="2"/>
  <c r="BN254" i="2"/>
  <c r="BN285" i="2"/>
  <c r="Y287" i="2"/>
  <c r="Z285" i="2"/>
  <c r="Z364" i="2"/>
  <c r="BN364" i="2"/>
  <c r="Z557" i="2"/>
  <c r="BP480" i="2"/>
  <c r="Y481" i="2"/>
  <c r="J9" i="2"/>
  <c r="Z23" i="2"/>
  <c r="Z31" i="2"/>
  <c r="BN40" i="2"/>
  <c r="BN58" i="2"/>
  <c r="Y63" i="2"/>
  <c r="Z73" i="2"/>
  <c r="Z86" i="2"/>
  <c r="BN90" i="2"/>
  <c r="BN99" i="2"/>
  <c r="BN112" i="2"/>
  <c r="BN137" i="2"/>
  <c r="BN146" i="2"/>
  <c r="BN158" i="2"/>
  <c r="BN163" i="2"/>
  <c r="BN173" i="2"/>
  <c r="BP183" i="2"/>
  <c r="Z192" i="2"/>
  <c r="Z193" i="2" s="1"/>
  <c r="Y194" i="2"/>
  <c r="BN192" i="2"/>
  <c r="Y193" i="2"/>
  <c r="Z200" i="2"/>
  <c r="BN200" i="2"/>
  <c r="BN215" i="2"/>
  <c r="BN250" i="2"/>
  <c r="Z250" i="2"/>
  <c r="BN263" i="2"/>
  <c r="BP263" i="2"/>
  <c r="BN271" i="2"/>
  <c r="BP271" i="2"/>
  <c r="Z271" i="2"/>
  <c r="BN275" i="2"/>
  <c r="Z275" i="2"/>
  <c r="Z318" i="2"/>
  <c r="BN318" i="2"/>
  <c r="BN326" i="2"/>
  <c r="BP326" i="2"/>
  <c r="Z326" i="2"/>
  <c r="BP372" i="2"/>
  <c r="BN372" i="2"/>
  <c r="Z372" i="2"/>
  <c r="BP459" i="2"/>
  <c r="BN459" i="2"/>
  <c r="Z459" i="2"/>
  <c r="BP484" i="2"/>
  <c r="BN484" i="2"/>
  <c r="Z484" i="2"/>
  <c r="Y527" i="2"/>
  <c r="Y62" i="2"/>
  <c r="Y228" i="2"/>
  <c r="BP213" i="2"/>
  <c r="Y390" i="2"/>
  <c r="Z385" i="2"/>
  <c r="A10" i="2"/>
  <c r="X551" i="2"/>
  <c r="BP29" i="2"/>
  <c r="BP118" i="2"/>
  <c r="BN123" i="2"/>
  <c r="BP170" i="2"/>
  <c r="BN220" i="2"/>
  <c r="BP220" i="2"/>
  <c r="Z221" i="2"/>
  <c r="BN221" i="2"/>
  <c r="BN230" i="2"/>
  <c r="BP230" i="2"/>
  <c r="BP254" i="2"/>
  <c r="BP364" i="2"/>
  <c r="BN431" i="2"/>
  <c r="Z431" i="2"/>
  <c r="BP437" i="2"/>
  <c r="BN437" i="2"/>
  <c r="BP512" i="2"/>
  <c r="BN184" i="2"/>
  <c r="BP188" i="2"/>
  <c r="BP199" i="2"/>
  <c r="Y211" i="2"/>
  <c r="Y235" i="2"/>
  <c r="BP231" i="2"/>
  <c r="BN233" i="2"/>
  <c r="BN238" i="2"/>
  <c r="BN249" i="2"/>
  <c r="Y251" i="2"/>
  <c r="BP259" i="2"/>
  <c r="BN262" i="2"/>
  <c r="BP264" i="2"/>
  <c r="Y267" i="2"/>
  <c r="BP294" i="2"/>
  <c r="BN295" i="2"/>
  <c r="BN311" i="2"/>
  <c r="BN316" i="2"/>
  <c r="BN320" i="2"/>
  <c r="Y321" i="2"/>
  <c r="BP336" i="2"/>
  <c r="BP341" i="2"/>
  <c r="Y350" i="2"/>
  <c r="BN354" i="2"/>
  <c r="BN358" i="2"/>
  <c r="BN362" i="2"/>
  <c r="BN381" i="2"/>
  <c r="Y389" i="2"/>
  <c r="BN388" i="2"/>
  <c r="BN400" i="2"/>
  <c r="BN405" i="2"/>
  <c r="Y408" i="2"/>
  <c r="BN424" i="2"/>
  <c r="BP425" i="2"/>
  <c r="BN426" i="2"/>
  <c r="BP432" i="2"/>
  <c r="BN436" i="2"/>
  <c r="BP438" i="2"/>
  <c r="BP442" i="2"/>
  <c r="X557" i="2"/>
  <c r="BP448" i="2"/>
  <c r="BN449" i="2"/>
  <c r="BN457" i="2"/>
  <c r="BN475" i="2"/>
  <c r="BN496" i="2"/>
  <c r="BP498" i="2"/>
  <c r="BN499" i="2"/>
  <c r="BN506" i="2"/>
  <c r="BN510" i="2"/>
  <c r="BP176" i="2"/>
  <c r="Y242" i="2"/>
  <c r="BP274" i="2"/>
  <c r="BN327" i="2"/>
  <c r="BP332" i="2"/>
  <c r="Y370" i="2"/>
  <c r="Y377" i="2"/>
  <c r="BP374" i="2"/>
  <c r="Y382" i="2"/>
  <c r="BP379" i="2"/>
  <c r="Y383" i="2"/>
  <c r="BP413" i="2"/>
  <c r="W557" i="2"/>
  <c r="Z450" i="2"/>
  <c r="Y451" i="2"/>
  <c r="Y471" i="2"/>
  <c r="BP467" i="2"/>
  <c r="BN474" i="2"/>
  <c r="Z522" i="2"/>
  <c r="Z523" i="2" s="1"/>
  <c r="Z238" i="2"/>
  <c r="Z249" i="2"/>
  <c r="Z251" i="2" s="1"/>
  <c r="Z255" i="2"/>
  <c r="Z262" i="2"/>
  <c r="BN276" i="2"/>
  <c r="BN286" i="2"/>
  <c r="BP295" i="2"/>
  <c r="BP320" i="2"/>
  <c r="BP335" i="2"/>
  <c r="BN336" i="2"/>
  <c r="T557" i="2"/>
  <c r="BP354" i="2"/>
  <c r="Z358" i="2"/>
  <c r="Z362" i="2"/>
  <c r="Z379" i="2"/>
  <c r="Z381" i="2"/>
  <c r="Z388" i="2"/>
  <c r="BP392" i="2"/>
  <c r="BN398" i="2"/>
  <c r="Z400" i="2"/>
  <c r="Z405" i="2"/>
  <c r="Z413" i="2"/>
  <c r="BP421" i="2"/>
  <c r="Z424" i="2"/>
  <c r="BP426" i="2"/>
  <c r="Y434" i="2"/>
  <c r="Y433" i="2"/>
  <c r="BP449" i="2"/>
  <c r="Z475" i="2"/>
  <c r="Z476" i="2" s="1"/>
  <c r="BP486" i="2"/>
  <c r="AA557" i="2"/>
  <c r="BP492" i="2"/>
  <c r="Y531" i="2"/>
  <c r="Z534" i="2"/>
  <c r="Z535" i="2" s="1"/>
  <c r="Y52" i="2"/>
  <c r="BN100" i="2"/>
  <c r="BP100" i="2"/>
  <c r="Y113" i="2"/>
  <c r="Z109" i="2"/>
  <c r="Z100" i="2"/>
  <c r="BN39" i="2"/>
  <c r="BN109" i="2"/>
  <c r="BP112" i="2"/>
  <c r="Z132" i="2"/>
  <c r="Z134" i="2" s="1"/>
  <c r="Y134" i="2"/>
  <c r="BN203" i="2"/>
  <c r="Z203" i="2"/>
  <c r="Z169" i="2"/>
  <c r="BP39" i="2"/>
  <c r="BN85" i="2"/>
  <c r="Z104" i="2"/>
  <c r="BP109" i="2"/>
  <c r="BN132" i="2"/>
  <c r="BN172" i="2"/>
  <c r="Z172" i="2"/>
  <c r="BP172" i="2"/>
  <c r="Z59" i="2"/>
  <c r="BP59" i="2"/>
  <c r="BN59" i="2"/>
  <c r="X547" i="2"/>
  <c r="BN68" i="2"/>
  <c r="Y114" i="2"/>
  <c r="BN152" i="2"/>
  <c r="BN169" i="2"/>
  <c r="BP203" i="2"/>
  <c r="Y53" i="2"/>
  <c r="Z56" i="2"/>
  <c r="BP50" i="2"/>
  <c r="BN50" i="2"/>
  <c r="BN65" i="2"/>
  <c r="BP85" i="2"/>
  <c r="BN91" i="2"/>
  <c r="BN104" i="2"/>
  <c r="BN110" i="2"/>
  <c r="BP110" i="2"/>
  <c r="BP132" i="2"/>
  <c r="Y179" i="2"/>
  <c r="BP244" i="2"/>
  <c r="BN244" i="2"/>
  <c r="Z244" i="2"/>
  <c r="Z245" i="2" s="1"/>
  <c r="Y246" i="2"/>
  <c r="Y245" i="2"/>
  <c r="BN49" i="2"/>
  <c r="BP42" i="2"/>
  <c r="Z50" i="2"/>
  <c r="C557" i="2"/>
  <c r="BP37" i="2"/>
  <c r="Z40" i="2"/>
  <c r="Y43" i="2"/>
  <c r="BP68" i="2"/>
  <c r="Y106" i="2"/>
  <c r="Z110" i="2"/>
  <c r="Z119" i="2"/>
  <c r="Y121" i="2"/>
  <c r="BP152" i="2"/>
  <c r="B557" i="2"/>
  <c r="Y33" i="2"/>
  <c r="Z27" i="2"/>
  <c r="Y32" i="2"/>
  <c r="BP65" i="2"/>
  <c r="BP91" i="2"/>
  <c r="BP133" i="2"/>
  <c r="BN133" i="2"/>
  <c r="BN159" i="2"/>
  <c r="Y180" i="2"/>
  <c r="E557" i="2"/>
  <c r="BP56" i="2"/>
  <c r="Y69" i="2"/>
  <c r="Y87" i="2"/>
  <c r="F557" i="2"/>
  <c r="BP83" i="2"/>
  <c r="Y88" i="2"/>
  <c r="Y105" i="2"/>
  <c r="Y150" i="2"/>
  <c r="I557" i="2"/>
  <c r="Z142" i="2"/>
  <c r="Y153" i="2"/>
  <c r="X548" i="2"/>
  <c r="Y44" i="2"/>
  <c r="Z182" i="2"/>
  <c r="Z185" i="2" s="1"/>
  <c r="Y186" i="2"/>
  <c r="BP182" i="2"/>
  <c r="Y185" i="2"/>
  <c r="BN182" i="2"/>
  <c r="BN201" i="2"/>
  <c r="BP201" i="2"/>
  <c r="Z49" i="2"/>
  <c r="Z78" i="2"/>
  <c r="Z79" i="2" s="1"/>
  <c r="Z42" i="2"/>
  <c r="Z66" i="2"/>
  <c r="Z69" i="2" s="1"/>
  <c r="Y70" i="2"/>
  <c r="BN86" i="2"/>
  <c r="BP119" i="2"/>
  <c r="H557" i="2"/>
  <c r="BN128" i="2"/>
  <c r="BP128" i="2"/>
  <c r="BN142" i="2"/>
  <c r="Z145" i="2"/>
  <c r="BN188" i="2"/>
  <c r="Z188" i="2"/>
  <c r="Z189" i="2" s="1"/>
  <c r="Z201" i="2"/>
  <c r="Z87" i="2"/>
  <c r="X549" i="2"/>
  <c r="BP27" i="2"/>
  <c r="Z48" i="2"/>
  <c r="Z52" i="2" s="1"/>
  <c r="D557" i="2"/>
  <c r="BP48" i="2"/>
  <c r="BN51" i="2"/>
  <c r="BN77" i="2"/>
  <c r="Y80" i="2"/>
  <c r="Y79" i="2"/>
  <c r="BN83" i="2"/>
  <c r="BN102" i="2"/>
  <c r="Y154" i="2"/>
  <c r="BP214" i="2"/>
  <c r="BN214" i="2"/>
  <c r="Z214" i="2"/>
  <c r="BP61" i="2"/>
  <c r="BN61" i="2"/>
  <c r="BN66" i="2"/>
  <c r="Y120" i="2"/>
  <c r="BP142" i="2"/>
  <c r="Y206" i="2"/>
  <c r="BP224" i="2"/>
  <c r="BN224" i="2"/>
  <c r="Z224" i="2"/>
  <c r="Z24" i="2"/>
  <c r="BP30" i="2"/>
  <c r="BN48" i="2"/>
  <c r="BP51" i="2"/>
  <c r="Z74" i="2"/>
  <c r="BP102" i="2"/>
  <c r="Y135" i="2"/>
  <c r="BP145" i="2"/>
  <c r="J557" i="2"/>
  <c r="Y160" i="2"/>
  <c r="BN157" i="2"/>
  <c r="BP157" i="2"/>
  <c r="BN177" i="2"/>
  <c r="BP177" i="2"/>
  <c r="BP234" i="2"/>
  <c r="BN234" i="2"/>
  <c r="Z234" i="2"/>
  <c r="BN78" i="2"/>
  <c r="Z30" i="2"/>
  <c r="BP38" i="2"/>
  <c r="BN38" i="2"/>
  <c r="Z38" i="2"/>
  <c r="Z61" i="2"/>
  <c r="BP84" i="2"/>
  <c r="BN84" i="2"/>
  <c r="Z157" i="2"/>
  <c r="Z168" i="2"/>
  <c r="Z177" i="2"/>
  <c r="Z92" i="2"/>
  <c r="Z204" i="2"/>
  <c r="BN217" i="2"/>
  <c r="BP250" i="2"/>
  <c r="BN270" i="2"/>
  <c r="Z278" i="2"/>
  <c r="BP280" i="2"/>
  <c r="BN301" i="2"/>
  <c r="Y415" i="2"/>
  <c r="Z98" i="2"/>
  <c r="Z108" i="2"/>
  <c r="Z118" i="2"/>
  <c r="Z120" i="2" s="1"/>
  <c r="Z175" i="2"/>
  <c r="Z199" i="2"/>
  <c r="Z205" i="2" s="1"/>
  <c r="Z220" i="2"/>
  <c r="BP222" i="2"/>
  <c r="Z230" i="2"/>
  <c r="BP232" i="2"/>
  <c r="Z240" i="2"/>
  <c r="Z241" i="2" s="1"/>
  <c r="BP255" i="2"/>
  <c r="Z263" i="2"/>
  <c r="BP265" i="2"/>
  <c r="Z273" i="2"/>
  <c r="BP275" i="2"/>
  <c r="BP285" i="2"/>
  <c r="Z294" i="2"/>
  <c r="BP296" i="2"/>
  <c r="Y307" i="2"/>
  <c r="Z317" i="2"/>
  <c r="Z321" i="2" s="1"/>
  <c r="BP319" i="2"/>
  <c r="Z353" i="2"/>
  <c r="BP355" i="2"/>
  <c r="Z363" i="2"/>
  <c r="BP365" i="2"/>
  <c r="Z373" i="2"/>
  <c r="Z376" i="2" s="1"/>
  <c r="BP375" i="2"/>
  <c r="BN385" i="2"/>
  <c r="Y396" i="2"/>
  <c r="Z406" i="2"/>
  <c r="Z407" i="2" s="1"/>
  <c r="BP443" i="2"/>
  <c r="Y455" i="2"/>
  <c r="Z466" i="2"/>
  <c r="BP468" i="2"/>
  <c r="BP493" i="2"/>
  <c r="Y502" i="2"/>
  <c r="Z511" i="2"/>
  <c r="Z517" i="2" s="1"/>
  <c r="BP513" i="2"/>
  <c r="Y540" i="2"/>
  <c r="K557" i="2"/>
  <c r="BP217" i="2"/>
  <c r="Y236" i="2"/>
  <c r="BP270" i="2"/>
  <c r="BP291" i="2"/>
  <c r="BP301" i="2"/>
  <c r="BP325" i="2"/>
  <c r="Y439" i="2"/>
  <c r="Y472" i="2"/>
  <c r="Y487" i="2"/>
  <c r="BN516" i="2"/>
  <c r="BN530" i="2"/>
  <c r="L557" i="2"/>
  <c r="BP260" i="2"/>
  <c r="BN317" i="2"/>
  <c r="Y329" i="2"/>
  <c r="BN353" i="2"/>
  <c r="BN363" i="2"/>
  <c r="BN373" i="2"/>
  <c r="Y376" i="2"/>
  <c r="BP385" i="2"/>
  <c r="Z393" i="2"/>
  <c r="Z395" i="2" s="1"/>
  <c r="BN406" i="2"/>
  <c r="Z419" i="2"/>
  <c r="Y444" i="2"/>
  <c r="BN466" i="2"/>
  <c r="Z499" i="2"/>
  <c r="BN511" i="2"/>
  <c r="Y524" i="2"/>
  <c r="Y536" i="2"/>
  <c r="M557" i="2"/>
  <c r="BN98" i="2"/>
  <c r="Y256" i="2"/>
  <c r="Z281" i="2"/>
  <c r="Z57" i="2"/>
  <c r="Z67" i="2"/>
  <c r="Z90" i="2"/>
  <c r="Z94" i="2" s="1"/>
  <c r="Z101" i="2"/>
  <c r="BP103" i="2"/>
  <c r="Z111" i="2"/>
  <c r="Z158" i="2"/>
  <c r="Z178" i="2"/>
  <c r="BP192" i="2"/>
  <c r="Z202" i="2"/>
  <c r="Z223" i="2"/>
  <c r="BP225" i="2"/>
  <c r="Z233" i="2"/>
  <c r="Z266" i="2"/>
  <c r="Z276" i="2"/>
  <c r="Z286" i="2"/>
  <c r="Z287" i="2" s="1"/>
  <c r="Z297" i="2"/>
  <c r="Y302" i="2"/>
  <c r="Z309" i="2"/>
  <c r="Y337" i="2"/>
  <c r="Z356" i="2"/>
  <c r="Z366" i="2"/>
  <c r="Z398" i="2"/>
  <c r="Y427" i="2"/>
  <c r="Y450" i="2"/>
  <c r="Z457" i="2"/>
  <c r="Z469" i="2"/>
  <c r="Z494" i="2"/>
  <c r="Z504" i="2"/>
  <c r="Z514" i="2"/>
  <c r="BP516" i="2"/>
  <c r="BP530" i="2"/>
  <c r="Y541" i="2"/>
  <c r="O557" i="2"/>
  <c r="Y252" i="2"/>
  <c r="BN281" i="2"/>
  <c r="BP317" i="2"/>
  <c r="Y342" i="2"/>
  <c r="BP353" i="2"/>
  <c r="BP363" i="2"/>
  <c r="BP373" i="2"/>
  <c r="BN393" i="2"/>
  <c r="BP406" i="2"/>
  <c r="BN419" i="2"/>
  <c r="Y440" i="2"/>
  <c r="BP466" i="2"/>
  <c r="Y488" i="2"/>
  <c r="BP511" i="2"/>
  <c r="P557" i="2"/>
  <c r="Y205" i="2"/>
  <c r="Z213" i="2"/>
  <c r="Y257" i="2"/>
  <c r="Y312" i="2"/>
  <c r="Z332" i="2"/>
  <c r="Y359" i="2"/>
  <c r="Z386" i="2"/>
  <c r="Y401" i="2"/>
  <c r="Z422" i="2"/>
  <c r="Z432" i="2"/>
  <c r="Y445" i="2"/>
  <c r="Y460" i="2"/>
  <c r="Z480" i="2"/>
  <c r="Z481" i="2" s="1"/>
  <c r="Y507" i="2"/>
  <c r="Z526" i="2"/>
  <c r="Z527" i="2" s="1"/>
  <c r="Z538" i="2"/>
  <c r="Q557" i="2"/>
  <c r="Y303" i="2"/>
  <c r="Y338" i="2"/>
  <c r="BP419" i="2"/>
  <c r="Y428" i="2"/>
  <c r="Z437" i="2"/>
  <c r="Z439" i="2" s="1"/>
  <c r="Z485" i="2"/>
  <c r="Z487" i="2" s="1"/>
  <c r="Z497" i="2"/>
  <c r="Z544" i="2"/>
  <c r="Z545" i="2" s="1"/>
  <c r="R557" i="2"/>
  <c r="BP90" i="2"/>
  <c r="BN213" i="2"/>
  <c r="Z231" i="2"/>
  <c r="Y343" i="2"/>
  <c r="BN386" i="2"/>
  <c r="BN480" i="2"/>
  <c r="Z492" i="2"/>
  <c r="BP504" i="2"/>
  <c r="BN526" i="2"/>
  <c r="BN538" i="2"/>
  <c r="S557" i="2"/>
  <c r="Y282" i="2"/>
  <c r="Y313" i="2"/>
  <c r="Y360" i="2"/>
  <c r="Y402" i="2"/>
  <c r="Y461" i="2"/>
  <c r="Y518" i="2"/>
  <c r="Y532" i="2"/>
  <c r="BN544" i="2"/>
  <c r="Y298" i="2"/>
  <c r="Z305" i="2"/>
  <c r="Z306" i="2" s="1"/>
  <c r="Z340" i="2"/>
  <c r="Z342" i="2" s="1"/>
  <c r="Z420" i="2"/>
  <c r="Z430" i="2"/>
  <c r="Z453" i="2"/>
  <c r="Z454" i="2" s="1"/>
  <c r="BP526" i="2"/>
  <c r="U557" i="2"/>
  <c r="Z277" i="2"/>
  <c r="Z310" i="2"/>
  <c r="Z346" i="2"/>
  <c r="Z349" i="2" s="1"/>
  <c r="Z357" i="2"/>
  <c r="Z367" i="2"/>
  <c r="BN379" i="2"/>
  <c r="Z399" i="2"/>
  <c r="BN448" i="2"/>
  <c r="Z458" i="2"/>
  <c r="Z470" i="2"/>
  <c r="Z495" i="2"/>
  <c r="Z505" i="2"/>
  <c r="Z515" i="2"/>
  <c r="BP544" i="2"/>
  <c r="V557" i="2"/>
  <c r="Y283" i="2"/>
  <c r="BN305" i="2"/>
  <c r="BN340" i="2"/>
  <c r="Y227" i="2"/>
  <c r="Y268" i="2"/>
  <c r="BN277" i="2"/>
  <c r="Y288" i="2"/>
  <c r="Y299" i="2"/>
  <c r="BN310" i="2"/>
  <c r="Z333" i="2"/>
  <c r="BN346" i="2"/>
  <c r="Y349" i="2"/>
  <c r="BN357" i="2"/>
  <c r="BN367" i="2"/>
  <c r="Z387" i="2"/>
  <c r="BN399" i="2"/>
  <c r="Z411" i="2"/>
  <c r="Z414" i="2" s="1"/>
  <c r="Z423" i="2"/>
  <c r="BN458" i="2"/>
  <c r="BN470" i="2"/>
  <c r="BN495" i="2"/>
  <c r="BN505" i="2"/>
  <c r="BN515" i="2"/>
  <c r="Z539" i="2"/>
  <c r="Y545" i="2"/>
  <c r="BP305" i="2"/>
  <c r="BP430" i="2"/>
  <c r="BP453" i="2"/>
  <c r="BN522" i="2"/>
  <c r="BN534" i="2"/>
  <c r="Y557" i="2"/>
  <c r="Z232" i="2"/>
  <c r="BN333" i="2"/>
  <c r="BP346" i="2"/>
  <c r="Z355" i="2"/>
  <c r="Z365" i="2"/>
  <c r="Z375" i="2"/>
  <c r="BN387" i="2"/>
  <c r="BN411" i="2"/>
  <c r="Y414" i="2"/>
  <c r="BN423" i="2"/>
  <c r="Z443" i="2"/>
  <c r="Z444" i="2" s="1"/>
  <c r="Z468" i="2"/>
  <c r="Y482" i="2"/>
  <c r="Z493" i="2"/>
  <c r="Z513" i="2"/>
  <c r="BN539" i="2"/>
  <c r="G557" i="2"/>
  <c r="Z222" i="2"/>
  <c r="Z260" i="2"/>
  <c r="Z291" i="2"/>
  <c r="Z298" i="2" s="1"/>
  <c r="Z325" i="2"/>
  <c r="Z328" i="2" s="1"/>
  <c r="BN392" i="2"/>
  <c r="Y501" i="2"/>
  <c r="BP522" i="2"/>
  <c r="BP534" i="2"/>
  <c r="Y546" i="2"/>
  <c r="AB557" i="2"/>
  <c r="BN325" i="2"/>
  <c r="Z401" i="2" l="1"/>
  <c r="Z312" i="2"/>
  <c r="Z369" i="2"/>
  <c r="Y551" i="2"/>
  <c r="Z256" i="2"/>
  <c r="Z267" i="2"/>
  <c r="Z160" i="2"/>
  <c r="Z43" i="2"/>
  <c r="Y548" i="2"/>
  <c r="Y550" i="2" s="1"/>
  <c r="Y549" i="2"/>
  <c r="Z471" i="2"/>
  <c r="Y547" i="2"/>
  <c r="Z282" i="2"/>
  <c r="Z382" i="2"/>
  <c r="Z113" i="2"/>
  <c r="Z179" i="2"/>
  <c r="Z105" i="2"/>
  <c r="Z359" i="2"/>
  <c r="Z337" i="2"/>
  <c r="Z227" i="2"/>
  <c r="Z540" i="2"/>
  <c r="Z507" i="2"/>
  <c r="Z389" i="2"/>
  <c r="Z501" i="2"/>
  <c r="X550" i="2"/>
  <c r="Z62" i="2"/>
  <c r="Z433" i="2"/>
  <c r="Z427" i="2"/>
  <c r="Z460" i="2"/>
  <c r="Z235" i="2"/>
  <c r="Z149" i="2"/>
  <c r="Z32" i="2"/>
  <c r="Z552" i="2" l="1"/>
</calcChain>
</file>

<file path=xl/sharedStrings.xml><?xml version="1.0" encoding="utf-8"?>
<sst xmlns="http://schemas.openxmlformats.org/spreadsheetml/2006/main" count="4130" uniqueCount="880">
  <si>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</si>
  <si>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</si>
  <si>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</si>
  <si>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</si>
  <si>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</si>
  <si>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</si>
  <si>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</si>
  <si>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</si>
  <si>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</si>
  <si>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</si>
  <si>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</si>
  <si>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</si>
  <si>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</si>
  <si>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</si>
  <si>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</si>
  <si>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</si>
  <si>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</si>
  <si>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</si>
  <si>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</si>
  <si>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</si>
  <si>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</si>
  <si>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</si>
  <si>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</si>
  <si>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</si>
  <si>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</si>
  <si>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</si>
  <si>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</si>
  <si>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</si>
  <si>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</si>
  <si>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</si>
  <si>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</si>
  <si>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</si>
  <si>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</si>
  <si>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</si>
  <si>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</si>
  <si>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</si>
  <si>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</si>
  <si>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</si>
  <si>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</si>
  <si>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</si>
  <si>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</si>
  <si>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</si>
  <si>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</si>
  <si>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</si>
  <si>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</si>
  <si>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</si>
  <si>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</si>
  <si>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</si>
  <si>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</si>
  <si>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</si>
  <si>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</si>
  <si>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</si>
  <si>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</si>
  <si>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</si>
  <si>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</si>
  <si>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</si>
  <si>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</si>
  <si>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</si>
  <si>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</si>
  <si>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</si>
  <si>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</si>
  <si>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</si>
  <si>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</si>
  <si>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</si>
  <si>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</si>
  <si>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</si>
  <si>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</si>
  <si>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</si>
  <si>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24.08.2026</t>
  </si>
  <si>
    <t>19.08.2026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</si>
  <si>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</si>
  <si>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</si>
  <si>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</si>
  <si>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</si>
  <si>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</si>
  <si>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</si>
  <si>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</si>
  <si>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</si>
  <si>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</si>
  <si>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</si>
  <si>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</si>
  <si>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</si>
  <si>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</si>
  <si>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</si>
  <si>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</si>
  <si>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</si>
  <si>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</si>
  <si>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</si>
  <si>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</si>
  <si>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</si>
  <si>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</si>
  <si>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</si>
  <si>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</si>
  <si>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</si>
  <si>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</si>
  <si>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</si>
  <si>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</si>
  <si>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</si>
  <si>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</si>
  <si>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</si>
  <si>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</si>
  <si>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</si>
  <si>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</si>
  <si>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</si>
  <si>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</si>
  <si>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SU004313</t>
  </si>
  <si>
    <t>P005634</t>
  </si>
  <si>
    <t>ЕАЭС N RU Д-RU.РА02.В.13825/26</t>
  </si>
  <si>
    <t>Новинка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</si>
  <si>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</si>
  <si>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</si>
  <si>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</si>
  <si>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</si>
  <si>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</si>
  <si>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</si>
  <si>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</si>
  <si>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</si>
  <si>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</si>
  <si>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</si>
  <si>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</si>
  <si>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</si>
  <si>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</si>
  <si>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</si>
  <si>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</si>
  <si>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</si>
  <si>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</si>
  <si>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</si>
  <si>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</si>
  <si>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</si>
  <si>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</si>
  <si>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</si>
  <si>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</si>
  <si>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</si>
  <si>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</si>
  <si>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</si>
  <si>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</si>
  <si>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</si>
  <si>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</si>
  <si>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</si>
  <si>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</si>
  <si>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</si>
  <si>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</si>
  <si>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</si>
  <si>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</si>
  <si>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</si>
  <si>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</si>
  <si>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</si>
  <si>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</si>
  <si>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</si>
  <si>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</si>
  <si>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</si>
  <si>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</si>
  <si>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</si>
  <si>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</si>
  <si>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</si>
  <si>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</si>
  <si>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</si>
  <si>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</si>
  <si>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</si>
  <si>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</si>
  <si>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</si>
  <si>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</si>
  <si>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</si>
  <si>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</si>
  <si>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</si>
  <si>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</si>
  <si>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</si>
  <si>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</si>
  <si>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</si>
  <si>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</si>
  <si>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</si>
  <si>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</si>
  <si>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</si>
  <si>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</si>
  <si>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</si>
  <si>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</si>
  <si>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</si>
  <si>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</si>
  <si>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</si>
  <si>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</si>
  <si>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</si>
  <si>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</si>
  <si>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</si>
  <si>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</si>
  <si>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</si>
  <si>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</si>
  <si>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</si>
  <si>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</si>
  <si>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</si>
  <si>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</si>
  <si>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</si>
  <si>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</si>
  <si>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</si>
  <si>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</si>
  <si>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</si>
  <si>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</si>
  <si>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</si>
  <si>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</si>
  <si>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</si>
  <si>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</si>
  <si>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</si>
  <si>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</si>
  <si>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</si>
  <si>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</si>
  <si>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</si>
  <si>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</si>
  <si>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</si>
  <si>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</si>
  <si>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</si>
  <si>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</si>
  <si>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</si>
  <si>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</si>
  <si>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</si>
  <si>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</si>
  <si>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</si>
  <si>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</si>
  <si>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</si>
  <si>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</si>
  <si>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</si>
  <si>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</si>
  <si>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</si>
  <si>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</si>
  <si>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</si>
  <si>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</si>
  <si>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</si>
  <si>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</si>
  <si>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</si>
  <si>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</si>
  <si>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</si>
  <si>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</si>
  <si>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</si>
  <si>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</si>
  <si>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</si>
  <si>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</si>
  <si>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</si>
  <si>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</si>
  <si>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</si>
  <si>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</si>
  <si>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</si>
  <si>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</si>
  <si>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</si>
  <si>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</si>
  <si>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</si>
  <si>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</si>
  <si>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</si>
  <si>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</si>
  <si>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</si>
  <si>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</si>
  <si>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SU004170</t>
  </si>
  <si>
    <t>P005457</t>
  </si>
  <si>
    <t>ЕАЭС N RU Д-RU.РА01.В.22080/26</t>
  </si>
  <si>
    <t>SU004171</t>
  </si>
  <si>
    <t>P005455</t>
  </si>
  <si>
    <t>SU004177</t>
  </si>
  <si>
    <t>P005448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</si>
  <si>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</si>
  <si>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</si>
  <si>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</si>
  <si>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</si>
  <si>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</si>
  <si>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</si>
  <si>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</si>
  <si>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</si>
  <si>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</si>
  <si>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</si>
  <si>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</si>
  <si>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</si>
  <si>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</si>
  <si>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</si>
  <si>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</si>
  <si>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</si>
  <si>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</si>
  <si>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</si>
  <si>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</si>
  <si>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</si>
  <si>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</si>
  <si>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</si>
  <si>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</si>
  <si>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</si>
  <si>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</si>
  <si>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</si>
  <si>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</si>
  <si>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</si>
  <si>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</si>
  <si>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</si>
  <si>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</si>
  <si>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</si>
  <si>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</si>
  <si>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</si>
  <si>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</si>
  <si>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</si>
  <si>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</si>
  <si>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</si>
  <si>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</si>
  <si>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</si>
  <si>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</si>
  <si>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</si>
  <si>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</si>
  <si>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</si>
  <si>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</si>
  <si>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</si>
  <si>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</si>
  <si>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</si>
  <si>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</si>
  <si>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</si>
  <si>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</si>
  <si>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</si>
  <si>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</si>
  <si>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</si>
  <si>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</si>
  <si>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</si>
  <si>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</si>
  <si>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</si>
  <si>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</si>
  <si>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</si>
  <si>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</si>
  <si>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</si>
  <si>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</si>
  <si>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</si>
  <si>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</si>
  <si>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</si>
  <si>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</si>
  <si>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</si>
  <si>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</si>
  <si>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</si>
  <si>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</si>
  <si>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</si>
  <si>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</si>
  <si>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</si>
  <si>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</si>
  <si>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</si>
  <si>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</si>
  <si>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</si>
  <si>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</si>
  <si>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</si>
  <si>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</si>
  <si>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</si>
  <si>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</si>
  <si>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</si>
  <si>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</si>
  <si>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</si>
  <si>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</si>
  <si>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</si>
  <si>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</si>
  <si>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</si>
  <si>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</si>
  <si>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</si>
  <si>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</si>
  <si>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</si>
  <si>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</si>
  <si>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</si>
  <si>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</si>
  <si>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</si>
  <si>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</si>
  <si>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</si>
  <si>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</si>
  <si>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</si>
  <si>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</si>
  <si>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</si>
  <si>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</si>
  <si>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</si>
  <si>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</si>
  <si>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</si>
  <si>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</si>
  <si>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</si>
  <si>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</si>
  <si>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</si>
  <si>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</si>
  <si>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</si>
  <si>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</si>
  <si>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</si>
  <si>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</si>
  <si>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</si>
  <si>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</si>
  <si>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</si>
  <si>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</si>
  <si>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</si>
  <si>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</si>
  <si>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</si>
  <si>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</si>
  <si>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</si>
  <si>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</si>
  <si>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</si>
  <si>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</si>
  <si>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</si>
  <si>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</si>
  <si>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</si>
  <si>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</si>
  <si>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</si>
  <si>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</si>
  <si>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</si>
  <si>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</si>
  <si>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</si>
  <si>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</si>
  <si>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</si>
  <si>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</si>
  <si>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</si>
  <si>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</si>
  <si>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</si>
  <si>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</si>
  <si>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</si>
  <si>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</si>
  <si>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</si>
  <si>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</si>
  <si>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</si>
  <si>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</si>
  <si>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</si>
  <si>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</si>
  <si>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</si>
  <si>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</si>
  <si>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</si>
  <si>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</si>
  <si>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</si>
  <si>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</si>
  <si>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</si>
  <si>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</si>
  <si>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</si>
  <si>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</si>
  <si>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</si>
  <si>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</si>
  <si>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</si>
  <si>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</si>
  <si>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</si>
  <si>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</si>
  <si>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</si>
  <si>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</si>
  <si>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</si>
  <si>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</si>
  <si>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</si>
  <si>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</si>
  <si>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</si>
  <si>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</si>
  <si>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</si>
  <si>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</si>
  <si>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</si>
  <si>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</si>
  <si>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</si>
  <si>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</si>
  <si>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</si>
  <si>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</si>
  <si>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</si>
  <si>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</si>
  <si>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</si>
  <si>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</si>
  <si>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</si>
  <si>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</si>
  <si>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</si>
  <si>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</si>
  <si>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</si>
  <si>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</si>
  <si>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</si>
  <si>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</si>
  <si>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</si>
  <si>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</si>
  <si>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</si>
  <si>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</si>
  <si>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</si>
  <si>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</si>
  <si>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</si>
  <si>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</si>
  <si>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</si>
  <si>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</si>
  <si>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</si>
  <si>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</si>
  <si>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</si>
  <si>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</si>
  <si>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</si>
  <si>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</si>
  <si>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</si>
  <si>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</si>
  <si>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</si>
  <si>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</si>
  <si>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</si>
  <si>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</si>
  <si>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</si>
  <si>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</si>
  <si>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</si>
  <si>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</si>
  <si>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</si>
  <si>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</si>
  <si>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</si>
  <si>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</si>
  <si>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</si>
  <si>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</si>
  <si>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</si>
  <si>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</si>
  <si>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</si>
  <si>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</si>
  <si>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</si>
  <si>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</si>
  <si>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</si>
  <si>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</si>
  <si>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</si>
  <si>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</si>
  <si>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</si>
  <si>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</si>
  <si>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</si>
  <si>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</si>
  <si>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</si>
  <si>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</si>
  <si>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</si>
  <si>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</si>
  <si>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</si>
  <si>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</si>
  <si>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</si>
  <si>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</si>
  <si>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</si>
  <si>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</si>
  <si>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</si>
  <si>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</si>
  <si>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</si>
  <si>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</si>
  <si>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</si>
  <si>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</si>
  <si>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</si>
  <si>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</si>
  <si>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</si>
  <si>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</si>
  <si>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</si>
  <si>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</si>
  <si>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</si>
  <si>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</si>
  <si>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</si>
  <si>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</si>
  <si>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</si>
  <si>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</si>
  <si>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</si>
  <si>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</si>
  <si>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</si>
  <si>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</si>
  <si>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</si>
  <si>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</si>
  <si>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</si>
  <si>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</si>
  <si>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</si>
  <si>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</si>
  <si>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</si>
  <si>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</si>
  <si>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</si>
  <si>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</si>
  <si>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</si>
  <si>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</si>
  <si>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</si>
  <si>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</si>
  <si>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</si>
  <si>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</si>
  <si>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</si>
  <si>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</si>
  <si>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</si>
  <si>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</si>
  <si>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</si>
  <si>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</si>
  <si>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</si>
  <si>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</si>
  <si>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</si>
  <si>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</si>
  <si>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</si>
  <si>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</si>
  <si>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</si>
  <si>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</si>
  <si>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</si>
  <si>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</si>
  <si>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</si>
  <si>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</si>
  <si>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</si>
  <si>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</si>
  <si>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</si>
  <si>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</si>
  <si>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</si>
  <si>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</si>
  <si>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</si>
  <si>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</si>
  <si>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</si>
  <si>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</si>
  <si>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</si>
  <si>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</si>
  <si>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</si>
  <si>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</si>
  <si>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</si>
  <si>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</si>
  <si>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</si>
  <si>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</si>
  <si>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</si>
  <si>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</si>
  <si>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</si>
  <si>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</si>
  <si>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</si>
  <si>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</si>
  <si>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</si>
  <si>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</si>
  <si>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</si>
  <si>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</si>
  <si>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</si>
  <si>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</si>
  <si>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</si>
  <si>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</si>
  <si>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</si>
  <si>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</si>
  <si>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</si>
  <si>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</si>
  <si>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</si>
  <si>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</si>
  <si>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</si>
  <si>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</si>
  <si>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</si>
  <si>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</si>
  <si>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</si>
  <si>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</si>
  <si>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</si>
  <si>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</si>
  <si>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</si>
  <si>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</si>
  <si>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</si>
  <si>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</si>
  <si>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</si>
  <si>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</si>
  <si>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</si>
  <si>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</si>
  <si>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</si>
  <si>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</si>
  <si>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</si>
  <si>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</si>
  <si>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</si>
  <si>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</si>
  <si>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</si>
  <si>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</si>
  <si>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</si>
  <si>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</si>
  <si>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</si>
  <si>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</si>
  <si>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</si>
  <si>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</si>
  <si>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</si>
  <si>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</si>
  <si>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</si>
  <si>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</si>
  <si>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</si>
  <si>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</si>
  <si>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</si>
  <si>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</si>
  <si>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</si>
  <si>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</si>
  <si>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</si>
  <si>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</si>
  <si>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АК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</si>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</sst>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71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7"/>
  <sheetViews>
    <sheetView showGridLines="0" tabSelected="1" topLeftCell="D2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5" t="s">
        <v>26</v>
      </c>
      <c r="E1" s="975"/>
      <c r="F1" s="975"/>
      <c r="G1" s="14" t="s">
        <v>67</v>
      </c>
      <c r="H1" s="975" t="s">
        <v>47</v>
      </c>
      <c r="I1" s="975"/>
      <c r="J1" s="975"/>
      <c r="K1" s="975"/>
      <c r="L1" s="975"/>
      <c r="M1" s="975"/>
      <c r="N1" s="975"/>
      <c r="O1" s="975"/>
      <c r="P1" s="975"/>
      <c r="Q1" s="975"/>
      <c r="R1" s="976" t="s">
        <v>68</v>
      </c>
      <c r="S1" s="977"/>
      <c r="T1" s="97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8"/>
      <c r="R2" s="978"/>
      <c r="S2" s="978"/>
      <c r="T2" s="978"/>
      <c r="U2" s="978"/>
      <c r="V2" s="978"/>
      <c r="W2" s="97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8"/>
      <c r="Q3" s="978"/>
      <c r="R3" s="978"/>
      <c r="S3" s="978"/>
      <c r="T3" s="978"/>
      <c r="U3" s="978"/>
      <c r="V3" s="978"/>
      <c r="W3" s="97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7" t="s">
        <v>8</v>
      </c>
      <c r="B5" s="957"/>
      <c r="C5" s="957"/>
      <c r="D5" s="979"/>
      <c r="E5" s="979"/>
      <c r="F5" s="980" t="s">
        <v>14</v>
      </c>
      <c r="G5" s="980"/>
      <c r="H5" s="979"/>
      <c r="I5" s="979"/>
      <c r="J5" s="979"/>
      <c r="K5" s="979"/>
      <c r="L5" s="979"/>
      <c r="M5" s="979"/>
      <c r="N5" s="72"/>
      <c r="P5" s="27" t="s">
        <v>4</v>
      </c>
      <c r="Q5" s="981">
        <v>46258</v>
      </c>
      <c r="R5" s="981"/>
      <c r="T5" s="982" t="s">
        <v>3</v>
      </c>
      <c r="U5" s="983"/>
      <c r="V5" s="984" t="s">
        <v>860</v>
      </c>
      <c r="W5" s="985"/>
      <c r="AB5" s="59"/>
      <c r="AC5" s="59"/>
      <c r="AD5" s="59"/>
      <c r="AE5" s="59"/>
    </row>
    <row r="6" spans="1:32" s="17" customFormat="1" ht="24" customHeight="1" x14ac:dyDescent="0.2">
      <c r="A6" s="957" t="s">
        <v>1</v>
      </c>
      <c r="B6" s="957"/>
      <c r="C6" s="957"/>
      <c r="D6" s="958" t="s">
        <v>861</v>
      </c>
      <c r="E6" s="958"/>
      <c r="F6" s="958"/>
      <c r="G6" s="958"/>
      <c r="H6" s="958"/>
      <c r="I6" s="958"/>
      <c r="J6" s="958"/>
      <c r="K6" s="958"/>
      <c r="L6" s="958"/>
      <c r="M6" s="958"/>
      <c r="N6" s="73"/>
      <c r="P6" s="27" t="s">
        <v>27</v>
      </c>
      <c r="Q6" s="959" t="str">
        <f>IF(Q5=0," ",CHOOSE(WEEKDAY(Q5,2),"Понедельник","Вторник","Среда","Четверг","Пятница","Суббота","Воскресенье"))</f>
        <v>Понедельник</v>
      </c>
      <c r="R6" s="959"/>
      <c r="T6" s="960" t="s">
        <v>5</v>
      </c>
      <c r="U6" s="961"/>
      <c r="V6" s="962" t="s">
        <v>70</v>
      </c>
      <c r="W6" s="96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8" t="str">
        <f>IFERROR(VLOOKUP(DeliveryAddress,Table,3,0),1)</f>
        <v>1</v>
      </c>
      <c r="E7" s="969"/>
      <c r="F7" s="969"/>
      <c r="G7" s="969"/>
      <c r="H7" s="969"/>
      <c r="I7" s="969"/>
      <c r="J7" s="969"/>
      <c r="K7" s="969"/>
      <c r="L7" s="969"/>
      <c r="M7" s="970"/>
      <c r="N7" s="74"/>
      <c r="P7" s="29"/>
      <c r="Q7" s="48"/>
      <c r="R7" s="48"/>
      <c r="T7" s="960"/>
      <c r="U7" s="961"/>
      <c r="V7" s="964"/>
      <c r="W7" s="965"/>
      <c r="AB7" s="59"/>
      <c r="AC7" s="59"/>
      <c r="AD7" s="59"/>
      <c r="AE7" s="59"/>
    </row>
    <row r="8" spans="1:32" s="17" customFormat="1" ht="25.5" customHeight="1" x14ac:dyDescent="0.2">
      <c r="A8" s="971" t="s">
        <v>58</v>
      </c>
      <c r="B8" s="971"/>
      <c r="C8" s="971"/>
      <c r="D8" s="972"/>
      <c r="E8" s="972"/>
      <c r="F8" s="972"/>
      <c r="G8" s="972"/>
      <c r="H8" s="972"/>
      <c r="I8" s="972"/>
      <c r="J8" s="972"/>
      <c r="K8" s="972"/>
      <c r="L8" s="972"/>
      <c r="M8" s="972"/>
      <c r="N8" s="75"/>
      <c r="P8" s="27" t="s">
        <v>11</v>
      </c>
      <c r="Q8" s="955">
        <v>0.41666666666666669</v>
      </c>
      <c r="R8" s="955"/>
      <c r="T8" s="960"/>
      <c r="U8" s="961"/>
      <c r="V8" s="964"/>
      <c r="W8" s="965"/>
      <c r="AB8" s="59"/>
      <c r="AC8" s="59"/>
      <c r="AD8" s="59"/>
      <c r="AE8" s="59"/>
    </row>
    <row r="9" spans="1:32" s="17" customFormat="1" ht="39.950000000000003" customHeight="1" x14ac:dyDescent="0.2">
      <c r="A9" s="94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7"/>
      <c r="C9" s="947"/>
      <c r="D9" s="948" t="s">
        <v>46</v>
      </c>
      <c r="E9" s="949"/>
      <c r="F9" s="94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7"/>
      <c r="H9" s="973" t="str">
        <f>IF(AND($A$9="Тип доверенности/получателя при получении в адресе перегруза:",$D$9="Разовая доверенность"),"Введите ФИО","")</f>
        <v/>
      </c>
      <c r="I9" s="973"/>
      <c r="J9" s="97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3"/>
      <c r="L9" s="973"/>
      <c r="M9" s="973"/>
      <c r="N9" s="70"/>
      <c r="P9" s="31" t="s">
        <v>15</v>
      </c>
      <c r="Q9" s="974"/>
      <c r="R9" s="974"/>
      <c r="T9" s="960"/>
      <c r="U9" s="961"/>
      <c r="V9" s="966"/>
      <c r="W9" s="96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7"/>
      <c r="C10" s="947"/>
      <c r="D10" s="948"/>
      <c r="E10" s="949"/>
      <c r="F10" s="94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7"/>
      <c r="H10" s="950" t="str">
        <f>IFERROR(VLOOKUP($D$10,Proxy,2,FALSE),"")</f>
        <v/>
      </c>
      <c r="I10" s="950"/>
      <c r="J10" s="950"/>
      <c r="K10" s="950"/>
      <c r="L10" s="950"/>
      <c r="M10" s="950"/>
      <c r="N10" s="71"/>
      <c r="P10" s="31" t="s">
        <v>32</v>
      </c>
      <c r="Q10" s="951"/>
      <c r="R10" s="951"/>
      <c r="U10" s="29" t="s">
        <v>12</v>
      </c>
      <c r="V10" s="952" t="s">
        <v>71</v>
      </c>
      <c r="W10" s="9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4"/>
      <c r="R11" s="954"/>
      <c r="U11" s="29" t="s">
        <v>28</v>
      </c>
      <c r="V11" s="933" t="s">
        <v>55</v>
      </c>
      <c r="W11" s="93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32" t="s">
        <v>72</v>
      </c>
      <c r="B12" s="932"/>
      <c r="C12" s="932"/>
      <c r="D12" s="932"/>
      <c r="E12" s="932"/>
      <c r="F12" s="932"/>
      <c r="G12" s="932"/>
      <c r="H12" s="932"/>
      <c r="I12" s="932"/>
      <c r="J12" s="932"/>
      <c r="K12" s="932"/>
      <c r="L12" s="932"/>
      <c r="M12" s="932"/>
      <c r="N12" s="76"/>
      <c r="P12" s="27" t="s">
        <v>30</v>
      </c>
      <c r="Q12" s="955"/>
      <c r="R12" s="955"/>
      <c r="S12" s="28"/>
      <c r="T12"/>
      <c r="U12" s="29" t="s">
        <v>46</v>
      </c>
      <c r="V12" s="956"/>
      <c r="W12" s="956"/>
      <c r="X12"/>
      <c r="AB12" s="59"/>
      <c r="AC12" s="59"/>
      <c r="AD12" s="59"/>
      <c r="AE12" s="59"/>
    </row>
    <row r="13" spans="1:32" s="17" customFormat="1" ht="23.25" customHeight="1" x14ac:dyDescent="0.2">
      <c r="A13" s="932" t="s">
        <v>73</v>
      </c>
      <c r="B13" s="932"/>
      <c r="C13" s="932"/>
      <c r="D13" s="932"/>
      <c r="E13" s="932"/>
      <c r="F13" s="932"/>
      <c r="G13" s="932"/>
      <c r="H13" s="932"/>
      <c r="I13" s="932"/>
      <c r="J13" s="932"/>
      <c r="K13" s="932"/>
      <c r="L13" s="932"/>
      <c r="M13" s="932"/>
      <c r="N13" s="76"/>
      <c r="O13" s="31"/>
      <c r="P13" s="31" t="s">
        <v>31</v>
      </c>
      <c r="Q13" s="933"/>
      <c r="R13" s="93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32" t="s">
        <v>74</v>
      </c>
      <c r="B14" s="932"/>
      <c r="C14" s="932"/>
      <c r="D14" s="932"/>
      <c r="E14" s="932"/>
      <c r="F14" s="932"/>
      <c r="G14" s="932"/>
      <c r="H14" s="932"/>
      <c r="I14" s="932"/>
      <c r="J14" s="932"/>
      <c r="K14" s="932"/>
      <c r="L14" s="932"/>
      <c r="M14" s="93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4" t="s">
        <v>75</v>
      </c>
      <c r="B15" s="934"/>
      <c r="C15" s="934"/>
      <c r="D15" s="934"/>
      <c r="E15" s="934"/>
      <c r="F15" s="934"/>
      <c r="G15" s="934"/>
      <c r="H15" s="934"/>
      <c r="I15" s="934"/>
      <c r="J15" s="934"/>
      <c r="K15" s="934"/>
      <c r="L15" s="934"/>
      <c r="M15" s="934"/>
      <c r="N15" s="77"/>
      <c r="O15"/>
      <c r="P15" s="935" t="s">
        <v>61</v>
      </c>
      <c r="Q15" s="935"/>
      <c r="R15" s="935"/>
      <c r="S15" s="935"/>
      <c r="T15" s="93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6"/>
      <c r="Q16" s="936"/>
      <c r="R16" s="936"/>
      <c r="S16" s="936"/>
      <c r="T16" s="93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8" t="s">
        <v>59</v>
      </c>
      <c r="B17" s="918" t="s">
        <v>49</v>
      </c>
      <c r="C17" s="939" t="s">
        <v>48</v>
      </c>
      <c r="D17" s="941" t="s">
        <v>50</v>
      </c>
      <c r="E17" s="942"/>
      <c r="F17" s="918" t="s">
        <v>21</v>
      </c>
      <c r="G17" s="918" t="s">
        <v>24</v>
      </c>
      <c r="H17" s="918" t="s">
        <v>22</v>
      </c>
      <c r="I17" s="918" t="s">
        <v>23</v>
      </c>
      <c r="J17" s="918" t="s">
        <v>16</v>
      </c>
      <c r="K17" s="918" t="s">
        <v>66</v>
      </c>
      <c r="L17" s="918" t="s">
        <v>64</v>
      </c>
      <c r="M17" s="918" t="s">
        <v>2</v>
      </c>
      <c r="N17" s="918" t="s">
        <v>63</v>
      </c>
      <c r="O17" s="918" t="s">
        <v>25</v>
      </c>
      <c r="P17" s="941" t="s">
        <v>17</v>
      </c>
      <c r="Q17" s="945"/>
      <c r="R17" s="945"/>
      <c r="S17" s="945"/>
      <c r="T17" s="942"/>
      <c r="U17" s="937" t="s">
        <v>56</v>
      </c>
      <c r="V17" s="938"/>
      <c r="W17" s="918" t="s">
        <v>6</v>
      </c>
      <c r="X17" s="918" t="s">
        <v>41</v>
      </c>
      <c r="Y17" s="920" t="s">
        <v>54</v>
      </c>
      <c r="Z17" s="922" t="s">
        <v>18</v>
      </c>
      <c r="AA17" s="924" t="s">
        <v>60</v>
      </c>
      <c r="AB17" s="924" t="s">
        <v>19</v>
      </c>
      <c r="AC17" s="924" t="s">
        <v>65</v>
      </c>
      <c r="AD17" s="926" t="s">
        <v>57</v>
      </c>
      <c r="AE17" s="927"/>
      <c r="AF17" s="928"/>
      <c r="AG17" s="82"/>
      <c r="BD17" s="81" t="s">
        <v>62</v>
      </c>
    </row>
    <row r="18" spans="1:68" ht="14.25" customHeight="1" x14ac:dyDescent="0.2">
      <c r="A18" s="919"/>
      <c r="B18" s="919"/>
      <c r="C18" s="940"/>
      <c r="D18" s="943"/>
      <c r="E18" s="944"/>
      <c r="F18" s="919"/>
      <c r="G18" s="919"/>
      <c r="H18" s="919"/>
      <c r="I18" s="919"/>
      <c r="J18" s="919"/>
      <c r="K18" s="919"/>
      <c r="L18" s="919"/>
      <c r="M18" s="919"/>
      <c r="N18" s="919"/>
      <c r="O18" s="919"/>
      <c r="P18" s="943"/>
      <c r="Q18" s="946"/>
      <c r="R18" s="946"/>
      <c r="S18" s="946"/>
      <c r="T18" s="944"/>
      <c r="U18" s="83" t="s">
        <v>44</v>
      </c>
      <c r="V18" s="83" t="s">
        <v>43</v>
      </c>
      <c r="W18" s="919"/>
      <c r="X18" s="919"/>
      <c r="Y18" s="921"/>
      <c r="Z18" s="923"/>
      <c r="AA18" s="925"/>
      <c r="AB18" s="925"/>
      <c r="AC18" s="925"/>
      <c r="AD18" s="929"/>
      <c r="AE18" s="930"/>
      <c r="AF18" s="931"/>
      <c r="AG18" s="82"/>
      <c r="BD18" s="81"/>
    </row>
    <row r="19" spans="1:68" ht="27.75" customHeight="1" x14ac:dyDescent="0.2">
      <c r="A19" s="652" t="s">
        <v>76</v>
      </c>
      <c r="B19" s="652"/>
      <c r="C19" s="652"/>
      <c r="D19" s="652"/>
      <c r="E19" s="652"/>
      <c r="F19" s="652"/>
      <c r="G19" s="652"/>
      <c r="H19" s="652"/>
      <c r="I19" s="652"/>
      <c r="J19" s="652"/>
      <c r="K19" s="652"/>
      <c r="L19" s="652"/>
      <c r="M19" s="652"/>
      <c r="N19" s="652"/>
      <c r="O19" s="652"/>
      <c r="P19" s="652"/>
      <c r="Q19" s="652"/>
      <c r="R19" s="652"/>
      <c r="S19" s="652"/>
      <c r="T19" s="652"/>
      <c r="U19" s="652"/>
      <c r="V19" s="652"/>
      <c r="W19" s="652"/>
      <c r="X19" s="652"/>
      <c r="Y19" s="652"/>
      <c r="Z19" s="652"/>
      <c r="AA19" s="54"/>
      <c r="AB19" s="54"/>
      <c r="AC19" s="54"/>
    </row>
    <row r="20" spans="1:68" ht="16.5" customHeight="1" x14ac:dyDescent="0.25">
      <c r="A20" s="645" t="s">
        <v>76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5"/>
      <c r="AB20" s="65"/>
      <c r="AC20" s="79"/>
    </row>
    <row r="21" spans="1:68" ht="14.25" customHeight="1" x14ac:dyDescent="0.25">
      <c r="A21" s="646" t="s">
        <v>77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41">
        <v>4680115886643</v>
      </c>
      <c r="E22" s="64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3"/>
      <c r="R22" s="643"/>
      <c r="S22" s="643"/>
      <c r="T22" s="64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41">
        <v>4680115889071</v>
      </c>
      <c r="E23" s="64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1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3"/>
      <c r="R23" s="643"/>
      <c r="S23" s="643"/>
      <c r="T23" s="64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5"/>
      <c r="B24" s="635"/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636"/>
      <c r="P24" s="632" t="s">
        <v>40</v>
      </c>
      <c r="Q24" s="633"/>
      <c r="R24" s="633"/>
      <c r="S24" s="633"/>
      <c r="T24" s="633"/>
      <c r="U24" s="633"/>
      <c r="V24" s="6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5"/>
      <c r="B25" s="635"/>
      <c r="C25" s="635"/>
      <c r="D25" s="635"/>
      <c r="E25" s="635"/>
      <c r="F25" s="635"/>
      <c r="G25" s="635"/>
      <c r="H25" s="635"/>
      <c r="I25" s="635"/>
      <c r="J25" s="635"/>
      <c r="K25" s="635"/>
      <c r="L25" s="635"/>
      <c r="M25" s="635"/>
      <c r="N25" s="635"/>
      <c r="O25" s="636"/>
      <c r="P25" s="632" t="s">
        <v>40</v>
      </c>
      <c r="Q25" s="633"/>
      <c r="R25" s="633"/>
      <c r="S25" s="633"/>
      <c r="T25" s="633"/>
      <c r="U25" s="633"/>
      <c r="V25" s="6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46" t="s">
        <v>86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41">
        <v>4680115885912</v>
      </c>
      <c r="E27" s="64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1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3"/>
      <c r="R27" s="643"/>
      <c r="S27" s="643"/>
      <c r="T27" s="64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41">
        <v>4607091388237</v>
      </c>
      <c r="E28" s="64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1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3"/>
      <c r="R28" s="643"/>
      <c r="S28" s="643"/>
      <c r="T28" s="64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41">
        <v>4680115887350</v>
      </c>
      <c r="E29" s="64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3"/>
      <c r="R29" s="643"/>
      <c r="S29" s="643"/>
      <c r="T29" s="64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41">
        <v>4680115885905</v>
      </c>
      <c r="E30" s="64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1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3"/>
      <c r="R30" s="643"/>
      <c r="S30" s="643"/>
      <c r="T30" s="64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41">
        <v>4680115887619</v>
      </c>
      <c r="E31" s="64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3"/>
      <c r="R31" s="643"/>
      <c r="S31" s="643"/>
      <c r="T31" s="64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5"/>
      <c r="B32" s="635"/>
      <c r="C32" s="635"/>
      <c r="D32" s="635"/>
      <c r="E32" s="635"/>
      <c r="F32" s="635"/>
      <c r="G32" s="635"/>
      <c r="H32" s="635"/>
      <c r="I32" s="635"/>
      <c r="J32" s="635"/>
      <c r="K32" s="635"/>
      <c r="L32" s="635"/>
      <c r="M32" s="635"/>
      <c r="N32" s="635"/>
      <c r="O32" s="636"/>
      <c r="P32" s="632" t="s">
        <v>40</v>
      </c>
      <c r="Q32" s="633"/>
      <c r="R32" s="633"/>
      <c r="S32" s="633"/>
      <c r="T32" s="633"/>
      <c r="U32" s="633"/>
      <c r="V32" s="6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5"/>
      <c r="B33" s="635"/>
      <c r="C33" s="635"/>
      <c r="D33" s="635"/>
      <c r="E33" s="635"/>
      <c r="F33" s="635"/>
      <c r="G33" s="635"/>
      <c r="H33" s="635"/>
      <c r="I33" s="635"/>
      <c r="J33" s="635"/>
      <c r="K33" s="635"/>
      <c r="L33" s="635"/>
      <c r="M33" s="635"/>
      <c r="N33" s="635"/>
      <c r="O33" s="636"/>
      <c r="P33" s="632" t="s">
        <v>40</v>
      </c>
      <c r="Q33" s="633"/>
      <c r="R33" s="633"/>
      <c r="S33" s="633"/>
      <c r="T33" s="633"/>
      <c r="U33" s="633"/>
      <c r="V33" s="6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52" t="s">
        <v>45</v>
      </c>
      <c r="B34" s="652"/>
      <c r="C34" s="652"/>
      <c r="D34" s="652"/>
      <c r="E34" s="652"/>
      <c r="F34" s="652"/>
      <c r="G34" s="652"/>
      <c r="H34" s="652"/>
      <c r="I34" s="652"/>
      <c r="J34" s="652"/>
      <c r="K34" s="652"/>
      <c r="L34" s="652"/>
      <c r="M34" s="652"/>
      <c r="N34" s="652"/>
      <c r="O34" s="652"/>
      <c r="P34" s="652"/>
      <c r="Q34" s="652"/>
      <c r="R34" s="652"/>
      <c r="S34" s="652"/>
      <c r="T34" s="652"/>
      <c r="U34" s="652"/>
      <c r="V34" s="652"/>
      <c r="W34" s="652"/>
      <c r="X34" s="652"/>
      <c r="Y34" s="652"/>
      <c r="Z34" s="652"/>
      <c r="AA34" s="54"/>
      <c r="AB34" s="54"/>
      <c r="AC34" s="54"/>
    </row>
    <row r="35" spans="1:68" ht="16.5" customHeight="1" x14ac:dyDescent="0.25">
      <c r="A35" s="645" t="s">
        <v>104</v>
      </c>
      <c r="B35" s="645"/>
      <c r="C35" s="645"/>
      <c r="D35" s="645"/>
      <c r="E35" s="645"/>
      <c r="F35" s="645"/>
      <c r="G35" s="645"/>
      <c r="H35" s="645"/>
      <c r="I35" s="645"/>
      <c r="J35" s="645"/>
      <c r="K35" s="645"/>
      <c r="L35" s="645"/>
      <c r="M35" s="645"/>
      <c r="N35" s="645"/>
      <c r="O35" s="645"/>
      <c r="P35" s="645"/>
      <c r="Q35" s="645"/>
      <c r="R35" s="645"/>
      <c r="S35" s="645"/>
      <c r="T35" s="645"/>
      <c r="U35" s="645"/>
      <c r="V35" s="645"/>
      <c r="W35" s="645"/>
      <c r="X35" s="645"/>
      <c r="Y35" s="645"/>
      <c r="Z35" s="645"/>
      <c r="AA35" s="65"/>
      <c r="AB35" s="65"/>
      <c r="AC35" s="79"/>
    </row>
    <row r="36" spans="1:68" ht="14.25" customHeight="1" x14ac:dyDescent="0.25">
      <c r="A36" s="646" t="s">
        <v>86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4301052259</v>
      </c>
      <c r="D37" s="641">
        <v>4680115889590</v>
      </c>
      <c r="E37" s="641"/>
      <c r="F37" s="62">
        <v>0.3</v>
      </c>
      <c r="G37" s="37">
        <v>4</v>
      </c>
      <c r="H37" s="62">
        <v>1.2</v>
      </c>
      <c r="I37" s="62">
        <v>6.18</v>
      </c>
      <c r="J37" s="37">
        <v>182</v>
      </c>
      <c r="K37" s="37" t="s">
        <v>91</v>
      </c>
      <c r="L37" s="37" t="s">
        <v>46</v>
      </c>
      <c r="M37" s="38" t="s">
        <v>90</v>
      </c>
      <c r="N37" s="38"/>
      <c r="O37" s="37">
        <v>40</v>
      </c>
      <c r="P37" s="91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7" s="643"/>
      <c r="R37" s="643"/>
      <c r="S37" s="643"/>
      <c r="T37" s="64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108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customHeight="1" x14ac:dyDescent="0.25">
      <c r="A38" s="63" t="s">
        <v>109</v>
      </c>
      <c r="B38" s="63" t="s">
        <v>110</v>
      </c>
      <c r="C38" s="36">
        <v>4301052187</v>
      </c>
      <c r="D38" s="641">
        <v>4680115889354</v>
      </c>
      <c r="E38" s="64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97</v>
      </c>
      <c r="N38" s="38"/>
      <c r="O38" s="37">
        <v>40</v>
      </c>
      <c r="P38" s="90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8" s="643"/>
      <c r="R38" s="643"/>
      <c r="S38" s="643"/>
      <c r="T38" s="64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111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customHeight="1" x14ac:dyDescent="0.25">
      <c r="A39" s="63" t="s">
        <v>112</v>
      </c>
      <c r="B39" s="63" t="s">
        <v>113</v>
      </c>
      <c r="C39" s="36">
        <v>4301052198</v>
      </c>
      <c r="D39" s="641">
        <v>4680115888463</v>
      </c>
      <c r="E39" s="641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0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9" s="643"/>
      <c r="R39" s="643"/>
      <c r="S39" s="643"/>
      <c r="T39" s="64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114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4301052202</v>
      </c>
      <c r="D40" s="641">
        <v>4680115888494</v>
      </c>
      <c r="E40" s="64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0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43"/>
      <c r="R40" s="643"/>
      <c r="S40" s="643"/>
      <c r="T40" s="64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107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4301052184</v>
      </c>
      <c r="D41" s="641">
        <v>4680115888272</v>
      </c>
      <c r="E41" s="64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0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43"/>
      <c r="R41" s="643"/>
      <c r="S41" s="643"/>
      <c r="T41" s="64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4301052188</v>
      </c>
      <c r="D42" s="641">
        <v>4680115888364</v>
      </c>
      <c r="E42" s="64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0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43"/>
      <c r="R42" s="643"/>
      <c r="S42" s="643"/>
      <c r="T42" s="64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122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x14ac:dyDescent="0.2">
      <c r="A43" s="635"/>
      <c r="B43" s="635"/>
      <c r="C43" s="635"/>
      <c r="D43" s="635"/>
      <c r="E43" s="635"/>
      <c r="F43" s="635"/>
      <c r="G43" s="635"/>
      <c r="H43" s="635"/>
      <c r="I43" s="635"/>
      <c r="J43" s="635"/>
      <c r="K43" s="635"/>
      <c r="L43" s="635"/>
      <c r="M43" s="635"/>
      <c r="N43" s="635"/>
      <c r="O43" s="636"/>
      <c r="P43" s="632" t="s">
        <v>40</v>
      </c>
      <c r="Q43" s="633"/>
      <c r="R43" s="633"/>
      <c r="S43" s="633"/>
      <c r="T43" s="633"/>
      <c r="U43" s="633"/>
      <c r="V43" s="634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5"/>
      <c r="B44" s="635"/>
      <c r="C44" s="635"/>
      <c r="D44" s="635"/>
      <c r="E44" s="635"/>
      <c r="F44" s="635"/>
      <c r="G44" s="635"/>
      <c r="H44" s="635"/>
      <c r="I44" s="635"/>
      <c r="J44" s="635"/>
      <c r="K44" s="635"/>
      <c r="L44" s="635"/>
      <c r="M44" s="635"/>
      <c r="N44" s="635"/>
      <c r="O44" s="636"/>
      <c r="P44" s="632" t="s">
        <v>40</v>
      </c>
      <c r="Q44" s="633"/>
      <c r="R44" s="633"/>
      <c r="S44" s="633"/>
      <c r="T44" s="633"/>
      <c r="U44" s="633"/>
      <c r="V44" s="634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customHeight="1" x14ac:dyDescent="0.2">
      <c r="A45" s="652" t="s">
        <v>123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54"/>
      <c r="AB45" s="54"/>
      <c r="AC45" s="54"/>
    </row>
    <row r="46" spans="1:68" ht="16.5" customHeight="1" x14ac:dyDescent="0.25">
      <c r="A46" s="645" t="s">
        <v>124</v>
      </c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5"/>
      <c r="P46" s="645"/>
      <c r="Q46" s="645"/>
      <c r="R46" s="645"/>
      <c r="S46" s="645"/>
      <c r="T46" s="645"/>
      <c r="U46" s="645"/>
      <c r="V46" s="645"/>
      <c r="W46" s="645"/>
      <c r="X46" s="645"/>
      <c r="Y46" s="645"/>
      <c r="Z46" s="645"/>
      <c r="AA46" s="65"/>
      <c r="AB46" s="65"/>
      <c r="AC46" s="79"/>
    </row>
    <row r="47" spans="1:68" ht="14.25" customHeight="1" x14ac:dyDescent="0.25">
      <c r="A47" s="646" t="s">
        <v>125</v>
      </c>
      <c r="B47" s="646"/>
      <c r="C47" s="646"/>
      <c r="D47" s="646"/>
      <c r="E47" s="646"/>
      <c r="F47" s="646"/>
      <c r="G47" s="646"/>
      <c r="H47" s="646"/>
      <c r="I47" s="646"/>
      <c r="J47" s="646"/>
      <c r="K47" s="646"/>
      <c r="L47" s="646"/>
      <c r="M47" s="646"/>
      <c r="N47" s="646"/>
      <c r="O47" s="646"/>
      <c r="P47" s="646"/>
      <c r="Q47" s="646"/>
      <c r="R47" s="646"/>
      <c r="S47" s="646"/>
      <c r="T47" s="646"/>
      <c r="U47" s="646"/>
      <c r="V47" s="646"/>
      <c r="W47" s="646"/>
      <c r="X47" s="646"/>
      <c r="Y47" s="646"/>
      <c r="Z47" s="646"/>
      <c r="AA47" s="66"/>
      <c r="AB47" s="66"/>
      <c r="AC47" s="80"/>
    </row>
    <row r="48" spans="1:68" ht="16.5" customHeight="1" x14ac:dyDescent="0.25">
      <c r="A48" s="63" t="s">
        <v>126</v>
      </c>
      <c r="B48" s="63" t="s">
        <v>127</v>
      </c>
      <c r="C48" s="36">
        <v>4301011380</v>
      </c>
      <c r="D48" s="641">
        <v>4607091385670</v>
      </c>
      <c r="E48" s="64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130</v>
      </c>
      <c r="L48" s="37" t="s">
        <v>46</v>
      </c>
      <c r="M48" s="38" t="s">
        <v>129</v>
      </c>
      <c r="N48" s="38"/>
      <c r="O48" s="37">
        <v>50</v>
      </c>
      <c r="P48" s="9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43"/>
      <c r="R48" s="643"/>
      <c r="S48" s="643"/>
      <c r="T48" s="64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128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131</v>
      </c>
      <c r="B49" s="63" t="s">
        <v>132</v>
      </c>
      <c r="C49" s="36">
        <v>4301012053</v>
      </c>
      <c r="D49" s="641">
        <v>4680115887725</v>
      </c>
      <c r="E49" s="64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134</v>
      </c>
      <c r="L49" s="37" t="s">
        <v>46</v>
      </c>
      <c r="M49" s="38" t="s">
        <v>81</v>
      </c>
      <c r="N49" s="38"/>
      <c r="O49" s="37">
        <v>30</v>
      </c>
      <c r="P49" s="90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43"/>
      <c r="R49" s="643"/>
      <c r="S49" s="643"/>
      <c r="T49" s="64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133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4301011382</v>
      </c>
      <c r="D50" s="641">
        <v>4607091385687</v>
      </c>
      <c r="E50" s="64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137</v>
      </c>
      <c r="L50" s="37" t="s">
        <v>46</v>
      </c>
      <c r="M50" s="38" t="s">
        <v>90</v>
      </c>
      <c r="N50" s="38"/>
      <c r="O50" s="37">
        <v>50</v>
      </c>
      <c r="P50" s="90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43"/>
      <c r="R50" s="643"/>
      <c r="S50" s="643"/>
      <c r="T50" s="64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128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138</v>
      </c>
      <c r="B51" s="63" t="s">
        <v>139</v>
      </c>
      <c r="C51" s="36">
        <v>4301011565</v>
      </c>
      <c r="D51" s="641">
        <v>4680115882539</v>
      </c>
      <c r="E51" s="64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137</v>
      </c>
      <c r="L51" s="37" t="s">
        <v>46</v>
      </c>
      <c r="M51" s="38" t="s">
        <v>90</v>
      </c>
      <c r="N51" s="38"/>
      <c r="O51" s="37">
        <v>50</v>
      </c>
      <c r="P51" s="90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43"/>
      <c r="R51" s="643"/>
      <c r="S51" s="643"/>
      <c r="T51" s="64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128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635"/>
      <c r="B52" s="635"/>
      <c r="C52" s="635"/>
      <c r="D52" s="635"/>
      <c r="E52" s="635"/>
      <c r="F52" s="635"/>
      <c r="G52" s="635"/>
      <c r="H52" s="635"/>
      <c r="I52" s="635"/>
      <c r="J52" s="635"/>
      <c r="K52" s="635"/>
      <c r="L52" s="635"/>
      <c r="M52" s="635"/>
      <c r="N52" s="635"/>
      <c r="O52" s="636"/>
      <c r="P52" s="632" t="s">
        <v>40</v>
      </c>
      <c r="Q52" s="633"/>
      <c r="R52" s="633"/>
      <c r="S52" s="633"/>
      <c r="T52" s="633"/>
      <c r="U52" s="633"/>
      <c r="V52" s="634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x14ac:dyDescent="0.2">
      <c r="A53" s="635"/>
      <c r="B53" s="635"/>
      <c r="C53" s="635"/>
      <c r="D53" s="635"/>
      <c r="E53" s="635"/>
      <c r="F53" s="635"/>
      <c r="G53" s="635"/>
      <c r="H53" s="635"/>
      <c r="I53" s="635"/>
      <c r="J53" s="635"/>
      <c r="K53" s="635"/>
      <c r="L53" s="635"/>
      <c r="M53" s="635"/>
      <c r="N53" s="635"/>
      <c r="O53" s="636"/>
      <c r="P53" s="632" t="s">
        <v>40</v>
      </c>
      <c r="Q53" s="633"/>
      <c r="R53" s="633"/>
      <c r="S53" s="633"/>
      <c r="T53" s="633"/>
      <c r="U53" s="633"/>
      <c r="V53" s="634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customHeight="1" x14ac:dyDescent="0.25">
      <c r="A54" s="645" t="s">
        <v>140</v>
      </c>
      <c r="B54" s="645"/>
      <c r="C54" s="645"/>
      <c r="D54" s="645"/>
      <c r="E54" s="645"/>
      <c r="F54" s="645"/>
      <c r="G54" s="645"/>
      <c r="H54" s="645"/>
      <c r="I54" s="645"/>
      <c r="J54" s="645"/>
      <c r="K54" s="645"/>
      <c r="L54" s="645"/>
      <c r="M54" s="645"/>
      <c r="N54" s="645"/>
      <c r="O54" s="645"/>
      <c r="P54" s="645"/>
      <c r="Q54" s="645"/>
      <c r="R54" s="645"/>
      <c r="S54" s="645"/>
      <c r="T54" s="645"/>
      <c r="U54" s="645"/>
      <c r="V54" s="645"/>
      <c r="W54" s="645"/>
      <c r="X54" s="645"/>
      <c r="Y54" s="645"/>
      <c r="Z54" s="645"/>
      <c r="AA54" s="65"/>
      <c r="AB54" s="65"/>
      <c r="AC54" s="79"/>
    </row>
    <row r="55" spans="1:68" ht="14.25" customHeight="1" x14ac:dyDescent="0.25">
      <c r="A55" s="646" t="s">
        <v>125</v>
      </c>
      <c r="B55" s="646"/>
      <c r="C55" s="646"/>
      <c r="D55" s="646"/>
      <c r="E55" s="646"/>
      <c r="F55" s="646"/>
      <c r="G55" s="646"/>
      <c r="H55" s="646"/>
      <c r="I55" s="646"/>
      <c r="J55" s="646"/>
      <c r="K55" s="646"/>
      <c r="L55" s="646"/>
      <c r="M55" s="646"/>
      <c r="N55" s="646"/>
      <c r="O55" s="646"/>
      <c r="P55" s="646"/>
      <c r="Q55" s="646"/>
      <c r="R55" s="646"/>
      <c r="S55" s="646"/>
      <c r="T55" s="646"/>
      <c r="U55" s="646"/>
      <c r="V55" s="646"/>
      <c r="W55" s="646"/>
      <c r="X55" s="646"/>
      <c r="Y55" s="646"/>
      <c r="Z55" s="646"/>
      <c r="AA55" s="66"/>
      <c r="AB55" s="66"/>
      <c r="AC55" s="80"/>
    </row>
    <row r="56" spans="1:68" ht="27" customHeight="1" x14ac:dyDescent="0.25">
      <c r="A56" s="63" t="s">
        <v>141</v>
      </c>
      <c r="B56" s="63" t="s">
        <v>142</v>
      </c>
      <c r="C56" s="36">
        <v>4301012161</v>
      </c>
      <c r="D56" s="641">
        <v>4680115885882</v>
      </c>
      <c r="E56" s="64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130</v>
      </c>
      <c r="L56" s="37" t="s">
        <v>46</v>
      </c>
      <c r="M56" s="38" t="s">
        <v>129</v>
      </c>
      <c r="N56" s="38"/>
      <c r="O56" s="37">
        <v>50</v>
      </c>
      <c r="P56" s="89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3"/>
      <c r="R56" s="643"/>
      <c r="S56" s="643"/>
      <c r="T56" s="64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4301011816</v>
      </c>
      <c r="D57" s="641">
        <v>4680115881426</v>
      </c>
      <c r="E57" s="64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130</v>
      </c>
      <c r="L57" s="37" t="s">
        <v>46</v>
      </c>
      <c r="M57" s="38" t="s">
        <v>129</v>
      </c>
      <c r="N57" s="38"/>
      <c r="O57" s="37">
        <v>50</v>
      </c>
      <c r="P57" s="8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3"/>
      <c r="R57" s="643"/>
      <c r="S57" s="643"/>
      <c r="T57" s="64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4301012259</v>
      </c>
      <c r="D58" s="641">
        <v>4680115880283</v>
      </c>
      <c r="E58" s="64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129</v>
      </c>
      <c r="N58" s="38"/>
      <c r="O58" s="37">
        <v>45</v>
      </c>
      <c r="P58" s="89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3"/>
      <c r="R58" s="643"/>
      <c r="S58" s="643"/>
      <c r="T58" s="64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4301011806</v>
      </c>
      <c r="D59" s="641">
        <v>4680115881525</v>
      </c>
      <c r="E59" s="64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129</v>
      </c>
      <c r="N59" s="38"/>
      <c r="O59" s="37">
        <v>50</v>
      </c>
      <c r="P59" s="89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3"/>
      <c r="R59" s="643"/>
      <c r="S59" s="643"/>
      <c r="T59" s="64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152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153</v>
      </c>
      <c r="B60" s="63" t="s">
        <v>154</v>
      </c>
      <c r="C60" s="36">
        <v>4301012165</v>
      </c>
      <c r="D60" s="641">
        <v>4680115885899</v>
      </c>
      <c r="E60" s="64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129</v>
      </c>
      <c r="N60" s="38"/>
      <c r="O60" s="37">
        <v>50</v>
      </c>
      <c r="P60" s="90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3"/>
      <c r="R60" s="643"/>
      <c r="S60" s="643"/>
      <c r="T60" s="64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143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155</v>
      </c>
      <c r="B61" s="63" t="s">
        <v>156</v>
      </c>
      <c r="C61" s="36">
        <v>4301011801</v>
      </c>
      <c r="D61" s="641">
        <v>4680115881419</v>
      </c>
      <c r="E61" s="64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137</v>
      </c>
      <c r="L61" s="37" t="s">
        <v>46</v>
      </c>
      <c r="M61" s="38" t="s">
        <v>129</v>
      </c>
      <c r="N61" s="38"/>
      <c r="O61" s="37">
        <v>50</v>
      </c>
      <c r="P61" s="8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3"/>
      <c r="R61" s="643"/>
      <c r="S61" s="643"/>
      <c r="T61" s="64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157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x14ac:dyDescent="0.2">
      <c r="A62" s="635"/>
      <c r="B62" s="635"/>
      <c r="C62" s="635"/>
      <c r="D62" s="635"/>
      <c r="E62" s="635"/>
      <c r="F62" s="635"/>
      <c r="G62" s="635"/>
      <c r="H62" s="635"/>
      <c r="I62" s="635"/>
      <c r="J62" s="635"/>
      <c r="K62" s="635"/>
      <c r="L62" s="635"/>
      <c r="M62" s="635"/>
      <c r="N62" s="635"/>
      <c r="O62" s="636"/>
      <c r="P62" s="632" t="s">
        <v>40</v>
      </c>
      <c r="Q62" s="633"/>
      <c r="R62" s="633"/>
      <c r="S62" s="633"/>
      <c r="T62" s="633"/>
      <c r="U62" s="633"/>
      <c r="V62" s="634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">
      <c r="A63" s="635"/>
      <c r="B63" s="635"/>
      <c r="C63" s="635"/>
      <c r="D63" s="635"/>
      <c r="E63" s="635"/>
      <c r="F63" s="635"/>
      <c r="G63" s="635"/>
      <c r="H63" s="635"/>
      <c r="I63" s="635"/>
      <c r="J63" s="635"/>
      <c r="K63" s="635"/>
      <c r="L63" s="635"/>
      <c r="M63" s="635"/>
      <c r="N63" s="635"/>
      <c r="O63" s="636"/>
      <c r="P63" s="632" t="s">
        <v>40</v>
      </c>
      <c r="Q63" s="633"/>
      <c r="R63" s="633"/>
      <c r="S63" s="633"/>
      <c r="T63" s="633"/>
      <c r="U63" s="633"/>
      <c r="V63" s="634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customHeight="1" x14ac:dyDescent="0.25">
      <c r="A64" s="646" t="s">
        <v>158</v>
      </c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46"/>
      <c r="P64" s="646"/>
      <c r="Q64" s="646"/>
      <c r="R64" s="646"/>
      <c r="S64" s="646"/>
      <c r="T64" s="646"/>
      <c r="U64" s="646"/>
      <c r="V64" s="646"/>
      <c r="W64" s="646"/>
      <c r="X64" s="646"/>
      <c r="Y64" s="646"/>
      <c r="Z64" s="646"/>
      <c r="AA64" s="66"/>
      <c r="AB64" s="66"/>
      <c r="AC64" s="80"/>
    </row>
    <row r="65" spans="1:68" ht="16.5" customHeight="1" x14ac:dyDescent="0.25">
      <c r="A65" s="63" t="s">
        <v>159</v>
      </c>
      <c r="B65" s="63" t="s">
        <v>160</v>
      </c>
      <c r="C65" s="36">
        <v>4301020298</v>
      </c>
      <c r="D65" s="641">
        <v>4680115881440</v>
      </c>
      <c r="E65" s="64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130</v>
      </c>
      <c r="L65" s="37" t="s">
        <v>46</v>
      </c>
      <c r="M65" s="38" t="s">
        <v>129</v>
      </c>
      <c r="N65" s="38"/>
      <c r="O65" s="37">
        <v>50</v>
      </c>
      <c r="P65" s="89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3"/>
      <c r="R65" s="643"/>
      <c r="S65" s="643"/>
      <c r="T65" s="64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161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162</v>
      </c>
      <c r="B66" s="63" t="s">
        <v>163</v>
      </c>
      <c r="C66" s="36">
        <v>4301020358</v>
      </c>
      <c r="D66" s="641">
        <v>4680115885950</v>
      </c>
      <c r="E66" s="64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8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3"/>
      <c r="R66" s="643"/>
      <c r="S66" s="643"/>
      <c r="T66" s="64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164</v>
      </c>
      <c r="B67" s="63" t="s">
        <v>165</v>
      </c>
      <c r="C67" s="36">
        <v>4301020371</v>
      </c>
      <c r="D67" s="641">
        <v>4680115887688</v>
      </c>
      <c r="E67" s="64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134</v>
      </c>
      <c r="L67" s="37" t="s">
        <v>46</v>
      </c>
      <c r="M67" s="38" t="s">
        <v>81</v>
      </c>
      <c r="N67" s="38"/>
      <c r="O67" s="37">
        <v>30</v>
      </c>
      <c r="P67" s="89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3"/>
      <c r="R67" s="643"/>
      <c r="S67" s="643"/>
      <c r="T67" s="64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166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167</v>
      </c>
      <c r="B68" s="63" t="s">
        <v>168</v>
      </c>
      <c r="C68" s="36">
        <v>4301020296</v>
      </c>
      <c r="D68" s="641">
        <v>4680115881433</v>
      </c>
      <c r="E68" s="64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129</v>
      </c>
      <c r="N68" s="38"/>
      <c r="O68" s="37">
        <v>50</v>
      </c>
      <c r="P68" s="89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3"/>
      <c r="R68" s="643"/>
      <c r="S68" s="643"/>
      <c r="T68" s="64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161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5"/>
      <c r="B69" s="635"/>
      <c r="C69" s="635"/>
      <c r="D69" s="635"/>
      <c r="E69" s="635"/>
      <c r="F69" s="635"/>
      <c r="G69" s="635"/>
      <c r="H69" s="635"/>
      <c r="I69" s="635"/>
      <c r="J69" s="635"/>
      <c r="K69" s="635"/>
      <c r="L69" s="635"/>
      <c r="M69" s="635"/>
      <c r="N69" s="635"/>
      <c r="O69" s="636"/>
      <c r="P69" s="632" t="s">
        <v>40</v>
      </c>
      <c r="Q69" s="633"/>
      <c r="R69" s="633"/>
      <c r="S69" s="633"/>
      <c r="T69" s="633"/>
      <c r="U69" s="633"/>
      <c r="V69" s="634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35"/>
      <c r="B70" s="635"/>
      <c r="C70" s="635"/>
      <c r="D70" s="635"/>
      <c r="E70" s="635"/>
      <c r="F70" s="635"/>
      <c r="G70" s="635"/>
      <c r="H70" s="635"/>
      <c r="I70" s="635"/>
      <c r="J70" s="635"/>
      <c r="K70" s="635"/>
      <c r="L70" s="635"/>
      <c r="M70" s="635"/>
      <c r="N70" s="635"/>
      <c r="O70" s="636"/>
      <c r="P70" s="632" t="s">
        <v>40</v>
      </c>
      <c r="Q70" s="633"/>
      <c r="R70" s="633"/>
      <c r="S70" s="633"/>
      <c r="T70" s="633"/>
      <c r="U70" s="633"/>
      <c r="V70" s="634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646" t="s">
        <v>86</v>
      </c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646"/>
      <c r="Q71" s="646"/>
      <c r="R71" s="646"/>
      <c r="S71" s="646"/>
      <c r="T71" s="646"/>
      <c r="U71" s="646"/>
      <c r="V71" s="646"/>
      <c r="W71" s="646"/>
      <c r="X71" s="646"/>
      <c r="Y71" s="646"/>
      <c r="Z71" s="646"/>
      <c r="AA71" s="66"/>
      <c r="AB71" s="66"/>
      <c r="AC71" s="80"/>
    </row>
    <row r="72" spans="1:68" ht="16.5" customHeight="1" x14ac:dyDescent="0.25">
      <c r="A72" s="63" t="s">
        <v>169</v>
      </c>
      <c r="B72" s="63" t="s">
        <v>170</v>
      </c>
      <c r="C72" s="36">
        <v>4301051837</v>
      </c>
      <c r="D72" s="641">
        <v>4680115884311</v>
      </c>
      <c r="E72" s="64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89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3"/>
      <c r="R72" s="643"/>
      <c r="S72" s="643"/>
      <c r="T72" s="64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172</v>
      </c>
      <c r="B73" s="63" t="s">
        <v>173</v>
      </c>
      <c r="C73" s="36">
        <v>4301051929</v>
      </c>
      <c r="D73" s="641">
        <v>4680115884403</v>
      </c>
      <c r="E73" s="64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88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3"/>
      <c r="R73" s="643"/>
      <c r="S73" s="643"/>
      <c r="T73" s="64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174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35"/>
      <c r="B74" s="635"/>
      <c r="C74" s="635"/>
      <c r="D74" s="635"/>
      <c r="E74" s="635"/>
      <c r="F74" s="635"/>
      <c r="G74" s="635"/>
      <c r="H74" s="635"/>
      <c r="I74" s="635"/>
      <c r="J74" s="635"/>
      <c r="K74" s="635"/>
      <c r="L74" s="635"/>
      <c r="M74" s="635"/>
      <c r="N74" s="635"/>
      <c r="O74" s="636"/>
      <c r="P74" s="632" t="s">
        <v>40</v>
      </c>
      <c r="Q74" s="633"/>
      <c r="R74" s="633"/>
      <c r="S74" s="633"/>
      <c r="T74" s="633"/>
      <c r="U74" s="633"/>
      <c r="V74" s="634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x14ac:dyDescent="0.2">
      <c r="A75" s="635"/>
      <c r="B75" s="635"/>
      <c r="C75" s="635"/>
      <c r="D75" s="635"/>
      <c r="E75" s="635"/>
      <c r="F75" s="635"/>
      <c r="G75" s="635"/>
      <c r="H75" s="635"/>
      <c r="I75" s="635"/>
      <c r="J75" s="635"/>
      <c r="K75" s="635"/>
      <c r="L75" s="635"/>
      <c r="M75" s="635"/>
      <c r="N75" s="635"/>
      <c r="O75" s="636"/>
      <c r="P75" s="632" t="s">
        <v>40</v>
      </c>
      <c r="Q75" s="633"/>
      <c r="R75" s="633"/>
      <c r="S75" s="633"/>
      <c r="T75" s="633"/>
      <c r="U75" s="633"/>
      <c r="V75" s="634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customHeight="1" x14ac:dyDescent="0.25">
      <c r="A76" s="646" t="s">
        <v>175</v>
      </c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46"/>
      <c r="P76" s="646"/>
      <c r="Q76" s="646"/>
      <c r="R76" s="646"/>
      <c r="S76" s="646"/>
      <c r="T76" s="646"/>
      <c r="U76" s="646"/>
      <c r="V76" s="646"/>
      <c r="W76" s="646"/>
      <c r="X76" s="646"/>
      <c r="Y76" s="646"/>
      <c r="Z76" s="646"/>
      <c r="AA76" s="66"/>
      <c r="AB76" s="66"/>
      <c r="AC76" s="80"/>
    </row>
    <row r="77" spans="1:68" ht="27" customHeight="1" x14ac:dyDescent="0.25">
      <c r="A77" s="63" t="s">
        <v>176</v>
      </c>
      <c r="B77" s="63" t="s">
        <v>177</v>
      </c>
      <c r="C77" s="36">
        <v>4301060455</v>
      </c>
      <c r="D77" s="641">
        <v>4680115881532</v>
      </c>
      <c r="E77" s="64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130</v>
      </c>
      <c r="L77" s="37" t="s">
        <v>46</v>
      </c>
      <c r="M77" s="38" t="s">
        <v>97</v>
      </c>
      <c r="N77" s="38"/>
      <c r="O77" s="37">
        <v>30</v>
      </c>
      <c r="P77" s="8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3"/>
      <c r="R77" s="643"/>
      <c r="S77" s="643"/>
      <c r="T77" s="64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178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179</v>
      </c>
      <c r="B78" s="63" t="s">
        <v>180</v>
      </c>
      <c r="C78" s="36">
        <v>4301060351</v>
      </c>
      <c r="D78" s="641">
        <v>4680115881464</v>
      </c>
      <c r="E78" s="64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137</v>
      </c>
      <c r="L78" s="37" t="s">
        <v>46</v>
      </c>
      <c r="M78" s="38" t="s">
        <v>90</v>
      </c>
      <c r="N78" s="38"/>
      <c r="O78" s="37">
        <v>30</v>
      </c>
      <c r="P78" s="88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43"/>
      <c r="R78" s="643"/>
      <c r="S78" s="643"/>
      <c r="T78" s="64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181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35"/>
      <c r="B79" s="635"/>
      <c r="C79" s="635"/>
      <c r="D79" s="635"/>
      <c r="E79" s="635"/>
      <c r="F79" s="635"/>
      <c r="G79" s="635"/>
      <c r="H79" s="635"/>
      <c r="I79" s="635"/>
      <c r="J79" s="635"/>
      <c r="K79" s="635"/>
      <c r="L79" s="635"/>
      <c r="M79" s="635"/>
      <c r="N79" s="635"/>
      <c r="O79" s="636"/>
      <c r="P79" s="632" t="s">
        <v>40</v>
      </c>
      <c r="Q79" s="633"/>
      <c r="R79" s="633"/>
      <c r="S79" s="633"/>
      <c r="T79" s="633"/>
      <c r="U79" s="633"/>
      <c r="V79" s="63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35"/>
      <c r="B80" s="635"/>
      <c r="C80" s="635"/>
      <c r="D80" s="635"/>
      <c r="E80" s="635"/>
      <c r="F80" s="635"/>
      <c r="G80" s="635"/>
      <c r="H80" s="635"/>
      <c r="I80" s="635"/>
      <c r="J80" s="635"/>
      <c r="K80" s="635"/>
      <c r="L80" s="635"/>
      <c r="M80" s="635"/>
      <c r="N80" s="635"/>
      <c r="O80" s="636"/>
      <c r="P80" s="632" t="s">
        <v>40</v>
      </c>
      <c r="Q80" s="633"/>
      <c r="R80" s="633"/>
      <c r="S80" s="633"/>
      <c r="T80" s="633"/>
      <c r="U80" s="633"/>
      <c r="V80" s="63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645" t="s">
        <v>182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5"/>
      <c r="AB81" s="65"/>
      <c r="AC81" s="79"/>
    </row>
    <row r="82" spans="1:68" ht="14.25" customHeight="1" x14ac:dyDescent="0.25">
      <c r="A82" s="646" t="s">
        <v>125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6"/>
      <c r="AB82" s="66"/>
      <c r="AC82" s="80"/>
    </row>
    <row r="83" spans="1:68" ht="27" customHeight="1" x14ac:dyDescent="0.25">
      <c r="A83" s="63" t="s">
        <v>183</v>
      </c>
      <c r="B83" s="63" t="s">
        <v>184</v>
      </c>
      <c r="C83" s="36">
        <v>4301011468</v>
      </c>
      <c r="D83" s="641">
        <v>4680115881327</v>
      </c>
      <c r="E83" s="64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130</v>
      </c>
      <c r="L83" s="37" t="s">
        <v>46</v>
      </c>
      <c r="M83" s="38" t="s">
        <v>97</v>
      </c>
      <c r="N83" s="38"/>
      <c r="O83" s="37">
        <v>50</v>
      </c>
      <c r="P83" s="8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43"/>
      <c r="R83" s="643"/>
      <c r="S83" s="643"/>
      <c r="T83" s="64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185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186</v>
      </c>
      <c r="B84" s="63" t="s">
        <v>187</v>
      </c>
      <c r="C84" s="36">
        <v>4301011261</v>
      </c>
      <c r="D84" s="641">
        <v>4680115887732</v>
      </c>
      <c r="E84" s="64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134</v>
      </c>
      <c r="L84" s="37" t="s">
        <v>46</v>
      </c>
      <c r="M84" s="38" t="s">
        <v>81</v>
      </c>
      <c r="N84" s="38"/>
      <c r="O84" s="37">
        <v>30</v>
      </c>
      <c r="P84" s="88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43"/>
      <c r="R84" s="643"/>
      <c r="S84" s="643"/>
      <c r="T84" s="64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188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189</v>
      </c>
      <c r="B85" s="63" t="s">
        <v>190</v>
      </c>
      <c r="C85" s="36">
        <v>4301011476</v>
      </c>
      <c r="D85" s="641">
        <v>4680115881518</v>
      </c>
      <c r="E85" s="64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137</v>
      </c>
      <c r="L85" s="37" t="s">
        <v>46</v>
      </c>
      <c r="M85" s="38" t="s">
        <v>90</v>
      </c>
      <c r="N85" s="38"/>
      <c r="O85" s="37">
        <v>50</v>
      </c>
      <c r="P85" s="8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43"/>
      <c r="R85" s="643"/>
      <c r="S85" s="643"/>
      <c r="T85" s="64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191</v>
      </c>
      <c r="B86" s="63" t="s">
        <v>192</v>
      </c>
      <c r="C86" s="36">
        <v>4301011443</v>
      </c>
      <c r="D86" s="641">
        <v>4680115881303</v>
      </c>
      <c r="E86" s="64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137</v>
      </c>
      <c r="L86" s="37" t="s">
        <v>46</v>
      </c>
      <c r="M86" s="38" t="s">
        <v>97</v>
      </c>
      <c r="N86" s="38"/>
      <c r="O86" s="37">
        <v>50</v>
      </c>
      <c r="P86" s="88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43"/>
      <c r="R86" s="643"/>
      <c r="S86" s="643"/>
      <c r="T86" s="64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35"/>
      <c r="B87" s="635"/>
      <c r="C87" s="635"/>
      <c r="D87" s="635"/>
      <c r="E87" s="635"/>
      <c r="F87" s="635"/>
      <c r="G87" s="635"/>
      <c r="H87" s="635"/>
      <c r="I87" s="635"/>
      <c r="J87" s="635"/>
      <c r="K87" s="635"/>
      <c r="L87" s="635"/>
      <c r="M87" s="635"/>
      <c r="N87" s="635"/>
      <c r="O87" s="636"/>
      <c r="P87" s="632" t="s">
        <v>40</v>
      </c>
      <c r="Q87" s="633"/>
      <c r="R87" s="633"/>
      <c r="S87" s="633"/>
      <c r="T87" s="633"/>
      <c r="U87" s="633"/>
      <c r="V87" s="634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">
      <c r="A88" s="635"/>
      <c r="B88" s="635"/>
      <c r="C88" s="635"/>
      <c r="D88" s="635"/>
      <c r="E88" s="635"/>
      <c r="F88" s="635"/>
      <c r="G88" s="635"/>
      <c r="H88" s="635"/>
      <c r="I88" s="635"/>
      <c r="J88" s="635"/>
      <c r="K88" s="635"/>
      <c r="L88" s="635"/>
      <c r="M88" s="635"/>
      <c r="N88" s="635"/>
      <c r="O88" s="636"/>
      <c r="P88" s="632" t="s">
        <v>40</v>
      </c>
      <c r="Q88" s="633"/>
      <c r="R88" s="633"/>
      <c r="S88" s="633"/>
      <c r="T88" s="633"/>
      <c r="U88" s="633"/>
      <c r="V88" s="634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646" t="s">
        <v>86</v>
      </c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46"/>
      <c r="P89" s="646"/>
      <c r="Q89" s="646"/>
      <c r="R89" s="646"/>
      <c r="S89" s="646"/>
      <c r="T89" s="646"/>
      <c r="U89" s="646"/>
      <c r="V89" s="646"/>
      <c r="W89" s="646"/>
      <c r="X89" s="646"/>
      <c r="Y89" s="646"/>
      <c r="Z89" s="646"/>
      <c r="AA89" s="66"/>
      <c r="AB89" s="66"/>
      <c r="AC89" s="80"/>
    </row>
    <row r="90" spans="1:68" ht="27" customHeight="1" x14ac:dyDescent="0.25">
      <c r="A90" s="63" t="s">
        <v>193</v>
      </c>
      <c r="B90" s="63" t="s">
        <v>194</v>
      </c>
      <c r="C90" s="36">
        <v>4301051712</v>
      </c>
      <c r="D90" s="641">
        <v>4607091386967</v>
      </c>
      <c r="E90" s="64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130</v>
      </c>
      <c r="L90" s="37" t="s">
        <v>46</v>
      </c>
      <c r="M90" s="38" t="s">
        <v>97</v>
      </c>
      <c r="N90" s="38"/>
      <c r="O90" s="37">
        <v>45</v>
      </c>
      <c r="P90" s="88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43"/>
      <c r="R90" s="643"/>
      <c r="S90" s="643"/>
      <c r="T90" s="64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4301051788</v>
      </c>
      <c r="D91" s="641">
        <v>4680115884953</v>
      </c>
      <c r="E91" s="64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91</v>
      </c>
      <c r="L91" s="37" t="s">
        <v>46</v>
      </c>
      <c r="M91" s="38" t="s">
        <v>90</v>
      </c>
      <c r="N91" s="38"/>
      <c r="O91" s="37">
        <v>45</v>
      </c>
      <c r="P91" s="87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43"/>
      <c r="R91" s="643"/>
      <c r="S91" s="643"/>
      <c r="T91" s="64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198</v>
      </c>
      <c r="B92" s="63" t="s">
        <v>199</v>
      </c>
      <c r="C92" s="36">
        <v>4301051718</v>
      </c>
      <c r="D92" s="641">
        <v>4607091385731</v>
      </c>
      <c r="E92" s="64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91</v>
      </c>
      <c r="L92" s="37" t="s">
        <v>46</v>
      </c>
      <c r="M92" s="38" t="s">
        <v>97</v>
      </c>
      <c r="N92" s="38"/>
      <c r="O92" s="37">
        <v>45</v>
      </c>
      <c r="P92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43"/>
      <c r="R92" s="643"/>
      <c r="S92" s="643"/>
      <c r="T92" s="64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200</v>
      </c>
      <c r="B93" s="63" t="s">
        <v>201</v>
      </c>
      <c r="C93" s="36">
        <v>4301052092</v>
      </c>
      <c r="D93" s="641">
        <v>4680115880894</v>
      </c>
      <c r="E93" s="64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91</v>
      </c>
      <c r="L93" s="37" t="s">
        <v>46</v>
      </c>
      <c r="M93" s="38" t="s">
        <v>90</v>
      </c>
      <c r="N93" s="38"/>
      <c r="O93" s="37">
        <v>45</v>
      </c>
      <c r="P93" s="88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43"/>
      <c r="R93" s="643"/>
      <c r="S93" s="643"/>
      <c r="T93" s="64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202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35"/>
      <c r="B94" s="635"/>
      <c r="C94" s="635"/>
      <c r="D94" s="635"/>
      <c r="E94" s="635"/>
      <c r="F94" s="635"/>
      <c r="G94" s="635"/>
      <c r="H94" s="635"/>
      <c r="I94" s="635"/>
      <c r="J94" s="635"/>
      <c r="K94" s="635"/>
      <c r="L94" s="635"/>
      <c r="M94" s="635"/>
      <c r="N94" s="635"/>
      <c r="O94" s="636"/>
      <c r="P94" s="632" t="s">
        <v>40</v>
      </c>
      <c r="Q94" s="633"/>
      <c r="R94" s="633"/>
      <c r="S94" s="633"/>
      <c r="T94" s="633"/>
      <c r="U94" s="633"/>
      <c r="V94" s="634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">
      <c r="A95" s="635"/>
      <c r="B95" s="635"/>
      <c r="C95" s="635"/>
      <c r="D95" s="635"/>
      <c r="E95" s="635"/>
      <c r="F95" s="635"/>
      <c r="G95" s="635"/>
      <c r="H95" s="635"/>
      <c r="I95" s="635"/>
      <c r="J95" s="635"/>
      <c r="K95" s="635"/>
      <c r="L95" s="635"/>
      <c r="M95" s="635"/>
      <c r="N95" s="635"/>
      <c r="O95" s="636"/>
      <c r="P95" s="632" t="s">
        <v>40</v>
      </c>
      <c r="Q95" s="633"/>
      <c r="R95" s="633"/>
      <c r="S95" s="633"/>
      <c r="T95" s="633"/>
      <c r="U95" s="633"/>
      <c r="V95" s="634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645" t="s">
        <v>203</v>
      </c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5"/>
      <c r="P96" s="645"/>
      <c r="Q96" s="645"/>
      <c r="R96" s="645"/>
      <c r="S96" s="645"/>
      <c r="T96" s="645"/>
      <c r="U96" s="645"/>
      <c r="V96" s="645"/>
      <c r="W96" s="645"/>
      <c r="X96" s="645"/>
      <c r="Y96" s="645"/>
      <c r="Z96" s="645"/>
      <c r="AA96" s="65"/>
      <c r="AB96" s="65"/>
      <c r="AC96" s="79"/>
    </row>
    <row r="97" spans="1:68" ht="14.25" customHeight="1" x14ac:dyDescent="0.25">
      <c r="A97" s="646" t="s">
        <v>125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6"/>
      <c r="AB97" s="66"/>
      <c r="AC97" s="80"/>
    </row>
    <row r="98" spans="1:68" ht="37.5" customHeight="1" x14ac:dyDescent="0.25">
      <c r="A98" s="63" t="s">
        <v>204</v>
      </c>
      <c r="B98" s="63" t="s">
        <v>205</v>
      </c>
      <c r="C98" s="36">
        <v>4301011514</v>
      </c>
      <c r="D98" s="641">
        <v>4680115882133</v>
      </c>
      <c r="E98" s="64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130</v>
      </c>
      <c r="L98" s="37" t="s">
        <v>46</v>
      </c>
      <c r="M98" s="38" t="s">
        <v>129</v>
      </c>
      <c r="N98" s="38"/>
      <c r="O98" s="37">
        <v>50</v>
      </c>
      <c r="P98" s="8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43"/>
      <c r="R98" s="643"/>
      <c r="S98" s="643"/>
      <c r="T98" s="64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206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customHeight="1" x14ac:dyDescent="0.25">
      <c r="A99" s="63" t="s">
        <v>207</v>
      </c>
      <c r="B99" s="63" t="s">
        <v>208</v>
      </c>
      <c r="C99" s="36">
        <v>4301012051</v>
      </c>
      <c r="D99" s="641">
        <v>4680115887718</v>
      </c>
      <c r="E99" s="64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134</v>
      </c>
      <c r="L99" s="37" t="s">
        <v>46</v>
      </c>
      <c r="M99" s="38" t="s">
        <v>81</v>
      </c>
      <c r="N99" s="38"/>
      <c r="O99" s="37">
        <v>30</v>
      </c>
      <c r="P99" s="87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43"/>
      <c r="R99" s="643"/>
      <c r="S99" s="643"/>
      <c r="T99" s="64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209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customHeight="1" x14ac:dyDescent="0.25">
      <c r="A100" s="63" t="s">
        <v>207</v>
      </c>
      <c r="B100" s="63" t="s">
        <v>210</v>
      </c>
      <c r="C100" s="36">
        <v>4301012334</v>
      </c>
      <c r="D100" s="641">
        <v>4680115887718</v>
      </c>
      <c r="E100" s="64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134</v>
      </c>
      <c r="L100" s="37" t="s">
        <v>46</v>
      </c>
      <c r="M100" s="38" t="s">
        <v>81</v>
      </c>
      <c r="N100" s="38"/>
      <c r="O100" s="37">
        <v>30</v>
      </c>
      <c r="P100" s="87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3"/>
      <c r="R100" s="643"/>
      <c r="S100" s="643"/>
      <c r="T100" s="64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customHeight="1" x14ac:dyDescent="0.25">
      <c r="A101" s="63" t="s">
        <v>207</v>
      </c>
      <c r="B101" s="63" t="s">
        <v>211</v>
      </c>
      <c r="C101" s="36">
        <v>4301012379</v>
      </c>
      <c r="D101" s="641">
        <v>4680115887718</v>
      </c>
      <c r="E101" s="64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134</v>
      </c>
      <c r="L101" s="37" t="s">
        <v>46</v>
      </c>
      <c r="M101" s="38" t="s">
        <v>81</v>
      </c>
      <c r="N101" s="38"/>
      <c r="O101" s="37">
        <v>30</v>
      </c>
      <c r="P101" s="87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3"/>
      <c r="R101" s="643"/>
      <c r="S101" s="643"/>
      <c r="T101" s="64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customHeight="1" x14ac:dyDescent="0.25">
      <c r="A102" s="63" t="s">
        <v>212</v>
      </c>
      <c r="B102" s="63" t="s">
        <v>213</v>
      </c>
      <c r="C102" s="36">
        <v>4301011417</v>
      </c>
      <c r="D102" s="641">
        <v>4680115880269</v>
      </c>
      <c r="E102" s="64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137</v>
      </c>
      <c r="L102" s="37" t="s">
        <v>46</v>
      </c>
      <c r="M102" s="38" t="s">
        <v>90</v>
      </c>
      <c r="N102" s="38"/>
      <c r="O102" s="37">
        <v>50</v>
      </c>
      <c r="P102" s="8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43"/>
      <c r="R102" s="643"/>
      <c r="S102" s="643"/>
      <c r="T102" s="64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206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214</v>
      </c>
      <c r="B103" s="63" t="s">
        <v>215</v>
      </c>
      <c r="C103" s="36">
        <v>4301011415</v>
      </c>
      <c r="D103" s="641">
        <v>4680115880429</v>
      </c>
      <c r="E103" s="64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137</v>
      </c>
      <c r="L103" s="37" t="s">
        <v>46</v>
      </c>
      <c r="M103" s="38" t="s">
        <v>90</v>
      </c>
      <c r="N103" s="38"/>
      <c r="O103" s="37">
        <v>50</v>
      </c>
      <c r="P103" s="8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43"/>
      <c r="R103" s="643"/>
      <c r="S103" s="643"/>
      <c r="T103" s="64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customHeight="1" x14ac:dyDescent="0.25">
      <c r="A104" s="63" t="s">
        <v>216</v>
      </c>
      <c r="B104" s="63" t="s">
        <v>217</v>
      </c>
      <c r="C104" s="36">
        <v>4301011462</v>
      </c>
      <c r="D104" s="641">
        <v>4680115881457</v>
      </c>
      <c r="E104" s="64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137</v>
      </c>
      <c r="L104" s="37" t="s">
        <v>46</v>
      </c>
      <c r="M104" s="38" t="s">
        <v>90</v>
      </c>
      <c r="N104" s="38"/>
      <c r="O104" s="37">
        <v>50</v>
      </c>
      <c r="P104" s="8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43"/>
      <c r="R104" s="643"/>
      <c r="S104" s="643"/>
      <c r="T104" s="64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635"/>
      <c r="B105" s="635"/>
      <c r="C105" s="635"/>
      <c r="D105" s="635"/>
      <c r="E105" s="635"/>
      <c r="F105" s="635"/>
      <c r="G105" s="635"/>
      <c r="H105" s="635"/>
      <c r="I105" s="635"/>
      <c r="J105" s="635"/>
      <c r="K105" s="635"/>
      <c r="L105" s="635"/>
      <c r="M105" s="635"/>
      <c r="N105" s="635"/>
      <c r="O105" s="636"/>
      <c r="P105" s="632" t="s">
        <v>40</v>
      </c>
      <c r="Q105" s="633"/>
      <c r="R105" s="633"/>
      <c r="S105" s="633"/>
      <c r="T105" s="633"/>
      <c r="U105" s="633"/>
      <c r="V105" s="634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35"/>
      <c r="B106" s="635"/>
      <c r="C106" s="635"/>
      <c r="D106" s="635"/>
      <c r="E106" s="635"/>
      <c r="F106" s="635"/>
      <c r="G106" s="635"/>
      <c r="H106" s="635"/>
      <c r="I106" s="635"/>
      <c r="J106" s="635"/>
      <c r="K106" s="635"/>
      <c r="L106" s="635"/>
      <c r="M106" s="635"/>
      <c r="N106" s="635"/>
      <c r="O106" s="636"/>
      <c r="P106" s="632" t="s">
        <v>40</v>
      </c>
      <c r="Q106" s="633"/>
      <c r="R106" s="633"/>
      <c r="S106" s="633"/>
      <c r="T106" s="633"/>
      <c r="U106" s="633"/>
      <c r="V106" s="634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customHeight="1" x14ac:dyDescent="0.25">
      <c r="A107" s="646" t="s">
        <v>158</v>
      </c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46"/>
      <c r="P107" s="646"/>
      <c r="Q107" s="646"/>
      <c r="R107" s="646"/>
      <c r="S107" s="646"/>
      <c r="T107" s="646"/>
      <c r="U107" s="646"/>
      <c r="V107" s="646"/>
      <c r="W107" s="646"/>
      <c r="X107" s="646"/>
      <c r="Y107" s="646"/>
      <c r="Z107" s="646"/>
      <c r="AA107" s="66"/>
      <c r="AB107" s="66"/>
      <c r="AC107" s="80"/>
    </row>
    <row r="108" spans="1:68" ht="27" customHeight="1" x14ac:dyDescent="0.25">
      <c r="A108" s="63" t="s">
        <v>218</v>
      </c>
      <c r="B108" s="63" t="s">
        <v>219</v>
      </c>
      <c r="C108" s="36">
        <v>4301020391</v>
      </c>
      <c r="D108" s="641">
        <v>4680115881488</v>
      </c>
      <c r="E108" s="64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130</v>
      </c>
      <c r="L108" s="37" t="s">
        <v>46</v>
      </c>
      <c r="M108" s="38" t="s">
        <v>129</v>
      </c>
      <c r="N108" s="38"/>
      <c r="O108" s="37">
        <v>55</v>
      </c>
      <c r="P108" s="86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43"/>
      <c r="R108" s="643"/>
      <c r="S108" s="643"/>
      <c r="T108" s="64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220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221</v>
      </c>
      <c r="B109" s="63" t="s">
        <v>222</v>
      </c>
      <c r="C109" s="36">
        <v>4301020186</v>
      </c>
      <c r="D109" s="641">
        <v>4680115887664</v>
      </c>
      <c r="E109" s="64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224</v>
      </c>
      <c r="L109" s="37" t="s">
        <v>46</v>
      </c>
      <c r="M109" s="38" t="s">
        <v>81</v>
      </c>
      <c r="N109" s="38"/>
      <c r="O109" s="37">
        <v>30</v>
      </c>
      <c r="P109" s="86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43"/>
      <c r="R109" s="643"/>
      <c r="S109" s="643"/>
      <c r="T109" s="64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223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225</v>
      </c>
      <c r="C110" s="36">
        <v>4301020430</v>
      </c>
      <c r="D110" s="641">
        <v>4680115887664</v>
      </c>
      <c r="E110" s="64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7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3"/>
      <c r="R110" s="643"/>
      <c r="S110" s="643"/>
      <c r="T110" s="64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226</v>
      </c>
      <c r="B111" s="63" t="s">
        <v>227</v>
      </c>
      <c r="C111" s="36">
        <v>4301020393</v>
      </c>
      <c r="D111" s="641">
        <v>4680115882775</v>
      </c>
      <c r="E111" s="64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82</v>
      </c>
      <c r="L111" s="37" t="s">
        <v>46</v>
      </c>
      <c r="M111" s="38" t="s">
        <v>129</v>
      </c>
      <c r="N111" s="38"/>
      <c r="O111" s="37">
        <v>55</v>
      </c>
      <c r="P111" s="87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43"/>
      <c r="R111" s="643"/>
      <c r="S111" s="643"/>
      <c r="T111" s="64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228</v>
      </c>
      <c r="B112" s="63" t="s">
        <v>229</v>
      </c>
      <c r="C112" s="36">
        <v>4301020392</v>
      </c>
      <c r="D112" s="641">
        <v>4680115880658</v>
      </c>
      <c r="E112" s="64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129</v>
      </c>
      <c r="N112" s="38"/>
      <c r="O112" s="37">
        <v>55</v>
      </c>
      <c r="P112" s="86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43"/>
      <c r="R112" s="643"/>
      <c r="S112" s="643"/>
      <c r="T112" s="64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35"/>
      <c r="B113" s="635"/>
      <c r="C113" s="635"/>
      <c r="D113" s="635"/>
      <c r="E113" s="635"/>
      <c r="F113" s="635"/>
      <c r="G113" s="635"/>
      <c r="H113" s="635"/>
      <c r="I113" s="635"/>
      <c r="J113" s="635"/>
      <c r="K113" s="635"/>
      <c r="L113" s="635"/>
      <c r="M113" s="635"/>
      <c r="N113" s="635"/>
      <c r="O113" s="636"/>
      <c r="P113" s="632" t="s">
        <v>40</v>
      </c>
      <c r="Q113" s="633"/>
      <c r="R113" s="633"/>
      <c r="S113" s="633"/>
      <c r="T113" s="633"/>
      <c r="U113" s="633"/>
      <c r="V113" s="634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35"/>
      <c r="B114" s="635"/>
      <c r="C114" s="635"/>
      <c r="D114" s="635"/>
      <c r="E114" s="635"/>
      <c r="F114" s="635"/>
      <c r="G114" s="635"/>
      <c r="H114" s="635"/>
      <c r="I114" s="635"/>
      <c r="J114" s="635"/>
      <c r="K114" s="635"/>
      <c r="L114" s="635"/>
      <c r="M114" s="635"/>
      <c r="N114" s="635"/>
      <c r="O114" s="636"/>
      <c r="P114" s="632" t="s">
        <v>40</v>
      </c>
      <c r="Q114" s="633"/>
      <c r="R114" s="633"/>
      <c r="S114" s="633"/>
      <c r="T114" s="633"/>
      <c r="U114" s="633"/>
      <c r="V114" s="634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customHeight="1" x14ac:dyDescent="0.25">
      <c r="A115" s="646" t="s">
        <v>86</v>
      </c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46"/>
      <c r="P115" s="646"/>
      <c r="Q115" s="646"/>
      <c r="R115" s="646"/>
      <c r="S115" s="646"/>
      <c r="T115" s="646"/>
      <c r="U115" s="646"/>
      <c r="V115" s="646"/>
      <c r="W115" s="646"/>
      <c r="X115" s="646"/>
      <c r="Y115" s="646"/>
      <c r="Z115" s="646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4301051724</v>
      </c>
      <c r="D116" s="641">
        <v>4607091385168</v>
      </c>
      <c r="E116" s="64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130</v>
      </c>
      <c r="L116" s="37" t="s">
        <v>46</v>
      </c>
      <c r="M116" s="38" t="s">
        <v>97</v>
      </c>
      <c r="N116" s="38"/>
      <c r="O116" s="37">
        <v>45</v>
      </c>
      <c r="P116" s="8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43"/>
      <c r="R116" s="643"/>
      <c r="S116" s="643"/>
      <c r="T116" s="64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232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234</v>
      </c>
      <c r="C117" s="36">
        <v>4301051730</v>
      </c>
      <c r="D117" s="641">
        <v>4607091383256</v>
      </c>
      <c r="E117" s="64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91</v>
      </c>
      <c r="L117" s="37" t="s">
        <v>46</v>
      </c>
      <c r="M117" s="38" t="s">
        <v>97</v>
      </c>
      <c r="N117" s="38"/>
      <c r="O117" s="37">
        <v>45</v>
      </c>
      <c r="P117" s="86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43"/>
      <c r="R117" s="643"/>
      <c r="S117" s="643"/>
      <c r="T117" s="64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235</v>
      </c>
      <c r="B118" s="63" t="s">
        <v>236</v>
      </c>
      <c r="C118" s="36">
        <v>4301051721</v>
      </c>
      <c r="D118" s="641">
        <v>4607091385748</v>
      </c>
      <c r="E118" s="64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6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43"/>
      <c r="R118" s="643"/>
      <c r="S118" s="643"/>
      <c r="T118" s="64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237</v>
      </c>
      <c r="B119" s="63" t="s">
        <v>238</v>
      </c>
      <c r="C119" s="36">
        <v>4301051740</v>
      </c>
      <c r="D119" s="641">
        <v>4680115884533</v>
      </c>
      <c r="E119" s="64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91</v>
      </c>
      <c r="L119" s="37" t="s">
        <v>46</v>
      </c>
      <c r="M119" s="38" t="s">
        <v>90</v>
      </c>
      <c r="N119" s="38"/>
      <c r="O119" s="37">
        <v>45</v>
      </c>
      <c r="P119" s="86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43"/>
      <c r="R119" s="643"/>
      <c r="S119" s="643"/>
      <c r="T119" s="64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5"/>
      <c r="B120" s="635"/>
      <c r="C120" s="635"/>
      <c r="D120" s="635"/>
      <c r="E120" s="635"/>
      <c r="F120" s="635"/>
      <c r="G120" s="635"/>
      <c r="H120" s="635"/>
      <c r="I120" s="635"/>
      <c r="J120" s="635"/>
      <c r="K120" s="635"/>
      <c r="L120" s="635"/>
      <c r="M120" s="635"/>
      <c r="N120" s="635"/>
      <c r="O120" s="636"/>
      <c r="P120" s="632" t="s">
        <v>40</v>
      </c>
      <c r="Q120" s="633"/>
      <c r="R120" s="633"/>
      <c r="S120" s="633"/>
      <c r="T120" s="633"/>
      <c r="U120" s="633"/>
      <c r="V120" s="634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35"/>
      <c r="B121" s="635"/>
      <c r="C121" s="635"/>
      <c r="D121" s="635"/>
      <c r="E121" s="635"/>
      <c r="F121" s="635"/>
      <c r="G121" s="635"/>
      <c r="H121" s="635"/>
      <c r="I121" s="635"/>
      <c r="J121" s="635"/>
      <c r="K121" s="635"/>
      <c r="L121" s="635"/>
      <c r="M121" s="635"/>
      <c r="N121" s="635"/>
      <c r="O121" s="636"/>
      <c r="P121" s="632" t="s">
        <v>40</v>
      </c>
      <c r="Q121" s="633"/>
      <c r="R121" s="633"/>
      <c r="S121" s="633"/>
      <c r="T121" s="633"/>
      <c r="U121" s="633"/>
      <c r="V121" s="634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46" t="s">
        <v>175</v>
      </c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46"/>
      <c r="P122" s="646"/>
      <c r="Q122" s="646"/>
      <c r="R122" s="646"/>
      <c r="S122" s="646"/>
      <c r="T122" s="646"/>
      <c r="U122" s="646"/>
      <c r="V122" s="646"/>
      <c r="W122" s="646"/>
      <c r="X122" s="646"/>
      <c r="Y122" s="646"/>
      <c r="Z122" s="646"/>
      <c r="AA122" s="66"/>
      <c r="AB122" s="66"/>
      <c r="AC122" s="80"/>
    </row>
    <row r="123" spans="1:68" ht="16.5" customHeight="1" x14ac:dyDescent="0.25">
      <c r="A123" s="63" t="s">
        <v>240</v>
      </c>
      <c r="B123" s="63" t="s">
        <v>241</v>
      </c>
      <c r="C123" s="36">
        <v>4301060317</v>
      </c>
      <c r="D123" s="641">
        <v>4680115880238</v>
      </c>
      <c r="E123" s="64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40</v>
      </c>
      <c r="P123" s="8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43"/>
      <c r="R123" s="643"/>
      <c r="S123" s="643"/>
      <c r="T123" s="64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35"/>
      <c r="B124" s="635"/>
      <c r="C124" s="635"/>
      <c r="D124" s="635"/>
      <c r="E124" s="635"/>
      <c r="F124" s="635"/>
      <c r="G124" s="635"/>
      <c r="H124" s="635"/>
      <c r="I124" s="635"/>
      <c r="J124" s="635"/>
      <c r="K124" s="635"/>
      <c r="L124" s="635"/>
      <c r="M124" s="635"/>
      <c r="N124" s="635"/>
      <c r="O124" s="636"/>
      <c r="P124" s="632" t="s">
        <v>40</v>
      </c>
      <c r="Q124" s="633"/>
      <c r="R124" s="633"/>
      <c r="S124" s="633"/>
      <c r="T124" s="633"/>
      <c r="U124" s="633"/>
      <c r="V124" s="634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35"/>
      <c r="B125" s="635"/>
      <c r="C125" s="635"/>
      <c r="D125" s="635"/>
      <c r="E125" s="635"/>
      <c r="F125" s="635"/>
      <c r="G125" s="635"/>
      <c r="H125" s="635"/>
      <c r="I125" s="635"/>
      <c r="J125" s="635"/>
      <c r="K125" s="635"/>
      <c r="L125" s="635"/>
      <c r="M125" s="635"/>
      <c r="N125" s="635"/>
      <c r="O125" s="636"/>
      <c r="P125" s="632" t="s">
        <v>40</v>
      </c>
      <c r="Q125" s="633"/>
      <c r="R125" s="633"/>
      <c r="S125" s="633"/>
      <c r="T125" s="633"/>
      <c r="U125" s="633"/>
      <c r="V125" s="634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45" t="s">
        <v>243</v>
      </c>
      <c r="B126" s="645"/>
      <c r="C126" s="645"/>
      <c r="D126" s="645"/>
      <c r="E126" s="645"/>
      <c r="F126" s="645"/>
      <c r="G126" s="645"/>
      <c r="H126" s="645"/>
      <c r="I126" s="645"/>
      <c r="J126" s="645"/>
      <c r="K126" s="645"/>
      <c r="L126" s="645"/>
      <c r="M126" s="645"/>
      <c r="N126" s="645"/>
      <c r="O126" s="645"/>
      <c r="P126" s="645"/>
      <c r="Q126" s="645"/>
      <c r="R126" s="645"/>
      <c r="S126" s="645"/>
      <c r="T126" s="645"/>
      <c r="U126" s="645"/>
      <c r="V126" s="645"/>
      <c r="W126" s="645"/>
      <c r="X126" s="645"/>
      <c r="Y126" s="645"/>
      <c r="Z126" s="645"/>
      <c r="AA126" s="65"/>
      <c r="AB126" s="65"/>
      <c r="AC126" s="79"/>
    </row>
    <row r="127" spans="1:68" ht="14.25" customHeight="1" x14ac:dyDescent="0.25">
      <c r="A127" s="646" t="s">
        <v>125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6"/>
      <c r="AB127" s="66"/>
      <c r="AC127" s="80"/>
    </row>
    <row r="128" spans="1:68" ht="27" customHeight="1" x14ac:dyDescent="0.25">
      <c r="A128" s="63" t="s">
        <v>244</v>
      </c>
      <c r="B128" s="63" t="s">
        <v>245</v>
      </c>
      <c r="C128" s="36">
        <v>4301012347</v>
      </c>
      <c r="D128" s="641">
        <v>4680115888784</v>
      </c>
      <c r="E128" s="64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130</v>
      </c>
      <c r="L128" s="37" t="s">
        <v>46</v>
      </c>
      <c r="M128" s="38" t="s">
        <v>247</v>
      </c>
      <c r="N128" s="38"/>
      <c r="O128" s="37">
        <v>90</v>
      </c>
      <c r="P128" s="861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43"/>
      <c r="R128" s="643"/>
      <c r="S128" s="643"/>
      <c r="T128" s="64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246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35"/>
      <c r="B129" s="635"/>
      <c r="C129" s="635"/>
      <c r="D129" s="635"/>
      <c r="E129" s="635"/>
      <c r="F129" s="635"/>
      <c r="G129" s="635"/>
      <c r="H129" s="635"/>
      <c r="I129" s="635"/>
      <c r="J129" s="635"/>
      <c r="K129" s="635"/>
      <c r="L129" s="635"/>
      <c r="M129" s="635"/>
      <c r="N129" s="635"/>
      <c r="O129" s="636"/>
      <c r="P129" s="632" t="s">
        <v>40</v>
      </c>
      <c r="Q129" s="633"/>
      <c r="R129" s="633"/>
      <c r="S129" s="633"/>
      <c r="T129" s="633"/>
      <c r="U129" s="633"/>
      <c r="V129" s="634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635"/>
      <c r="B130" s="635"/>
      <c r="C130" s="635"/>
      <c r="D130" s="635"/>
      <c r="E130" s="635"/>
      <c r="F130" s="635"/>
      <c r="G130" s="635"/>
      <c r="H130" s="635"/>
      <c r="I130" s="635"/>
      <c r="J130" s="635"/>
      <c r="K130" s="635"/>
      <c r="L130" s="635"/>
      <c r="M130" s="635"/>
      <c r="N130" s="635"/>
      <c r="O130" s="636"/>
      <c r="P130" s="632" t="s">
        <v>40</v>
      </c>
      <c r="Q130" s="633"/>
      <c r="R130" s="633"/>
      <c r="S130" s="633"/>
      <c r="T130" s="633"/>
      <c r="U130" s="633"/>
      <c r="V130" s="634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4.25" customHeight="1" x14ac:dyDescent="0.25">
      <c r="A131" s="646" t="s">
        <v>77</v>
      </c>
      <c r="B131" s="646"/>
      <c r="C131" s="646"/>
      <c r="D131" s="646"/>
      <c r="E131" s="646"/>
      <c r="F131" s="646"/>
      <c r="G131" s="646"/>
      <c r="H131" s="646"/>
      <c r="I131" s="646"/>
      <c r="J131" s="646"/>
      <c r="K131" s="646"/>
      <c r="L131" s="646"/>
      <c r="M131" s="646"/>
      <c r="N131" s="646"/>
      <c r="O131" s="646"/>
      <c r="P131" s="646"/>
      <c r="Q131" s="646"/>
      <c r="R131" s="646"/>
      <c r="S131" s="646"/>
      <c r="T131" s="646"/>
      <c r="U131" s="646"/>
      <c r="V131" s="646"/>
      <c r="W131" s="646"/>
      <c r="X131" s="646"/>
      <c r="Y131" s="646"/>
      <c r="Z131" s="646"/>
      <c r="AA131" s="66"/>
      <c r="AB131" s="66"/>
      <c r="AC131" s="80"/>
    </row>
    <row r="132" spans="1:68" ht="16.5" customHeight="1" x14ac:dyDescent="0.25">
      <c r="A132" s="63" t="s">
        <v>248</v>
      </c>
      <c r="B132" s="63" t="s">
        <v>249</v>
      </c>
      <c r="C132" s="36">
        <v>4301031506</v>
      </c>
      <c r="D132" s="641">
        <v>4680115888913</v>
      </c>
      <c r="E132" s="641"/>
      <c r="F132" s="62">
        <v>0.7</v>
      </c>
      <c r="G132" s="37">
        <v>6</v>
      </c>
      <c r="H132" s="62">
        <v>4.2</v>
      </c>
      <c r="I132" s="62">
        <v>4.58</v>
      </c>
      <c r="J132" s="37">
        <v>104</v>
      </c>
      <c r="K132" s="37" t="s">
        <v>130</v>
      </c>
      <c r="L132" s="37" t="s">
        <v>46</v>
      </c>
      <c r="M132" s="38" t="s">
        <v>247</v>
      </c>
      <c r="N132" s="38"/>
      <c r="O132" s="37">
        <v>90</v>
      </c>
      <c r="P132" s="85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2" s="643"/>
      <c r="R132" s="643"/>
      <c r="S132" s="643"/>
      <c r="T132" s="64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46</v>
      </c>
      <c r="AC132" s="200" t="s">
        <v>250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customHeight="1" x14ac:dyDescent="0.25">
      <c r="A133" s="63" t="s">
        <v>251</v>
      </c>
      <c r="B133" s="63" t="s">
        <v>252</v>
      </c>
      <c r="C133" s="36">
        <v>4301031504</v>
      </c>
      <c r="D133" s="641">
        <v>4680115888920</v>
      </c>
      <c r="E133" s="641"/>
      <c r="F133" s="62">
        <v>0.35</v>
      </c>
      <c r="G133" s="37">
        <v>8</v>
      </c>
      <c r="H133" s="62">
        <v>2.8</v>
      </c>
      <c r="I133" s="62">
        <v>2.94</v>
      </c>
      <c r="J133" s="37">
        <v>234</v>
      </c>
      <c r="K133" s="37" t="s">
        <v>82</v>
      </c>
      <c r="L133" s="37" t="s">
        <v>46</v>
      </c>
      <c r="M133" s="38" t="s">
        <v>247</v>
      </c>
      <c r="N133" s="38"/>
      <c r="O133" s="37">
        <v>90</v>
      </c>
      <c r="P133" s="86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3" s="643"/>
      <c r="R133" s="643"/>
      <c r="S133" s="643"/>
      <c r="T133" s="64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IFERROR(IF(Y133=0,"",ROUNDUP(Y133/H133,0)*0.00502),"")</f>
        <v/>
      </c>
      <c r="AA133" s="68" t="s">
        <v>46</v>
      </c>
      <c r="AB133" s="69" t="s">
        <v>46</v>
      </c>
      <c r="AC133" s="202" t="s">
        <v>250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35"/>
      <c r="B134" s="635"/>
      <c r="C134" s="635"/>
      <c r="D134" s="635"/>
      <c r="E134" s="635"/>
      <c r="F134" s="635"/>
      <c r="G134" s="635"/>
      <c r="H134" s="635"/>
      <c r="I134" s="635"/>
      <c r="J134" s="635"/>
      <c r="K134" s="635"/>
      <c r="L134" s="635"/>
      <c r="M134" s="635"/>
      <c r="N134" s="635"/>
      <c r="O134" s="636"/>
      <c r="P134" s="632" t="s">
        <v>40</v>
      </c>
      <c r="Q134" s="633"/>
      <c r="R134" s="633"/>
      <c r="S134" s="633"/>
      <c r="T134" s="633"/>
      <c r="U134" s="633"/>
      <c r="V134" s="63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35"/>
      <c r="B135" s="635"/>
      <c r="C135" s="635"/>
      <c r="D135" s="635"/>
      <c r="E135" s="635"/>
      <c r="F135" s="635"/>
      <c r="G135" s="635"/>
      <c r="H135" s="635"/>
      <c r="I135" s="635"/>
      <c r="J135" s="635"/>
      <c r="K135" s="635"/>
      <c r="L135" s="635"/>
      <c r="M135" s="635"/>
      <c r="N135" s="635"/>
      <c r="O135" s="636"/>
      <c r="P135" s="632" t="s">
        <v>40</v>
      </c>
      <c r="Q135" s="633"/>
      <c r="R135" s="633"/>
      <c r="S135" s="633"/>
      <c r="T135" s="633"/>
      <c r="U135" s="633"/>
      <c r="V135" s="63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46" t="s">
        <v>86</v>
      </c>
      <c r="B136" s="646"/>
      <c r="C136" s="646"/>
      <c r="D136" s="646"/>
      <c r="E136" s="646"/>
      <c r="F136" s="646"/>
      <c r="G136" s="646"/>
      <c r="H136" s="646"/>
      <c r="I136" s="646"/>
      <c r="J136" s="646"/>
      <c r="K136" s="646"/>
      <c r="L136" s="646"/>
      <c r="M136" s="646"/>
      <c r="N136" s="646"/>
      <c r="O136" s="646"/>
      <c r="P136" s="646"/>
      <c r="Q136" s="646"/>
      <c r="R136" s="646"/>
      <c r="S136" s="646"/>
      <c r="T136" s="646"/>
      <c r="U136" s="646"/>
      <c r="V136" s="646"/>
      <c r="W136" s="646"/>
      <c r="X136" s="646"/>
      <c r="Y136" s="646"/>
      <c r="Z136" s="646"/>
      <c r="AA136" s="66"/>
      <c r="AB136" s="66"/>
      <c r="AC136" s="80"/>
    </row>
    <row r="137" spans="1:68" ht="16.5" customHeight="1" x14ac:dyDescent="0.25">
      <c r="A137" s="63" t="s">
        <v>253</v>
      </c>
      <c r="B137" s="63" t="s">
        <v>254</v>
      </c>
      <c r="C137" s="36">
        <v>4301052219</v>
      </c>
      <c r="D137" s="641">
        <v>4680115888944</v>
      </c>
      <c r="E137" s="641"/>
      <c r="F137" s="62">
        <v>0.33</v>
      </c>
      <c r="G137" s="37">
        <v>8</v>
      </c>
      <c r="H137" s="62">
        <v>2.64</v>
      </c>
      <c r="I137" s="62">
        <v>2.86</v>
      </c>
      <c r="J137" s="37">
        <v>182</v>
      </c>
      <c r="K137" s="37" t="s">
        <v>91</v>
      </c>
      <c r="L137" s="37" t="s">
        <v>46</v>
      </c>
      <c r="M137" s="38" t="s">
        <v>247</v>
      </c>
      <c r="N137" s="38"/>
      <c r="O137" s="37">
        <v>90</v>
      </c>
      <c r="P137" s="85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37" s="643"/>
      <c r="R137" s="643"/>
      <c r="S137" s="643"/>
      <c r="T137" s="64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246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35"/>
      <c r="B138" s="635"/>
      <c r="C138" s="635"/>
      <c r="D138" s="635"/>
      <c r="E138" s="635"/>
      <c r="F138" s="635"/>
      <c r="G138" s="635"/>
      <c r="H138" s="635"/>
      <c r="I138" s="635"/>
      <c r="J138" s="635"/>
      <c r="K138" s="635"/>
      <c r="L138" s="635"/>
      <c r="M138" s="635"/>
      <c r="N138" s="635"/>
      <c r="O138" s="636"/>
      <c r="P138" s="632" t="s">
        <v>40</v>
      </c>
      <c r="Q138" s="633"/>
      <c r="R138" s="633"/>
      <c r="S138" s="633"/>
      <c r="T138" s="633"/>
      <c r="U138" s="633"/>
      <c r="V138" s="634"/>
      <c r="W138" s="42" t="s">
        <v>39</v>
      </c>
      <c r="X138" s="43">
        <f>IFERROR(X137/H137,"0")</f>
        <v>0</v>
      </c>
      <c r="Y138" s="43">
        <f>IFERROR(Y137/H137,"0")</f>
        <v>0</v>
      </c>
      <c r="Z138" s="43">
        <f>IFERROR(IF(Z137="",0,Z137),"0")</f>
        <v>0</v>
      </c>
      <c r="AA138" s="67"/>
      <c r="AB138" s="67"/>
      <c r="AC138" s="67"/>
    </row>
    <row r="139" spans="1:68" x14ac:dyDescent="0.2">
      <c r="A139" s="635"/>
      <c r="B139" s="635"/>
      <c r="C139" s="635"/>
      <c r="D139" s="635"/>
      <c r="E139" s="635"/>
      <c r="F139" s="635"/>
      <c r="G139" s="635"/>
      <c r="H139" s="635"/>
      <c r="I139" s="635"/>
      <c r="J139" s="635"/>
      <c r="K139" s="635"/>
      <c r="L139" s="635"/>
      <c r="M139" s="635"/>
      <c r="N139" s="635"/>
      <c r="O139" s="636"/>
      <c r="P139" s="632" t="s">
        <v>40</v>
      </c>
      <c r="Q139" s="633"/>
      <c r="R139" s="633"/>
      <c r="S139" s="633"/>
      <c r="T139" s="633"/>
      <c r="U139" s="633"/>
      <c r="V139" s="634"/>
      <c r="W139" s="42" t="s">
        <v>0</v>
      </c>
      <c r="X139" s="43">
        <f>IFERROR(SUM(X137:X137),"0")</f>
        <v>0</v>
      </c>
      <c r="Y139" s="43">
        <f>IFERROR(SUM(Y137:Y137),"0")</f>
        <v>0</v>
      </c>
      <c r="Z139" s="42"/>
      <c r="AA139" s="67"/>
      <c r="AB139" s="67"/>
      <c r="AC139" s="67"/>
    </row>
    <row r="140" spans="1:68" ht="16.5" customHeight="1" x14ac:dyDescent="0.25">
      <c r="A140" s="645" t="s">
        <v>255</v>
      </c>
      <c r="B140" s="645"/>
      <c r="C140" s="645"/>
      <c r="D140" s="645"/>
      <c r="E140" s="645"/>
      <c r="F140" s="645"/>
      <c r="G140" s="645"/>
      <c r="H140" s="645"/>
      <c r="I140" s="645"/>
      <c r="J140" s="645"/>
      <c r="K140" s="645"/>
      <c r="L140" s="645"/>
      <c r="M140" s="645"/>
      <c r="N140" s="645"/>
      <c r="O140" s="645"/>
      <c r="P140" s="645"/>
      <c r="Q140" s="645"/>
      <c r="R140" s="645"/>
      <c r="S140" s="645"/>
      <c r="T140" s="645"/>
      <c r="U140" s="645"/>
      <c r="V140" s="645"/>
      <c r="W140" s="645"/>
      <c r="X140" s="645"/>
      <c r="Y140" s="645"/>
      <c r="Z140" s="645"/>
      <c r="AA140" s="65"/>
      <c r="AB140" s="65"/>
      <c r="AC140" s="79"/>
    </row>
    <row r="141" spans="1:68" ht="14.25" customHeight="1" x14ac:dyDescent="0.25">
      <c r="A141" s="646" t="s">
        <v>86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6"/>
      <c r="AB141" s="66"/>
      <c r="AC141" s="80"/>
    </row>
    <row r="142" spans="1:68" ht="27" customHeight="1" x14ac:dyDescent="0.25">
      <c r="A142" s="63" t="s">
        <v>256</v>
      </c>
      <c r="B142" s="63" t="s">
        <v>257</v>
      </c>
      <c r="C142" s="36">
        <v>4301052254</v>
      </c>
      <c r="D142" s="641">
        <v>4680115888203</v>
      </c>
      <c r="E142" s="641"/>
      <c r="F142" s="62">
        <v>0.22</v>
      </c>
      <c r="G142" s="37">
        <v>6</v>
      </c>
      <c r="H142" s="62">
        <v>1.32</v>
      </c>
      <c r="I142" s="62">
        <v>1.5660000000000001</v>
      </c>
      <c r="J142" s="37">
        <v>182</v>
      </c>
      <c r="K142" s="37" t="s">
        <v>91</v>
      </c>
      <c r="L142" s="37" t="s">
        <v>46</v>
      </c>
      <c r="M142" s="38" t="s">
        <v>97</v>
      </c>
      <c r="N142" s="38"/>
      <c r="O142" s="37">
        <v>40</v>
      </c>
      <c r="P142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2" s="643"/>
      <c r="R142" s="643"/>
      <c r="S142" s="643"/>
      <c r="T142" s="644"/>
      <c r="U142" s="39" t="s">
        <v>46</v>
      </c>
      <c r="V142" s="39" t="s">
        <v>46</v>
      </c>
      <c r="W142" s="40" t="s">
        <v>0</v>
      </c>
      <c r="X142" s="58">
        <v>0</v>
      </c>
      <c r="Y142" s="55">
        <f t="shared" ref="Y142:Y148" si="16">IFERROR(IF(X142="",0,CEILING((X142/$H142),1)*$H142),"")</f>
        <v>0</v>
      </c>
      <c r="Z142" s="41" t="str">
        <f t="shared" ref="Z142:Z148" si="17">IFERROR(IF(Y142=0,"",ROUNDUP(Y142/H142,0)*0.00651),"")</f>
        <v/>
      </c>
      <c r="AA142" s="68" t="s">
        <v>46</v>
      </c>
      <c r="AB142" s="69" t="s">
        <v>46</v>
      </c>
      <c r="AC142" s="206" t="s">
        <v>258</v>
      </c>
      <c r="AG142" s="78"/>
      <c r="AJ142" s="84" t="s">
        <v>46</v>
      </c>
      <c r="AK142" s="84">
        <v>0</v>
      </c>
      <c r="BB142" s="207" t="s">
        <v>67</v>
      </c>
      <c r="BM142" s="78">
        <f t="shared" ref="BM142:BM148" si="18">IFERROR(X142*I142/H142,"0")</f>
        <v>0</v>
      </c>
      <c r="BN142" s="78">
        <f t="shared" ref="BN142:BN148" si="19">IFERROR(Y142*I142/H142,"0")</f>
        <v>0</v>
      </c>
      <c r="BO142" s="78">
        <f t="shared" ref="BO142:BO148" si="20">IFERROR(1/J142*(X142/H142),"0")</f>
        <v>0</v>
      </c>
      <c r="BP142" s="78">
        <f t="shared" ref="BP142:BP148" si="21">IFERROR(1/J142*(Y142/H142),"0")</f>
        <v>0</v>
      </c>
    </row>
    <row r="143" spans="1:68" ht="27" customHeight="1" x14ac:dyDescent="0.25">
      <c r="A143" s="63" t="s">
        <v>259</v>
      </c>
      <c r="B143" s="63" t="s">
        <v>260</v>
      </c>
      <c r="C143" s="36">
        <v>4301052172</v>
      </c>
      <c r="D143" s="641">
        <v>4680115888180</v>
      </c>
      <c r="E143" s="641"/>
      <c r="F143" s="62">
        <v>0.22</v>
      </c>
      <c r="G143" s="37">
        <v>9</v>
      </c>
      <c r="H143" s="62">
        <v>1.98</v>
      </c>
      <c r="I143" s="62">
        <v>2.2589999999999999</v>
      </c>
      <c r="J143" s="37">
        <v>182</v>
      </c>
      <c r="K143" s="37" t="s">
        <v>91</v>
      </c>
      <c r="L143" s="37" t="s">
        <v>46</v>
      </c>
      <c r="M143" s="38" t="s">
        <v>97</v>
      </c>
      <c r="N143" s="38"/>
      <c r="O143" s="37">
        <v>40</v>
      </c>
      <c r="P143" s="85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3" s="643"/>
      <c r="R143" s="643"/>
      <c r="S143" s="643"/>
      <c r="T143" s="644"/>
      <c r="U143" s="39" t="s">
        <v>46</v>
      </c>
      <c r="V143" s="39" t="s">
        <v>46</v>
      </c>
      <c r="W143" s="40" t="s">
        <v>0</v>
      </c>
      <c r="X143" s="58">
        <v>0</v>
      </c>
      <c r="Y143" s="55">
        <f t="shared" si="16"/>
        <v>0</v>
      </c>
      <c r="Z143" s="41" t="str">
        <f t="shared" si="17"/>
        <v/>
      </c>
      <c r="AA143" s="68" t="s">
        <v>46</v>
      </c>
      <c r="AB143" s="69" t="s">
        <v>46</v>
      </c>
      <c r="AC143" s="208" t="s">
        <v>261</v>
      </c>
      <c r="AG143" s="78"/>
      <c r="AJ143" s="84" t="s">
        <v>46</v>
      </c>
      <c r="AK143" s="84">
        <v>0</v>
      </c>
      <c r="BB143" s="209" t="s">
        <v>67</v>
      </c>
      <c r="BM143" s="78">
        <f t="shared" si="18"/>
        <v>0</v>
      </c>
      <c r="BN143" s="78">
        <f t="shared" si="19"/>
        <v>0</v>
      </c>
      <c r="BO143" s="78">
        <f t="shared" si="20"/>
        <v>0</v>
      </c>
      <c r="BP143" s="78">
        <f t="shared" si="21"/>
        <v>0</v>
      </c>
    </row>
    <row r="144" spans="1:68" ht="27" customHeight="1" x14ac:dyDescent="0.25">
      <c r="A144" s="63" t="s">
        <v>259</v>
      </c>
      <c r="B144" s="63" t="s">
        <v>262</v>
      </c>
      <c r="C144" s="36">
        <v>4301052252</v>
      </c>
      <c r="D144" s="641">
        <v>4680115888180</v>
      </c>
      <c r="E144" s="641"/>
      <c r="F144" s="62">
        <v>0.22</v>
      </c>
      <c r="G144" s="37">
        <v>6</v>
      </c>
      <c r="H144" s="62">
        <v>1.32</v>
      </c>
      <c r="I144" s="62">
        <v>1.5660000000000001</v>
      </c>
      <c r="J144" s="37">
        <v>182</v>
      </c>
      <c r="K144" s="37" t="s">
        <v>91</v>
      </c>
      <c r="L144" s="37" t="s">
        <v>46</v>
      </c>
      <c r="M144" s="38" t="s">
        <v>97</v>
      </c>
      <c r="N144" s="38"/>
      <c r="O144" s="37">
        <v>40</v>
      </c>
      <c r="P144" s="85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4" s="643"/>
      <c r="R144" s="643"/>
      <c r="S144" s="643"/>
      <c r="T144" s="644"/>
      <c r="U144" s="39" t="s">
        <v>46</v>
      </c>
      <c r="V144" s="39" t="s">
        <v>46</v>
      </c>
      <c r="W144" s="40" t="s">
        <v>0</v>
      </c>
      <c r="X144" s="58">
        <v>0</v>
      </c>
      <c r="Y144" s="55">
        <f t="shared" si="16"/>
        <v>0</v>
      </c>
      <c r="Z144" s="41" t="str">
        <f t="shared" si="17"/>
        <v/>
      </c>
      <c r="AA144" s="68" t="s">
        <v>46</v>
      </c>
      <c r="AB144" s="69" t="s">
        <v>46</v>
      </c>
      <c r="AC144" s="210" t="s">
        <v>261</v>
      </c>
      <c r="AG144" s="78"/>
      <c r="AJ144" s="84" t="s">
        <v>46</v>
      </c>
      <c r="AK144" s="84">
        <v>0</v>
      </c>
      <c r="BB144" s="211" t="s">
        <v>67</v>
      </c>
      <c r="BM144" s="78">
        <f t="shared" si="18"/>
        <v>0</v>
      </c>
      <c r="BN144" s="78">
        <f t="shared" si="19"/>
        <v>0</v>
      </c>
      <c r="BO144" s="78">
        <f t="shared" si="20"/>
        <v>0</v>
      </c>
      <c r="BP144" s="78">
        <f t="shared" si="21"/>
        <v>0</v>
      </c>
    </row>
    <row r="145" spans="1:68" ht="27" customHeight="1" x14ac:dyDescent="0.25">
      <c r="A145" s="63" t="s">
        <v>263</v>
      </c>
      <c r="B145" s="63" t="s">
        <v>264</v>
      </c>
      <c r="C145" s="36">
        <v>4301052173</v>
      </c>
      <c r="D145" s="641">
        <v>4680115888197</v>
      </c>
      <c r="E145" s="641"/>
      <c r="F145" s="62">
        <v>0.22</v>
      </c>
      <c r="G145" s="37">
        <v>9</v>
      </c>
      <c r="H145" s="62">
        <v>1.98</v>
      </c>
      <c r="I145" s="62">
        <v>2.2589999999999999</v>
      </c>
      <c r="J145" s="37">
        <v>182</v>
      </c>
      <c r="K145" s="37" t="s">
        <v>91</v>
      </c>
      <c r="L145" s="37" t="s">
        <v>46</v>
      </c>
      <c r="M145" s="38" t="s">
        <v>97</v>
      </c>
      <c r="N145" s="38"/>
      <c r="O145" s="37">
        <v>40</v>
      </c>
      <c r="P145" s="8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5" s="643"/>
      <c r="R145" s="643"/>
      <c r="S145" s="643"/>
      <c r="T145" s="644"/>
      <c r="U145" s="39" t="s">
        <v>46</v>
      </c>
      <c r="V145" s="39" t="s">
        <v>46</v>
      </c>
      <c r="W145" s="40" t="s">
        <v>0</v>
      </c>
      <c r="X145" s="58">
        <v>0</v>
      </c>
      <c r="Y145" s="55">
        <f t="shared" si="16"/>
        <v>0</v>
      </c>
      <c r="Z145" s="41" t="str">
        <f t="shared" si="17"/>
        <v/>
      </c>
      <c r="AA145" s="68" t="s">
        <v>46</v>
      </c>
      <c r="AB145" s="69" t="s">
        <v>46</v>
      </c>
      <c r="AC145" s="212" t="s">
        <v>265</v>
      </c>
      <c r="AG145" s="78"/>
      <c r="AJ145" s="84" t="s">
        <v>46</v>
      </c>
      <c r="AK145" s="84">
        <v>0</v>
      </c>
      <c r="BB145" s="213" t="s">
        <v>67</v>
      </c>
      <c r="BM145" s="78">
        <f t="shared" si="18"/>
        <v>0</v>
      </c>
      <c r="BN145" s="78">
        <f t="shared" si="19"/>
        <v>0</v>
      </c>
      <c r="BO145" s="78">
        <f t="shared" si="20"/>
        <v>0</v>
      </c>
      <c r="BP145" s="78">
        <f t="shared" si="21"/>
        <v>0</v>
      </c>
    </row>
    <row r="146" spans="1:68" ht="27" customHeight="1" x14ac:dyDescent="0.25">
      <c r="A146" s="63" t="s">
        <v>263</v>
      </c>
      <c r="B146" s="63" t="s">
        <v>266</v>
      </c>
      <c r="C146" s="36">
        <v>4301052253</v>
      </c>
      <c r="D146" s="641">
        <v>4680115888197</v>
      </c>
      <c r="E146" s="641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91</v>
      </c>
      <c r="L146" s="37" t="s">
        <v>46</v>
      </c>
      <c r="M146" s="38" t="s">
        <v>97</v>
      </c>
      <c r="N146" s="38"/>
      <c r="O146" s="37">
        <v>40</v>
      </c>
      <c r="P146" s="85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6" s="643"/>
      <c r="R146" s="643"/>
      <c r="S146" s="643"/>
      <c r="T146" s="644"/>
      <c r="U146" s="39" t="s">
        <v>46</v>
      </c>
      <c r="V146" s="39" t="s">
        <v>46</v>
      </c>
      <c r="W146" s="40" t="s">
        <v>0</v>
      </c>
      <c r="X146" s="58">
        <v>0</v>
      </c>
      <c r="Y146" s="55">
        <f t="shared" si="16"/>
        <v>0</v>
      </c>
      <c r="Z146" s="41" t="str">
        <f t="shared" si="17"/>
        <v/>
      </c>
      <c r="AA146" s="68" t="s">
        <v>46</v>
      </c>
      <c r="AB146" s="69" t="s">
        <v>46</v>
      </c>
      <c r="AC146" s="214" t="s">
        <v>265</v>
      </c>
      <c r="AG146" s="78"/>
      <c r="AJ146" s="84" t="s">
        <v>46</v>
      </c>
      <c r="AK146" s="84">
        <v>0</v>
      </c>
      <c r="BB146" s="215" t="s">
        <v>67</v>
      </c>
      <c r="BM146" s="78">
        <f t="shared" si="18"/>
        <v>0</v>
      </c>
      <c r="BN146" s="78">
        <f t="shared" si="19"/>
        <v>0</v>
      </c>
      <c r="BO146" s="78">
        <f t="shared" si="20"/>
        <v>0</v>
      </c>
      <c r="BP146" s="78">
        <f t="shared" si="21"/>
        <v>0</v>
      </c>
    </row>
    <row r="147" spans="1:68" ht="27" customHeight="1" x14ac:dyDescent="0.25">
      <c r="A147" s="63" t="s">
        <v>267</v>
      </c>
      <c r="B147" s="63" t="s">
        <v>268</v>
      </c>
      <c r="C147" s="36">
        <v>4301052175</v>
      </c>
      <c r="D147" s="641">
        <v>4680115888210</v>
      </c>
      <c r="E147" s="641"/>
      <c r="F147" s="62">
        <v>0.22</v>
      </c>
      <c r="G147" s="37">
        <v>9</v>
      </c>
      <c r="H147" s="62">
        <v>1.98</v>
      </c>
      <c r="I147" s="62">
        <v>2.2589999999999999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85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7" s="643"/>
      <c r="R147" s="643"/>
      <c r="S147" s="643"/>
      <c r="T147" s="644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si="16"/>
        <v>0</v>
      </c>
      <c r="Z147" s="41" t="str">
        <f t="shared" si="17"/>
        <v/>
      </c>
      <c r="AA147" s="68" t="s">
        <v>46</v>
      </c>
      <c r="AB147" s="69" t="s">
        <v>46</v>
      </c>
      <c r="AC147" s="216" t="s">
        <v>269</v>
      </c>
      <c r="AG147" s="78"/>
      <c r="AJ147" s="84" t="s">
        <v>46</v>
      </c>
      <c r="AK147" s="84">
        <v>0</v>
      </c>
      <c r="BB147" s="217" t="s">
        <v>67</v>
      </c>
      <c r="BM147" s="78">
        <f t="shared" si="18"/>
        <v>0</v>
      </c>
      <c r="BN147" s="78">
        <f t="shared" si="19"/>
        <v>0</v>
      </c>
      <c r="BO147" s="78">
        <f t="shared" si="20"/>
        <v>0</v>
      </c>
      <c r="BP147" s="78">
        <f t="shared" si="21"/>
        <v>0</v>
      </c>
    </row>
    <row r="148" spans="1:68" ht="27" customHeight="1" x14ac:dyDescent="0.25">
      <c r="A148" s="63" t="s">
        <v>267</v>
      </c>
      <c r="B148" s="63" t="s">
        <v>270</v>
      </c>
      <c r="C148" s="36">
        <v>4301052255</v>
      </c>
      <c r="D148" s="641">
        <v>4680115888210</v>
      </c>
      <c r="E148" s="64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5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8" s="643"/>
      <c r="R148" s="643"/>
      <c r="S148" s="643"/>
      <c r="T148" s="64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6"/>
        <v>0</v>
      </c>
      <c r="Z148" s="41" t="str">
        <f t="shared" si="17"/>
        <v/>
      </c>
      <c r="AA148" s="68" t="s">
        <v>46</v>
      </c>
      <c r="AB148" s="69" t="s">
        <v>46</v>
      </c>
      <c r="AC148" s="218" t="s">
        <v>269</v>
      </c>
      <c r="AG148" s="78"/>
      <c r="AJ148" s="84" t="s">
        <v>46</v>
      </c>
      <c r="AK148" s="84">
        <v>0</v>
      </c>
      <c r="BB148" s="219" t="s">
        <v>67</v>
      </c>
      <c r="BM148" s="78">
        <f t="shared" si="18"/>
        <v>0</v>
      </c>
      <c r="BN148" s="78">
        <f t="shared" si="19"/>
        <v>0</v>
      </c>
      <c r="BO148" s="78">
        <f t="shared" si="20"/>
        <v>0</v>
      </c>
      <c r="BP148" s="78">
        <f t="shared" si="21"/>
        <v>0</v>
      </c>
    </row>
    <row r="149" spans="1:68" x14ac:dyDescent="0.2">
      <c r="A149" s="635"/>
      <c r="B149" s="635"/>
      <c r="C149" s="635"/>
      <c r="D149" s="635"/>
      <c r="E149" s="635"/>
      <c r="F149" s="635"/>
      <c r="G149" s="635"/>
      <c r="H149" s="635"/>
      <c r="I149" s="635"/>
      <c r="J149" s="635"/>
      <c r="K149" s="635"/>
      <c r="L149" s="635"/>
      <c r="M149" s="635"/>
      <c r="N149" s="635"/>
      <c r="O149" s="636"/>
      <c r="P149" s="632" t="s">
        <v>40</v>
      </c>
      <c r="Q149" s="633"/>
      <c r="R149" s="633"/>
      <c r="S149" s="633"/>
      <c r="T149" s="633"/>
      <c r="U149" s="633"/>
      <c r="V149" s="634"/>
      <c r="W149" s="42" t="s">
        <v>39</v>
      </c>
      <c r="X149" s="43">
        <f>IFERROR(X142/H142,"0")+IFERROR(X143/H143,"0")+IFERROR(X144/H144,"0")+IFERROR(X145/H145,"0")+IFERROR(X146/H146,"0")+IFERROR(X147/H147,"0")+IFERROR(X148/H148,"0")</f>
        <v>0</v>
      </c>
      <c r="Y149" s="43">
        <f>IFERROR(Y142/H142,"0")+IFERROR(Y143/H143,"0")+IFERROR(Y144/H144,"0")+IFERROR(Y145/H145,"0")+IFERROR(Y146/H146,"0")+IFERROR(Y147/H147,"0")+IFERROR(Y148/H148,"0")</f>
        <v>0</v>
      </c>
      <c r="Z149" s="43">
        <f>IFERROR(IF(Z142="",0,Z142),"0")+IFERROR(IF(Z143="",0,Z143),"0")+IFERROR(IF(Z144="",0,Z144),"0")+IFERROR(IF(Z145="",0,Z145),"0")+IFERROR(IF(Z146="",0,Z146),"0")+IFERROR(IF(Z147="",0,Z147),"0")+IFERROR(IF(Z148="",0,Z148),"0")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35"/>
      <c r="B150" s="635"/>
      <c r="C150" s="635"/>
      <c r="D150" s="635"/>
      <c r="E150" s="635"/>
      <c r="F150" s="635"/>
      <c r="G150" s="635"/>
      <c r="H150" s="635"/>
      <c r="I150" s="635"/>
      <c r="J150" s="635"/>
      <c r="K150" s="635"/>
      <c r="L150" s="635"/>
      <c r="M150" s="635"/>
      <c r="N150" s="635"/>
      <c r="O150" s="636"/>
      <c r="P150" s="632" t="s">
        <v>40</v>
      </c>
      <c r="Q150" s="633"/>
      <c r="R150" s="633"/>
      <c r="S150" s="633"/>
      <c r="T150" s="633"/>
      <c r="U150" s="633"/>
      <c r="V150" s="634"/>
      <c r="W150" s="42" t="s">
        <v>0</v>
      </c>
      <c r="X150" s="43">
        <f>IFERROR(SUM(X142:X148),"0")</f>
        <v>0</v>
      </c>
      <c r="Y150" s="43">
        <f>IFERROR(SUM(Y142:Y148),"0")</f>
        <v>0</v>
      </c>
      <c r="Z150" s="42"/>
      <c r="AA150" s="67"/>
      <c r="AB150" s="67"/>
      <c r="AC150" s="67"/>
    </row>
    <row r="151" spans="1:68" ht="14.25" customHeight="1" x14ac:dyDescent="0.25">
      <c r="A151" s="646" t="s">
        <v>271</v>
      </c>
      <c r="B151" s="646"/>
      <c r="C151" s="646"/>
      <c r="D151" s="646"/>
      <c r="E151" s="646"/>
      <c r="F151" s="646"/>
      <c r="G151" s="646"/>
      <c r="H151" s="646"/>
      <c r="I151" s="646"/>
      <c r="J151" s="646"/>
      <c r="K151" s="646"/>
      <c r="L151" s="646"/>
      <c r="M151" s="646"/>
      <c r="N151" s="646"/>
      <c r="O151" s="646"/>
      <c r="P151" s="646"/>
      <c r="Q151" s="646"/>
      <c r="R151" s="646"/>
      <c r="S151" s="646"/>
      <c r="T151" s="646"/>
      <c r="U151" s="646"/>
      <c r="V151" s="646"/>
      <c r="W151" s="646"/>
      <c r="X151" s="646"/>
      <c r="Y151" s="646"/>
      <c r="Z151" s="646"/>
      <c r="AA151" s="66"/>
      <c r="AB151" s="66"/>
      <c r="AC151" s="80"/>
    </row>
    <row r="152" spans="1:68" ht="27" customHeight="1" x14ac:dyDescent="0.25">
      <c r="A152" s="63" t="s">
        <v>272</v>
      </c>
      <c r="B152" s="63" t="s">
        <v>273</v>
      </c>
      <c r="C152" s="36">
        <v>4301032067</v>
      </c>
      <c r="D152" s="641">
        <v>4680115889132</v>
      </c>
      <c r="E152" s="641"/>
      <c r="F152" s="62">
        <v>0.04</v>
      </c>
      <c r="G152" s="37">
        <v>8</v>
      </c>
      <c r="H152" s="62">
        <v>0.32</v>
      </c>
      <c r="I152" s="62">
        <v>0.5</v>
      </c>
      <c r="J152" s="37">
        <v>330</v>
      </c>
      <c r="K152" s="37" t="s">
        <v>277</v>
      </c>
      <c r="L152" s="37" t="s">
        <v>46</v>
      </c>
      <c r="M152" s="38" t="s">
        <v>276</v>
      </c>
      <c r="N152" s="38"/>
      <c r="O152" s="37">
        <v>120</v>
      </c>
      <c r="P152" s="85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2" s="643"/>
      <c r="R152" s="643"/>
      <c r="S152" s="643"/>
      <c r="T152" s="64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IFERROR(IF(Y152=0,"",ROUNDUP(Y152/H152,0)*0.00337),"")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275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35"/>
      <c r="B153" s="635"/>
      <c r="C153" s="635"/>
      <c r="D153" s="635"/>
      <c r="E153" s="635"/>
      <c r="F153" s="635"/>
      <c r="G153" s="635"/>
      <c r="H153" s="635"/>
      <c r="I153" s="635"/>
      <c r="J153" s="635"/>
      <c r="K153" s="635"/>
      <c r="L153" s="635"/>
      <c r="M153" s="635"/>
      <c r="N153" s="635"/>
      <c r="O153" s="636"/>
      <c r="P153" s="632" t="s">
        <v>40</v>
      </c>
      <c r="Q153" s="633"/>
      <c r="R153" s="633"/>
      <c r="S153" s="633"/>
      <c r="T153" s="633"/>
      <c r="U153" s="633"/>
      <c r="V153" s="634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35"/>
      <c r="B154" s="635"/>
      <c r="C154" s="635"/>
      <c r="D154" s="635"/>
      <c r="E154" s="635"/>
      <c r="F154" s="635"/>
      <c r="G154" s="635"/>
      <c r="H154" s="635"/>
      <c r="I154" s="635"/>
      <c r="J154" s="635"/>
      <c r="K154" s="635"/>
      <c r="L154" s="635"/>
      <c r="M154" s="635"/>
      <c r="N154" s="635"/>
      <c r="O154" s="636"/>
      <c r="P154" s="632" t="s">
        <v>40</v>
      </c>
      <c r="Q154" s="633"/>
      <c r="R154" s="633"/>
      <c r="S154" s="633"/>
      <c r="T154" s="633"/>
      <c r="U154" s="633"/>
      <c r="V154" s="634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16.5" customHeight="1" x14ac:dyDescent="0.25">
      <c r="A155" s="645" t="s">
        <v>123</v>
      </c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5"/>
      <c r="P155" s="645"/>
      <c r="Q155" s="645"/>
      <c r="R155" s="645"/>
      <c r="S155" s="645"/>
      <c r="T155" s="645"/>
      <c r="U155" s="645"/>
      <c r="V155" s="645"/>
      <c r="W155" s="645"/>
      <c r="X155" s="645"/>
      <c r="Y155" s="645"/>
      <c r="Z155" s="645"/>
      <c r="AA155" s="65"/>
      <c r="AB155" s="65"/>
      <c r="AC155" s="79"/>
    </row>
    <row r="156" spans="1:68" ht="14.25" customHeight="1" x14ac:dyDescent="0.25">
      <c r="A156" s="646" t="s">
        <v>125</v>
      </c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46"/>
      <c r="P156" s="646"/>
      <c r="Q156" s="646"/>
      <c r="R156" s="646"/>
      <c r="S156" s="646"/>
      <c r="T156" s="646"/>
      <c r="U156" s="646"/>
      <c r="V156" s="646"/>
      <c r="W156" s="646"/>
      <c r="X156" s="646"/>
      <c r="Y156" s="646"/>
      <c r="Z156" s="646"/>
      <c r="AA156" s="66"/>
      <c r="AB156" s="66"/>
      <c r="AC156" s="80"/>
    </row>
    <row r="157" spans="1:68" ht="27" customHeight="1" x14ac:dyDescent="0.25">
      <c r="A157" s="63" t="s">
        <v>278</v>
      </c>
      <c r="B157" s="63" t="s">
        <v>279</v>
      </c>
      <c r="C157" s="36">
        <v>4301012338</v>
      </c>
      <c r="D157" s="641">
        <v>4680115887374</v>
      </c>
      <c r="E157" s="641"/>
      <c r="F157" s="62">
        <v>1</v>
      </c>
      <c r="G157" s="37">
        <v>6</v>
      </c>
      <c r="H157" s="62">
        <v>6</v>
      </c>
      <c r="I157" s="62">
        <v>6.35</v>
      </c>
      <c r="J157" s="37">
        <v>104</v>
      </c>
      <c r="K157" s="37" t="s">
        <v>130</v>
      </c>
      <c r="L157" s="37" t="s">
        <v>46</v>
      </c>
      <c r="M157" s="38" t="s">
        <v>129</v>
      </c>
      <c r="N157" s="38"/>
      <c r="O157" s="37">
        <v>55</v>
      </c>
      <c r="P157" s="84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43"/>
      <c r="R157" s="643"/>
      <c r="S157" s="643"/>
      <c r="T157" s="64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IFERROR(IF(Y157=0,"",ROUNDUP(Y157/H157,0)*0.01196),"")</f>
        <v/>
      </c>
      <c r="AA157" s="68" t="s">
        <v>46</v>
      </c>
      <c r="AB157" s="69" t="s">
        <v>46</v>
      </c>
      <c r="AC157" s="222" t="s">
        <v>280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 x14ac:dyDescent="0.25">
      <c r="A158" s="63" t="s">
        <v>281</v>
      </c>
      <c r="B158" s="63" t="s">
        <v>282</v>
      </c>
      <c r="C158" s="36">
        <v>4301011705</v>
      </c>
      <c r="D158" s="641">
        <v>4607091384604</v>
      </c>
      <c r="E158" s="641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137</v>
      </c>
      <c r="L158" s="37" t="s">
        <v>46</v>
      </c>
      <c r="M158" s="38" t="s">
        <v>129</v>
      </c>
      <c r="N158" s="38"/>
      <c r="O158" s="37">
        <v>50</v>
      </c>
      <c r="P158" s="84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43"/>
      <c r="R158" s="643"/>
      <c r="S158" s="643"/>
      <c r="T158" s="64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283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16.5" customHeight="1" x14ac:dyDescent="0.25">
      <c r="A159" s="63" t="s">
        <v>284</v>
      </c>
      <c r="B159" s="63" t="s">
        <v>285</v>
      </c>
      <c r="C159" s="36">
        <v>4301012344</v>
      </c>
      <c r="D159" s="641">
        <v>4680115888876</v>
      </c>
      <c r="E159" s="641"/>
      <c r="F159" s="62">
        <v>0.43</v>
      </c>
      <c r="G159" s="37">
        <v>6</v>
      </c>
      <c r="H159" s="62">
        <v>2.58</v>
      </c>
      <c r="I159" s="62">
        <v>2.76</v>
      </c>
      <c r="J159" s="37">
        <v>182</v>
      </c>
      <c r="K159" s="37" t="s">
        <v>91</v>
      </c>
      <c r="L159" s="37" t="s">
        <v>46</v>
      </c>
      <c r="M159" s="38" t="s">
        <v>90</v>
      </c>
      <c r="N159" s="38"/>
      <c r="O159" s="37">
        <v>55</v>
      </c>
      <c r="P159" s="84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9" s="643"/>
      <c r="R159" s="643"/>
      <c r="S159" s="643"/>
      <c r="T159" s="64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IFERROR(IF(Y159=0,"",ROUNDUP(Y159/H159,0)*0.00651),"")</f>
        <v/>
      </c>
      <c r="AA159" s="68" t="s">
        <v>46</v>
      </c>
      <c r="AB159" s="69" t="s">
        <v>46</v>
      </c>
      <c r="AC159" s="226" t="s">
        <v>286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35"/>
      <c r="B160" s="635"/>
      <c r="C160" s="635"/>
      <c r="D160" s="635"/>
      <c r="E160" s="635"/>
      <c r="F160" s="635"/>
      <c r="G160" s="635"/>
      <c r="H160" s="635"/>
      <c r="I160" s="635"/>
      <c r="J160" s="635"/>
      <c r="K160" s="635"/>
      <c r="L160" s="635"/>
      <c r="M160" s="635"/>
      <c r="N160" s="635"/>
      <c r="O160" s="636"/>
      <c r="P160" s="632" t="s">
        <v>40</v>
      </c>
      <c r="Q160" s="633"/>
      <c r="R160" s="633"/>
      <c r="S160" s="633"/>
      <c r="T160" s="633"/>
      <c r="U160" s="633"/>
      <c r="V160" s="634"/>
      <c r="W160" s="42" t="s">
        <v>39</v>
      </c>
      <c r="X160" s="43">
        <f>IFERROR(X157/H157,"0")+IFERROR(X158/H158,"0")+IFERROR(X159/H159,"0")</f>
        <v>0</v>
      </c>
      <c r="Y160" s="43">
        <f>IFERROR(Y157/H157,"0")+IFERROR(Y158/H158,"0")+IFERROR(Y159/H159,"0")</f>
        <v>0</v>
      </c>
      <c r="Z160" s="43">
        <f>IFERROR(IF(Z157="",0,Z157),"0")+IFERROR(IF(Z158="",0,Z158),"0")+IFERROR(IF(Z159="",0,Z159),"0")</f>
        <v>0</v>
      </c>
      <c r="AA160" s="67"/>
      <c r="AB160" s="67"/>
      <c r="AC160" s="67"/>
    </row>
    <row r="161" spans="1:68" x14ac:dyDescent="0.2">
      <c r="A161" s="635"/>
      <c r="B161" s="635"/>
      <c r="C161" s="635"/>
      <c r="D161" s="635"/>
      <c r="E161" s="635"/>
      <c r="F161" s="635"/>
      <c r="G161" s="635"/>
      <c r="H161" s="635"/>
      <c r="I161" s="635"/>
      <c r="J161" s="635"/>
      <c r="K161" s="635"/>
      <c r="L161" s="635"/>
      <c r="M161" s="635"/>
      <c r="N161" s="635"/>
      <c r="O161" s="636"/>
      <c r="P161" s="632" t="s">
        <v>40</v>
      </c>
      <c r="Q161" s="633"/>
      <c r="R161" s="633"/>
      <c r="S161" s="633"/>
      <c r="T161" s="633"/>
      <c r="U161" s="633"/>
      <c r="V161" s="634"/>
      <c r="W161" s="42" t="s">
        <v>0</v>
      </c>
      <c r="X161" s="43">
        <f>IFERROR(SUM(X157:X159),"0")</f>
        <v>0</v>
      </c>
      <c r="Y161" s="43">
        <f>IFERROR(SUM(Y157:Y159),"0")</f>
        <v>0</v>
      </c>
      <c r="Z161" s="42"/>
      <c r="AA161" s="67"/>
      <c r="AB161" s="67"/>
      <c r="AC161" s="67"/>
    </row>
    <row r="162" spans="1:68" ht="14.25" customHeight="1" x14ac:dyDescent="0.25">
      <c r="A162" s="646" t="s">
        <v>158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6"/>
      <c r="AB162" s="66"/>
      <c r="AC162" s="80"/>
    </row>
    <row r="163" spans="1:68" ht="16.5" customHeight="1" x14ac:dyDescent="0.25">
      <c r="A163" s="63" t="s">
        <v>287</v>
      </c>
      <c r="B163" s="63" t="s">
        <v>288</v>
      </c>
      <c r="C163" s="36">
        <v>4301020410</v>
      </c>
      <c r="D163" s="641">
        <v>4680115887695</v>
      </c>
      <c r="E163" s="641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84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43"/>
      <c r="R163" s="643"/>
      <c r="S163" s="643"/>
      <c r="T163" s="64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289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customHeight="1" x14ac:dyDescent="0.25">
      <c r="A164" s="63" t="s">
        <v>290</v>
      </c>
      <c r="B164" s="63" t="s">
        <v>291</v>
      </c>
      <c r="C164" s="36">
        <v>4301020439</v>
      </c>
      <c r="D164" s="641">
        <v>4680115889491</v>
      </c>
      <c r="E164" s="641"/>
      <c r="F164" s="62">
        <v>0.3</v>
      </c>
      <c r="G164" s="37">
        <v>8</v>
      </c>
      <c r="H164" s="62">
        <v>2.4</v>
      </c>
      <c r="I164" s="62">
        <v>2.5</v>
      </c>
      <c r="J164" s="37">
        <v>234</v>
      </c>
      <c r="K164" s="37" t="s">
        <v>82</v>
      </c>
      <c r="L164" s="37" t="s">
        <v>46</v>
      </c>
      <c r="M164" s="38" t="s">
        <v>129</v>
      </c>
      <c r="N164" s="38"/>
      <c r="O164" s="37">
        <v>55</v>
      </c>
      <c r="P164" s="84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4" s="643"/>
      <c r="R164" s="643"/>
      <c r="S164" s="643"/>
      <c r="T164" s="64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IFERROR(IF(Y164=0,"",ROUNDUP(Y164/H164,0)*0.00502),"")</f>
        <v/>
      </c>
      <c r="AA164" s="68" t="s">
        <v>46</v>
      </c>
      <c r="AB164" s="69" t="s">
        <v>46</v>
      </c>
      <c r="AC164" s="230" t="s">
        <v>292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35"/>
      <c r="B165" s="635"/>
      <c r="C165" s="635"/>
      <c r="D165" s="635"/>
      <c r="E165" s="635"/>
      <c r="F165" s="635"/>
      <c r="G165" s="635"/>
      <c r="H165" s="635"/>
      <c r="I165" s="635"/>
      <c r="J165" s="635"/>
      <c r="K165" s="635"/>
      <c r="L165" s="635"/>
      <c r="M165" s="635"/>
      <c r="N165" s="635"/>
      <c r="O165" s="636"/>
      <c r="P165" s="632" t="s">
        <v>40</v>
      </c>
      <c r="Q165" s="633"/>
      <c r="R165" s="633"/>
      <c r="S165" s="633"/>
      <c r="T165" s="633"/>
      <c r="U165" s="633"/>
      <c r="V165" s="634"/>
      <c r="W165" s="42" t="s">
        <v>39</v>
      </c>
      <c r="X165" s="43">
        <f>IFERROR(X163/H163,"0")+IFERROR(X164/H164,"0")</f>
        <v>0</v>
      </c>
      <c r="Y165" s="43">
        <f>IFERROR(Y163/H163,"0")+IFERROR(Y164/H164,"0")</f>
        <v>0</v>
      </c>
      <c r="Z165" s="43">
        <f>IFERROR(IF(Z163="",0,Z163),"0")+IFERROR(IF(Z164="",0,Z164),"0")</f>
        <v>0</v>
      </c>
      <c r="AA165" s="67"/>
      <c r="AB165" s="67"/>
      <c r="AC165" s="67"/>
    </row>
    <row r="166" spans="1:68" x14ac:dyDescent="0.2">
      <c r="A166" s="635"/>
      <c r="B166" s="635"/>
      <c r="C166" s="635"/>
      <c r="D166" s="635"/>
      <c r="E166" s="635"/>
      <c r="F166" s="635"/>
      <c r="G166" s="635"/>
      <c r="H166" s="635"/>
      <c r="I166" s="635"/>
      <c r="J166" s="635"/>
      <c r="K166" s="635"/>
      <c r="L166" s="635"/>
      <c r="M166" s="635"/>
      <c r="N166" s="635"/>
      <c r="O166" s="636"/>
      <c r="P166" s="632" t="s">
        <v>40</v>
      </c>
      <c r="Q166" s="633"/>
      <c r="R166" s="633"/>
      <c r="S166" s="633"/>
      <c r="T166" s="633"/>
      <c r="U166" s="633"/>
      <c r="V166" s="634"/>
      <c r="W166" s="42" t="s">
        <v>0</v>
      </c>
      <c r="X166" s="43">
        <f>IFERROR(SUM(X163:X164),"0")</f>
        <v>0</v>
      </c>
      <c r="Y166" s="43">
        <f>IFERROR(SUM(Y163:Y164),"0")</f>
        <v>0</v>
      </c>
      <c r="Z166" s="42"/>
      <c r="AA166" s="67"/>
      <c r="AB166" s="67"/>
      <c r="AC166" s="67"/>
    </row>
    <row r="167" spans="1:68" ht="14.25" customHeight="1" x14ac:dyDescent="0.25">
      <c r="A167" s="646" t="s">
        <v>77</v>
      </c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46"/>
      <c r="P167" s="646"/>
      <c r="Q167" s="646"/>
      <c r="R167" s="646"/>
      <c r="S167" s="646"/>
      <c r="T167" s="646"/>
      <c r="U167" s="646"/>
      <c r="V167" s="646"/>
      <c r="W167" s="646"/>
      <c r="X167" s="646"/>
      <c r="Y167" s="646"/>
      <c r="Z167" s="646"/>
      <c r="AA167" s="66"/>
      <c r="AB167" s="66"/>
      <c r="AC167" s="80"/>
    </row>
    <row r="168" spans="1:68" ht="27" customHeight="1" x14ac:dyDescent="0.25">
      <c r="A168" s="63" t="s">
        <v>293</v>
      </c>
      <c r="B168" s="63" t="s">
        <v>294</v>
      </c>
      <c r="C168" s="36">
        <v>4301031496</v>
      </c>
      <c r="D168" s="641">
        <v>4680115887428</v>
      </c>
      <c r="E168" s="641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137</v>
      </c>
      <c r="L168" s="37" t="s">
        <v>46</v>
      </c>
      <c r="M168" s="38" t="s">
        <v>81</v>
      </c>
      <c r="N168" s="38"/>
      <c r="O168" s="37">
        <v>40</v>
      </c>
      <c r="P168" s="84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43"/>
      <c r="R168" s="643"/>
      <c r="S168" s="643"/>
      <c r="T168" s="64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ref="Y168:Y178" si="22"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295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3">IFERROR(X168*I168/H168,"0")</f>
        <v>0</v>
      </c>
      <c r="BN168" s="78">
        <f t="shared" ref="BN168:BN178" si="24">IFERROR(Y168*I168/H168,"0")</f>
        <v>0</v>
      </c>
      <c r="BO168" s="78">
        <f t="shared" ref="BO168:BO178" si="25">IFERROR(1/J168*(X168/H168),"0")</f>
        <v>0</v>
      </c>
      <c r="BP168" s="78">
        <f t="shared" ref="BP168:BP178" si="26">IFERROR(1/J168*(Y168/H168),"0")</f>
        <v>0</v>
      </c>
    </row>
    <row r="169" spans="1:68" ht="27" customHeight="1" x14ac:dyDescent="0.25">
      <c r="A169" s="63" t="s">
        <v>296</v>
      </c>
      <c r="B169" s="63" t="s">
        <v>297</v>
      </c>
      <c r="C169" s="36">
        <v>4301031509</v>
      </c>
      <c r="D169" s="641">
        <v>4680115889170</v>
      </c>
      <c r="E169" s="641"/>
      <c r="F169" s="62">
        <v>0.7</v>
      </c>
      <c r="G169" s="37">
        <v>5</v>
      </c>
      <c r="H169" s="62">
        <v>3.5</v>
      </c>
      <c r="I169" s="62">
        <v>3.7650000000000001</v>
      </c>
      <c r="J169" s="37">
        <v>132</v>
      </c>
      <c r="K169" s="37" t="s">
        <v>137</v>
      </c>
      <c r="L169" s="37" t="s">
        <v>46</v>
      </c>
      <c r="M169" s="38" t="s">
        <v>81</v>
      </c>
      <c r="N169" s="38"/>
      <c r="O169" s="37">
        <v>45</v>
      </c>
      <c r="P169" s="84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9" s="643"/>
      <c r="R169" s="643"/>
      <c r="S169" s="643"/>
      <c r="T169" s="64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2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298</v>
      </c>
      <c r="AG169" s="78"/>
      <c r="AJ169" s="84" t="s">
        <v>46</v>
      </c>
      <c r="AK169" s="84">
        <v>0</v>
      </c>
      <c r="BB169" s="235" t="s">
        <v>67</v>
      </c>
      <c r="BM169" s="78">
        <f t="shared" si="23"/>
        <v>0</v>
      </c>
      <c r="BN169" s="78">
        <f t="shared" si="24"/>
        <v>0</v>
      </c>
      <c r="BO169" s="78">
        <f t="shared" si="25"/>
        <v>0</v>
      </c>
      <c r="BP169" s="78">
        <f t="shared" si="26"/>
        <v>0</v>
      </c>
    </row>
    <row r="170" spans="1:68" ht="27" customHeight="1" x14ac:dyDescent="0.25">
      <c r="A170" s="63" t="s">
        <v>299</v>
      </c>
      <c r="B170" s="63" t="s">
        <v>300</v>
      </c>
      <c r="C170" s="36">
        <v>4301031498</v>
      </c>
      <c r="D170" s="641">
        <v>4680115887398</v>
      </c>
      <c r="E170" s="64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137</v>
      </c>
      <c r="L170" s="37" t="s">
        <v>46</v>
      </c>
      <c r="M170" s="38" t="s">
        <v>81</v>
      </c>
      <c r="N170" s="38"/>
      <c r="O170" s="37">
        <v>40</v>
      </c>
      <c r="P170" s="84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43"/>
      <c r="R170" s="643"/>
      <c r="S170" s="643"/>
      <c r="T170" s="64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2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301</v>
      </c>
      <c r="AG170" s="78"/>
      <c r="AJ170" s="84" t="s">
        <v>46</v>
      </c>
      <c r="AK170" s="84">
        <v>0</v>
      </c>
      <c r="BB170" s="237" t="s">
        <v>67</v>
      </c>
      <c r="BM170" s="78">
        <f t="shared" si="23"/>
        <v>0</v>
      </c>
      <c r="BN170" s="78">
        <f t="shared" si="24"/>
        <v>0</v>
      </c>
      <c r="BO170" s="78">
        <f t="shared" si="25"/>
        <v>0</v>
      </c>
      <c r="BP170" s="78">
        <f t="shared" si="26"/>
        <v>0</v>
      </c>
    </row>
    <row r="171" spans="1:68" ht="27" customHeight="1" x14ac:dyDescent="0.25">
      <c r="A171" s="63" t="s">
        <v>302</v>
      </c>
      <c r="B171" s="63" t="s">
        <v>303</v>
      </c>
      <c r="C171" s="36">
        <v>4301031497</v>
      </c>
      <c r="D171" s="641">
        <v>4680115887336</v>
      </c>
      <c r="E171" s="641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137</v>
      </c>
      <c r="L171" s="37" t="s">
        <v>46</v>
      </c>
      <c r="M171" s="38" t="s">
        <v>81</v>
      </c>
      <c r="N171" s="38"/>
      <c r="O171" s="37">
        <v>40</v>
      </c>
      <c r="P171" s="84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43"/>
      <c r="R171" s="643"/>
      <c r="S171" s="643"/>
      <c r="T171" s="64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2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304</v>
      </c>
      <c r="AG171" s="78"/>
      <c r="AJ171" s="84" t="s">
        <v>46</v>
      </c>
      <c r="AK171" s="84">
        <v>0</v>
      </c>
      <c r="BB171" s="239" t="s">
        <v>67</v>
      </c>
      <c r="BM171" s="78">
        <f t="shared" si="23"/>
        <v>0</v>
      </c>
      <c r="BN171" s="78">
        <f t="shared" si="24"/>
        <v>0</v>
      </c>
      <c r="BO171" s="78">
        <f t="shared" si="25"/>
        <v>0</v>
      </c>
      <c r="BP171" s="78">
        <f t="shared" si="26"/>
        <v>0</v>
      </c>
    </row>
    <row r="172" spans="1:68" ht="16.5" customHeight="1" x14ac:dyDescent="0.25">
      <c r="A172" s="63" t="s">
        <v>305</v>
      </c>
      <c r="B172" s="63" t="s">
        <v>306</v>
      </c>
      <c r="C172" s="36">
        <v>4301032049</v>
      </c>
      <c r="D172" s="641">
        <v>4680115887787</v>
      </c>
      <c r="E172" s="641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134</v>
      </c>
      <c r="L172" s="37" t="s">
        <v>46</v>
      </c>
      <c r="M172" s="38" t="s">
        <v>81</v>
      </c>
      <c r="N172" s="38"/>
      <c r="O172" s="37">
        <v>45</v>
      </c>
      <c r="P172" s="8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43"/>
      <c r="R172" s="643"/>
      <c r="S172" s="643"/>
      <c r="T172" s="64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2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307</v>
      </c>
      <c r="AG172" s="78"/>
      <c r="AJ172" s="84" t="s">
        <v>46</v>
      </c>
      <c r="AK172" s="84">
        <v>0</v>
      </c>
      <c r="BB172" s="241" t="s">
        <v>67</v>
      </c>
      <c r="BM172" s="78">
        <f t="shared" si="23"/>
        <v>0</v>
      </c>
      <c r="BN172" s="78">
        <f t="shared" si="24"/>
        <v>0</v>
      </c>
      <c r="BO172" s="78">
        <f t="shared" si="25"/>
        <v>0</v>
      </c>
      <c r="BP172" s="78">
        <f t="shared" si="26"/>
        <v>0</v>
      </c>
    </row>
    <row r="173" spans="1:68" ht="27" customHeight="1" x14ac:dyDescent="0.25">
      <c r="A173" s="63" t="s">
        <v>308</v>
      </c>
      <c r="B173" s="63" t="s">
        <v>309</v>
      </c>
      <c r="C173" s="36">
        <v>4301031448</v>
      </c>
      <c r="D173" s="641">
        <v>4680115887503</v>
      </c>
      <c r="E173" s="641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83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43"/>
      <c r="R173" s="643"/>
      <c r="S173" s="643"/>
      <c r="T173" s="64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2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295</v>
      </c>
      <c r="AG173" s="78"/>
      <c r="AJ173" s="84" t="s">
        <v>46</v>
      </c>
      <c r="AK173" s="84">
        <v>0</v>
      </c>
      <c r="BB173" s="243" t="s">
        <v>67</v>
      </c>
      <c r="BM173" s="78">
        <f t="shared" si="23"/>
        <v>0</v>
      </c>
      <c r="BN173" s="78">
        <f t="shared" si="24"/>
        <v>0</v>
      </c>
      <c r="BO173" s="78">
        <f t="shared" si="25"/>
        <v>0</v>
      </c>
      <c r="BP173" s="78">
        <f t="shared" si="26"/>
        <v>0</v>
      </c>
    </row>
    <row r="174" spans="1:68" ht="27" customHeight="1" x14ac:dyDescent="0.25">
      <c r="A174" s="63" t="s">
        <v>310</v>
      </c>
      <c r="B174" s="63" t="s">
        <v>311</v>
      </c>
      <c r="C174" s="36">
        <v>4301031389</v>
      </c>
      <c r="D174" s="641">
        <v>4680115887763</v>
      </c>
      <c r="E174" s="641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43"/>
      <c r="R174" s="643"/>
      <c r="S174" s="643"/>
      <c r="T174" s="64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2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312</v>
      </c>
      <c r="AG174" s="78"/>
      <c r="AJ174" s="84" t="s">
        <v>46</v>
      </c>
      <c r="AK174" s="84">
        <v>0</v>
      </c>
      <c r="BB174" s="245" t="s">
        <v>67</v>
      </c>
      <c r="BM174" s="78">
        <f t="shared" si="23"/>
        <v>0</v>
      </c>
      <c r="BN174" s="78">
        <f t="shared" si="24"/>
        <v>0</v>
      </c>
      <c r="BO174" s="78">
        <f t="shared" si="25"/>
        <v>0</v>
      </c>
      <c r="BP174" s="78">
        <f t="shared" si="26"/>
        <v>0</v>
      </c>
    </row>
    <row r="175" spans="1:68" ht="27" customHeight="1" x14ac:dyDescent="0.25">
      <c r="A175" s="63" t="s">
        <v>310</v>
      </c>
      <c r="B175" s="63" t="s">
        <v>313</v>
      </c>
      <c r="C175" s="36">
        <v>4301031510</v>
      </c>
      <c r="D175" s="641">
        <v>4680115887763</v>
      </c>
      <c r="E175" s="641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3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43"/>
      <c r="R175" s="643"/>
      <c r="S175" s="643"/>
      <c r="T175" s="64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312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314</v>
      </c>
      <c r="B176" s="63" t="s">
        <v>315</v>
      </c>
      <c r="C176" s="36">
        <v>4301031454</v>
      </c>
      <c r="D176" s="641">
        <v>4680115887480</v>
      </c>
      <c r="E176" s="641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3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43"/>
      <c r="R176" s="643"/>
      <c r="S176" s="643"/>
      <c r="T176" s="64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customHeight="1" x14ac:dyDescent="0.25">
      <c r="A177" s="63" t="s">
        <v>316</v>
      </c>
      <c r="B177" s="63" t="s">
        <v>317</v>
      </c>
      <c r="C177" s="36">
        <v>4301031434</v>
      </c>
      <c r="D177" s="641">
        <v>4680115888067</v>
      </c>
      <c r="E177" s="641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3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43"/>
      <c r="R177" s="643"/>
      <c r="S177" s="643"/>
      <c r="T177" s="64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318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27" customHeight="1" x14ac:dyDescent="0.25">
      <c r="A178" s="63" t="s">
        <v>319</v>
      </c>
      <c r="B178" s="63" t="s">
        <v>320</v>
      </c>
      <c r="C178" s="36">
        <v>4301031519</v>
      </c>
      <c r="D178" s="641">
        <v>4680115887435</v>
      </c>
      <c r="E178" s="64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83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43"/>
      <c r="R178" s="643"/>
      <c r="S178" s="643"/>
      <c r="T178" s="64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321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x14ac:dyDescent="0.2">
      <c r="A179" s="635"/>
      <c r="B179" s="635"/>
      <c r="C179" s="635"/>
      <c r="D179" s="635"/>
      <c r="E179" s="635"/>
      <c r="F179" s="635"/>
      <c r="G179" s="635"/>
      <c r="H179" s="635"/>
      <c r="I179" s="635"/>
      <c r="J179" s="635"/>
      <c r="K179" s="635"/>
      <c r="L179" s="635"/>
      <c r="M179" s="635"/>
      <c r="N179" s="635"/>
      <c r="O179" s="636"/>
      <c r="P179" s="632" t="s">
        <v>40</v>
      </c>
      <c r="Q179" s="633"/>
      <c r="R179" s="633"/>
      <c r="S179" s="633"/>
      <c r="T179" s="633"/>
      <c r="U179" s="633"/>
      <c r="V179" s="634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35"/>
      <c r="B180" s="635"/>
      <c r="C180" s="635"/>
      <c r="D180" s="635"/>
      <c r="E180" s="635"/>
      <c r="F180" s="635"/>
      <c r="G180" s="635"/>
      <c r="H180" s="635"/>
      <c r="I180" s="635"/>
      <c r="J180" s="635"/>
      <c r="K180" s="635"/>
      <c r="L180" s="635"/>
      <c r="M180" s="635"/>
      <c r="N180" s="635"/>
      <c r="O180" s="636"/>
      <c r="P180" s="632" t="s">
        <v>40</v>
      </c>
      <c r="Q180" s="633"/>
      <c r="R180" s="633"/>
      <c r="S180" s="633"/>
      <c r="T180" s="633"/>
      <c r="U180" s="633"/>
      <c r="V180" s="634"/>
      <c r="W180" s="42" t="s">
        <v>0</v>
      </c>
      <c r="X180" s="43">
        <f>IFERROR(SUM(X168:X178),"0")</f>
        <v>0</v>
      </c>
      <c r="Y180" s="43">
        <f>IFERROR(SUM(Y168:Y178),"0")</f>
        <v>0</v>
      </c>
      <c r="Z180" s="42"/>
      <c r="AA180" s="67"/>
      <c r="AB180" s="67"/>
      <c r="AC180" s="67"/>
    </row>
    <row r="181" spans="1:68" ht="14.25" customHeight="1" x14ac:dyDescent="0.25">
      <c r="A181" s="646" t="s">
        <v>86</v>
      </c>
      <c r="B181" s="646"/>
      <c r="C181" s="646"/>
      <c r="D181" s="646"/>
      <c r="E181" s="646"/>
      <c r="F181" s="646"/>
      <c r="G181" s="646"/>
      <c r="H181" s="646"/>
      <c r="I181" s="646"/>
      <c r="J181" s="646"/>
      <c r="K181" s="646"/>
      <c r="L181" s="646"/>
      <c r="M181" s="646"/>
      <c r="N181" s="646"/>
      <c r="O181" s="646"/>
      <c r="P181" s="646"/>
      <c r="Q181" s="646"/>
      <c r="R181" s="646"/>
      <c r="S181" s="646"/>
      <c r="T181" s="646"/>
      <c r="U181" s="646"/>
      <c r="V181" s="646"/>
      <c r="W181" s="646"/>
      <c r="X181" s="646"/>
      <c r="Y181" s="646"/>
      <c r="Z181" s="646"/>
      <c r="AA181" s="66"/>
      <c r="AB181" s="66"/>
      <c r="AC181" s="80"/>
    </row>
    <row r="182" spans="1:68" ht="16.5" customHeight="1" x14ac:dyDescent="0.25">
      <c r="A182" s="63" t="s">
        <v>322</v>
      </c>
      <c r="B182" s="63" t="s">
        <v>323</v>
      </c>
      <c r="C182" s="36">
        <v>4301052193</v>
      </c>
      <c r="D182" s="641">
        <v>4680115888395</v>
      </c>
      <c r="E182" s="64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3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43"/>
      <c r="R182" s="643"/>
      <c r="S182" s="643"/>
      <c r="T182" s="64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324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325</v>
      </c>
      <c r="B183" s="63" t="s">
        <v>326</v>
      </c>
      <c r="C183" s="36">
        <v>4301052191</v>
      </c>
      <c r="D183" s="641">
        <v>4680115888371</v>
      </c>
      <c r="E183" s="641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83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43"/>
      <c r="R183" s="643"/>
      <c r="S183" s="643"/>
      <c r="T183" s="64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327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4301052064</v>
      </c>
      <c r="D184" s="641">
        <v>4680115887459</v>
      </c>
      <c r="E184" s="641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83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43"/>
      <c r="R184" s="643"/>
      <c r="S184" s="643"/>
      <c r="T184" s="644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330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35"/>
      <c r="B185" s="635"/>
      <c r="C185" s="635"/>
      <c r="D185" s="635"/>
      <c r="E185" s="635"/>
      <c r="F185" s="635"/>
      <c r="G185" s="635"/>
      <c r="H185" s="635"/>
      <c r="I185" s="635"/>
      <c r="J185" s="635"/>
      <c r="K185" s="635"/>
      <c r="L185" s="635"/>
      <c r="M185" s="635"/>
      <c r="N185" s="635"/>
      <c r="O185" s="636"/>
      <c r="P185" s="632" t="s">
        <v>40</v>
      </c>
      <c r="Q185" s="633"/>
      <c r="R185" s="633"/>
      <c r="S185" s="633"/>
      <c r="T185" s="633"/>
      <c r="U185" s="633"/>
      <c r="V185" s="634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35"/>
      <c r="B186" s="635"/>
      <c r="C186" s="635"/>
      <c r="D186" s="635"/>
      <c r="E186" s="635"/>
      <c r="F186" s="635"/>
      <c r="G186" s="635"/>
      <c r="H186" s="635"/>
      <c r="I186" s="635"/>
      <c r="J186" s="635"/>
      <c r="K186" s="635"/>
      <c r="L186" s="635"/>
      <c r="M186" s="635"/>
      <c r="N186" s="635"/>
      <c r="O186" s="636"/>
      <c r="P186" s="632" t="s">
        <v>40</v>
      </c>
      <c r="Q186" s="633"/>
      <c r="R186" s="633"/>
      <c r="S186" s="633"/>
      <c r="T186" s="633"/>
      <c r="U186" s="633"/>
      <c r="V186" s="634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46" t="s">
        <v>271</v>
      </c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46"/>
      <c r="P187" s="646"/>
      <c r="Q187" s="646"/>
      <c r="R187" s="646"/>
      <c r="S187" s="646"/>
      <c r="T187" s="646"/>
      <c r="U187" s="646"/>
      <c r="V187" s="646"/>
      <c r="W187" s="646"/>
      <c r="X187" s="646"/>
      <c r="Y187" s="646"/>
      <c r="Z187" s="646"/>
      <c r="AA187" s="66"/>
      <c r="AB187" s="66"/>
      <c r="AC187" s="80"/>
    </row>
    <row r="188" spans="1:68" ht="16.5" customHeight="1" x14ac:dyDescent="0.25">
      <c r="A188" s="63" t="s">
        <v>331</v>
      </c>
      <c r="B188" s="63" t="s">
        <v>332</v>
      </c>
      <c r="C188" s="36">
        <v>4301032058</v>
      </c>
      <c r="D188" s="641">
        <v>4680115889026</v>
      </c>
      <c r="E188" s="64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334</v>
      </c>
      <c r="L188" s="37" t="s">
        <v>46</v>
      </c>
      <c r="M188" s="38" t="s">
        <v>276</v>
      </c>
      <c r="N188" s="38"/>
      <c r="O188" s="37">
        <v>60</v>
      </c>
      <c r="P188" s="8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43"/>
      <c r="R188" s="643"/>
      <c r="S188" s="643"/>
      <c r="T188" s="64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5"/>
      <c r="B189" s="635"/>
      <c r="C189" s="635"/>
      <c r="D189" s="635"/>
      <c r="E189" s="635"/>
      <c r="F189" s="635"/>
      <c r="G189" s="635"/>
      <c r="H189" s="635"/>
      <c r="I189" s="635"/>
      <c r="J189" s="635"/>
      <c r="K189" s="635"/>
      <c r="L189" s="635"/>
      <c r="M189" s="635"/>
      <c r="N189" s="635"/>
      <c r="O189" s="636"/>
      <c r="P189" s="632" t="s">
        <v>40</v>
      </c>
      <c r="Q189" s="633"/>
      <c r="R189" s="633"/>
      <c r="S189" s="633"/>
      <c r="T189" s="633"/>
      <c r="U189" s="633"/>
      <c r="V189" s="634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635"/>
      <c r="B190" s="635"/>
      <c r="C190" s="635"/>
      <c r="D190" s="635"/>
      <c r="E190" s="635"/>
      <c r="F190" s="635"/>
      <c r="G190" s="635"/>
      <c r="H190" s="635"/>
      <c r="I190" s="635"/>
      <c r="J190" s="635"/>
      <c r="K190" s="635"/>
      <c r="L190" s="635"/>
      <c r="M190" s="635"/>
      <c r="N190" s="635"/>
      <c r="O190" s="636"/>
      <c r="P190" s="632" t="s">
        <v>40</v>
      </c>
      <c r="Q190" s="633"/>
      <c r="R190" s="633"/>
      <c r="S190" s="633"/>
      <c r="T190" s="633"/>
      <c r="U190" s="633"/>
      <c r="V190" s="634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4.25" customHeight="1" x14ac:dyDescent="0.25">
      <c r="A191" s="646" t="s">
        <v>335</v>
      </c>
      <c r="B191" s="646"/>
      <c r="C191" s="646"/>
      <c r="D191" s="646"/>
      <c r="E191" s="646"/>
      <c r="F191" s="646"/>
      <c r="G191" s="646"/>
      <c r="H191" s="646"/>
      <c r="I191" s="646"/>
      <c r="J191" s="646"/>
      <c r="K191" s="646"/>
      <c r="L191" s="646"/>
      <c r="M191" s="646"/>
      <c r="N191" s="646"/>
      <c r="O191" s="646"/>
      <c r="P191" s="646"/>
      <c r="Q191" s="646"/>
      <c r="R191" s="646"/>
      <c r="S191" s="646"/>
      <c r="T191" s="646"/>
      <c r="U191" s="646"/>
      <c r="V191" s="646"/>
      <c r="W191" s="646"/>
      <c r="X191" s="646"/>
      <c r="Y191" s="646"/>
      <c r="Z191" s="646"/>
      <c r="AA191" s="66"/>
      <c r="AB191" s="66"/>
      <c r="AC191" s="80"/>
    </row>
    <row r="192" spans="1:68" ht="27" customHeight="1" x14ac:dyDescent="0.25">
      <c r="A192" s="63" t="s">
        <v>336</v>
      </c>
      <c r="B192" s="63" t="s">
        <v>337</v>
      </c>
      <c r="C192" s="36">
        <v>4301041009</v>
      </c>
      <c r="D192" s="641">
        <v>4680115889033</v>
      </c>
      <c r="E192" s="64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334</v>
      </c>
      <c r="L192" s="37" t="s">
        <v>46</v>
      </c>
      <c r="M192" s="38" t="s">
        <v>276</v>
      </c>
      <c r="N192" s="38"/>
      <c r="O192" s="37">
        <v>60</v>
      </c>
      <c r="P192" s="82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43"/>
      <c r="R192" s="643"/>
      <c r="S192" s="643"/>
      <c r="T192" s="64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338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5"/>
      <c r="B193" s="635"/>
      <c r="C193" s="635"/>
      <c r="D193" s="635"/>
      <c r="E193" s="635"/>
      <c r="F193" s="635"/>
      <c r="G193" s="635"/>
      <c r="H193" s="635"/>
      <c r="I193" s="635"/>
      <c r="J193" s="635"/>
      <c r="K193" s="635"/>
      <c r="L193" s="635"/>
      <c r="M193" s="635"/>
      <c r="N193" s="635"/>
      <c r="O193" s="636"/>
      <c r="P193" s="632" t="s">
        <v>40</v>
      </c>
      <c r="Q193" s="633"/>
      <c r="R193" s="633"/>
      <c r="S193" s="633"/>
      <c r="T193" s="633"/>
      <c r="U193" s="633"/>
      <c r="V193" s="63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35"/>
      <c r="B194" s="635"/>
      <c r="C194" s="635"/>
      <c r="D194" s="635"/>
      <c r="E194" s="635"/>
      <c r="F194" s="635"/>
      <c r="G194" s="635"/>
      <c r="H194" s="635"/>
      <c r="I194" s="635"/>
      <c r="J194" s="635"/>
      <c r="K194" s="635"/>
      <c r="L194" s="635"/>
      <c r="M194" s="635"/>
      <c r="N194" s="635"/>
      <c r="O194" s="636"/>
      <c r="P194" s="632" t="s">
        <v>40</v>
      </c>
      <c r="Q194" s="633"/>
      <c r="R194" s="633"/>
      <c r="S194" s="633"/>
      <c r="T194" s="633"/>
      <c r="U194" s="633"/>
      <c r="V194" s="63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52" t="s">
        <v>339</v>
      </c>
      <c r="B195" s="652"/>
      <c r="C195" s="652"/>
      <c r="D195" s="652"/>
      <c r="E195" s="652"/>
      <c r="F195" s="652"/>
      <c r="G195" s="652"/>
      <c r="H195" s="652"/>
      <c r="I195" s="652"/>
      <c r="J195" s="652"/>
      <c r="K195" s="652"/>
      <c r="L195" s="652"/>
      <c r="M195" s="652"/>
      <c r="N195" s="652"/>
      <c r="O195" s="652"/>
      <c r="P195" s="652"/>
      <c r="Q195" s="652"/>
      <c r="R195" s="652"/>
      <c r="S195" s="652"/>
      <c r="T195" s="652"/>
      <c r="U195" s="652"/>
      <c r="V195" s="652"/>
      <c r="W195" s="652"/>
      <c r="X195" s="652"/>
      <c r="Y195" s="652"/>
      <c r="Z195" s="652"/>
      <c r="AA195" s="54"/>
      <c r="AB195" s="54"/>
      <c r="AC195" s="54"/>
    </row>
    <row r="196" spans="1:68" ht="16.5" customHeight="1" x14ac:dyDescent="0.25">
      <c r="A196" s="645" t="s">
        <v>340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5"/>
      <c r="AB196" s="65"/>
      <c r="AC196" s="79"/>
    </row>
    <row r="197" spans="1:68" ht="14.25" customHeight="1" x14ac:dyDescent="0.25">
      <c r="A197" s="646" t="s">
        <v>125</v>
      </c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46"/>
      <c r="P197" s="646"/>
      <c r="Q197" s="646"/>
      <c r="R197" s="646"/>
      <c r="S197" s="646"/>
      <c r="T197" s="646"/>
      <c r="U197" s="646"/>
      <c r="V197" s="646"/>
      <c r="W197" s="646"/>
      <c r="X197" s="646"/>
      <c r="Y197" s="646"/>
      <c r="Z197" s="646"/>
      <c r="AA197" s="66"/>
      <c r="AB197" s="66"/>
      <c r="AC197" s="80"/>
    </row>
    <row r="198" spans="1:68" ht="27" customHeight="1" x14ac:dyDescent="0.25">
      <c r="A198" s="63" t="s">
        <v>341</v>
      </c>
      <c r="B198" s="63" t="s">
        <v>342</v>
      </c>
      <c r="C198" s="36">
        <v>4301011223</v>
      </c>
      <c r="D198" s="641">
        <v>4607091383423</v>
      </c>
      <c r="E198" s="641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130</v>
      </c>
      <c r="L198" s="37" t="s">
        <v>46</v>
      </c>
      <c r="M198" s="38" t="s">
        <v>90</v>
      </c>
      <c r="N198" s="38"/>
      <c r="O198" s="37">
        <v>35</v>
      </c>
      <c r="P198" s="82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43"/>
      <c r="R198" s="643"/>
      <c r="S198" s="643"/>
      <c r="T198" s="64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7">IFERROR(IF(X198="",0,CEILING((X198/$H198),1)*$H198),"")</f>
        <v>0</v>
      </c>
      <c r="Z198" s="41" t="str">
        <f t="shared" ref="Z198:Z204" si="28">IFERROR(IF(Y198=0,"",ROUNDUP(Y198/H198,0)*0.01898),"")</f>
        <v/>
      </c>
      <c r="AA198" s="68" t="s">
        <v>46</v>
      </c>
      <c r="AB198" s="69" t="s">
        <v>46</v>
      </c>
      <c r="AC198" s="264" t="s">
        <v>128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9">IFERROR(X198*I198/H198,"0")</f>
        <v>0</v>
      </c>
      <c r="BN198" s="78">
        <f t="shared" ref="BN198:BN204" si="30">IFERROR(Y198*I198/H198,"0")</f>
        <v>0</v>
      </c>
      <c r="BO198" s="78">
        <f t="shared" ref="BO198:BO204" si="31">IFERROR(1/J198*(X198/H198),"0")</f>
        <v>0</v>
      </c>
      <c r="BP198" s="78">
        <f t="shared" ref="BP198:BP204" si="32">IFERROR(1/J198*(Y198/H198),"0")</f>
        <v>0</v>
      </c>
    </row>
    <row r="199" spans="1:68" ht="27" customHeight="1" x14ac:dyDescent="0.25">
      <c r="A199" s="63" t="s">
        <v>343</v>
      </c>
      <c r="B199" s="63" t="s">
        <v>344</v>
      </c>
      <c r="C199" s="36">
        <v>4301012340</v>
      </c>
      <c r="D199" s="641">
        <v>4680115888760</v>
      </c>
      <c r="E199" s="64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130</v>
      </c>
      <c r="L199" s="37" t="s">
        <v>46</v>
      </c>
      <c r="M199" s="38" t="s">
        <v>90</v>
      </c>
      <c r="N199" s="38"/>
      <c r="O199" s="37">
        <v>35</v>
      </c>
      <c r="P199" s="82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43"/>
      <c r="R199" s="643"/>
      <c r="S199" s="643"/>
      <c r="T199" s="64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7"/>
        <v>0</v>
      </c>
      <c r="Z199" s="41" t="str">
        <f t="shared" si="28"/>
        <v/>
      </c>
      <c r="AA199" s="68" t="s">
        <v>46</v>
      </c>
      <c r="AB199" s="69" t="s">
        <v>46</v>
      </c>
      <c r="AC199" s="266" t="s">
        <v>345</v>
      </c>
      <c r="AG199" s="78"/>
      <c r="AJ199" s="84" t="s">
        <v>46</v>
      </c>
      <c r="AK199" s="84">
        <v>0</v>
      </c>
      <c r="BB199" s="267" t="s">
        <v>67</v>
      </c>
      <c r="BM199" s="78">
        <f t="shared" si="29"/>
        <v>0</v>
      </c>
      <c r="BN199" s="78">
        <f t="shared" si="30"/>
        <v>0</v>
      </c>
      <c r="BO199" s="78">
        <f t="shared" si="31"/>
        <v>0</v>
      </c>
      <c r="BP199" s="78">
        <f t="shared" si="32"/>
        <v>0</v>
      </c>
    </row>
    <row r="200" spans="1:68" ht="27" customHeight="1" x14ac:dyDescent="0.25">
      <c r="A200" s="63" t="s">
        <v>346</v>
      </c>
      <c r="B200" s="63" t="s">
        <v>347</v>
      </c>
      <c r="C200" s="36">
        <v>4301012341</v>
      </c>
      <c r="D200" s="641">
        <v>4680115888807</v>
      </c>
      <c r="E200" s="64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130</v>
      </c>
      <c r="L200" s="37" t="s">
        <v>46</v>
      </c>
      <c r="M200" s="38" t="s">
        <v>90</v>
      </c>
      <c r="N200" s="38"/>
      <c r="O200" s="37">
        <v>35</v>
      </c>
      <c r="P200" s="82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43"/>
      <c r="R200" s="643"/>
      <c r="S200" s="643"/>
      <c r="T200" s="64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7"/>
        <v>0</v>
      </c>
      <c r="Z200" s="41" t="str">
        <f t="shared" si="28"/>
        <v/>
      </c>
      <c r="AA200" s="68" t="s">
        <v>46</v>
      </c>
      <c r="AB200" s="69" t="s">
        <v>46</v>
      </c>
      <c r="AC200" s="268" t="s">
        <v>348</v>
      </c>
      <c r="AG200" s="78"/>
      <c r="AJ200" s="84" t="s">
        <v>46</v>
      </c>
      <c r="AK200" s="84">
        <v>0</v>
      </c>
      <c r="BB200" s="269" t="s">
        <v>67</v>
      </c>
      <c r="BM200" s="78">
        <f t="shared" si="29"/>
        <v>0</v>
      </c>
      <c r="BN200" s="78">
        <f t="shared" si="30"/>
        <v>0</v>
      </c>
      <c r="BO200" s="78">
        <f t="shared" si="31"/>
        <v>0</v>
      </c>
      <c r="BP200" s="78">
        <f t="shared" si="32"/>
        <v>0</v>
      </c>
    </row>
    <row r="201" spans="1:68" ht="27" customHeight="1" x14ac:dyDescent="0.25">
      <c r="A201" s="63" t="s">
        <v>349</v>
      </c>
      <c r="B201" s="63" t="s">
        <v>350</v>
      </c>
      <c r="C201" s="36">
        <v>4301012342</v>
      </c>
      <c r="D201" s="641">
        <v>4680115888852</v>
      </c>
      <c r="E201" s="64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130</v>
      </c>
      <c r="L201" s="37" t="s">
        <v>46</v>
      </c>
      <c r="M201" s="38" t="s">
        <v>90</v>
      </c>
      <c r="N201" s="38"/>
      <c r="O201" s="37">
        <v>35</v>
      </c>
      <c r="P201" s="82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43"/>
      <c r="R201" s="643"/>
      <c r="S201" s="643"/>
      <c r="T201" s="64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7"/>
        <v>0</v>
      </c>
      <c r="Z201" s="41" t="str">
        <f t="shared" si="28"/>
        <v/>
      </c>
      <c r="AA201" s="68" t="s">
        <v>46</v>
      </c>
      <c r="AB201" s="69" t="s">
        <v>46</v>
      </c>
      <c r="AC201" s="270" t="s">
        <v>351</v>
      </c>
      <c r="AG201" s="78"/>
      <c r="AJ201" s="84" t="s">
        <v>46</v>
      </c>
      <c r="AK201" s="84">
        <v>0</v>
      </c>
      <c r="BB201" s="271" t="s">
        <v>67</v>
      </c>
      <c r="BM201" s="78">
        <f t="shared" si="29"/>
        <v>0</v>
      </c>
      <c r="BN201" s="78">
        <f t="shared" si="30"/>
        <v>0</v>
      </c>
      <c r="BO201" s="78">
        <f t="shared" si="31"/>
        <v>0</v>
      </c>
      <c r="BP201" s="78">
        <f t="shared" si="32"/>
        <v>0</v>
      </c>
    </row>
    <row r="202" spans="1:68" ht="37.5" customHeight="1" x14ac:dyDescent="0.25">
      <c r="A202" s="63" t="s">
        <v>352</v>
      </c>
      <c r="B202" s="63" t="s">
        <v>353</v>
      </c>
      <c r="C202" s="36">
        <v>4301012370</v>
      </c>
      <c r="D202" s="641">
        <v>4680115886957</v>
      </c>
      <c r="E202" s="64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130</v>
      </c>
      <c r="L202" s="37" t="s">
        <v>46</v>
      </c>
      <c r="M202" s="38" t="s">
        <v>90</v>
      </c>
      <c r="N202" s="38"/>
      <c r="O202" s="37">
        <v>35</v>
      </c>
      <c r="P202" s="82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43"/>
      <c r="R202" s="643"/>
      <c r="S202" s="643"/>
      <c r="T202" s="64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7"/>
        <v>0</v>
      </c>
      <c r="Z202" s="41" t="str">
        <f t="shared" si="28"/>
        <v/>
      </c>
      <c r="AA202" s="68" t="s">
        <v>46</v>
      </c>
      <c r="AB202" s="69" t="s">
        <v>46</v>
      </c>
      <c r="AC202" s="272" t="s">
        <v>354</v>
      </c>
      <c r="AG202" s="78"/>
      <c r="AJ202" s="84" t="s">
        <v>46</v>
      </c>
      <c r="AK202" s="84">
        <v>0</v>
      </c>
      <c r="BB202" s="273" t="s">
        <v>67</v>
      </c>
      <c r="BM202" s="78">
        <f t="shared" si="29"/>
        <v>0</v>
      </c>
      <c r="BN202" s="78">
        <f t="shared" si="30"/>
        <v>0</v>
      </c>
      <c r="BO202" s="78">
        <f t="shared" si="31"/>
        <v>0</v>
      </c>
      <c r="BP202" s="78">
        <f t="shared" si="32"/>
        <v>0</v>
      </c>
    </row>
    <row r="203" spans="1:68" ht="27" customHeight="1" x14ac:dyDescent="0.25">
      <c r="A203" s="63" t="s">
        <v>355</v>
      </c>
      <c r="B203" s="63" t="s">
        <v>356</v>
      </c>
      <c r="C203" s="36">
        <v>4301012098</v>
      </c>
      <c r="D203" s="641">
        <v>4680115885660</v>
      </c>
      <c r="E203" s="64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130</v>
      </c>
      <c r="L203" s="37" t="s">
        <v>46</v>
      </c>
      <c r="M203" s="38" t="s">
        <v>90</v>
      </c>
      <c r="N203" s="38"/>
      <c r="O203" s="37">
        <v>35</v>
      </c>
      <c r="P203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43"/>
      <c r="R203" s="643"/>
      <c r="S203" s="643"/>
      <c r="T203" s="64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7"/>
        <v>0</v>
      </c>
      <c r="Z203" s="41" t="str">
        <f t="shared" si="28"/>
        <v/>
      </c>
      <c r="AA203" s="68" t="s">
        <v>46</v>
      </c>
      <c r="AB203" s="69" t="s">
        <v>46</v>
      </c>
      <c r="AC203" s="274" t="s">
        <v>357</v>
      </c>
      <c r="AG203" s="78"/>
      <c r="AJ203" s="84" t="s">
        <v>46</v>
      </c>
      <c r="AK203" s="84">
        <v>0</v>
      </c>
      <c r="BB203" s="275" t="s">
        <v>67</v>
      </c>
      <c r="BM203" s="78">
        <f t="shared" si="29"/>
        <v>0</v>
      </c>
      <c r="BN203" s="78">
        <f t="shared" si="30"/>
        <v>0</v>
      </c>
      <c r="BO203" s="78">
        <f t="shared" si="31"/>
        <v>0</v>
      </c>
      <c r="BP203" s="78">
        <f t="shared" si="32"/>
        <v>0</v>
      </c>
    </row>
    <row r="204" spans="1:68" ht="27" customHeight="1" x14ac:dyDescent="0.25">
      <c r="A204" s="63" t="s">
        <v>358</v>
      </c>
      <c r="B204" s="63" t="s">
        <v>359</v>
      </c>
      <c r="C204" s="36">
        <v>4301012369</v>
      </c>
      <c r="D204" s="641">
        <v>4680115886773</v>
      </c>
      <c r="E204" s="64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130</v>
      </c>
      <c r="L204" s="37" t="s">
        <v>46</v>
      </c>
      <c r="M204" s="38" t="s">
        <v>90</v>
      </c>
      <c r="N204" s="38"/>
      <c r="O204" s="37">
        <v>35</v>
      </c>
      <c r="P204" s="82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43"/>
      <c r="R204" s="643"/>
      <c r="S204" s="643"/>
      <c r="T204" s="64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7"/>
        <v>0</v>
      </c>
      <c r="Z204" s="41" t="str">
        <f t="shared" si="28"/>
        <v/>
      </c>
      <c r="AA204" s="68" t="s">
        <v>46</v>
      </c>
      <c r="AB204" s="69" t="s">
        <v>46</v>
      </c>
      <c r="AC204" s="276" t="s">
        <v>360</v>
      </c>
      <c r="AG204" s="78"/>
      <c r="AJ204" s="84" t="s">
        <v>46</v>
      </c>
      <c r="AK204" s="84">
        <v>0</v>
      </c>
      <c r="BB204" s="277" t="s">
        <v>67</v>
      </c>
      <c r="BM204" s="78">
        <f t="shared" si="29"/>
        <v>0</v>
      </c>
      <c r="BN204" s="78">
        <f t="shared" si="30"/>
        <v>0</v>
      </c>
      <c r="BO204" s="78">
        <f t="shared" si="31"/>
        <v>0</v>
      </c>
      <c r="BP204" s="78">
        <f t="shared" si="32"/>
        <v>0</v>
      </c>
    </row>
    <row r="205" spans="1:68" x14ac:dyDescent="0.2">
      <c r="A205" s="635"/>
      <c r="B205" s="635"/>
      <c r="C205" s="635"/>
      <c r="D205" s="635"/>
      <c r="E205" s="635"/>
      <c r="F205" s="635"/>
      <c r="G205" s="635"/>
      <c r="H205" s="635"/>
      <c r="I205" s="635"/>
      <c r="J205" s="635"/>
      <c r="K205" s="635"/>
      <c r="L205" s="635"/>
      <c r="M205" s="635"/>
      <c r="N205" s="635"/>
      <c r="O205" s="636"/>
      <c r="P205" s="632" t="s">
        <v>40</v>
      </c>
      <c r="Q205" s="633"/>
      <c r="R205" s="633"/>
      <c r="S205" s="633"/>
      <c r="T205" s="633"/>
      <c r="U205" s="633"/>
      <c r="V205" s="63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635"/>
      <c r="B206" s="635"/>
      <c r="C206" s="635"/>
      <c r="D206" s="635"/>
      <c r="E206" s="635"/>
      <c r="F206" s="635"/>
      <c r="G206" s="635"/>
      <c r="H206" s="635"/>
      <c r="I206" s="635"/>
      <c r="J206" s="635"/>
      <c r="K206" s="635"/>
      <c r="L206" s="635"/>
      <c r="M206" s="635"/>
      <c r="N206" s="635"/>
      <c r="O206" s="636"/>
      <c r="P206" s="632" t="s">
        <v>40</v>
      </c>
      <c r="Q206" s="633"/>
      <c r="R206" s="633"/>
      <c r="S206" s="633"/>
      <c r="T206" s="633"/>
      <c r="U206" s="633"/>
      <c r="V206" s="63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45" t="s">
        <v>361</v>
      </c>
      <c r="B207" s="645"/>
      <c r="C207" s="645"/>
      <c r="D207" s="645"/>
      <c r="E207" s="645"/>
      <c r="F207" s="645"/>
      <c r="G207" s="645"/>
      <c r="H207" s="645"/>
      <c r="I207" s="645"/>
      <c r="J207" s="645"/>
      <c r="K207" s="645"/>
      <c r="L207" s="645"/>
      <c r="M207" s="645"/>
      <c r="N207" s="645"/>
      <c r="O207" s="645"/>
      <c r="P207" s="645"/>
      <c r="Q207" s="645"/>
      <c r="R207" s="645"/>
      <c r="S207" s="645"/>
      <c r="T207" s="645"/>
      <c r="U207" s="645"/>
      <c r="V207" s="645"/>
      <c r="W207" s="645"/>
      <c r="X207" s="645"/>
      <c r="Y207" s="645"/>
      <c r="Z207" s="645"/>
      <c r="AA207" s="65"/>
      <c r="AB207" s="65"/>
      <c r="AC207" s="79"/>
    </row>
    <row r="208" spans="1:68" ht="14.25" customHeight="1" x14ac:dyDescent="0.25">
      <c r="A208" s="646" t="s">
        <v>158</v>
      </c>
      <c r="B208" s="646"/>
      <c r="C208" s="646"/>
      <c r="D208" s="646"/>
      <c r="E208" s="646"/>
      <c r="F208" s="646"/>
      <c r="G208" s="646"/>
      <c r="H208" s="646"/>
      <c r="I208" s="646"/>
      <c r="J208" s="646"/>
      <c r="K208" s="646"/>
      <c r="L208" s="646"/>
      <c r="M208" s="646"/>
      <c r="N208" s="646"/>
      <c r="O208" s="646"/>
      <c r="P208" s="646"/>
      <c r="Q208" s="646"/>
      <c r="R208" s="646"/>
      <c r="S208" s="646"/>
      <c r="T208" s="646"/>
      <c r="U208" s="646"/>
      <c r="V208" s="646"/>
      <c r="W208" s="646"/>
      <c r="X208" s="646"/>
      <c r="Y208" s="646"/>
      <c r="Z208" s="646"/>
      <c r="AA208" s="66"/>
      <c r="AB208" s="66"/>
      <c r="AC208" s="80"/>
    </row>
    <row r="209" spans="1:68" ht="27" customHeight="1" x14ac:dyDescent="0.25">
      <c r="A209" s="63" t="s">
        <v>362</v>
      </c>
      <c r="B209" s="63" t="s">
        <v>363</v>
      </c>
      <c r="C209" s="36">
        <v>4301020323</v>
      </c>
      <c r="D209" s="641">
        <v>4680115886223</v>
      </c>
      <c r="E209" s="64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43"/>
      <c r="R209" s="643"/>
      <c r="S209" s="643"/>
      <c r="T209" s="64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364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35"/>
      <c r="B210" s="635"/>
      <c r="C210" s="635"/>
      <c r="D210" s="635"/>
      <c r="E210" s="635"/>
      <c r="F210" s="635"/>
      <c r="G210" s="635"/>
      <c r="H210" s="635"/>
      <c r="I210" s="635"/>
      <c r="J210" s="635"/>
      <c r="K210" s="635"/>
      <c r="L210" s="635"/>
      <c r="M210" s="635"/>
      <c r="N210" s="635"/>
      <c r="O210" s="636"/>
      <c r="P210" s="632" t="s">
        <v>40</v>
      </c>
      <c r="Q210" s="633"/>
      <c r="R210" s="633"/>
      <c r="S210" s="633"/>
      <c r="T210" s="633"/>
      <c r="U210" s="633"/>
      <c r="V210" s="63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35"/>
      <c r="B211" s="635"/>
      <c r="C211" s="635"/>
      <c r="D211" s="635"/>
      <c r="E211" s="635"/>
      <c r="F211" s="635"/>
      <c r="G211" s="635"/>
      <c r="H211" s="635"/>
      <c r="I211" s="635"/>
      <c r="J211" s="635"/>
      <c r="K211" s="635"/>
      <c r="L211" s="635"/>
      <c r="M211" s="635"/>
      <c r="N211" s="635"/>
      <c r="O211" s="636"/>
      <c r="P211" s="632" t="s">
        <v>40</v>
      </c>
      <c r="Q211" s="633"/>
      <c r="R211" s="633"/>
      <c r="S211" s="633"/>
      <c r="T211" s="633"/>
      <c r="U211" s="633"/>
      <c r="V211" s="63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46" t="s">
        <v>77</v>
      </c>
      <c r="B212" s="646"/>
      <c r="C212" s="646"/>
      <c r="D212" s="646"/>
      <c r="E212" s="646"/>
      <c r="F212" s="646"/>
      <c r="G212" s="646"/>
      <c r="H212" s="646"/>
      <c r="I212" s="646"/>
      <c r="J212" s="646"/>
      <c r="K212" s="646"/>
      <c r="L212" s="646"/>
      <c r="M212" s="646"/>
      <c r="N212" s="646"/>
      <c r="O212" s="646"/>
      <c r="P212" s="646"/>
      <c r="Q212" s="646"/>
      <c r="R212" s="646"/>
      <c r="S212" s="646"/>
      <c r="T212" s="646"/>
      <c r="U212" s="646"/>
      <c r="V212" s="646"/>
      <c r="W212" s="646"/>
      <c r="X212" s="646"/>
      <c r="Y212" s="646"/>
      <c r="Z212" s="646"/>
      <c r="AA212" s="66"/>
      <c r="AB212" s="66"/>
      <c r="AC212" s="80"/>
    </row>
    <row r="213" spans="1:68" ht="27" customHeight="1" x14ac:dyDescent="0.25">
      <c r="A213" s="63" t="s">
        <v>365</v>
      </c>
      <c r="B213" s="63" t="s">
        <v>366</v>
      </c>
      <c r="C213" s="36">
        <v>4301031191</v>
      </c>
      <c r="D213" s="641">
        <v>4680115880993</v>
      </c>
      <c r="E213" s="64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137</v>
      </c>
      <c r="L213" s="37" t="s">
        <v>46</v>
      </c>
      <c r="M213" s="38" t="s">
        <v>81</v>
      </c>
      <c r="N213" s="38"/>
      <c r="O213" s="37">
        <v>40</v>
      </c>
      <c r="P213" s="8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43"/>
      <c r="R213" s="643"/>
      <c r="S213" s="643"/>
      <c r="T213" s="64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33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367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34">IFERROR(X213*I213/H213,"0")</f>
        <v>0</v>
      </c>
      <c r="BN213" s="78">
        <f t="shared" ref="BN213:BN226" si="35">IFERROR(Y213*I213/H213,"0")</f>
        <v>0</v>
      </c>
      <c r="BO213" s="78">
        <f t="shared" ref="BO213:BO226" si="36">IFERROR(1/J213*(X213/H213),"0")</f>
        <v>0</v>
      </c>
      <c r="BP213" s="78">
        <f t="shared" ref="BP213:BP226" si="37">IFERROR(1/J213*(Y213/H213),"0")</f>
        <v>0</v>
      </c>
    </row>
    <row r="214" spans="1:68" ht="27" customHeight="1" x14ac:dyDescent="0.25">
      <c r="A214" s="63" t="s">
        <v>368</v>
      </c>
      <c r="B214" s="63" t="s">
        <v>369</v>
      </c>
      <c r="C214" s="36">
        <v>4301031204</v>
      </c>
      <c r="D214" s="641">
        <v>4680115881761</v>
      </c>
      <c r="E214" s="64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137</v>
      </c>
      <c r="L214" s="37" t="s">
        <v>46</v>
      </c>
      <c r="M214" s="38" t="s">
        <v>81</v>
      </c>
      <c r="N214" s="38"/>
      <c r="O214" s="37">
        <v>40</v>
      </c>
      <c r="P214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43"/>
      <c r="R214" s="643"/>
      <c r="S214" s="643"/>
      <c r="T214" s="64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3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370</v>
      </c>
      <c r="AG214" s="78"/>
      <c r="AJ214" s="84" t="s">
        <v>46</v>
      </c>
      <c r="AK214" s="84">
        <v>0</v>
      </c>
      <c r="BB214" s="283" t="s">
        <v>67</v>
      </c>
      <c r="BM214" s="78">
        <f t="shared" si="34"/>
        <v>0</v>
      </c>
      <c r="BN214" s="78">
        <f t="shared" si="35"/>
        <v>0</v>
      </c>
      <c r="BO214" s="78">
        <f t="shared" si="36"/>
        <v>0</v>
      </c>
      <c r="BP214" s="78">
        <f t="shared" si="37"/>
        <v>0</v>
      </c>
    </row>
    <row r="215" spans="1:68" ht="27" customHeight="1" x14ac:dyDescent="0.25">
      <c r="A215" s="63" t="s">
        <v>371</v>
      </c>
      <c r="B215" s="63" t="s">
        <v>372</v>
      </c>
      <c r="C215" s="36">
        <v>4301031201</v>
      </c>
      <c r="D215" s="641">
        <v>4680115881563</v>
      </c>
      <c r="E215" s="64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137</v>
      </c>
      <c r="L215" s="37" t="s">
        <v>46</v>
      </c>
      <c r="M215" s="38" t="s">
        <v>81</v>
      </c>
      <c r="N215" s="38"/>
      <c r="O215" s="37">
        <v>40</v>
      </c>
      <c r="P215" s="81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43"/>
      <c r="R215" s="643"/>
      <c r="S215" s="643"/>
      <c r="T215" s="64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3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373</v>
      </c>
      <c r="AG215" s="78"/>
      <c r="AJ215" s="84" t="s">
        <v>46</v>
      </c>
      <c r="AK215" s="84">
        <v>0</v>
      </c>
      <c r="BB215" s="285" t="s">
        <v>67</v>
      </c>
      <c r="BM215" s="78">
        <f t="shared" si="34"/>
        <v>0</v>
      </c>
      <c r="BN215" s="78">
        <f t="shared" si="35"/>
        <v>0</v>
      </c>
      <c r="BO215" s="78">
        <f t="shared" si="36"/>
        <v>0</v>
      </c>
      <c r="BP215" s="78">
        <f t="shared" si="37"/>
        <v>0</v>
      </c>
    </row>
    <row r="216" spans="1:68" ht="37.5" customHeight="1" x14ac:dyDescent="0.25">
      <c r="A216" s="63" t="s">
        <v>374</v>
      </c>
      <c r="B216" s="63" t="s">
        <v>375</v>
      </c>
      <c r="C216" s="36">
        <v>4301031447</v>
      </c>
      <c r="D216" s="641">
        <v>4680115887565</v>
      </c>
      <c r="E216" s="64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1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43"/>
      <c r="R216" s="643"/>
      <c r="S216" s="643"/>
      <c r="T216" s="64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376</v>
      </c>
      <c r="AG216" s="78"/>
      <c r="AJ216" s="84" t="s">
        <v>46</v>
      </c>
      <c r="AK216" s="84">
        <v>0</v>
      </c>
      <c r="BB216" s="287" t="s">
        <v>67</v>
      </c>
      <c r="BM216" s="78">
        <f t="shared" si="34"/>
        <v>0</v>
      </c>
      <c r="BN216" s="78">
        <f t="shared" si="35"/>
        <v>0</v>
      </c>
      <c r="BO216" s="78">
        <f t="shared" si="36"/>
        <v>0</v>
      </c>
      <c r="BP216" s="78">
        <f t="shared" si="37"/>
        <v>0</v>
      </c>
    </row>
    <row r="217" spans="1:68" ht="27" customHeight="1" x14ac:dyDescent="0.25">
      <c r="A217" s="63" t="s">
        <v>377</v>
      </c>
      <c r="B217" s="63" t="s">
        <v>378</v>
      </c>
      <c r="C217" s="36">
        <v>4301031199</v>
      </c>
      <c r="D217" s="641">
        <v>4680115880986</v>
      </c>
      <c r="E217" s="64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43"/>
      <c r="R217" s="643"/>
      <c r="S217" s="643"/>
      <c r="T217" s="64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ref="Z217:Z222" si="38">IFERROR(IF(Y217=0,"",ROUNDUP(Y217/H217,0)*0.00502),"")</f>
        <v/>
      </c>
      <c r="AA217" s="68" t="s">
        <v>46</v>
      </c>
      <c r="AB217" s="69" t="s">
        <v>46</v>
      </c>
      <c r="AC217" s="288" t="s">
        <v>367</v>
      </c>
      <c r="AG217" s="78"/>
      <c r="AJ217" s="84" t="s">
        <v>46</v>
      </c>
      <c r="AK217" s="84">
        <v>0</v>
      </c>
      <c r="BB217" s="289" t="s">
        <v>67</v>
      </c>
      <c r="BM217" s="78">
        <f t="shared" si="34"/>
        <v>0</v>
      </c>
      <c r="BN217" s="78">
        <f t="shared" si="35"/>
        <v>0</v>
      </c>
      <c r="BO217" s="78">
        <f t="shared" si="36"/>
        <v>0</v>
      </c>
      <c r="BP217" s="78">
        <f t="shared" si="37"/>
        <v>0</v>
      </c>
    </row>
    <row r="218" spans="1:68" ht="27" customHeight="1" x14ac:dyDescent="0.25">
      <c r="A218" s="63" t="s">
        <v>379</v>
      </c>
      <c r="B218" s="63" t="s">
        <v>380</v>
      </c>
      <c r="C218" s="36">
        <v>4301031443</v>
      </c>
      <c r="D218" s="641">
        <v>4680115887213</v>
      </c>
      <c r="E218" s="64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1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43"/>
      <c r="R218" s="643"/>
      <c r="S218" s="643"/>
      <c r="T218" s="64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8"/>
        <v/>
      </c>
      <c r="AA218" s="68" t="s">
        <v>46</v>
      </c>
      <c r="AB218" s="69" t="s">
        <v>46</v>
      </c>
      <c r="AC218" s="290" t="s">
        <v>381</v>
      </c>
      <c r="AG218" s="78"/>
      <c r="AJ218" s="84" t="s">
        <v>46</v>
      </c>
      <c r="AK218" s="84">
        <v>0</v>
      </c>
      <c r="BB218" s="291" t="s">
        <v>67</v>
      </c>
      <c r="BM218" s="78">
        <f t="shared" si="34"/>
        <v>0</v>
      </c>
      <c r="BN218" s="78">
        <f t="shared" si="35"/>
        <v>0</v>
      </c>
      <c r="BO218" s="78">
        <f t="shared" si="36"/>
        <v>0</v>
      </c>
      <c r="BP218" s="78">
        <f t="shared" si="37"/>
        <v>0</v>
      </c>
    </row>
    <row r="219" spans="1:68" ht="27" customHeight="1" x14ac:dyDescent="0.25">
      <c r="A219" s="63" t="s">
        <v>382</v>
      </c>
      <c r="B219" s="63" t="s">
        <v>383</v>
      </c>
      <c r="C219" s="36">
        <v>4301031205</v>
      </c>
      <c r="D219" s="641">
        <v>4680115881785</v>
      </c>
      <c r="E219" s="64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1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43"/>
      <c r="R219" s="643"/>
      <c r="S219" s="643"/>
      <c r="T219" s="64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8"/>
        <v/>
      </c>
      <c r="AA219" s="68" t="s">
        <v>46</v>
      </c>
      <c r="AB219" s="69" t="s">
        <v>46</v>
      </c>
      <c r="AC219" s="292" t="s">
        <v>370</v>
      </c>
      <c r="AG219" s="78"/>
      <c r="AJ219" s="84" t="s">
        <v>46</v>
      </c>
      <c r="AK219" s="84">
        <v>0</v>
      </c>
      <c r="BB219" s="293" t="s">
        <v>67</v>
      </c>
      <c r="BM219" s="78">
        <f t="shared" si="34"/>
        <v>0</v>
      </c>
      <c r="BN219" s="78">
        <f t="shared" si="35"/>
        <v>0</v>
      </c>
      <c r="BO219" s="78">
        <f t="shared" si="36"/>
        <v>0</v>
      </c>
      <c r="BP219" s="78">
        <f t="shared" si="37"/>
        <v>0</v>
      </c>
    </row>
    <row r="220" spans="1:68" ht="27" customHeight="1" x14ac:dyDescent="0.25">
      <c r="A220" s="63" t="s">
        <v>384</v>
      </c>
      <c r="B220" s="63" t="s">
        <v>385</v>
      </c>
      <c r="C220" s="36">
        <v>4301031499</v>
      </c>
      <c r="D220" s="641">
        <v>4680115888432</v>
      </c>
      <c r="E220" s="64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43"/>
      <c r="R220" s="643"/>
      <c r="S220" s="643"/>
      <c r="T220" s="64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8"/>
        <v/>
      </c>
      <c r="AA220" s="68" t="s">
        <v>46</v>
      </c>
      <c r="AB220" s="69" t="s">
        <v>46</v>
      </c>
      <c r="AC220" s="294" t="s">
        <v>386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customHeight="1" x14ac:dyDescent="0.25">
      <c r="A221" s="63" t="s">
        <v>387</v>
      </c>
      <c r="B221" s="63" t="s">
        <v>388</v>
      </c>
      <c r="C221" s="36">
        <v>4301031427</v>
      </c>
      <c r="D221" s="641">
        <v>4680115888104</v>
      </c>
      <c r="E221" s="64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43"/>
      <c r="R221" s="643"/>
      <c r="S221" s="643"/>
      <c r="T221" s="64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8"/>
        <v/>
      </c>
      <c r="AA221" s="68" t="s">
        <v>46</v>
      </c>
      <c r="AB221" s="69" t="s">
        <v>46</v>
      </c>
      <c r="AC221" s="296" t="s">
        <v>389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27" customHeight="1" x14ac:dyDescent="0.25">
      <c r="A222" s="63" t="s">
        <v>390</v>
      </c>
      <c r="B222" s="63" t="s">
        <v>391</v>
      </c>
      <c r="C222" s="36">
        <v>4301031399</v>
      </c>
      <c r="D222" s="641">
        <v>4680115886537</v>
      </c>
      <c r="E222" s="64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3"/>
      <c r="R222" s="643"/>
      <c r="S222" s="643"/>
      <c r="T222" s="64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 t="shared" si="38"/>
        <v/>
      </c>
      <c r="AA222" s="68" t="s">
        <v>46</v>
      </c>
      <c r="AB222" s="69" t="s">
        <v>46</v>
      </c>
      <c r="AC222" s="298" t="s">
        <v>392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customHeight="1" x14ac:dyDescent="0.25">
      <c r="A223" s="63" t="s">
        <v>393</v>
      </c>
      <c r="B223" s="63" t="s">
        <v>394</v>
      </c>
      <c r="C223" s="36">
        <v>4301031279</v>
      </c>
      <c r="D223" s="641">
        <v>4680115887596</v>
      </c>
      <c r="E223" s="64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134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3"/>
      <c r="R223" s="643"/>
      <c r="S223" s="643"/>
      <c r="T223" s="64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395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37.5" customHeight="1" x14ac:dyDescent="0.25">
      <c r="A224" s="63" t="s">
        <v>396</v>
      </c>
      <c r="B224" s="63" t="s">
        <v>397</v>
      </c>
      <c r="C224" s="36">
        <v>4301031202</v>
      </c>
      <c r="D224" s="641">
        <v>4680115881679</v>
      </c>
      <c r="E224" s="64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43"/>
      <c r="R224" s="643"/>
      <c r="S224" s="643"/>
      <c r="T224" s="64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398</v>
      </c>
      <c r="B225" s="63" t="s">
        <v>399</v>
      </c>
      <c r="C225" s="36">
        <v>4301031158</v>
      </c>
      <c r="D225" s="641">
        <v>4680115880191</v>
      </c>
      <c r="E225" s="64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43"/>
      <c r="R225" s="643"/>
      <c r="S225" s="643"/>
      <c r="T225" s="64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customHeight="1" x14ac:dyDescent="0.25">
      <c r="A226" s="63" t="s">
        <v>400</v>
      </c>
      <c r="B226" s="63" t="s">
        <v>401</v>
      </c>
      <c r="C226" s="36">
        <v>4301031245</v>
      </c>
      <c r="D226" s="641">
        <v>4680115883963</v>
      </c>
      <c r="E226" s="64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3"/>
      <c r="R226" s="643"/>
      <c r="S226" s="643"/>
      <c r="T226" s="64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402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x14ac:dyDescent="0.2">
      <c r="A227" s="635"/>
      <c r="B227" s="635"/>
      <c r="C227" s="635"/>
      <c r="D227" s="635"/>
      <c r="E227" s="635"/>
      <c r="F227" s="635"/>
      <c r="G227" s="635"/>
      <c r="H227" s="635"/>
      <c r="I227" s="635"/>
      <c r="J227" s="635"/>
      <c r="K227" s="635"/>
      <c r="L227" s="635"/>
      <c r="M227" s="635"/>
      <c r="N227" s="635"/>
      <c r="O227" s="636"/>
      <c r="P227" s="632" t="s">
        <v>40</v>
      </c>
      <c r="Q227" s="633"/>
      <c r="R227" s="633"/>
      <c r="S227" s="633"/>
      <c r="T227" s="633"/>
      <c r="U227" s="633"/>
      <c r="V227" s="63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635"/>
      <c r="B228" s="635"/>
      <c r="C228" s="635"/>
      <c r="D228" s="635"/>
      <c r="E228" s="635"/>
      <c r="F228" s="635"/>
      <c r="G228" s="635"/>
      <c r="H228" s="635"/>
      <c r="I228" s="635"/>
      <c r="J228" s="635"/>
      <c r="K228" s="635"/>
      <c r="L228" s="635"/>
      <c r="M228" s="635"/>
      <c r="N228" s="635"/>
      <c r="O228" s="636"/>
      <c r="P228" s="632" t="s">
        <v>40</v>
      </c>
      <c r="Q228" s="633"/>
      <c r="R228" s="633"/>
      <c r="S228" s="633"/>
      <c r="T228" s="633"/>
      <c r="U228" s="633"/>
      <c r="V228" s="634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 x14ac:dyDescent="0.25">
      <c r="A229" s="646" t="s">
        <v>86</v>
      </c>
      <c r="B229" s="646"/>
      <c r="C229" s="646"/>
      <c r="D229" s="646"/>
      <c r="E229" s="646"/>
      <c r="F229" s="646"/>
      <c r="G229" s="646"/>
      <c r="H229" s="646"/>
      <c r="I229" s="646"/>
      <c r="J229" s="646"/>
      <c r="K229" s="646"/>
      <c r="L229" s="646"/>
      <c r="M229" s="646"/>
      <c r="N229" s="646"/>
      <c r="O229" s="646"/>
      <c r="P229" s="646"/>
      <c r="Q229" s="646"/>
      <c r="R229" s="646"/>
      <c r="S229" s="646"/>
      <c r="T229" s="646"/>
      <c r="U229" s="646"/>
      <c r="V229" s="646"/>
      <c r="W229" s="646"/>
      <c r="X229" s="646"/>
      <c r="Y229" s="646"/>
      <c r="Z229" s="646"/>
      <c r="AA229" s="66"/>
      <c r="AB229" s="66"/>
      <c r="AC229" s="80"/>
    </row>
    <row r="230" spans="1:68" ht="16.5" customHeight="1" x14ac:dyDescent="0.25">
      <c r="A230" s="63" t="s">
        <v>403</v>
      </c>
      <c r="B230" s="63" t="s">
        <v>404</v>
      </c>
      <c r="C230" s="36">
        <v>4301052209</v>
      </c>
      <c r="D230" s="641">
        <v>4680115888692</v>
      </c>
      <c r="E230" s="641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130</v>
      </c>
      <c r="L230" s="37" t="s">
        <v>46</v>
      </c>
      <c r="M230" s="38" t="s">
        <v>97</v>
      </c>
      <c r="N230" s="38"/>
      <c r="O230" s="37">
        <v>35</v>
      </c>
      <c r="P230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0" s="643"/>
      <c r="R230" s="643"/>
      <c r="S230" s="643"/>
      <c r="T230" s="64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4301052213</v>
      </c>
      <c r="D231" s="641">
        <v>4680115888722</v>
      </c>
      <c r="E231" s="64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130</v>
      </c>
      <c r="L231" s="37" t="s">
        <v>46</v>
      </c>
      <c r="M231" s="38" t="s">
        <v>97</v>
      </c>
      <c r="N231" s="38"/>
      <c r="O231" s="37">
        <v>35</v>
      </c>
      <c r="P231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1" s="643"/>
      <c r="R231" s="643"/>
      <c r="S231" s="643"/>
      <c r="T231" s="64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4301052177</v>
      </c>
      <c r="D232" s="641">
        <v>4680115888951</v>
      </c>
      <c r="E232" s="641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80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2" s="643"/>
      <c r="R232" s="643"/>
      <c r="S232" s="643"/>
      <c r="T232" s="64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4301052178</v>
      </c>
      <c r="D233" s="641">
        <v>4680115888975</v>
      </c>
      <c r="E233" s="641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137</v>
      </c>
      <c r="L233" s="37" t="s">
        <v>46</v>
      </c>
      <c r="M233" s="38" t="s">
        <v>97</v>
      </c>
      <c r="N233" s="38"/>
      <c r="O233" s="37">
        <v>35</v>
      </c>
      <c r="P233" s="80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3"/>
      <c r="R233" s="643"/>
      <c r="S233" s="643"/>
      <c r="T233" s="64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415</v>
      </c>
      <c r="B234" s="63" t="s">
        <v>416</v>
      </c>
      <c r="C234" s="36">
        <v>4301052176</v>
      </c>
      <c r="D234" s="641">
        <v>4680115888982</v>
      </c>
      <c r="E234" s="64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137</v>
      </c>
      <c r="L234" s="37" t="s">
        <v>46</v>
      </c>
      <c r="M234" s="38" t="s">
        <v>97</v>
      </c>
      <c r="N234" s="38"/>
      <c r="O234" s="37">
        <v>35</v>
      </c>
      <c r="P234" s="80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3"/>
      <c r="R234" s="643"/>
      <c r="S234" s="643"/>
      <c r="T234" s="64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35"/>
      <c r="B235" s="635"/>
      <c r="C235" s="635"/>
      <c r="D235" s="635"/>
      <c r="E235" s="635"/>
      <c r="F235" s="635"/>
      <c r="G235" s="635"/>
      <c r="H235" s="635"/>
      <c r="I235" s="635"/>
      <c r="J235" s="635"/>
      <c r="K235" s="635"/>
      <c r="L235" s="635"/>
      <c r="M235" s="635"/>
      <c r="N235" s="635"/>
      <c r="O235" s="636"/>
      <c r="P235" s="632" t="s">
        <v>40</v>
      </c>
      <c r="Q235" s="633"/>
      <c r="R235" s="633"/>
      <c r="S235" s="633"/>
      <c r="T235" s="633"/>
      <c r="U235" s="633"/>
      <c r="V235" s="63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35"/>
      <c r="B236" s="635"/>
      <c r="C236" s="635"/>
      <c r="D236" s="635"/>
      <c r="E236" s="635"/>
      <c r="F236" s="635"/>
      <c r="G236" s="635"/>
      <c r="H236" s="635"/>
      <c r="I236" s="635"/>
      <c r="J236" s="635"/>
      <c r="K236" s="635"/>
      <c r="L236" s="635"/>
      <c r="M236" s="635"/>
      <c r="N236" s="635"/>
      <c r="O236" s="636"/>
      <c r="P236" s="632" t="s">
        <v>40</v>
      </c>
      <c r="Q236" s="633"/>
      <c r="R236" s="633"/>
      <c r="S236" s="633"/>
      <c r="T236" s="633"/>
      <c r="U236" s="633"/>
      <c r="V236" s="63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46" t="s">
        <v>271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6"/>
      <c r="AB237" s="66"/>
      <c r="AC237" s="80"/>
    </row>
    <row r="238" spans="1:68" ht="27" customHeight="1" x14ac:dyDescent="0.25">
      <c r="A238" s="63" t="s">
        <v>417</v>
      </c>
      <c r="B238" s="63" t="s">
        <v>418</v>
      </c>
      <c r="C238" s="36">
        <v>4301032053</v>
      </c>
      <c r="D238" s="641">
        <v>4680115886780</v>
      </c>
      <c r="E238" s="64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334</v>
      </c>
      <c r="L238" s="37" t="s">
        <v>46</v>
      </c>
      <c r="M238" s="38" t="s">
        <v>276</v>
      </c>
      <c r="N238" s="38"/>
      <c r="O238" s="37">
        <v>60</v>
      </c>
      <c r="P238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3"/>
      <c r="R238" s="643"/>
      <c r="S238" s="643"/>
      <c r="T238" s="64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419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4301032051</v>
      </c>
      <c r="D239" s="641">
        <v>4680115886742</v>
      </c>
      <c r="E239" s="64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334</v>
      </c>
      <c r="L239" s="37" t="s">
        <v>46</v>
      </c>
      <c r="M239" s="38" t="s">
        <v>276</v>
      </c>
      <c r="N239" s="38"/>
      <c r="O239" s="37">
        <v>90</v>
      </c>
      <c r="P239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3"/>
      <c r="R239" s="643"/>
      <c r="S239" s="643"/>
      <c r="T239" s="64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422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4301032052</v>
      </c>
      <c r="D240" s="641">
        <v>4680115886766</v>
      </c>
      <c r="E240" s="64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334</v>
      </c>
      <c r="L240" s="37" t="s">
        <v>46</v>
      </c>
      <c r="M240" s="38" t="s">
        <v>276</v>
      </c>
      <c r="N240" s="38"/>
      <c r="O240" s="37">
        <v>90</v>
      </c>
      <c r="P240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3"/>
      <c r="R240" s="643"/>
      <c r="S240" s="643"/>
      <c r="T240" s="64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422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35"/>
      <c r="B241" s="635"/>
      <c r="C241" s="635"/>
      <c r="D241" s="635"/>
      <c r="E241" s="635"/>
      <c r="F241" s="635"/>
      <c r="G241" s="635"/>
      <c r="H241" s="635"/>
      <c r="I241" s="635"/>
      <c r="J241" s="635"/>
      <c r="K241" s="635"/>
      <c r="L241" s="635"/>
      <c r="M241" s="635"/>
      <c r="N241" s="635"/>
      <c r="O241" s="636"/>
      <c r="P241" s="632" t="s">
        <v>40</v>
      </c>
      <c r="Q241" s="633"/>
      <c r="R241" s="633"/>
      <c r="S241" s="633"/>
      <c r="T241" s="633"/>
      <c r="U241" s="633"/>
      <c r="V241" s="63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5"/>
      <c r="B242" s="635"/>
      <c r="C242" s="635"/>
      <c r="D242" s="635"/>
      <c r="E242" s="635"/>
      <c r="F242" s="635"/>
      <c r="G242" s="635"/>
      <c r="H242" s="635"/>
      <c r="I242" s="635"/>
      <c r="J242" s="635"/>
      <c r="K242" s="635"/>
      <c r="L242" s="635"/>
      <c r="M242" s="635"/>
      <c r="N242" s="635"/>
      <c r="O242" s="636"/>
      <c r="P242" s="632" t="s">
        <v>40</v>
      </c>
      <c r="Q242" s="633"/>
      <c r="R242" s="633"/>
      <c r="S242" s="633"/>
      <c r="T242" s="633"/>
      <c r="U242" s="633"/>
      <c r="V242" s="63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46" t="s">
        <v>425</v>
      </c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46"/>
      <c r="P243" s="646"/>
      <c r="Q243" s="646"/>
      <c r="R243" s="646"/>
      <c r="S243" s="646"/>
      <c r="T243" s="646"/>
      <c r="U243" s="646"/>
      <c r="V243" s="646"/>
      <c r="W243" s="646"/>
      <c r="X243" s="646"/>
      <c r="Y243" s="646"/>
      <c r="Z243" s="646"/>
      <c r="AA243" s="66"/>
      <c r="AB243" s="66"/>
      <c r="AC243" s="80"/>
    </row>
    <row r="244" spans="1:68" ht="27" customHeight="1" x14ac:dyDescent="0.25">
      <c r="A244" s="63" t="s">
        <v>426</v>
      </c>
      <c r="B244" s="63" t="s">
        <v>427</v>
      </c>
      <c r="C244" s="36">
        <v>4301170013</v>
      </c>
      <c r="D244" s="641">
        <v>4680115886797</v>
      </c>
      <c r="E244" s="64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334</v>
      </c>
      <c r="L244" s="37" t="s">
        <v>46</v>
      </c>
      <c r="M244" s="38" t="s">
        <v>276</v>
      </c>
      <c r="N244" s="38"/>
      <c r="O244" s="37">
        <v>90</v>
      </c>
      <c r="P244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3"/>
      <c r="R244" s="643"/>
      <c r="S244" s="643"/>
      <c r="T244" s="64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422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5"/>
      <c r="B245" s="635"/>
      <c r="C245" s="635"/>
      <c r="D245" s="635"/>
      <c r="E245" s="635"/>
      <c r="F245" s="635"/>
      <c r="G245" s="635"/>
      <c r="H245" s="635"/>
      <c r="I245" s="635"/>
      <c r="J245" s="635"/>
      <c r="K245" s="635"/>
      <c r="L245" s="635"/>
      <c r="M245" s="635"/>
      <c r="N245" s="635"/>
      <c r="O245" s="636"/>
      <c r="P245" s="632" t="s">
        <v>40</v>
      </c>
      <c r="Q245" s="633"/>
      <c r="R245" s="633"/>
      <c r="S245" s="633"/>
      <c r="T245" s="633"/>
      <c r="U245" s="633"/>
      <c r="V245" s="63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5"/>
      <c r="B246" s="635"/>
      <c r="C246" s="635"/>
      <c r="D246" s="635"/>
      <c r="E246" s="635"/>
      <c r="F246" s="635"/>
      <c r="G246" s="635"/>
      <c r="H246" s="635"/>
      <c r="I246" s="635"/>
      <c r="J246" s="635"/>
      <c r="K246" s="635"/>
      <c r="L246" s="635"/>
      <c r="M246" s="635"/>
      <c r="N246" s="635"/>
      <c r="O246" s="636"/>
      <c r="P246" s="632" t="s">
        <v>40</v>
      </c>
      <c r="Q246" s="633"/>
      <c r="R246" s="633"/>
      <c r="S246" s="633"/>
      <c r="T246" s="633"/>
      <c r="U246" s="633"/>
      <c r="V246" s="63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45" t="s">
        <v>428</v>
      </c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5"/>
      <c r="P247" s="645"/>
      <c r="Q247" s="645"/>
      <c r="R247" s="645"/>
      <c r="S247" s="645"/>
      <c r="T247" s="645"/>
      <c r="U247" s="645"/>
      <c r="V247" s="645"/>
      <c r="W247" s="645"/>
      <c r="X247" s="645"/>
      <c r="Y247" s="645"/>
      <c r="Z247" s="645"/>
      <c r="AA247" s="65"/>
      <c r="AB247" s="65"/>
      <c r="AC247" s="79"/>
    </row>
    <row r="248" spans="1:68" ht="14.25" customHeight="1" x14ac:dyDescent="0.25">
      <c r="A248" s="646" t="s">
        <v>125</v>
      </c>
      <c r="B248" s="646"/>
      <c r="C248" s="646"/>
      <c r="D248" s="646"/>
      <c r="E248" s="646"/>
      <c r="F248" s="646"/>
      <c r="G248" s="646"/>
      <c r="H248" s="646"/>
      <c r="I248" s="646"/>
      <c r="J248" s="646"/>
      <c r="K248" s="646"/>
      <c r="L248" s="646"/>
      <c r="M248" s="646"/>
      <c r="N248" s="646"/>
      <c r="O248" s="646"/>
      <c r="P248" s="646"/>
      <c r="Q248" s="646"/>
      <c r="R248" s="646"/>
      <c r="S248" s="646"/>
      <c r="T248" s="646"/>
      <c r="U248" s="646"/>
      <c r="V248" s="646"/>
      <c r="W248" s="646"/>
      <c r="X248" s="646"/>
      <c r="Y248" s="646"/>
      <c r="Z248" s="646"/>
      <c r="AA248" s="66"/>
      <c r="AB248" s="66"/>
      <c r="AC248" s="80"/>
    </row>
    <row r="249" spans="1:68" ht="27" customHeight="1" x14ac:dyDescent="0.25">
      <c r="A249" s="63" t="s">
        <v>429</v>
      </c>
      <c r="B249" s="63" t="s">
        <v>430</v>
      </c>
      <c r="C249" s="36">
        <v>4301011450</v>
      </c>
      <c r="D249" s="641">
        <v>4680115881402</v>
      </c>
      <c r="E249" s="64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130</v>
      </c>
      <c r="L249" s="37" t="s">
        <v>46</v>
      </c>
      <c r="M249" s="38" t="s">
        <v>129</v>
      </c>
      <c r="N249" s="38"/>
      <c r="O249" s="37">
        <v>55</v>
      </c>
      <c r="P249" s="7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3"/>
      <c r="R249" s="643"/>
      <c r="S249" s="643"/>
      <c r="T249" s="64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431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432</v>
      </c>
      <c r="B250" s="63" t="s">
        <v>433</v>
      </c>
      <c r="C250" s="36">
        <v>4301011768</v>
      </c>
      <c r="D250" s="641">
        <v>4680115881396</v>
      </c>
      <c r="E250" s="64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129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3"/>
      <c r="R250" s="643"/>
      <c r="S250" s="643"/>
      <c r="T250" s="64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431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35"/>
      <c r="B251" s="635"/>
      <c r="C251" s="635"/>
      <c r="D251" s="635"/>
      <c r="E251" s="635"/>
      <c r="F251" s="635"/>
      <c r="G251" s="635"/>
      <c r="H251" s="635"/>
      <c r="I251" s="635"/>
      <c r="J251" s="635"/>
      <c r="K251" s="635"/>
      <c r="L251" s="635"/>
      <c r="M251" s="635"/>
      <c r="N251" s="635"/>
      <c r="O251" s="636"/>
      <c r="P251" s="632" t="s">
        <v>40</v>
      </c>
      <c r="Q251" s="633"/>
      <c r="R251" s="633"/>
      <c r="S251" s="633"/>
      <c r="T251" s="633"/>
      <c r="U251" s="633"/>
      <c r="V251" s="63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35"/>
      <c r="B252" s="635"/>
      <c r="C252" s="635"/>
      <c r="D252" s="635"/>
      <c r="E252" s="635"/>
      <c r="F252" s="635"/>
      <c r="G252" s="635"/>
      <c r="H252" s="635"/>
      <c r="I252" s="635"/>
      <c r="J252" s="635"/>
      <c r="K252" s="635"/>
      <c r="L252" s="635"/>
      <c r="M252" s="635"/>
      <c r="N252" s="635"/>
      <c r="O252" s="636"/>
      <c r="P252" s="632" t="s">
        <v>40</v>
      </c>
      <c r="Q252" s="633"/>
      <c r="R252" s="633"/>
      <c r="S252" s="633"/>
      <c r="T252" s="633"/>
      <c r="U252" s="633"/>
      <c r="V252" s="63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46" t="s">
        <v>158</v>
      </c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46"/>
      <c r="P253" s="646"/>
      <c r="Q253" s="646"/>
      <c r="R253" s="646"/>
      <c r="S253" s="646"/>
      <c r="T253" s="646"/>
      <c r="U253" s="646"/>
      <c r="V253" s="646"/>
      <c r="W253" s="646"/>
      <c r="X253" s="646"/>
      <c r="Y253" s="646"/>
      <c r="Z253" s="646"/>
      <c r="AA253" s="66"/>
      <c r="AB253" s="66"/>
      <c r="AC253" s="80"/>
    </row>
    <row r="254" spans="1:68" ht="16.5" customHeight="1" x14ac:dyDescent="0.25">
      <c r="A254" s="63" t="s">
        <v>434</v>
      </c>
      <c r="B254" s="63" t="s">
        <v>435</v>
      </c>
      <c r="C254" s="36">
        <v>4301020261</v>
      </c>
      <c r="D254" s="641">
        <v>4680115882935</v>
      </c>
      <c r="E254" s="64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130</v>
      </c>
      <c r="L254" s="37" t="s">
        <v>46</v>
      </c>
      <c r="M254" s="38" t="s">
        <v>129</v>
      </c>
      <c r="N254" s="38"/>
      <c r="O254" s="37">
        <v>50</v>
      </c>
      <c r="P25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43"/>
      <c r="R254" s="643"/>
      <c r="S254" s="643"/>
      <c r="T254" s="64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436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437</v>
      </c>
      <c r="B255" s="63" t="s">
        <v>438</v>
      </c>
      <c r="C255" s="36">
        <v>4301020220</v>
      </c>
      <c r="D255" s="641">
        <v>4680115880764</v>
      </c>
      <c r="E255" s="64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129</v>
      </c>
      <c r="N255" s="38"/>
      <c r="O255" s="37">
        <v>50</v>
      </c>
      <c r="P255" s="79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43"/>
      <c r="R255" s="643"/>
      <c r="S255" s="643"/>
      <c r="T255" s="64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35"/>
      <c r="B256" s="635"/>
      <c r="C256" s="635"/>
      <c r="D256" s="635"/>
      <c r="E256" s="635"/>
      <c r="F256" s="635"/>
      <c r="G256" s="635"/>
      <c r="H256" s="635"/>
      <c r="I256" s="635"/>
      <c r="J256" s="635"/>
      <c r="K256" s="635"/>
      <c r="L256" s="635"/>
      <c r="M256" s="635"/>
      <c r="N256" s="635"/>
      <c r="O256" s="636"/>
      <c r="P256" s="632" t="s">
        <v>40</v>
      </c>
      <c r="Q256" s="633"/>
      <c r="R256" s="633"/>
      <c r="S256" s="633"/>
      <c r="T256" s="633"/>
      <c r="U256" s="633"/>
      <c r="V256" s="63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35"/>
      <c r="B257" s="635"/>
      <c r="C257" s="635"/>
      <c r="D257" s="635"/>
      <c r="E257" s="635"/>
      <c r="F257" s="635"/>
      <c r="G257" s="635"/>
      <c r="H257" s="635"/>
      <c r="I257" s="635"/>
      <c r="J257" s="635"/>
      <c r="K257" s="635"/>
      <c r="L257" s="635"/>
      <c r="M257" s="635"/>
      <c r="N257" s="635"/>
      <c r="O257" s="636"/>
      <c r="P257" s="632" t="s">
        <v>40</v>
      </c>
      <c r="Q257" s="633"/>
      <c r="R257" s="633"/>
      <c r="S257" s="633"/>
      <c r="T257" s="633"/>
      <c r="U257" s="633"/>
      <c r="V257" s="63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46" t="s">
        <v>77</v>
      </c>
      <c r="B258" s="646"/>
      <c r="C258" s="646"/>
      <c r="D258" s="646"/>
      <c r="E258" s="646"/>
      <c r="F258" s="646"/>
      <c r="G258" s="646"/>
      <c r="H258" s="646"/>
      <c r="I258" s="646"/>
      <c r="J258" s="646"/>
      <c r="K258" s="646"/>
      <c r="L258" s="646"/>
      <c r="M258" s="646"/>
      <c r="N258" s="646"/>
      <c r="O258" s="646"/>
      <c r="P258" s="646"/>
      <c r="Q258" s="646"/>
      <c r="R258" s="646"/>
      <c r="S258" s="646"/>
      <c r="T258" s="646"/>
      <c r="U258" s="646"/>
      <c r="V258" s="646"/>
      <c r="W258" s="646"/>
      <c r="X258" s="646"/>
      <c r="Y258" s="646"/>
      <c r="Z258" s="646"/>
      <c r="AA258" s="66"/>
      <c r="AB258" s="66"/>
      <c r="AC258" s="80"/>
    </row>
    <row r="259" spans="1:68" ht="27" customHeight="1" x14ac:dyDescent="0.25">
      <c r="A259" s="63" t="s">
        <v>439</v>
      </c>
      <c r="B259" s="63" t="s">
        <v>440</v>
      </c>
      <c r="C259" s="36">
        <v>4301031224</v>
      </c>
      <c r="D259" s="641">
        <v>4680115882683</v>
      </c>
      <c r="E259" s="64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137</v>
      </c>
      <c r="L259" s="37" t="s">
        <v>46</v>
      </c>
      <c r="M259" s="38" t="s">
        <v>81</v>
      </c>
      <c r="N259" s="38"/>
      <c r="O259" s="37">
        <v>40</v>
      </c>
      <c r="P259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43"/>
      <c r="R259" s="643"/>
      <c r="S259" s="643"/>
      <c r="T259" s="64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9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441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40">IFERROR(X259*I259/H259,"0")</f>
        <v>0</v>
      </c>
      <c r="BN259" s="78">
        <f t="shared" ref="BN259:BN266" si="41">IFERROR(Y259*I259/H259,"0")</f>
        <v>0</v>
      </c>
      <c r="BO259" s="78">
        <f t="shared" ref="BO259:BO266" si="42">IFERROR(1/J259*(X259/H259),"0")</f>
        <v>0</v>
      </c>
      <c r="BP259" s="78">
        <f t="shared" ref="BP259:BP266" si="43">IFERROR(1/J259*(Y259/H259),"0")</f>
        <v>0</v>
      </c>
    </row>
    <row r="260" spans="1:68" ht="27" customHeight="1" x14ac:dyDescent="0.25">
      <c r="A260" s="63" t="s">
        <v>442</v>
      </c>
      <c r="B260" s="63" t="s">
        <v>443</v>
      </c>
      <c r="C260" s="36">
        <v>4301031230</v>
      </c>
      <c r="D260" s="641">
        <v>4680115882690</v>
      </c>
      <c r="E260" s="64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137</v>
      </c>
      <c r="L260" s="37" t="s">
        <v>46</v>
      </c>
      <c r="M260" s="38" t="s">
        <v>81</v>
      </c>
      <c r="N260" s="38"/>
      <c r="O260" s="37">
        <v>40</v>
      </c>
      <c r="P260" s="7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43"/>
      <c r="R260" s="643"/>
      <c r="S260" s="643"/>
      <c r="T260" s="64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9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444</v>
      </c>
      <c r="AG260" s="78"/>
      <c r="AJ260" s="84" t="s">
        <v>46</v>
      </c>
      <c r="AK260" s="84">
        <v>0</v>
      </c>
      <c r="BB260" s="337" t="s">
        <v>67</v>
      </c>
      <c r="BM260" s="78">
        <f t="shared" si="40"/>
        <v>0</v>
      </c>
      <c r="BN260" s="78">
        <f t="shared" si="41"/>
        <v>0</v>
      </c>
      <c r="BO260" s="78">
        <f t="shared" si="42"/>
        <v>0</v>
      </c>
      <c r="BP260" s="78">
        <f t="shared" si="43"/>
        <v>0</v>
      </c>
    </row>
    <row r="261" spans="1:68" ht="27" customHeight="1" x14ac:dyDescent="0.25">
      <c r="A261" s="63" t="s">
        <v>445</v>
      </c>
      <c r="B261" s="63" t="s">
        <v>446</v>
      </c>
      <c r="C261" s="36">
        <v>4301031220</v>
      </c>
      <c r="D261" s="641">
        <v>4680115882669</v>
      </c>
      <c r="E261" s="64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137</v>
      </c>
      <c r="L261" s="37" t="s">
        <v>46</v>
      </c>
      <c r="M261" s="38" t="s">
        <v>81</v>
      </c>
      <c r="N261" s="38"/>
      <c r="O261" s="37">
        <v>40</v>
      </c>
      <c r="P261" s="7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43"/>
      <c r="R261" s="643"/>
      <c r="S261" s="643"/>
      <c r="T261" s="64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9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447</v>
      </c>
      <c r="AG261" s="78"/>
      <c r="AJ261" s="84" t="s">
        <v>46</v>
      </c>
      <c r="AK261" s="84">
        <v>0</v>
      </c>
      <c r="BB261" s="339" t="s">
        <v>67</v>
      </c>
      <c r="BM261" s="78">
        <f t="shared" si="40"/>
        <v>0</v>
      </c>
      <c r="BN261" s="78">
        <f t="shared" si="41"/>
        <v>0</v>
      </c>
      <c r="BO261" s="78">
        <f t="shared" si="42"/>
        <v>0</v>
      </c>
      <c r="BP261" s="78">
        <f t="shared" si="43"/>
        <v>0</v>
      </c>
    </row>
    <row r="262" spans="1:68" ht="27" customHeight="1" x14ac:dyDescent="0.25">
      <c r="A262" s="63" t="s">
        <v>448</v>
      </c>
      <c r="B262" s="63" t="s">
        <v>449</v>
      </c>
      <c r="C262" s="36">
        <v>4301031221</v>
      </c>
      <c r="D262" s="641">
        <v>4680115882676</v>
      </c>
      <c r="E262" s="64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137</v>
      </c>
      <c r="L262" s="37" t="s">
        <v>46</v>
      </c>
      <c r="M262" s="38" t="s">
        <v>81</v>
      </c>
      <c r="N262" s="38"/>
      <c r="O262" s="37">
        <v>40</v>
      </c>
      <c r="P262" s="7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43"/>
      <c r="R262" s="643"/>
      <c r="S262" s="643"/>
      <c r="T262" s="64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9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450</v>
      </c>
      <c r="AG262" s="78"/>
      <c r="AJ262" s="84" t="s">
        <v>46</v>
      </c>
      <c r="AK262" s="84">
        <v>0</v>
      </c>
      <c r="BB262" s="341" t="s">
        <v>67</v>
      </c>
      <c r="BM262" s="78">
        <f t="shared" si="40"/>
        <v>0</v>
      </c>
      <c r="BN262" s="78">
        <f t="shared" si="41"/>
        <v>0</v>
      </c>
      <c r="BO262" s="78">
        <f t="shared" si="42"/>
        <v>0</v>
      </c>
      <c r="BP262" s="78">
        <f t="shared" si="43"/>
        <v>0</v>
      </c>
    </row>
    <row r="263" spans="1:68" ht="27" customHeight="1" x14ac:dyDescent="0.25">
      <c r="A263" s="63" t="s">
        <v>451</v>
      </c>
      <c r="B263" s="63" t="s">
        <v>452</v>
      </c>
      <c r="C263" s="36">
        <v>4301031223</v>
      </c>
      <c r="D263" s="641">
        <v>4680115884014</v>
      </c>
      <c r="E263" s="64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43"/>
      <c r="R263" s="643"/>
      <c r="S263" s="643"/>
      <c r="T263" s="64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9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441</v>
      </c>
      <c r="AG263" s="78"/>
      <c r="AJ263" s="84" t="s">
        <v>46</v>
      </c>
      <c r="AK263" s="84">
        <v>0</v>
      </c>
      <c r="BB263" s="343" t="s">
        <v>67</v>
      </c>
      <c r="BM263" s="78">
        <f t="shared" si="40"/>
        <v>0</v>
      </c>
      <c r="BN263" s="78">
        <f t="shared" si="41"/>
        <v>0</v>
      </c>
      <c r="BO263" s="78">
        <f t="shared" si="42"/>
        <v>0</v>
      </c>
      <c r="BP263" s="78">
        <f t="shared" si="43"/>
        <v>0</v>
      </c>
    </row>
    <row r="264" spans="1:68" ht="27" customHeight="1" x14ac:dyDescent="0.25">
      <c r="A264" s="63" t="s">
        <v>453</v>
      </c>
      <c r="B264" s="63" t="s">
        <v>454</v>
      </c>
      <c r="C264" s="36">
        <v>4301031222</v>
      </c>
      <c r="D264" s="641">
        <v>4680115884007</v>
      </c>
      <c r="E264" s="64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43"/>
      <c r="R264" s="643"/>
      <c r="S264" s="643"/>
      <c r="T264" s="64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9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444</v>
      </c>
      <c r="AG264" s="78"/>
      <c r="AJ264" s="84" t="s">
        <v>46</v>
      </c>
      <c r="AK264" s="84">
        <v>0</v>
      </c>
      <c r="BB264" s="345" t="s">
        <v>67</v>
      </c>
      <c r="BM264" s="78">
        <f t="shared" si="40"/>
        <v>0</v>
      </c>
      <c r="BN264" s="78">
        <f t="shared" si="41"/>
        <v>0</v>
      </c>
      <c r="BO264" s="78">
        <f t="shared" si="42"/>
        <v>0</v>
      </c>
      <c r="BP264" s="78">
        <f t="shared" si="43"/>
        <v>0</v>
      </c>
    </row>
    <row r="265" spans="1:68" ht="27" customHeight="1" x14ac:dyDescent="0.25">
      <c r="A265" s="63" t="s">
        <v>455</v>
      </c>
      <c r="B265" s="63" t="s">
        <v>456</v>
      </c>
      <c r="C265" s="36">
        <v>4301031229</v>
      </c>
      <c r="D265" s="641">
        <v>4680115884038</v>
      </c>
      <c r="E265" s="64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43"/>
      <c r="R265" s="643"/>
      <c r="S265" s="643"/>
      <c r="T265" s="64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9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447</v>
      </c>
      <c r="AG265" s="78"/>
      <c r="AJ265" s="84" t="s">
        <v>46</v>
      </c>
      <c r="AK265" s="84">
        <v>0</v>
      </c>
      <c r="BB265" s="347" t="s">
        <v>67</v>
      </c>
      <c r="BM265" s="78">
        <f t="shared" si="40"/>
        <v>0</v>
      </c>
      <c r="BN265" s="78">
        <f t="shared" si="41"/>
        <v>0</v>
      </c>
      <c r="BO265" s="78">
        <f t="shared" si="42"/>
        <v>0</v>
      </c>
      <c r="BP265" s="78">
        <f t="shared" si="43"/>
        <v>0</v>
      </c>
    </row>
    <row r="266" spans="1:68" ht="27" customHeight="1" x14ac:dyDescent="0.25">
      <c r="A266" s="63" t="s">
        <v>457</v>
      </c>
      <c r="B266" s="63" t="s">
        <v>458</v>
      </c>
      <c r="C266" s="36">
        <v>4301031225</v>
      </c>
      <c r="D266" s="641">
        <v>4680115884021</v>
      </c>
      <c r="E266" s="64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43"/>
      <c r="R266" s="643"/>
      <c r="S266" s="643"/>
      <c r="T266" s="64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450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x14ac:dyDescent="0.2">
      <c r="A267" s="635"/>
      <c r="B267" s="635"/>
      <c r="C267" s="635"/>
      <c r="D267" s="635"/>
      <c r="E267" s="635"/>
      <c r="F267" s="635"/>
      <c r="G267" s="635"/>
      <c r="H267" s="635"/>
      <c r="I267" s="635"/>
      <c r="J267" s="635"/>
      <c r="K267" s="635"/>
      <c r="L267" s="635"/>
      <c r="M267" s="635"/>
      <c r="N267" s="635"/>
      <c r="O267" s="636"/>
      <c r="P267" s="632" t="s">
        <v>40</v>
      </c>
      <c r="Q267" s="633"/>
      <c r="R267" s="633"/>
      <c r="S267" s="633"/>
      <c r="T267" s="633"/>
      <c r="U267" s="633"/>
      <c r="V267" s="63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35"/>
      <c r="B268" s="635"/>
      <c r="C268" s="635"/>
      <c r="D268" s="635"/>
      <c r="E268" s="635"/>
      <c r="F268" s="635"/>
      <c r="G268" s="635"/>
      <c r="H268" s="635"/>
      <c r="I268" s="635"/>
      <c r="J268" s="635"/>
      <c r="K268" s="635"/>
      <c r="L268" s="635"/>
      <c r="M268" s="635"/>
      <c r="N268" s="635"/>
      <c r="O268" s="636"/>
      <c r="P268" s="632" t="s">
        <v>40</v>
      </c>
      <c r="Q268" s="633"/>
      <c r="R268" s="633"/>
      <c r="S268" s="633"/>
      <c r="T268" s="633"/>
      <c r="U268" s="633"/>
      <c r="V268" s="634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46" t="s">
        <v>86</v>
      </c>
      <c r="B269" s="646"/>
      <c r="C269" s="646"/>
      <c r="D269" s="646"/>
      <c r="E269" s="646"/>
      <c r="F269" s="646"/>
      <c r="G269" s="646"/>
      <c r="H269" s="646"/>
      <c r="I269" s="646"/>
      <c r="J269" s="646"/>
      <c r="K269" s="646"/>
      <c r="L269" s="646"/>
      <c r="M269" s="646"/>
      <c r="N269" s="646"/>
      <c r="O269" s="646"/>
      <c r="P269" s="646"/>
      <c r="Q269" s="646"/>
      <c r="R269" s="646"/>
      <c r="S269" s="646"/>
      <c r="T269" s="646"/>
      <c r="U269" s="646"/>
      <c r="V269" s="646"/>
      <c r="W269" s="646"/>
      <c r="X269" s="646"/>
      <c r="Y269" s="646"/>
      <c r="Z269" s="646"/>
      <c r="AA269" s="66"/>
      <c r="AB269" s="66"/>
      <c r="AC269" s="80"/>
    </row>
    <row r="270" spans="1:68" ht="27" customHeight="1" x14ac:dyDescent="0.25">
      <c r="A270" s="63" t="s">
        <v>459</v>
      </c>
      <c r="B270" s="63" t="s">
        <v>460</v>
      </c>
      <c r="C270" s="36">
        <v>4301051408</v>
      </c>
      <c r="D270" s="641">
        <v>4680115881594</v>
      </c>
      <c r="E270" s="64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130</v>
      </c>
      <c r="L270" s="37" t="s">
        <v>46</v>
      </c>
      <c r="M270" s="38" t="s">
        <v>90</v>
      </c>
      <c r="N270" s="38"/>
      <c r="O270" s="37">
        <v>40</v>
      </c>
      <c r="P270" s="7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43"/>
      <c r="R270" s="643"/>
      <c r="S270" s="643"/>
      <c r="T270" s="64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44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461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5">IFERROR(X270*I270/H270,"0")</f>
        <v>0</v>
      </c>
      <c r="BN270" s="78">
        <f t="shared" ref="BN270:BN281" si="46">IFERROR(Y270*I270/H270,"0")</f>
        <v>0</v>
      </c>
      <c r="BO270" s="78">
        <f t="shared" ref="BO270:BO281" si="47">IFERROR(1/J270*(X270/H270),"0")</f>
        <v>0</v>
      </c>
      <c r="BP270" s="78">
        <f t="shared" ref="BP270:BP281" si="48">IFERROR(1/J270*(Y270/H270),"0")</f>
        <v>0</v>
      </c>
    </row>
    <row r="271" spans="1:68" ht="27" customHeight="1" x14ac:dyDescent="0.25">
      <c r="A271" s="63" t="s">
        <v>462</v>
      </c>
      <c r="B271" s="63" t="s">
        <v>463</v>
      </c>
      <c r="C271" s="36">
        <v>4301051411</v>
      </c>
      <c r="D271" s="641">
        <v>4680115881617</v>
      </c>
      <c r="E271" s="64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130</v>
      </c>
      <c r="L271" s="37" t="s">
        <v>46</v>
      </c>
      <c r="M271" s="38" t="s">
        <v>90</v>
      </c>
      <c r="N271" s="38"/>
      <c r="O271" s="37">
        <v>40</v>
      </c>
      <c r="P271" s="7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43"/>
      <c r="R271" s="643"/>
      <c r="S271" s="643"/>
      <c r="T271" s="64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4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464</v>
      </c>
      <c r="AG271" s="78"/>
      <c r="AJ271" s="84" t="s">
        <v>46</v>
      </c>
      <c r="AK271" s="84">
        <v>0</v>
      </c>
      <c r="BB271" s="353" t="s">
        <v>67</v>
      </c>
      <c r="BM271" s="78">
        <f t="shared" si="45"/>
        <v>0</v>
      </c>
      <c r="BN271" s="78">
        <f t="shared" si="46"/>
        <v>0</v>
      </c>
      <c r="BO271" s="78">
        <f t="shared" si="47"/>
        <v>0</v>
      </c>
      <c r="BP271" s="78">
        <f t="shared" si="48"/>
        <v>0</v>
      </c>
    </row>
    <row r="272" spans="1:68" ht="27" customHeight="1" x14ac:dyDescent="0.25">
      <c r="A272" s="63" t="s">
        <v>465</v>
      </c>
      <c r="B272" s="63" t="s">
        <v>466</v>
      </c>
      <c r="C272" s="36">
        <v>4301051656</v>
      </c>
      <c r="D272" s="641">
        <v>4680115880573</v>
      </c>
      <c r="E272" s="64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130</v>
      </c>
      <c r="L272" s="37" t="s">
        <v>46</v>
      </c>
      <c r="M272" s="38" t="s">
        <v>90</v>
      </c>
      <c r="N272" s="38"/>
      <c r="O272" s="37">
        <v>45</v>
      </c>
      <c r="P272" s="7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43"/>
      <c r="R272" s="643"/>
      <c r="S272" s="643"/>
      <c r="T272" s="64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4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467</v>
      </c>
      <c r="AG272" s="78"/>
      <c r="AJ272" s="84" t="s">
        <v>46</v>
      </c>
      <c r="AK272" s="84">
        <v>0</v>
      </c>
      <c r="BB272" s="355" t="s">
        <v>67</v>
      </c>
      <c r="BM272" s="78">
        <f t="shared" si="45"/>
        <v>0</v>
      </c>
      <c r="BN272" s="78">
        <f t="shared" si="46"/>
        <v>0</v>
      </c>
      <c r="BO272" s="78">
        <f t="shared" si="47"/>
        <v>0</v>
      </c>
      <c r="BP272" s="78">
        <f t="shared" si="48"/>
        <v>0</v>
      </c>
    </row>
    <row r="273" spans="1:68" ht="27" customHeight="1" x14ac:dyDescent="0.25">
      <c r="A273" s="63" t="s">
        <v>468</v>
      </c>
      <c r="B273" s="63" t="s">
        <v>469</v>
      </c>
      <c r="C273" s="36">
        <v>4301051407</v>
      </c>
      <c r="D273" s="641">
        <v>4680115882195</v>
      </c>
      <c r="E273" s="64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43"/>
      <c r="R273" s="643"/>
      <c r="S273" s="643"/>
      <c r="T273" s="64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4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461</v>
      </c>
      <c r="AG273" s="78"/>
      <c r="AJ273" s="84" t="s">
        <v>46</v>
      </c>
      <c r="AK273" s="84">
        <v>0</v>
      </c>
      <c r="BB273" s="357" t="s">
        <v>67</v>
      </c>
      <c r="BM273" s="78">
        <f t="shared" si="45"/>
        <v>0</v>
      </c>
      <c r="BN273" s="78">
        <f t="shared" si="46"/>
        <v>0</v>
      </c>
      <c r="BO273" s="78">
        <f t="shared" si="47"/>
        <v>0</v>
      </c>
      <c r="BP273" s="78">
        <f t="shared" si="48"/>
        <v>0</v>
      </c>
    </row>
    <row r="274" spans="1:68" ht="27" customHeight="1" x14ac:dyDescent="0.25">
      <c r="A274" s="63" t="s">
        <v>470</v>
      </c>
      <c r="B274" s="63" t="s">
        <v>471</v>
      </c>
      <c r="C274" s="36">
        <v>4301051752</v>
      </c>
      <c r="D274" s="641">
        <v>4680115882607</v>
      </c>
      <c r="E274" s="64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43"/>
      <c r="R274" s="643"/>
      <c r="S274" s="643"/>
      <c r="T274" s="64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4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467</v>
      </c>
      <c r="AG274" s="78"/>
      <c r="AJ274" s="84" t="s">
        <v>46</v>
      </c>
      <c r="AK274" s="84">
        <v>0</v>
      </c>
      <c r="BB274" s="359" t="s">
        <v>67</v>
      </c>
      <c r="BM274" s="78">
        <f t="shared" si="45"/>
        <v>0</v>
      </c>
      <c r="BN274" s="78">
        <f t="shared" si="46"/>
        <v>0</v>
      </c>
      <c r="BO274" s="78">
        <f t="shared" si="47"/>
        <v>0</v>
      </c>
      <c r="BP274" s="78">
        <f t="shared" si="48"/>
        <v>0</v>
      </c>
    </row>
    <row r="275" spans="1:68" ht="27" customHeight="1" x14ac:dyDescent="0.25">
      <c r="A275" s="63" t="s">
        <v>472</v>
      </c>
      <c r="B275" s="63" t="s">
        <v>473</v>
      </c>
      <c r="C275" s="36">
        <v>4301052143</v>
      </c>
      <c r="D275" s="641">
        <v>4680115882607</v>
      </c>
      <c r="E275" s="64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137</v>
      </c>
      <c r="L275" s="37" t="s">
        <v>46</v>
      </c>
      <c r="M275" s="38" t="s">
        <v>90</v>
      </c>
      <c r="N275" s="38"/>
      <c r="O275" s="37">
        <v>45</v>
      </c>
      <c r="P275" s="7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43"/>
      <c r="R275" s="643"/>
      <c r="S275" s="643"/>
      <c r="T275" s="64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4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474</v>
      </c>
      <c r="AG275" s="78"/>
      <c r="AJ275" s="84" t="s">
        <v>46</v>
      </c>
      <c r="AK275" s="84">
        <v>0</v>
      </c>
      <c r="BB275" s="361" t="s">
        <v>67</v>
      </c>
      <c r="BM275" s="78">
        <f t="shared" si="45"/>
        <v>0</v>
      </c>
      <c r="BN275" s="78">
        <f t="shared" si="46"/>
        <v>0</v>
      </c>
      <c r="BO275" s="78">
        <f t="shared" si="47"/>
        <v>0</v>
      </c>
      <c r="BP275" s="78">
        <f t="shared" si="48"/>
        <v>0</v>
      </c>
    </row>
    <row r="276" spans="1:68" ht="27" customHeight="1" x14ac:dyDescent="0.25">
      <c r="A276" s="63" t="s">
        <v>475</v>
      </c>
      <c r="B276" s="63" t="s">
        <v>476</v>
      </c>
      <c r="C276" s="36">
        <v>4301051666</v>
      </c>
      <c r="D276" s="641">
        <v>4680115880092</v>
      </c>
      <c r="E276" s="64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43"/>
      <c r="R276" s="643"/>
      <c r="S276" s="643"/>
      <c r="T276" s="64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4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467</v>
      </c>
      <c r="AG276" s="78"/>
      <c r="AJ276" s="84" t="s">
        <v>46</v>
      </c>
      <c r="AK276" s="84">
        <v>0</v>
      </c>
      <c r="BB276" s="363" t="s">
        <v>67</v>
      </c>
      <c r="BM276" s="78">
        <f t="shared" si="45"/>
        <v>0</v>
      </c>
      <c r="BN276" s="78">
        <f t="shared" si="46"/>
        <v>0</v>
      </c>
      <c r="BO276" s="78">
        <f t="shared" si="47"/>
        <v>0</v>
      </c>
      <c r="BP276" s="78">
        <f t="shared" si="48"/>
        <v>0</v>
      </c>
    </row>
    <row r="277" spans="1:68" ht="27" customHeight="1" x14ac:dyDescent="0.25">
      <c r="A277" s="63" t="s">
        <v>477</v>
      </c>
      <c r="B277" s="63" t="s">
        <v>478</v>
      </c>
      <c r="C277" s="36">
        <v>4301052214</v>
      </c>
      <c r="D277" s="641">
        <v>4680115889064</v>
      </c>
      <c r="E277" s="64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130</v>
      </c>
      <c r="L277" s="37" t="s">
        <v>46</v>
      </c>
      <c r="M277" s="38" t="s">
        <v>90</v>
      </c>
      <c r="N277" s="38"/>
      <c r="O277" s="37">
        <v>45</v>
      </c>
      <c r="P277" s="7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43"/>
      <c r="R277" s="643"/>
      <c r="S277" s="643"/>
      <c r="T277" s="64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customHeight="1" x14ac:dyDescent="0.25">
      <c r="A278" s="63" t="s">
        <v>479</v>
      </c>
      <c r="B278" s="63" t="s">
        <v>480</v>
      </c>
      <c r="C278" s="36">
        <v>4301051668</v>
      </c>
      <c r="D278" s="641">
        <v>4680115880221</v>
      </c>
      <c r="E278" s="64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43"/>
      <c r="R278" s="643"/>
      <c r="S278" s="643"/>
      <c r="T278" s="64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customHeight="1" x14ac:dyDescent="0.25">
      <c r="A279" s="63" t="s">
        <v>481</v>
      </c>
      <c r="B279" s="63" t="s">
        <v>482</v>
      </c>
      <c r="C279" s="36">
        <v>4301051945</v>
      </c>
      <c r="D279" s="641">
        <v>4680115880504</v>
      </c>
      <c r="E279" s="64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43"/>
      <c r="R279" s="643"/>
      <c r="S279" s="643"/>
      <c r="T279" s="64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483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customHeight="1" x14ac:dyDescent="0.25">
      <c r="A280" s="63" t="s">
        <v>484</v>
      </c>
      <c r="B280" s="63" t="s">
        <v>485</v>
      </c>
      <c r="C280" s="36">
        <v>4301051410</v>
      </c>
      <c r="D280" s="641">
        <v>4680115882164</v>
      </c>
      <c r="E280" s="64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43"/>
      <c r="R280" s="643"/>
      <c r="S280" s="643"/>
      <c r="T280" s="64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486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customHeight="1" x14ac:dyDescent="0.25">
      <c r="A281" s="63" t="s">
        <v>487</v>
      </c>
      <c r="B281" s="63" t="s">
        <v>488</v>
      </c>
      <c r="C281" s="36">
        <v>4301052180</v>
      </c>
      <c r="D281" s="641">
        <v>4680115888340</v>
      </c>
      <c r="E281" s="64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43"/>
      <c r="R281" s="643"/>
      <c r="S281" s="643"/>
      <c r="T281" s="64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489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x14ac:dyDescent="0.2">
      <c r="A282" s="635"/>
      <c r="B282" s="635"/>
      <c r="C282" s="635"/>
      <c r="D282" s="635"/>
      <c r="E282" s="635"/>
      <c r="F282" s="635"/>
      <c r="G282" s="635"/>
      <c r="H282" s="635"/>
      <c r="I282" s="635"/>
      <c r="J282" s="635"/>
      <c r="K282" s="635"/>
      <c r="L282" s="635"/>
      <c r="M282" s="635"/>
      <c r="N282" s="635"/>
      <c r="O282" s="636"/>
      <c r="P282" s="632" t="s">
        <v>40</v>
      </c>
      <c r="Q282" s="633"/>
      <c r="R282" s="633"/>
      <c r="S282" s="633"/>
      <c r="T282" s="633"/>
      <c r="U282" s="633"/>
      <c r="V282" s="63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35"/>
      <c r="B283" s="635"/>
      <c r="C283" s="635"/>
      <c r="D283" s="635"/>
      <c r="E283" s="635"/>
      <c r="F283" s="635"/>
      <c r="G283" s="635"/>
      <c r="H283" s="635"/>
      <c r="I283" s="635"/>
      <c r="J283" s="635"/>
      <c r="K283" s="635"/>
      <c r="L283" s="635"/>
      <c r="M283" s="635"/>
      <c r="N283" s="635"/>
      <c r="O283" s="636"/>
      <c r="P283" s="632" t="s">
        <v>40</v>
      </c>
      <c r="Q283" s="633"/>
      <c r="R283" s="633"/>
      <c r="S283" s="633"/>
      <c r="T283" s="633"/>
      <c r="U283" s="633"/>
      <c r="V283" s="634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46" t="s">
        <v>175</v>
      </c>
      <c r="B284" s="646"/>
      <c r="C284" s="646"/>
      <c r="D284" s="646"/>
      <c r="E284" s="646"/>
      <c r="F284" s="646"/>
      <c r="G284" s="646"/>
      <c r="H284" s="646"/>
      <c r="I284" s="646"/>
      <c r="J284" s="646"/>
      <c r="K284" s="646"/>
      <c r="L284" s="646"/>
      <c r="M284" s="646"/>
      <c r="N284" s="646"/>
      <c r="O284" s="646"/>
      <c r="P284" s="646"/>
      <c r="Q284" s="646"/>
      <c r="R284" s="646"/>
      <c r="S284" s="646"/>
      <c r="T284" s="646"/>
      <c r="U284" s="646"/>
      <c r="V284" s="646"/>
      <c r="W284" s="646"/>
      <c r="X284" s="646"/>
      <c r="Y284" s="646"/>
      <c r="Z284" s="646"/>
      <c r="AA284" s="66"/>
      <c r="AB284" s="66"/>
      <c r="AC284" s="80"/>
    </row>
    <row r="285" spans="1:68" ht="27" customHeight="1" x14ac:dyDescent="0.25">
      <c r="A285" s="63" t="s">
        <v>490</v>
      </c>
      <c r="B285" s="63" t="s">
        <v>491</v>
      </c>
      <c r="C285" s="36">
        <v>4301060463</v>
      </c>
      <c r="D285" s="641">
        <v>4680115880818</v>
      </c>
      <c r="E285" s="64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43"/>
      <c r="R285" s="643"/>
      <c r="S285" s="643"/>
      <c r="T285" s="64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4301060389</v>
      </c>
      <c r="D286" s="641">
        <v>4680115880801</v>
      </c>
      <c r="E286" s="64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43"/>
      <c r="R286" s="643"/>
      <c r="S286" s="643"/>
      <c r="T286" s="64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495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5"/>
      <c r="B287" s="635"/>
      <c r="C287" s="635"/>
      <c r="D287" s="635"/>
      <c r="E287" s="635"/>
      <c r="F287" s="635"/>
      <c r="G287" s="635"/>
      <c r="H287" s="635"/>
      <c r="I287" s="635"/>
      <c r="J287" s="635"/>
      <c r="K287" s="635"/>
      <c r="L287" s="635"/>
      <c r="M287" s="635"/>
      <c r="N287" s="635"/>
      <c r="O287" s="636"/>
      <c r="P287" s="632" t="s">
        <v>40</v>
      </c>
      <c r="Q287" s="633"/>
      <c r="R287" s="633"/>
      <c r="S287" s="633"/>
      <c r="T287" s="633"/>
      <c r="U287" s="633"/>
      <c r="V287" s="63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5"/>
      <c r="B288" s="635"/>
      <c r="C288" s="635"/>
      <c r="D288" s="635"/>
      <c r="E288" s="635"/>
      <c r="F288" s="635"/>
      <c r="G288" s="635"/>
      <c r="H288" s="635"/>
      <c r="I288" s="635"/>
      <c r="J288" s="635"/>
      <c r="K288" s="635"/>
      <c r="L288" s="635"/>
      <c r="M288" s="635"/>
      <c r="N288" s="635"/>
      <c r="O288" s="636"/>
      <c r="P288" s="632" t="s">
        <v>40</v>
      </c>
      <c r="Q288" s="633"/>
      <c r="R288" s="633"/>
      <c r="S288" s="633"/>
      <c r="T288" s="633"/>
      <c r="U288" s="633"/>
      <c r="V288" s="63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45" t="s">
        <v>496</v>
      </c>
      <c r="B289" s="645"/>
      <c r="C289" s="645"/>
      <c r="D289" s="645"/>
      <c r="E289" s="645"/>
      <c r="F289" s="645"/>
      <c r="G289" s="645"/>
      <c r="H289" s="645"/>
      <c r="I289" s="645"/>
      <c r="J289" s="645"/>
      <c r="K289" s="645"/>
      <c r="L289" s="645"/>
      <c r="M289" s="645"/>
      <c r="N289" s="645"/>
      <c r="O289" s="645"/>
      <c r="P289" s="645"/>
      <c r="Q289" s="645"/>
      <c r="R289" s="645"/>
      <c r="S289" s="645"/>
      <c r="T289" s="645"/>
      <c r="U289" s="645"/>
      <c r="V289" s="645"/>
      <c r="W289" s="645"/>
      <c r="X289" s="645"/>
      <c r="Y289" s="645"/>
      <c r="Z289" s="645"/>
      <c r="AA289" s="65"/>
      <c r="AB289" s="65"/>
      <c r="AC289" s="79"/>
    </row>
    <row r="290" spans="1:68" ht="14.25" customHeight="1" x14ac:dyDescent="0.25">
      <c r="A290" s="646" t="s">
        <v>125</v>
      </c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46"/>
      <c r="P290" s="646"/>
      <c r="Q290" s="646"/>
      <c r="R290" s="646"/>
      <c r="S290" s="646"/>
      <c r="T290" s="646"/>
      <c r="U290" s="646"/>
      <c r="V290" s="646"/>
      <c r="W290" s="646"/>
      <c r="X290" s="646"/>
      <c r="Y290" s="646"/>
      <c r="Z290" s="646"/>
      <c r="AA290" s="66"/>
      <c r="AB290" s="66"/>
      <c r="AC290" s="80"/>
    </row>
    <row r="291" spans="1:68" ht="27" customHeight="1" x14ac:dyDescent="0.25">
      <c r="A291" s="63" t="s">
        <v>497</v>
      </c>
      <c r="B291" s="63" t="s">
        <v>498</v>
      </c>
      <c r="C291" s="36">
        <v>4301011826</v>
      </c>
      <c r="D291" s="641">
        <v>4680115884137</v>
      </c>
      <c r="E291" s="64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130</v>
      </c>
      <c r="L291" s="37" t="s">
        <v>46</v>
      </c>
      <c r="M291" s="38" t="s">
        <v>129</v>
      </c>
      <c r="N291" s="38"/>
      <c r="O291" s="37">
        <v>55</v>
      </c>
      <c r="P291" s="7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43"/>
      <c r="R291" s="643"/>
      <c r="S291" s="643"/>
      <c r="T291" s="64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9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499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50">IFERROR(X291*I291/H291,"0")</f>
        <v>0</v>
      </c>
      <c r="BN291" s="78">
        <f t="shared" ref="BN291:BN297" si="51">IFERROR(Y291*I291/H291,"0")</f>
        <v>0</v>
      </c>
      <c r="BO291" s="78">
        <f t="shared" ref="BO291:BO297" si="52">IFERROR(1/J291*(X291/H291),"0")</f>
        <v>0</v>
      </c>
      <c r="BP291" s="78">
        <f t="shared" ref="BP291:BP297" si="53">IFERROR(1/J291*(Y291/H291),"0")</f>
        <v>0</v>
      </c>
    </row>
    <row r="292" spans="1:68" ht="27" customHeight="1" x14ac:dyDescent="0.25">
      <c r="A292" s="63" t="s">
        <v>500</v>
      </c>
      <c r="B292" s="63" t="s">
        <v>501</v>
      </c>
      <c r="C292" s="36">
        <v>4301011724</v>
      </c>
      <c r="D292" s="641">
        <v>4680115884236</v>
      </c>
      <c r="E292" s="64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130</v>
      </c>
      <c r="L292" s="37" t="s">
        <v>46</v>
      </c>
      <c r="M292" s="38" t="s">
        <v>129</v>
      </c>
      <c r="N292" s="38"/>
      <c r="O292" s="37">
        <v>55</v>
      </c>
      <c r="P292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43"/>
      <c r="R292" s="643"/>
      <c r="S292" s="643"/>
      <c r="T292" s="64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9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502</v>
      </c>
      <c r="AG292" s="78"/>
      <c r="AJ292" s="84" t="s">
        <v>46</v>
      </c>
      <c r="AK292" s="84">
        <v>0</v>
      </c>
      <c r="BB292" s="381" t="s">
        <v>67</v>
      </c>
      <c r="BM292" s="78">
        <f t="shared" si="50"/>
        <v>0</v>
      </c>
      <c r="BN292" s="78">
        <f t="shared" si="51"/>
        <v>0</v>
      </c>
      <c r="BO292" s="78">
        <f t="shared" si="52"/>
        <v>0</v>
      </c>
      <c r="BP292" s="78">
        <f t="shared" si="53"/>
        <v>0</v>
      </c>
    </row>
    <row r="293" spans="1:68" ht="27" customHeight="1" x14ac:dyDescent="0.25">
      <c r="A293" s="63" t="s">
        <v>503</v>
      </c>
      <c r="B293" s="63" t="s">
        <v>504</v>
      </c>
      <c r="C293" s="36">
        <v>4301011721</v>
      </c>
      <c r="D293" s="641">
        <v>4680115884175</v>
      </c>
      <c r="E293" s="64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130</v>
      </c>
      <c r="L293" s="37" t="s">
        <v>46</v>
      </c>
      <c r="M293" s="38" t="s">
        <v>129</v>
      </c>
      <c r="N293" s="38"/>
      <c r="O293" s="37">
        <v>55</v>
      </c>
      <c r="P293" s="7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43"/>
      <c r="R293" s="643"/>
      <c r="S293" s="643"/>
      <c r="T293" s="64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9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50"/>
        <v>0</v>
      </c>
      <c r="BN293" s="78">
        <f t="shared" si="51"/>
        <v>0</v>
      </c>
      <c r="BO293" s="78">
        <f t="shared" si="52"/>
        <v>0</v>
      </c>
      <c r="BP293" s="78">
        <f t="shared" si="53"/>
        <v>0</v>
      </c>
    </row>
    <row r="294" spans="1:68" ht="27" customHeight="1" x14ac:dyDescent="0.25">
      <c r="A294" s="63" t="s">
        <v>505</v>
      </c>
      <c r="B294" s="63" t="s">
        <v>506</v>
      </c>
      <c r="C294" s="36">
        <v>4301011824</v>
      </c>
      <c r="D294" s="641">
        <v>4680115884144</v>
      </c>
      <c r="E294" s="64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137</v>
      </c>
      <c r="L294" s="37" t="s">
        <v>46</v>
      </c>
      <c r="M294" s="38" t="s">
        <v>129</v>
      </c>
      <c r="N294" s="38"/>
      <c r="O294" s="37">
        <v>55</v>
      </c>
      <c r="P294" s="7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43"/>
      <c r="R294" s="643"/>
      <c r="S294" s="643"/>
      <c r="T294" s="64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9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499</v>
      </c>
      <c r="AG294" s="78"/>
      <c r="AJ294" s="84" t="s">
        <v>46</v>
      </c>
      <c r="AK294" s="84">
        <v>0</v>
      </c>
      <c r="BB294" s="385" t="s">
        <v>67</v>
      </c>
      <c r="BM294" s="78">
        <f t="shared" si="50"/>
        <v>0</v>
      </c>
      <c r="BN294" s="78">
        <f t="shared" si="51"/>
        <v>0</v>
      </c>
      <c r="BO294" s="78">
        <f t="shared" si="52"/>
        <v>0</v>
      </c>
      <c r="BP294" s="78">
        <f t="shared" si="53"/>
        <v>0</v>
      </c>
    </row>
    <row r="295" spans="1:68" ht="27" customHeight="1" x14ac:dyDescent="0.25">
      <c r="A295" s="63" t="s">
        <v>507</v>
      </c>
      <c r="B295" s="63" t="s">
        <v>508</v>
      </c>
      <c r="C295" s="36">
        <v>4301012149</v>
      </c>
      <c r="D295" s="641">
        <v>4680115886551</v>
      </c>
      <c r="E295" s="64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137</v>
      </c>
      <c r="L295" s="37" t="s">
        <v>46</v>
      </c>
      <c r="M295" s="38" t="s">
        <v>129</v>
      </c>
      <c r="N295" s="38"/>
      <c r="O295" s="37">
        <v>55</v>
      </c>
      <c r="P295" s="76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43"/>
      <c r="R295" s="643"/>
      <c r="S295" s="643"/>
      <c r="T295" s="64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9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509</v>
      </c>
      <c r="AG295" s="78"/>
      <c r="AJ295" s="84" t="s">
        <v>46</v>
      </c>
      <c r="AK295" s="84">
        <v>0</v>
      </c>
      <c r="BB295" s="387" t="s">
        <v>67</v>
      </c>
      <c r="BM295" s="78">
        <f t="shared" si="50"/>
        <v>0</v>
      </c>
      <c r="BN295" s="78">
        <f t="shared" si="51"/>
        <v>0</v>
      </c>
      <c r="BO295" s="78">
        <f t="shared" si="52"/>
        <v>0</v>
      </c>
      <c r="BP295" s="78">
        <f t="shared" si="53"/>
        <v>0</v>
      </c>
    </row>
    <row r="296" spans="1:68" ht="27" customHeight="1" x14ac:dyDescent="0.25">
      <c r="A296" s="63" t="s">
        <v>510</v>
      </c>
      <c r="B296" s="63" t="s">
        <v>511</v>
      </c>
      <c r="C296" s="36">
        <v>4301012228</v>
      </c>
      <c r="D296" s="641">
        <v>4680115887282</v>
      </c>
      <c r="E296" s="64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129</v>
      </c>
      <c r="N296" s="38"/>
      <c r="O296" s="37">
        <v>55</v>
      </c>
      <c r="P296" s="76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43"/>
      <c r="R296" s="643"/>
      <c r="S296" s="643"/>
      <c r="T296" s="64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9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512</v>
      </c>
      <c r="AG296" s="78"/>
      <c r="AJ296" s="84" t="s">
        <v>46</v>
      </c>
      <c r="AK296" s="84">
        <v>0</v>
      </c>
      <c r="BB296" s="389" t="s">
        <v>67</v>
      </c>
      <c r="BM296" s="78">
        <f t="shared" si="50"/>
        <v>0</v>
      </c>
      <c r="BN296" s="78">
        <f t="shared" si="51"/>
        <v>0</v>
      </c>
      <c r="BO296" s="78">
        <f t="shared" si="52"/>
        <v>0</v>
      </c>
      <c r="BP296" s="78">
        <f t="shared" si="53"/>
        <v>0</v>
      </c>
    </row>
    <row r="297" spans="1:68" ht="27" customHeight="1" x14ac:dyDescent="0.25">
      <c r="A297" s="63" t="s">
        <v>513</v>
      </c>
      <c r="B297" s="63" t="s">
        <v>514</v>
      </c>
      <c r="C297" s="36">
        <v>4301011722</v>
      </c>
      <c r="D297" s="641">
        <v>4680115884205</v>
      </c>
      <c r="E297" s="64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137</v>
      </c>
      <c r="L297" s="37" t="s">
        <v>46</v>
      </c>
      <c r="M297" s="38" t="s">
        <v>129</v>
      </c>
      <c r="N297" s="38"/>
      <c r="O297" s="37">
        <v>55</v>
      </c>
      <c r="P297" s="76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43"/>
      <c r="R297" s="643"/>
      <c r="S297" s="643"/>
      <c r="T297" s="64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9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50"/>
        <v>0</v>
      </c>
      <c r="BN297" s="78">
        <f t="shared" si="51"/>
        <v>0</v>
      </c>
      <c r="BO297" s="78">
        <f t="shared" si="52"/>
        <v>0</v>
      </c>
      <c r="BP297" s="78">
        <f t="shared" si="53"/>
        <v>0</v>
      </c>
    </row>
    <row r="298" spans="1:68" x14ac:dyDescent="0.2">
      <c r="A298" s="635"/>
      <c r="B298" s="635"/>
      <c r="C298" s="635"/>
      <c r="D298" s="635"/>
      <c r="E298" s="635"/>
      <c r="F298" s="635"/>
      <c r="G298" s="635"/>
      <c r="H298" s="635"/>
      <c r="I298" s="635"/>
      <c r="J298" s="635"/>
      <c r="K298" s="635"/>
      <c r="L298" s="635"/>
      <c r="M298" s="635"/>
      <c r="N298" s="635"/>
      <c r="O298" s="636"/>
      <c r="P298" s="632" t="s">
        <v>40</v>
      </c>
      <c r="Q298" s="633"/>
      <c r="R298" s="633"/>
      <c r="S298" s="633"/>
      <c r="T298" s="633"/>
      <c r="U298" s="633"/>
      <c r="V298" s="63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35"/>
      <c r="B299" s="635"/>
      <c r="C299" s="635"/>
      <c r="D299" s="635"/>
      <c r="E299" s="635"/>
      <c r="F299" s="635"/>
      <c r="G299" s="635"/>
      <c r="H299" s="635"/>
      <c r="I299" s="635"/>
      <c r="J299" s="635"/>
      <c r="K299" s="635"/>
      <c r="L299" s="635"/>
      <c r="M299" s="635"/>
      <c r="N299" s="635"/>
      <c r="O299" s="636"/>
      <c r="P299" s="632" t="s">
        <v>40</v>
      </c>
      <c r="Q299" s="633"/>
      <c r="R299" s="633"/>
      <c r="S299" s="633"/>
      <c r="T299" s="633"/>
      <c r="U299" s="633"/>
      <c r="V299" s="63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46" t="s">
        <v>158</v>
      </c>
      <c r="B300" s="646"/>
      <c r="C300" s="646"/>
      <c r="D300" s="646"/>
      <c r="E300" s="646"/>
      <c r="F300" s="646"/>
      <c r="G300" s="646"/>
      <c r="H300" s="646"/>
      <c r="I300" s="646"/>
      <c r="J300" s="646"/>
      <c r="K300" s="646"/>
      <c r="L300" s="646"/>
      <c r="M300" s="646"/>
      <c r="N300" s="646"/>
      <c r="O300" s="646"/>
      <c r="P300" s="646"/>
      <c r="Q300" s="646"/>
      <c r="R300" s="646"/>
      <c r="S300" s="646"/>
      <c r="T300" s="646"/>
      <c r="U300" s="646"/>
      <c r="V300" s="646"/>
      <c r="W300" s="646"/>
      <c r="X300" s="646"/>
      <c r="Y300" s="646"/>
      <c r="Z300" s="646"/>
      <c r="AA300" s="66"/>
      <c r="AB300" s="66"/>
      <c r="AC300" s="80"/>
    </row>
    <row r="301" spans="1:68" ht="27" customHeight="1" x14ac:dyDescent="0.25">
      <c r="A301" s="63" t="s">
        <v>515</v>
      </c>
      <c r="B301" s="63" t="s">
        <v>516</v>
      </c>
      <c r="C301" s="36">
        <v>4301020377</v>
      </c>
      <c r="D301" s="641">
        <v>4680115885981</v>
      </c>
      <c r="E301" s="64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6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43"/>
      <c r="R301" s="643"/>
      <c r="S301" s="643"/>
      <c r="T301" s="64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35"/>
      <c r="B302" s="635"/>
      <c r="C302" s="635"/>
      <c r="D302" s="635"/>
      <c r="E302" s="635"/>
      <c r="F302" s="635"/>
      <c r="G302" s="635"/>
      <c r="H302" s="635"/>
      <c r="I302" s="635"/>
      <c r="J302" s="635"/>
      <c r="K302" s="635"/>
      <c r="L302" s="635"/>
      <c r="M302" s="635"/>
      <c r="N302" s="635"/>
      <c r="O302" s="636"/>
      <c r="P302" s="632" t="s">
        <v>40</v>
      </c>
      <c r="Q302" s="633"/>
      <c r="R302" s="633"/>
      <c r="S302" s="633"/>
      <c r="T302" s="633"/>
      <c r="U302" s="633"/>
      <c r="V302" s="63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35"/>
      <c r="B303" s="635"/>
      <c r="C303" s="635"/>
      <c r="D303" s="635"/>
      <c r="E303" s="635"/>
      <c r="F303" s="635"/>
      <c r="G303" s="635"/>
      <c r="H303" s="635"/>
      <c r="I303" s="635"/>
      <c r="J303" s="635"/>
      <c r="K303" s="635"/>
      <c r="L303" s="635"/>
      <c r="M303" s="635"/>
      <c r="N303" s="635"/>
      <c r="O303" s="636"/>
      <c r="P303" s="632" t="s">
        <v>40</v>
      </c>
      <c r="Q303" s="633"/>
      <c r="R303" s="633"/>
      <c r="S303" s="633"/>
      <c r="T303" s="633"/>
      <c r="U303" s="633"/>
      <c r="V303" s="63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46" t="s">
        <v>518</v>
      </c>
      <c r="B304" s="646"/>
      <c r="C304" s="646"/>
      <c r="D304" s="646"/>
      <c r="E304" s="646"/>
      <c r="F304" s="646"/>
      <c r="G304" s="646"/>
      <c r="H304" s="646"/>
      <c r="I304" s="646"/>
      <c r="J304" s="646"/>
      <c r="K304" s="646"/>
      <c r="L304" s="646"/>
      <c r="M304" s="646"/>
      <c r="N304" s="646"/>
      <c r="O304" s="646"/>
      <c r="P304" s="646"/>
      <c r="Q304" s="646"/>
      <c r="R304" s="646"/>
      <c r="S304" s="646"/>
      <c r="T304" s="646"/>
      <c r="U304" s="646"/>
      <c r="V304" s="646"/>
      <c r="W304" s="646"/>
      <c r="X304" s="646"/>
      <c r="Y304" s="646"/>
      <c r="Z304" s="646"/>
      <c r="AA304" s="66"/>
      <c r="AB304" s="66"/>
      <c r="AC304" s="80"/>
    </row>
    <row r="305" spans="1:68" ht="27" customHeight="1" x14ac:dyDescent="0.25">
      <c r="A305" s="63" t="s">
        <v>519</v>
      </c>
      <c r="B305" s="63" t="s">
        <v>520</v>
      </c>
      <c r="C305" s="36">
        <v>4301040362</v>
      </c>
      <c r="D305" s="641">
        <v>4680115886803</v>
      </c>
      <c r="E305" s="64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334</v>
      </c>
      <c r="L305" s="37" t="s">
        <v>46</v>
      </c>
      <c r="M305" s="38" t="s">
        <v>276</v>
      </c>
      <c r="N305" s="38"/>
      <c r="O305" s="37">
        <v>45</v>
      </c>
      <c r="P305" s="76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43"/>
      <c r="R305" s="643"/>
      <c r="S305" s="643"/>
      <c r="T305" s="64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521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35"/>
      <c r="B306" s="635"/>
      <c r="C306" s="635"/>
      <c r="D306" s="635"/>
      <c r="E306" s="635"/>
      <c r="F306" s="635"/>
      <c r="G306" s="635"/>
      <c r="H306" s="635"/>
      <c r="I306" s="635"/>
      <c r="J306" s="635"/>
      <c r="K306" s="635"/>
      <c r="L306" s="635"/>
      <c r="M306" s="635"/>
      <c r="N306" s="635"/>
      <c r="O306" s="636"/>
      <c r="P306" s="632" t="s">
        <v>40</v>
      </c>
      <c r="Q306" s="633"/>
      <c r="R306" s="633"/>
      <c r="S306" s="633"/>
      <c r="T306" s="633"/>
      <c r="U306" s="633"/>
      <c r="V306" s="63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35"/>
      <c r="B307" s="635"/>
      <c r="C307" s="635"/>
      <c r="D307" s="635"/>
      <c r="E307" s="635"/>
      <c r="F307" s="635"/>
      <c r="G307" s="635"/>
      <c r="H307" s="635"/>
      <c r="I307" s="635"/>
      <c r="J307" s="635"/>
      <c r="K307" s="635"/>
      <c r="L307" s="635"/>
      <c r="M307" s="635"/>
      <c r="N307" s="635"/>
      <c r="O307" s="636"/>
      <c r="P307" s="632" t="s">
        <v>40</v>
      </c>
      <c r="Q307" s="633"/>
      <c r="R307" s="633"/>
      <c r="S307" s="633"/>
      <c r="T307" s="633"/>
      <c r="U307" s="633"/>
      <c r="V307" s="63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46" t="s">
        <v>335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6"/>
      <c r="AB308" s="66"/>
      <c r="AC308" s="80"/>
    </row>
    <row r="309" spans="1:68" ht="27" customHeight="1" x14ac:dyDescent="0.25">
      <c r="A309" s="63" t="s">
        <v>522</v>
      </c>
      <c r="B309" s="63" t="s">
        <v>523</v>
      </c>
      <c r="C309" s="36">
        <v>4301041004</v>
      </c>
      <c r="D309" s="641">
        <v>4680115886704</v>
      </c>
      <c r="E309" s="64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334</v>
      </c>
      <c r="L309" s="37" t="s">
        <v>46</v>
      </c>
      <c r="M309" s="38" t="s">
        <v>276</v>
      </c>
      <c r="N309" s="38"/>
      <c r="O309" s="37">
        <v>90</v>
      </c>
      <c r="P309" s="7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43"/>
      <c r="R309" s="643"/>
      <c r="S309" s="643"/>
      <c r="T309" s="64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524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525</v>
      </c>
      <c r="B310" s="63" t="s">
        <v>526</v>
      </c>
      <c r="C310" s="36">
        <v>4301041008</v>
      </c>
      <c r="D310" s="641">
        <v>4680115886681</v>
      </c>
      <c r="E310" s="64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334</v>
      </c>
      <c r="L310" s="37" t="s">
        <v>46</v>
      </c>
      <c r="M310" s="38" t="s">
        <v>276</v>
      </c>
      <c r="N310" s="38"/>
      <c r="O310" s="37">
        <v>90</v>
      </c>
      <c r="P31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43"/>
      <c r="R310" s="643"/>
      <c r="S310" s="643"/>
      <c r="T310" s="64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524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527</v>
      </c>
      <c r="B311" s="63" t="s">
        <v>528</v>
      </c>
      <c r="C311" s="36">
        <v>4301041007</v>
      </c>
      <c r="D311" s="641">
        <v>4680115886735</v>
      </c>
      <c r="E311" s="64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334</v>
      </c>
      <c r="L311" s="37" t="s">
        <v>46</v>
      </c>
      <c r="M311" s="38" t="s">
        <v>276</v>
      </c>
      <c r="N311" s="38"/>
      <c r="O311" s="37">
        <v>90</v>
      </c>
      <c r="P311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43"/>
      <c r="R311" s="643"/>
      <c r="S311" s="643"/>
      <c r="T311" s="64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524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35"/>
      <c r="B312" s="635"/>
      <c r="C312" s="635"/>
      <c r="D312" s="635"/>
      <c r="E312" s="635"/>
      <c r="F312" s="635"/>
      <c r="G312" s="635"/>
      <c r="H312" s="635"/>
      <c r="I312" s="635"/>
      <c r="J312" s="635"/>
      <c r="K312" s="635"/>
      <c r="L312" s="635"/>
      <c r="M312" s="635"/>
      <c r="N312" s="635"/>
      <c r="O312" s="636"/>
      <c r="P312" s="632" t="s">
        <v>40</v>
      </c>
      <c r="Q312" s="633"/>
      <c r="R312" s="633"/>
      <c r="S312" s="633"/>
      <c r="T312" s="633"/>
      <c r="U312" s="633"/>
      <c r="V312" s="63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35"/>
      <c r="B313" s="635"/>
      <c r="C313" s="635"/>
      <c r="D313" s="635"/>
      <c r="E313" s="635"/>
      <c r="F313" s="635"/>
      <c r="G313" s="635"/>
      <c r="H313" s="635"/>
      <c r="I313" s="635"/>
      <c r="J313" s="635"/>
      <c r="K313" s="635"/>
      <c r="L313" s="635"/>
      <c r="M313" s="635"/>
      <c r="N313" s="635"/>
      <c r="O313" s="636"/>
      <c r="P313" s="632" t="s">
        <v>40</v>
      </c>
      <c r="Q313" s="633"/>
      <c r="R313" s="633"/>
      <c r="S313" s="633"/>
      <c r="T313" s="633"/>
      <c r="U313" s="633"/>
      <c r="V313" s="63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45" t="s">
        <v>529</v>
      </c>
      <c r="B314" s="645"/>
      <c r="C314" s="645"/>
      <c r="D314" s="645"/>
      <c r="E314" s="645"/>
      <c r="F314" s="645"/>
      <c r="G314" s="645"/>
      <c r="H314" s="645"/>
      <c r="I314" s="645"/>
      <c r="J314" s="645"/>
      <c r="K314" s="645"/>
      <c r="L314" s="645"/>
      <c r="M314" s="645"/>
      <c r="N314" s="645"/>
      <c r="O314" s="645"/>
      <c r="P314" s="645"/>
      <c r="Q314" s="645"/>
      <c r="R314" s="645"/>
      <c r="S314" s="645"/>
      <c r="T314" s="645"/>
      <c r="U314" s="645"/>
      <c r="V314" s="645"/>
      <c r="W314" s="645"/>
      <c r="X314" s="645"/>
      <c r="Y314" s="645"/>
      <c r="Z314" s="645"/>
      <c r="AA314" s="65"/>
      <c r="AB314" s="65"/>
      <c r="AC314" s="79"/>
    </row>
    <row r="315" spans="1:68" ht="14.25" customHeight="1" x14ac:dyDescent="0.25">
      <c r="A315" s="646" t="s">
        <v>125</v>
      </c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46"/>
      <c r="P315" s="646"/>
      <c r="Q315" s="646"/>
      <c r="R315" s="646"/>
      <c r="S315" s="646"/>
      <c r="T315" s="646"/>
      <c r="U315" s="646"/>
      <c r="V315" s="646"/>
      <c r="W315" s="646"/>
      <c r="X315" s="646"/>
      <c r="Y315" s="646"/>
      <c r="Z315" s="646"/>
      <c r="AA315" s="66"/>
      <c r="AB315" s="66"/>
      <c r="AC315" s="80"/>
    </row>
    <row r="316" spans="1:68" ht="27" customHeight="1" x14ac:dyDescent="0.25">
      <c r="A316" s="63" t="s">
        <v>530</v>
      </c>
      <c r="B316" s="63" t="s">
        <v>531</v>
      </c>
      <c r="C316" s="36">
        <v>4301011855</v>
      </c>
      <c r="D316" s="641">
        <v>4680115885837</v>
      </c>
      <c r="E316" s="64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130</v>
      </c>
      <c r="L316" s="37" t="s">
        <v>46</v>
      </c>
      <c r="M316" s="38" t="s">
        <v>129</v>
      </c>
      <c r="N316" s="38"/>
      <c r="O316" s="37">
        <v>55</v>
      </c>
      <c r="P316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43"/>
      <c r="R316" s="643"/>
      <c r="S316" s="643"/>
      <c r="T316" s="64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532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533</v>
      </c>
      <c r="B317" s="63" t="s">
        <v>534</v>
      </c>
      <c r="C317" s="36">
        <v>4301012234</v>
      </c>
      <c r="D317" s="641">
        <v>4680115887237</v>
      </c>
      <c r="E317" s="64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130</v>
      </c>
      <c r="L317" s="37" t="s">
        <v>46</v>
      </c>
      <c r="M317" s="38" t="s">
        <v>129</v>
      </c>
      <c r="N317" s="38"/>
      <c r="O317" s="37">
        <v>55</v>
      </c>
      <c r="P317" s="7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43"/>
      <c r="R317" s="643"/>
      <c r="S317" s="643"/>
      <c r="T317" s="64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535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536</v>
      </c>
      <c r="B318" s="63" t="s">
        <v>537</v>
      </c>
      <c r="C318" s="36">
        <v>4301011850</v>
      </c>
      <c r="D318" s="641">
        <v>4680115885806</v>
      </c>
      <c r="E318" s="64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130</v>
      </c>
      <c r="L318" s="37" t="s">
        <v>46</v>
      </c>
      <c r="M318" s="38" t="s">
        <v>129</v>
      </c>
      <c r="N318" s="38"/>
      <c r="O318" s="37">
        <v>55</v>
      </c>
      <c r="P318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43"/>
      <c r="R318" s="643"/>
      <c r="S318" s="643"/>
      <c r="T318" s="64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538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539</v>
      </c>
      <c r="B319" s="63" t="s">
        <v>540</v>
      </c>
      <c r="C319" s="36">
        <v>4301011852</v>
      </c>
      <c r="D319" s="641">
        <v>4680115885844</v>
      </c>
      <c r="E319" s="64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137</v>
      </c>
      <c r="L319" s="37" t="s">
        <v>46</v>
      </c>
      <c r="M319" s="38" t="s">
        <v>129</v>
      </c>
      <c r="N319" s="38"/>
      <c r="O319" s="37">
        <v>55</v>
      </c>
      <c r="P319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43"/>
      <c r="R319" s="643"/>
      <c r="S319" s="643"/>
      <c r="T319" s="64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541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542</v>
      </c>
      <c r="B320" s="63" t="s">
        <v>543</v>
      </c>
      <c r="C320" s="36">
        <v>4301011851</v>
      </c>
      <c r="D320" s="641">
        <v>4680115885820</v>
      </c>
      <c r="E320" s="64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137</v>
      </c>
      <c r="L320" s="37" t="s">
        <v>46</v>
      </c>
      <c r="M320" s="38" t="s">
        <v>129</v>
      </c>
      <c r="N320" s="38"/>
      <c r="O320" s="37">
        <v>55</v>
      </c>
      <c r="P320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43"/>
      <c r="R320" s="643"/>
      <c r="S320" s="643"/>
      <c r="T320" s="64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544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35"/>
      <c r="B321" s="635"/>
      <c r="C321" s="635"/>
      <c r="D321" s="635"/>
      <c r="E321" s="635"/>
      <c r="F321" s="635"/>
      <c r="G321" s="635"/>
      <c r="H321" s="635"/>
      <c r="I321" s="635"/>
      <c r="J321" s="635"/>
      <c r="K321" s="635"/>
      <c r="L321" s="635"/>
      <c r="M321" s="635"/>
      <c r="N321" s="635"/>
      <c r="O321" s="636"/>
      <c r="P321" s="632" t="s">
        <v>40</v>
      </c>
      <c r="Q321" s="633"/>
      <c r="R321" s="633"/>
      <c r="S321" s="633"/>
      <c r="T321" s="633"/>
      <c r="U321" s="633"/>
      <c r="V321" s="63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35"/>
      <c r="B322" s="635"/>
      <c r="C322" s="635"/>
      <c r="D322" s="635"/>
      <c r="E322" s="635"/>
      <c r="F322" s="635"/>
      <c r="G322" s="635"/>
      <c r="H322" s="635"/>
      <c r="I322" s="635"/>
      <c r="J322" s="635"/>
      <c r="K322" s="635"/>
      <c r="L322" s="635"/>
      <c r="M322" s="635"/>
      <c r="N322" s="635"/>
      <c r="O322" s="636"/>
      <c r="P322" s="632" t="s">
        <v>40</v>
      </c>
      <c r="Q322" s="633"/>
      <c r="R322" s="633"/>
      <c r="S322" s="633"/>
      <c r="T322" s="633"/>
      <c r="U322" s="633"/>
      <c r="V322" s="63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45" t="s">
        <v>545</v>
      </c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5"/>
      <c r="P323" s="645"/>
      <c r="Q323" s="645"/>
      <c r="R323" s="645"/>
      <c r="S323" s="645"/>
      <c r="T323" s="645"/>
      <c r="U323" s="645"/>
      <c r="V323" s="645"/>
      <c r="W323" s="645"/>
      <c r="X323" s="645"/>
      <c r="Y323" s="645"/>
      <c r="Z323" s="645"/>
      <c r="AA323" s="65"/>
      <c r="AB323" s="65"/>
      <c r="AC323" s="79"/>
    </row>
    <row r="324" spans="1:68" ht="14.25" customHeight="1" x14ac:dyDescent="0.25">
      <c r="A324" s="646" t="s">
        <v>86</v>
      </c>
      <c r="B324" s="646"/>
      <c r="C324" s="646"/>
      <c r="D324" s="646"/>
      <c r="E324" s="646"/>
      <c r="F324" s="646"/>
      <c r="G324" s="646"/>
      <c r="H324" s="646"/>
      <c r="I324" s="646"/>
      <c r="J324" s="646"/>
      <c r="K324" s="646"/>
      <c r="L324" s="646"/>
      <c r="M324" s="646"/>
      <c r="N324" s="646"/>
      <c r="O324" s="646"/>
      <c r="P324" s="646"/>
      <c r="Q324" s="646"/>
      <c r="R324" s="646"/>
      <c r="S324" s="646"/>
      <c r="T324" s="646"/>
      <c r="U324" s="646"/>
      <c r="V324" s="646"/>
      <c r="W324" s="646"/>
      <c r="X324" s="646"/>
      <c r="Y324" s="646"/>
      <c r="Z324" s="646"/>
      <c r="AA324" s="66"/>
      <c r="AB324" s="66"/>
      <c r="AC324" s="80"/>
    </row>
    <row r="325" spans="1:68" ht="27" customHeight="1" x14ac:dyDescent="0.25">
      <c r="A325" s="63" t="s">
        <v>546</v>
      </c>
      <c r="B325" s="63" t="s">
        <v>547</v>
      </c>
      <c r="C325" s="36">
        <v>4301051893</v>
      </c>
      <c r="D325" s="641">
        <v>4680115886186</v>
      </c>
      <c r="E325" s="64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43"/>
      <c r="R325" s="643"/>
      <c r="S325" s="643"/>
      <c r="T325" s="64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548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549</v>
      </c>
      <c r="B326" s="63" t="s">
        <v>550</v>
      </c>
      <c r="C326" s="36">
        <v>4301051795</v>
      </c>
      <c r="D326" s="641">
        <v>4680115881228</v>
      </c>
      <c r="E326" s="64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43"/>
      <c r="R326" s="643"/>
      <c r="S326" s="643"/>
      <c r="T326" s="64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551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552</v>
      </c>
      <c r="B327" s="63" t="s">
        <v>553</v>
      </c>
      <c r="C327" s="36">
        <v>4301051388</v>
      </c>
      <c r="D327" s="641">
        <v>4680115881211</v>
      </c>
      <c r="E327" s="64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43"/>
      <c r="R327" s="643"/>
      <c r="S327" s="643"/>
      <c r="T327" s="64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548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35"/>
      <c r="B328" s="635"/>
      <c r="C328" s="635"/>
      <c r="D328" s="635"/>
      <c r="E328" s="635"/>
      <c r="F328" s="635"/>
      <c r="G328" s="635"/>
      <c r="H328" s="635"/>
      <c r="I328" s="635"/>
      <c r="J328" s="635"/>
      <c r="K328" s="635"/>
      <c r="L328" s="635"/>
      <c r="M328" s="635"/>
      <c r="N328" s="635"/>
      <c r="O328" s="636"/>
      <c r="P328" s="632" t="s">
        <v>40</v>
      </c>
      <c r="Q328" s="633"/>
      <c r="R328" s="633"/>
      <c r="S328" s="633"/>
      <c r="T328" s="633"/>
      <c r="U328" s="633"/>
      <c r="V328" s="63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35"/>
      <c r="B329" s="635"/>
      <c r="C329" s="635"/>
      <c r="D329" s="635"/>
      <c r="E329" s="635"/>
      <c r="F329" s="635"/>
      <c r="G329" s="635"/>
      <c r="H329" s="635"/>
      <c r="I329" s="635"/>
      <c r="J329" s="635"/>
      <c r="K329" s="635"/>
      <c r="L329" s="635"/>
      <c r="M329" s="635"/>
      <c r="N329" s="635"/>
      <c r="O329" s="636"/>
      <c r="P329" s="632" t="s">
        <v>40</v>
      </c>
      <c r="Q329" s="633"/>
      <c r="R329" s="633"/>
      <c r="S329" s="633"/>
      <c r="T329" s="633"/>
      <c r="U329" s="633"/>
      <c r="V329" s="63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45" t="s">
        <v>554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5"/>
      <c r="AB330" s="65"/>
      <c r="AC330" s="79"/>
    </row>
    <row r="331" spans="1:68" ht="14.25" customHeight="1" x14ac:dyDescent="0.25">
      <c r="A331" s="646" t="s">
        <v>77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6"/>
      <c r="AB331" s="66"/>
      <c r="AC331" s="80"/>
    </row>
    <row r="332" spans="1:68" ht="27" customHeight="1" x14ac:dyDescent="0.25">
      <c r="A332" s="63" t="s">
        <v>555</v>
      </c>
      <c r="B332" s="63" t="s">
        <v>556</v>
      </c>
      <c r="C332" s="36">
        <v>4301031445</v>
      </c>
      <c r="D332" s="641">
        <v>4680115888319</v>
      </c>
      <c r="E332" s="64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43"/>
      <c r="R332" s="643"/>
      <c r="S332" s="643"/>
      <c r="T332" s="64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557</v>
      </c>
      <c r="B333" s="63" t="s">
        <v>558</v>
      </c>
      <c r="C333" s="36">
        <v>4301031502</v>
      </c>
      <c r="D333" s="641">
        <v>4680115884700</v>
      </c>
      <c r="E333" s="64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4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43"/>
      <c r="R333" s="643"/>
      <c r="S333" s="643"/>
      <c r="T333" s="64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559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560</v>
      </c>
      <c r="B334" s="63" t="s">
        <v>561</v>
      </c>
      <c r="C334" s="36">
        <v>4301031307</v>
      </c>
      <c r="D334" s="641">
        <v>4680115880344</v>
      </c>
      <c r="E334" s="64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43"/>
      <c r="R334" s="643"/>
      <c r="S334" s="643"/>
      <c r="T334" s="64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562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563</v>
      </c>
      <c r="B335" s="63" t="s">
        <v>564</v>
      </c>
      <c r="C335" s="36">
        <v>4301031501</v>
      </c>
      <c r="D335" s="641">
        <v>4680115886919</v>
      </c>
      <c r="E335" s="64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5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43"/>
      <c r="R335" s="643"/>
      <c r="S335" s="643"/>
      <c r="T335" s="64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565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566</v>
      </c>
      <c r="B336" s="63" t="s">
        <v>567</v>
      </c>
      <c r="C336" s="36">
        <v>4301031246</v>
      </c>
      <c r="D336" s="641">
        <v>4680115883970</v>
      </c>
      <c r="E336" s="64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4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43"/>
      <c r="R336" s="643"/>
      <c r="S336" s="643"/>
      <c r="T336" s="64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568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35"/>
      <c r="B337" s="635"/>
      <c r="C337" s="635"/>
      <c r="D337" s="635"/>
      <c r="E337" s="635"/>
      <c r="F337" s="635"/>
      <c r="G337" s="635"/>
      <c r="H337" s="635"/>
      <c r="I337" s="635"/>
      <c r="J337" s="635"/>
      <c r="K337" s="635"/>
      <c r="L337" s="635"/>
      <c r="M337" s="635"/>
      <c r="N337" s="635"/>
      <c r="O337" s="636"/>
      <c r="P337" s="632" t="s">
        <v>40</v>
      </c>
      <c r="Q337" s="633"/>
      <c r="R337" s="633"/>
      <c r="S337" s="633"/>
      <c r="T337" s="633"/>
      <c r="U337" s="633"/>
      <c r="V337" s="63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35"/>
      <c r="B338" s="635"/>
      <c r="C338" s="635"/>
      <c r="D338" s="635"/>
      <c r="E338" s="635"/>
      <c r="F338" s="635"/>
      <c r="G338" s="635"/>
      <c r="H338" s="635"/>
      <c r="I338" s="635"/>
      <c r="J338" s="635"/>
      <c r="K338" s="635"/>
      <c r="L338" s="635"/>
      <c r="M338" s="635"/>
      <c r="N338" s="635"/>
      <c r="O338" s="636"/>
      <c r="P338" s="632" t="s">
        <v>40</v>
      </c>
      <c r="Q338" s="633"/>
      <c r="R338" s="633"/>
      <c r="S338" s="633"/>
      <c r="T338" s="633"/>
      <c r="U338" s="633"/>
      <c r="V338" s="63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46" t="s">
        <v>86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4301051782</v>
      </c>
      <c r="D340" s="641">
        <v>4680115884618</v>
      </c>
      <c r="E340" s="64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137</v>
      </c>
      <c r="L340" s="37" t="s">
        <v>46</v>
      </c>
      <c r="M340" s="38" t="s">
        <v>90</v>
      </c>
      <c r="N340" s="38"/>
      <c r="O340" s="37">
        <v>45</v>
      </c>
      <c r="P340" s="74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43"/>
      <c r="R340" s="643"/>
      <c r="S340" s="643"/>
      <c r="T340" s="64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571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572</v>
      </c>
      <c r="B341" s="63" t="s">
        <v>573</v>
      </c>
      <c r="C341" s="36">
        <v>4301052057</v>
      </c>
      <c r="D341" s="641">
        <v>4680115887114</v>
      </c>
      <c r="E341" s="64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137</v>
      </c>
      <c r="L341" s="37" t="s">
        <v>46</v>
      </c>
      <c r="M341" s="38" t="s">
        <v>90</v>
      </c>
      <c r="N341" s="38"/>
      <c r="O341" s="37">
        <v>45</v>
      </c>
      <c r="P341" s="74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43"/>
      <c r="R341" s="643"/>
      <c r="S341" s="643"/>
      <c r="T341" s="64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574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35"/>
      <c r="B342" s="635"/>
      <c r="C342" s="635"/>
      <c r="D342" s="635"/>
      <c r="E342" s="635"/>
      <c r="F342" s="635"/>
      <c r="G342" s="635"/>
      <c r="H342" s="635"/>
      <c r="I342" s="635"/>
      <c r="J342" s="635"/>
      <c r="K342" s="635"/>
      <c r="L342" s="635"/>
      <c r="M342" s="635"/>
      <c r="N342" s="635"/>
      <c r="O342" s="636"/>
      <c r="P342" s="632" t="s">
        <v>40</v>
      </c>
      <c r="Q342" s="633"/>
      <c r="R342" s="633"/>
      <c r="S342" s="633"/>
      <c r="T342" s="633"/>
      <c r="U342" s="633"/>
      <c r="V342" s="63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35"/>
      <c r="B343" s="635"/>
      <c r="C343" s="635"/>
      <c r="D343" s="635"/>
      <c r="E343" s="635"/>
      <c r="F343" s="635"/>
      <c r="G343" s="635"/>
      <c r="H343" s="635"/>
      <c r="I343" s="635"/>
      <c r="J343" s="635"/>
      <c r="K343" s="635"/>
      <c r="L343" s="635"/>
      <c r="M343" s="635"/>
      <c r="N343" s="635"/>
      <c r="O343" s="636"/>
      <c r="P343" s="632" t="s">
        <v>40</v>
      </c>
      <c r="Q343" s="633"/>
      <c r="R343" s="633"/>
      <c r="S343" s="633"/>
      <c r="T343" s="633"/>
      <c r="U343" s="633"/>
      <c r="V343" s="63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45" t="s">
        <v>575</v>
      </c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5"/>
      <c r="P344" s="645"/>
      <c r="Q344" s="645"/>
      <c r="R344" s="645"/>
      <c r="S344" s="645"/>
      <c r="T344" s="645"/>
      <c r="U344" s="645"/>
      <c r="V344" s="645"/>
      <c r="W344" s="645"/>
      <c r="X344" s="645"/>
      <c r="Y344" s="645"/>
      <c r="Z344" s="645"/>
      <c r="AA344" s="65"/>
      <c r="AB344" s="65"/>
      <c r="AC344" s="79"/>
    </row>
    <row r="345" spans="1:68" ht="14.25" customHeight="1" x14ac:dyDescent="0.25">
      <c r="A345" s="646" t="s">
        <v>125</v>
      </c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46"/>
      <c r="P345" s="646"/>
      <c r="Q345" s="646"/>
      <c r="R345" s="646"/>
      <c r="S345" s="646"/>
      <c r="T345" s="646"/>
      <c r="U345" s="646"/>
      <c r="V345" s="646"/>
      <c r="W345" s="646"/>
      <c r="X345" s="646"/>
      <c r="Y345" s="646"/>
      <c r="Z345" s="646"/>
      <c r="AA345" s="66"/>
      <c r="AB345" s="66"/>
      <c r="AC345" s="80"/>
    </row>
    <row r="346" spans="1:68" ht="27" customHeight="1" x14ac:dyDescent="0.25">
      <c r="A346" s="63" t="s">
        <v>576</v>
      </c>
      <c r="B346" s="63" t="s">
        <v>577</v>
      </c>
      <c r="C346" s="36">
        <v>4301012324</v>
      </c>
      <c r="D346" s="641">
        <v>4680115887947</v>
      </c>
      <c r="E346" s="64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130</v>
      </c>
      <c r="L346" s="37" t="s">
        <v>46</v>
      </c>
      <c r="M346" s="38" t="s">
        <v>90</v>
      </c>
      <c r="N346" s="38"/>
      <c r="O346" s="37">
        <v>60</v>
      </c>
      <c r="P346" s="74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43"/>
      <c r="R346" s="643"/>
      <c r="S346" s="643"/>
      <c r="T346" s="64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348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578</v>
      </c>
      <c r="B347" s="63" t="s">
        <v>579</v>
      </c>
      <c r="C347" s="36">
        <v>4301012325</v>
      </c>
      <c r="D347" s="641">
        <v>4680115887978</v>
      </c>
      <c r="E347" s="64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130</v>
      </c>
      <c r="L347" s="37" t="s">
        <v>46</v>
      </c>
      <c r="M347" s="38" t="s">
        <v>90</v>
      </c>
      <c r="N347" s="38"/>
      <c r="O347" s="37">
        <v>60</v>
      </c>
      <c r="P347" s="7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43"/>
      <c r="R347" s="643"/>
      <c r="S347" s="643"/>
      <c r="T347" s="64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580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581</v>
      </c>
      <c r="B348" s="63" t="s">
        <v>582</v>
      </c>
      <c r="C348" s="36">
        <v>4301012327</v>
      </c>
      <c r="D348" s="641">
        <v>4680115887992</v>
      </c>
      <c r="E348" s="64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130</v>
      </c>
      <c r="L348" s="37" t="s">
        <v>46</v>
      </c>
      <c r="M348" s="38" t="s">
        <v>90</v>
      </c>
      <c r="N348" s="38"/>
      <c r="O348" s="37">
        <v>60</v>
      </c>
      <c r="P348" s="7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43"/>
      <c r="R348" s="643"/>
      <c r="S348" s="643"/>
      <c r="T348" s="64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583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35"/>
      <c r="B349" s="635"/>
      <c r="C349" s="635"/>
      <c r="D349" s="635"/>
      <c r="E349" s="635"/>
      <c r="F349" s="635"/>
      <c r="G349" s="635"/>
      <c r="H349" s="635"/>
      <c r="I349" s="635"/>
      <c r="J349" s="635"/>
      <c r="K349" s="635"/>
      <c r="L349" s="635"/>
      <c r="M349" s="635"/>
      <c r="N349" s="635"/>
      <c r="O349" s="636"/>
      <c r="P349" s="632" t="s">
        <v>40</v>
      </c>
      <c r="Q349" s="633"/>
      <c r="R349" s="633"/>
      <c r="S349" s="633"/>
      <c r="T349" s="633"/>
      <c r="U349" s="633"/>
      <c r="V349" s="63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35"/>
      <c r="B350" s="635"/>
      <c r="C350" s="635"/>
      <c r="D350" s="635"/>
      <c r="E350" s="635"/>
      <c r="F350" s="635"/>
      <c r="G350" s="635"/>
      <c r="H350" s="635"/>
      <c r="I350" s="635"/>
      <c r="J350" s="635"/>
      <c r="K350" s="635"/>
      <c r="L350" s="635"/>
      <c r="M350" s="635"/>
      <c r="N350" s="635"/>
      <c r="O350" s="636"/>
      <c r="P350" s="632" t="s">
        <v>40</v>
      </c>
      <c r="Q350" s="633"/>
      <c r="R350" s="633"/>
      <c r="S350" s="633"/>
      <c r="T350" s="633"/>
      <c r="U350" s="633"/>
      <c r="V350" s="63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45" t="s">
        <v>584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5"/>
      <c r="AB351" s="65"/>
      <c r="AC351" s="79"/>
    </row>
    <row r="352" spans="1:68" ht="14.25" customHeight="1" x14ac:dyDescent="0.25">
      <c r="A352" s="646" t="s">
        <v>125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6"/>
      <c r="AB352" s="66"/>
      <c r="AC352" s="80"/>
    </row>
    <row r="353" spans="1:68" ht="27" customHeight="1" x14ac:dyDescent="0.25">
      <c r="A353" s="63" t="s">
        <v>585</v>
      </c>
      <c r="B353" s="63" t="s">
        <v>586</v>
      </c>
      <c r="C353" s="36">
        <v>4301012126</v>
      </c>
      <c r="D353" s="641">
        <v>4607091386004</v>
      </c>
      <c r="E353" s="64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130</v>
      </c>
      <c r="L353" s="37" t="s">
        <v>46</v>
      </c>
      <c r="M353" s="38" t="s">
        <v>129</v>
      </c>
      <c r="N353" s="38"/>
      <c r="O353" s="37">
        <v>55</v>
      </c>
      <c r="P353" s="74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43"/>
      <c r="R353" s="643"/>
      <c r="S353" s="643"/>
      <c r="T353" s="64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54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587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5">IFERROR(X353*I353/H353,"0")</f>
        <v>0</v>
      </c>
      <c r="BN353" s="78">
        <f t="shared" ref="BN353:BN358" si="56">IFERROR(Y353*I353/H353,"0")</f>
        <v>0</v>
      </c>
      <c r="BO353" s="78">
        <f t="shared" ref="BO353:BO358" si="57">IFERROR(1/J353*(X353/H353),"0")</f>
        <v>0</v>
      </c>
      <c r="BP353" s="78">
        <f t="shared" ref="BP353:BP358" si="58">IFERROR(1/J353*(Y353/H353),"0")</f>
        <v>0</v>
      </c>
    </row>
    <row r="354" spans="1:68" ht="27" customHeight="1" x14ac:dyDescent="0.25">
      <c r="A354" s="63" t="s">
        <v>588</v>
      </c>
      <c r="B354" s="63" t="s">
        <v>589</v>
      </c>
      <c r="C354" s="36">
        <v>4301012235</v>
      </c>
      <c r="D354" s="641">
        <v>4680115887190</v>
      </c>
      <c r="E354" s="64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130</v>
      </c>
      <c r="L354" s="37" t="s">
        <v>46</v>
      </c>
      <c r="M354" s="38" t="s">
        <v>129</v>
      </c>
      <c r="N354" s="38"/>
      <c r="O354" s="37">
        <v>55</v>
      </c>
      <c r="P354" s="7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43"/>
      <c r="R354" s="643"/>
      <c r="S354" s="643"/>
      <c r="T354" s="64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4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590</v>
      </c>
      <c r="AG354" s="78"/>
      <c r="AJ354" s="84" t="s">
        <v>46</v>
      </c>
      <c r="AK354" s="84">
        <v>0</v>
      </c>
      <c r="BB354" s="441" t="s">
        <v>67</v>
      </c>
      <c r="BM354" s="78">
        <f t="shared" si="55"/>
        <v>0</v>
      </c>
      <c r="BN354" s="78">
        <f t="shared" si="56"/>
        <v>0</v>
      </c>
      <c r="BO354" s="78">
        <f t="shared" si="57"/>
        <v>0</v>
      </c>
      <c r="BP354" s="78">
        <f t="shared" si="58"/>
        <v>0</v>
      </c>
    </row>
    <row r="355" spans="1:68" ht="37.5" customHeight="1" x14ac:dyDescent="0.25">
      <c r="A355" s="63" t="s">
        <v>591</v>
      </c>
      <c r="B355" s="63" t="s">
        <v>592</v>
      </c>
      <c r="C355" s="36">
        <v>4301012233</v>
      </c>
      <c r="D355" s="641">
        <v>4680115887138</v>
      </c>
      <c r="E355" s="64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130</v>
      </c>
      <c r="L355" s="37" t="s">
        <v>46</v>
      </c>
      <c r="M355" s="38" t="s">
        <v>129</v>
      </c>
      <c r="N355" s="38"/>
      <c r="O355" s="37">
        <v>55</v>
      </c>
      <c r="P355" s="7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43"/>
      <c r="R355" s="643"/>
      <c r="S355" s="643"/>
      <c r="T355" s="64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4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593</v>
      </c>
      <c r="AG355" s="78"/>
      <c r="AJ355" s="84" t="s">
        <v>46</v>
      </c>
      <c r="AK355" s="84">
        <v>0</v>
      </c>
      <c r="BB355" s="443" t="s">
        <v>67</v>
      </c>
      <c r="BM355" s="78">
        <f t="shared" si="55"/>
        <v>0</v>
      </c>
      <c r="BN355" s="78">
        <f t="shared" si="56"/>
        <v>0</v>
      </c>
      <c r="BO355" s="78">
        <f t="shared" si="57"/>
        <v>0</v>
      </c>
      <c r="BP355" s="78">
        <f t="shared" si="58"/>
        <v>0</v>
      </c>
    </row>
    <row r="356" spans="1:68" ht="27" customHeight="1" x14ac:dyDescent="0.25">
      <c r="A356" s="63" t="s">
        <v>594</v>
      </c>
      <c r="B356" s="63" t="s">
        <v>595</v>
      </c>
      <c r="C356" s="36">
        <v>4301012016</v>
      </c>
      <c r="D356" s="641">
        <v>4680115885554</v>
      </c>
      <c r="E356" s="64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130</v>
      </c>
      <c r="L356" s="37" t="s">
        <v>46</v>
      </c>
      <c r="M356" s="38" t="s">
        <v>90</v>
      </c>
      <c r="N356" s="38"/>
      <c r="O356" s="37">
        <v>55</v>
      </c>
      <c r="P356" s="7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43"/>
      <c r="R356" s="643"/>
      <c r="S356" s="643"/>
      <c r="T356" s="64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4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596</v>
      </c>
      <c r="AG356" s="78"/>
      <c r="AJ356" s="84" t="s">
        <v>46</v>
      </c>
      <c r="AK356" s="84">
        <v>0</v>
      </c>
      <c r="BB356" s="445" t="s">
        <v>67</v>
      </c>
      <c r="BM356" s="78">
        <f t="shared" si="55"/>
        <v>0</v>
      </c>
      <c r="BN356" s="78">
        <f t="shared" si="56"/>
        <v>0</v>
      </c>
      <c r="BO356" s="78">
        <f t="shared" si="57"/>
        <v>0</v>
      </c>
      <c r="BP356" s="78">
        <f t="shared" si="58"/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4301012236</v>
      </c>
      <c r="D357" s="641">
        <v>4680115887220</v>
      </c>
      <c r="E357" s="64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137</v>
      </c>
      <c r="L357" s="37" t="s">
        <v>46</v>
      </c>
      <c r="M357" s="38" t="s">
        <v>129</v>
      </c>
      <c r="N357" s="38"/>
      <c r="O357" s="37">
        <v>55</v>
      </c>
      <c r="P357" s="7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43"/>
      <c r="R357" s="643"/>
      <c r="S357" s="643"/>
      <c r="T357" s="64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4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590</v>
      </c>
      <c r="AG357" s="78"/>
      <c r="AJ357" s="84" t="s">
        <v>46</v>
      </c>
      <c r="AK357" s="84">
        <v>0</v>
      </c>
      <c r="BB357" s="447" t="s">
        <v>67</v>
      </c>
      <c r="BM357" s="78">
        <f t="shared" si="55"/>
        <v>0</v>
      </c>
      <c r="BN357" s="78">
        <f t="shared" si="56"/>
        <v>0</v>
      </c>
      <c r="BO357" s="78">
        <f t="shared" si="57"/>
        <v>0</v>
      </c>
      <c r="BP357" s="78">
        <f t="shared" si="58"/>
        <v>0</v>
      </c>
    </row>
    <row r="358" spans="1:68" ht="27" customHeight="1" x14ac:dyDescent="0.25">
      <c r="A358" s="63" t="s">
        <v>599</v>
      </c>
      <c r="B358" s="63" t="s">
        <v>600</v>
      </c>
      <c r="C358" s="36">
        <v>4301011859</v>
      </c>
      <c r="D358" s="641">
        <v>4680115885608</v>
      </c>
      <c r="E358" s="64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137</v>
      </c>
      <c r="L358" s="37" t="s">
        <v>46</v>
      </c>
      <c r="M358" s="38" t="s">
        <v>129</v>
      </c>
      <c r="N358" s="38"/>
      <c r="O358" s="37">
        <v>55</v>
      </c>
      <c r="P358" s="7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43"/>
      <c r="R358" s="643"/>
      <c r="S358" s="643"/>
      <c r="T358" s="64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4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601</v>
      </c>
      <c r="AG358" s="78"/>
      <c r="AJ358" s="84" t="s">
        <v>46</v>
      </c>
      <c r="AK358" s="84">
        <v>0</v>
      </c>
      <c r="BB358" s="449" t="s">
        <v>67</v>
      </c>
      <c r="BM358" s="78">
        <f t="shared" si="55"/>
        <v>0</v>
      </c>
      <c r="BN358" s="78">
        <f t="shared" si="56"/>
        <v>0</v>
      </c>
      <c r="BO358" s="78">
        <f t="shared" si="57"/>
        <v>0</v>
      </c>
      <c r="BP358" s="78">
        <f t="shared" si="58"/>
        <v>0</v>
      </c>
    </row>
    <row r="359" spans="1:68" x14ac:dyDescent="0.2">
      <c r="A359" s="635"/>
      <c r="B359" s="635"/>
      <c r="C359" s="635"/>
      <c r="D359" s="635"/>
      <c r="E359" s="635"/>
      <c r="F359" s="635"/>
      <c r="G359" s="635"/>
      <c r="H359" s="635"/>
      <c r="I359" s="635"/>
      <c r="J359" s="635"/>
      <c r="K359" s="635"/>
      <c r="L359" s="635"/>
      <c r="M359" s="635"/>
      <c r="N359" s="635"/>
      <c r="O359" s="636"/>
      <c r="P359" s="632" t="s">
        <v>40</v>
      </c>
      <c r="Q359" s="633"/>
      <c r="R359" s="633"/>
      <c r="S359" s="633"/>
      <c r="T359" s="633"/>
      <c r="U359" s="633"/>
      <c r="V359" s="63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35"/>
      <c r="B360" s="635"/>
      <c r="C360" s="635"/>
      <c r="D360" s="635"/>
      <c r="E360" s="635"/>
      <c r="F360" s="635"/>
      <c r="G360" s="635"/>
      <c r="H360" s="635"/>
      <c r="I360" s="635"/>
      <c r="J360" s="635"/>
      <c r="K360" s="635"/>
      <c r="L360" s="635"/>
      <c r="M360" s="635"/>
      <c r="N360" s="635"/>
      <c r="O360" s="636"/>
      <c r="P360" s="632" t="s">
        <v>40</v>
      </c>
      <c r="Q360" s="633"/>
      <c r="R360" s="633"/>
      <c r="S360" s="633"/>
      <c r="T360" s="633"/>
      <c r="U360" s="633"/>
      <c r="V360" s="63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 x14ac:dyDescent="0.25">
      <c r="A361" s="646" t="s">
        <v>77</v>
      </c>
      <c r="B361" s="646"/>
      <c r="C361" s="646"/>
      <c r="D361" s="646"/>
      <c r="E361" s="646"/>
      <c r="F361" s="646"/>
      <c r="G361" s="646"/>
      <c r="H361" s="646"/>
      <c r="I361" s="646"/>
      <c r="J361" s="646"/>
      <c r="K361" s="646"/>
      <c r="L361" s="646"/>
      <c r="M361" s="646"/>
      <c r="N361" s="646"/>
      <c r="O361" s="646"/>
      <c r="P361" s="646"/>
      <c r="Q361" s="646"/>
      <c r="R361" s="646"/>
      <c r="S361" s="646"/>
      <c r="T361" s="646"/>
      <c r="U361" s="646"/>
      <c r="V361" s="646"/>
      <c r="W361" s="646"/>
      <c r="X361" s="646"/>
      <c r="Y361" s="646"/>
      <c r="Z361" s="646"/>
      <c r="AA361" s="66"/>
      <c r="AB361" s="66"/>
      <c r="AC361" s="80"/>
    </row>
    <row r="362" spans="1:68" ht="27" customHeight="1" x14ac:dyDescent="0.25">
      <c r="A362" s="63" t="s">
        <v>602</v>
      </c>
      <c r="B362" s="63" t="s">
        <v>603</v>
      </c>
      <c r="C362" s="36">
        <v>4301030878</v>
      </c>
      <c r="D362" s="641">
        <v>4607091387193</v>
      </c>
      <c r="E362" s="64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137</v>
      </c>
      <c r="L362" s="37" t="s">
        <v>46</v>
      </c>
      <c r="M362" s="38" t="s">
        <v>81</v>
      </c>
      <c r="N362" s="38"/>
      <c r="O362" s="37">
        <v>35</v>
      </c>
      <c r="P362" s="7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43"/>
      <c r="R362" s="643"/>
      <c r="S362" s="643"/>
      <c r="T362" s="64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9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604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60">IFERROR(X362*I362/H362,"0")</f>
        <v>0</v>
      </c>
      <c r="BN362" s="78">
        <f t="shared" ref="BN362:BN368" si="61">IFERROR(Y362*I362/H362,"0")</f>
        <v>0</v>
      </c>
      <c r="BO362" s="78">
        <f t="shared" ref="BO362:BO368" si="62">IFERROR(1/J362*(X362/H362),"0")</f>
        <v>0</v>
      </c>
      <c r="BP362" s="78">
        <f t="shared" ref="BP362:BP368" si="63">IFERROR(1/J362*(Y362/H362),"0")</f>
        <v>0</v>
      </c>
    </row>
    <row r="363" spans="1:68" ht="27" customHeight="1" x14ac:dyDescent="0.25">
      <c r="A363" s="63" t="s">
        <v>605</v>
      </c>
      <c r="B363" s="63" t="s">
        <v>606</v>
      </c>
      <c r="C363" s="36">
        <v>4301031153</v>
      </c>
      <c r="D363" s="641">
        <v>4607091387230</v>
      </c>
      <c r="E363" s="64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137</v>
      </c>
      <c r="L363" s="37" t="s">
        <v>46</v>
      </c>
      <c r="M363" s="38" t="s">
        <v>81</v>
      </c>
      <c r="N363" s="38"/>
      <c r="O363" s="37">
        <v>40</v>
      </c>
      <c r="P363" s="73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43"/>
      <c r="R363" s="643"/>
      <c r="S363" s="643"/>
      <c r="T363" s="64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9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607</v>
      </c>
      <c r="AG363" s="78"/>
      <c r="AJ363" s="84" t="s">
        <v>46</v>
      </c>
      <c r="AK363" s="84">
        <v>0</v>
      </c>
      <c r="BB363" s="453" t="s">
        <v>67</v>
      </c>
      <c r="BM363" s="78">
        <f t="shared" si="60"/>
        <v>0</v>
      </c>
      <c r="BN363" s="78">
        <f t="shared" si="61"/>
        <v>0</v>
      </c>
      <c r="BO363" s="78">
        <f t="shared" si="62"/>
        <v>0</v>
      </c>
      <c r="BP363" s="78">
        <f t="shared" si="63"/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4301031154</v>
      </c>
      <c r="D364" s="641">
        <v>4607091387292</v>
      </c>
      <c r="E364" s="64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137</v>
      </c>
      <c r="L364" s="37" t="s">
        <v>46</v>
      </c>
      <c r="M364" s="38" t="s">
        <v>81</v>
      </c>
      <c r="N364" s="38"/>
      <c r="O364" s="37">
        <v>45</v>
      </c>
      <c r="P364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43"/>
      <c r="R364" s="643"/>
      <c r="S364" s="643"/>
      <c r="T364" s="64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9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610</v>
      </c>
      <c r="AG364" s="78"/>
      <c r="AJ364" s="84" t="s">
        <v>46</v>
      </c>
      <c r="AK364" s="84">
        <v>0</v>
      </c>
      <c r="BB364" s="455" t="s">
        <v>67</v>
      </c>
      <c r="BM364" s="78">
        <f t="shared" si="60"/>
        <v>0</v>
      </c>
      <c r="BN364" s="78">
        <f t="shared" si="61"/>
        <v>0</v>
      </c>
      <c r="BO364" s="78">
        <f t="shared" si="62"/>
        <v>0</v>
      </c>
      <c r="BP364" s="78">
        <f t="shared" si="63"/>
        <v>0</v>
      </c>
    </row>
    <row r="365" spans="1:68" ht="27" customHeight="1" x14ac:dyDescent="0.25">
      <c r="A365" s="63" t="s">
        <v>611</v>
      </c>
      <c r="B365" s="63" t="s">
        <v>612</v>
      </c>
      <c r="C365" s="36">
        <v>4301031152</v>
      </c>
      <c r="D365" s="641">
        <v>4607091387285</v>
      </c>
      <c r="E365" s="64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43"/>
      <c r="R365" s="643"/>
      <c r="S365" s="643"/>
      <c r="T365" s="64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9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607</v>
      </c>
      <c r="AG365" s="78"/>
      <c r="AJ365" s="84" t="s">
        <v>46</v>
      </c>
      <c r="AK365" s="84">
        <v>0</v>
      </c>
      <c r="BB365" s="457" t="s">
        <v>67</v>
      </c>
      <c r="BM365" s="78">
        <f t="shared" si="60"/>
        <v>0</v>
      </c>
      <c r="BN365" s="78">
        <f t="shared" si="61"/>
        <v>0</v>
      </c>
      <c r="BO365" s="78">
        <f t="shared" si="62"/>
        <v>0</v>
      </c>
      <c r="BP365" s="78">
        <f t="shared" si="63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4301031305</v>
      </c>
      <c r="D366" s="641">
        <v>4607091389845</v>
      </c>
      <c r="E366" s="64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3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43"/>
      <c r="R366" s="643"/>
      <c r="S366" s="643"/>
      <c r="T366" s="64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9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60"/>
        <v>0</v>
      </c>
      <c r="BN366" s="78">
        <f t="shared" si="61"/>
        <v>0</v>
      </c>
      <c r="BO366" s="78">
        <f t="shared" si="62"/>
        <v>0</v>
      </c>
      <c r="BP366" s="78">
        <f t="shared" si="63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4301031460</v>
      </c>
      <c r="D367" s="641">
        <v>4680115887442</v>
      </c>
      <c r="E367" s="64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137</v>
      </c>
      <c r="L367" s="37" t="s">
        <v>46</v>
      </c>
      <c r="M367" s="38" t="s">
        <v>81</v>
      </c>
      <c r="N367" s="38"/>
      <c r="O367" s="37">
        <v>45</v>
      </c>
      <c r="P367" s="7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43"/>
      <c r="R367" s="643"/>
      <c r="S367" s="643"/>
      <c r="T367" s="64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9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610</v>
      </c>
      <c r="AG367" s="78"/>
      <c r="AJ367" s="84" t="s">
        <v>46</v>
      </c>
      <c r="AK367" s="84">
        <v>0</v>
      </c>
      <c r="BB367" s="461" t="s">
        <v>67</v>
      </c>
      <c r="BM367" s="78">
        <f t="shared" si="60"/>
        <v>0</v>
      </c>
      <c r="BN367" s="78">
        <f t="shared" si="61"/>
        <v>0</v>
      </c>
      <c r="BO367" s="78">
        <f t="shared" si="62"/>
        <v>0</v>
      </c>
      <c r="BP367" s="78">
        <f t="shared" si="63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4301031066</v>
      </c>
      <c r="D368" s="641">
        <v>4607091383836</v>
      </c>
      <c r="E368" s="64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43"/>
      <c r="R368" s="643"/>
      <c r="S368" s="643"/>
      <c r="T368" s="64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9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60"/>
        <v>0</v>
      </c>
      <c r="BN368" s="78">
        <f t="shared" si="61"/>
        <v>0</v>
      </c>
      <c r="BO368" s="78">
        <f t="shared" si="62"/>
        <v>0</v>
      </c>
      <c r="BP368" s="78">
        <f t="shared" si="63"/>
        <v>0</v>
      </c>
    </row>
    <row r="369" spans="1:68" x14ac:dyDescent="0.2">
      <c r="A369" s="635"/>
      <c r="B369" s="635"/>
      <c r="C369" s="635"/>
      <c r="D369" s="635"/>
      <c r="E369" s="635"/>
      <c r="F369" s="635"/>
      <c r="G369" s="635"/>
      <c r="H369" s="635"/>
      <c r="I369" s="635"/>
      <c r="J369" s="635"/>
      <c r="K369" s="635"/>
      <c r="L369" s="635"/>
      <c r="M369" s="635"/>
      <c r="N369" s="635"/>
      <c r="O369" s="636"/>
      <c r="P369" s="632" t="s">
        <v>40</v>
      </c>
      <c r="Q369" s="633"/>
      <c r="R369" s="633"/>
      <c r="S369" s="633"/>
      <c r="T369" s="633"/>
      <c r="U369" s="633"/>
      <c r="V369" s="634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35"/>
      <c r="B370" s="635"/>
      <c r="C370" s="635"/>
      <c r="D370" s="635"/>
      <c r="E370" s="635"/>
      <c r="F370" s="635"/>
      <c r="G370" s="635"/>
      <c r="H370" s="635"/>
      <c r="I370" s="635"/>
      <c r="J370" s="635"/>
      <c r="K370" s="635"/>
      <c r="L370" s="635"/>
      <c r="M370" s="635"/>
      <c r="N370" s="635"/>
      <c r="O370" s="636"/>
      <c r="P370" s="632" t="s">
        <v>40</v>
      </c>
      <c r="Q370" s="633"/>
      <c r="R370" s="633"/>
      <c r="S370" s="633"/>
      <c r="T370" s="633"/>
      <c r="U370" s="633"/>
      <c r="V370" s="634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 x14ac:dyDescent="0.25">
      <c r="A371" s="646" t="s">
        <v>86</v>
      </c>
      <c r="B371" s="646"/>
      <c r="C371" s="646"/>
      <c r="D371" s="646"/>
      <c r="E371" s="646"/>
      <c r="F371" s="646"/>
      <c r="G371" s="646"/>
      <c r="H371" s="646"/>
      <c r="I371" s="646"/>
      <c r="J371" s="646"/>
      <c r="K371" s="646"/>
      <c r="L371" s="646"/>
      <c r="M371" s="646"/>
      <c r="N371" s="646"/>
      <c r="O371" s="646"/>
      <c r="P371" s="646"/>
      <c r="Q371" s="646"/>
      <c r="R371" s="646"/>
      <c r="S371" s="646"/>
      <c r="T371" s="646"/>
      <c r="U371" s="646"/>
      <c r="V371" s="646"/>
      <c r="W371" s="646"/>
      <c r="X371" s="646"/>
      <c r="Y371" s="646"/>
      <c r="Z371" s="646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4301051100</v>
      </c>
      <c r="D372" s="641">
        <v>4607091387766</v>
      </c>
      <c r="E372" s="64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130</v>
      </c>
      <c r="L372" s="37" t="s">
        <v>46</v>
      </c>
      <c r="M372" s="38" t="s">
        <v>90</v>
      </c>
      <c r="N372" s="38"/>
      <c r="O372" s="37">
        <v>40</v>
      </c>
      <c r="P372" s="72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43"/>
      <c r="R372" s="643"/>
      <c r="S372" s="643"/>
      <c r="T372" s="64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4301051818</v>
      </c>
      <c r="D373" s="641">
        <v>4607091387957</v>
      </c>
      <c r="E373" s="64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130</v>
      </c>
      <c r="L373" s="37" t="s">
        <v>46</v>
      </c>
      <c r="M373" s="38" t="s">
        <v>90</v>
      </c>
      <c r="N373" s="38"/>
      <c r="O373" s="37">
        <v>40</v>
      </c>
      <c r="P373" s="72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43"/>
      <c r="R373" s="643"/>
      <c r="S373" s="643"/>
      <c r="T373" s="64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4301051819</v>
      </c>
      <c r="D374" s="641">
        <v>4607091387964</v>
      </c>
      <c r="E374" s="64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130</v>
      </c>
      <c r="L374" s="37" t="s">
        <v>46</v>
      </c>
      <c r="M374" s="38" t="s">
        <v>90</v>
      </c>
      <c r="N374" s="38"/>
      <c r="O374" s="37">
        <v>40</v>
      </c>
      <c r="P374" s="72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43"/>
      <c r="R374" s="643"/>
      <c r="S374" s="643"/>
      <c r="T374" s="64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4301051734</v>
      </c>
      <c r="D375" s="641">
        <v>4680115884588</v>
      </c>
      <c r="E375" s="64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2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43"/>
      <c r="R375" s="643"/>
      <c r="S375" s="643"/>
      <c r="T375" s="64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623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35"/>
      <c r="B376" s="635"/>
      <c r="C376" s="635"/>
      <c r="D376" s="635"/>
      <c r="E376" s="635"/>
      <c r="F376" s="635"/>
      <c r="G376" s="635"/>
      <c r="H376" s="635"/>
      <c r="I376" s="635"/>
      <c r="J376" s="635"/>
      <c r="K376" s="635"/>
      <c r="L376" s="635"/>
      <c r="M376" s="635"/>
      <c r="N376" s="635"/>
      <c r="O376" s="636"/>
      <c r="P376" s="632" t="s">
        <v>40</v>
      </c>
      <c r="Q376" s="633"/>
      <c r="R376" s="633"/>
      <c r="S376" s="633"/>
      <c r="T376" s="633"/>
      <c r="U376" s="633"/>
      <c r="V376" s="63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35"/>
      <c r="B377" s="635"/>
      <c r="C377" s="635"/>
      <c r="D377" s="635"/>
      <c r="E377" s="635"/>
      <c r="F377" s="635"/>
      <c r="G377" s="635"/>
      <c r="H377" s="635"/>
      <c r="I377" s="635"/>
      <c r="J377" s="635"/>
      <c r="K377" s="635"/>
      <c r="L377" s="635"/>
      <c r="M377" s="635"/>
      <c r="N377" s="635"/>
      <c r="O377" s="636"/>
      <c r="P377" s="632" t="s">
        <v>40</v>
      </c>
      <c r="Q377" s="633"/>
      <c r="R377" s="633"/>
      <c r="S377" s="633"/>
      <c r="T377" s="633"/>
      <c r="U377" s="633"/>
      <c r="V377" s="63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46" t="s">
        <v>175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6"/>
      <c r="AB378" s="66"/>
      <c r="AC378" s="80"/>
    </row>
    <row r="379" spans="1:68" ht="27" customHeight="1" x14ac:dyDescent="0.25">
      <c r="A379" s="63" t="s">
        <v>632</v>
      </c>
      <c r="B379" s="63" t="s">
        <v>633</v>
      </c>
      <c r="C379" s="36">
        <v>4301060387</v>
      </c>
      <c r="D379" s="641">
        <v>4607091380880</v>
      </c>
      <c r="E379" s="64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130</v>
      </c>
      <c r="L379" s="37" t="s">
        <v>46</v>
      </c>
      <c r="M379" s="38" t="s">
        <v>90</v>
      </c>
      <c r="N379" s="38"/>
      <c r="O379" s="37">
        <v>30</v>
      </c>
      <c r="P379" s="7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43"/>
      <c r="R379" s="643"/>
      <c r="S379" s="643"/>
      <c r="T379" s="64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634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635</v>
      </c>
      <c r="B380" s="63" t="s">
        <v>636</v>
      </c>
      <c r="C380" s="36">
        <v>4301060406</v>
      </c>
      <c r="D380" s="641">
        <v>4607091384482</v>
      </c>
      <c r="E380" s="64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130</v>
      </c>
      <c r="L380" s="37" t="s">
        <v>46</v>
      </c>
      <c r="M380" s="38" t="s">
        <v>90</v>
      </c>
      <c r="N380" s="38"/>
      <c r="O380" s="37">
        <v>30</v>
      </c>
      <c r="P380" s="72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43"/>
      <c r="R380" s="643"/>
      <c r="S380" s="643"/>
      <c r="T380" s="64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637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4301060484</v>
      </c>
      <c r="D381" s="641">
        <v>4607091380897</v>
      </c>
      <c r="E381" s="64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130</v>
      </c>
      <c r="L381" s="37" t="s">
        <v>46</v>
      </c>
      <c r="M381" s="38" t="s">
        <v>97</v>
      </c>
      <c r="N381" s="38"/>
      <c r="O381" s="37">
        <v>30</v>
      </c>
      <c r="P381" s="72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43"/>
      <c r="R381" s="643"/>
      <c r="S381" s="643"/>
      <c r="T381" s="64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640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35"/>
      <c r="B382" s="635"/>
      <c r="C382" s="635"/>
      <c r="D382" s="635"/>
      <c r="E382" s="635"/>
      <c r="F382" s="635"/>
      <c r="G382" s="635"/>
      <c r="H382" s="635"/>
      <c r="I382" s="635"/>
      <c r="J382" s="635"/>
      <c r="K382" s="635"/>
      <c r="L382" s="635"/>
      <c r="M382" s="635"/>
      <c r="N382" s="635"/>
      <c r="O382" s="636"/>
      <c r="P382" s="632" t="s">
        <v>40</v>
      </c>
      <c r="Q382" s="633"/>
      <c r="R382" s="633"/>
      <c r="S382" s="633"/>
      <c r="T382" s="633"/>
      <c r="U382" s="633"/>
      <c r="V382" s="63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35"/>
      <c r="B383" s="635"/>
      <c r="C383" s="635"/>
      <c r="D383" s="635"/>
      <c r="E383" s="635"/>
      <c r="F383" s="635"/>
      <c r="G383" s="635"/>
      <c r="H383" s="635"/>
      <c r="I383" s="635"/>
      <c r="J383" s="635"/>
      <c r="K383" s="635"/>
      <c r="L383" s="635"/>
      <c r="M383" s="635"/>
      <c r="N383" s="635"/>
      <c r="O383" s="636"/>
      <c r="P383" s="632" t="s">
        <v>40</v>
      </c>
      <c r="Q383" s="633"/>
      <c r="R383" s="633"/>
      <c r="S383" s="633"/>
      <c r="T383" s="633"/>
      <c r="U383" s="633"/>
      <c r="V383" s="63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 x14ac:dyDescent="0.25">
      <c r="A384" s="646" t="s">
        <v>271</v>
      </c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46"/>
      <c r="P384" s="646"/>
      <c r="Q384" s="646"/>
      <c r="R384" s="646"/>
      <c r="S384" s="646"/>
      <c r="T384" s="646"/>
      <c r="U384" s="646"/>
      <c r="V384" s="646"/>
      <c r="W384" s="646"/>
      <c r="X384" s="646"/>
      <c r="Y384" s="646"/>
      <c r="Z384" s="646"/>
      <c r="AA384" s="66"/>
      <c r="AB384" s="66"/>
      <c r="AC384" s="80"/>
    </row>
    <row r="385" spans="1:68" ht="27" customHeight="1" x14ac:dyDescent="0.25">
      <c r="A385" s="63" t="s">
        <v>641</v>
      </c>
      <c r="B385" s="63" t="s">
        <v>642</v>
      </c>
      <c r="C385" s="36">
        <v>4301030235</v>
      </c>
      <c r="D385" s="641">
        <v>4607091388381</v>
      </c>
      <c r="E385" s="64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137</v>
      </c>
      <c r="L385" s="37" t="s">
        <v>46</v>
      </c>
      <c r="M385" s="38" t="s">
        <v>644</v>
      </c>
      <c r="N385" s="38"/>
      <c r="O385" s="37">
        <v>180</v>
      </c>
      <c r="P385" s="71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43"/>
      <c r="R385" s="643"/>
      <c r="S385" s="643"/>
      <c r="T385" s="64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643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4301030232</v>
      </c>
      <c r="D386" s="641">
        <v>4607091388374</v>
      </c>
      <c r="E386" s="64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137</v>
      </c>
      <c r="L386" s="37" t="s">
        <v>46</v>
      </c>
      <c r="M386" s="38" t="s">
        <v>644</v>
      </c>
      <c r="N386" s="38"/>
      <c r="O386" s="37">
        <v>180</v>
      </c>
      <c r="P386" s="72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43"/>
      <c r="R386" s="643"/>
      <c r="S386" s="643"/>
      <c r="T386" s="64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643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647</v>
      </c>
      <c r="B387" s="63" t="s">
        <v>648</v>
      </c>
      <c r="C387" s="36">
        <v>4301032015</v>
      </c>
      <c r="D387" s="641">
        <v>4607091383102</v>
      </c>
      <c r="E387" s="64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644</v>
      </c>
      <c r="N387" s="38"/>
      <c r="O387" s="37">
        <v>180</v>
      </c>
      <c r="P387" s="72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43"/>
      <c r="R387" s="643"/>
      <c r="S387" s="643"/>
      <c r="T387" s="64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643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4301030233</v>
      </c>
      <c r="D388" s="641">
        <v>4607091388404</v>
      </c>
      <c r="E388" s="64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644</v>
      </c>
      <c r="N388" s="38"/>
      <c r="O388" s="37">
        <v>180</v>
      </c>
      <c r="P388" s="7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43"/>
      <c r="R388" s="643"/>
      <c r="S388" s="643"/>
      <c r="T388" s="64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643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35"/>
      <c r="B389" s="635"/>
      <c r="C389" s="635"/>
      <c r="D389" s="635"/>
      <c r="E389" s="635"/>
      <c r="F389" s="635"/>
      <c r="G389" s="635"/>
      <c r="H389" s="635"/>
      <c r="I389" s="635"/>
      <c r="J389" s="635"/>
      <c r="K389" s="635"/>
      <c r="L389" s="635"/>
      <c r="M389" s="635"/>
      <c r="N389" s="635"/>
      <c r="O389" s="636"/>
      <c r="P389" s="632" t="s">
        <v>40</v>
      </c>
      <c r="Q389" s="633"/>
      <c r="R389" s="633"/>
      <c r="S389" s="633"/>
      <c r="T389" s="633"/>
      <c r="U389" s="633"/>
      <c r="V389" s="63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35"/>
      <c r="B390" s="635"/>
      <c r="C390" s="635"/>
      <c r="D390" s="635"/>
      <c r="E390" s="635"/>
      <c r="F390" s="635"/>
      <c r="G390" s="635"/>
      <c r="H390" s="635"/>
      <c r="I390" s="635"/>
      <c r="J390" s="635"/>
      <c r="K390" s="635"/>
      <c r="L390" s="635"/>
      <c r="M390" s="635"/>
      <c r="N390" s="635"/>
      <c r="O390" s="636"/>
      <c r="P390" s="632" t="s">
        <v>40</v>
      </c>
      <c r="Q390" s="633"/>
      <c r="R390" s="633"/>
      <c r="S390" s="633"/>
      <c r="T390" s="633"/>
      <c r="U390" s="633"/>
      <c r="V390" s="63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46" t="s">
        <v>651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6"/>
      <c r="AB391" s="66"/>
      <c r="AC391" s="80"/>
    </row>
    <row r="392" spans="1:68" ht="16.5" customHeight="1" x14ac:dyDescent="0.25">
      <c r="A392" s="63" t="s">
        <v>652</v>
      </c>
      <c r="B392" s="63" t="s">
        <v>653</v>
      </c>
      <c r="C392" s="36">
        <v>4301180007</v>
      </c>
      <c r="D392" s="641">
        <v>4680115881808</v>
      </c>
      <c r="E392" s="64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655</v>
      </c>
      <c r="N392" s="38"/>
      <c r="O392" s="37">
        <v>731</v>
      </c>
      <c r="P392" s="7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43"/>
      <c r="R392" s="643"/>
      <c r="S392" s="643"/>
      <c r="T392" s="64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654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656</v>
      </c>
      <c r="B393" s="63" t="s">
        <v>657</v>
      </c>
      <c r="C393" s="36">
        <v>4301180006</v>
      </c>
      <c r="D393" s="641">
        <v>4680115881822</v>
      </c>
      <c r="E393" s="64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655</v>
      </c>
      <c r="N393" s="38"/>
      <c r="O393" s="37">
        <v>731</v>
      </c>
      <c r="P393" s="7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43"/>
      <c r="R393" s="643"/>
      <c r="S393" s="643"/>
      <c r="T393" s="64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654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658</v>
      </c>
      <c r="B394" s="63" t="s">
        <v>659</v>
      </c>
      <c r="C394" s="36">
        <v>4301180001</v>
      </c>
      <c r="D394" s="641">
        <v>4680115880016</v>
      </c>
      <c r="E394" s="64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655</v>
      </c>
      <c r="N394" s="38"/>
      <c r="O394" s="37">
        <v>731</v>
      </c>
      <c r="P394" s="7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43"/>
      <c r="R394" s="643"/>
      <c r="S394" s="643"/>
      <c r="T394" s="64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654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35"/>
      <c r="B395" s="635"/>
      <c r="C395" s="635"/>
      <c r="D395" s="635"/>
      <c r="E395" s="635"/>
      <c r="F395" s="635"/>
      <c r="G395" s="635"/>
      <c r="H395" s="635"/>
      <c r="I395" s="635"/>
      <c r="J395" s="635"/>
      <c r="K395" s="635"/>
      <c r="L395" s="635"/>
      <c r="M395" s="635"/>
      <c r="N395" s="635"/>
      <c r="O395" s="636"/>
      <c r="P395" s="632" t="s">
        <v>40</v>
      </c>
      <c r="Q395" s="633"/>
      <c r="R395" s="633"/>
      <c r="S395" s="633"/>
      <c r="T395" s="633"/>
      <c r="U395" s="633"/>
      <c r="V395" s="63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35"/>
      <c r="B396" s="635"/>
      <c r="C396" s="635"/>
      <c r="D396" s="635"/>
      <c r="E396" s="635"/>
      <c r="F396" s="635"/>
      <c r="G396" s="635"/>
      <c r="H396" s="635"/>
      <c r="I396" s="635"/>
      <c r="J396" s="635"/>
      <c r="K396" s="635"/>
      <c r="L396" s="635"/>
      <c r="M396" s="635"/>
      <c r="N396" s="635"/>
      <c r="O396" s="636"/>
      <c r="P396" s="632" t="s">
        <v>40</v>
      </c>
      <c r="Q396" s="633"/>
      <c r="R396" s="633"/>
      <c r="S396" s="633"/>
      <c r="T396" s="633"/>
      <c r="U396" s="633"/>
      <c r="V396" s="63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 x14ac:dyDescent="0.25">
      <c r="A397" s="646" t="s">
        <v>660</v>
      </c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46"/>
      <c r="P397" s="646"/>
      <c r="Q397" s="646"/>
      <c r="R397" s="646"/>
      <c r="S397" s="646"/>
      <c r="T397" s="646"/>
      <c r="U397" s="646"/>
      <c r="V397" s="646"/>
      <c r="W397" s="646"/>
      <c r="X397" s="646"/>
      <c r="Y397" s="646"/>
      <c r="Z397" s="646"/>
      <c r="AA397" s="66"/>
      <c r="AB397" s="66"/>
      <c r="AC397" s="80"/>
    </row>
    <row r="398" spans="1:68" ht="27" customHeight="1" x14ac:dyDescent="0.25">
      <c r="A398" s="63" t="s">
        <v>661</v>
      </c>
      <c r="B398" s="63" t="s">
        <v>662</v>
      </c>
      <c r="C398" s="36">
        <v>4301220003</v>
      </c>
      <c r="D398" s="641">
        <v>4680115888678</v>
      </c>
      <c r="E398" s="641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655</v>
      </c>
      <c r="N398" s="38"/>
      <c r="O398" s="37">
        <v>1096</v>
      </c>
      <c r="P398" s="71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43"/>
      <c r="R398" s="643"/>
      <c r="S398" s="643"/>
      <c r="T398" s="64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46</v>
      </c>
      <c r="AC398" s="492" t="s">
        <v>663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664</v>
      </c>
      <c r="B399" s="63" t="s">
        <v>665</v>
      </c>
      <c r="C399" s="36">
        <v>4301220001</v>
      </c>
      <c r="D399" s="641">
        <v>4680115888654</v>
      </c>
      <c r="E399" s="641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137</v>
      </c>
      <c r="L399" s="37" t="s">
        <v>46</v>
      </c>
      <c r="M399" s="38" t="s">
        <v>655</v>
      </c>
      <c r="N399" s="38"/>
      <c r="O399" s="37">
        <v>1096</v>
      </c>
      <c r="P399" s="71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43"/>
      <c r="R399" s="643"/>
      <c r="S399" s="643"/>
      <c r="T399" s="64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46</v>
      </c>
      <c r="AC399" s="494" t="s">
        <v>666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667</v>
      </c>
      <c r="B400" s="63" t="s">
        <v>668</v>
      </c>
      <c r="C400" s="36">
        <v>4301220002</v>
      </c>
      <c r="D400" s="641">
        <v>4680115888753</v>
      </c>
      <c r="E400" s="641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655</v>
      </c>
      <c r="N400" s="38"/>
      <c r="O400" s="37">
        <v>1096</v>
      </c>
      <c r="P400" s="7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43"/>
      <c r="R400" s="643"/>
      <c r="S400" s="643"/>
      <c r="T400" s="64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46</v>
      </c>
      <c r="AC400" s="496" t="s">
        <v>663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635"/>
      <c r="B401" s="635"/>
      <c r="C401" s="635"/>
      <c r="D401" s="635"/>
      <c r="E401" s="635"/>
      <c r="F401" s="635"/>
      <c r="G401" s="635"/>
      <c r="H401" s="635"/>
      <c r="I401" s="635"/>
      <c r="J401" s="635"/>
      <c r="K401" s="635"/>
      <c r="L401" s="635"/>
      <c r="M401" s="635"/>
      <c r="N401" s="635"/>
      <c r="O401" s="636"/>
      <c r="P401" s="632" t="s">
        <v>40</v>
      </c>
      <c r="Q401" s="633"/>
      <c r="R401" s="633"/>
      <c r="S401" s="633"/>
      <c r="T401" s="633"/>
      <c r="U401" s="633"/>
      <c r="V401" s="634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35"/>
      <c r="B402" s="635"/>
      <c r="C402" s="635"/>
      <c r="D402" s="635"/>
      <c r="E402" s="635"/>
      <c r="F402" s="635"/>
      <c r="G402" s="635"/>
      <c r="H402" s="635"/>
      <c r="I402" s="635"/>
      <c r="J402" s="635"/>
      <c r="K402" s="635"/>
      <c r="L402" s="635"/>
      <c r="M402" s="635"/>
      <c r="N402" s="635"/>
      <c r="O402" s="636"/>
      <c r="P402" s="632" t="s">
        <v>40</v>
      </c>
      <c r="Q402" s="633"/>
      <c r="R402" s="633"/>
      <c r="S402" s="633"/>
      <c r="T402" s="633"/>
      <c r="U402" s="633"/>
      <c r="V402" s="634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customHeight="1" x14ac:dyDescent="0.25">
      <c r="A403" s="645" t="s">
        <v>669</v>
      </c>
      <c r="B403" s="645"/>
      <c r="C403" s="645"/>
      <c r="D403" s="645"/>
      <c r="E403" s="645"/>
      <c r="F403" s="645"/>
      <c r="G403" s="645"/>
      <c r="H403" s="645"/>
      <c r="I403" s="645"/>
      <c r="J403" s="645"/>
      <c r="K403" s="645"/>
      <c r="L403" s="645"/>
      <c r="M403" s="645"/>
      <c r="N403" s="645"/>
      <c r="O403" s="645"/>
      <c r="P403" s="645"/>
      <c r="Q403" s="645"/>
      <c r="R403" s="645"/>
      <c r="S403" s="645"/>
      <c r="T403" s="645"/>
      <c r="U403" s="645"/>
      <c r="V403" s="645"/>
      <c r="W403" s="645"/>
      <c r="X403" s="645"/>
      <c r="Y403" s="645"/>
      <c r="Z403" s="645"/>
      <c r="AA403" s="65"/>
      <c r="AB403" s="65"/>
      <c r="AC403" s="79"/>
    </row>
    <row r="404" spans="1:68" ht="14.25" customHeight="1" x14ac:dyDescent="0.25">
      <c r="A404" s="646" t="s">
        <v>86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6"/>
      <c r="AB404" s="66"/>
      <c r="AC404" s="80"/>
    </row>
    <row r="405" spans="1:68" ht="16.5" customHeight="1" x14ac:dyDescent="0.25">
      <c r="A405" s="63" t="s">
        <v>670</v>
      </c>
      <c r="B405" s="63" t="s">
        <v>671</v>
      </c>
      <c r="C405" s="36">
        <v>4301052235</v>
      </c>
      <c r="D405" s="641">
        <v>4680115889415</v>
      </c>
      <c r="E405" s="641"/>
      <c r="F405" s="62">
        <v>1.3</v>
      </c>
      <c r="G405" s="37">
        <v>6</v>
      </c>
      <c r="H405" s="62">
        <v>7.8</v>
      </c>
      <c r="I405" s="62">
        <v>8.2100000000000009</v>
      </c>
      <c r="J405" s="37">
        <v>64</v>
      </c>
      <c r="K405" s="37" t="s">
        <v>130</v>
      </c>
      <c r="L405" s="37" t="s">
        <v>46</v>
      </c>
      <c r="M405" s="38" t="s">
        <v>90</v>
      </c>
      <c r="N405" s="38"/>
      <c r="O405" s="37">
        <v>40</v>
      </c>
      <c r="P405" s="71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5" s="643"/>
      <c r="R405" s="643"/>
      <c r="S405" s="643"/>
      <c r="T405" s="64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108</v>
      </c>
      <c r="AC405" s="498" t="s">
        <v>672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16.5" customHeight="1" x14ac:dyDescent="0.25">
      <c r="A406" s="63" t="s">
        <v>673</v>
      </c>
      <c r="B406" s="63" t="s">
        <v>674</v>
      </c>
      <c r="C406" s="36">
        <v>4301052236</v>
      </c>
      <c r="D406" s="641">
        <v>4680115889422</v>
      </c>
      <c r="E406" s="641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130</v>
      </c>
      <c r="L406" s="37" t="s">
        <v>46</v>
      </c>
      <c r="M406" s="38" t="s">
        <v>90</v>
      </c>
      <c r="N406" s="38"/>
      <c r="O406" s="37">
        <v>40</v>
      </c>
      <c r="P406" s="70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6" s="643"/>
      <c r="R406" s="643"/>
      <c r="S406" s="643"/>
      <c r="T406" s="64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108</v>
      </c>
      <c r="AC406" s="500" t="s">
        <v>675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635"/>
      <c r="B407" s="635"/>
      <c r="C407" s="635"/>
      <c r="D407" s="635"/>
      <c r="E407" s="635"/>
      <c r="F407" s="635"/>
      <c r="G407" s="635"/>
      <c r="H407" s="635"/>
      <c r="I407" s="635"/>
      <c r="J407" s="635"/>
      <c r="K407" s="635"/>
      <c r="L407" s="635"/>
      <c r="M407" s="635"/>
      <c r="N407" s="635"/>
      <c r="O407" s="636"/>
      <c r="P407" s="632" t="s">
        <v>40</v>
      </c>
      <c r="Q407" s="633"/>
      <c r="R407" s="633"/>
      <c r="S407" s="633"/>
      <c r="T407" s="633"/>
      <c r="U407" s="633"/>
      <c r="V407" s="634"/>
      <c r="W407" s="42" t="s">
        <v>39</v>
      </c>
      <c r="X407" s="43">
        <f>IFERROR(X405/H405,"0")+IFERROR(X406/H406,"0")</f>
        <v>0</v>
      </c>
      <c r="Y407" s="43">
        <f>IFERROR(Y405/H405,"0")+IFERROR(Y406/H406,"0")</f>
        <v>0</v>
      </c>
      <c r="Z407" s="43">
        <f>IFERROR(IF(Z405="",0,Z405),"0")+IFERROR(IF(Z406="",0,Z406),"0")</f>
        <v>0</v>
      </c>
      <c r="AA407" s="67"/>
      <c r="AB407" s="67"/>
      <c r="AC407" s="67"/>
    </row>
    <row r="408" spans="1:68" x14ac:dyDescent="0.2">
      <c r="A408" s="635"/>
      <c r="B408" s="635"/>
      <c r="C408" s="635"/>
      <c r="D408" s="635"/>
      <c r="E408" s="635"/>
      <c r="F408" s="635"/>
      <c r="G408" s="635"/>
      <c r="H408" s="635"/>
      <c r="I408" s="635"/>
      <c r="J408" s="635"/>
      <c r="K408" s="635"/>
      <c r="L408" s="635"/>
      <c r="M408" s="635"/>
      <c r="N408" s="635"/>
      <c r="O408" s="636"/>
      <c r="P408" s="632" t="s">
        <v>40</v>
      </c>
      <c r="Q408" s="633"/>
      <c r="R408" s="633"/>
      <c r="S408" s="633"/>
      <c r="T408" s="633"/>
      <c r="U408" s="633"/>
      <c r="V408" s="634"/>
      <c r="W408" s="42" t="s">
        <v>0</v>
      </c>
      <c r="X408" s="43">
        <f>IFERROR(SUM(X405:X406),"0")</f>
        <v>0</v>
      </c>
      <c r="Y408" s="43">
        <f>IFERROR(SUM(Y405:Y406),"0")</f>
        <v>0</v>
      </c>
      <c r="Z408" s="42"/>
      <c r="AA408" s="67"/>
      <c r="AB408" s="67"/>
      <c r="AC408" s="67"/>
    </row>
    <row r="409" spans="1:68" ht="16.5" customHeight="1" x14ac:dyDescent="0.25">
      <c r="A409" s="645" t="s">
        <v>676</v>
      </c>
      <c r="B409" s="645"/>
      <c r="C409" s="645"/>
      <c r="D409" s="645"/>
      <c r="E409" s="645"/>
      <c r="F409" s="645"/>
      <c r="G409" s="645"/>
      <c r="H409" s="645"/>
      <c r="I409" s="645"/>
      <c r="J409" s="645"/>
      <c r="K409" s="645"/>
      <c r="L409" s="645"/>
      <c r="M409" s="645"/>
      <c r="N409" s="645"/>
      <c r="O409" s="645"/>
      <c r="P409" s="645"/>
      <c r="Q409" s="645"/>
      <c r="R409" s="645"/>
      <c r="S409" s="645"/>
      <c r="T409" s="645"/>
      <c r="U409" s="645"/>
      <c r="V409" s="645"/>
      <c r="W409" s="645"/>
      <c r="X409" s="645"/>
      <c r="Y409" s="645"/>
      <c r="Z409" s="645"/>
      <c r="AA409" s="65"/>
      <c r="AB409" s="65"/>
      <c r="AC409" s="79"/>
    </row>
    <row r="410" spans="1:68" ht="14.25" customHeight="1" x14ac:dyDescent="0.25">
      <c r="A410" s="646" t="s">
        <v>86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6"/>
      <c r="AB410" s="66"/>
      <c r="AC410" s="80"/>
    </row>
    <row r="411" spans="1:68" ht="27" customHeight="1" x14ac:dyDescent="0.25">
      <c r="A411" s="63" t="s">
        <v>677</v>
      </c>
      <c r="B411" s="63" t="s">
        <v>678</v>
      </c>
      <c r="C411" s="36">
        <v>4301051489</v>
      </c>
      <c r="D411" s="641">
        <v>4607091387919</v>
      </c>
      <c r="E411" s="641"/>
      <c r="F411" s="62">
        <v>1.35</v>
      </c>
      <c r="G411" s="37">
        <v>6</v>
      </c>
      <c r="H411" s="62">
        <v>8.1</v>
      </c>
      <c r="I411" s="62">
        <v>8.5939999999999994</v>
      </c>
      <c r="J411" s="37">
        <v>64</v>
      </c>
      <c r="K411" s="37" t="s">
        <v>130</v>
      </c>
      <c r="L411" s="37" t="s">
        <v>46</v>
      </c>
      <c r="M411" s="38" t="s">
        <v>97</v>
      </c>
      <c r="N411" s="38"/>
      <c r="O411" s="37">
        <v>45</v>
      </c>
      <c r="P411" s="7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1" s="643"/>
      <c r="R411" s="643"/>
      <c r="S411" s="643"/>
      <c r="T411" s="64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02" t="s">
        <v>679</v>
      </c>
      <c r="AG411" s="78"/>
      <c r="AJ411" s="84" t="s">
        <v>46</v>
      </c>
      <c r="AK411" s="84">
        <v>0</v>
      </c>
      <c r="BB411" s="503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680</v>
      </c>
      <c r="B412" s="63" t="s">
        <v>681</v>
      </c>
      <c r="C412" s="36">
        <v>4301051461</v>
      </c>
      <c r="D412" s="641">
        <v>4680115883604</v>
      </c>
      <c r="E412" s="641"/>
      <c r="F412" s="62">
        <v>0.35</v>
      </c>
      <c r="G412" s="37">
        <v>6</v>
      </c>
      <c r="H412" s="62">
        <v>2.1</v>
      </c>
      <c r="I412" s="62">
        <v>2.3519999999999999</v>
      </c>
      <c r="J412" s="37">
        <v>182</v>
      </c>
      <c r="K412" s="37" t="s">
        <v>91</v>
      </c>
      <c r="L412" s="37" t="s">
        <v>46</v>
      </c>
      <c r="M412" s="38" t="s">
        <v>90</v>
      </c>
      <c r="N412" s="38"/>
      <c r="O412" s="37">
        <v>45</v>
      </c>
      <c r="P412" s="7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2" s="643"/>
      <c r="R412" s="643"/>
      <c r="S412" s="643"/>
      <c r="T412" s="64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IFERROR(IF(Y412=0,"",ROUNDUP(Y412/H412,0)*0.00651),"")</f>
        <v/>
      </c>
      <c r="AA412" s="68" t="s">
        <v>46</v>
      </c>
      <c r="AB412" s="69" t="s">
        <v>46</v>
      </c>
      <c r="AC412" s="504" t="s">
        <v>682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683</v>
      </c>
      <c r="B413" s="63" t="s">
        <v>684</v>
      </c>
      <c r="C413" s="36">
        <v>4301051864</v>
      </c>
      <c r="D413" s="641">
        <v>4680115883567</v>
      </c>
      <c r="E413" s="641"/>
      <c r="F413" s="62">
        <v>0.35</v>
      </c>
      <c r="G413" s="37">
        <v>6</v>
      </c>
      <c r="H413" s="62">
        <v>2.1</v>
      </c>
      <c r="I413" s="62">
        <v>2.34</v>
      </c>
      <c r="J413" s="37">
        <v>182</v>
      </c>
      <c r="K413" s="37" t="s">
        <v>91</v>
      </c>
      <c r="L413" s="37" t="s">
        <v>46</v>
      </c>
      <c r="M413" s="38" t="s">
        <v>97</v>
      </c>
      <c r="N413" s="38"/>
      <c r="O413" s="37">
        <v>40</v>
      </c>
      <c r="P413" s="7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3" s="643"/>
      <c r="R413" s="643"/>
      <c r="S413" s="643"/>
      <c r="T413" s="644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IFERROR(IF(Y413=0,"",ROUNDUP(Y413/H413,0)*0.00651),"")</f>
        <v/>
      </c>
      <c r="AA413" s="68" t="s">
        <v>46</v>
      </c>
      <c r="AB413" s="69" t="s">
        <v>46</v>
      </c>
      <c r="AC413" s="506" t="s">
        <v>685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635"/>
      <c r="B414" s="635"/>
      <c r="C414" s="635"/>
      <c r="D414" s="635"/>
      <c r="E414" s="635"/>
      <c r="F414" s="635"/>
      <c r="G414" s="635"/>
      <c r="H414" s="635"/>
      <c r="I414" s="635"/>
      <c r="J414" s="635"/>
      <c r="K414" s="635"/>
      <c r="L414" s="635"/>
      <c r="M414" s="635"/>
      <c r="N414" s="635"/>
      <c r="O414" s="636"/>
      <c r="P414" s="632" t="s">
        <v>40</v>
      </c>
      <c r="Q414" s="633"/>
      <c r="R414" s="633"/>
      <c r="S414" s="633"/>
      <c r="T414" s="633"/>
      <c r="U414" s="633"/>
      <c r="V414" s="634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x14ac:dyDescent="0.2">
      <c r="A415" s="635"/>
      <c r="B415" s="635"/>
      <c r="C415" s="635"/>
      <c r="D415" s="635"/>
      <c r="E415" s="635"/>
      <c r="F415" s="635"/>
      <c r="G415" s="635"/>
      <c r="H415" s="635"/>
      <c r="I415" s="635"/>
      <c r="J415" s="635"/>
      <c r="K415" s="635"/>
      <c r="L415" s="635"/>
      <c r="M415" s="635"/>
      <c r="N415" s="635"/>
      <c r="O415" s="636"/>
      <c r="P415" s="632" t="s">
        <v>40</v>
      </c>
      <c r="Q415" s="633"/>
      <c r="R415" s="633"/>
      <c r="S415" s="633"/>
      <c r="T415" s="633"/>
      <c r="U415" s="633"/>
      <c r="V415" s="634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27.75" customHeight="1" x14ac:dyDescent="0.2">
      <c r="A416" s="652" t="s">
        <v>686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54"/>
      <c r="AB416" s="54"/>
      <c r="AC416" s="54"/>
    </row>
    <row r="417" spans="1:68" ht="16.5" customHeight="1" x14ac:dyDescent="0.25">
      <c r="A417" s="645" t="s">
        <v>687</v>
      </c>
      <c r="B417" s="645"/>
      <c r="C417" s="645"/>
      <c r="D417" s="645"/>
      <c r="E417" s="645"/>
      <c r="F417" s="645"/>
      <c r="G417" s="645"/>
      <c r="H417" s="645"/>
      <c r="I417" s="645"/>
      <c r="J417" s="645"/>
      <c r="K417" s="645"/>
      <c r="L417" s="645"/>
      <c r="M417" s="645"/>
      <c r="N417" s="645"/>
      <c r="O417" s="645"/>
      <c r="P417" s="645"/>
      <c r="Q417" s="645"/>
      <c r="R417" s="645"/>
      <c r="S417" s="645"/>
      <c r="T417" s="645"/>
      <c r="U417" s="645"/>
      <c r="V417" s="645"/>
      <c r="W417" s="645"/>
      <c r="X417" s="645"/>
      <c r="Y417" s="645"/>
      <c r="Z417" s="645"/>
      <c r="AA417" s="65"/>
      <c r="AB417" s="65"/>
      <c r="AC417" s="79"/>
    </row>
    <row r="418" spans="1:68" ht="14.25" customHeight="1" x14ac:dyDescent="0.25">
      <c r="A418" s="646" t="s">
        <v>125</v>
      </c>
      <c r="B418" s="646"/>
      <c r="C418" s="646"/>
      <c r="D418" s="646"/>
      <c r="E418" s="646"/>
      <c r="F418" s="646"/>
      <c r="G418" s="646"/>
      <c r="H418" s="646"/>
      <c r="I418" s="646"/>
      <c r="J418" s="646"/>
      <c r="K418" s="646"/>
      <c r="L418" s="646"/>
      <c r="M418" s="646"/>
      <c r="N418" s="646"/>
      <c r="O418" s="646"/>
      <c r="P418" s="646"/>
      <c r="Q418" s="646"/>
      <c r="R418" s="646"/>
      <c r="S418" s="646"/>
      <c r="T418" s="646"/>
      <c r="U418" s="646"/>
      <c r="V418" s="646"/>
      <c r="W418" s="646"/>
      <c r="X418" s="646"/>
      <c r="Y418" s="646"/>
      <c r="Z418" s="646"/>
      <c r="AA418" s="66"/>
      <c r="AB418" s="66"/>
      <c r="AC418" s="80"/>
    </row>
    <row r="419" spans="1:68" ht="27" customHeight="1" x14ac:dyDescent="0.25">
      <c r="A419" s="63" t="s">
        <v>688</v>
      </c>
      <c r="B419" s="63" t="s">
        <v>689</v>
      </c>
      <c r="C419" s="36">
        <v>4301012332</v>
      </c>
      <c r="D419" s="641">
        <v>4680115888401</v>
      </c>
      <c r="E419" s="64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130</v>
      </c>
      <c r="L419" s="37" t="s">
        <v>46</v>
      </c>
      <c r="M419" s="38" t="s">
        <v>97</v>
      </c>
      <c r="N419" s="38"/>
      <c r="O419" s="37">
        <v>60</v>
      </c>
      <c r="P419" s="70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9" s="643"/>
      <c r="R419" s="643"/>
      <c r="S419" s="643"/>
      <c r="T419" s="644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ref="Y419:Y426" si="64"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08" t="s">
        <v>690</v>
      </c>
      <c r="AG419" s="78"/>
      <c r="AJ419" s="84" t="s">
        <v>46</v>
      </c>
      <c r="AK419" s="84">
        <v>0</v>
      </c>
      <c r="BB419" s="509" t="s">
        <v>67</v>
      </c>
      <c r="BM419" s="78">
        <f t="shared" ref="BM419:BM426" si="65">IFERROR(X419*I419/H419,"0")</f>
        <v>0</v>
      </c>
      <c r="BN419" s="78">
        <f t="shared" ref="BN419:BN426" si="66">IFERROR(Y419*I419/H419,"0")</f>
        <v>0</v>
      </c>
      <c r="BO419" s="78">
        <f t="shared" ref="BO419:BO426" si="67">IFERROR(1/J419*(X419/H419),"0")</f>
        <v>0</v>
      </c>
      <c r="BP419" s="78">
        <f t="shared" ref="BP419:BP426" si="68">IFERROR(1/J419*(Y419/H419),"0")</f>
        <v>0</v>
      </c>
    </row>
    <row r="420" spans="1:68" ht="37.5" customHeight="1" x14ac:dyDescent="0.25">
      <c r="A420" s="63" t="s">
        <v>691</v>
      </c>
      <c r="B420" s="63" t="s">
        <v>692</v>
      </c>
      <c r="C420" s="36">
        <v>4301011869</v>
      </c>
      <c r="D420" s="641">
        <v>4680115884847</v>
      </c>
      <c r="E420" s="641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130</v>
      </c>
      <c r="L420" s="37" t="s">
        <v>46</v>
      </c>
      <c r="M420" s="38" t="s">
        <v>81</v>
      </c>
      <c r="N420" s="38"/>
      <c r="O420" s="37">
        <v>60</v>
      </c>
      <c r="P420" s="70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0" s="643"/>
      <c r="R420" s="643"/>
      <c r="S420" s="643"/>
      <c r="T420" s="644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64"/>
        <v>0</v>
      </c>
      <c r="Z420" s="41" t="str">
        <f>IFERROR(IF(Y420=0,"",ROUNDUP(Y420/H420,0)*0.02175),"")</f>
        <v/>
      </c>
      <c r="AA420" s="68" t="s">
        <v>46</v>
      </c>
      <c r="AB420" s="69" t="s">
        <v>46</v>
      </c>
      <c r="AC420" s="510" t="s">
        <v>693</v>
      </c>
      <c r="AG420" s="78"/>
      <c r="AJ420" s="84" t="s">
        <v>46</v>
      </c>
      <c r="AK420" s="84">
        <v>0</v>
      </c>
      <c r="BB420" s="511" t="s">
        <v>67</v>
      </c>
      <c r="BM420" s="78">
        <f t="shared" si="65"/>
        <v>0</v>
      </c>
      <c r="BN420" s="78">
        <f t="shared" si="66"/>
        <v>0</v>
      </c>
      <c r="BO420" s="78">
        <f t="shared" si="67"/>
        <v>0</v>
      </c>
      <c r="BP420" s="78">
        <f t="shared" si="68"/>
        <v>0</v>
      </c>
    </row>
    <row r="421" spans="1:68" ht="27" customHeight="1" x14ac:dyDescent="0.25">
      <c r="A421" s="63" t="s">
        <v>694</v>
      </c>
      <c r="B421" s="63" t="s">
        <v>695</v>
      </c>
      <c r="C421" s="36">
        <v>4301012083</v>
      </c>
      <c r="D421" s="641">
        <v>4680115884854</v>
      </c>
      <c r="E421" s="641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130</v>
      </c>
      <c r="L421" s="37" t="s">
        <v>46</v>
      </c>
      <c r="M421" s="38" t="s">
        <v>129</v>
      </c>
      <c r="N421" s="38"/>
      <c r="O421" s="37">
        <v>60</v>
      </c>
      <c r="P421" s="70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1" s="643"/>
      <c r="R421" s="643"/>
      <c r="S421" s="643"/>
      <c r="T421" s="644"/>
      <c r="U421" s="39" t="s">
        <v>46</v>
      </c>
      <c r="V421" s="39" t="s">
        <v>46</v>
      </c>
      <c r="W421" s="40" t="s">
        <v>0</v>
      </c>
      <c r="X421" s="58">
        <v>0</v>
      </c>
      <c r="Y421" s="55">
        <f t="shared" si="64"/>
        <v>0</v>
      </c>
      <c r="Z421" s="41" t="str">
        <f>IFERROR(IF(Y421=0,"",ROUNDUP(Y421/H421,0)*0.02175),"")</f>
        <v/>
      </c>
      <c r="AA421" s="68" t="s">
        <v>46</v>
      </c>
      <c r="AB421" s="69" t="s">
        <v>46</v>
      </c>
      <c r="AC421" s="512" t="s">
        <v>696</v>
      </c>
      <c r="AG421" s="78"/>
      <c r="AJ421" s="84" t="s">
        <v>46</v>
      </c>
      <c r="AK421" s="84">
        <v>0</v>
      </c>
      <c r="BB421" s="513" t="s">
        <v>67</v>
      </c>
      <c r="BM421" s="78">
        <f t="shared" si="65"/>
        <v>0</v>
      </c>
      <c r="BN421" s="78">
        <f t="shared" si="66"/>
        <v>0</v>
      </c>
      <c r="BO421" s="78">
        <f t="shared" si="67"/>
        <v>0</v>
      </c>
      <c r="BP421" s="78">
        <f t="shared" si="68"/>
        <v>0</v>
      </c>
    </row>
    <row r="422" spans="1:68" ht="27" customHeight="1" x14ac:dyDescent="0.25">
      <c r="A422" s="63" t="s">
        <v>697</v>
      </c>
      <c r="B422" s="63" t="s">
        <v>698</v>
      </c>
      <c r="C422" s="36">
        <v>4301011867</v>
      </c>
      <c r="D422" s="641">
        <v>4680115884830</v>
      </c>
      <c r="E422" s="641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130</v>
      </c>
      <c r="L422" s="37" t="s">
        <v>46</v>
      </c>
      <c r="M422" s="38" t="s">
        <v>81</v>
      </c>
      <c r="N422" s="38"/>
      <c r="O422" s="37">
        <v>60</v>
      </c>
      <c r="P422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2" s="643"/>
      <c r="R422" s="643"/>
      <c r="S422" s="643"/>
      <c r="T422" s="644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si="64"/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4" t="s">
        <v>699</v>
      </c>
      <c r="AG422" s="78"/>
      <c r="AJ422" s="84" t="s">
        <v>46</v>
      </c>
      <c r="AK422" s="84">
        <v>0</v>
      </c>
      <c r="BB422" s="515" t="s">
        <v>67</v>
      </c>
      <c r="BM422" s="78">
        <f t="shared" si="65"/>
        <v>0</v>
      </c>
      <c r="BN422" s="78">
        <f t="shared" si="66"/>
        <v>0</v>
      </c>
      <c r="BO422" s="78">
        <f t="shared" si="67"/>
        <v>0</v>
      </c>
      <c r="BP422" s="78">
        <f t="shared" si="68"/>
        <v>0</v>
      </c>
    </row>
    <row r="423" spans="1:68" ht="27" customHeight="1" x14ac:dyDescent="0.25">
      <c r="A423" s="63" t="s">
        <v>700</v>
      </c>
      <c r="B423" s="63" t="s">
        <v>701</v>
      </c>
      <c r="C423" s="36">
        <v>4301012356</v>
      </c>
      <c r="D423" s="641">
        <v>4680115889231</v>
      </c>
      <c r="E423" s="64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130</v>
      </c>
      <c r="L423" s="37" t="s">
        <v>46</v>
      </c>
      <c r="M423" s="38" t="s">
        <v>97</v>
      </c>
      <c r="N423" s="38"/>
      <c r="O423" s="37">
        <v>60</v>
      </c>
      <c r="P423" s="69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3" s="643"/>
      <c r="R423" s="643"/>
      <c r="S423" s="643"/>
      <c r="T423" s="64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si="64"/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6" t="s">
        <v>702</v>
      </c>
      <c r="AG423" s="78"/>
      <c r="AJ423" s="84" t="s">
        <v>46</v>
      </c>
      <c r="AK423" s="84">
        <v>0</v>
      </c>
      <c r="BB423" s="517" t="s">
        <v>67</v>
      </c>
      <c r="BM423" s="78">
        <f t="shared" si="65"/>
        <v>0</v>
      </c>
      <c r="BN423" s="78">
        <f t="shared" si="66"/>
        <v>0</v>
      </c>
      <c r="BO423" s="78">
        <f t="shared" si="67"/>
        <v>0</v>
      </c>
      <c r="BP423" s="78">
        <f t="shared" si="68"/>
        <v>0</v>
      </c>
    </row>
    <row r="424" spans="1:68" ht="27" customHeight="1" x14ac:dyDescent="0.25">
      <c r="A424" s="63" t="s">
        <v>703</v>
      </c>
      <c r="B424" s="63" t="s">
        <v>704</v>
      </c>
      <c r="C424" s="36">
        <v>4301011433</v>
      </c>
      <c r="D424" s="641">
        <v>4680115882638</v>
      </c>
      <c r="E424" s="641"/>
      <c r="F424" s="62">
        <v>0.4</v>
      </c>
      <c r="G424" s="37">
        <v>10</v>
      </c>
      <c r="H424" s="62">
        <v>4</v>
      </c>
      <c r="I424" s="62">
        <v>4.1900000000000004</v>
      </c>
      <c r="J424" s="37">
        <v>132</v>
      </c>
      <c r="K424" s="37" t="s">
        <v>137</v>
      </c>
      <c r="L424" s="37" t="s">
        <v>46</v>
      </c>
      <c r="M424" s="38" t="s">
        <v>129</v>
      </c>
      <c r="N424" s="38"/>
      <c r="O424" s="37">
        <v>90</v>
      </c>
      <c r="P424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4" s="643"/>
      <c r="R424" s="643"/>
      <c r="S424" s="643"/>
      <c r="T424" s="64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64"/>
        <v>0</v>
      </c>
      <c r="Z424" s="41" t="str">
        <f>IFERROR(IF(Y424=0,"",ROUNDUP(Y424/H424,0)*0.00902),"")</f>
        <v/>
      </c>
      <c r="AA424" s="68" t="s">
        <v>46</v>
      </c>
      <c r="AB424" s="69" t="s">
        <v>46</v>
      </c>
      <c r="AC424" s="518" t="s">
        <v>705</v>
      </c>
      <c r="AG424" s="78"/>
      <c r="AJ424" s="84" t="s">
        <v>46</v>
      </c>
      <c r="AK424" s="84">
        <v>0</v>
      </c>
      <c r="BB424" s="519" t="s">
        <v>67</v>
      </c>
      <c r="BM424" s="78">
        <f t="shared" si="65"/>
        <v>0</v>
      </c>
      <c r="BN424" s="78">
        <f t="shared" si="66"/>
        <v>0</v>
      </c>
      <c r="BO424" s="78">
        <f t="shared" si="67"/>
        <v>0</v>
      </c>
      <c r="BP424" s="78">
        <f t="shared" si="68"/>
        <v>0</v>
      </c>
    </row>
    <row r="425" spans="1:68" ht="27" customHeight="1" x14ac:dyDescent="0.25">
      <c r="A425" s="63" t="s">
        <v>706</v>
      </c>
      <c r="B425" s="63" t="s">
        <v>707</v>
      </c>
      <c r="C425" s="36">
        <v>4301011952</v>
      </c>
      <c r="D425" s="641">
        <v>4680115884922</v>
      </c>
      <c r="E425" s="641"/>
      <c r="F425" s="62">
        <v>0.5</v>
      </c>
      <c r="G425" s="37">
        <v>10</v>
      </c>
      <c r="H425" s="62">
        <v>5</v>
      </c>
      <c r="I425" s="62">
        <v>5.19</v>
      </c>
      <c r="J425" s="37">
        <v>132</v>
      </c>
      <c r="K425" s="37" t="s">
        <v>137</v>
      </c>
      <c r="L425" s="37" t="s">
        <v>46</v>
      </c>
      <c r="M425" s="38" t="s">
        <v>81</v>
      </c>
      <c r="N425" s="38"/>
      <c r="O425" s="37">
        <v>60</v>
      </c>
      <c r="P425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5" s="643"/>
      <c r="R425" s="643"/>
      <c r="S425" s="643"/>
      <c r="T425" s="64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4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708</v>
      </c>
      <c r="AG425" s="78"/>
      <c r="AJ425" s="84" t="s">
        <v>46</v>
      </c>
      <c r="AK425" s="84">
        <v>0</v>
      </c>
      <c r="BB425" s="521" t="s">
        <v>67</v>
      </c>
      <c r="BM425" s="78">
        <f t="shared" si="65"/>
        <v>0</v>
      </c>
      <c r="BN425" s="78">
        <f t="shared" si="66"/>
        <v>0</v>
      </c>
      <c r="BO425" s="78">
        <f t="shared" si="67"/>
        <v>0</v>
      </c>
      <c r="BP425" s="78">
        <f t="shared" si="68"/>
        <v>0</v>
      </c>
    </row>
    <row r="426" spans="1:68" ht="37.5" customHeight="1" x14ac:dyDescent="0.25">
      <c r="A426" s="63" t="s">
        <v>709</v>
      </c>
      <c r="B426" s="63" t="s">
        <v>710</v>
      </c>
      <c r="C426" s="36">
        <v>4301011868</v>
      </c>
      <c r="D426" s="641">
        <v>4680115884861</v>
      </c>
      <c r="E426" s="641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137</v>
      </c>
      <c r="L426" s="37" t="s">
        <v>46</v>
      </c>
      <c r="M426" s="38" t="s">
        <v>81</v>
      </c>
      <c r="N426" s="38"/>
      <c r="O426" s="37">
        <v>60</v>
      </c>
      <c r="P426" s="7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6" s="643"/>
      <c r="R426" s="643"/>
      <c r="S426" s="643"/>
      <c r="T426" s="64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711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x14ac:dyDescent="0.2">
      <c r="A427" s="635"/>
      <c r="B427" s="635"/>
      <c r="C427" s="635"/>
      <c r="D427" s="635"/>
      <c r="E427" s="635"/>
      <c r="F427" s="635"/>
      <c r="G427" s="635"/>
      <c r="H427" s="635"/>
      <c r="I427" s="635"/>
      <c r="J427" s="635"/>
      <c r="K427" s="635"/>
      <c r="L427" s="635"/>
      <c r="M427" s="635"/>
      <c r="N427" s="635"/>
      <c r="O427" s="636"/>
      <c r="P427" s="632" t="s">
        <v>40</v>
      </c>
      <c r="Q427" s="633"/>
      <c r="R427" s="633"/>
      <c r="S427" s="633"/>
      <c r="T427" s="633"/>
      <c r="U427" s="633"/>
      <c r="V427" s="634"/>
      <c r="W427" s="42" t="s">
        <v>39</v>
      </c>
      <c r="X427" s="43">
        <f>IFERROR(X419/H419,"0")+IFERROR(X420/H420,"0")+IFERROR(X421/H421,"0")+IFERROR(X422/H422,"0")+IFERROR(X423/H423,"0")+IFERROR(X424/H424,"0")+IFERROR(X425/H425,"0")+IFERROR(X426/H426,"0")</f>
        <v>0</v>
      </c>
      <c r="Y427" s="43">
        <f>IFERROR(Y419/H419,"0")+IFERROR(Y420/H420,"0")+IFERROR(Y421/H421,"0")+IFERROR(Y422/H422,"0")+IFERROR(Y423/H423,"0")+IFERROR(Y424/H424,"0")+IFERROR(Y425/H425,"0")+IFERROR(Y426/H426,"0")</f>
        <v>0</v>
      </c>
      <c r="Z427" s="43">
        <f>IFERROR(IF(Z419="",0,Z419),"0")+IFERROR(IF(Z420="",0,Z420),"0")+IFERROR(IF(Z421="",0,Z421),"0")+IFERROR(IF(Z422="",0,Z422),"0")+IFERROR(IF(Z423="",0,Z423),"0")+IFERROR(IF(Z424="",0,Z424),"0")+IFERROR(IF(Z425="",0,Z425),"0")+IFERROR(IF(Z426="",0,Z426),"0")</f>
        <v>0</v>
      </c>
      <c r="AA427" s="67"/>
      <c r="AB427" s="67"/>
      <c r="AC427" s="67"/>
    </row>
    <row r="428" spans="1:68" x14ac:dyDescent="0.2">
      <c r="A428" s="635"/>
      <c r="B428" s="635"/>
      <c r="C428" s="635"/>
      <c r="D428" s="635"/>
      <c r="E428" s="635"/>
      <c r="F428" s="635"/>
      <c r="G428" s="635"/>
      <c r="H428" s="635"/>
      <c r="I428" s="635"/>
      <c r="J428" s="635"/>
      <c r="K428" s="635"/>
      <c r="L428" s="635"/>
      <c r="M428" s="635"/>
      <c r="N428" s="635"/>
      <c r="O428" s="636"/>
      <c r="P428" s="632" t="s">
        <v>40</v>
      </c>
      <c r="Q428" s="633"/>
      <c r="R428" s="633"/>
      <c r="S428" s="633"/>
      <c r="T428" s="633"/>
      <c r="U428" s="633"/>
      <c r="V428" s="634"/>
      <c r="W428" s="42" t="s">
        <v>0</v>
      </c>
      <c r="X428" s="43">
        <f>IFERROR(SUM(X419:X426),"0")</f>
        <v>0</v>
      </c>
      <c r="Y428" s="43">
        <f>IFERROR(SUM(Y419:Y426),"0")</f>
        <v>0</v>
      </c>
      <c r="Z428" s="42"/>
      <c r="AA428" s="67"/>
      <c r="AB428" s="67"/>
      <c r="AC428" s="67"/>
    </row>
    <row r="429" spans="1:68" ht="14.25" customHeight="1" x14ac:dyDescent="0.25">
      <c r="A429" s="646" t="s">
        <v>158</v>
      </c>
      <c r="B429" s="646"/>
      <c r="C429" s="646"/>
      <c r="D429" s="646"/>
      <c r="E429" s="646"/>
      <c r="F429" s="646"/>
      <c r="G429" s="646"/>
      <c r="H429" s="646"/>
      <c r="I429" s="646"/>
      <c r="J429" s="646"/>
      <c r="K429" s="646"/>
      <c r="L429" s="646"/>
      <c r="M429" s="646"/>
      <c r="N429" s="646"/>
      <c r="O429" s="646"/>
      <c r="P429" s="646"/>
      <c r="Q429" s="646"/>
      <c r="R429" s="646"/>
      <c r="S429" s="646"/>
      <c r="T429" s="646"/>
      <c r="U429" s="646"/>
      <c r="V429" s="646"/>
      <c r="W429" s="646"/>
      <c r="X429" s="646"/>
      <c r="Y429" s="646"/>
      <c r="Z429" s="646"/>
      <c r="AA429" s="66"/>
      <c r="AB429" s="66"/>
      <c r="AC429" s="80"/>
    </row>
    <row r="430" spans="1:68" ht="27" customHeight="1" x14ac:dyDescent="0.25">
      <c r="A430" s="63" t="s">
        <v>712</v>
      </c>
      <c r="B430" s="63" t="s">
        <v>713</v>
      </c>
      <c r="C430" s="36">
        <v>4301020178</v>
      </c>
      <c r="D430" s="641">
        <v>4607091383980</v>
      </c>
      <c r="E430" s="641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130</v>
      </c>
      <c r="L430" s="37" t="s">
        <v>46</v>
      </c>
      <c r="M430" s="38" t="s">
        <v>129</v>
      </c>
      <c r="N430" s="38"/>
      <c r="O430" s="37">
        <v>50</v>
      </c>
      <c r="P430" s="6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0" s="643"/>
      <c r="R430" s="643"/>
      <c r="S430" s="643"/>
      <c r="T430" s="644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24" t="s">
        <v>714</v>
      </c>
      <c r="AG430" s="78"/>
      <c r="AJ430" s="84" t="s">
        <v>46</v>
      </c>
      <c r="AK430" s="84">
        <v>0</v>
      </c>
      <c r="BB430" s="525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715</v>
      </c>
      <c r="B431" s="63" t="s">
        <v>716</v>
      </c>
      <c r="C431" s="36">
        <v>4301020355</v>
      </c>
      <c r="D431" s="641">
        <v>4680115888425</v>
      </c>
      <c r="E431" s="641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130</v>
      </c>
      <c r="L431" s="37" t="s">
        <v>46</v>
      </c>
      <c r="M431" s="38" t="s">
        <v>129</v>
      </c>
      <c r="N431" s="38"/>
      <c r="O431" s="37">
        <v>50</v>
      </c>
      <c r="P431" s="69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1" s="643"/>
      <c r="R431" s="643"/>
      <c r="S431" s="643"/>
      <c r="T431" s="644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26" t="s">
        <v>717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718</v>
      </c>
      <c r="B432" s="63" t="s">
        <v>719</v>
      </c>
      <c r="C432" s="36">
        <v>4301020179</v>
      </c>
      <c r="D432" s="641">
        <v>4607091384178</v>
      </c>
      <c r="E432" s="641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137</v>
      </c>
      <c r="L432" s="37" t="s">
        <v>46</v>
      </c>
      <c r="M432" s="38" t="s">
        <v>129</v>
      </c>
      <c r="N432" s="38"/>
      <c r="O432" s="37">
        <v>50</v>
      </c>
      <c r="P432" s="69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2" s="643"/>
      <c r="R432" s="643"/>
      <c r="S432" s="643"/>
      <c r="T432" s="644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28" t="s">
        <v>720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635"/>
      <c r="B433" s="635"/>
      <c r="C433" s="635"/>
      <c r="D433" s="635"/>
      <c r="E433" s="635"/>
      <c r="F433" s="635"/>
      <c r="G433" s="635"/>
      <c r="H433" s="635"/>
      <c r="I433" s="635"/>
      <c r="J433" s="635"/>
      <c r="K433" s="635"/>
      <c r="L433" s="635"/>
      <c r="M433" s="635"/>
      <c r="N433" s="635"/>
      <c r="O433" s="636"/>
      <c r="P433" s="632" t="s">
        <v>40</v>
      </c>
      <c r="Q433" s="633"/>
      <c r="R433" s="633"/>
      <c r="S433" s="633"/>
      <c r="T433" s="633"/>
      <c r="U433" s="633"/>
      <c r="V433" s="634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35"/>
      <c r="B434" s="635"/>
      <c r="C434" s="635"/>
      <c r="D434" s="635"/>
      <c r="E434" s="635"/>
      <c r="F434" s="635"/>
      <c r="G434" s="635"/>
      <c r="H434" s="635"/>
      <c r="I434" s="635"/>
      <c r="J434" s="635"/>
      <c r="K434" s="635"/>
      <c r="L434" s="635"/>
      <c r="M434" s="635"/>
      <c r="N434" s="635"/>
      <c r="O434" s="636"/>
      <c r="P434" s="632" t="s">
        <v>40</v>
      </c>
      <c r="Q434" s="633"/>
      <c r="R434" s="633"/>
      <c r="S434" s="633"/>
      <c r="T434" s="633"/>
      <c r="U434" s="633"/>
      <c r="V434" s="634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customHeight="1" x14ac:dyDescent="0.25">
      <c r="A435" s="646" t="s">
        <v>86</v>
      </c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46"/>
      <c r="P435" s="646"/>
      <c r="Q435" s="646"/>
      <c r="R435" s="646"/>
      <c r="S435" s="646"/>
      <c r="T435" s="646"/>
      <c r="U435" s="646"/>
      <c r="V435" s="646"/>
      <c r="W435" s="646"/>
      <c r="X435" s="646"/>
      <c r="Y435" s="646"/>
      <c r="Z435" s="646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4301051903</v>
      </c>
      <c r="D436" s="641">
        <v>4607091383928</v>
      </c>
      <c r="E436" s="641"/>
      <c r="F436" s="62">
        <v>1.5</v>
      </c>
      <c r="G436" s="37">
        <v>6</v>
      </c>
      <c r="H436" s="62">
        <v>9</v>
      </c>
      <c r="I436" s="62">
        <v>9.5</v>
      </c>
      <c r="J436" s="37">
        <v>64</v>
      </c>
      <c r="K436" s="37" t="s">
        <v>130</v>
      </c>
      <c r="L436" s="37" t="s">
        <v>46</v>
      </c>
      <c r="M436" s="38" t="s">
        <v>90</v>
      </c>
      <c r="N436" s="38"/>
      <c r="O436" s="37">
        <v>40</v>
      </c>
      <c r="P436" s="69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6" s="643"/>
      <c r="R436" s="643"/>
      <c r="S436" s="643"/>
      <c r="T436" s="64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IFERROR(IF(Y436=0,"",ROUNDUP(Y436/H436,0)*0.01898),"")</f>
        <v/>
      </c>
      <c r="AA436" s="68" t="s">
        <v>46</v>
      </c>
      <c r="AB436" s="69" t="s">
        <v>46</v>
      </c>
      <c r="AC436" s="530" t="s">
        <v>723</v>
      </c>
      <c r="AG436" s="78"/>
      <c r="AJ436" s="84" t="s">
        <v>46</v>
      </c>
      <c r="AK436" s="84">
        <v>0</v>
      </c>
      <c r="BB436" s="531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724</v>
      </c>
      <c r="B437" s="63" t="s">
        <v>725</v>
      </c>
      <c r="C437" s="36">
        <v>4301051897</v>
      </c>
      <c r="D437" s="641">
        <v>4607091384260</v>
      </c>
      <c r="E437" s="641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130</v>
      </c>
      <c r="L437" s="37" t="s">
        <v>46</v>
      </c>
      <c r="M437" s="38" t="s">
        <v>90</v>
      </c>
      <c r="N437" s="38"/>
      <c r="O437" s="37">
        <v>40</v>
      </c>
      <c r="P437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7" s="643"/>
      <c r="R437" s="643"/>
      <c r="S437" s="643"/>
      <c r="T437" s="64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726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727</v>
      </c>
      <c r="B438" s="63" t="s">
        <v>728</v>
      </c>
      <c r="C438" s="36">
        <v>4301052220</v>
      </c>
      <c r="D438" s="641">
        <v>4680115889538</v>
      </c>
      <c r="E438" s="641"/>
      <c r="F438" s="62">
        <v>0.8</v>
      </c>
      <c r="G438" s="37">
        <v>6</v>
      </c>
      <c r="H438" s="62">
        <v>4.8</v>
      </c>
      <c r="I438" s="62">
        <v>5.2160000000000002</v>
      </c>
      <c r="J438" s="37">
        <v>104</v>
      </c>
      <c r="K438" s="37" t="s">
        <v>130</v>
      </c>
      <c r="L438" s="37" t="s">
        <v>46</v>
      </c>
      <c r="M438" s="38" t="s">
        <v>90</v>
      </c>
      <c r="N438" s="38"/>
      <c r="O438" s="37">
        <v>45</v>
      </c>
      <c r="P438" s="69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8" s="643"/>
      <c r="R438" s="643"/>
      <c r="S438" s="643"/>
      <c r="T438" s="64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IFERROR(IF(Y438=0,"",ROUNDUP(Y438/H438,0)*0.01196),"")</f>
        <v/>
      </c>
      <c r="AA438" s="68" t="s">
        <v>46</v>
      </c>
      <c r="AB438" s="69" t="s">
        <v>46</v>
      </c>
      <c r="AC438" s="534" t="s">
        <v>729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35"/>
      <c r="B439" s="635"/>
      <c r="C439" s="635"/>
      <c r="D439" s="635"/>
      <c r="E439" s="635"/>
      <c r="F439" s="635"/>
      <c r="G439" s="635"/>
      <c r="H439" s="635"/>
      <c r="I439" s="635"/>
      <c r="J439" s="635"/>
      <c r="K439" s="635"/>
      <c r="L439" s="635"/>
      <c r="M439" s="635"/>
      <c r="N439" s="635"/>
      <c r="O439" s="636"/>
      <c r="P439" s="632" t="s">
        <v>40</v>
      </c>
      <c r="Q439" s="633"/>
      <c r="R439" s="633"/>
      <c r="S439" s="633"/>
      <c r="T439" s="633"/>
      <c r="U439" s="633"/>
      <c r="V439" s="634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5"/>
      <c r="B440" s="635"/>
      <c r="C440" s="635"/>
      <c r="D440" s="635"/>
      <c r="E440" s="635"/>
      <c r="F440" s="635"/>
      <c r="G440" s="635"/>
      <c r="H440" s="635"/>
      <c r="I440" s="635"/>
      <c r="J440" s="635"/>
      <c r="K440" s="635"/>
      <c r="L440" s="635"/>
      <c r="M440" s="635"/>
      <c r="N440" s="635"/>
      <c r="O440" s="636"/>
      <c r="P440" s="632" t="s">
        <v>40</v>
      </c>
      <c r="Q440" s="633"/>
      <c r="R440" s="633"/>
      <c r="S440" s="633"/>
      <c r="T440" s="633"/>
      <c r="U440" s="633"/>
      <c r="V440" s="634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646" t="s">
        <v>175</v>
      </c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46"/>
      <c r="P441" s="646"/>
      <c r="Q441" s="646"/>
      <c r="R441" s="646"/>
      <c r="S441" s="646"/>
      <c r="T441" s="646"/>
      <c r="U441" s="646"/>
      <c r="V441" s="646"/>
      <c r="W441" s="646"/>
      <c r="X441" s="646"/>
      <c r="Y441" s="646"/>
      <c r="Z441" s="646"/>
      <c r="AA441" s="66"/>
      <c r="AB441" s="66"/>
      <c r="AC441" s="80"/>
    </row>
    <row r="442" spans="1:68" ht="27" customHeight="1" x14ac:dyDescent="0.25">
      <c r="A442" s="63" t="s">
        <v>730</v>
      </c>
      <c r="B442" s="63" t="s">
        <v>731</v>
      </c>
      <c r="C442" s="36">
        <v>4301060537</v>
      </c>
      <c r="D442" s="641">
        <v>4680115889545</v>
      </c>
      <c r="E442" s="641"/>
      <c r="F442" s="62">
        <v>0.7</v>
      </c>
      <c r="G442" s="37">
        <v>6</v>
      </c>
      <c r="H442" s="62">
        <v>4.2</v>
      </c>
      <c r="I442" s="62">
        <v>4.6159999999999997</v>
      </c>
      <c r="J442" s="37">
        <v>104</v>
      </c>
      <c r="K442" s="37" t="s">
        <v>130</v>
      </c>
      <c r="L442" s="37" t="s">
        <v>46</v>
      </c>
      <c r="M442" s="38" t="s">
        <v>90</v>
      </c>
      <c r="N442" s="38"/>
      <c r="O442" s="37">
        <v>30</v>
      </c>
      <c r="P442" s="69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2" s="643"/>
      <c r="R442" s="643"/>
      <c r="S442" s="643"/>
      <c r="T442" s="64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36" t="s">
        <v>732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733</v>
      </c>
      <c r="B443" s="63" t="s">
        <v>734</v>
      </c>
      <c r="C443" s="36">
        <v>4301060524</v>
      </c>
      <c r="D443" s="641">
        <v>4607091384673</v>
      </c>
      <c r="E443" s="64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130</v>
      </c>
      <c r="L443" s="37" t="s">
        <v>46</v>
      </c>
      <c r="M443" s="38" t="s">
        <v>90</v>
      </c>
      <c r="N443" s="38"/>
      <c r="O443" s="37">
        <v>40</v>
      </c>
      <c r="P443" s="69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3" s="643"/>
      <c r="R443" s="643"/>
      <c r="S443" s="643"/>
      <c r="T443" s="64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8" t="s">
        <v>735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635"/>
      <c r="B444" s="635"/>
      <c r="C444" s="635"/>
      <c r="D444" s="635"/>
      <c r="E444" s="635"/>
      <c r="F444" s="635"/>
      <c r="G444" s="635"/>
      <c r="H444" s="635"/>
      <c r="I444" s="635"/>
      <c r="J444" s="635"/>
      <c r="K444" s="635"/>
      <c r="L444" s="635"/>
      <c r="M444" s="635"/>
      <c r="N444" s="635"/>
      <c r="O444" s="636"/>
      <c r="P444" s="632" t="s">
        <v>40</v>
      </c>
      <c r="Q444" s="633"/>
      <c r="R444" s="633"/>
      <c r="S444" s="633"/>
      <c r="T444" s="633"/>
      <c r="U444" s="633"/>
      <c r="V444" s="634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x14ac:dyDescent="0.2">
      <c r="A445" s="635"/>
      <c r="B445" s="635"/>
      <c r="C445" s="635"/>
      <c r="D445" s="635"/>
      <c r="E445" s="635"/>
      <c r="F445" s="635"/>
      <c r="G445" s="635"/>
      <c r="H445" s="635"/>
      <c r="I445" s="635"/>
      <c r="J445" s="635"/>
      <c r="K445" s="635"/>
      <c r="L445" s="635"/>
      <c r="M445" s="635"/>
      <c r="N445" s="635"/>
      <c r="O445" s="636"/>
      <c r="P445" s="632" t="s">
        <v>40</v>
      </c>
      <c r="Q445" s="633"/>
      <c r="R445" s="633"/>
      <c r="S445" s="633"/>
      <c r="T445" s="633"/>
      <c r="U445" s="633"/>
      <c r="V445" s="634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6.5" customHeight="1" x14ac:dyDescent="0.25">
      <c r="A446" s="645" t="s">
        <v>736</v>
      </c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5"/>
      <c r="P446" s="645"/>
      <c r="Q446" s="645"/>
      <c r="R446" s="645"/>
      <c r="S446" s="645"/>
      <c r="T446" s="645"/>
      <c r="U446" s="645"/>
      <c r="V446" s="645"/>
      <c r="W446" s="645"/>
      <c r="X446" s="645"/>
      <c r="Y446" s="645"/>
      <c r="Z446" s="645"/>
      <c r="AA446" s="65"/>
      <c r="AB446" s="65"/>
      <c r="AC446" s="79"/>
    </row>
    <row r="447" spans="1:68" ht="14.25" customHeight="1" x14ac:dyDescent="0.25">
      <c r="A447" s="646" t="s">
        <v>125</v>
      </c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46"/>
      <c r="P447" s="646"/>
      <c r="Q447" s="646"/>
      <c r="R447" s="646"/>
      <c r="S447" s="646"/>
      <c r="T447" s="646"/>
      <c r="U447" s="646"/>
      <c r="V447" s="646"/>
      <c r="W447" s="646"/>
      <c r="X447" s="646"/>
      <c r="Y447" s="646"/>
      <c r="Z447" s="646"/>
      <c r="AA447" s="66"/>
      <c r="AB447" s="66"/>
      <c r="AC447" s="80"/>
    </row>
    <row r="448" spans="1:68" ht="27" customHeight="1" x14ac:dyDescent="0.25">
      <c r="A448" s="63" t="s">
        <v>737</v>
      </c>
      <c r="B448" s="63" t="s">
        <v>738</v>
      </c>
      <c r="C448" s="36">
        <v>4301011875</v>
      </c>
      <c r="D448" s="641">
        <v>4680115884885</v>
      </c>
      <c r="E448" s="641"/>
      <c r="F448" s="62">
        <v>0.8</v>
      </c>
      <c r="G448" s="37">
        <v>15</v>
      </c>
      <c r="H448" s="62">
        <v>12</v>
      </c>
      <c r="I448" s="62">
        <v>12.41</v>
      </c>
      <c r="J448" s="37">
        <v>64</v>
      </c>
      <c r="K448" s="37" t="s">
        <v>130</v>
      </c>
      <c r="L448" s="37" t="s">
        <v>46</v>
      </c>
      <c r="M448" s="38" t="s">
        <v>81</v>
      </c>
      <c r="N448" s="38"/>
      <c r="O448" s="37">
        <v>60</v>
      </c>
      <c r="P448" s="6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8" s="643"/>
      <c r="R448" s="643"/>
      <c r="S448" s="643"/>
      <c r="T448" s="64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40" t="s">
        <v>739</v>
      </c>
      <c r="AG448" s="78"/>
      <c r="AJ448" s="84" t="s">
        <v>46</v>
      </c>
      <c r="AK448" s="84">
        <v>0</v>
      </c>
      <c r="BB448" s="54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37.5" customHeight="1" x14ac:dyDescent="0.25">
      <c r="A449" s="63" t="s">
        <v>740</v>
      </c>
      <c r="B449" s="63" t="s">
        <v>741</v>
      </c>
      <c r="C449" s="36">
        <v>4301011871</v>
      </c>
      <c r="D449" s="641">
        <v>4680115884908</v>
      </c>
      <c r="E449" s="641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137</v>
      </c>
      <c r="L449" s="37" t="s">
        <v>46</v>
      </c>
      <c r="M449" s="38" t="s">
        <v>81</v>
      </c>
      <c r="N449" s="38"/>
      <c r="O449" s="37">
        <v>60</v>
      </c>
      <c r="P449" s="6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9" s="643"/>
      <c r="R449" s="643"/>
      <c r="S449" s="643"/>
      <c r="T449" s="644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2" t="s">
        <v>739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35"/>
      <c r="B450" s="635"/>
      <c r="C450" s="635"/>
      <c r="D450" s="635"/>
      <c r="E450" s="635"/>
      <c r="F450" s="635"/>
      <c r="G450" s="635"/>
      <c r="H450" s="635"/>
      <c r="I450" s="635"/>
      <c r="J450" s="635"/>
      <c r="K450" s="635"/>
      <c r="L450" s="635"/>
      <c r="M450" s="635"/>
      <c r="N450" s="635"/>
      <c r="O450" s="636"/>
      <c r="P450" s="632" t="s">
        <v>40</v>
      </c>
      <c r="Q450" s="633"/>
      <c r="R450" s="633"/>
      <c r="S450" s="633"/>
      <c r="T450" s="633"/>
      <c r="U450" s="633"/>
      <c r="V450" s="634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x14ac:dyDescent="0.2">
      <c r="A451" s="635"/>
      <c r="B451" s="635"/>
      <c r="C451" s="635"/>
      <c r="D451" s="635"/>
      <c r="E451" s="635"/>
      <c r="F451" s="635"/>
      <c r="G451" s="635"/>
      <c r="H451" s="635"/>
      <c r="I451" s="635"/>
      <c r="J451" s="635"/>
      <c r="K451" s="635"/>
      <c r="L451" s="635"/>
      <c r="M451" s="635"/>
      <c r="N451" s="635"/>
      <c r="O451" s="636"/>
      <c r="P451" s="632" t="s">
        <v>40</v>
      </c>
      <c r="Q451" s="633"/>
      <c r="R451" s="633"/>
      <c r="S451" s="633"/>
      <c r="T451" s="633"/>
      <c r="U451" s="633"/>
      <c r="V451" s="634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4.25" customHeight="1" x14ac:dyDescent="0.25">
      <c r="A452" s="646" t="s">
        <v>77</v>
      </c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46"/>
      <c r="P452" s="646"/>
      <c r="Q452" s="646"/>
      <c r="R452" s="646"/>
      <c r="S452" s="646"/>
      <c r="T452" s="646"/>
      <c r="U452" s="646"/>
      <c r="V452" s="646"/>
      <c r="W452" s="646"/>
      <c r="X452" s="646"/>
      <c r="Y452" s="646"/>
      <c r="Z452" s="646"/>
      <c r="AA452" s="66"/>
      <c r="AB452" s="66"/>
      <c r="AC452" s="80"/>
    </row>
    <row r="453" spans="1:68" ht="27" customHeight="1" x14ac:dyDescent="0.25">
      <c r="A453" s="63" t="s">
        <v>742</v>
      </c>
      <c r="B453" s="63" t="s">
        <v>743</v>
      </c>
      <c r="C453" s="36">
        <v>4301031457</v>
      </c>
      <c r="D453" s="641">
        <v>4607091384802</v>
      </c>
      <c r="E453" s="641"/>
      <c r="F453" s="62">
        <v>0.7</v>
      </c>
      <c r="G453" s="37">
        <v>6</v>
      </c>
      <c r="H453" s="62">
        <v>4.2</v>
      </c>
      <c r="I453" s="62">
        <v>4.45</v>
      </c>
      <c r="J453" s="37">
        <v>132</v>
      </c>
      <c r="K453" s="37" t="s">
        <v>137</v>
      </c>
      <c r="L453" s="37" t="s">
        <v>46</v>
      </c>
      <c r="M453" s="38" t="s">
        <v>81</v>
      </c>
      <c r="N453" s="38"/>
      <c r="O453" s="37">
        <v>50</v>
      </c>
      <c r="P453" s="68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3" s="643"/>
      <c r="R453" s="643"/>
      <c r="S453" s="643"/>
      <c r="T453" s="64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44" t="s">
        <v>744</v>
      </c>
      <c r="AG453" s="78"/>
      <c r="AJ453" s="84" t="s">
        <v>46</v>
      </c>
      <c r="AK453" s="84">
        <v>0</v>
      </c>
      <c r="BB453" s="54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35"/>
      <c r="B454" s="635"/>
      <c r="C454" s="635"/>
      <c r="D454" s="635"/>
      <c r="E454" s="635"/>
      <c r="F454" s="635"/>
      <c r="G454" s="635"/>
      <c r="H454" s="635"/>
      <c r="I454" s="635"/>
      <c r="J454" s="635"/>
      <c r="K454" s="635"/>
      <c r="L454" s="635"/>
      <c r="M454" s="635"/>
      <c r="N454" s="635"/>
      <c r="O454" s="636"/>
      <c r="P454" s="632" t="s">
        <v>40</v>
      </c>
      <c r="Q454" s="633"/>
      <c r="R454" s="633"/>
      <c r="S454" s="633"/>
      <c r="T454" s="633"/>
      <c r="U454" s="633"/>
      <c r="V454" s="634"/>
      <c r="W454" s="42" t="s">
        <v>39</v>
      </c>
      <c r="X454" s="43">
        <f>IFERROR(X453/H453,"0")</f>
        <v>0</v>
      </c>
      <c r="Y454" s="43">
        <f>IFERROR(Y453/H453,"0")</f>
        <v>0</v>
      </c>
      <c r="Z454" s="43">
        <f>IFERROR(IF(Z453="",0,Z453),"0")</f>
        <v>0</v>
      </c>
      <c r="AA454" s="67"/>
      <c r="AB454" s="67"/>
      <c r="AC454" s="67"/>
    </row>
    <row r="455" spans="1:68" x14ac:dyDescent="0.2">
      <c r="A455" s="635"/>
      <c r="B455" s="635"/>
      <c r="C455" s="635"/>
      <c r="D455" s="635"/>
      <c r="E455" s="635"/>
      <c r="F455" s="635"/>
      <c r="G455" s="635"/>
      <c r="H455" s="635"/>
      <c r="I455" s="635"/>
      <c r="J455" s="635"/>
      <c r="K455" s="635"/>
      <c r="L455" s="635"/>
      <c r="M455" s="635"/>
      <c r="N455" s="635"/>
      <c r="O455" s="636"/>
      <c r="P455" s="632" t="s">
        <v>40</v>
      </c>
      <c r="Q455" s="633"/>
      <c r="R455" s="633"/>
      <c r="S455" s="633"/>
      <c r="T455" s="633"/>
      <c r="U455" s="633"/>
      <c r="V455" s="634"/>
      <c r="W455" s="42" t="s">
        <v>0</v>
      </c>
      <c r="X455" s="43">
        <f>IFERROR(SUM(X453:X453),"0")</f>
        <v>0</v>
      </c>
      <c r="Y455" s="43">
        <f>IFERROR(SUM(Y453:Y453),"0")</f>
        <v>0</v>
      </c>
      <c r="Z455" s="42"/>
      <c r="AA455" s="67"/>
      <c r="AB455" s="67"/>
      <c r="AC455" s="67"/>
    </row>
    <row r="456" spans="1:68" ht="14.25" customHeight="1" x14ac:dyDescent="0.25">
      <c r="A456" s="646" t="s">
        <v>86</v>
      </c>
      <c r="B456" s="646"/>
      <c r="C456" s="646"/>
      <c r="D456" s="646"/>
      <c r="E456" s="646"/>
      <c r="F456" s="646"/>
      <c r="G456" s="646"/>
      <c r="H456" s="646"/>
      <c r="I456" s="646"/>
      <c r="J456" s="646"/>
      <c r="K456" s="646"/>
      <c r="L456" s="646"/>
      <c r="M456" s="646"/>
      <c r="N456" s="646"/>
      <c r="O456" s="646"/>
      <c r="P456" s="646"/>
      <c r="Q456" s="646"/>
      <c r="R456" s="646"/>
      <c r="S456" s="646"/>
      <c r="T456" s="646"/>
      <c r="U456" s="646"/>
      <c r="V456" s="646"/>
      <c r="W456" s="646"/>
      <c r="X456" s="646"/>
      <c r="Y456" s="646"/>
      <c r="Z456" s="646"/>
      <c r="AA456" s="66"/>
      <c r="AB456" s="66"/>
      <c r="AC456" s="80"/>
    </row>
    <row r="457" spans="1:68" ht="27" customHeight="1" x14ac:dyDescent="0.25">
      <c r="A457" s="63" t="s">
        <v>745</v>
      </c>
      <c r="B457" s="63" t="s">
        <v>746</v>
      </c>
      <c r="C457" s="36">
        <v>4301051899</v>
      </c>
      <c r="D457" s="641">
        <v>4607091384246</v>
      </c>
      <c r="E457" s="641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130</v>
      </c>
      <c r="L457" s="37" t="s">
        <v>46</v>
      </c>
      <c r="M457" s="38" t="s">
        <v>90</v>
      </c>
      <c r="N457" s="38"/>
      <c r="O457" s="37">
        <v>40</v>
      </c>
      <c r="P457" s="68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7" s="643"/>
      <c r="R457" s="643"/>
      <c r="S457" s="643"/>
      <c r="T457" s="64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46" t="s">
        <v>747</v>
      </c>
      <c r="AG457" s="78"/>
      <c r="AJ457" s="84" t="s">
        <v>46</v>
      </c>
      <c r="AK457" s="84">
        <v>0</v>
      </c>
      <c r="BB457" s="54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748</v>
      </c>
      <c r="B458" s="63" t="s">
        <v>749</v>
      </c>
      <c r="C458" s="36">
        <v>4301051660</v>
      </c>
      <c r="D458" s="641">
        <v>4607091384253</v>
      </c>
      <c r="E458" s="641"/>
      <c r="F458" s="62">
        <v>0.4</v>
      </c>
      <c r="G458" s="37">
        <v>6</v>
      </c>
      <c r="H458" s="62">
        <v>2.4</v>
      </c>
      <c r="I458" s="62">
        <v>2.6640000000000001</v>
      </c>
      <c r="J458" s="37">
        <v>182</v>
      </c>
      <c r="K458" s="37" t="s">
        <v>91</v>
      </c>
      <c r="L458" s="37" t="s">
        <v>46</v>
      </c>
      <c r="M458" s="38" t="s">
        <v>90</v>
      </c>
      <c r="N458" s="38"/>
      <c r="O458" s="37">
        <v>40</v>
      </c>
      <c r="P458" s="6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8" s="643"/>
      <c r="R458" s="643"/>
      <c r="S458" s="643"/>
      <c r="T458" s="64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48" t="s">
        <v>747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748</v>
      </c>
      <c r="B459" s="63" t="s">
        <v>750</v>
      </c>
      <c r="C459" s="36">
        <v>4301052069</v>
      </c>
      <c r="D459" s="641">
        <v>4607091384253</v>
      </c>
      <c r="E459" s="641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91</v>
      </c>
      <c r="L459" s="37" t="s">
        <v>46</v>
      </c>
      <c r="M459" s="38" t="s">
        <v>90</v>
      </c>
      <c r="N459" s="38"/>
      <c r="O459" s="37">
        <v>40</v>
      </c>
      <c r="P459" s="6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9" s="643"/>
      <c r="R459" s="643"/>
      <c r="S459" s="643"/>
      <c r="T459" s="64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751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35"/>
      <c r="B460" s="635"/>
      <c r="C460" s="635"/>
      <c r="D460" s="635"/>
      <c r="E460" s="635"/>
      <c r="F460" s="635"/>
      <c r="G460" s="635"/>
      <c r="H460" s="635"/>
      <c r="I460" s="635"/>
      <c r="J460" s="635"/>
      <c r="K460" s="635"/>
      <c r="L460" s="635"/>
      <c r="M460" s="635"/>
      <c r="N460" s="635"/>
      <c r="O460" s="636"/>
      <c r="P460" s="632" t="s">
        <v>40</v>
      </c>
      <c r="Q460" s="633"/>
      <c r="R460" s="633"/>
      <c r="S460" s="633"/>
      <c r="T460" s="633"/>
      <c r="U460" s="633"/>
      <c r="V460" s="634"/>
      <c r="W460" s="42" t="s">
        <v>39</v>
      </c>
      <c r="X460" s="43">
        <f>IFERROR(X457/H457,"0")+IFERROR(X458/H458,"0")+IFERROR(X459/H459,"0")</f>
        <v>0</v>
      </c>
      <c r="Y460" s="43">
        <f>IFERROR(Y457/H457,"0")+IFERROR(Y458/H458,"0")+IFERROR(Y459/H459,"0")</f>
        <v>0</v>
      </c>
      <c r="Z460" s="43">
        <f>IFERROR(IF(Z457="",0,Z457),"0")+IFERROR(IF(Z458="",0,Z458),"0")+IFERROR(IF(Z459="",0,Z459),"0")</f>
        <v>0</v>
      </c>
      <c r="AA460" s="67"/>
      <c r="AB460" s="67"/>
      <c r="AC460" s="67"/>
    </row>
    <row r="461" spans="1:68" x14ac:dyDescent="0.2">
      <c r="A461" s="635"/>
      <c r="B461" s="635"/>
      <c r="C461" s="635"/>
      <c r="D461" s="635"/>
      <c r="E461" s="635"/>
      <c r="F461" s="635"/>
      <c r="G461" s="635"/>
      <c r="H461" s="635"/>
      <c r="I461" s="635"/>
      <c r="J461" s="635"/>
      <c r="K461" s="635"/>
      <c r="L461" s="635"/>
      <c r="M461" s="635"/>
      <c r="N461" s="635"/>
      <c r="O461" s="636"/>
      <c r="P461" s="632" t="s">
        <v>40</v>
      </c>
      <c r="Q461" s="633"/>
      <c r="R461" s="633"/>
      <c r="S461" s="633"/>
      <c r="T461" s="633"/>
      <c r="U461" s="633"/>
      <c r="V461" s="634"/>
      <c r="W461" s="42" t="s">
        <v>0</v>
      </c>
      <c r="X461" s="43">
        <f>IFERROR(SUM(X457:X459),"0")</f>
        <v>0</v>
      </c>
      <c r="Y461" s="43">
        <f>IFERROR(SUM(Y457:Y459),"0")</f>
        <v>0</v>
      </c>
      <c r="Z461" s="42"/>
      <c r="AA461" s="67"/>
      <c r="AB461" s="67"/>
      <c r="AC461" s="67"/>
    </row>
    <row r="462" spans="1:68" ht="27.75" customHeight="1" x14ac:dyDescent="0.2">
      <c r="A462" s="652" t="s">
        <v>752</v>
      </c>
      <c r="B462" s="652"/>
      <c r="C462" s="652"/>
      <c r="D462" s="652"/>
      <c r="E462" s="652"/>
      <c r="F462" s="652"/>
      <c r="G462" s="652"/>
      <c r="H462" s="652"/>
      <c r="I462" s="652"/>
      <c r="J462" s="652"/>
      <c r="K462" s="652"/>
      <c r="L462" s="652"/>
      <c r="M462" s="652"/>
      <c r="N462" s="652"/>
      <c r="O462" s="652"/>
      <c r="P462" s="652"/>
      <c r="Q462" s="652"/>
      <c r="R462" s="652"/>
      <c r="S462" s="652"/>
      <c r="T462" s="652"/>
      <c r="U462" s="652"/>
      <c r="V462" s="652"/>
      <c r="W462" s="652"/>
      <c r="X462" s="652"/>
      <c r="Y462" s="652"/>
      <c r="Z462" s="652"/>
      <c r="AA462" s="54"/>
      <c r="AB462" s="54"/>
      <c r="AC462" s="54"/>
    </row>
    <row r="463" spans="1:68" ht="16.5" customHeight="1" x14ac:dyDescent="0.25">
      <c r="A463" s="645" t="s">
        <v>753</v>
      </c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5"/>
      <c r="P463" s="645"/>
      <c r="Q463" s="645"/>
      <c r="R463" s="645"/>
      <c r="S463" s="645"/>
      <c r="T463" s="645"/>
      <c r="U463" s="645"/>
      <c r="V463" s="645"/>
      <c r="W463" s="645"/>
      <c r="X463" s="645"/>
      <c r="Y463" s="645"/>
      <c r="Z463" s="645"/>
      <c r="AA463" s="65"/>
      <c r="AB463" s="65"/>
      <c r="AC463" s="79"/>
    </row>
    <row r="464" spans="1:68" ht="14.25" customHeight="1" x14ac:dyDescent="0.25">
      <c r="A464" s="646" t="s">
        <v>77</v>
      </c>
      <c r="B464" s="646"/>
      <c r="C464" s="646"/>
      <c r="D464" s="646"/>
      <c r="E464" s="646"/>
      <c r="F464" s="646"/>
      <c r="G464" s="646"/>
      <c r="H464" s="646"/>
      <c r="I464" s="646"/>
      <c r="J464" s="646"/>
      <c r="K464" s="646"/>
      <c r="L464" s="646"/>
      <c r="M464" s="646"/>
      <c r="N464" s="646"/>
      <c r="O464" s="646"/>
      <c r="P464" s="646"/>
      <c r="Q464" s="646"/>
      <c r="R464" s="646"/>
      <c r="S464" s="646"/>
      <c r="T464" s="646"/>
      <c r="U464" s="646"/>
      <c r="V464" s="646"/>
      <c r="W464" s="646"/>
      <c r="X464" s="646"/>
      <c r="Y464" s="646"/>
      <c r="Z464" s="646"/>
      <c r="AA464" s="66"/>
      <c r="AB464" s="66"/>
      <c r="AC464" s="80"/>
    </row>
    <row r="465" spans="1:68" ht="27" customHeight="1" x14ac:dyDescent="0.25">
      <c r="A465" s="63" t="s">
        <v>754</v>
      </c>
      <c r="B465" s="63" t="s">
        <v>755</v>
      </c>
      <c r="C465" s="36">
        <v>4301031405</v>
      </c>
      <c r="D465" s="641">
        <v>4680115886100</v>
      </c>
      <c r="E465" s="641"/>
      <c r="F465" s="62">
        <v>0.9</v>
      </c>
      <c r="G465" s="37">
        <v>6</v>
      </c>
      <c r="H465" s="62">
        <v>5.4</v>
      </c>
      <c r="I465" s="62">
        <v>5.59</v>
      </c>
      <c r="J465" s="37">
        <v>132</v>
      </c>
      <c r="K465" s="37" t="s">
        <v>137</v>
      </c>
      <c r="L465" s="37" t="s">
        <v>46</v>
      </c>
      <c r="M465" s="38" t="s">
        <v>81</v>
      </c>
      <c r="N465" s="38"/>
      <c r="O465" s="37">
        <v>50</v>
      </c>
      <c r="P465" s="6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5" s="643"/>
      <c r="R465" s="643"/>
      <c r="S465" s="643"/>
      <c r="T465" s="644"/>
      <c r="U465" s="39" t="s">
        <v>46</v>
      </c>
      <c r="V465" s="39" t="s">
        <v>46</v>
      </c>
      <c r="W465" s="40" t="s">
        <v>0</v>
      </c>
      <c r="X465" s="58">
        <v>0</v>
      </c>
      <c r="Y465" s="55">
        <f t="shared" ref="Y465:Y470" si="69"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52" t="s">
        <v>756</v>
      </c>
      <c r="AG465" s="78"/>
      <c r="AJ465" s="84" t="s">
        <v>46</v>
      </c>
      <c r="AK465" s="84">
        <v>0</v>
      </c>
      <c r="BB465" s="553" t="s">
        <v>67</v>
      </c>
      <c r="BM465" s="78">
        <f t="shared" ref="BM465:BM470" si="70">IFERROR(X465*I465/H465,"0")</f>
        <v>0</v>
      </c>
      <c r="BN465" s="78">
        <f t="shared" ref="BN465:BN470" si="71">IFERROR(Y465*I465/H465,"0")</f>
        <v>0</v>
      </c>
      <c r="BO465" s="78">
        <f t="shared" ref="BO465:BO470" si="72">IFERROR(1/J465*(X465/H465),"0")</f>
        <v>0</v>
      </c>
      <c r="BP465" s="78">
        <f t="shared" ref="BP465:BP470" si="73">IFERROR(1/J465*(Y465/H465),"0")</f>
        <v>0</v>
      </c>
    </row>
    <row r="466" spans="1:68" ht="27" customHeight="1" x14ac:dyDescent="0.25">
      <c r="A466" s="63" t="s">
        <v>757</v>
      </c>
      <c r="B466" s="63" t="s">
        <v>758</v>
      </c>
      <c r="C466" s="36">
        <v>4301031402</v>
      </c>
      <c r="D466" s="641">
        <v>4680115886124</v>
      </c>
      <c r="E466" s="641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137</v>
      </c>
      <c r="L466" s="37" t="s">
        <v>46</v>
      </c>
      <c r="M466" s="38" t="s">
        <v>81</v>
      </c>
      <c r="N466" s="38"/>
      <c r="O466" s="37">
        <v>50</v>
      </c>
      <c r="P466" s="67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6" s="643"/>
      <c r="R466" s="643"/>
      <c r="S466" s="643"/>
      <c r="T466" s="644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si="69"/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759</v>
      </c>
      <c r="AG466" s="78"/>
      <c r="AJ466" s="84" t="s">
        <v>46</v>
      </c>
      <c r="AK466" s="84">
        <v>0</v>
      </c>
      <c r="BB466" s="555" t="s">
        <v>67</v>
      </c>
      <c r="BM466" s="78">
        <f t="shared" si="70"/>
        <v>0</v>
      </c>
      <c r="BN466" s="78">
        <f t="shared" si="71"/>
        <v>0</v>
      </c>
      <c r="BO466" s="78">
        <f t="shared" si="72"/>
        <v>0</v>
      </c>
      <c r="BP466" s="78">
        <f t="shared" si="73"/>
        <v>0</v>
      </c>
    </row>
    <row r="467" spans="1:68" ht="27" customHeight="1" x14ac:dyDescent="0.25">
      <c r="A467" s="63" t="s">
        <v>760</v>
      </c>
      <c r="B467" s="63" t="s">
        <v>761</v>
      </c>
      <c r="C467" s="36">
        <v>4301031362</v>
      </c>
      <c r="D467" s="641">
        <v>4607091384338</v>
      </c>
      <c r="E467" s="641"/>
      <c r="F467" s="62">
        <v>0.35</v>
      </c>
      <c r="G467" s="37">
        <v>6</v>
      </c>
      <c r="H467" s="62">
        <v>2.1</v>
      </c>
      <c r="I467" s="62">
        <v>2.23</v>
      </c>
      <c r="J467" s="37">
        <v>234</v>
      </c>
      <c r="K467" s="37" t="s">
        <v>82</v>
      </c>
      <c r="L467" s="37" t="s">
        <v>46</v>
      </c>
      <c r="M467" s="38" t="s">
        <v>81</v>
      </c>
      <c r="N467" s="38"/>
      <c r="O467" s="37">
        <v>50</v>
      </c>
      <c r="P467" s="68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7" s="643"/>
      <c r="R467" s="643"/>
      <c r="S467" s="643"/>
      <c r="T467" s="644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9"/>
        <v>0</v>
      </c>
      <c r="Z467" s="41" t="str">
        <f>IFERROR(IF(Y467=0,"",ROUNDUP(Y467/H467,0)*0.00502),"")</f>
        <v/>
      </c>
      <c r="AA467" s="68" t="s">
        <v>46</v>
      </c>
      <c r="AB467" s="69" t="s">
        <v>46</v>
      </c>
      <c r="AC467" s="556" t="s">
        <v>756</v>
      </c>
      <c r="AG467" s="78"/>
      <c r="AJ467" s="84" t="s">
        <v>46</v>
      </c>
      <c r="AK467" s="84">
        <v>0</v>
      </c>
      <c r="BB467" s="557" t="s">
        <v>67</v>
      </c>
      <c r="BM467" s="78">
        <f t="shared" si="70"/>
        <v>0</v>
      </c>
      <c r="BN467" s="78">
        <f t="shared" si="71"/>
        <v>0</v>
      </c>
      <c r="BO467" s="78">
        <f t="shared" si="72"/>
        <v>0</v>
      </c>
      <c r="BP467" s="78">
        <f t="shared" si="73"/>
        <v>0</v>
      </c>
    </row>
    <row r="468" spans="1:68" ht="27" customHeight="1" x14ac:dyDescent="0.25">
      <c r="A468" s="63" t="s">
        <v>762</v>
      </c>
      <c r="B468" s="63" t="s">
        <v>763</v>
      </c>
      <c r="C468" s="36">
        <v>4301031364</v>
      </c>
      <c r="D468" s="641">
        <v>4680115883161</v>
      </c>
      <c r="E468" s="641"/>
      <c r="F468" s="62">
        <v>0.28000000000000003</v>
      </c>
      <c r="G468" s="37">
        <v>6</v>
      </c>
      <c r="H468" s="62">
        <v>1.68</v>
      </c>
      <c r="I468" s="62">
        <v>1.81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68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8" s="643"/>
      <c r="R468" s="643"/>
      <c r="S468" s="643"/>
      <c r="T468" s="644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9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764</v>
      </c>
      <c r="AG468" s="78"/>
      <c r="AJ468" s="84" t="s">
        <v>46</v>
      </c>
      <c r="AK468" s="84">
        <v>0</v>
      </c>
      <c r="BB468" s="559" t="s">
        <v>67</v>
      </c>
      <c r="BM468" s="78">
        <f t="shared" si="70"/>
        <v>0</v>
      </c>
      <c r="BN468" s="78">
        <f t="shared" si="71"/>
        <v>0</v>
      </c>
      <c r="BO468" s="78">
        <f t="shared" si="72"/>
        <v>0</v>
      </c>
      <c r="BP468" s="78">
        <f t="shared" si="73"/>
        <v>0</v>
      </c>
    </row>
    <row r="469" spans="1:68" ht="27" customHeight="1" x14ac:dyDescent="0.25">
      <c r="A469" s="63" t="s">
        <v>765</v>
      </c>
      <c r="B469" s="63" t="s">
        <v>766</v>
      </c>
      <c r="C469" s="36">
        <v>4301031358</v>
      </c>
      <c r="D469" s="641">
        <v>4607091389531</v>
      </c>
      <c r="E469" s="641"/>
      <c r="F469" s="62">
        <v>0.35</v>
      </c>
      <c r="G469" s="37">
        <v>6</v>
      </c>
      <c r="H469" s="62">
        <v>2.1</v>
      </c>
      <c r="I469" s="62">
        <v>2.23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68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9" s="643"/>
      <c r="R469" s="643"/>
      <c r="S469" s="643"/>
      <c r="T469" s="64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9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767</v>
      </c>
      <c r="AG469" s="78"/>
      <c r="AJ469" s="84" t="s">
        <v>46</v>
      </c>
      <c r="AK469" s="84">
        <v>0</v>
      </c>
      <c r="BB469" s="561" t="s">
        <v>67</v>
      </c>
      <c r="BM469" s="78">
        <f t="shared" si="70"/>
        <v>0</v>
      </c>
      <c r="BN469" s="78">
        <f t="shared" si="71"/>
        <v>0</v>
      </c>
      <c r="BO469" s="78">
        <f t="shared" si="72"/>
        <v>0</v>
      </c>
      <c r="BP469" s="78">
        <f t="shared" si="73"/>
        <v>0</v>
      </c>
    </row>
    <row r="470" spans="1:68" ht="37.5" customHeight="1" x14ac:dyDescent="0.25">
      <c r="A470" s="63" t="s">
        <v>768</v>
      </c>
      <c r="B470" s="63" t="s">
        <v>769</v>
      </c>
      <c r="C470" s="36">
        <v>4301031360</v>
      </c>
      <c r="D470" s="641">
        <v>4607091384345</v>
      </c>
      <c r="E470" s="641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68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0" s="643"/>
      <c r="R470" s="643"/>
      <c r="S470" s="643"/>
      <c r="T470" s="64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9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764</v>
      </c>
      <c r="AG470" s="78"/>
      <c r="AJ470" s="84" t="s">
        <v>46</v>
      </c>
      <c r="AK470" s="84">
        <v>0</v>
      </c>
      <c r="BB470" s="563" t="s">
        <v>67</v>
      </c>
      <c r="BM470" s="78">
        <f t="shared" si="70"/>
        <v>0</v>
      </c>
      <c r="BN470" s="78">
        <f t="shared" si="71"/>
        <v>0</v>
      </c>
      <c r="BO470" s="78">
        <f t="shared" si="72"/>
        <v>0</v>
      </c>
      <c r="BP470" s="78">
        <f t="shared" si="73"/>
        <v>0</v>
      </c>
    </row>
    <row r="471" spans="1:68" x14ac:dyDescent="0.2">
      <c r="A471" s="635"/>
      <c r="B471" s="635"/>
      <c r="C471" s="635"/>
      <c r="D471" s="635"/>
      <c r="E471" s="635"/>
      <c r="F471" s="635"/>
      <c r="G471" s="635"/>
      <c r="H471" s="635"/>
      <c r="I471" s="635"/>
      <c r="J471" s="635"/>
      <c r="K471" s="635"/>
      <c r="L471" s="635"/>
      <c r="M471" s="635"/>
      <c r="N471" s="635"/>
      <c r="O471" s="636"/>
      <c r="P471" s="632" t="s">
        <v>40</v>
      </c>
      <c r="Q471" s="633"/>
      <c r="R471" s="633"/>
      <c r="S471" s="633"/>
      <c r="T471" s="633"/>
      <c r="U471" s="633"/>
      <c r="V471" s="634"/>
      <c r="W471" s="42" t="s">
        <v>39</v>
      </c>
      <c r="X471" s="43">
        <f>IFERROR(X465/H465,"0")+IFERROR(X466/H466,"0")+IFERROR(X467/H467,"0")+IFERROR(X468/H468,"0")+IFERROR(X469/H469,"0")+IFERROR(X470/H470,"0")</f>
        <v>0</v>
      </c>
      <c r="Y471" s="43">
        <f>IFERROR(Y465/H465,"0")+IFERROR(Y466/H466,"0")+IFERROR(Y467/H467,"0")+IFERROR(Y468/H468,"0")+IFERROR(Y469/H469,"0")+IFERROR(Y470/H470,"0")</f>
        <v>0</v>
      </c>
      <c r="Z471" s="43">
        <f>IFERROR(IF(Z465="",0,Z465),"0")+IFERROR(IF(Z466="",0,Z466),"0")+IFERROR(IF(Z467="",0,Z467),"0")+IFERROR(IF(Z468="",0,Z468),"0")+IFERROR(IF(Z469="",0,Z469),"0")+IFERROR(IF(Z470="",0,Z470),"0")</f>
        <v>0</v>
      </c>
      <c r="AA471" s="67"/>
      <c r="AB471" s="67"/>
      <c r="AC471" s="67"/>
    </row>
    <row r="472" spans="1:68" x14ac:dyDescent="0.2">
      <c r="A472" s="635"/>
      <c r="B472" s="635"/>
      <c r="C472" s="635"/>
      <c r="D472" s="635"/>
      <c r="E472" s="635"/>
      <c r="F472" s="635"/>
      <c r="G472" s="635"/>
      <c r="H472" s="635"/>
      <c r="I472" s="635"/>
      <c r="J472" s="635"/>
      <c r="K472" s="635"/>
      <c r="L472" s="635"/>
      <c r="M472" s="635"/>
      <c r="N472" s="635"/>
      <c r="O472" s="636"/>
      <c r="P472" s="632" t="s">
        <v>40</v>
      </c>
      <c r="Q472" s="633"/>
      <c r="R472" s="633"/>
      <c r="S472" s="633"/>
      <c r="T472" s="633"/>
      <c r="U472" s="633"/>
      <c r="V472" s="634"/>
      <c r="W472" s="42" t="s">
        <v>0</v>
      </c>
      <c r="X472" s="43">
        <f>IFERROR(SUM(X465:X470),"0")</f>
        <v>0</v>
      </c>
      <c r="Y472" s="43">
        <f>IFERROR(SUM(Y465:Y470),"0")</f>
        <v>0</v>
      </c>
      <c r="Z472" s="42"/>
      <c r="AA472" s="67"/>
      <c r="AB472" s="67"/>
      <c r="AC472" s="67"/>
    </row>
    <row r="473" spans="1:68" ht="14.25" customHeight="1" x14ac:dyDescent="0.25">
      <c r="A473" s="646" t="s">
        <v>86</v>
      </c>
      <c r="B473" s="646"/>
      <c r="C473" s="646"/>
      <c r="D473" s="646"/>
      <c r="E473" s="646"/>
      <c r="F473" s="646"/>
      <c r="G473" s="646"/>
      <c r="H473" s="646"/>
      <c r="I473" s="646"/>
      <c r="J473" s="646"/>
      <c r="K473" s="646"/>
      <c r="L473" s="646"/>
      <c r="M473" s="646"/>
      <c r="N473" s="646"/>
      <c r="O473" s="646"/>
      <c r="P473" s="646"/>
      <c r="Q473" s="646"/>
      <c r="R473" s="646"/>
      <c r="S473" s="646"/>
      <c r="T473" s="646"/>
      <c r="U473" s="646"/>
      <c r="V473" s="646"/>
      <c r="W473" s="646"/>
      <c r="X473" s="646"/>
      <c r="Y473" s="646"/>
      <c r="Z473" s="646"/>
      <c r="AA473" s="66"/>
      <c r="AB473" s="66"/>
      <c r="AC473" s="80"/>
    </row>
    <row r="474" spans="1:68" ht="27" customHeight="1" x14ac:dyDescent="0.25">
      <c r="A474" s="63" t="s">
        <v>770</v>
      </c>
      <c r="B474" s="63" t="s">
        <v>771</v>
      </c>
      <c r="C474" s="36">
        <v>4301051284</v>
      </c>
      <c r="D474" s="641">
        <v>4607091384352</v>
      </c>
      <c r="E474" s="641"/>
      <c r="F474" s="62">
        <v>0.6</v>
      </c>
      <c r="G474" s="37">
        <v>4</v>
      </c>
      <c r="H474" s="62">
        <v>2.4</v>
      </c>
      <c r="I474" s="62">
        <v>2.6259999999999999</v>
      </c>
      <c r="J474" s="37">
        <v>132</v>
      </c>
      <c r="K474" s="37" t="s">
        <v>137</v>
      </c>
      <c r="L474" s="37" t="s">
        <v>46</v>
      </c>
      <c r="M474" s="38" t="s">
        <v>90</v>
      </c>
      <c r="N474" s="38"/>
      <c r="O474" s="37">
        <v>45</v>
      </c>
      <c r="P474" s="6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4" s="643"/>
      <c r="R474" s="643"/>
      <c r="S474" s="643"/>
      <c r="T474" s="64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64" t="s">
        <v>772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customHeight="1" x14ac:dyDescent="0.25">
      <c r="A475" s="63" t="s">
        <v>773</v>
      </c>
      <c r="B475" s="63" t="s">
        <v>774</v>
      </c>
      <c r="C475" s="36">
        <v>4301051431</v>
      </c>
      <c r="D475" s="641">
        <v>4607091389654</v>
      </c>
      <c r="E475" s="641"/>
      <c r="F475" s="62">
        <v>0.33</v>
      </c>
      <c r="G475" s="37">
        <v>6</v>
      </c>
      <c r="H475" s="62">
        <v>1.98</v>
      </c>
      <c r="I475" s="62">
        <v>2.238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45</v>
      </c>
      <c r="P475" s="6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5" s="643"/>
      <c r="R475" s="643"/>
      <c r="S475" s="643"/>
      <c r="T475" s="644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6" t="s">
        <v>775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5"/>
      <c r="B476" s="635"/>
      <c r="C476" s="635"/>
      <c r="D476" s="635"/>
      <c r="E476" s="635"/>
      <c r="F476" s="635"/>
      <c r="G476" s="635"/>
      <c r="H476" s="635"/>
      <c r="I476" s="635"/>
      <c r="J476" s="635"/>
      <c r="K476" s="635"/>
      <c r="L476" s="635"/>
      <c r="M476" s="635"/>
      <c r="N476" s="635"/>
      <c r="O476" s="636"/>
      <c r="P476" s="632" t="s">
        <v>40</v>
      </c>
      <c r="Q476" s="633"/>
      <c r="R476" s="633"/>
      <c r="S476" s="633"/>
      <c r="T476" s="633"/>
      <c r="U476" s="633"/>
      <c r="V476" s="634"/>
      <c r="W476" s="42" t="s">
        <v>39</v>
      </c>
      <c r="X476" s="43">
        <f>IFERROR(X474/H474,"0")+IFERROR(X475/H475,"0")</f>
        <v>0</v>
      </c>
      <c r="Y476" s="43">
        <f>IFERROR(Y474/H474,"0")+IFERROR(Y475/H475,"0")</f>
        <v>0</v>
      </c>
      <c r="Z476" s="43">
        <f>IFERROR(IF(Z474="",0,Z474),"0")+IFERROR(IF(Z475="",0,Z475),"0")</f>
        <v>0</v>
      </c>
      <c r="AA476" s="67"/>
      <c r="AB476" s="67"/>
      <c r="AC476" s="67"/>
    </row>
    <row r="477" spans="1:68" x14ac:dyDescent="0.2">
      <c r="A477" s="635"/>
      <c r="B477" s="635"/>
      <c r="C477" s="635"/>
      <c r="D477" s="635"/>
      <c r="E477" s="635"/>
      <c r="F477" s="635"/>
      <c r="G477" s="635"/>
      <c r="H477" s="635"/>
      <c r="I477" s="635"/>
      <c r="J477" s="635"/>
      <c r="K477" s="635"/>
      <c r="L477" s="635"/>
      <c r="M477" s="635"/>
      <c r="N477" s="635"/>
      <c r="O477" s="636"/>
      <c r="P477" s="632" t="s">
        <v>40</v>
      </c>
      <c r="Q477" s="633"/>
      <c r="R477" s="633"/>
      <c r="S477" s="633"/>
      <c r="T477" s="633"/>
      <c r="U477" s="633"/>
      <c r="V477" s="634"/>
      <c r="W477" s="42" t="s">
        <v>0</v>
      </c>
      <c r="X477" s="43">
        <f>IFERROR(SUM(X474:X475),"0")</f>
        <v>0</v>
      </c>
      <c r="Y477" s="43">
        <f>IFERROR(SUM(Y474:Y475),"0")</f>
        <v>0</v>
      </c>
      <c r="Z477" s="42"/>
      <c r="AA477" s="67"/>
      <c r="AB477" s="67"/>
      <c r="AC477" s="67"/>
    </row>
    <row r="478" spans="1:68" ht="16.5" customHeight="1" x14ac:dyDescent="0.25">
      <c r="A478" s="645" t="s">
        <v>776</v>
      </c>
      <c r="B478" s="645"/>
      <c r="C478" s="645"/>
      <c r="D478" s="645"/>
      <c r="E478" s="645"/>
      <c r="F478" s="645"/>
      <c r="G478" s="645"/>
      <c r="H478" s="645"/>
      <c r="I478" s="645"/>
      <c r="J478" s="645"/>
      <c r="K478" s="645"/>
      <c r="L478" s="645"/>
      <c r="M478" s="645"/>
      <c r="N478" s="645"/>
      <c r="O478" s="645"/>
      <c r="P478" s="645"/>
      <c r="Q478" s="645"/>
      <c r="R478" s="645"/>
      <c r="S478" s="645"/>
      <c r="T478" s="645"/>
      <c r="U478" s="645"/>
      <c r="V478" s="645"/>
      <c r="W478" s="645"/>
      <c r="X478" s="645"/>
      <c r="Y478" s="645"/>
      <c r="Z478" s="645"/>
      <c r="AA478" s="65"/>
      <c r="AB478" s="65"/>
      <c r="AC478" s="79"/>
    </row>
    <row r="479" spans="1:68" ht="14.25" customHeight="1" x14ac:dyDescent="0.25">
      <c r="A479" s="646" t="s">
        <v>158</v>
      </c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46"/>
      <c r="P479" s="646"/>
      <c r="Q479" s="646"/>
      <c r="R479" s="646"/>
      <c r="S479" s="646"/>
      <c r="T479" s="646"/>
      <c r="U479" s="646"/>
      <c r="V479" s="646"/>
      <c r="W479" s="646"/>
      <c r="X479" s="646"/>
      <c r="Y479" s="646"/>
      <c r="Z479" s="646"/>
      <c r="AA479" s="66"/>
      <c r="AB479" s="66"/>
      <c r="AC479" s="80"/>
    </row>
    <row r="480" spans="1:68" ht="27" customHeight="1" x14ac:dyDescent="0.25">
      <c r="A480" s="63" t="s">
        <v>777</v>
      </c>
      <c r="B480" s="63" t="s">
        <v>778</v>
      </c>
      <c r="C480" s="36">
        <v>4301020416</v>
      </c>
      <c r="D480" s="641">
        <v>4680115885240</v>
      </c>
      <c r="E480" s="641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91</v>
      </c>
      <c r="L480" s="37" t="s">
        <v>46</v>
      </c>
      <c r="M480" s="38" t="s">
        <v>81</v>
      </c>
      <c r="N480" s="38"/>
      <c r="O480" s="37">
        <v>40</v>
      </c>
      <c r="P480" s="67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43"/>
      <c r="R480" s="643"/>
      <c r="S480" s="643"/>
      <c r="T480" s="64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779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5"/>
      <c r="B481" s="635"/>
      <c r="C481" s="635"/>
      <c r="D481" s="635"/>
      <c r="E481" s="635"/>
      <c r="F481" s="635"/>
      <c r="G481" s="635"/>
      <c r="H481" s="635"/>
      <c r="I481" s="635"/>
      <c r="J481" s="635"/>
      <c r="K481" s="635"/>
      <c r="L481" s="635"/>
      <c r="M481" s="635"/>
      <c r="N481" s="635"/>
      <c r="O481" s="636"/>
      <c r="P481" s="632" t="s">
        <v>40</v>
      </c>
      <c r="Q481" s="633"/>
      <c r="R481" s="633"/>
      <c r="S481" s="633"/>
      <c r="T481" s="633"/>
      <c r="U481" s="633"/>
      <c r="V481" s="634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635"/>
      <c r="B482" s="635"/>
      <c r="C482" s="635"/>
      <c r="D482" s="635"/>
      <c r="E482" s="635"/>
      <c r="F482" s="635"/>
      <c r="G482" s="635"/>
      <c r="H482" s="635"/>
      <c r="I482" s="635"/>
      <c r="J482" s="635"/>
      <c r="K482" s="635"/>
      <c r="L482" s="635"/>
      <c r="M482" s="635"/>
      <c r="N482" s="635"/>
      <c r="O482" s="636"/>
      <c r="P482" s="632" t="s">
        <v>40</v>
      </c>
      <c r="Q482" s="633"/>
      <c r="R482" s="633"/>
      <c r="S482" s="633"/>
      <c r="T482" s="633"/>
      <c r="U482" s="633"/>
      <c r="V482" s="634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646" t="s">
        <v>77</v>
      </c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46"/>
      <c r="P483" s="646"/>
      <c r="Q483" s="646"/>
      <c r="R483" s="646"/>
      <c r="S483" s="646"/>
      <c r="T483" s="646"/>
      <c r="U483" s="646"/>
      <c r="V483" s="646"/>
      <c r="W483" s="646"/>
      <c r="X483" s="646"/>
      <c r="Y483" s="646"/>
      <c r="Z483" s="646"/>
      <c r="AA483" s="66"/>
      <c r="AB483" s="66"/>
      <c r="AC483" s="80"/>
    </row>
    <row r="484" spans="1:68" ht="27" customHeight="1" x14ac:dyDescent="0.25">
      <c r="A484" s="63" t="s">
        <v>780</v>
      </c>
      <c r="B484" s="63" t="s">
        <v>781</v>
      </c>
      <c r="C484" s="36">
        <v>4301031407</v>
      </c>
      <c r="D484" s="641">
        <v>4680115886094</v>
      </c>
      <c r="E484" s="641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137</v>
      </c>
      <c r="L484" s="37" t="s">
        <v>46</v>
      </c>
      <c r="M484" s="38" t="s">
        <v>81</v>
      </c>
      <c r="N484" s="38"/>
      <c r="O484" s="37">
        <v>50</v>
      </c>
      <c r="P484" s="67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43"/>
      <c r="R484" s="643"/>
      <c r="S484" s="643"/>
      <c r="T484" s="64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782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783</v>
      </c>
      <c r="B485" s="63" t="s">
        <v>784</v>
      </c>
      <c r="C485" s="36">
        <v>4301031373</v>
      </c>
      <c r="D485" s="641">
        <v>4680115880771</v>
      </c>
      <c r="E485" s="641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67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43"/>
      <c r="R485" s="643"/>
      <c r="S485" s="643"/>
      <c r="T485" s="644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785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customHeight="1" x14ac:dyDescent="0.25">
      <c r="A486" s="63" t="s">
        <v>786</v>
      </c>
      <c r="B486" s="63" t="s">
        <v>787</v>
      </c>
      <c r="C486" s="36">
        <v>4301031359</v>
      </c>
      <c r="D486" s="641">
        <v>4607091389500</v>
      </c>
      <c r="E486" s="641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43"/>
      <c r="R486" s="643"/>
      <c r="S486" s="643"/>
      <c r="T486" s="64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785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35"/>
      <c r="B487" s="635"/>
      <c r="C487" s="635"/>
      <c r="D487" s="635"/>
      <c r="E487" s="635"/>
      <c r="F487" s="635"/>
      <c r="G487" s="635"/>
      <c r="H487" s="635"/>
      <c r="I487" s="635"/>
      <c r="J487" s="635"/>
      <c r="K487" s="635"/>
      <c r="L487" s="635"/>
      <c r="M487" s="635"/>
      <c r="N487" s="635"/>
      <c r="O487" s="636"/>
      <c r="P487" s="632" t="s">
        <v>40</v>
      </c>
      <c r="Q487" s="633"/>
      <c r="R487" s="633"/>
      <c r="S487" s="633"/>
      <c r="T487" s="633"/>
      <c r="U487" s="633"/>
      <c r="V487" s="634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x14ac:dyDescent="0.2">
      <c r="A488" s="635"/>
      <c r="B488" s="635"/>
      <c r="C488" s="635"/>
      <c r="D488" s="635"/>
      <c r="E488" s="635"/>
      <c r="F488" s="635"/>
      <c r="G488" s="635"/>
      <c r="H488" s="635"/>
      <c r="I488" s="635"/>
      <c r="J488" s="635"/>
      <c r="K488" s="635"/>
      <c r="L488" s="635"/>
      <c r="M488" s="635"/>
      <c r="N488" s="635"/>
      <c r="O488" s="636"/>
      <c r="P488" s="632" t="s">
        <v>40</v>
      </c>
      <c r="Q488" s="633"/>
      <c r="R488" s="633"/>
      <c r="S488" s="633"/>
      <c r="T488" s="633"/>
      <c r="U488" s="633"/>
      <c r="V488" s="634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customHeight="1" x14ac:dyDescent="0.2">
      <c r="A489" s="652" t="s">
        <v>788</v>
      </c>
      <c r="B489" s="652"/>
      <c r="C489" s="652"/>
      <c r="D489" s="652"/>
      <c r="E489" s="652"/>
      <c r="F489" s="652"/>
      <c r="G489" s="652"/>
      <c r="H489" s="652"/>
      <c r="I489" s="652"/>
      <c r="J489" s="652"/>
      <c r="K489" s="652"/>
      <c r="L489" s="652"/>
      <c r="M489" s="652"/>
      <c r="N489" s="652"/>
      <c r="O489" s="652"/>
      <c r="P489" s="652"/>
      <c r="Q489" s="652"/>
      <c r="R489" s="652"/>
      <c r="S489" s="652"/>
      <c r="T489" s="652"/>
      <c r="U489" s="652"/>
      <c r="V489" s="652"/>
      <c r="W489" s="652"/>
      <c r="X489" s="652"/>
      <c r="Y489" s="652"/>
      <c r="Z489" s="652"/>
      <c r="AA489" s="54"/>
      <c r="AB489" s="54"/>
      <c r="AC489" s="54"/>
    </row>
    <row r="490" spans="1:68" ht="16.5" customHeight="1" x14ac:dyDescent="0.25">
      <c r="A490" s="645" t="s">
        <v>788</v>
      </c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5"/>
      <c r="P490" s="645"/>
      <c r="Q490" s="645"/>
      <c r="R490" s="645"/>
      <c r="S490" s="645"/>
      <c r="T490" s="645"/>
      <c r="U490" s="645"/>
      <c r="V490" s="645"/>
      <c r="W490" s="645"/>
      <c r="X490" s="645"/>
      <c r="Y490" s="645"/>
      <c r="Z490" s="645"/>
      <c r="AA490" s="65"/>
      <c r="AB490" s="65"/>
      <c r="AC490" s="79"/>
    </row>
    <row r="491" spans="1:68" ht="14.25" customHeight="1" x14ac:dyDescent="0.25">
      <c r="A491" s="646" t="s">
        <v>125</v>
      </c>
      <c r="B491" s="646"/>
      <c r="C491" s="646"/>
      <c r="D491" s="646"/>
      <c r="E491" s="646"/>
      <c r="F491" s="646"/>
      <c r="G491" s="646"/>
      <c r="H491" s="646"/>
      <c r="I491" s="646"/>
      <c r="J491" s="646"/>
      <c r="K491" s="646"/>
      <c r="L491" s="646"/>
      <c r="M491" s="646"/>
      <c r="N491" s="646"/>
      <c r="O491" s="646"/>
      <c r="P491" s="646"/>
      <c r="Q491" s="646"/>
      <c r="R491" s="646"/>
      <c r="S491" s="646"/>
      <c r="T491" s="646"/>
      <c r="U491" s="646"/>
      <c r="V491" s="646"/>
      <c r="W491" s="646"/>
      <c r="X491" s="646"/>
      <c r="Y491" s="646"/>
      <c r="Z491" s="646"/>
      <c r="AA491" s="66"/>
      <c r="AB491" s="66"/>
      <c r="AC491" s="80"/>
    </row>
    <row r="492" spans="1:68" ht="27" customHeight="1" x14ac:dyDescent="0.25">
      <c r="A492" s="63" t="s">
        <v>789</v>
      </c>
      <c r="B492" s="63" t="s">
        <v>790</v>
      </c>
      <c r="C492" s="36">
        <v>4301011769</v>
      </c>
      <c r="D492" s="641">
        <v>4607091389067</v>
      </c>
      <c r="E492" s="641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130</v>
      </c>
      <c r="L492" s="37" t="s">
        <v>46</v>
      </c>
      <c r="M492" s="38" t="s">
        <v>90</v>
      </c>
      <c r="N492" s="38"/>
      <c r="O492" s="37">
        <v>60</v>
      </c>
      <c r="P492" s="66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43"/>
      <c r="R492" s="643"/>
      <c r="S492" s="643"/>
      <c r="T492" s="644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500" si="74">IFERROR(IF(X492="",0,CEILING((X492/$H492),1)*$H492),"")</f>
        <v>0</v>
      </c>
      <c r="Z492" s="41" t="str">
        <f t="shared" ref="Z492:Z497" si="75">IFERROR(IF(Y492=0,"",ROUNDUP(Y492/H492,0)*0.01196),"")</f>
        <v/>
      </c>
      <c r="AA492" s="68" t="s">
        <v>46</v>
      </c>
      <c r="AB492" s="69" t="s">
        <v>46</v>
      </c>
      <c r="AC492" s="576" t="s">
        <v>128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500" si="76">IFERROR(X492*I492/H492,"0")</f>
        <v>0</v>
      </c>
      <c r="BN492" s="78">
        <f t="shared" ref="BN492:BN500" si="77">IFERROR(Y492*I492/H492,"0")</f>
        <v>0</v>
      </c>
      <c r="BO492" s="78">
        <f t="shared" ref="BO492:BO500" si="78">IFERROR(1/J492*(X492/H492),"0")</f>
        <v>0</v>
      </c>
      <c r="BP492" s="78">
        <f t="shared" ref="BP492:BP500" si="79">IFERROR(1/J492*(Y492/H492),"0")</f>
        <v>0</v>
      </c>
    </row>
    <row r="493" spans="1:68" ht="16.5" customHeight="1" x14ac:dyDescent="0.25">
      <c r="A493" s="63" t="s">
        <v>791</v>
      </c>
      <c r="B493" s="63" t="s">
        <v>792</v>
      </c>
      <c r="C493" s="36">
        <v>4301012380</v>
      </c>
      <c r="D493" s="641">
        <v>4680115889576</v>
      </c>
      <c r="E493" s="641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130</v>
      </c>
      <c r="L493" s="37" t="s">
        <v>46</v>
      </c>
      <c r="M493" s="38" t="s">
        <v>129</v>
      </c>
      <c r="N493" s="38"/>
      <c r="O493" s="37">
        <v>60</v>
      </c>
      <c r="P493" s="67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43"/>
      <c r="R493" s="643"/>
      <c r="S493" s="643"/>
      <c r="T493" s="644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4"/>
        <v>0</v>
      </c>
      <c r="Z493" s="41" t="str">
        <f t="shared" si="75"/>
        <v/>
      </c>
      <c r="AA493" s="68" t="s">
        <v>46</v>
      </c>
      <c r="AB493" s="69" t="s">
        <v>46</v>
      </c>
      <c r="AC493" s="578" t="s">
        <v>793</v>
      </c>
      <c r="AG493" s="78"/>
      <c r="AJ493" s="84" t="s">
        <v>46</v>
      </c>
      <c r="AK493" s="84">
        <v>0</v>
      </c>
      <c r="BB493" s="579" t="s">
        <v>67</v>
      </c>
      <c r="BM493" s="78">
        <f t="shared" si="76"/>
        <v>0</v>
      </c>
      <c r="BN493" s="78">
        <f t="shared" si="77"/>
        <v>0</v>
      </c>
      <c r="BO493" s="78">
        <f t="shared" si="78"/>
        <v>0</v>
      </c>
      <c r="BP493" s="78">
        <f t="shared" si="79"/>
        <v>0</v>
      </c>
    </row>
    <row r="494" spans="1:68" ht="27" customHeight="1" x14ac:dyDescent="0.25">
      <c r="A494" s="63" t="s">
        <v>794</v>
      </c>
      <c r="B494" s="63" t="s">
        <v>795</v>
      </c>
      <c r="C494" s="36">
        <v>4301011961</v>
      </c>
      <c r="D494" s="641">
        <v>4680115885271</v>
      </c>
      <c r="E494" s="641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130</v>
      </c>
      <c r="L494" s="37" t="s">
        <v>46</v>
      </c>
      <c r="M494" s="38" t="s">
        <v>129</v>
      </c>
      <c r="N494" s="38"/>
      <c r="O494" s="37">
        <v>60</v>
      </c>
      <c r="P494" s="6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43"/>
      <c r="R494" s="643"/>
      <c r="S494" s="643"/>
      <c r="T494" s="644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4"/>
        <v>0</v>
      </c>
      <c r="Z494" s="41" t="str">
        <f t="shared" si="75"/>
        <v/>
      </c>
      <c r="AA494" s="68" t="s">
        <v>46</v>
      </c>
      <c r="AB494" s="69" t="s">
        <v>46</v>
      </c>
      <c r="AC494" s="580" t="s">
        <v>796</v>
      </c>
      <c r="AG494" s="78"/>
      <c r="AJ494" s="84" t="s">
        <v>46</v>
      </c>
      <c r="AK494" s="84">
        <v>0</v>
      </c>
      <c r="BB494" s="581" t="s">
        <v>67</v>
      </c>
      <c r="BM494" s="78">
        <f t="shared" si="76"/>
        <v>0</v>
      </c>
      <c r="BN494" s="78">
        <f t="shared" si="77"/>
        <v>0</v>
      </c>
      <c r="BO494" s="78">
        <f t="shared" si="78"/>
        <v>0</v>
      </c>
      <c r="BP494" s="78">
        <f t="shared" si="79"/>
        <v>0</v>
      </c>
    </row>
    <row r="495" spans="1:68" ht="27" customHeight="1" x14ac:dyDescent="0.25">
      <c r="A495" s="63" t="s">
        <v>797</v>
      </c>
      <c r="B495" s="63" t="s">
        <v>798</v>
      </c>
      <c r="C495" s="36">
        <v>4301011369</v>
      </c>
      <c r="D495" s="641">
        <v>4680115885226</v>
      </c>
      <c r="E495" s="641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130</v>
      </c>
      <c r="L495" s="37" t="s">
        <v>46</v>
      </c>
      <c r="M495" s="38" t="s">
        <v>129</v>
      </c>
      <c r="N495" s="38"/>
      <c r="O495" s="37">
        <v>60</v>
      </c>
      <c r="P495" s="67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43"/>
      <c r="R495" s="643"/>
      <c r="S495" s="643"/>
      <c r="T495" s="644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4"/>
        <v>0</v>
      </c>
      <c r="Z495" s="41" t="str">
        <f t="shared" si="75"/>
        <v/>
      </c>
      <c r="AA495" s="68" t="s">
        <v>46</v>
      </c>
      <c r="AB495" s="69" t="s">
        <v>46</v>
      </c>
      <c r="AC495" s="582" t="s">
        <v>799</v>
      </c>
      <c r="AG495" s="78"/>
      <c r="AJ495" s="84" t="s">
        <v>46</v>
      </c>
      <c r="AK495" s="84">
        <v>0</v>
      </c>
      <c r="BB495" s="583" t="s">
        <v>67</v>
      </c>
      <c r="BM495" s="78">
        <f t="shared" si="76"/>
        <v>0</v>
      </c>
      <c r="BN495" s="78">
        <f t="shared" si="77"/>
        <v>0</v>
      </c>
      <c r="BO495" s="78">
        <f t="shared" si="78"/>
        <v>0</v>
      </c>
      <c r="BP495" s="78">
        <f t="shared" si="79"/>
        <v>0</v>
      </c>
    </row>
    <row r="496" spans="1:68" ht="16.5" customHeight="1" x14ac:dyDescent="0.25">
      <c r="A496" s="63" t="s">
        <v>800</v>
      </c>
      <c r="B496" s="63" t="s">
        <v>801</v>
      </c>
      <c r="C496" s="36">
        <v>4301011797</v>
      </c>
      <c r="D496" s="641">
        <v>4680115884502</v>
      </c>
      <c r="E496" s="64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130</v>
      </c>
      <c r="L496" s="37" t="s">
        <v>46</v>
      </c>
      <c r="M496" s="38" t="s">
        <v>90</v>
      </c>
      <c r="N496" s="38"/>
      <c r="O496" s="37">
        <v>60</v>
      </c>
      <c r="P496" s="6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6" s="643"/>
      <c r="R496" s="643"/>
      <c r="S496" s="643"/>
      <c r="T496" s="64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4"/>
        <v>0</v>
      </c>
      <c r="Z496" s="41" t="str">
        <f t="shared" si="75"/>
        <v/>
      </c>
      <c r="AA496" s="68" t="s">
        <v>46</v>
      </c>
      <c r="AB496" s="69" t="s">
        <v>46</v>
      </c>
      <c r="AC496" s="584" t="s">
        <v>802</v>
      </c>
      <c r="AG496" s="78"/>
      <c r="AJ496" s="84" t="s">
        <v>46</v>
      </c>
      <c r="AK496" s="84">
        <v>0</v>
      </c>
      <c r="BB496" s="585" t="s">
        <v>67</v>
      </c>
      <c r="BM496" s="78">
        <f t="shared" si="76"/>
        <v>0</v>
      </c>
      <c r="BN496" s="78">
        <f t="shared" si="77"/>
        <v>0</v>
      </c>
      <c r="BO496" s="78">
        <f t="shared" si="78"/>
        <v>0</v>
      </c>
      <c r="BP496" s="78">
        <f t="shared" si="79"/>
        <v>0</v>
      </c>
    </row>
    <row r="497" spans="1:68" ht="27" customHeight="1" x14ac:dyDescent="0.25">
      <c r="A497" s="63" t="s">
        <v>803</v>
      </c>
      <c r="B497" s="63" t="s">
        <v>804</v>
      </c>
      <c r="C497" s="36">
        <v>4301011771</v>
      </c>
      <c r="D497" s="641">
        <v>4607091389104</v>
      </c>
      <c r="E497" s="64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130</v>
      </c>
      <c r="L497" s="37" t="s">
        <v>46</v>
      </c>
      <c r="M497" s="38" t="s">
        <v>129</v>
      </c>
      <c r="N497" s="38"/>
      <c r="O497" s="37">
        <v>60</v>
      </c>
      <c r="P497" s="66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7" s="643"/>
      <c r="R497" s="643"/>
      <c r="S497" s="643"/>
      <c r="T497" s="64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4"/>
        <v>0</v>
      </c>
      <c r="Z497" s="41" t="str">
        <f t="shared" si="75"/>
        <v/>
      </c>
      <c r="AA497" s="68" t="s">
        <v>46</v>
      </c>
      <c r="AB497" s="69" t="s">
        <v>46</v>
      </c>
      <c r="AC497" s="586" t="s">
        <v>805</v>
      </c>
      <c r="AG497" s="78"/>
      <c r="AJ497" s="84" t="s">
        <v>46</v>
      </c>
      <c r="AK497" s="84">
        <v>0</v>
      </c>
      <c r="BB497" s="587" t="s">
        <v>67</v>
      </c>
      <c r="BM497" s="78">
        <f t="shared" si="76"/>
        <v>0</v>
      </c>
      <c r="BN497" s="78">
        <f t="shared" si="77"/>
        <v>0</v>
      </c>
      <c r="BO497" s="78">
        <f t="shared" si="78"/>
        <v>0</v>
      </c>
      <c r="BP497" s="78">
        <f t="shared" si="79"/>
        <v>0</v>
      </c>
    </row>
    <row r="498" spans="1:68" ht="27" customHeight="1" x14ac:dyDescent="0.25">
      <c r="A498" s="63" t="s">
        <v>806</v>
      </c>
      <c r="B498" s="63" t="s">
        <v>807</v>
      </c>
      <c r="C498" s="36">
        <v>4301012125</v>
      </c>
      <c r="D498" s="641">
        <v>4680115886391</v>
      </c>
      <c r="E498" s="641"/>
      <c r="F498" s="62">
        <v>0.4</v>
      </c>
      <c r="G498" s="37">
        <v>6</v>
      </c>
      <c r="H498" s="62">
        <v>2.4</v>
      </c>
      <c r="I498" s="62">
        <v>2.58</v>
      </c>
      <c r="J498" s="37">
        <v>182</v>
      </c>
      <c r="K498" s="37" t="s">
        <v>91</v>
      </c>
      <c r="L498" s="37" t="s">
        <v>46</v>
      </c>
      <c r="M498" s="38" t="s">
        <v>90</v>
      </c>
      <c r="N498" s="38"/>
      <c r="O498" s="37">
        <v>60</v>
      </c>
      <c r="P498" s="66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8" s="643"/>
      <c r="R498" s="643"/>
      <c r="S498" s="643"/>
      <c r="T498" s="64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4"/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8" t="s">
        <v>128</v>
      </c>
      <c r="AG498" s="78"/>
      <c r="AJ498" s="84" t="s">
        <v>46</v>
      </c>
      <c r="AK498" s="84">
        <v>0</v>
      </c>
      <c r="BB498" s="589" t="s">
        <v>67</v>
      </c>
      <c r="BM498" s="78">
        <f t="shared" si="76"/>
        <v>0</v>
      </c>
      <c r="BN498" s="78">
        <f t="shared" si="77"/>
        <v>0</v>
      </c>
      <c r="BO498" s="78">
        <f t="shared" si="78"/>
        <v>0</v>
      </c>
      <c r="BP498" s="78">
        <f t="shared" si="79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4301012048</v>
      </c>
      <c r="D499" s="641">
        <v>4680115880603</v>
      </c>
      <c r="E499" s="64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137</v>
      </c>
      <c r="L499" s="37" t="s">
        <v>46</v>
      </c>
      <c r="M499" s="38" t="s">
        <v>90</v>
      </c>
      <c r="N499" s="38"/>
      <c r="O499" s="37">
        <v>60</v>
      </c>
      <c r="P499" s="6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9" s="643"/>
      <c r="R499" s="643"/>
      <c r="S499" s="643"/>
      <c r="T499" s="64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0" t="s">
        <v>128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customHeight="1" x14ac:dyDescent="0.25">
      <c r="A500" s="63" t="s">
        <v>810</v>
      </c>
      <c r="B500" s="63" t="s">
        <v>811</v>
      </c>
      <c r="C500" s="36">
        <v>4301012034</v>
      </c>
      <c r="D500" s="641">
        <v>4607091389982</v>
      </c>
      <c r="E500" s="641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137</v>
      </c>
      <c r="L500" s="37" t="s">
        <v>46</v>
      </c>
      <c r="M500" s="38" t="s">
        <v>129</v>
      </c>
      <c r="N500" s="38"/>
      <c r="O500" s="37">
        <v>60</v>
      </c>
      <c r="P500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43"/>
      <c r="R500" s="643"/>
      <c r="S500" s="643"/>
      <c r="T500" s="64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x14ac:dyDescent="0.2">
      <c r="A501" s="635"/>
      <c r="B501" s="635"/>
      <c r="C501" s="635"/>
      <c r="D501" s="635"/>
      <c r="E501" s="635"/>
      <c r="F501" s="635"/>
      <c r="G501" s="635"/>
      <c r="H501" s="635"/>
      <c r="I501" s="635"/>
      <c r="J501" s="635"/>
      <c r="K501" s="635"/>
      <c r="L501" s="635"/>
      <c r="M501" s="635"/>
      <c r="N501" s="635"/>
      <c r="O501" s="636"/>
      <c r="P501" s="632" t="s">
        <v>40</v>
      </c>
      <c r="Q501" s="633"/>
      <c r="R501" s="633"/>
      <c r="S501" s="633"/>
      <c r="T501" s="633"/>
      <c r="U501" s="633"/>
      <c r="V501" s="634"/>
      <c r="W501" s="42" t="s">
        <v>39</v>
      </c>
      <c r="X501" s="43">
        <f>IFERROR(X492/H492,"0")+IFERROR(X493/H493,"0")+IFERROR(X494/H494,"0")+IFERROR(X495/H495,"0")+IFERROR(X496/H496,"0")+IFERROR(X497/H497,"0")+IFERROR(X498/H498,"0")+IFERROR(X499/H499,"0")+IFERROR(X500/H500,"0")</f>
        <v>0</v>
      </c>
      <c r="Y501" s="43">
        <f>IFERROR(Y492/H492,"0")+IFERROR(Y493/H493,"0")+IFERROR(Y494/H494,"0")+IFERROR(Y495/H495,"0")+IFERROR(Y496/H496,"0")+IFERROR(Y497/H497,"0")+IFERROR(Y498/H498,"0")+IFERROR(Y499/H499,"0")+IFERROR(Y500/H500,"0")</f>
        <v>0</v>
      </c>
      <c r="Z501" s="43">
        <f>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</f>
        <v>0</v>
      </c>
      <c r="AA501" s="67"/>
      <c r="AB501" s="67"/>
      <c r="AC501" s="67"/>
    </row>
    <row r="502" spans="1:68" x14ac:dyDescent="0.2">
      <c r="A502" s="635"/>
      <c r="B502" s="635"/>
      <c r="C502" s="635"/>
      <c r="D502" s="635"/>
      <c r="E502" s="635"/>
      <c r="F502" s="635"/>
      <c r="G502" s="635"/>
      <c r="H502" s="635"/>
      <c r="I502" s="635"/>
      <c r="J502" s="635"/>
      <c r="K502" s="635"/>
      <c r="L502" s="635"/>
      <c r="M502" s="635"/>
      <c r="N502" s="635"/>
      <c r="O502" s="636"/>
      <c r="P502" s="632" t="s">
        <v>40</v>
      </c>
      <c r="Q502" s="633"/>
      <c r="R502" s="633"/>
      <c r="S502" s="633"/>
      <c r="T502" s="633"/>
      <c r="U502" s="633"/>
      <c r="V502" s="634"/>
      <c r="W502" s="42" t="s">
        <v>0</v>
      </c>
      <c r="X502" s="43">
        <f>IFERROR(SUM(X492:X500),"0")</f>
        <v>0</v>
      </c>
      <c r="Y502" s="43">
        <f>IFERROR(SUM(Y492:Y500),"0")</f>
        <v>0</v>
      </c>
      <c r="Z502" s="42"/>
      <c r="AA502" s="67"/>
      <c r="AB502" s="67"/>
      <c r="AC502" s="67"/>
    </row>
    <row r="503" spans="1:68" ht="14.25" customHeight="1" x14ac:dyDescent="0.25">
      <c r="A503" s="646" t="s">
        <v>158</v>
      </c>
      <c r="B503" s="646"/>
      <c r="C503" s="646"/>
      <c r="D503" s="646"/>
      <c r="E503" s="646"/>
      <c r="F503" s="646"/>
      <c r="G503" s="646"/>
      <c r="H503" s="646"/>
      <c r="I503" s="646"/>
      <c r="J503" s="646"/>
      <c r="K503" s="646"/>
      <c r="L503" s="646"/>
      <c r="M503" s="646"/>
      <c r="N503" s="646"/>
      <c r="O503" s="646"/>
      <c r="P503" s="646"/>
      <c r="Q503" s="646"/>
      <c r="R503" s="646"/>
      <c r="S503" s="646"/>
      <c r="T503" s="646"/>
      <c r="U503" s="646"/>
      <c r="V503" s="646"/>
      <c r="W503" s="646"/>
      <c r="X503" s="646"/>
      <c r="Y503" s="646"/>
      <c r="Z503" s="646"/>
      <c r="AA503" s="66"/>
      <c r="AB503" s="66"/>
      <c r="AC503" s="80"/>
    </row>
    <row r="504" spans="1:68" ht="16.5" customHeight="1" x14ac:dyDescent="0.25">
      <c r="A504" s="63" t="s">
        <v>812</v>
      </c>
      <c r="B504" s="63" t="s">
        <v>813</v>
      </c>
      <c r="C504" s="36">
        <v>4301020334</v>
      </c>
      <c r="D504" s="641">
        <v>4607091388930</v>
      </c>
      <c r="E504" s="64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130</v>
      </c>
      <c r="L504" s="37" t="s">
        <v>46</v>
      </c>
      <c r="M504" s="38" t="s">
        <v>90</v>
      </c>
      <c r="N504" s="38"/>
      <c r="O504" s="37">
        <v>70</v>
      </c>
      <c r="P504" s="66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4" s="643"/>
      <c r="R504" s="643"/>
      <c r="S504" s="643"/>
      <c r="T504" s="644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4" t="s">
        <v>814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customHeight="1" x14ac:dyDescent="0.25">
      <c r="A505" s="63" t="s">
        <v>815</v>
      </c>
      <c r="B505" s="63" t="s">
        <v>816</v>
      </c>
      <c r="C505" s="36">
        <v>4301020374</v>
      </c>
      <c r="D505" s="641">
        <v>4680115886407</v>
      </c>
      <c r="E505" s="641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129</v>
      </c>
      <c r="N505" s="38"/>
      <c r="O505" s="37">
        <v>70</v>
      </c>
      <c r="P505" s="6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5" s="643"/>
      <c r="R505" s="643"/>
      <c r="S505" s="643"/>
      <c r="T505" s="644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596" t="s">
        <v>814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t="16.5" customHeight="1" x14ac:dyDescent="0.25">
      <c r="A506" s="63" t="s">
        <v>817</v>
      </c>
      <c r="B506" s="63" t="s">
        <v>818</v>
      </c>
      <c r="C506" s="36">
        <v>4301020385</v>
      </c>
      <c r="D506" s="641">
        <v>4680115880054</v>
      </c>
      <c r="E506" s="64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137</v>
      </c>
      <c r="L506" s="37" t="s">
        <v>46</v>
      </c>
      <c r="M506" s="38" t="s">
        <v>129</v>
      </c>
      <c r="N506" s="38"/>
      <c r="O506" s="37">
        <v>70</v>
      </c>
      <c r="P506" s="6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6" s="643"/>
      <c r="R506" s="643"/>
      <c r="S506" s="643"/>
      <c r="T506" s="644"/>
      <c r="U506" s="39" t="s">
        <v>46</v>
      </c>
      <c r="V506" s="39" t="s">
        <v>46</v>
      </c>
      <c r="W506" s="40" t="s">
        <v>0</v>
      </c>
      <c r="X506" s="58">
        <v>0</v>
      </c>
      <c r="Y506" s="55">
        <f>IFERROR(IF(X506="",0,CEILING((X506/$H506),1)*$H506),"")</f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598" t="s">
        <v>814</v>
      </c>
      <c r="AG506" s="78"/>
      <c r="AJ506" s="84" t="s">
        <v>46</v>
      </c>
      <c r="AK506" s="84">
        <v>0</v>
      </c>
      <c r="BB506" s="599" t="s">
        <v>67</v>
      </c>
      <c r="BM506" s="78">
        <f>IFERROR(X506*I506/H506,"0")</f>
        <v>0</v>
      </c>
      <c r="BN506" s="78">
        <f>IFERROR(Y506*I506/H506,"0")</f>
        <v>0</v>
      </c>
      <c r="BO506" s="78">
        <f>IFERROR(1/J506*(X506/H506),"0")</f>
        <v>0</v>
      </c>
      <c r="BP506" s="78">
        <f>IFERROR(1/J506*(Y506/H506),"0")</f>
        <v>0</v>
      </c>
    </row>
    <row r="507" spans="1:68" x14ac:dyDescent="0.2">
      <c r="A507" s="635"/>
      <c r="B507" s="635"/>
      <c r="C507" s="635"/>
      <c r="D507" s="635"/>
      <c r="E507" s="635"/>
      <c r="F507" s="635"/>
      <c r="G507" s="635"/>
      <c r="H507" s="635"/>
      <c r="I507" s="635"/>
      <c r="J507" s="635"/>
      <c r="K507" s="635"/>
      <c r="L507" s="635"/>
      <c r="M507" s="635"/>
      <c r="N507" s="635"/>
      <c r="O507" s="636"/>
      <c r="P507" s="632" t="s">
        <v>40</v>
      </c>
      <c r="Q507" s="633"/>
      <c r="R507" s="633"/>
      <c r="S507" s="633"/>
      <c r="T507" s="633"/>
      <c r="U507" s="633"/>
      <c r="V507" s="634"/>
      <c r="W507" s="42" t="s">
        <v>39</v>
      </c>
      <c r="X507" s="43">
        <f>IFERROR(X504/H504,"0")+IFERROR(X505/H505,"0")+IFERROR(X506/H506,"0")</f>
        <v>0</v>
      </c>
      <c r="Y507" s="43">
        <f>IFERROR(Y504/H504,"0")+IFERROR(Y505/H505,"0")+IFERROR(Y506/H506,"0")</f>
        <v>0</v>
      </c>
      <c r="Z507" s="43">
        <f>IFERROR(IF(Z504="",0,Z504),"0")+IFERROR(IF(Z505="",0,Z505),"0")+IFERROR(IF(Z506="",0,Z506),"0")</f>
        <v>0</v>
      </c>
      <c r="AA507" s="67"/>
      <c r="AB507" s="67"/>
      <c r="AC507" s="67"/>
    </row>
    <row r="508" spans="1:68" x14ac:dyDescent="0.2">
      <c r="A508" s="635"/>
      <c r="B508" s="635"/>
      <c r="C508" s="635"/>
      <c r="D508" s="635"/>
      <c r="E508" s="635"/>
      <c r="F508" s="635"/>
      <c r="G508" s="635"/>
      <c r="H508" s="635"/>
      <c r="I508" s="635"/>
      <c r="J508" s="635"/>
      <c r="K508" s="635"/>
      <c r="L508" s="635"/>
      <c r="M508" s="635"/>
      <c r="N508" s="635"/>
      <c r="O508" s="636"/>
      <c r="P508" s="632" t="s">
        <v>40</v>
      </c>
      <c r="Q508" s="633"/>
      <c r="R508" s="633"/>
      <c r="S508" s="633"/>
      <c r="T508" s="633"/>
      <c r="U508" s="633"/>
      <c r="V508" s="634"/>
      <c r="W508" s="42" t="s">
        <v>0</v>
      </c>
      <c r="X508" s="43">
        <f>IFERROR(SUM(X504:X506),"0")</f>
        <v>0</v>
      </c>
      <c r="Y508" s="43">
        <f>IFERROR(SUM(Y504:Y506),"0")</f>
        <v>0</v>
      </c>
      <c r="Z508" s="42"/>
      <c r="AA508" s="67"/>
      <c r="AB508" s="67"/>
      <c r="AC508" s="67"/>
    </row>
    <row r="509" spans="1:68" ht="14.25" customHeight="1" x14ac:dyDescent="0.25">
      <c r="A509" s="646" t="s">
        <v>77</v>
      </c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46"/>
      <c r="P509" s="646"/>
      <c r="Q509" s="646"/>
      <c r="R509" s="646"/>
      <c r="S509" s="646"/>
      <c r="T509" s="646"/>
      <c r="U509" s="646"/>
      <c r="V509" s="646"/>
      <c r="W509" s="646"/>
      <c r="X509" s="646"/>
      <c r="Y509" s="646"/>
      <c r="Z509" s="646"/>
      <c r="AA509" s="66"/>
      <c r="AB509" s="66"/>
      <c r="AC509" s="80"/>
    </row>
    <row r="510" spans="1:68" ht="27" customHeight="1" x14ac:dyDescent="0.25">
      <c r="A510" s="63" t="s">
        <v>819</v>
      </c>
      <c r="B510" s="63" t="s">
        <v>820</v>
      </c>
      <c r="C510" s="36">
        <v>4301031349</v>
      </c>
      <c r="D510" s="641">
        <v>4680115883116</v>
      </c>
      <c r="E510" s="64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130</v>
      </c>
      <c r="L510" s="37" t="s">
        <v>46</v>
      </c>
      <c r="M510" s="38" t="s">
        <v>129</v>
      </c>
      <c r="N510" s="38"/>
      <c r="O510" s="37">
        <v>70</v>
      </c>
      <c r="P510" s="65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0" s="643"/>
      <c r="R510" s="643"/>
      <c r="S510" s="643"/>
      <c r="T510" s="64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6" si="80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0" t="s">
        <v>821</v>
      </c>
      <c r="AG510" s="78"/>
      <c r="AJ510" s="84" t="s">
        <v>46</v>
      </c>
      <c r="AK510" s="84">
        <v>0</v>
      </c>
      <c r="BB510" s="601" t="s">
        <v>67</v>
      </c>
      <c r="BM510" s="78">
        <f t="shared" ref="BM510:BM516" si="81">IFERROR(X510*I510/H510,"0")</f>
        <v>0</v>
      </c>
      <c r="BN510" s="78">
        <f t="shared" ref="BN510:BN516" si="82">IFERROR(Y510*I510/H510,"0")</f>
        <v>0</v>
      </c>
      <c r="BO510" s="78">
        <f t="shared" ref="BO510:BO516" si="83">IFERROR(1/J510*(X510/H510),"0")</f>
        <v>0</v>
      </c>
      <c r="BP510" s="78">
        <f t="shared" ref="BP510:BP516" si="84">IFERROR(1/J510*(Y510/H510),"0")</f>
        <v>0</v>
      </c>
    </row>
    <row r="511" spans="1:68" ht="27" customHeight="1" x14ac:dyDescent="0.25">
      <c r="A511" s="63" t="s">
        <v>822</v>
      </c>
      <c r="B511" s="63" t="s">
        <v>823</v>
      </c>
      <c r="C511" s="36">
        <v>4301031350</v>
      </c>
      <c r="D511" s="641">
        <v>4680115883093</v>
      </c>
      <c r="E511" s="641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130</v>
      </c>
      <c r="L511" s="37" t="s">
        <v>46</v>
      </c>
      <c r="M511" s="38" t="s">
        <v>81</v>
      </c>
      <c r="N511" s="38"/>
      <c r="O511" s="37">
        <v>70</v>
      </c>
      <c r="P511" s="65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1" s="643"/>
      <c r="R511" s="643"/>
      <c r="S511" s="643"/>
      <c r="T511" s="644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2" t="s">
        <v>824</v>
      </c>
      <c r="AG511" s="78"/>
      <c r="AJ511" s="84" t="s">
        <v>46</v>
      </c>
      <c r="AK511" s="84">
        <v>0</v>
      </c>
      <c r="BB511" s="603" t="s">
        <v>67</v>
      </c>
      <c r="BM511" s="78">
        <f t="shared" si="81"/>
        <v>0</v>
      </c>
      <c r="BN511" s="78">
        <f t="shared" si="82"/>
        <v>0</v>
      </c>
      <c r="BO511" s="78">
        <f t="shared" si="83"/>
        <v>0</v>
      </c>
      <c r="BP511" s="78">
        <f t="shared" si="84"/>
        <v>0</v>
      </c>
    </row>
    <row r="512" spans="1:68" ht="27" customHeight="1" x14ac:dyDescent="0.25">
      <c r="A512" s="63" t="s">
        <v>825</v>
      </c>
      <c r="B512" s="63" t="s">
        <v>826</v>
      </c>
      <c r="C512" s="36">
        <v>4301031353</v>
      </c>
      <c r="D512" s="641">
        <v>4680115883109</v>
      </c>
      <c r="E512" s="641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130</v>
      </c>
      <c r="L512" s="37" t="s">
        <v>46</v>
      </c>
      <c r="M512" s="38" t="s">
        <v>81</v>
      </c>
      <c r="N512" s="38"/>
      <c r="O512" s="37">
        <v>70</v>
      </c>
      <c r="P51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2" s="643"/>
      <c r="R512" s="643"/>
      <c r="S512" s="643"/>
      <c r="T512" s="644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04" t="s">
        <v>827</v>
      </c>
      <c r="AG512" s="78"/>
      <c r="AJ512" s="84" t="s">
        <v>46</v>
      </c>
      <c r="AK512" s="84">
        <v>0</v>
      </c>
      <c r="BB512" s="605" t="s">
        <v>67</v>
      </c>
      <c r="BM512" s="78">
        <f t="shared" si="81"/>
        <v>0</v>
      </c>
      <c r="BN512" s="78">
        <f t="shared" si="82"/>
        <v>0</v>
      </c>
      <c r="BO512" s="78">
        <f t="shared" si="83"/>
        <v>0</v>
      </c>
      <c r="BP512" s="78">
        <f t="shared" si="84"/>
        <v>0</v>
      </c>
    </row>
    <row r="513" spans="1:68" ht="27" customHeight="1" x14ac:dyDescent="0.25">
      <c r="A513" s="63" t="s">
        <v>828</v>
      </c>
      <c r="B513" s="63" t="s">
        <v>829</v>
      </c>
      <c r="C513" s="36">
        <v>4301031419</v>
      </c>
      <c r="D513" s="641">
        <v>4680115882072</v>
      </c>
      <c r="E513" s="641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137</v>
      </c>
      <c r="L513" s="37" t="s">
        <v>46</v>
      </c>
      <c r="M513" s="38" t="s">
        <v>129</v>
      </c>
      <c r="N513" s="38"/>
      <c r="O513" s="37">
        <v>70</v>
      </c>
      <c r="P513" s="6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3" s="643"/>
      <c r="R513" s="643"/>
      <c r="S513" s="643"/>
      <c r="T513" s="644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821</v>
      </c>
      <c r="AG513" s="78"/>
      <c r="AJ513" s="84" t="s">
        <v>46</v>
      </c>
      <c r="AK513" s="84">
        <v>0</v>
      </c>
      <c r="BB513" s="607" t="s">
        <v>67</v>
      </c>
      <c r="BM513" s="78">
        <f t="shared" si="81"/>
        <v>0</v>
      </c>
      <c r="BN513" s="78">
        <f t="shared" si="82"/>
        <v>0</v>
      </c>
      <c r="BO513" s="78">
        <f t="shared" si="83"/>
        <v>0</v>
      </c>
      <c r="BP513" s="78">
        <f t="shared" si="84"/>
        <v>0</v>
      </c>
    </row>
    <row r="514" spans="1:68" ht="27" customHeight="1" x14ac:dyDescent="0.25">
      <c r="A514" s="63" t="s">
        <v>830</v>
      </c>
      <c r="B514" s="63" t="s">
        <v>831</v>
      </c>
      <c r="C514" s="36">
        <v>4301031352</v>
      </c>
      <c r="D514" s="641">
        <v>4680115882102</v>
      </c>
      <c r="E514" s="641"/>
      <c r="F514" s="62">
        <v>0.6</v>
      </c>
      <c r="G514" s="37">
        <v>6</v>
      </c>
      <c r="H514" s="62">
        <v>3.6</v>
      </c>
      <c r="I514" s="62">
        <v>3.79</v>
      </c>
      <c r="J514" s="37">
        <v>132</v>
      </c>
      <c r="K514" s="37" t="s">
        <v>137</v>
      </c>
      <c r="L514" s="37" t="s">
        <v>46</v>
      </c>
      <c r="M514" s="38" t="s">
        <v>81</v>
      </c>
      <c r="N514" s="38"/>
      <c r="O514" s="37">
        <v>70</v>
      </c>
      <c r="P514" s="6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4" s="643"/>
      <c r="R514" s="643"/>
      <c r="S514" s="643"/>
      <c r="T514" s="64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8" t="s">
        <v>824</v>
      </c>
      <c r="AG514" s="78"/>
      <c r="AJ514" s="84" t="s">
        <v>46</v>
      </c>
      <c r="AK514" s="84">
        <v>0</v>
      </c>
      <c r="BB514" s="609" t="s">
        <v>67</v>
      </c>
      <c r="BM514" s="78">
        <f t="shared" si="81"/>
        <v>0</v>
      </c>
      <c r="BN514" s="78">
        <f t="shared" si="82"/>
        <v>0</v>
      </c>
      <c r="BO514" s="78">
        <f t="shared" si="83"/>
        <v>0</v>
      </c>
      <c r="BP514" s="78">
        <f t="shared" si="84"/>
        <v>0</v>
      </c>
    </row>
    <row r="515" spans="1:68" ht="27" customHeight="1" x14ac:dyDescent="0.25">
      <c r="A515" s="63" t="s">
        <v>830</v>
      </c>
      <c r="B515" s="63" t="s">
        <v>832</v>
      </c>
      <c r="C515" s="36">
        <v>4301031418</v>
      </c>
      <c r="D515" s="641">
        <v>4680115882102</v>
      </c>
      <c r="E515" s="641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137</v>
      </c>
      <c r="L515" s="37" t="s">
        <v>46</v>
      </c>
      <c r="M515" s="38" t="s">
        <v>81</v>
      </c>
      <c r="N515" s="38"/>
      <c r="O515" s="37">
        <v>70</v>
      </c>
      <c r="P515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5" s="643"/>
      <c r="R515" s="643"/>
      <c r="S515" s="643"/>
      <c r="T515" s="64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10" t="s">
        <v>824</v>
      </c>
      <c r="AG515" s="78"/>
      <c r="AJ515" s="84" t="s">
        <v>46</v>
      </c>
      <c r="AK515" s="84">
        <v>0</v>
      </c>
      <c r="BB515" s="611" t="s">
        <v>67</v>
      </c>
      <c r="BM515" s="78">
        <f t="shared" si="81"/>
        <v>0</v>
      </c>
      <c r="BN515" s="78">
        <f t="shared" si="82"/>
        <v>0</v>
      </c>
      <c r="BO515" s="78">
        <f t="shared" si="83"/>
        <v>0</v>
      </c>
      <c r="BP515" s="78">
        <f t="shared" si="84"/>
        <v>0</v>
      </c>
    </row>
    <row r="516" spans="1:68" ht="27" customHeight="1" x14ac:dyDescent="0.25">
      <c r="A516" s="63" t="s">
        <v>833</v>
      </c>
      <c r="B516" s="63" t="s">
        <v>834</v>
      </c>
      <c r="C516" s="36">
        <v>4301031417</v>
      </c>
      <c r="D516" s="641">
        <v>4680115882096</v>
      </c>
      <c r="E516" s="641"/>
      <c r="F516" s="62">
        <v>0.6</v>
      </c>
      <c r="G516" s="37">
        <v>8</v>
      </c>
      <c r="H516" s="62">
        <v>4.8</v>
      </c>
      <c r="I516" s="62">
        <v>6.67</v>
      </c>
      <c r="J516" s="37">
        <v>132</v>
      </c>
      <c r="K516" s="37" t="s">
        <v>137</v>
      </c>
      <c r="L516" s="37" t="s">
        <v>46</v>
      </c>
      <c r="M516" s="38" t="s">
        <v>81</v>
      </c>
      <c r="N516" s="38"/>
      <c r="O516" s="37">
        <v>70</v>
      </c>
      <c r="P516" s="6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43"/>
      <c r="R516" s="643"/>
      <c r="S516" s="643"/>
      <c r="T516" s="64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2" t="s">
        <v>827</v>
      </c>
      <c r="AG516" s="78"/>
      <c r="AJ516" s="84" t="s">
        <v>46</v>
      </c>
      <c r="AK516" s="84">
        <v>0</v>
      </c>
      <c r="BB516" s="613" t="s">
        <v>67</v>
      </c>
      <c r="BM516" s="78">
        <f t="shared" si="81"/>
        <v>0</v>
      </c>
      <c r="BN516" s="78">
        <f t="shared" si="82"/>
        <v>0</v>
      </c>
      <c r="BO516" s="78">
        <f t="shared" si="83"/>
        <v>0</v>
      </c>
      <c r="BP516" s="78">
        <f t="shared" si="84"/>
        <v>0</v>
      </c>
    </row>
    <row r="517" spans="1:68" x14ac:dyDescent="0.2">
      <c r="A517" s="635"/>
      <c r="B517" s="635"/>
      <c r="C517" s="635"/>
      <c r="D517" s="635"/>
      <c r="E517" s="635"/>
      <c r="F517" s="635"/>
      <c r="G517" s="635"/>
      <c r="H517" s="635"/>
      <c r="I517" s="635"/>
      <c r="J517" s="635"/>
      <c r="K517" s="635"/>
      <c r="L517" s="635"/>
      <c r="M517" s="635"/>
      <c r="N517" s="635"/>
      <c r="O517" s="636"/>
      <c r="P517" s="632" t="s">
        <v>40</v>
      </c>
      <c r="Q517" s="633"/>
      <c r="R517" s="633"/>
      <c r="S517" s="633"/>
      <c r="T517" s="633"/>
      <c r="U517" s="633"/>
      <c r="V517" s="634"/>
      <c r="W517" s="42" t="s">
        <v>39</v>
      </c>
      <c r="X517" s="43">
        <f>IFERROR(X510/H510,"0")+IFERROR(X511/H511,"0")+IFERROR(X512/H512,"0")+IFERROR(X513/H513,"0")+IFERROR(X514/H514,"0")+IFERROR(X515/H515,"0")+IFERROR(X516/H516,"0")</f>
        <v>0</v>
      </c>
      <c r="Y517" s="43">
        <f>IFERROR(Y510/H510,"0")+IFERROR(Y511/H511,"0")+IFERROR(Y512/H512,"0")+IFERROR(Y513/H513,"0")+IFERROR(Y514/H514,"0")+IFERROR(Y515/H515,"0")+IFERROR(Y516/H516,"0")</f>
        <v>0</v>
      </c>
      <c r="Z517" s="43">
        <f>IFERROR(IF(Z510="",0,Z510),"0")+IFERROR(IF(Z511="",0,Z511),"0")+IFERROR(IF(Z512="",0,Z512),"0")+IFERROR(IF(Z513="",0,Z513),"0")+IFERROR(IF(Z514="",0,Z514),"0")+IFERROR(IF(Z515="",0,Z515),"0")+IFERROR(IF(Z516="",0,Z516),"0")</f>
        <v>0</v>
      </c>
      <c r="AA517" s="67"/>
      <c r="AB517" s="67"/>
      <c r="AC517" s="67"/>
    </row>
    <row r="518" spans="1:68" x14ac:dyDescent="0.2">
      <c r="A518" s="635"/>
      <c r="B518" s="635"/>
      <c r="C518" s="635"/>
      <c r="D518" s="635"/>
      <c r="E518" s="635"/>
      <c r="F518" s="635"/>
      <c r="G518" s="635"/>
      <c r="H518" s="635"/>
      <c r="I518" s="635"/>
      <c r="J518" s="635"/>
      <c r="K518" s="635"/>
      <c r="L518" s="635"/>
      <c r="M518" s="635"/>
      <c r="N518" s="635"/>
      <c r="O518" s="636"/>
      <c r="P518" s="632" t="s">
        <v>40</v>
      </c>
      <c r="Q518" s="633"/>
      <c r="R518" s="633"/>
      <c r="S518" s="633"/>
      <c r="T518" s="633"/>
      <c r="U518" s="633"/>
      <c r="V518" s="634"/>
      <c r="W518" s="42" t="s">
        <v>0</v>
      </c>
      <c r="X518" s="43">
        <f>IFERROR(SUM(X510:X516),"0")</f>
        <v>0</v>
      </c>
      <c r="Y518" s="43">
        <f>IFERROR(SUM(Y510:Y516),"0")</f>
        <v>0</v>
      </c>
      <c r="Z518" s="42"/>
      <c r="AA518" s="67"/>
      <c r="AB518" s="67"/>
      <c r="AC518" s="67"/>
    </row>
    <row r="519" spans="1:68" ht="27.75" customHeight="1" x14ac:dyDescent="0.2">
      <c r="A519" s="652" t="s">
        <v>835</v>
      </c>
      <c r="B519" s="652"/>
      <c r="C519" s="652"/>
      <c r="D519" s="652"/>
      <c r="E519" s="652"/>
      <c r="F519" s="652"/>
      <c r="G519" s="652"/>
      <c r="H519" s="652"/>
      <c r="I519" s="652"/>
      <c r="J519" s="652"/>
      <c r="K519" s="652"/>
      <c r="L519" s="652"/>
      <c r="M519" s="652"/>
      <c r="N519" s="652"/>
      <c r="O519" s="652"/>
      <c r="P519" s="652"/>
      <c r="Q519" s="652"/>
      <c r="R519" s="652"/>
      <c r="S519" s="652"/>
      <c r="T519" s="652"/>
      <c r="U519" s="652"/>
      <c r="V519" s="652"/>
      <c r="W519" s="652"/>
      <c r="X519" s="652"/>
      <c r="Y519" s="652"/>
      <c r="Z519" s="652"/>
      <c r="AA519" s="54"/>
      <c r="AB519" s="54"/>
      <c r="AC519" s="54"/>
    </row>
    <row r="520" spans="1:68" ht="16.5" customHeight="1" x14ac:dyDescent="0.25">
      <c r="A520" s="645" t="s">
        <v>835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5"/>
      <c r="AB520" s="65"/>
      <c r="AC520" s="79"/>
    </row>
    <row r="521" spans="1:68" ht="14.25" customHeight="1" x14ac:dyDescent="0.25">
      <c r="A521" s="646" t="s">
        <v>125</v>
      </c>
      <c r="B521" s="646"/>
      <c r="C521" s="646"/>
      <c r="D521" s="646"/>
      <c r="E521" s="646"/>
      <c r="F521" s="646"/>
      <c r="G521" s="646"/>
      <c r="H521" s="646"/>
      <c r="I521" s="646"/>
      <c r="J521" s="646"/>
      <c r="K521" s="646"/>
      <c r="L521" s="646"/>
      <c r="M521" s="646"/>
      <c r="N521" s="646"/>
      <c r="O521" s="646"/>
      <c r="P521" s="646"/>
      <c r="Q521" s="646"/>
      <c r="R521" s="646"/>
      <c r="S521" s="646"/>
      <c r="T521" s="646"/>
      <c r="U521" s="646"/>
      <c r="V521" s="646"/>
      <c r="W521" s="646"/>
      <c r="X521" s="646"/>
      <c r="Y521" s="646"/>
      <c r="Z521" s="646"/>
      <c r="AA521" s="66"/>
      <c r="AB521" s="66"/>
      <c r="AC521" s="80"/>
    </row>
    <row r="522" spans="1:68" ht="27" customHeight="1" x14ac:dyDescent="0.25">
      <c r="A522" s="63" t="s">
        <v>836</v>
      </c>
      <c r="B522" s="63" t="s">
        <v>837</v>
      </c>
      <c r="C522" s="36">
        <v>4301011584</v>
      </c>
      <c r="D522" s="641">
        <v>4640242180564</v>
      </c>
      <c r="E522" s="641"/>
      <c r="F522" s="62">
        <v>1.5</v>
      </c>
      <c r="G522" s="37">
        <v>8</v>
      </c>
      <c r="H522" s="62">
        <v>12</v>
      </c>
      <c r="I522" s="62">
        <v>12.41</v>
      </c>
      <c r="J522" s="37">
        <v>64</v>
      </c>
      <c r="K522" s="37" t="s">
        <v>130</v>
      </c>
      <c r="L522" s="37" t="s">
        <v>46</v>
      </c>
      <c r="M522" s="38" t="s">
        <v>129</v>
      </c>
      <c r="N522" s="38"/>
      <c r="O522" s="37">
        <v>50</v>
      </c>
      <c r="P522" s="6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2" s="643"/>
      <c r="R522" s="643"/>
      <c r="S522" s="643"/>
      <c r="T522" s="644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14" t="s">
        <v>838</v>
      </c>
      <c r="AG522" s="78"/>
      <c r="AJ522" s="84" t="s">
        <v>46</v>
      </c>
      <c r="AK522" s="84">
        <v>0</v>
      </c>
      <c r="BB522" s="615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x14ac:dyDescent="0.2">
      <c r="A523" s="635"/>
      <c r="B523" s="635"/>
      <c r="C523" s="635"/>
      <c r="D523" s="635"/>
      <c r="E523" s="635"/>
      <c r="F523" s="635"/>
      <c r="G523" s="635"/>
      <c r="H523" s="635"/>
      <c r="I523" s="635"/>
      <c r="J523" s="635"/>
      <c r="K523" s="635"/>
      <c r="L523" s="635"/>
      <c r="M523" s="635"/>
      <c r="N523" s="635"/>
      <c r="O523" s="636"/>
      <c r="P523" s="632" t="s">
        <v>40</v>
      </c>
      <c r="Q523" s="633"/>
      <c r="R523" s="633"/>
      <c r="S523" s="633"/>
      <c r="T523" s="633"/>
      <c r="U523" s="633"/>
      <c r="V523" s="634"/>
      <c r="W523" s="42" t="s">
        <v>39</v>
      </c>
      <c r="X523" s="43">
        <f>IFERROR(X522/H522,"0")</f>
        <v>0</v>
      </c>
      <c r="Y523" s="43">
        <f>IFERROR(Y522/H522,"0")</f>
        <v>0</v>
      </c>
      <c r="Z523" s="43">
        <f>IFERROR(IF(Z522="",0,Z522),"0")</f>
        <v>0</v>
      </c>
      <c r="AA523" s="67"/>
      <c r="AB523" s="67"/>
      <c r="AC523" s="67"/>
    </row>
    <row r="524" spans="1:68" x14ac:dyDescent="0.2">
      <c r="A524" s="635"/>
      <c r="B524" s="635"/>
      <c r="C524" s="635"/>
      <c r="D524" s="635"/>
      <c r="E524" s="635"/>
      <c r="F524" s="635"/>
      <c r="G524" s="635"/>
      <c r="H524" s="635"/>
      <c r="I524" s="635"/>
      <c r="J524" s="635"/>
      <c r="K524" s="635"/>
      <c r="L524" s="635"/>
      <c r="M524" s="635"/>
      <c r="N524" s="635"/>
      <c r="O524" s="636"/>
      <c r="P524" s="632" t="s">
        <v>40</v>
      </c>
      <c r="Q524" s="633"/>
      <c r="R524" s="633"/>
      <c r="S524" s="633"/>
      <c r="T524" s="633"/>
      <c r="U524" s="633"/>
      <c r="V524" s="634"/>
      <c r="W524" s="42" t="s">
        <v>0</v>
      </c>
      <c r="X524" s="43">
        <f>IFERROR(SUM(X522:X522),"0")</f>
        <v>0</v>
      </c>
      <c r="Y524" s="43">
        <f>IFERROR(SUM(Y522:Y522),"0")</f>
        <v>0</v>
      </c>
      <c r="Z524" s="42"/>
      <c r="AA524" s="67"/>
      <c r="AB524" s="67"/>
      <c r="AC524" s="67"/>
    </row>
    <row r="525" spans="1:68" ht="14.25" customHeight="1" x14ac:dyDescent="0.25">
      <c r="A525" s="646" t="s">
        <v>158</v>
      </c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46"/>
      <c r="P525" s="646"/>
      <c r="Q525" s="646"/>
      <c r="R525" s="646"/>
      <c r="S525" s="646"/>
      <c r="T525" s="646"/>
      <c r="U525" s="646"/>
      <c r="V525" s="646"/>
      <c r="W525" s="646"/>
      <c r="X525" s="646"/>
      <c r="Y525" s="646"/>
      <c r="Z525" s="646"/>
      <c r="AA525" s="66"/>
      <c r="AB525" s="66"/>
      <c r="AC525" s="80"/>
    </row>
    <row r="526" spans="1:68" ht="27" customHeight="1" x14ac:dyDescent="0.25">
      <c r="A526" s="63" t="s">
        <v>839</v>
      </c>
      <c r="B526" s="63" t="s">
        <v>840</v>
      </c>
      <c r="C526" s="36">
        <v>4301020400</v>
      </c>
      <c r="D526" s="641">
        <v>4640242180519</v>
      </c>
      <c r="E526" s="64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130</v>
      </c>
      <c r="L526" s="37" t="s">
        <v>46</v>
      </c>
      <c r="M526" s="38" t="s">
        <v>129</v>
      </c>
      <c r="N526" s="38"/>
      <c r="O526" s="37">
        <v>50</v>
      </c>
      <c r="P526" s="6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6" s="643"/>
      <c r="R526" s="643"/>
      <c r="S526" s="643"/>
      <c r="T526" s="64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6" t="s">
        <v>841</v>
      </c>
      <c r="AG526" s="78"/>
      <c r="AJ526" s="84" t="s">
        <v>46</v>
      </c>
      <c r="AK526" s="84">
        <v>0</v>
      </c>
      <c r="BB526" s="617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35"/>
      <c r="B527" s="635"/>
      <c r="C527" s="635"/>
      <c r="D527" s="635"/>
      <c r="E527" s="635"/>
      <c r="F527" s="635"/>
      <c r="G527" s="635"/>
      <c r="H527" s="635"/>
      <c r="I527" s="635"/>
      <c r="J527" s="635"/>
      <c r="K527" s="635"/>
      <c r="L527" s="635"/>
      <c r="M527" s="635"/>
      <c r="N527" s="635"/>
      <c r="O527" s="636"/>
      <c r="P527" s="632" t="s">
        <v>40</v>
      </c>
      <c r="Q527" s="633"/>
      <c r="R527" s="633"/>
      <c r="S527" s="633"/>
      <c r="T527" s="633"/>
      <c r="U527" s="633"/>
      <c r="V527" s="63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x14ac:dyDescent="0.2">
      <c r="A528" s="635"/>
      <c r="B528" s="635"/>
      <c r="C528" s="635"/>
      <c r="D528" s="635"/>
      <c r="E528" s="635"/>
      <c r="F528" s="635"/>
      <c r="G528" s="635"/>
      <c r="H528" s="635"/>
      <c r="I528" s="635"/>
      <c r="J528" s="635"/>
      <c r="K528" s="635"/>
      <c r="L528" s="635"/>
      <c r="M528" s="635"/>
      <c r="N528" s="635"/>
      <c r="O528" s="636"/>
      <c r="P528" s="632" t="s">
        <v>40</v>
      </c>
      <c r="Q528" s="633"/>
      <c r="R528" s="633"/>
      <c r="S528" s="633"/>
      <c r="T528" s="633"/>
      <c r="U528" s="633"/>
      <c r="V528" s="63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customHeight="1" x14ac:dyDescent="0.25">
      <c r="A529" s="646" t="s">
        <v>77</v>
      </c>
      <c r="B529" s="646"/>
      <c r="C529" s="646"/>
      <c r="D529" s="646"/>
      <c r="E529" s="646"/>
      <c r="F529" s="646"/>
      <c r="G529" s="646"/>
      <c r="H529" s="646"/>
      <c r="I529" s="646"/>
      <c r="J529" s="646"/>
      <c r="K529" s="646"/>
      <c r="L529" s="646"/>
      <c r="M529" s="646"/>
      <c r="N529" s="646"/>
      <c r="O529" s="646"/>
      <c r="P529" s="646"/>
      <c r="Q529" s="646"/>
      <c r="R529" s="646"/>
      <c r="S529" s="646"/>
      <c r="T529" s="646"/>
      <c r="U529" s="646"/>
      <c r="V529" s="646"/>
      <c r="W529" s="646"/>
      <c r="X529" s="646"/>
      <c r="Y529" s="646"/>
      <c r="Z529" s="646"/>
      <c r="AA529" s="66"/>
      <c r="AB529" s="66"/>
      <c r="AC529" s="80"/>
    </row>
    <row r="530" spans="1:68" ht="27" customHeight="1" x14ac:dyDescent="0.25">
      <c r="A530" s="63" t="s">
        <v>842</v>
      </c>
      <c r="B530" s="63" t="s">
        <v>843</v>
      </c>
      <c r="C530" s="36">
        <v>4301031500</v>
      </c>
      <c r="D530" s="641">
        <v>4640242180595</v>
      </c>
      <c r="E530" s="641"/>
      <c r="F530" s="62">
        <v>0.7</v>
      </c>
      <c r="G530" s="37">
        <v>6</v>
      </c>
      <c r="H530" s="62">
        <v>4.2</v>
      </c>
      <c r="I530" s="62">
        <v>4.45</v>
      </c>
      <c r="J530" s="37">
        <v>132</v>
      </c>
      <c r="K530" s="37" t="s">
        <v>137</v>
      </c>
      <c r="L530" s="37" t="s">
        <v>46</v>
      </c>
      <c r="M530" s="38" t="s">
        <v>81</v>
      </c>
      <c r="N530" s="38"/>
      <c r="O530" s="37">
        <v>40</v>
      </c>
      <c r="P530" s="6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0" s="643"/>
      <c r="R530" s="643"/>
      <c r="S530" s="643"/>
      <c r="T530" s="64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18" t="s">
        <v>844</v>
      </c>
      <c r="AG530" s="78"/>
      <c r="AJ530" s="84" t="s">
        <v>46</v>
      </c>
      <c r="AK530" s="84">
        <v>0</v>
      </c>
      <c r="BB530" s="619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635"/>
      <c r="B531" s="635"/>
      <c r="C531" s="635"/>
      <c r="D531" s="635"/>
      <c r="E531" s="635"/>
      <c r="F531" s="635"/>
      <c r="G531" s="635"/>
      <c r="H531" s="635"/>
      <c r="I531" s="635"/>
      <c r="J531" s="635"/>
      <c r="K531" s="635"/>
      <c r="L531" s="635"/>
      <c r="M531" s="635"/>
      <c r="N531" s="635"/>
      <c r="O531" s="636"/>
      <c r="P531" s="632" t="s">
        <v>40</v>
      </c>
      <c r="Q531" s="633"/>
      <c r="R531" s="633"/>
      <c r="S531" s="633"/>
      <c r="T531" s="633"/>
      <c r="U531" s="633"/>
      <c r="V531" s="63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635"/>
      <c r="B532" s="635"/>
      <c r="C532" s="635"/>
      <c r="D532" s="635"/>
      <c r="E532" s="635"/>
      <c r="F532" s="635"/>
      <c r="G532" s="635"/>
      <c r="H532" s="635"/>
      <c r="I532" s="635"/>
      <c r="J532" s="635"/>
      <c r="K532" s="635"/>
      <c r="L532" s="635"/>
      <c r="M532" s="635"/>
      <c r="N532" s="635"/>
      <c r="O532" s="636"/>
      <c r="P532" s="632" t="s">
        <v>40</v>
      </c>
      <c r="Q532" s="633"/>
      <c r="R532" s="633"/>
      <c r="S532" s="633"/>
      <c r="T532" s="633"/>
      <c r="U532" s="633"/>
      <c r="V532" s="63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646" t="s">
        <v>86</v>
      </c>
      <c r="B533" s="646"/>
      <c r="C533" s="646"/>
      <c r="D533" s="646"/>
      <c r="E533" s="646"/>
      <c r="F533" s="646"/>
      <c r="G533" s="646"/>
      <c r="H533" s="646"/>
      <c r="I533" s="646"/>
      <c r="J533" s="646"/>
      <c r="K533" s="646"/>
      <c r="L533" s="646"/>
      <c r="M533" s="646"/>
      <c r="N533" s="646"/>
      <c r="O533" s="646"/>
      <c r="P533" s="646"/>
      <c r="Q533" s="646"/>
      <c r="R533" s="646"/>
      <c r="S533" s="646"/>
      <c r="T533" s="646"/>
      <c r="U533" s="646"/>
      <c r="V533" s="646"/>
      <c r="W533" s="646"/>
      <c r="X533" s="646"/>
      <c r="Y533" s="646"/>
      <c r="Z533" s="646"/>
      <c r="AA533" s="66"/>
      <c r="AB533" s="66"/>
      <c r="AC533" s="80"/>
    </row>
    <row r="534" spans="1:68" ht="27" customHeight="1" x14ac:dyDescent="0.25">
      <c r="A534" s="63" t="s">
        <v>845</v>
      </c>
      <c r="B534" s="63" t="s">
        <v>846</v>
      </c>
      <c r="C534" s="36">
        <v>4301052043</v>
      </c>
      <c r="D534" s="641">
        <v>4640242180533</v>
      </c>
      <c r="E534" s="641"/>
      <c r="F534" s="62">
        <v>1.5</v>
      </c>
      <c r="G534" s="37">
        <v>6</v>
      </c>
      <c r="H534" s="62">
        <v>9</v>
      </c>
      <c r="I534" s="62">
        <v>9.4939999999999998</v>
      </c>
      <c r="J534" s="37">
        <v>64</v>
      </c>
      <c r="K534" s="37" t="s">
        <v>130</v>
      </c>
      <c r="L534" s="37" t="s">
        <v>46</v>
      </c>
      <c r="M534" s="38" t="s">
        <v>90</v>
      </c>
      <c r="N534" s="38"/>
      <c r="O534" s="37">
        <v>45</v>
      </c>
      <c r="P534" s="64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4" s="643"/>
      <c r="R534" s="643"/>
      <c r="S534" s="643"/>
      <c r="T534" s="64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0" t="s">
        <v>847</v>
      </c>
      <c r="AG534" s="78"/>
      <c r="AJ534" s="84" t="s">
        <v>46</v>
      </c>
      <c r="AK534" s="84">
        <v>0</v>
      </c>
      <c r="BB534" s="621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635"/>
      <c r="B535" s="635"/>
      <c r="C535" s="635"/>
      <c r="D535" s="635"/>
      <c r="E535" s="635"/>
      <c r="F535" s="635"/>
      <c r="G535" s="635"/>
      <c r="H535" s="635"/>
      <c r="I535" s="635"/>
      <c r="J535" s="635"/>
      <c r="K535" s="635"/>
      <c r="L535" s="635"/>
      <c r="M535" s="635"/>
      <c r="N535" s="635"/>
      <c r="O535" s="636"/>
      <c r="P535" s="632" t="s">
        <v>40</v>
      </c>
      <c r="Q535" s="633"/>
      <c r="R535" s="633"/>
      <c r="S535" s="633"/>
      <c r="T535" s="633"/>
      <c r="U535" s="633"/>
      <c r="V535" s="63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635"/>
      <c r="B536" s="635"/>
      <c r="C536" s="635"/>
      <c r="D536" s="635"/>
      <c r="E536" s="635"/>
      <c r="F536" s="635"/>
      <c r="G536" s="635"/>
      <c r="H536" s="635"/>
      <c r="I536" s="635"/>
      <c r="J536" s="635"/>
      <c r="K536" s="635"/>
      <c r="L536" s="635"/>
      <c r="M536" s="635"/>
      <c r="N536" s="635"/>
      <c r="O536" s="636"/>
      <c r="P536" s="632" t="s">
        <v>40</v>
      </c>
      <c r="Q536" s="633"/>
      <c r="R536" s="633"/>
      <c r="S536" s="633"/>
      <c r="T536" s="633"/>
      <c r="U536" s="633"/>
      <c r="V536" s="63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646" t="s">
        <v>175</v>
      </c>
      <c r="B537" s="646"/>
      <c r="C537" s="646"/>
      <c r="D537" s="646"/>
      <c r="E537" s="646"/>
      <c r="F537" s="646"/>
      <c r="G537" s="646"/>
      <c r="H537" s="646"/>
      <c r="I537" s="646"/>
      <c r="J537" s="646"/>
      <c r="K537" s="646"/>
      <c r="L537" s="646"/>
      <c r="M537" s="646"/>
      <c r="N537" s="646"/>
      <c r="O537" s="646"/>
      <c r="P537" s="646"/>
      <c r="Q537" s="646"/>
      <c r="R537" s="646"/>
      <c r="S537" s="646"/>
      <c r="T537" s="646"/>
      <c r="U537" s="646"/>
      <c r="V537" s="646"/>
      <c r="W537" s="646"/>
      <c r="X537" s="646"/>
      <c r="Y537" s="646"/>
      <c r="Z537" s="646"/>
      <c r="AA537" s="66"/>
      <c r="AB537" s="66"/>
      <c r="AC537" s="80"/>
    </row>
    <row r="538" spans="1:68" ht="27" customHeight="1" x14ac:dyDescent="0.25">
      <c r="A538" s="63" t="s">
        <v>848</v>
      </c>
      <c r="B538" s="63" t="s">
        <v>849</v>
      </c>
      <c r="C538" s="36">
        <v>4301060535</v>
      </c>
      <c r="D538" s="641">
        <v>4640242180120</v>
      </c>
      <c r="E538" s="641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130</v>
      </c>
      <c r="L538" s="37" t="s">
        <v>46</v>
      </c>
      <c r="M538" s="38" t="s">
        <v>90</v>
      </c>
      <c r="N538" s="38"/>
      <c r="O538" s="37">
        <v>40</v>
      </c>
      <c r="P538" s="64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8" s="643"/>
      <c r="R538" s="643"/>
      <c r="S538" s="643"/>
      <c r="T538" s="64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850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t="27" customHeight="1" x14ac:dyDescent="0.25">
      <c r="A539" s="63" t="s">
        <v>851</v>
      </c>
      <c r="B539" s="63" t="s">
        <v>852</v>
      </c>
      <c r="C539" s="36">
        <v>4301060536</v>
      </c>
      <c r="D539" s="641">
        <v>4640242180137</v>
      </c>
      <c r="E539" s="641"/>
      <c r="F539" s="62">
        <v>1.5</v>
      </c>
      <c r="G539" s="37">
        <v>6</v>
      </c>
      <c r="H539" s="62">
        <v>9</v>
      </c>
      <c r="I539" s="62">
        <v>9.41</v>
      </c>
      <c r="J539" s="37">
        <v>64</v>
      </c>
      <c r="K539" s="37" t="s">
        <v>130</v>
      </c>
      <c r="L539" s="37" t="s">
        <v>46</v>
      </c>
      <c r="M539" s="38" t="s">
        <v>90</v>
      </c>
      <c r="N539" s="38"/>
      <c r="O539" s="37">
        <v>40</v>
      </c>
      <c r="P539" s="64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9" s="643"/>
      <c r="R539" s="643"/>
      <c r="S539" s="643"/>
      <c r="T539" s="644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853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635"/>
      <c r="B540" s="635"/>
      <c r="C540" s="635"/>
      <c r="D540" s="635"/>
      <c r="E540" s="635"/>
      <c r="F540" s="635"/>
      <c r="G540" s="635"/>
      <c r="H540" s="635"/>
      <c r="I540" s="635"/>
      <c r="J540" s="635"/>
      <c r="K540" s="635"/>
      <c r="L540" s="635"/>
      <c r="M540" s="635"/>
      <c r="N540" s="635"/>
      <c r="O540" s="636"/>
      <c r="P540" s="632" t="s">
        <v>40</v>
      </c>
      <c r="Q540" s="633"/>
      <c r="R540" s="633"/>
      <c r="S540" s="633"/>
      <c r="T540" s="633"/>
      <c r="U540" s="633"/>
      <c r="V540" s="634"/>
      <c r="W540" s="42" t="s">
        <v>39</v>
      </c>
      <c r="X540" s="43">
        <f>IFERROR(X538/H538,"0")+IFERROR(X539/H539,"0")</f>
        <v>0</v>
      </c>
      <c r="Y540" s="43">
        <f>IFERROR(Y538/H538,"0")+IFERROR(Y539/H539,"0")</f>
        <v>0</v>
      </c>
      <c r="Z540" s="43">
        <f>IFERROR(IF(Z538="",0,Z538),"0")+IFERROR(IF(Z539="",0,Z539),"0")</f>
        <v>0</v>
      </c>
      <c r="AA540" s="67"/>
      <c r="AB540" s="67"/>
      <c r="AC540" s="67"/>
    </row>
    <row r="541" spans="1:68" x14ac:dyDescent="0.2">
      <c r="A541" s="635"/>
      <c r="B541" s="635"/>
      <c r="C541" s="635"/>
      <c r="D541" s="635"/>
      <c r="E541" s="635"/>
      <c r="F541" s="635"/>
      <c r="G541" s="635"/>
      <c r="H541" s="635"/>
      <c r="I541" s="635"/>
      <c r="J541" s="635"/>
      <c r="K541" s="635"/>
      <c r="L541" s="635"/>
      <c r="M541" s="635"/>
      <c r="N541" s="635"/>
      <c r="O541" s="636"/>
      <c r="P541" s="632" t="s">
        <v>40</v>
      </c>
      <c r="Q541" s="633"/>
      <c r="R541" s="633"/>
      <c r="S541" s="633"/>
      <c r="T541" s="633"/>
      <c r="U541" s="633"/>
      <c r="V541" s="634"/>
      <c r="W541" s="42" t="s">
        <v>0</v>
      </c>
      <c r="X541" s="43">
        <f>IFERROR(SUM(X538:X539),"0")</f>
        <v>0</v>
      </c>
      <c r="Y541" s="43">
        <f>IFERROR(SUM(Y538:Y539),"0")</f>
        <v>0</v>
      </c>
      <c r="Z541" s="42"/>
      <c r="AA541" s="67"/>
      <c r="AB541" s="67"/>
      <c r="AC541" s="67"/>
    </row>
    <row r="542" spans="1:68" ht="16.5" customHeight="1" x14ac:dyDescent="0.25">
      <c r="A542" s="645" t="s">
        <v>854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5"/>
      <c r="AB542" s="65"/>
      <c r="AC542" s="79"/>
    </row>
    <row r="543" spans="1:68" ht="14.25" customHeight="1" x14ac:dyDescent="0.25">
      <c r="A543" s="646" t="s">
        <v>158</v>
      </c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46"/>
      <c r="P543" s="646"/>
      <c r="Q543" s="646"/>
      <c r="R543" s="646"/>
      <c r="S543" s="646"/>
      <c r="T543" s="646"/>
      <c r="U543" s="646"/>
      <c r="V543" s="646"/>
      <c r="W543" s="646"/>
      <c r="X543" s="646"/>
      <c r="Y543" s="646"/>
      <c r="Z543" s="646"/>
      <c r="AA543" s="66"/>
      <c r="AB543" s="66"/>
      <c r="AC543" s="80"/>
    </row>
    <row r="544" spans="1:68" ht="27" customHeight="1" x14ac:dyDescent="0.25">
      <c r="A544" s="63" t="s">
        <v>855</v>
      </c>
      <c r="B544" s="63" t="s">
        <v>856</v>
      </c>
      <c r="C544" s="36">
        <v>4301020428</v>
      </c>
      <c r="D544" s="641">
        <v>4640242180090</v>
      </c>
      <c r="E544" s="641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130</v>
      </c>
      <c r="L544" s="37" t="s">
        <v>46</v>
      </c>
      <c r="M544" s="38" t="s">
        <v>129</v>
      </c>
      <c r="N544" s="38"/>
      <c r="O544" s="37">
        <v>50</v>
      </c>
      <c r="P544" s="6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4" s="643"/>
      <c r="R544" s="643"/>
      <c r="S544" s="643"/>
      <c r="T544" s="64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26" t="s">
        <v>857</v>
      </c>
      <c r="AG544" s="78"/>
      <c r="AJ544" s="84" t="s">
        <v>46</v>
      </c>
      <c r="AK544" s="84">
        <v>0</v>
      </c>
      <c r="BB544" s="62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32" x14ac:dyDescent="0.2">
      <c r="A545" s="635"/>
      <c r="B545" s="635"/>
      <c r="C545" s="635"/>
      <c r="D545" s="635"/>
      <c r="E545" s="635"/>
      <c r="F545" s="635"/>
      <c r="G545" s="635"/>
      <c r="H545" s="635"/>
      <c r="I545" s="635"/>
      <c r="J545" s="635"/>
      <c r="K545" s="635"/>
      <c r="L545" s="635"/>
      <c r="M545" s="635"/>
      <c r="N545" s="635"/>
      <c r="O545" s="636"/>
      <c r="P545" s="632" t="s">
        <v>40</v>
      </c>
      <c r="Q545" s="633"/>
      <c r="R545" s="633"/>
      <c r="S545" s="633"/>
      <c r="T545" s="633"/>
      <c r="U545" s="633"/>
      <c r="V545" s="63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32" x14ac:dyDescent="0.2">
      <c r="A546" s="635"/>
      <c r="B546" s="635"/>
      <c r="C546" s="635"/>
      <c r="D546" s="635"/>
      <c r="E546" s="635"/>
      <c r="F546" s="635"/>
      <c r="G546" s="635"/>
      <c r="H546" s="635"/>
      <c r="I546" s="635"/>
      <c r="J546" s="635"/>
      <c r="K546" s="635"/>
      <c r="L546" s="635"/>
      <c r="M546" s="635"/>
      <c r="N546" s="635"/>
      <c r="O546" s="636"/>
      <c r="P546" s="632" t="s">
        <v>40</v>
      </c>
      <c r="Q546" s="633"/>
      <c r="R546" s="633"/>
      <c r="S546" s="633"/>
      <c r="T546" s="633"/>
      <c r="U546" s="633"/>
      <c r="V546" s="63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32" ht="15" customHeight="1" x14ac:dyDescent="0.2">
      <c r="A547" s="635"/>
      <c r="B547" s="635"/>
      <c r="C547" s="635"/>
      <c r="D547" s="635"/>
      <c r="E547" s="635"/>
      <c r="F547" s="635"/>
      <c r="G547" s="635"/>
      <c r="H547" s="635"/>
      <c r="I547" s="635"/>
      <c r="J547" s="635"/>
      <c r="K547" s="635"/>
      <c r="L547" s="635"/>
      <c r="M547" s="635"/>
      <c r="N547" s="635"/>
      <c r="O547" s="640"/>
      <c r="P547" s="637" t="s">
        <v>33</v>
      </c>
      <c r="Q547" s="638"/>
      <c r="R547" s="638"/>
      <c r="S547" s="638"/>
      <c r="T547" s="638"/>
      <c r="U547" s="638"/>
      <c r="V547" s="639"/>
      <c r="W547" s="42" t="s">
        <v>0</v>
      </c>
      <c r="X547" s="43">
        <f>IFERROR(X25+X33+X44+X53+X63+X70+X75+X80+X88+X95+X106+X114+X121+X125+X130+X135+X139+X150+X154+X161+X166+X180+X186+X190+X194+X206+X211+X228+X236+X242+X246+X252+X257+X268+X283+X288+X299+X303+X307+X313+X322+X329+X338+X343+X350+X360+X370+X377+X383+X390+X396+X402+X408+X415+X428+X434+X440+X445+X451+X455+X461+X472+X477+X482+X488+X502+X508+X518+X524+X528+X532+X536+X541+X546,"0")</f>
        <v>0</v>
      </c>
      <c r="Y547" s="43">
        <f>IFERROR(Y25+Y33+Y44+Y53+Y63+Y70+Y75+Y80+Y88+Y95+Y106+Y114+Y121+Y125+Y130+Y135+Y139+Y150+Y154+Y161+Y166+Y180+Y186+Y190+Y194+Y206+Y211+Y228+Y236+Y242+Y246+Y252+Y257+Y268+Y283+Y288+Y299+Y303+Y307+Y313+Y322+Y329+Y338+Y343+Y350+Y360+Y370+Y377+Y383+Y390+Y396+Y402+Y408+Y415+Y428+Y434+Y440+Y445+Y451+Y455+Y461+Y472+Y477+Y482+Y488+Y502+Y508+Y518+Y524+Y528+Y532+Y536+Y541+Y546,"0")</f>
        <v>0</v>
      </c>
      <c r="Z547" s="42"/>
      <c r="AA547" s="67"/>
      <c r="AB547" s="67"/>
      <c r="AC547" s="67"/>
    </row>
    <row r="548" spans="1:32" x14ac:dyDescent="0.2">
      <c r="A548" s="635"/>
      <c r="B548" s="635"/>
      <c r="C548" s="635"/>
      <c r="D548" s="635"/>
      <c r="E548" s="635"/>
      <c r="F548" s="635"/>
      <c r="G548" s="635"/>
      <c r="H548" s="635"/>
      <c r="I548" s="635"/>
      <c r="J548" s="635"/>
      <c r="K548" s="635"/>
      <c r="L548" s="635"/>
      <c r="M548" s="635"/>
      <c r="N548" s="635"/>
      <c r="O548" s="640"/>
      <c r="P548" s="637" t="s">
        <v>34</v>
      </c>
      <c r="Q548" s="638"/>
      <c r="R548" s="638"/>
      <c r="S548" s="638"/>
      <c r="T548" s="638"/>
      <c r="U548" s="638"/>
      <c r="V548" s="639"/>
      <c r="W548" s="42" t="s">
        <v>0</v>
      </c>
      <c r="X548" s="43">
        <f>IFERROR(SUM(BM22:BM544),"0")</f>
        <v>0</v>
      </c>
      <c r="Y548" s="43">
        <f>IFERROR(SUM(BN22:BN544),"0")</f>
        <v>0</v>
      </c>
      <c r="Z548" s="42"/>
      <c r="AA548" s="67"/>
      <c r="AB548" s="67"/>
      <c r="AC548" s="67"/>
    </row>
    <row r="549" spans="1:32" x14ac:dyDescent="0.2">
      <c r="A549" s="635"/>
      <c r="B549" s="635"/>
      <c r="C549" s="635"/>
      <c r="D549" s="635"/>
      <c r="E549" s="635"/>
      <c r="F549" s="635"/>
      <c r="G549" s="635"/>
      <c r="H549" s="635"/>
      <c r="I549" s="635"/>
      <c r="J549" s="635"/>
      <c r="K549" s="635"/>
      <c r="L549" s="635"/>
      <c r="M549" s="635"/>
      <c r="N549" s="635"/>
      <c r="O549" s="640"/>
      <c r="P549" s="637" t="s">
        <v>35</v>
      </c>
      <c r="Q549" s="638"/>
      <c r="R549" s="638"/>
      <c r="S549" s="638"/>
      <c r="T549" s="638"/>
      <c r="U549" s="638"/>
      <c r="V549" s="639"/>
      <c r="W549" s="42" t="s">
        <v>20</v>
      </c>
      <c r="X549" s="44">
        <f>ROUNDUP(SUM(BO22:BO544),0)</f>
        <v>0</v>
      </c>
      <c r="Y549" s="44">
        <f>ROUNDUP(SUM(BP22:BP544),0)</f>
        <v>0</v>
      </c>
      <c r="Z549" s="42"/>
      <c r="AA549" s="67"/>
      <c r="AB549" s="67"/>
      <c r="AC549" s="67"/>
    </row>
    <row r="550" spans="1:32" x14ac:dyDescent="0.2">
      <c r="A550" s="635"/>
      <c r="B550" s="635"/>
      <c r="C550" s="635"/>
      <c r="D550" s="635"/>
      <c r="E550" s="635"/>
      <c r="F550" s="635"/>
      <c r="G550" s="635"/>
      <c r="H550" s="635"/>
      <c r="I550" s="635"/>
      <c r="J550" s="635"/>
      <c r="K550" s="635"/>
      <c r="L550" s="635"/>
      <c r="M550" s="635"/>
      <c r="N550" s="635"/>
      <c r="O550" s="640"/>
      <c r="P550" s="637" t="s">
        <v>36</v>
      </c>
      <c r="Q550" s="638"/>
      <c r="R550" s="638"/>
      <c r="S550" s="638"/>
      <c r="T550" s="638"/>
      <c r="U550" s="638"/>
      <c r="V550" s="639"/>
      <c r="W550" s="42" t="s">
        <v>0</v>
      </c>
      <c r="X550" s="43">
        <f>GrossWeightTotal+PalletQtyTotal*25</f>
        <v>0</v>
      </c>
      <c r="Y550" s="43">
        <f>GrossWeightTotalR+PalletQtyTotalR*25</f>
        <v>0</v>
      </c>
      <c r="Z550" s="42"/>
      <c r="AA550" s="67"/>
      <c r="AB550" s="67"/>
      <c r="AC550" s="67"/>
    </row>
    <row r="551" spans="1:32" x14ac:dyDescent="0.2">
      <c r="A551" s="635"/>
      <c r="B551" s="635"/>
      <c r="C551" s="635"/>
      <c r="D551" s="635"/>
      <c r="E551" s="635"/>
      <c r="F551" s="635"/>
      <c r="G551" s="635"/>
      <c r="H551" s="635"/>
      <c r="I551" s="635"/>
      <c r="J551" s="635"/>
      <c r="K551" s="635"/>
      <c r="L551" s="635"/>
      <c r="M551" s="635"/>
      <c r="N551" s="635"/>
      <c r="O551" s="640"/>
      <c r="P551" s="637" t="s">
        <v>37</v>
      </c>
      <c r="Q551" s="638"/>
      <c r="R551" s="638"/>
      <c r="S551" s="638"/>
      <c r="T551" s="638"/>
      <c r="U551" s="638"/>
      <c r="V551" s="639"/>
      <c r="W551" s="42" t="s">
        <v>20</v>
      </c>
      <c r="X551" s="43">
        <f>IFERROR(X24+X32+X43+X52+X62+X69+X74+X79+X87+X94+X105+X113+X120+X124+X129+X134+X138+X149+X153+X160+X165+X179+X185+X189+X193+X205+X210+X227+X235+X241+X245+X251+X256+X267+X282+X287+X298+X302+X306+X312+X321+X328+X337+X342+X349+X359+X369+X376+X382+X389+X395+X401+X407+X414+X427+X433+X439+X444+X450+X454+X460+X471+X476+X481+X487+X501+X507+X517+X523+X527+X531+X535+X540+X545,"0")</f>
        <v>0</v>
      </c>
      <c r="Y551" s="43">
        <f>IFERROR(Y24+Y32+Y43+Y52+Y62+Y69+Y74+Y79+Y87+Y94+Y105+Y113+Y120+Y124+Y129+Y134+Y138+Y149+Y153+Y160+Y165+Y179+Y185+Y189+Y193+Y205+Y210+Y227+Y235+Y241+Y245+Y251+Y256+Y267+Y282+Y287+Y298+Y302+Y306+Y312+Y321+Y328+Y337+Y342+Y349+Y359+Y369+Y376+Y382+Y389+Y395+Y401+Y407+Y414+Y427+Y433+Y439+Y444+Y450+Y454+Y460+Y471+Y476+Y481+Y487+Y501+Y507+Y517+Y523+Y527+Y531+Y535+Y540+Y545,"0")</f>
        <v>0</v>
      </c>
      <c r="Z551" s="42"/>
      <c r="AA551" s="67"/>
      <c r="AB551" s="67"/>
      <c r="AC551" s="67"/>
    </row>
    <row r="552" spans="1:32" ht="14.25" x14ac:dyDescent="0.2">
      <c r="A552" s="635"/>
      <c r="B552" s="635"/>
      <c r="C552" s="635"/>
      <c r="D552" s="635"/>
      <c r="E552" s="635"/>
      <c r="F552" s="635"/>
      <c r="G552" s="635"/>
      <c r="H552" s="635"/>
      <c r="I552" s="635"/>
      <c r="J552" s="635"/>
      <c r="K552" s="635"/>
      <c r="L552" s="635"/>
      <c r="M552" s="635"/>
      <c r="N552" s="635"/>
      <c r="O552" s="640"/>
      <c r="P552" s="637" t="s">
        <v>38</v>
      </c>
      <c r="Q552" s="638"/>
      <c r="R552" s="638"/>
      <c r="S552" s="638"/>
      <c r="T552" s="638"/>
      <c r="U552" s="638"/>
      <c r="V552" s="639"/>
      <c r="W552" s="45" t="s">
        <v>52</v>
      </c>
      <c r="X552" s="42"/>
      <c r="Y552" s="42"/>
      <c r="Z552" s="42">
        <f>IFERROR(Z24+Z32+Z43+Z52+Z62+Z69+Z74+Z79+Z87+Z94+Z105+Z113+Z120+Z124+Z129+Z134+Z138+Z149+Z153+Z160+Z165+Z179+Z185+Z189+Z193+Z205+Z210+Z227+Z235+Z241+Z245+Z251+Z256+Z267+Z282+Z287+Z298+Z302+Z306+Z312+Z321+Z328+Z337+Z342+Z349+Z359+Z369+Z376+Z382+Z389+Z395+Z401+Z407+Z414+Z427+Z433+Z439+Z444+Z450+Z454+Z460+Z471+Z476+Z481+Z487+Z501+Z507+Z517+Z523+Z527+Z531+Z535+Z540+Z545,"0")</f>
        <v>0</v>
      </c>
      <c r="AA552" s="67"/>
      <c r="AB552" s="67"/>
      <c r="AC552" s="67"/>
    </row>
    <row r="553" spans="1:32" ht="13.5" thickBot="1" x14ac:dyDescent="0.25"/>
    <row r="554" spans="1:32" ht="27" thickTop="1" thickBot="1" x14ac:dyDescent="0.25">
      <c r="A554" s="46" t="s">
        <v>9</v>
      </c>
      <c r="B554" s="85" t="s">
        <v>76</v>
      </c>
      <c r="C554" s="85" t="s">
        <v>45</v>
      </c>
      <c r="D554" s="628" t="s">
        <v>123</v>
      </c>
      <c r="E554" s="628" t="s">
        <v>123</v>
      </c>
      <c r="F554" s="628" t="s">
        <v>123</v>
      </c>
      <c r="G554" s="628" t="s">
        <v>123</v>
      </c>
      <c r="H554" s="628" t="s">
        <v>123</v>
      </c>
      <c r="I554" s="628" t="s">
        <v>123</v>
      </c>
      <c r="J554" s="628" t="s">
        <v>123</v>
      </c>
      <c r="K554" s="628" t="s">
        <v>339</v>
      </c>
      <c r="L554" s="628" t="s">
        <v>339</v>
      </c>
      <c r="M554" s="628" t="s">
        <v>339</v>
      </c>
      <c r="N554" s="629"/>
      <c r="O554" s="628" t="s">
        <v>339</v>
      </c>
      <c r="P554" s="628" t="s">
        <v>339</v>
      </c>
      <c r="Q554" s="628" t="s">
        <v>339</v>
      </c>
      <c r="R554" s="628" t="s">
        <v>339</v>
      </c>
      <c r="S554" s="628" t="s">
        <v>339</v>
      </c>
      <c r="T554" s="628" t="s">
        <v>339</v>
      </c>
      <c r="U554" s="628" t="s">
        <v>339</v>
      </c>
      <c r="V554" s="628" t="s">
        <v>339</v>
      </c>
      <c r="W554" s="628" t="s">
        <v>686</v>
      </c>
      <c r="X554" s="628" t="s">
        <v>686</v>
      </c>
      <c r="Y554" s="628" t="s">
        <v>752</v>
      </c>
      <c r="Z554" s="628" t="s">
        <v>752</v>
      </c>
      <c r="AA554" s="85" t="s">
        <v>788</v>
      </c>
      <c r="AB554" s="628" t="s">
        <v>835</v>
      </c>
      <c r="AC554" s="628" t="s">
        <v>835</v>
      </c>
      <c r="AF554" s="1"/>
    </row>
    <row r="555" spans="1:32" ht="14.25" customHeight="1" thickTop="1" x14ac:dyDescent="0.2">
      <c r="A555" s="630" t="s">
        <v>10</v>
      </c>
      <c r="B555" s="628" t="s">
        <v>76</v>
      </c>
      <c r="C555" s="628" t="s">
        <v>104</v>
      </c>
      <c r="D555" s="628" t="s">
        <v>124</v>
      </c>
      <c r="E555" s="628" t="s">
        <v>140</v>
      </c>
      <c r="F555" s="628" t="s">
        <v>182</v>
      </c>
      <c r="G555" s="628" t="s">
        <v>203</v>
      </c>
      <c r="H555" s="628" t="s">
        <v>243</v>
      </c>
      <c r="I555" s="628" t="s">
        <v>255</v>
      </c>
      <c r="J555" s="628" t="s">
        <v>123</v>
      </c>
      <c r="K555" s="628" t="s">
        <v>340</v>
      </c>
      <c r="L555" s="628" t="s">
        <v>361</v>
      </c>
      <c r="M555" s="628" t="s">
        <v>428</v>
      </c>
      <c r="N555" s="1"/>
      <c r="O555" s="628" t="s">
        <v>496</v>
      </c>
      <c r="P555" s="628" t="s">
        <v>529</v>
      </c>
      <c r="Q555" s="628" t="s">
        <v>545</v>
      </c>
      <c r="R555" s="628" t="s">
        <v>554</v>
      </c>
      <c r="S555" s="628" t="s">
        <v>575</v>
      </c>
      <c r="T555" s="628" t="s">
        <v>584</v>
      </c>
      <c r="U555" s="628" t="s">
        <v>669</v>
      </c>
      <c r="V555" s="628" t="s">
        <v>676</v>
      </c>
      <c r="W555" s="628" t="s">
        <v>687</v>
      </c>
      <c r="X555" s="628" t="s">
        <v>736</v>
      </c>
      <c r="Y555" s="628" t="s">
        <v>753</v>
      </c>
      <c r="Z555" s="628" t="s">
        <v>776</v>
      </c>
      <c r="AA555" s="628" t="s">
        <v>788</v>
      </c>
      <c r="AB555" s="628" t="s">
        <v>835</v>
      </c>
      <c r="AC555" s="628" t="s">
        <v>854</v>
      </c>
      <c r="AF555" s="1"/>
    </row>
    <row r="556" spans="1:32" ht="13.5" thickBot="1" x14ac:dyDescent="0.25">
      <c r="A556" s="631"/>
      <c r="B556" s="628"/>
      <c r="C556" s="628"/>
      <c r="D556" s="628"/>
      <c r="E556" s="628"/>
      <c r="F556" s="628"/>
      <c r="G556" s="628"/>
      <c r="H556" s="628"/>
      <c r="I556" s="628"/>
      <c r="J556" s="628"/>
      <c r="K556" s="628"/>
      <c r="L556" s="628"/>
      <c r="M556" s="628"/>
      <c r="N556" s="1"/>
      <c r="O556" s="628"/>
      <c r="P556" s="628"/>
      <c r="Q556" s="628"/>
      <c r="R556" s="628"/>
      <c r="S556" s="628"/>
      <c r="T556" s="628"/>
      <c r="U556" s="628"/>
      <c r="V556" s="628"/>
      <c r="W556" s="628"/>
      <c r="X556" s="628"/>
      <c r="Y556" s="628"/>
      <c r="Z556" s="628"/>
      <c r="AA556" s="628"/>
      <c r="AB556" s="628"/>
      <c r="AC556" s="628"/>
      <c r="AF556" s="1"/>
    </row>
    <row r="557" spans="1:32" ht="18" thickTop="1" thickBot="1" x14ac:dyDescent="0.25">
      <c r="A557" s="46" t="s">
        <v>13</v>
      </c>
      <c r="B557" s="52">
        <f>IFERROR(Y22*1,"0")+IFERROR(Y23*1,"0")+IFERROR(Y27*1,"0")+IFERROR(Y28*1,"0")+IFERROR(Y29*1,"0")+IFERROR(Y30*1,"0")+IFERROR(Y31*1,"0")</f>
        <v>0</v>
      </c>
      <c r="C557" s="52">
        <f>IFERROR(Y37*1,"0")+IFERROR(Y38*1,"0")+IFERROR(Y39*1,"0")+IFERROR(Y40*1,"0")+IFERROR(Y41*1,"0")+IFERROR(Y42*1,"0")</f>
        <v>0</v>
      </c>
      <c r="D557" s="52">
        <f>IFERROR(Y48*1,"0")+IFERROR(Y49*1,"0")+IFERROR(Y50*1,"0")+IFERROR(Y51*1,"0")</f>
        <v>0</v>
      </c>
      <c r="E557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57" s="52">
        <f>IFERROR(Y83*1,"0")+IFERROR(Y84*1,"0")+IFERROR(Y85*1,"0")+IFERROR(Y86*1,"0")+IFERROR(Y90*1,"0")+IFERROR(Y91*1,"0")+IFERROR(Y92*1,"0")+IFERROR(Y93*1,"0")</f>
        <v>0</v>
      </c>
      <c r="G557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57" s="52">
        <f>IFERROR(Y128*1,"0")+IFERROR(Y132*1,"0")+IFERROR(Y133*1,"0")+IFERROR(Y137*1,"0")</f>
        <v>0</v>
      </c>
      <c r="I557" s="52">
        <f>IFERROR(Y142*1,"0")+IFERROR(Y143*1,"0")+IFERROR(Y144*1,"0")+IFERROR(Y145*1,"0")+IFERROR(Y146*1,"0")+IFERROR(Y147*1,"0")+IFERROR(Y148*1,"0")+IFERROR(Y152*1,"0")</f>
        <v>0</v>
      </c>
      <c r="J557" s="52">
        <f>IFERROR(Y157*1,"0")+IFERROR(Y158*1,"0")+IFERROR(Y159*1,"0")+IFERROR(Y163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192*1,"0")</f>
        <v>0</v>
      </c>
      <c r="K557" s="52">
        <f>IFERROR(Y198*1,"0")+IFERROR(Y199*1,"0")+IFERROR(Y200*1,"0")+IFERROR(Y201*1,"0")+IFERROR(Y202*1,"0")+IFERROR(Y203*1,"0")+IFERROR(Y204*1,"0")</f>
        <v>0</v>
      </c>
      <c r="L557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7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7" s="1"/>
      <c r="O557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7" s="52">
        <f>IFERROR(Y316*1,"0")+IFERROR(Y317*1,"0")+IFERROR(Y318*1,"0")+IFERROR(Y319*1,"0")+IFERROR(Y320*1,"0")</f>
        <v>0</v>
      </c>
      <c r="Q557" s="52">
        <f>IFERROR(Y325*1,"0")+IFERROR(Y326*1,"0")+IFERROR(Y327*1,"0")</f>
        <v>0</v>
      </c>
      <c r="R557" s="52">
        <f>IFERROR(Y332*1,"0")+IFERROR(Y333*1,"0")+IFERROR(Y334*1,"0")+IFERROR(Y335*1,"0")+IFERROR(Y336*1,"0")+IFERROR(Y340*1,"0")+IFERROR(Y341*1,"0")</f>
        <v>0</v>
      </c>
      <c r="S557" s="52">
        <f>IFERROR(Y346*1,"0")+IFERROR(Y347*1,"0")+IFERROR(Y348*1,"0")</f>
        <v>0</v>
      </c>
      <c r="T557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0</v>
      </c>
      <c r="U557" s="52">
        <f>IFERROR(Y405*1,"0")+IFERROR(Y406*1,"0")</f>
        <v>0</v>
      </c>
      <c r="V557" s="52">
        <f>IFERROR(Y411*1,"0")+IFERROR(Y412*1,"0")+IFERROR(Y413*1,"0")</f>
        <v>0</v>
      </c>
      <c r="W557" s="52">
        <f>IFERROR(Y419*1,"0")+IFERROR(Y420*1,"0")+IFERROR(Y421*1,"0")+IFERROR(Y422*1,"0")+IFERROR(Y423*1,"0")+IFERROR(Y424*1,"0")+IFERROR(Y425*1,"0")+IFERROR(Y426*1,"0")+IFERROR(Y430*1,"0")+IFERROR(Y431*1,"0")+IFERROR(Y432*1,"0")+IFERROR(Y436*1,"0")+IFERROR(Y437*1,"0")+IFERROR(Y438*1,"0")+IFERROR(Y442*1,"0")+IFERROR(Y443*1,"0")</f>
        <v>0</v>
      </c>
      <c r="X557" s="52">
        <f>IFERROR(Y448*1,"0")+IFERROR(Y449*1,"0")+IFERROR(Y453*1,"0")+IFERROR(Y457*1,"0")+IFERROR(Y458*1,"0")+IFERROR(Y459*1,"0")</f>
        <v>0</v>
      </c>
      <c r="Y557" s="52">
        <f>IFERROR(Y465*1,"0")+IFERROR(Y466*1,"0")+IFERROR(Y467*1,"0")+IFERROR(Y468*1,"0")+IFERROR(Y469*1,"0")+IFERROR(Y470*1,"0")+IFERROR(Y474*1,"0")+IFERROR(Y475*1,"0")</f>
        <v>0</v>
      </c>
      <c r="Z557" s="52">
        <f>IFERROR(Y480*1,"0")+IFERROR(Y484*1,"0")+IFERROR(Y485*1,"0")+IFERROR(Y486*1,"0")</f>
        <v>0</v>
      </c>
      <c r="AA557" s="52">
        <f>IFERROR(Y492*1,"0")+IFERROR(Y493*1,"0")+IFERROR(Y494*1,"0")+IFERROR(Y495*1,"0")+IFERROR(Y496*1,"0")+IFERROR(Y497*1,"0")+IFERROR(Y498*1,"0")+IFERROR(Y499*1,"0")+IFERROR(Y500*1,"0")+IFERROR(Y504*1,"0")+IFERROR(Y505*1,"0")+IFERROR(Y506*1,"0")+IFERROR(Y510*1,"0")+IFERROR(Y511*1,"0")+IFERROR(Y512*1,"0")+IFERROR(Y513*1,"0")+IFERROR(Y514*1,"0")+IFERROR(Y515*1,"0")+IFERROR(Y516*1,"0")</f>
        <v>0</v>
      </c>
      <c r="AB557" s="52">
        <f>IFERROR(Y522*1,"0")+IFERROR(Y526*1,"0")+IFERROR(Y530*1,"0")+IFERROR(Y534*1,"0")+IFERROR(Y538*1,"0")+IFERROR(Y539*1,"0")</f>
        <v>0</v>
      </c>
      <c r="AC557" s="52">
        <f>IFERROR(Y544*1,"0")</f>
        <v>0</v>
      </c>
      <c r="AF557" s="1"/>
    </row>
  </sheetData>
  <sheetProtection algorithmName="SHA-512" hashValue="YfY2y5vkrIuX321zopS36vHzjs15eyTIziBCDVq1U3n6nnLh6040H/CI4gw0nBN4AVNYa+pv331Ci3JeWBuFEw==" saltValue="bB3hGXWj2fQ2D4KgEaaGJ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7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D144:E144"/>
    <mergeCell ref="P144:T144"/>
    <mergeCell ref="D145:E145"/>
    <mergeCell ref="P145:T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A464:Z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A520:Z520"/>
    <mergeCell ref="A521:Z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D539:E539"/>
    <mergeCell ref="P539:T539"/>
    <mergeCell ref="P540:V540"/>
    <mergeCell ref="A540:O541"/>
    <mergeCell ref="P541:V541"/>
    <mergeCell ref="A542:Z542"/>
    <mergeCell ref="A543:Z543"/>
    <mergeCell ref="D544:E544"/>
    <mergeCell ref="P544:T544"/>
    <mergeCell ref="P545:V545"/>
    <mergeCell ref="A545:O546"/>
    <mergeCell ref="P546:V546"/>
    <mergeCell ref="P547:V547"/>
    <mergeCell ref="A547:O552"/>
    <mergeCell ref="P548:V548"/>
    <mergeCell ref="P549:V549"/>
    <mergeCell ref="P550:V550"/>
    <mergeCell ref="P551:V551"/>
    <mergeCell ref="P552:V552"/>
    <mergeCell ref="D554:J554"/>
    <mergeCell ref="K554:V554"/>
    <mergeCell ref="W554:X554"/>
    <mergeCell ref="Y554:Z554"/>
    <mergeCell ref="AB554:AC554"/>
    <mergeCell ref="A555:A556"/>
    <mergeCell ref="B555:B556"/>
    <mergeCell ref="C555:C556"/>
    <mergeCell ref="D555:D556"/>
    <mergeCell ref="E555:E556"/>
    <mergeCell ref="F555:F556"/>
    <mergeCell ref="G555:G556"/>
    <mergeCell ref="H555:H556"/>
    <mergeCell ref="I555:I556"/>
    <mergeCell ref="J555:J556"/>
    <mergeCell ref="K555:K556"/>
    <mergeCell ref="L555:L556"/>
    <mergeCell ref="M555:M556"/>
    <mergeCell ref="O555:O556"/>
    <mergeCell ref="P555:P556"/>
    <mergeCell ref="Q555:Q556"/>
    <mergeCell ref="R555:R556"/>
    <mergeCell ref="S555:S556"/>
    <mergeCell ref="T555:T556"/>
    <mergeCell ref="U555:U556"/>
    <mergeCell ref="V555:V556"/>
    <mergeCell ref="W555:W556"/>
    <mergeCell ref="X555:X556"/>
    <mergeCell ref="Y555:Y556"/>
    <mergeCell ref="Z555:Z556"/>
    <mergeCell ref="AA555:AA556"/>
    <mergeCell ref="AB555:AB556"/>
    <mergeCell ref="AC555:AC556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858</v>
      </c>
      <c r="H1" s="9"/>
    </row>
    <row r="3" spans="2:8" x14ac:dyDescent="0.2">
      <c r="B3" s="53" t="s">
        <v>859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861</v>
      </c>
      <c r="C6" s="53" t="s">
        <v>862</v>
      </c>
      <c r="D6" s="53" t="s">
        <v>863</v>
      </c>
      <c r="E6" s="53" t="s">
        <v>46</v>
      </c>
    </row>
    <row r="7" spans="2:8" x14ac:dyDescent="0.2">
      <c r="B7" s="53" t="s">
        <v>864</v>
      </c>
      <c r="C7" s="53" t="s">
        <v>865</v>
      </c>
      <c r="D7" s="53" t="s">
        <v>866</v>
      </c>
      <c r="E7" s="53" t="s">
        <v>46</v>
      </c>
    </row>
    <row r="9" spans="2:8" x14ac:dyDescent="0.2">
      <c r="B9" s="53" t="s">
        <v>867</v>
      </c>
      <c r="C9" s="53" t="s">
        <v>862</v>
      </c>
      <c r="D9" s="53" t="s">
        <v>46</v>
      </c>
      <c r="E9" s="53" t="s">
        <v>46</v>
      </c>
    </row>
    <row r="11" spans="2:8" x14ac:dyDescent="0.2">
      <c r="B11" s="53" t="s">
        <v>868</v>
      </c>
      <c r="C11" s="53" t="s">
        <v>865</v>
      </c>
      <c r="D11" s="53" t="s">
        <v>46</v>
      </c>
      <c r="E11" s="53" t="s">
        <v>46</v>
      </c>
    </row>
    <row r="13" spans="2:8" x14ac:dyDescent="0.2">
      <c r="B13" s="53" t="s">
        <v>869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871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872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873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874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875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876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877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879</v>
      </c>
      <c r="C23" s="53" t="s">
        <v>46</v>
      </c>
      <c r="D23" s="53" t="s">
        <v>46</v>
      </c>
      <c r="E23" s="53" t="s">
        <v>46</v>
      </c>
    </row>
  </sheetData>
  <sheetProtection algorithmName="SHA-512" hashValue="8v5KdncCMaN3G3GSlm/CEJU2Tj+3I8r9BgDxs6rxtAB42souV6l9eceXCnH7Dm+LdrdRFMqAtqzbXsrPsObDoA==" saltValue="Wg4aJZWPh9bXgzwf3vmAp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1128</vt:i4>
      </vt:variant>
    </vt:vector>
  </HeadingPairs>
  <TitlesOfParts>
    <vt:vector size="113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2026-08-19T10:55:15Z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