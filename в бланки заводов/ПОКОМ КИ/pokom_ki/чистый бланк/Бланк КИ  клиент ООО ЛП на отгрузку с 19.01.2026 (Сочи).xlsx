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2607A4-20D8-4457-8848-4B98BECD8E6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2" l="1"/>
  <c r="X492" i="2"/>
  <c r="BO491" i="2"/>
  <c r="BM491" i="2"/>
  <c r="Y491" i="2"/>
  <c r="Z504" i="2" s="1"/>
  <c r="P491" i="2"/>
  <c r="X488" i="2"/>
  <c r="X487" i="2"/>
  <c r="BO486" i="2"/>
  <c r="BM486" i="2"/>
  <c r="Y486" i="2"/>
  <c r="BN486" i="2" s="1"/>
  <c r="P486" i="2"/>
  <c r="BO485" i="2"/>
  <c r="BM485" i="2"/>
  <c r="Y485" i="2"/>
  <c r="P485" i="2"/>
  <c r="X483" i="2"/>
  <c r="X482" i="2"/>
  <c r="BO481" i="2"/>
  <c r="BM481" i="2"/>
  <c r="Y481" i="2"/>
  <c r="BN481" i="2" s="1"/>
  <c r="P481" i="2"/>
  <c r="X479" i="2"/>
  <c r="X478" i="2"/>
  <c r="BO477" i="2"/>
  <c r="BM477" i="2"/>
  <c r="Y477" i="2"/>
  <c r="Y479" i="2" s="1"/>
  <c r="P477" i="2"/>
  <c r="X475" i="2"/>
  <c r="X474" i="2"/>
  <c r="BO473" i="2"/>
  <c r="BM473" i="2"/>
  <c r="Z473" i="2"/>
  <c r="Y473" i="2"/>
  <c r="BP473" i="2" s="1"/>
  <c r="P473" i="2"/>
  <c r="BO472" i="2"/>
  <c r="BM472" i="2"/>
  <c r="Y472" i="2"/>
  <c r="P472" i="2"/>
  <c r="X470" i="2"/>
  <c r="X469" i="2"/>
  <c r="BO468" i="2"/>
  <c r="BM468" i="2"/>
  <c r="Y468" i="2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P465" i="2"/>
  <c r="X461" i="2"/>
  <c r="X460" i="2"/>
  <c r="BO459" i="2"/>
  <c r="BM459" i="2"/>
  <c r="Y459" i="2"/>
  <c r="Y460" i="2" s="1"/>
  <c r="P459" i="2"/>
  <c r="X457" i="2"/>
  <c r="X456" i="2"/>
  <c r="BP455" i="2"/>
  <c r="BO455" i="2"/>
  <c r="BN455" i="2"/>
  <c r="BM455" i="2"/>
  <c r="Z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Z452" i="2"/>
  <c r="Y452" i="2"/>
  <c r="BN452" i="2" s="1"/>
  <c r="P452" i="2"/>
  <c r="BO451" i="2"/>
  <c r="BM451" i="2"/>
  <c r="Y451" i="2"/>
  <c r="Z451" i="2" s="1"/>
  <c r="P451" i="2"/>
  <c r="BO450" i="2"/>
  <c r="BM450" i="2"/>
  <c r="Y450" i="2"/>
  <c r="P450" i="2"/>
  <c r="X448" i="2"/>
  <c r="X447" i="2"/>
  <c r="BP446" i="2"/>
  <c r="BO446" i="2"/>
  <c r="BM446" i="2"/>
  <c r="Y446" i="2"/>
  <c r="BN446" i="2" s="1"/>
  <c r="P446" i="2"/>
  <c r="BO445" i="2"/>
  <c r="BM445" i="2"/>
  <c r="Y445" i="2"/>
  <c r="P445" i="2"/>
  <c r="BO444" i="2"/>
  <c r="BM444" i="2"/>
  <c r="Y444" i="2"/>
  <c r="Y448" i="2" s="1"/>
  <c r="P444" i="2"/>
  <c r="X442" i="2"/>
  <c r="X441" i="2"/>
  <c r="BO440" i="2"/>
  <c r="BM440" i="2"/>
  <c r="Y440" i="2"/>
  <c r="Z440" i="2" s="1"/>
  <c r="P440" i="2"/>
  <c r="BP439" i="2"/>
  <c r="BO439" i="2"/>
  <c r="BN439" i="2"/>
  <c r="BM439" i="2"/>
  <c r="Z439" i="2"/>
  <c r="Y439" i="2"/>
  <c r="P439" i="2"/>
  <c r="BO438" i="2"/>
  <c r="BN438" i="2"/>
  <c r="BM438" i="2"/>
  <c r="Z438" i="2"/>
  <c r="Y438" i="2"/>
  <c r="BP438" i="2" s="1"/>
  <c r="P438" i="2"/>
  <c r="BO437" i="2"/>
  <c r="BM437" i="2"/>
  <c r="Z437" i="2"/>
  <c r="Y437" i="2"/>
  <c r="BN437" i="2" s="1"/>
  <c r="P437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X425" i="2"/>
  <c r="X424" i="2"/>
  <c r="BO423" i="2"/>
  <c r="BM423" i="2"/>
  <c r="Y423" i="2"/>
  <c r="P423" i="2"/>
  <c r="X420" i="2"/>
  <c r="X419" i="2"/>
  <c r="BP418" i="2"/>
  <c r="BO418" i="2"/>
  <c r="BM418" i="2"/>
  <c r="Y418" i="2"/>
  <c r="BN418" i="2" s="1"/>
  <c r="P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P415" i="2"/>
  <c r="Y413" i="2"/>
  <c r="X413" i="2"/>
  <c r="Y412" i="2"/>
  <c r="X412" i="2"/>
  <c r="BP411" i="2"/>
  <c r="BO411" i="2"/>
  <c r="BN411" i="2"/>
  <c r="BM411" i="2"/>
  <c r="Z411" i="2"/>
  <c r="Z412" i="2" s="1"/>
  <c r="Y411" i="2"/>
  <c r="P411" i="2"/>
  <c r="X408" i="2"/>
  <c r="X407" i="2"/>
  <c r="BO406" i="2"/>
  <c r="BM406" i="2"/>
  <c r="Z406" i="2"/>
  <c r="Y406" i="2"/>
  <c r="BN406" i="2" s="1"/>
  <c r="P406" i="2"/>
  <c r="BO405" i="2"/>
  <c r="BM405" i="2"/>
  <c r="Y405" i="2"/>
  <c r="Z405" i="2" s="1"/>
  <c r="P405" i="2"/>
  <c r="X403" i="2"/>
  <c r="X402" i="2"/>
  <c r="BO401" i="2"/>
  <c r="BM401" i="2"/>
  <c r="Z401" i="2"/>
  <c r="Y401" i="2"/>
  <c r="BN401" i="2" s="1"/>
  <c r="P401" i="2"/>
  <c r="BO400" i="2"/>
  <c r="BM400" i="2"/>
  <c r="Y400" i="2"/>
  <c r="P400" i="2"/>
  <c r="BP399" i="2"/>
  <c r="BO399" i="2"/>
  <c r="BN399" i="2"/>
  <c r="BM399" i="2"/>
  <c r="Z399" i="2"/>
  <c r="Y399" i="2"/>
  <c r="P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M393" i="2"/>
  <c r="Y393" i="2"/>
  <c r="BP393" i="2" s="1"/>
  <c r="P393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Y389" i="2" s="1"/>
  <c r="P385" i="2"/>
  <c r="Y383" i="2"/>
  <c r="X383" i="2"/>
  <c r="X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Y378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Z366" i="2"/>
  <c r="Y366" i="2"/>
  <c r="BN366" i="2" s="1"/>
  <c r="P366" i="2"/>
  <c r="BO365" i="2"/>
  <c r="BM365" i="2"/>
  <c r="Y365" i="2"/>
  <c r="P365" i="2"/>
  <c r="X363" i="2"/>
  <c r="X362" i="2"/>
  <c r="BO361" i="2"/>
  <c r="BM361" i="2"/>
  <c r="Y361" i="2"/>
  <c r="BP361" i="2" s="1"/>
  <c r="P361" i="2"/>
  <c r="BO360" i="2"/>
  <c r="BM360" i="2"/>
  <c r="Y360" i="2"/>
  <c r="P360" i="2"/>
  <c r="X358" i="2"/>
  <c r="X357" i="2"/>
  <c r="BO356" i="2"/>
  <c r="BM356" i="2"/>
  <c r="Z356" i="2"/>
  <c r="Y356" i="2"/>
  <c r="BP356" i="2" s="1"/>
  <c r="P356" i="2"/>
  <c r="BO355" i="2"/>
  <c r="BM355" i="2"/>
  <c r="Z355" i="2"/>
  <c r="Y355" i="2"/>
  <c r="BN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P350" i="2"/>
  <c r="BO350" i="2"/>
  <c r="BM350" i="2"/>
  <c r="Y350" i="2"/>
  <c r="P350" i="2"/>
  <c r="X346" i="2"/>
  <c r="X345" i="2"/>
  <c r="BO344" i="2"/>
  <c r="BM344" i="2"/>
  <c r="Z344" i="2"/>
  <c r="Y344" i="2"/>
  <c r="P344" i="2"/>
  <c r="BO343" i="2"/>
  <c r="BM343" i="2"/>
  <c r="Z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P336" i="2"/>
  <c r="BO336" i="2"/>
  <c r="BM336" i="2"/>
  <c r="Y336" i="2"/>
  <c r="BN336" i="2" s="1"/>
  <c r="P336" i="2"/>
  <c r="BO335" i="2"/>
  <c r="BM335" i="2"/>
  <c r="Y335" i="2"/>
  <c r="Z335" i="2" s="1"/>
  <c r="P335" i="2"/>
  <c r="X333" i="2"/>
  <c r="X332" i="2"/>
  <c r="BO331" i="2"/>
  <c r="BM331" i="2"/>
  <c r="Z331" i="2"/>
  <c r="Y331" i="2"/>
  <c r="BN331" i="2" s="1"/>
  <c r="P331" i="2"/>
  <c r="BO330" i="2"/>
  <c r="BM330" i="2"/>
  <c r="Y330" i="2"/>
  <c r="P330" i="2"/>
  <c r="BP329" i="2"/>
  <c r="BO329" i="2"/>
  <c r="BN329" i="2"/>
  <c r="BM329" i="2"/>
  <c r="Z329" i="2"/>
  <c r="Y329" i="2"/>
  <c r="P329" i="2"/>
  <c r="BO328" i="2"/>
  <c r="BM328" i="2"/>
  <c r="Y328" i="2"/>
  <c r="BP328" i="2" s="1"/>
  <c r="P328" i="2"/>
  <c r="X326" i="2"/>
  <c r="X325" i="2"/>
  <c r="BO324" i="2"/>
  <c r="BM324" i="2"/>
  <c r="Y324" i="2"/>
  <c r="Z324" i="2" s="1"/>
  <c r="P324" i="2"/>
  <c r="BP323" i="2"/>
  <c r="BO323" i="2"/>
  <c r="BN323" i="2"/>
  <c r="BM323" i="2"/>
  <c r="Z323" i="2"/>
  <c r="Y323" i="2"/>
  <c r="P323" i="2"/>
  <c r="BO322" i="2"/>
  <c r="BN322" i="2"/>
  <c r="BM322" i="2"/>
  <c r="Z322" i="2"/>
  <c r="Y322" i="2"/>
  <c r="P322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X313" i="2"/>
  <c r="X312" i="2"/>
  <c r="BO311" i="2"/>
  <c r="BM311" i="2"/>
  <c r="Z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BP308" i="2"/>
  <c r="BO308" i="2"/>
  <c r="BN308" i="2"/>
  <c r="BM308" i="2"/>
  <c r="Z308" i="2"/>
  <c r="Y308" i="2"/>
  <c r="P308" i="2"/>
  <c r="BO307" i="2"/>
  <c r="BM307" i="2"/>
  <c r="Y307" i="2"/>
  <c r="BP307" i="2" s="1"/>
  <c r="P307" i="2"/>
  <c r="BO306" i="2"/>
  <c r="BM306" i="2"/>
  <c r="Y306" i="2"/>
  <c r="P306" i="2"/>
  <c r="X304" i="2"/>
  <c r="X303" i="2"/>
  <c r="BO302" i="2"/>
  <c r="BM302" i="2"/>
  <c r="Y302" i="2"/>
  <c r="P302" i="2"/>
  <c r="BO301" i="2"/>
  <c r="BM301" i="2"/>
  <c r="Z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BP298" i="2"/>
  <c r="BO298" i="2"/>
  <c r="BN298" i="2"/>
  <c r="BM298" i="2"/>
  <c r="Z298" i="2"/>
  <c r="Y298" i="2"/>
  <c r="P298" i="2"/>
  <c r="BO297" i="2"/>
  <c r="BM297" i="2"/>
  <c r="Y297" i="2"/>
  <c r="P297" i="2"/>
  <c r="X294" i="2"/>
  <c r="X293" i="2"/>
  <c r="BO292" i="2"/>
  <c r="BM292" i="2"/>
  <c r="Y292" i="2"/>
  <c r="Z292" i="2" s="1"/>
  <c r="P292" i="2"/>
  <c r="BO291" i="2"/>
  <c r="BM291" i="2"/>
  <c r="Y291" i="2"/>
  <c r="P291" i="2"/>
  <c r="X289" i="2"/>
  <c r="X288" i="2"/>
  <c r="BP287" i="2"/>
  <c r="BO287" i="2"/>
  <c r="BM287" i="2"/>
  <c r="Y287" i="2"/>
  <c r="P287" i="2"/>
  <c r="BO286" i="2"/>
  <c r="BM286" i="2"/>
  <c r="Y286" i="2"/>
  <c r="P286" i="2"/>
  <c r="X283" i="2"/>
  <c r="X282" i="2"/>
  <c r="BO281" i="2"/>
  <c r="BM281" i="2"/>
  <c r="Y281" i="2"/>
  <c r="P281" i="2"/>
  <c r="BO280" i="2"/>
  <c r="BM280" i="2"/>
  <c r="Y280" i="2"/>
  <c r="Z280" i="2" s="1"/>
  <c r="P280" i="2"/>
  <c r="BP279" i="2"/>
  <c r="BO279" i="2"/>
  <c r="BN279" i="2"/>
  <c r="BM279" i="2"/>
  <c r="Z279" i="2"/>
  <c r="Y279" i="2"/>
  <c r="P279" i="2"/>
  <c r="X276" i="2"/>
  <c r="X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Z265" i="2"/>
  <c r="Y265" i="2"/>
  <c r="BP265" i="2" s="1"/>
  <c r="P265" i="2"/>
  <c r="BO264" i="2"/>
  <c r="BM264" i="2"/>
  <c r="Y264" i="2"/>
  <c r="P264" i="2"/>
  <c r="BO263" i="2"/>
  <c r="BM263" i="2"/>
  <c r="Y263" i="2"/>
  <c r="Z263" i="2" s="1"/>
  <c r="P263" i="2"/>
  <c r="BP262" i="2"/>
  <c r="BO262" i="2"/>
  <c r="BN262" i="2"/>
  <c r="BM262" i="2"/>
  <c r="Z262" i="2"/>
  <c r="Y262" i="2"/>
  <c r="P262" i="2"/>
  <c r="X259" i="2"/>
  <c r="X258" i="2"/>
  <c r="BP257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P255" i="2"/>
  <c r="BO254" i="2"/>
  <c r="BM254" i="2"/>
  <c r="Z254" i="2"/>
  <c r="Y254" i="2"/>
  <c r="BP254" i="2" s="1"/>
  <c r="P254" i="2"/>
  <c r="BO253" i="2"/>
  <c r="BM253" i="2"/>
  <c r="Y253" i="2"/>
  <c r="P253" i="2"/>
  <c r="X251" i="2"/>
  <c r="X250" i="2"/>
  <c r="BO249" i="2"/>
  <c r="BM249" i="2"/>
  <c r="Y249" i="2"/>
  <c r="Y250" i="2" s="1"/>
  <c r="P249" i="2"/>
  <c r="X247" i="2"/>
  <c r="X246" i="2"/>
  <c r="BO245" i="2"/>
  <c r="BM245" i="2"/>
  <c r="Y245" i="2"/>
  <c r="Z245" i="2" s="1"/>
  <c r="Z246" i="2" s="1"/>
  <c r="P245" i="2"/>
  <c r="X243" i="2"/>
  <c r="X242" i="2"/>
  <c r="BO241" i="2"/>
  <c r="BM241" i="2"/>
  <c r="Y241" i="2"/>
  <c r="P241" i="2"/>
  <c r="BO240" i="2"/>
  <c r="BM240" i="2"/>
  <c r="Y240" i="2"/>
  <c r="Z240" i="2" s="1"/>
  <c r="P240" i="2"/>
  <c r="BP239" i="2"/>
  <c r="BO239" i="2"/>
  <c r="BN239" i="2"/>
  <c r="BM239" i="2"/>
  <c r="Z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Y230" i="2" s="1"/>
  <c r="P227" i="2"/>
  <c r="X225" i="2"/>
  <c r="X224" i="2"/>
  <c r="BO223" i="2"/>
  <c r="BM223" i="2"/>
  <c r="Y223" i="2"/>
  <c r="Z223" i="2" s="1"/>
  <c r="P223" i="2"/>
  <c r="BO222" i="2"/>
  <c r="BM222" i="2"/>
  <c r="Y222" i="2"/>
  <c r="P222" i="2"/>
  <c r="BO221" i="2"/>
  <c r="BM221" i="2"/>
  <c r="Z221" i="2"/>
  <c r="Y221" i="2"/>
  <c r="BP221" i="2" s="1"/>
  <c r="P221" i="2"/>
  <c r="BO220" i="2"/>
  <c r="BM220" i="2"/>
  <c r="Y220" i="2"/>
  <c r="P220" i="2"/>
  <c r="BO219" i="2"/>
  <c r="BM219" i="2"/>
  <c r="Y219" i="2"/>
  <c r="Z219" i="2" s="1"/>
  <c r="P219" i="2"/>
  <c r="BP218" i="2"/>
  <c r="BO218" i="2"/>
  <c r="BN218" i="2"/>
  <c r="BM218" i="2"/>
  <c r="Z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P215" i="2"/>
  <c r="X213" i="2"/>
  <c r="X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Z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Y202" i="2"/>
  <c r="X202" i="2"/>
  <c r="Y201" i="2"/>
  <c r="X201" i="2"/>
  <c r="BP200" i="2"/>
  <c r="BO200" i="2"/>
  <c r="BN200" i="2"/>
  <c r="BM200" i="2"/>
  <c r="Z200" i="2"/>
  <c r="Y200" i="2"/>
  <c r="P200" i="2"/>
  <c r="BO199" i="2"/>
  <c r="BM199" i="2"/>
  <c r="Y199" i="2"/>
  <c r="Z199" i="2" s="1"/>
  <c r="P199" i="2"/>
  <c r="X197" i="2"/>
  <c r="X196" i="2"/>
  <c r="BO195" i="2"/>
  <c r="BM195" i="2"/>
  <c r="Y195" i="2"/>
  <c r="BP195" i="2" s="1"/>
  <c r="P195" i="2"/>
  <c r="BP194" i="2"/>
  <c r="BO194" i="2"/>
  <c r="BM194" i="2"/>
  <c r="Y194" i="2"/>
  <c r="BN194" i="2" s="1"/>
  <c r="P194" i="2"/>
  <c r="X191" i="2"/>
  <c r="X190" i="2"/>
  <c r="BO189" i="2"/>
  <c r="BN189" i="2"/>
  <c r="BM189" i="2"/>
  <c r="Z189" i="2"/>
  <c r="Z190" i="2" s="1"/>
  <c r="Y189" i="2"/>
  <c r="Y190" i="2" s="1"/>
  <c r="P189" i="2"/>
  <c r="X187" i="2"/>
  <c r="X186" i="2"/>
  <c r="BO185" i="2"/>
  <c r="BM185" i="2"/>
  <c r="Z185" i="2"/>
  <c r="Y185" i="2"/>
  <c r="P185" i="2"/>
  <c r="BO184" i="2"/>
  <c r="BM184" i="2"/>
  <c r="Y184" i="2"/>
  <c r="BP184" i="2" s="1"/>
  <c r="P184" i="2"/>
  <c r="BO183" i="2"/>
  <c r="BM183" i="2"/>
  <c r="Y183" i="2"/>
  <c r="Y187" i="2" s="1"/>
  <c r="P183" i="2"/>
  <c r="X181" i="2"/>
  <c r="X180" i="2"/>
  <c r="BO179" i="2"/>
  <c r="BM179" i="2"/>
  <c r="Y179" i="2"/>
  <c r="BP179" i="2" s="1"/>
  <c r="P179" i="2"/>
  <c r="BO178" i="2"/>
  <c r="BM178" i="2"/>
  <c r="Y178" i="2"/>
  <c r="BP178" i="2" s="1"/>
  <c r="P178" i="2"/>
  <c r="BP177" i="2"/>
  <c r="BO177" i="2"/>
  <c r="BN177" i="2"/>
  <c r="BM177" i="2"/>
  <c r="Z177" i="2"/>
  <c r="Y177" i="2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P172" i="2"/>
  <c r="BO172" i="2"/>
  <c r="BM172" i="2"/>
  <c r="Y172" i="2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P167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P162" i="2"/>
  <c r="BO162" i="2"/>
  <c r="BM162" i="2"/>
  <c r="Y162" i="2"/>
  <c r="Y164" i="2" s="1"/>
  <c r="P162" i="2"/>
  <c r="X158" i="2"/>
  <c r="X157" i="2"/>
  <c r="BO156" i="2"/>
  <c r="BM156" i="2"/>
  <c r="Y156" i="2"/>
  <c r="Y157" i="2" s="1"/>
  <c r="P156" i="2"/>
  <c r="X154" i="2"/>
  <c r="X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P149" i="2"/>
  <c r="BO149" i="2"/>
  <c r="BM149" i="2"/>
  <c r="Y149" i="2"/>
  <c r="BN149" i="2" s="1"/>
  <c r="P149" i="2"/>
  <c r="BO148" i="2"/>
  <c r="BM148" i="2"/>
  <c r="Y148" i="2"/>
  <c r="Z148" i="2" s="1"/>
  <c r="P148" i="2"/>
  <c r="BO147" i="2"/>
  <c r="BM147" i="2"/>
  <c r="Y147" i="2"/>
  <c r="Y154" i="2" s="1"/>
  <c r="P147" i="2"/>
  <c r="X145" i="2"/>
  <c r="X144" i="2"/>
  <c r="BO143" i="2"/>
  <c r="BM143" i="2"/>
  <c r="Y143" i="2"/>
  <c r="Y145" i="2" s="1"/>
  <c r="P143" i="2"/>
  <c r="BP142" i="2"/>
  <c r="BO142" i="2"/>
  <c r="BN142" i="2"/>
  <c r="BM142" i="2"/>
  <c r="Z142" i="2"/>
  <c r="Y142" i="2"/>
  <c r="P142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Y134" i="2"/>
  <c r="X134" i="2"/>
  <c r="Y133" i="2"/>
  <c r="X133" i="2"/>
  <c r="BP132" i="2"/>
  <c r="BO132" i="2"/>
  <c r="BN132" i="2"/>
  <c r="BM132" i="2"/>
  <c r="Z132" i="2"/>
  <c r="Y132" i="2"/>
  <c r="P132" i="2"/>
  <c r="BO131" i="2"/>
  <c r="BM131" i="2"/>
  <c r="Y131" i="2"/>
  <c r="Z131" i="2" s="1"/>
  <c r="P131" i="2"/>
  <c r="X129" i="2"/>
  <c r="X128" i="2"/>
  <c r="BO127" i="2"/>
  <c r="BM127" i="2"/>
  <c r="Y127" i="2"/>
  <c r="BP127" i="2" s="1"/>
  <c r="P127" i="2"/>
  <c r="BP126" i="2"/>
  <c r="BO126" i="2"/>
  <c r="BM126" i="2"/>
  <c r="Y126" i="2"/>
  <c r="P126" i="2"/>
  <c r="X123" i="2"/>
  <c r="X122" i="2"/>
  <c r="BO121" i="2"/>
  <c r="BN121" i="2"/>
  <c r="BM121" i="2"/>
  <c r="Z121" i="2"/>
  <c r="Z122" i="2" s="1"/>
  <c r="Y121" i="2"/>
  <c r="Y122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BP114" i="2"/>
  <c r="BO114" i="2"/>
  <c r="BM114" i="2"/>
  <c r="Y114" i="2"/>
  <c r="P114" i="2"/>
  <c r="X112" i="2"/>
  <c r="X111" i="2"/>
  <c r="BO110" i="2"/>
  <c r="BM110" i="2"/>
  <c r="Y110" i="2"/>
  <c r="P110" i="2"/>
  <c r="BP109" i="2"/>
  <c r="BO109" i="2"/>
  <c r="BN109" i="2"/>
  <c r="BM109" i="2"/>
  <c r="Z109" i="2"/>
  <c r="Y109" i="2"/>
  <c r="P109" i="2"/>
  <c r="BO108" i="2"/>
  <c r="BM108" i="2"/>
  <c r="Y108" i="2"/>
  <c r="Z108" i="2" s="1"/>
  <c r="P108" i="2"/>
  <c r="BO107" i="2"/>
  <c r="BM107" i="2"/>
  <c r="Y107" i="2"/>
  <c r="Y112" i="2" s="1"/>
  <c r="P107" i="2"/>
  <c r="X105" i="2"/>
  <c r="X104" i="2"/>
  <c r="BO103" i="2"/>
  <c r="BM103" i="2"/>
  <c r="Y103" i="2"/>
  <c r="BN103" i="2" s="1"/>
  <c r="P103" i="2"/>
  <c r="BO102" i="2"/>
  <c r="BM102" i="2"/>
  <c r="Y102" i="2"/>
  <c r="Z102" i="2" s="1"/>
  <c r="P102" i="2"/>
  <c r="BP101" i="2"/>
  <c r="BO101" i="2"/>
  <c r="BN101" i="2"/>
  <c r="BM101" i="2"/>
  <c r="Z101" i="2"/>
  <c r="Y101" i="2"/>
  <c r="P101" i="2"/>
  <c r="BO100" i="2"/>
  <c r="BM100" i="2"/>
  <c r="Y100" i="2"/>
  <c r="BN100" i="2" s="1"/>
  <c r="P100" i="2"/>
  <c r="BO99" i="2"/>
  <c r="BM99" i="2"/>
  <c r="Y99" i="2"/>
  <c r="F504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BN92" i="2" s="1"/>
  <c r="P92" i="2"/>
  <c r="BO91" i="2"/>
  <c r="BM91" i="2"/>
  <c r="Y91" i="2"/>
  <c r="P91" i="2"/>
  <c r="X89" i="2"/>
  <c r="X88" i="2"/>
  <c r="BO87" i="2"/>
  <c r="BM87" i="2"/>
  <c r="Y87" i="2"/>
  <c r="BN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E504" i="2" s="1"/>
  <c r="P84" i="2"/>
  <c r="X81" i="2"/>
  <c r="X80" i="2"/>
  <c r="BO79" i="2"/>
  <c r="BM79" i="2"/>
  <c r="Y79" i="2"/>
  <c r="Z79" i="2" s="1"/>
  <c r="P79" i="2"/>
  <c r="BO78" i="2"/>
  <c r="BN78" i="2"/>
  <c r="BM78" i="2"/>
  <c r="Z78" i="2"/>
  <c r="Y78" i="2"/>
  <c r="BP78" i="2" s="1"/>
  <c r="P78" i="2"/>
  <c r="X76" i="2"/>
  <c r="X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P54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D504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Z41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BN34" i="2" s="1"/>
  <c r="P34" i="2"/>
  <c r="X32" i="2"/>
  <c r="X31" i="2"/>
  <c r="BO30" i="2"/>
  <c r="BN30" i="2"/>
  <c r="BM30" i="2"/>
  <c r="Z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P27" i="2"/>
  <c r="BO27" i="2"/>
  <c r="BN27" i="2"/>
  <c r="BM27" i="2"/>
  <c r="Z27" i="2"/>
  <c r="Y27" i="2"/>
  <c r="P27" i="2"/>
  <c r="X25" i="2"/>
  <c r="X24" i="2"/>
  <c r="X498" i="2" s="1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F9" i="2" l="1"/>
  <c r="J9" i="2"/>
  <c r="F10" i="2"/>
  <c r="X495" i="2"/>
  <c r="X496" i="2"/>
  <c r="X494" i="2"/>
  <c r="BP29" i="2"/>
  <c r="Y31" i="2"/>
  <c r="BP34" i="2"/>
  <c r="Y35" i="2"/>
  <c r="Y36" i="2"/>
  <c r="C504" i="2"/>
  <c r="Z42" i="2"/>
  <c r="BN42" i="2"/>
  <c r="Y43" i="2"/>
  <c r="Y44" i="2"/>
  <c r="BN46" i="2"/>
  <c r="BP46" i="2"/>
  <c r="Y47" i="2"/>
  <c r="Z52" i="2"/>
  <c r="BN52" i="2"/>
  <c r="BN53" i="2"/>
  <c r="BP53" i="2"/>
  <c r="Z55" i="2"/>
  <c r="BN55" i="2"/>
  <c r="Z56" i="2"/>
  <c r="BN56" i="2"/>
  <c r="Y58" i="2"/>
  <c r="Z67" i="2"/>
  <c r="BN67" i="2"/>
  <c r="Z73" i="2"/>
  <c r="BN73" i="2"/>
  <c r="BN74" i="2"/>
  <c r="BP74" i="2"/>
  <c r="BN79" i="2"/>
  <c r="BP79" i="2"/>
  <c r="Y80" i="2"/>
  <c r="Z85" i="2"/>
  <c r="BN85" i="2"/>
  <c r="BP87" i="2"/>
  <c r="Y95" i="2"/>
  <c r="BN91" i="2"/>
  <c r="BP91" i="2"/>
  <c r="Z99" i="2"/>
  <c r="BN99" i="2"/>
  <c r="BP99" i="2"/>
  <c r="BP103" i="2"/>
  <c r="Y104" i="2"/>
  <c r="Z107" i="2"/>
  <c r="BN107" i="2"/>
  <c r="BP107" i="2"/>
  <c r="BN108" i="2"/>
  <c r="BP108" i="2"/>
  <c r="Y119" i="2"/>
  <c r="Z117" i="2"/>
  <c r="BN117" i="2"/>
  <c r="Y123" i="2"/>
  <c r="G504" i="2"/>
  <c r="Z133" i="2"/>
  <c r="BN131" i="2"/>
  <c r="BP131" i="2"/>
  <c r="H504" i="2"/>
  <c r="BP143" i="2"/>
  <c r="Y144" i="2"/>
  <c r="Z147" i="2"/>
  <c r="BN147" i="2"/>
  <c r="BP147" i="2"/>
  <c r="BN148" i="2"/>
  <c r="BP148" i="2"/>
  <c r="Z152" i="2"/>
  <c r="BN152" i="2"/>
  <c r="Z166" i="2"/>
  <c r="BN166" i="2"/>
  <c r="Z168" i="2"/>
  <c r="Z169" i="2"/>
  <c r="BN169" i="2"/>
  <c r="Z170" i="2"/>
  <c r="BN170" i="2"/>
  <c r="BN171" i="2"/>
  <c r="BP171" i="2"/>
  <c r="Y181" i="2"/>
  <c r="Z175" i="2"/>
  <c r="BN175" i="2"/>
  <c r="BN176" i="2"/>
  <c r="BP176" i="2"/>
  <c r="Z179" i="2"/>
  <c r="BN179" i="2"/>
  <c r="BP185" i="2"/>
  <c r="BN185" i="2"/>
  <c r="Y196" i="2"/>
  <c r="BN204" i="2"/>
  <c r="BP204" i="2"/>
  <c r="Y212" i="2"/>
  <c r="BP208" i="2"/>
  <c r="BN208" i="2"/>
  <c r="Z208" i="2"/>
  <c r="BN219" i="2"/>
  <c r="BP219" i="2"/>
  <c r="BP220" i="2"/>
  <c r="BN220" i="2"/>
  <c r="Z220" i="2"/>
  <c r="Y243" i="2"/>
  <c r="BN233" i="2"/>
  <c r="Z233" i="2"/>
  <c r="BP234" i="2"/>
  <c r="BN234" i="2"/>
  <c r="Z234" i="2"/>
  <c r="BP255" i="2"/>
  <c r="BN255" i="2"/>
  <c r="Z255" i="2"/>
  <c r="BP266" i="2"/>
  <c r="BN266" i="2"/>
  <c r="Z266" i="2"/>
  <c r="BN280" i="2"/>
  <c r="BP280" i="2"/>
  <c r="Y282" i="2"/>
  <c r="P504" i="2"/>
  <c r="BP286" i="2"/>
  <c r="BN286" i="2"/>
  <c r="Z286" i="2"/>
  <c r="BN299" i="2"/>
  <c r="BP299" i="2"/>
  <c r="BP300" i="2"/>
  <c r="BN300" i="2"/>
  <c r="Z300" i="2"/>
  <c r="BN309" i="2"/>
  <c r="BP309" i="2"/>
  <c r="BP310" i="2"/>
  <c r="BN310" i="2"/>
  <c r="Z310" i="2"/>
  <c r="H9" i="2"/>
  <c r="BN22" i="2"/>
  <c r="BP22" i="2"/>
  <c r="Y24" i="2"/>
  <c r="BN28" i="2"/>
  <c r="BP28" i="2"/>
  <c r="Y32" i="2"/>
  <c r="Z43" i="2"/>
  <c r="BN41" i="2"/>
  <c r="BP41" i="2"/>
  <c r="Y69" i="2"/>
  <c r="BN102" i="2"/>
  <c r="BP102" i="2"/>
  <c r="Y111" i="2"/>
  <c r="Y128" i="2"/>
  <c r="BN136" i="2"/>
  <c r="BP136" i="2"/>
  <c r="Y139" i="2"/>
  <c r="BP168" i="2"/>
  <c r="BP211" i="2"/>
  <c r="Z211" i="2"/>
  <c r="BP222" i="2"/>
  <c r="BN222" i="2"/>
  <c r="Z222" i="2"/>
  <c r="BN240" i="2"/>
  <c r="BP240" i="2"/>
  <c r="BP241" i="2"/>
  <c r="BN241" i="2"/>
  <c r="Z241" i="2"/>
  <c r="BP253" i="2"/>
  <c r="BN253" i="2"/>
  <c r="Z253" i="2"/>
  <c r="Y258" i="2"/>
  <c r="Z267" i="2"/>
  <c r="BN263" i="2"/>
  <c r="BP263" i="2"/>
  <c r="BP264" i="2"/>
  <c r="BN264" i="2"/>
  <c r="Z264" i="2"/>
  <c r="Y268" i="2"/>
  <c r="BP273" i="2"/>
  <c r="BN273" i="2"/>
  <c r="Z273" i="2"/>
  <c r="Y294" i="2"/>
  <c r="BP291" i="2"/>
  <c r="BN291" i="2"/>
  <c r="Z291" i="2"/>
  <c r="Z293" i="2" s="1"/>
  <c r="BP302" i="2"/>
  <c r="BN302" i="2"/>
  <c r="Z302" i="2"/>
  <c r="BN324" i="2"/>
  <c r="BP324" i="2"/>
  <c r="Y325" i="2"/>
  <c r="BN330" i="2"/>
  <c r="BP330" i="2"/>
  <c r="Y338" i="2"/>
  <c r="BP353" i="2"/>
  <c r="BN353" i="2"/>
  <c r="Z353" i="2"/>
  <c r="BN360" i="2"/>
  <c r="Y362" i="2"/>
  <c r="BP360" i="2"/>
  <c r="BN365" i="2"/>
  <c r="Y368" i="2"/>
  <c r="Y367" i="2"/>
  <c r="BP365" i="2"/>
  <c r="BP387" i="2"/>
  <c r="BN387" i="2"/>
  <c r="Z387" i="2"/>
  <c r="BN400" i="2"/>
  <c r="BP400" i="2"/>
  <c r="W504" i="2"/>
  <c r="Y425" i="2"/>
  <c r="Y424" i="2"/>
  <c r="BP423" i="2"/>
  <c r="BN423" i="2"/>
  <c r="Z423" i="2"/>
  <c r="Z424" i="2" s="1"/>
  <c r="BN436" i="2"/>
  <c r="BP436" i="2"/>
  <c r="BN440" i="2"/>
  <c r="BP440" i="2"/>
  <c r="BP445" i="2"/>
  <c r="BN445" i="2"/>
  <c r="Z445" i="2"/>
  <c r="BP485" i="2"/>
  <c r="Z485" i="2"/>
  <c r="Y191" i="2"/>
  <c r="Z201" i="2"/>
  <c r="BN199" i="2"/>
  <c r="BP199" i="2"/>
  <c r="BN209" i="2"/>
  <c r="BP209" i="2"/>
  <c r="Y225" i="2"/>
  <c r="BN223" i="2"/>
  <c r="BP223" i="2"/>
  <c r="BN235" i="2"/>
  <c r="BP235" i="2"/>
  <c r="Y242" i="2"/>
  <c r="BN245" i="2"/>
  <c r="BP245" i="2"/>
  <c r="Y246" i="2"/>
  <c r="BN256" i="2"/>
  <c r="BP256" i="2"/>
  <c r="L504" i="2"/>
  <c r="BN274" i="2"/>
  <c r="BP274" i="2"/>
  <c r="Y283" i="2"/>
  <c r="Y289" i="2"/>
  <c r="BN292" i="2"/>
  <c r="BP292" i="2"/>
  <c r="Q504" i="2"/>
  <c r="Y312" i="2"/>
  <c r="BP318" i="2"/>
  <c r="BN318" i="2"/>
  <c r="Z318" i="2"/>
  <c r="BP376" i="2"/>
  <c r="BN376" i="2"/>
  <c r="Z376" i="2"/>
  <c r="BP381" i="2"/>
  <c r="BN381" i="2"/>
  <c r="Z381" i="2"/>
  <c r="BN395" i="2"/>
  <c r="BP395" i="2"/>
  <c r="BN396" i="2"/>
  <c r="BP396" i="2"/>
  <c r="Y420" i="2"/>
  <c r="BN415" i="2"/>
  <c r="Z415" i="2"/>
  <c r="BP416" i="2"/>
  <c r="BN416" i="2"/>
  <c r="Z416" i="2"/>
  <c r="BN431" i="2"/>
  <c r="BP431" i="2"/>
  <c r="BN432" i="2"/>
  <c r="BP432" i="2"/>
  <c r="Y457" i="2"/>
  <c r="BP450" i="2"/>
  <c r="BN450" i="2"/>
  <c r="Z450" i="2"/>
  <c r="Y504" i="2"/>
  <c r="BP465" i="2"/>
  <c r="BP468" i="2"/>
  <c r="BN468" i="2"/>
  <c r="Z468" i="2"/>
  <c r="Y474" i="2"/>
  <c r="Y475" i="2"/>
  <c r="Z472" i="2"/>
  <c r="Z474" i="2" s="1"/>
  <c r="Y320" i="2"/>
  <c r="Y326" i="2"/>
  <c r="BP331" i="2"/>
  <c r="BN335" i="2"/>
  <c r="BP335" i="2"/>
  <c r="Z345" i="2"/>
  <c r="BN342" i="2"/>
  <c r="BP342" i="2"/>
  <c r="BP343" i="2"/>
  <c r="Y345" i="2"/>
  <c r="Y346" i="2"/>
  <c r="Y357" i="2"/>
  <c r="BN354" i="2"/>
  <c r="BP354" i="2"/>
  <c r="BP355" i="2"/>
  <c r="BP366" i="2"/>
  <c r="BN370" i="2"/>
  <c r="BP370" i="2"/>
  <c r="Y371" i="2"/>
  <c r="Y382" i="2"/>
  <c r="BN380" i="2"/>
  <c r="BP401" i="2"/>
  <c r="Z407" i="2"/>
  <c r="BN405" i="2"/>
  <c r="BP405" i="2"/>
  <c r="BP406" i="2"/>
  <c r="Y407" i="2"/>
  <c r="Y408" i="2"/>
  <c r="V504" i="2"/>
  <c r="BN417" i="2"/>
  <c r="BP417" i="2"/>
  <c r="X504" i="2"/>
  <c r="BP437" i="2"/>
  <c r="BN451" i="2"/>
  <c r="BP451" i="2"/>
  <c r="BP452" i="2"/>
  <c r="BN466" i="2"/>
  <c r="Y478" i="2"/>
  <c r="Z325" i="2"/>
  <c r="Z80" i="2"/>
  <c r="Z72" i="2"/>
  <c r="Y88" i="2"/>
  <c r="Y96" i="2"/>
  <c r="Z116" i="2"/>
  <c r="Z174" i="2"/>
  <c r="Z184" i="2"/>
  <c r="Z207" i="2"/>
  <c r="Z217" i="2"/>
  <c r="Z227" i="2"/>
  <c r="Z229" i="2" s="1"/>
  <c r="Z238" i="2"/>
  <c r="Y251" i="2"/>
  <c r="Z272" i="2"/>
  <c r="Z297" i="2"/>
  <c r="Z303" i="2" s="1"/>
  <c r="Z307" i="2"/>
  <c r="Z317" i="2"/>
  <c r="Y332" i="2"/>
  <c r="Z352" i="2"/>
  <c r="Z375" i="2"/>
  <c r="Z377" i="2" s="1"/>
  <c r="Y402" i="2"/>
  <c r="Z467" i="2"/>
  <c r="BP481" i="2"/>
  <c r="Y493" i="2"/>
  <c r="Y158" i="2"/>
  <c r="Y313" i="2"/>
  <c r="Y358" i="2"/>
  <c r="Z380" i="2"/>
  <c r="Z382" i="2" s="1"/>
  <c r="Y461" i="2"/>
  <c r="BP486" i="2"/>
  <c r="I504" i="2"/>
  <c r="Y213" i="2"/>
  <c r="Z60" i="2"/>
  <c r="BN72" i="2"/>
  <c r="Y75" i="2"/>
  <c r="Z93" i="2"/>
  <c r="BN116" i="2"/>
  <c r="Z127" i="2"/>
  <c r="Z150" i="2"/>
  <c r="BN174" i="2"/>
  <c r="BN184" i="2"/>
  <c r="Z195" i="2"/>
  <c r="BN207" i="2"/>
  <c r="BN217" i="2"/>
  <c r="BN227" i="2"/>
  <c r="BN238" i="2"/>
  <c r="BN272" i="2"/>
  <c r="Y275" i="2"/>
  <c r="BN297" i="2"/>
  <c r="BN307" i="2"/>
  <c r="BN317" i="2"/>
  <c r="Z337" i="2"/>
  <c r="BN352" i="2"/>
  <c r="Y363" i="2"/>
  <c r="BN375" i="2"/>
  <c r="Z385" i="2"/>
  <c r="Z397" i="2"/>
  <c r="Z433" i="2"/>
  <c r="Z453" i="2"/>
  <c r="BN467" i="2"/>
  <c r="Z477" i="2"/>
  <c r="Z478" i="2" s="1"/>
  <c r="Y482" i="2"/>
  <c r="J504" i="2"/>
  <c r="Y89" i="2"/>
  <c r="Y333" i="2"/>
  <c r="Y403" i="2"/>
  <c r="Y441" i="2"/>
  <c r="BN472" i="2"/>
  <c r="Y487" i="2"/>
  <c r="K504" i="2"/>
  <c r="Z23" i="2"/>
  <c r="Z24" i="2" s="1"/>
  <c r="BN60" i="2"/>
  <c r="Y63" i="2"/>
  <c r="BN93" i="2"/>
  <c r="Y105" i="2"/>
  <c r="BN127" i="2"/>
  <c r="Z137" i="2"/>
  <c r="Z138" i="2" s="1"/>
  <c r="BN150" i="2"/>
  <c r="Y153" i="2"/>
  <c r="Z162" i="2"/>
  <c r="Z163" i="2" s="1"/>
  <c r="Z172" i="2"/>
  <c r="BN195" i="2"/>
  <c r="Z205" i="2"/>
  <c r="Z212" i="2" s="1"/>
  <c r="Z215" i="2"/>
  <c r="BP227" i="2"/>
  <c r="Z236" i="2"/>
  <c r="Y259" i="2"/>
  <c r="Z281" i="2"/>
  <c r="Z282" i="2" s="1"/>
  <c r="BP297" i="2"/>
  <c r="Z315" i="2"/>
  <c r="BN337" i="2"/>
  <c r="Z350" i="2"/>
  <c r="Z360" i="2"/>
  <c r="BP375" i="2"/>
  <c r="BN385" i="2"/>
  <c r="Y388" i="2"/>
  <c r="BN397" i="2"/>
  <c r="Z418" i="2"/>
  <c r="Z419" i="2" s="1"/>
  <c r="BN433" i="2"/>
  <c r="BN453" i="2"/>
  <c r="Y456" i="2"/>
  <c r="Z465" i="2"/>
  <c r="BN477" i="2"/>
  <c r="BP30" i="2"/>
  <c r="Y68" i="2"/>
  <c r="Y76" i="2"/>
  <c r="Z86" i="2"/>
  <c r="BP121" i="2"/>
  <c r="Z143" i="2"/>
  <c r="Z144" i="2" s="1"/>
  <c r="Z167" i="2"/>
  <c r="Y180" i="2"/>
  <c r="BP189" i="2"/>
  <c r="BP233" i="2"/>
  <c r="Y267" i="2"/>
  <c r="Y276" i="2"/>
  <c r="Z287" i="2"/>
  <c r="Z288" i="2" s="1"/>
  <c r="Y303" i="2"/>
  <c r="BP322" i="2"/>
  <c r="Z330" i="2"/>
  <c r="Z365" i="2"/>
  <c r="Z367" i="2" s="1"/>
  <c r="BP380" i="2"/>
  <c r="Z400" i="2"/>
  <c r="BP415" i="2"/>
  <c r="Z436" i="2"/>
  <c r="Z446" i="2"/>
  <c r="BP472" i="2"/>
  <c r="Y483" i="2"/>
  <c r="M504" i="2"/>
  <c r="Z114" i="2"/>
  <c r="BN23" i="2"/>
  <c r="Y48" i="2"/>
  <c r="BP60" i="2"/>
  <c r="Y81" i="2"/>
  <c r="Z91" i="2"/>
  <c r="BN114" i="2"/>
  <c r="BN137" i="2"/>
  <c r="BN162" i="2"/>
  <c r="BN172" i="2"/>
  <c r="BN205" i="2"/>
  <c r="BN215" i="2"/>
  <c r="BN236" i="2"/>
  <c r="Y247" i="2"/>
  <c r="BN281" i="2"/>
  <c r="BN315" i="2"/>
  <c r="BN350" i="2"/>
  <c r="Z370" i="2"/>
  <c r="Z371" i="2" s="1"/>
  <c r="BP385" i="2"/>
  <c r="Y442" i="2"/>
  <c r="BN465" i="2"/>
  <c r="BP477" i="2"/>
  <c r="Y488" i="2"/>
  <c r="O504" i="2"/>
  <c r="BN143" i="2"/>
  <c r="BN287" i="2"/>
  <c r="BP205" i="2"/>
  <c r="BP215" i="2"/>
  <c r="BP236" i="2"/>
  <c r="BP281" i="2"/>
  <c r="Y304" i="2"/>
  <c r="Z249" i="2"/>
  <c r="Z250" i="2" s="1"/>
  <c r="Z328" i="2"/>
  <c r="Z386" i="2"/>
  <c r="Z398" i="2"/>
  <c r="Z434" i="2"/>
  <c r="Z444" i="2"/>
  <c r="Z447" i="2" s="1"/>
  <c r="Z454" i="2"/>
  <c r="Z491" i="2"/>
  <c r="Z492" i="2" s="1"/>
  <c r="R504" i="2"/>
  <c r="Z51" i="2"/>
  <c r="Z110" i="2"/>
  <c r="Z111" i="2" s="1"/>
  <c r="Z156" i="2"/>
  <c r="Z157" i="2" s="1"/>
  <c r="Z178" i="2"/>
  <c r="Z393" i="2"/>
  <c r="Y419" i="2"/>
  <c r="Z429" i="2"/>
  <c r="Z459" i="2"/>
  <c r="Z460" i="2" s="1"/>
  <c r="BN473" i="2"/>
  <c r="BN485" i="2"/>
  <c r="S504" i="2"/>
  <c r="Z94" i="2"/>
  <c r="Y163" i="2"/>
  <c r="Z71" i="2"/>
  <c r="Z75" i="2" s="1"/>
  <c r="BN94" i="2"/>
  <c r="Z115" i="2"/>
  <c r="Y129" i="2"/>
  <c r="BN151" i="2"/>
  <c r="Z173" i="2"/>
  <c r="Z183" i="2"/>
  <c r="Z186" i="2" s="1"/>
  <c r="Y197" i="2"/>
  <c r="Z206" i="2"/>
  <c r="Z216" i="2"/>
  <c r="Z237" i="2"/>
  <c r="BN249" i="2"/>
  <c r="Z271" i="2"/>
  <c r="Y288" i="2"/>
  <c r="Z306" i="2"/>
  <c r="Z312" i="2" s="1"/>
  <c r="Z316" i="2"/>
  <c r="BN328" i="2"/>
  <c r="Y339" i="2"/>
  <c r="Z351" i="2"/>
  <c r="Z361" i="2"/>
  <c r="BN386" i="2"/>
  <c r="BN398" i="2"/>
  <c r="BN434" i="2"/>
  <c r="BN444" i="2"/>
  <c r="Y447" i="2"/>
  <c r="BN454" i="2"/>
  <c r="Z466" i="2"/>
  <c r="BN491" i="2"/>
  <c r="T504" i="2"/>
  <c r="Z84" i="2"/>
  <c r="Y138" i="2"/>
  <c r="Z29" i="2"/>
  <c r="Z31" i="2" s="1"/>
  <c r="Z87" i="2"/>
  <c r="BN110" i="2"/>
  <c r="BN156" i="2"/>
  <c r="BN178" i="2"/>
  <c r="BN211" i="2"/>
  <c r="BN221" i="2"/>
  <c r="Y224" i="2"/>
  <c r="BN254" i="2"/>
  <c r="BN265" i="2"/>
  <c r="Y293" i="2"/>
  <c r="BN301" i="2"/>
  <c r="BN311" i="2"/>
  <c r="BN344" i="2"/>
  <c r="BN356" i="2"/>
  <c r="BN393" i="2"/>
  <c r="BN429" i="2"/>
  <c r="BN459" i="2"/>
  <c r="B504" i="2"/>
  <c r="U504" i="2"/>
  <c r="BN51" i="2"/>
  <c r="BN61" i="2"/>
  <c r="Z54" i="2"/>
  <c r="BP51" i="2"/>
  <c r="BN71" i="2"/>
  <c r="BN115" i="2"/>
  <c r="Z149" i="2"/>
  <c r="Z153" i="2" s="1"/>
  <c r="BP151" i="2"/>
  <c r="BN183" i="2"/>
  <c r="Y186" i="2"/>
  <c r="Z194" i="2"/>
  <c r="Z196" i="2" s="1"/>
  <c r="BN206" i="2"/>
  <c r="BN216" i="2"/>
  <c r="Y229" i="2"/>
  <c r="BN237" i="2"/>
  <c r="BP249" i="2"/>
  <c r="Z257" i="2"/>
  <c r="Z258" i="2" s="1"/>
  <c r="BN271" i="2"/>
  <c r="BN306" i="2"/>
  <c r="BN316" i="2"/>
  <c r="Y319" i="2"/>
  <c r="Z336" i="2"/>
  <c r="Z338" i="2" s="1"/>
  <c r="BN351" i="2"/>
  <c r="BN361" i="2"/>
  <c r="Y377" i="2"/>
  <c r="Z396" i="2"/>
  <c r="Z432" i="2"/>
  <c r="BP444" i="2"/>
  <c r="Y469" i="2"/>
  <c r="BP491" i="2"/>
  <c r="Z61" i="2"/>
  <c r="Z66" i="2"/>
  <c r="Z68" i="2" s="1"/>
  <c r="Z100" i="2"/>
  <c r="BN84" i="2"/>
  <c r="Y25" i="2"/>
  <c r="Z34" i="2"/>
  <c r="Z35" i="2" s="1"/>
  <c r="BP84" i="2"/>
  <c r="Y118" i="2"/>
  <c r="Z126" i="2"/>
  <c r="Z128" i="2" s="1"/>
  <c r="BN173" i="2"/>
  <c r="Y57" i="2"/>
  <c r="BP66" i="2"/>
  <c r="BP100" i="2"/>
  <c r="BP156" i="2"/>
  <c r="BP344" i="2"/>
  <c r="BP429" i="2"/>
  <c r="BP459" i="2"/>
  <c r="Z481" i="2"/>
  <c r="Z482" i="2" s="1"/>
  <c r="Z92" i="2"/>
  <c r="Z103" i="2"/>
  <c r="BP110" i="2"/>
  <c r="BN126" i="2"/>
  <c r="BP183" i="2"/>
  <c r="BP306" i="2"/>
  <c r="Z486" i="2"/>
  <c r="Z487" i="2" s="1"/>
  <c r="Y492" i="2"/>
  <c r="Y470" i="2"/>
  <c r="Y494" i="2" l="1"/>
  <c r="Z104" i="2"/>
  <c r="Z57" i="2"/>
  <c r="Y498" i="2"/>
  <c r="Z456" i="2"/>
  <c r="Z63" i="2"/>
  <c r="X497" i="2"/>
  <c r="Y495" i="2"/>
  <c r="Z180" i="2"/>
  <c r="Y496" i="2"/>
  <c r="Y497" i="2" s="1"/>
  <c r="Z469" i="2"/>
  <c r="Z242" i="2"/>
  <c r="Z224" i="2"/>
  <c r="Z388" i="2"/>
  <c r="Z88" i="2"/>
  <c r="Z402" i="2"/>
  <c r="Z441" i="2"/>
  <c r="Z118" i="2"/>
  <c r="Z362" i="2"/>
  <c r="Z357" i="2"/>
  <c r="Z275" i="2"/>
  <c r="Z95" i="2"/>
  <c r="Z319" i="2"/>
  <c r="Z332" i="2"/>
  <c r="Z499" i="2" l="1"/>
</calcChain>
</file>

<file path=xl/sharedStrings.xml><?xml version="1.0" encoding="utf-8"?>
<sst xmlns="http://schemas.openxmlformats.org/spreadsheetml/2006/main" count="3646" uniqueCount="777">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</sst>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0" t="s">
        <v>26</v>
      </c>
      <c r="E1" s="560"/>
      <c r="F1" s="560"/>
      <c r="G1" s="14" t="s">
        <v>66</v>
      </c>
      <c r="H1" s="560" t="s">
        <v>46</v>
      </c>
      <c r="I1" s="560"/>
      <c r="J1" s="560"/>
      <c r="K1" s="560"/>
      <c r="L1" s="560"/>
      <c r="M1" s="560"/>
      <c r="N1" s="560"/>
      <c r="O1" s="560"/>
      <c r="P1" s="560"/>
      <c r="Q1" s="560"/>
      <c r="R1" s="561" t="s">
        <v>67</v>
      </c>
      <c r="S1" s="562"/>
      <c r="T1" s="5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3"/>
      <c r="Q3" s="563"/>
      <c r="R3" s="563"/>
      <c r="S3" s="563"/>
      <c r="T3" s="563"/>
      <c r="U3" s="563"/>
      <c r="V3" s="563"/>
      <c r="W3" s="5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4" t="s">
        <v>8</v>
      </c>
      <c r="B5" s="564"/>
      <c r="C5" s="564"/>
      <c r="D5" s="565"/>
      <c r="E5" s="565"/>
      <c r="F5" s="566" t="s">
        <v>14</v>
      </c>
      <c r="G5" s="566"/>
      <c r="H5" s="565"/>
      <c r="I5" s="565"/>
      <c r="J5" s="565"/>
      <c r="K5" s="565"/>
      <c r="L5" s="565"/>
      <c r="M5" s="565"/>
      <c r="N5" s="72"/>
      <c r="P5" s="27" t="s">
        <v>4</v>
      </c>
      <c r="Q5" s="567">
        <v>46044</v>
      </c>
      <c r="R5" s="567"/>
      <c r="T5" s="568" t="s">
        <v>3</v>
      </c>
      <c r="U5" s="569"/>
      <c r="V5" s="570" t="s">
        <v>763</v>
      </c>
      <c r="W5" s="571"/>
      <c r="AB5" s="59"/>
      <c r="AC5" s="59"/>
      <c r="AD5" s="59"/>
      <c r="AE5" s="59"/>
    </row>
    <row r="6" spans="1:32" s="17" customFormat="1" ht="24" customHeight="1" x14ac:dyDescent="0.2">
      <c r="A6" s="564" t="s">
        <v>1</v>
      </c>
      <c r="B6" s="564"/>
      <c r="C6" s="564"/>
      <c r="D6" s="572" t="s">
        <v>75</v>
      </c>
      <c r="E6" s="572"/>
      <c r="F6" s="572"/>
      <c r="G6" s="572"/>
      <c r="H6" s="572"/>
      <c r="I6" s="572"/>
      <c r="J6" s="572"/>
      <c r="K6" s="572"/>
      <c r="L6" s="572"/>
      <c r="M6" s="572"/>
      <c r="N6" s="73"/>
      <c r="P6" s="27" t="s">
        <v>27</v>
      </c>
      <c r="Q6" s="573" t="str">
        <f>IF(Q5=0," ",CHOOSE(WEEKDAY(Q5,2),"Понедельник","Вторник","Среда","Четверг","Пятница","Суббота","Воскресенье"))</f>
        <v>Четверг</v>
      </c>
      <c r="R6" s="573"/>
      <c r="T6" s="574" t="s">
        <v>5</v>
      </c>
      <c r="U6" s="575"/>
      <c r="V6" s="576" t="s">
        <v>69</v>
      </c>
      <c r="W6" s="57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2" t="str">
        <f>IFERROR(VLOOKUP(DeliveryAddress,Table,3,0),1)</f>
        <v>1</v>
      </c>
      <c r="E7" s="583"/>
      <c r="F7" s="583"/>
      <c r="G7" s="583"/>
      <c r="H7" s="583"/>
      <c r="I7" s="583"/>
      <c r="J7" s="583"/>
      <c r="K7" s="583"/>
      <c r="L7" s="583"/>
      <c r="M7" s="584"/>
      <c r="N7" s="74"/>
      <c r="P7" s="29"/>
      <c r="Q7" s="48"/>
      <c r="R7" s="48"/>
      <c r="T7" s="574"/>
      <c r="U7" s="575"/>
      <c r="V7" s="578"/>
      <c r="W7" s="579"/>
      <c r="AB7" s="59"/>
      <c r="AC7" s="59"/>
      <c r="AD7" s="59"/>
      <c r="AE7" s="59"/>
    </row>
    <row r="8" spans="1:32" s="17" customFormat="1" ht="25.5" customHeight="1" x14ac:dyDescent="0.2">
      <c r="A8" s="585" t="s">
        <v>57</v>
      </c>
      <c r="B8" s="585"/>
      <c r="C8" s="585"/>
      <c r="D8" s="586" t="s">
        <v>76</v>
      </c>
      <c r="E8" s="586"/>
      <c r="F8" s="586"/>
      <c r="G8" s="586"/>
      <c r="H8" s="586"/>
      <c r="I8" s="586"/>
      <c r="J8" s="586"/>
      <c r="K8" s="586"/>
      <c r="L8" s="586"/>
      <c r="M8" s="586"/>
      <c r="N8" s="75"/>
      <c r="P8" s="27" t="s">
        <v>11</v>
      </c>
      <c r="Q8" s="587">
        <v>0.41666666666666669</v>
      </c>
      <c r="R8" s="587"/>
      <c r="T8" s="574"/>
      <c r="U8" s="575"/>
      <c r="V8" s="578"/>
      <c r="W8" s="579"/>
      <c r="AB8" s="59"/>
      <c r="AC8" s="59"/>
      <c r="AD8" s="59"/>
      <c r="AE8" s="59"/>
    </row>
    <row r="9" spans="1:32" s="17" customFormat="1" ht="39.950000000000003" customHeight="1" x14ac:dyDescent="0.2">
      <c r="A9" s="5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8"/>
      <c r="C9" s="588"/>
      <c r="D9" s="589" t="s">
        <v>45</v>
      </c>
      <c r="E9" s="590"/>
      <c r="F9" s="5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8"/>
      <c r="H9" s="591" t="str">
        <f>IF(AND($A$9="Тип доверенности/получателя при получении в адресе перегруза:",$D$9="Разовая доверенность"),"Введите ФИО","")</f>
        <v/>
      </c>
      <c r="I9" s="591"/>
      <c r="J9" s="5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1"/>
      <c r="L9" s="591"/>
      <c r="M9" s="591"/>
      <c r="N9" s="70"/>
      <c r="P9" s="31" t="s">
        <v>15</v>
      </c>
      <c r="Q9" s="592"/>
      <c r="R9" s="592"/>
      <c r="T9" s="574"/>
      <c r="U9" s="575"/>
      <c r="V9" s="580"/>
      <c r="W9" s="58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8"/>
      <c r="C10" s="588"/>
      <c r="D10" s="589"/>
      <c r="E10" s="590"/>
      <c r="F10" s="5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8"/>
      <c r="H10" s="593" t="str">
        <f>IFERROR(VLOOKUP($D$10,Proxy,2,FALSE),"")</f>
        <v/>
      </c>
      <c r="I10" s="593"/>
      <c r="J10" s="593"/>
      <c r="K10" s="593"/>
      <c r="L10" s="593"/>
      <c r="M10" s="593"/>
      <c r="N10" s="71"/>
      <c r="P10" s="31" t="s">
        <v>32</v>
      </c>
      <c r="Q10" s="594"/>
      <c r="R10" s="594"/>
      <c r="U10" s="29" t="s">
        <v>12</v>
      </c>
      <c r="V10" s="595" t="s">
        <v>70</v>
      </c>
      <c r="W10" s="59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7"/>
      <c r="R11" s="597"/>
      <c r="U11" s="29" t="s">
        <v>28</v>
      </c>
      <c r="V11" s="598" t="s">
        <v>54</v>
      </c>
      <c r="W11" s="59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9" t="s">
        <v>71</v>
      </c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  <c r="M12" s="599"/>
      <c r="N12" s="76"/>
      <c r="P12" s="27" t="s">
        <v>30</v>
      </c>
      <c r="Q12" s="587"/>
      <c r="R12" s="587"/>
      <c r="S12" s="28"/>
      <c r="T12"/>
      <c r="U12" s="29" t="s">
        <v>45</v>
      </c>
      <c r="V12" s="600"/>
      <c r="W12" s="600"/>
      <c r="X12"/>
      <c r="AB12" s="59"/>
      <c r="AC12" s="59"/>
      <c r="AD12" s="59"/>
      <c r="AE12" s="59"/>
    </row>
    <row r="13" spans="1:32" s="17" customFormat="1" ht="23.25" customHeight="1" x14ac:dyDescent="0.2">
      <c r="A13" s="599" t="s">
        <v>72</v>
      </c>
      <c r="B13" s="599"/>
      <c r="C13" s="599"/>
      <c r="D13" s="599"/>
      <c r="E13" s="599"/>
      <c r="F13" s="599"/>
      <c r="G13" s="599"/>
      <c r="H13" s="599"/>
      <c r="I13" s="599"/>
      <c r="J13" s="599"/>
      <c r="K13" s="599"/>
      <c r="L13" s="599"/>
      <c r="M13" s="599"/>
      <c r="N13" s="76"/>
      <c r="O13" s="31"/>
      <c r="P13" s="31" t="s">
        <v>31</v>
      </c>
      <c r="Q13" s="598"/>
      <c r="R13" s="59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9" t="s">
        <v>73</v>
      </c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9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1" t="s">
        <v>74</v>
      </c>
      <c r="B15" s="601"/>
      <c r="C15" s="601"/>
      <c r="D15" s="601"/>
      <c r="E15" s="601"/>
      <c r="F15" s="601"/>
      <c r="G15" s="601"/>
      <c r="H15" s="601"/>
      <c r="I15" s="601"/>
      <c r="J15" s="601"/>
      <c r="K15" s="601"/>
      <c r="L15" s="601"/>
      <c r="M15" s="601"/>
      <c r="N15" s="77"/>
      <c r="O15"/>
      <c r="P15" s="602" t="s">
        <v>60</v>
      </c>
      <c r="Q15" s="602"/>
      <c r="R15" s="602"/>
      <c r="S15" s="602"/>
      <c r="T15" s="60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3"/>
      <c r="Q16" s="603"/>
      <c r="R16" s="603"/>
      <c r="S16" s="603"/>
      <c r="T16" s="60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6" t="s">
        <v>58</v>
      </c>
      <c r="B17" s="606" t="s">
        <v>48</v>
      </c>
      <c r="C17" s="608" t="s">
        <v>47</v>
      </c>
      <c r="D17" s="610" t="s">
        <v>49</v>
      </c>
      <c r="E17" s="611"/>
      <c r="F17" s="606" t="s">
        <v>21</v>
      </c>
      <c r="G17" s="606" t="s">
        <v>24</v>
      </c>
      <c r="H17" s="606" t="s">
        <v>22</v>
      </c>
      <c r="I17" s="606" t="s">
        <v>23</v>
      </c>
      <c r="J17" s="606" t="s">
        <v>16</v>
      </c>
      <c r="K17" s="606" t="s">
        <v>65</v>
      </c>
      <c r="L17" s="606" t="s">
        <v>63</v>
      </c>
      <c r="M17" s="606" t="s">
        <v>2</v>
      </c>
      <c r="N17" s="606" t="s">
        <v>62</v>
      </c>
      <c r="O17" s="606" t="s">
        <v>25</v>
      </c>
      <c r="P17" s="610" t="s">
        <v>17</v>
      </c>
      <c r="Q17" s="614"/>
      <c r="R17" s="614"/>
      <c r="S17" s="614"/>
      <c r="T17" s="611"/>
      <c r="U17" s="604" t="s">
        <v>55</v>
      </c>
      <c r="V17" s="605"/>
      <c r="W17" s="606" t="s">
        <v>6</v>
      </c>
      <c r="X17" s="606" t="s">
        <v>41</v>
      </c>
      <c r="Y17" s="616" t="s">
        <v>53</v>
      </c>
      <c r="Z17" s="618" t="s">
        <v>18</v>
      </c>
      <c r="AA17" s="620" t="s">
        <v>59</v>
      </c>
      <c r="AB17" s="620" t="s">
        <v>19</v>
      </c>
      <c r="AC17" s="620" t="s">
        <v>64</v>
      </c>
      <c r="AD17" s="622" t="s">
        <v>56</v>
      </c>
      <c r="AE17" s="623"/>
      <c r="AF17" s="624"/>
      <c r="AG17" s="82"/>
      <c r="BD17" s="81" t="s">
        <v>61</v>
      </c>
    </row>
    <row r="18" spans="1:68" ht="14.25" customHeight="1" x14ac:dyDescent="0.2">
      <c r="A18" s="607"/>
      <c r="B18" s="607"/>
      <c r="C18" s="609"/>
      <c r="D18" s="612"/>
      <c r="E18" s="613"/>
      <c r="F18" s="607"/>
      <c r="G18" s="607"/>
      <c r="H18" s="607"/>
      <c r="I18" s="607"/>
      <c r="J18" s="607"/>
      <c r="K18" s="607"/>
      <c r="L18" s="607"/>
      <c r="M18" s="607"/>
      <c r="N18" s="607"/>
      <c r="O18" s="607"/>
      <c r="P18" s="612"/>
      <c r="Q18" s="615"/>
      <c r="R18" s="615"/>
      <c r="S18" s="615"/>
      <c r="T18" s="613"/>
      <c r="U18" s="83" t="s">
        <v>44</v>
      </c>
      <c r="V18" s="83" t="s">
        <v>43</v>
      </c>
      <c r="W18" s="607"/>
      <c r="X18" s="607"/>
      <c r="Y18" s="617"/>
      <c r="Z18" s="619"/>
      <c r="AA18" s="621"/>
      <c r="AB18" s="621"/>
      <c r="AC18" s="621"/>
      <c r="AD18" s="625"/>
      <c r="AE18" s="626"/>
      <c r="AF18" s="627"/>
      <c r="AG18" s="82"/>
      <c r="BD18" s="81"/>
    </row>
    <row r="19" spans="1:68" ht="27.75" customHeight="1" x14ac:dyDescent="0.2">
      <c r="A19" s="628" t="s">
        <v>77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54"/>
      <c r="AB19" s="54"/>
      <c r="AC19" s="54"/>
    </row>
    <row r="20" spans="1:68" ht="16.5" customHeight="1" x14ac:dyDescent="0.25">
      <c r="A20" s="629" t="s">
        <v>77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5"/>
      <c r="AB20" s="65"/>
      <c r="AC20" s="79"/>
    </row>
    <row r="21" spans="1:68" ht="14.25" customHeight="1" x14ac:dyDescent="0.25">
      <c r="A21" s="630" t="s">
        <v>78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1">
        <v>4680115887510</v>
      </c>
      <c r="E22" s="63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3"/>
      <c r="R22" s="633"/>
      <c r="S22" s="633"/>
      <c r="T22" s="63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1">
        <v>4680115886643</v>
      </c>
      <c r="E23" s="63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3"/>
      <c r="R23" s="633"/>
      <c r="S23" s="633"/>
      <c r="T23" s="63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9"/>
      <c r="B24" s="639"/>
      <c r="C24" s="639"/>
      <c r="D24" s="639"/>
      <c r="E24" s="639"/>
      <c r="F24" s="639"/>
      <c r="G24" s="639"/>
      <c r="H24" s="639"/>
      <c r="I24" s="639"/>
      <c r="J24" s="639"/>
      <c r="K24" s="639"/>
      <c r="L24" s="639"/>
      <c r="M24" s="639"/>
      <c r="N24" s="639"/>
      <c r="O24" s="640"/>
      <c r="P24" s="636" t="s">
        <v>40</v>
      </c>
      <c r="Q24" s="637"/>
      <c r="R24" s="637"/>
      <c r="S24" s="637"/>
      <c r="T24" s="637"/>
      <c r="U24" s="637"/>
      <c r="V24" s="63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9"/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40"/>
      <c r="P25" s="636" t="s">
        <v>40</v>
      </c>
      <c r="Q25" s="637"/>
      <c r="R25" s="637"/>
      <c r="S25" s="637"/>
      <c r="T25" s="637"/>
      <c r="U25" s="637"/>
      <c r="V25" s="63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0" t="s">
        <v>88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102</v>
      </c>
      <c r="M30" s="38" t="s">
        <v>98</v>
      </c>
      <c r="N30" s="38"/>
      <c r="O30" s="37">
        <v>40</v>
      </c>
      <c r="P30" s="64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103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9"/>
      <c r="B31" s="639"/>
      <c r="C31" s="639"/>
      <c r="D31" s="639"/>
      <c r="E31" s="639"/>
      <c r="F31" s="639"/>
      <c r="G31" s="639"/>
      <c r="H31" s="639"/>
      <c r="I31" s="639"/>
      <c r="J31" s="639"/>
      <c r="K31" s="639"/>
      <c r="L31" s="639"/>
      <c r="M31" s="639"/>
      <c r="N31" s="639"/>
      <c r="O31" s="640"/>
      <c r="P31" s="636" t="s">
        <v>40</v>
      </c>
      <c r="Q31" s="637"/>
      <c r="R31" s="637"/>
      <c r="S31" s="637"/>
      <c r="T31" s="637"/>
      <c r="U31" s="637"/>
      <c r="V31" s="63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9"/>
      <c r="B32" s="639"/>
      <c r="C32" s="639"/>
      <c r="D32" s="639"/>
      <c r="E32" s="639"/>
      <c r="F32" s="639"/>
      <c r="G32" s="639"/>
      <c r="H32" s="639"/>
      <c r="I32" s="639"/>
      <c r="J32" s="639"/>
      <c r="K32" s="639"/>
      <c r="L32" s="639"/>
      <c r="M32" s="639"/>
      <c r="N32" s="639"/>
      <c r="O32" s="640"/>
      <c r="P32" s="636" t="s">
        <v>40</v>
      </c>
      <c r="Q32" s="637"/>
      <c r="R32" s="637"/>
      <c r="S32" s="637"/>
      <c r="T32" s="637"/>
      <c r="U32" s="637"/>
      <c r="V32" s="63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30" t="s">
        <v>104</v>
      </c>
      <c r="B33" s="630"/>
      <c r="C33" s="630"/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Y33" s="630"/>
      <c r="Z33" s="630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31">
        <v>4607091388503</v>
      </c>
      <c r="E34" s="63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109</v>
      </c>
      <c r="N34" s="38"/>
      <c r="O34" s="37">
        <v>120</v>
      </c>
      <c r="P34" s="6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3"/>
      <c r="R34" s="633"/>
      <c r="S34" s="633"/>
      <c r="T34" s="63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9"/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40"/>
      <c r="P35" s="636" t="s">
        <v>40</v>
      </c>
      <c r="Q35" s="637"/>
      <c r="R35" s="637"/>
      <c r="S35" s="637"/>
      <c r="T35" s="637"/>
      <c r="U35" s="637"/>
      <c r="V35" s="63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9"/>
      <c r="B36" s="639"/>
      <c r="C36" s="639"/>
      <c r="D36" s="639"/>
      <c r="E36" s="639"/>
      <c r="F36" s="639"/>
      <c r="G36" s="639"/>
      <c r="H36" s="639"/>
      <c r="I36" s="639"/>
      <c r="J36" s="639"/>
      <c r="K36" s="639"/>
      <c r="L36" s="639"/>
      <c r="M36" s="639"/>
      <c r="N36" s="639"/>
      <c r="O36" s="640"/>
      <c r="P36" s="636" t="s">
        <v>40</v>
      </c>
      <c r="Q36" s="637"/>
      <c r="R36" s="637"/>
      <c r="S36" s="637"/>
      <c r="T36" s="637"/>
      <c r="U36" s="637"/>
      <c r="V36" s="63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8" t="s">
        <v>110</v>
      </c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8"/>
      <c r="P37" s="628"/>
      <c r="Q37" s="628"/>
      <c r="R37" s="628"/>
      <c r="S37" s="628"/>
      <c r="T37" s="628"/>
      <c r="U37" s="628"/>
      <c r="V37" s="628"/>
      <c r="W37" s="628"/>
      <c r="X37" s="628"/>
      <c r="Y37" s="628"/>
      <c r="Z37" s="628"/>
      <c r="AA37" s="54"/>
      <c r="AB37" s="54"/>
      <c r="AC37" s="54"/>
    </row>
    <row r="38" spans="1:68" ht="16.5" customHeight="1" x14ac:dyDescent="0.25">
      <c r="A38" s="629" t="s">
        <v>111</v>
      </c>
      <c r="B38" s="629"/>
      <c r="C38" s="629"/>
      <c r="D38" s="629"/>
      <c r="E38" s="629"/>
      <c r="F38" s="629"/>
      <c r="G38" s="629"/>
      <c r="H38" s="629"/>
      <c r="I38" s="629"/>
      <c r="J38" s="629"/>
      <c r="K38" s="629"/>
      <c r="L38" s="629"/>
      <c r="M38" s="629"/>
      <c r="N38" s="629"/>
      <c r="O38" s="629"/>
      <c r="P38" s="629"/>
      <c r="Q38" s="629"/>
      <c r="R38" s="629"/>
      <c r="S38" s="629"/>
      <c r="T38" s="629"/>
      <c r="U38" s="629"/>
      <c r="V38" s="629"/>
      <c r="W38" s="629"/>
      <c r="X38" s="629"/>
      <c r="Y38" s="629"/>
      <c r="Z38" s="629"/>
      <c r="AA38" s="65"/>
      <c r="AB38" s="65"/>
      <c r="AC38" s="79"/>
    </row>
    <row r="39" spans="1:68" ht="14.25" customHeight="1" x14ac:dyDescent="0.25">
      <c r="A39" s="630" t="s">
        <v>112</v>
      </c>
      <c r="B39" s="630"/>
      <c r="C39" s="630"/>
      <c r="D39" s="630"/>
      <c r="E39" s="630"/>
      <c r="F39" s="630"/>
      <c r="G39" s="630"/>
      <c r="H39" s="630"/>
      <c r="I39" s="630"/>
      <c r="J39" s="630"/>
      <c r="K39" s="630"/>
      <c r="L39" s="630"/>
      <c r="M39" s="630"/>
      <c r="N39" s="630"/>
      <c r="O39" s="630"/>
      <c r="P39" s="630"/>
      <c r="Q39" s="630"/>
      <c r="R39" s="630"/>
      <c r="S39" s="630"/>
      <c r="T39" s="630"/>
      <c r="U39" s="630"/>
      <c r="V39" s="630"/>
      <c r="W39" s="630"/>
      <c r="X39" s="630"/>
      <c r="Y39" s="630"/>
      <c r="Z39" s="630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31">
        <v>4607091385670</v>
      </c>
      <c r="E40" s="63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3"/>
      <c r="R40" s="633"/>
      <c r="S40" s="633"/>
      <c r="T40" s="63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103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31">
        <v>4607091385687</v>
      </c>
      <c r="E41" s="63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92</v>
      </c>
      <c r="N41" s="38"/>
      <c r="O41" s="37">
        <v>50</v>
      </c>
      <c r="P41" s="6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33"/>
      <c r="R41" s="633"/>
      <c r="S41" s="633"/>
      <c r="T41" s="63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103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31">
        <v>4680115882539</v>
      </c>
      <c r="E42" s="63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92</v>
      </c>
      <c r="N42" s="38"/>
      <c r="O42" s="37">
        <v>50</v>
      </c>
      <c r="P42" s="6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3"/>
      <c r="R42" s="633"/>
      <c r="S42" s="633"/>
      <c r="T42" s="63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9"/>
      <c r="B43" s="639"/>
      <c r="C43" s="639"/>
      <c r="D43" s="639"/>
      <c r="E43" s="639"/>
      <c r="F43" s="639"/>
      <c r="G43" s="639"/>
      <c r="H43" s="639"/>
      <c r="I43" s="639"/>
      <c r="J43" s="639"/>
      <c r="K43" s="639"/>
      <c r="L43" s="639"/>
      <c r="M43" s="639"/>
      <c r="N43" s="639"/>
      <c r="O43" s="640"/>
      <c r="P43" s="636" t="s">
        <v>40</v>
      </c>
      <c r="Q43" s="637"/>
      <c r="R43" s="637"/>
      <c r="S43" s="637"/>
      <c r="T43" s="637"/>
      <c r="U43" s="637"/>
      <c r="V43" s="63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9"/>
      <c r="B44" s="639"/>
      <c r="C44" s="639"/>
      <c r="D44" s="639"/>
      <c r="E44" s="639"/>
      <c r="F44" s="639"/>
      <c r="G44" s="639"/>
      <c r="H44" s="639"/>
      <c r="I44" s="639"/>
      <c r="J44" s="639"/>
      <c r="K44" s="639"/>
      <c r="L44" s="639"/>
      <c r="M44" s="639"/>
      <c r="N44" s="639"/>
      <c r="O44" s="640"/>
      <c r="P44" s="636" t="s">
        <v>40</v>
      </c>
      <c r="Q44" s="637"/>
      <c r="R44" s="637"/>
      <c r="S44" s="637"/>
      <c r="T44" s="637"/>
      <c r="U44" s="637"/>
      <c r="V44" s="63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30" t="s">
        <v>88</v>
      </c>
      <c r="B45" s="630"/>
      <c r="C45" s="630"/>
      <c r="D45" s="630"/>
      <c r="E45" s="630"/>
      <c r="F45" s="630"/>
      <c r="G45" s="630"/>
      <c r="H45" s="630"/>
      <c r="I45" s="630"/>
      <c r="J45" s="630"/>
      <c r="K45" s="630"/>
      <c r="L45" s="630"/>
      <c r="M45" s="630"/>
      <c r="N45" s="630"/>
      <c r="O45" s="630"/>
      <c r="P45" s="630"/>
      <c r="Q45" s="630"/>
      <c r="R45" s="630"/>
      <c r="S45" s="630"/>
      <c r="T45" s="630"/>
      <c r="U45" s="630"/>
      <c r="V45" s="630"/>
      <c r="W45" s="630"/>
      <c r="X45" s="630"/>
      <c r="Y45" s="630"/>
      <c r="Z45" s="630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31">
        <v>4680115884915</v>
      </c>
      <c r="E46" s="63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102</v>
      </c>
      <c r="M46" s="38" t="s">
        <v>92</v>
      </c>
      <c r="N46" s="38"/>
      <c r="O46" s="37">
        <v>40</v>
      </c>
      <c r="P46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3"/>
      <c r="R46" s="633"/>
      <c r="S46" s="633"/>
      <c r="T46" s="63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103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9"/>
      <c r="B47" s="639"/>
      <c r="C47" s="639"/>
      <c r="D47" s="639"/>
      <c r="E47" s="639"/>
      <c r="F47" s="639"/>
      <c r="G47" s="639"/>
      <c r="H47" s="639"/>
      <c r="I47" s="639"/>
      <c r="J47" s="639"/>
      <c r="K47" s="639"/>
      <c r="L47" s="639"/>
      <c r="M47" s="639"/>
      <c r="N47" s="639"/>
      <c r="O47" s="640"/>
      <c r="P47" s="636" t="s">
        <v>40</v>
      </c>
      <c r="Q47" s="637"/>
      <c r="R47" s="637"/>
      <c r="S47" s="637"/>
      <c r="T47" s="637"/>
      <c r="U47" s="637"/>
      <c r="V47" s="63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9"/>
      <c r="B48" s="639"/>
      <c r="C48" s="639"/>
      <c r="D48" s="639"/>
      <c r="E48" s="639"/>
      <c r="F48" s="639"/>
      <c r="G48" s="639"/>
      <c r="H48" s="639"/>
      <c r="I48" s="639"/>
      <c r="J48" s="639"/>
      <c r="K48" s="639"/>
      <c r="L48" s="639"/>
      <c r="M48" s="639"/>
      <c r="N48" s="639"/>
      <c r="O48" s="640"/>
      <c r="P48" s="636" t="s">
        <v>40</v>
      </c>
      <c r="Q48" s="637"/>
      <c r="R48" s="637"/>
      <c r="S48" s="637"/>
      <c r="T48" s="637"/>
      <c r="U48" s="637"/>
      <c r="V48" s="63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9" t="s">
        <v>128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5"/>
      <c r="AB49" s="65"/>
      <c r="AC49" s="79"/>
    </row>
    <row r="50" spans="1:68" ht="14.25" customHeight="1" x14ac:dyDescent="0.25">
      <c r="A50" s="630" t="s">
        <v>112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31">
        <v>4680115885882</v>
      </c>
      <c r="E51" s="63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92</v>
      </c>
      <c r="N51" s="38"/>
      <c r="O51" s="37">
        <v>50</v>
      </c>
      <c r="P51" s="6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3"/>
      <c r="R51" s="633"/>
      <c r="S51" s="633"/>
      <c r="T51" s="63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103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31">
        <v>4680115881426</v>
      </c>
      <c r="E52" s="63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3"/>
      <c r="R52" s="633"/>
      <c r="S52" s="633"/>
      <c r="T52" s="63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31">
        <v>4680115880283</v>
      </c>
      <c r="E53" s="63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5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3"/>
      <c r="R53" s="633"/>
      <c r="S53" s="633"/>
      <c r="T53" s="63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4301011806</v>
      </c>
      <c r="D54" s="631">
        <v>4680115881525</v>
      </c>
      <c r="E54" s="63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3"/>
      <c r="R54" s="633"/>
      <c r="S54" s="633"/>
      <c r="T54" s="63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31">
        <v>4680115885899</v>
      </c>
      <c r="E55" s="63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102</v>
      </c>
      <c r="M55" s="38" t="s">
        <v>98</v>
      </c>
      <c r="N55" s="38"/>
      <c r="O55" s="37">
        <v>50</v>
      </c>
      <c r="P55" s="6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3"/>
      <c r="R55" s="633"/>
      <c r="S55" s="633"/>
      <c r="T55" s="63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103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144</v>
      </c>
      <c r="B56" s="63" t="s">
        <v>145</v>
      </c>
      <c r="C56" s="36">
        <v>4301011801</v>
      </c>
      <c r="D56" s="631">
        <v>4680115881419</v>
      </c>
      <c r="E56" s="63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3"/>
      <c r="R56" s="633"/>
      <c r="S56" s="633"/>
      <c r="T56" s="63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9"/>
      <c r="B57" s="639"/>
      <c r="C57" s="639"/>
      <c r="D57" s="639"/>
      <c r="E57" s="639"/>
      <c r="F57" s="639"/>
      <c r="G57" s="639"/>
      <c r="H57" s="639"/>
      <c r="I57" s="639"/>
      <c r="J57" s="639"/>
      <c r="K57" s="639"/>
      <c r="L57" s="639"/>
      <c r="M57" s="639"/>
      <c r="N57" s="639"/>
      <c r="O57" s="640"/>
      <c r="P57" s="636" t="s">
        <v>40</v>
      </c>
      <c r="Q57" s="637"/>
      <c r="R57" s="637"/>
      <c r="S57" s="637"/>
      <c r="T57" s="637"/>
      <c r="U57" s="637"/>
      <c r="V57" s="63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9"/>
      <c r="B58" s="639"/>
      <c r="C58" s="639"/>
      <c r="D58" s="639"/>
      <c r="E58" s="639"/>
      <c r="F58" s="639"/>
      <c r="G58" s="639"/>
      <c r="H58" s="639"/>
      <c r="I58" s="639"/>
      <c r="J58" s="639"/>
      <c r="K58" s="639"/>
      <c r="L58" s="639"/>
      <c r="M58" s="639"/>
      <c r="N58" s="639"/>
      <c r="O58" s="640"/>
      <c r="P58" s="636" t="s">
        <v>40</v>
      </c>
      <c r="Q58" s="637"/>
      <c r="R58" s="637"/>
      <c r="S58" s="637"/>
      <c r="T58" s="637"/>
      <c r="U58" s="637"/>
      <c r="V58" s="63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30" t="s">
        <v>147</v>
      </c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0"/>
      <c r="P59" s="630"/>
      <c r="Q59" s="630"/>
      <c r="R59" s="630"/>
      <c r="S59" s="630"/>
      <c r="T59" s="630"/>
      <c r="U59" s="630"/>
      <c r="V59" s="630"/>
      <c r="W59" s="630"/>
      <c r="X59" s="630"/>
      <c r="Y59" s="630"/>
      <c r="Z59" s="630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31">
        <v>4680115881440</v>
      </c>
      <c r="E60" s="63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3"/>
      <c r="R60" s="633"/>
      <c r="S60" s="633"/>
      <c r="T60" s="63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103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31">
        <v>4680115885950</v>
      </c>
      <c r="E61" s="63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3"/>
      <c r="R61" s="633"/>
      <c r="S61" s="633"/>
      <c r="T61" s="63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31">
        <v>4680115881433</v>
      </c>
      <c r="E62" s="63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116</v>
      </c>
      <c r="N62" s="38"/>
      <c r="O62" s="37">
        <v>50</v>
      </c>
      <c r="P62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3"/>
      <c r="R62" s="633"/>
      <c r="S62" s="633"/>
      <c r="T62" s="63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9"/>
      <c r="B63" s="639"/>
      <c r="C63" s="639"/>
      <c r="D63" s="639"/>
      <c r="E63" s="639"/>
      <c r="F63" s="639"/>
      <c r="G63" s="639"/>
      <c r="H63" s="639"/>
      <c r="I63" s="639"/>
      <c r="J63" s="639"/>
      <c r="K63" s="639"/>
      <c r="L63" s="639"/>
      <c r="M63" s="639"/>
      <c r="N63" s="639"/>
      <c r="O63" s="640"/>
      <c r="P63" s="636" t="s">
        <v>40</v>
      </c>
      <c r="Q63" s="637"/>
      <c r="R63" s="637"/>
      <c r="S63" s="637"/>
      <c r="T63" s="637"/>
      <c r="U63" s="637"/>
      <c r="V63" s="63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9"/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40"/>
      <c r="P64" s="636" t="s">
        <v>40</v>
      </c>
      <c r="Q64" s="637"/>
      <c r="R64" s="637"/>
      <c r="S64" s="637"/>
      <c r="T64" s="637"/>
      <c r="U64" s="637"/>
      <c r="V64" s="63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30" t="s">
        <v>78</v>
      </c>
      <c r="B65" s="630"/>
      <c r="C65" s="630"/>
      <c r="D65" s="630"/>
      <c r="E65" s="630"/>
      <c r="F65" s="630"/>
      <c r="G65" s="630"/>
      <c r="H65" s="630"/>
      <c r="I65" s="630"/>
      <c r="J65" s="630"/>
      <c r="K65" s="630"/>
      <c r="L65" s="630"/>
      <c r="M65" s="630"/>
      <c r="N65" s="630"/>
      <c r="O65" s="630"/>
      <c r="P65" s="630"/>
      <c r="Q65" s="630"/>
      <c r="R65" s="630"/>
      <c r="S65" s="630"/>
      <c r="T65" s="630"/>
      <c r="U65" s="630"/>
      <c r="V65" s="630"/>
      <c r="W65" s="630"/>
      <c r="X65" s="630"/>
      <c r="Y65" s="630"/>
      <c r="Z65" s="630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31">
        <v>4680115885073</v>
      </c>
      <c r="E66" s="63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3"/>
      <c r="R66" s="633"/>
      <c r="S66" s="633"/>
      <c r="T66" s="63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4301031316</v>
      </c>
      <c r="D67" s="631">
        <v>4680115885097</v>
      </c>
      <c r="E67" s="63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3"/>
      <c r="R67" s="633"/>
      <c r="S67" s="633"/>
      <c r="T67" s="63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9"/>
      <c r="B68" s="639"/>
      <c r="C68" s="639"/>
      <c r="D68" s="639"/>
      <c r="E68" s="639"/>
      <c r="F68" s="639"/>
      <c r="G68" s="639"/>
      <c r="H68" s="639"/>
      <c r="I68" s="639"/>
      <c r="J68" s="639"/>
      <c r="K68" s="639"/>
      <c r="L68" s="639"/>
      <c r="M68" s="639"/>
      <c r="N68" s="639"/>
      <c r="O68" s="640"/>
      <c r="P68" s="636" t="s">
        <v>40</v>
      </c>
      <c r="Q68" s="637"/>
      <c r="R68" s="637"/>
      <c r="S68" s="637"/>
      <c r="T68" s="637"/>
      <c r="U68" s="637"/>
      <c r="V68" s="638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9"/>
      <c r="B69" s="639"/>
      <c r="C69" s="639"/>
      <c r="D69" s="639"/>
      <c r="E69" s="639"/>
      <c r="F69" s="639"/>
      <c r="G69" s="639"/>
      <c r="H69" s="639"/>
      <c r="I69" s="639"/>
      <c r="J69" s="639"/>
      <c r="K69" s="639"/>
      <c r="L69" s="639"/>
      <c r="M69" s="639"/>
      <c r="N69" s="639"/>
      <c r="O69" s="640"/>
      <c r="P69" s="636" t="s">
        <v>40</v>
      </c>
      <c r="Q69" s="637"/>
      <c r="R69" s="637"/>
      <c r="S69" s="637"/>
      <c r="T69" s="637"/>
      <c r="U69" s="637"/>
      <c r="V69" s="638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30" t="s">
        <v>88</v>
      </c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0"/>
      <c r="P70" s="630"/>
      <c r="Q70" s="630"/>
      <c r="R70" s="630"/>
      <c r="S70" s="630"/>
      <c r="T70" s="630"/>
      <c r="U70" s="630"/>
      <c r="V70" s="630"/>
      <c r="W70" s="630"/>
      <c r="X70" s="630"/>
      <c r="Y70" s="630"/>
      <c r="Z70" s="630"/>
      <c r="AA70" s="66"/>
      <c r="AB70" s="66"/>
      <c r="AC70" s="80"/>
    </row>
    <row r="71" spans="1:68" ht="27" customHeight="1" x14ac:dyDescent="0.25">
      <c r="A71" s="63" t="s">
        <v>161</v>
      </c>
      <c r="B71" s="63" t="s">
        <v>162</v>
      </c>
      <c r="C71" s="36">
        <v>4301051846</v>
      </c>
      <c r="D71" s="631">
        <v>4680115885769</v>
      </c>
      <c r="E71" s="631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117</v>
      </c>
      <c r="L71" s="37" t="s">
        <v>45</v>
      </c>
      <c r="M71" s="38" t="s">
        <v>92</v>
      </c>
      <c r="N71" s="38"/>
      <c r="O71" s="37">
        <v>45</v>
      </c>
      <c r="P71" s="66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3"/>
      <c r="R71" s="633"/>
      <c r="S71" s="633"/>
      <c r="T71" s="63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163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164</v>
      </c>
      <c r="B72" s="63" t="s">
        <v>165</v>
      </c>
      <c r="C72" s="36">
        <v>4301051837</v>
      </c>
      <c r="D72" s="631">
        <v>4680115884311</v>
      </c>
      <c r="E72" s="63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102</v>
      </c>
      <c r="M72" s="38" t="s">
        <v>92</v>
      </c>
      <c r="N72" s="38"/>
      <c r="O72" s="37">
        <v>40</v>
      </c>
      <c r="P72" s="6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3"/>
      <c r="R72" s="633"/>
      <c r="S72" s="633"/>
      <c r="T72" s="63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103</v>
      </c>
      <c r="AK72" s="84">
        <v>25.2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167</v>
      </c>
      <c r="B73" s="63" t="s">
        <v>168</v>
      </c>
      <c r="C73" s="36">
        <v>4301051844</v>
      </c>
      <c r="D73" s="631">
        <v>4680115885929</v>
      </c>
      <c r="E73" s="631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3"/>
      <c r="R73" s="633"/>
      <c r="S73" s="633"/>
      <c r="T73" s="63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4301051929</v>
      </c>
      <c r="D74" s="631">
        <v>4680115884403</v>
      </c>
      <c r="E74" s="63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102</v>
      </c>
      <c r="M74" s="38" t="s">
        <v>92</v>
      </c>
      <c r="N74" s="38"/>
      <c r="O74" s="37">
        <v>40</v>
      </c>
      <c r="P74" s="6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3"/>
      <c r="R74" s="633"/>
      <c r="S74" s="633"/>
      <c r="T74" s="63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103</v>
      </c>
      <c r="AK74" s="84">
        <v>25.2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9"/>
      <c r="B75" s="639"/>
      <c r="C75" s="639"/>
      <c r="D75" s="639"/>
      <c r="E75" s="639"/>
      <c r="F75" s="639"/>
      <c r="G75" s="639"/>
      <c r="H75" s="639"/>
      <c r="I75" s="639"/>
      <c r="J75" s="639"/>
      <c r="K75" s="639"/>
      <c r="L75" s="639"/>
      <c r="M75" s="639"/>
      <c r="N75" s="639"/>
      <c r="O75" s="640"/>
      <c r="P75" s="636" t="s">
        <v>40</v>
      </c>
      <c r="Q75" s="637"/>
      <c r="R75" s="637"/>
      <c r="S75" s="637"/>
      <c r="T75" s="637"/>
      <c r="U75" s="637"/>
      <c r="V75" s="638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9"/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40"/>
      <c r="P76" s="636" t="s">
        <v>40</v>
      </c>
      <c r="Q76" s="637"/>
      <c r="R76" s="637"/>
      <c r="S76" s="637"/>
      <c r="T76" s="637"/>
      <c r="U76" s="637"/>
      <c r="V76" s="638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30" t="s">
        <v>172</v>
      </c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0"/>
      <c r="P77" s="630"/>
      <c r="Q77" s="630"/>
      <c r="R77" s="630"/>
      <c r="S77" s="630"/>
      <c r="T77" s="630"/>
      <c r="U77" s="630"/>
      <c r="V77" s="630"/>
      <c r="W77" s="630"/>
      <c r="X77" s="630"/>
      <c r="Y77" s="630"/>
      <c r="Z77" s="630"/>
      <c r="AA77" s="66"/>
      <c r="AB77" s="66"/>
      <c r="AC77" s="80"/>
    </row>
    <row r="78" spans="1:68" ht="27" customHeight="1" x14ac:dyDescent="0.25">
      <c r="A78" s="63" t="s">
        <v>173</v>
      </c>
      <c r="B78" s="63" t="s">
        <v>174</v>
      </c>
      <c r="C78" s="36">
        <v>4301060455</v>
      </c>
      <c r="D78" s="631">
        <v>4680115881532</v>
      </c>
      <c r="E78" s="63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117</v>
      </c>
      <c r="L78" s="37" t="s">
        <v>118</v>
      </c>
      <c r="M78" s="38" t="s">
        <v>98</v>
      </c>
      <c r="N78" s="38"/>
      <c r="O78" s="37">
        <v>30</v>
      </c>
      <c r="P78" s="66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3"/>
      <c r="R78" s="633"/>
      <c r="S78" s="633"/>
      <c r="T78" s="63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175</v>
      </c>
      <c r="AG78" s="78"/>
      <c r="AJ78" s="84" t="s">
        <v>103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177</v>
      </c>
      <c r="C79" s="36">
        <v>4301060351</v>
      </c>
      <c r="D79" s="631">
        <v>4680115881464</v>
      </c>
      <c r="E79" s="63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121</v>
      </c>
      <c r="L79" s="37" t="s">
        <v>122</v>
      </c>
      <c r="M79" s="38" t="s">
        <v>92</v>
      </c>
      <c r="N79" s="38"/>
      <c r="O79" s="37">
        <v>30</v>
      </c>
      <c r="P79" s="66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3"/>
      <c r="R79" s="633"/>
      <c r="S79" s="633"/>
      <c r="T79" s="63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103</v>
      </c>
      <c r="AK79" s="84">
        <v>28.8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9"/>
      <c r="B80" s="639"/>
      <c r="C80" s="639"/>
      <c r="D80" s="639"/>
      <c r="E80" s="639"/>
      <c r="F80" s="639"/>
      <c r="G80" s="639"/>
      <c r="H80" s="639"/>
      <c r="I80" s="639"/>
      <c r="J80" s="639"/>
      <c r="K80" s="639"/>
      <c r="L80" s="639"/>
      <c r="M80" s="639"/>
      <c r="N80" s="639"/>
      <c r="O80" s="640"/>
      <c r="P80" s="636" t="s">
        <v>40</v>
      </c>
      <c r="Q80" s="637"/>
      <c r="R80" s="637"/>
      <c r="S80" s="637"/>
      <c r="T80" s="637"/>
      <c r="U80" s="637"/>
      <c r="V80" s="63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9"/>
      <c r="B81" s="639"/>
      <c r="C81" s="639"/>
      <c r="D81" s="639"/>
      <c r="E81" s="639"/>
      <c r="F81" s="639"/>
      <c r="G81" s="639"/>
      <c r="H81" s="639"/>
      <c r="I81" s="639"/>
      <c r="J81" s="639"/>
      <c r="K81" s="639"/>
      <c r="L81" s="639"/>
      <c r="M81" s="639"/>
      <c r="N81" s="639"/>
      <c r="O81" s="640"/>
      <c r="P81" s="636" t="s">
        <v>40</v>
      </c>
      <c r="Q81" s="637"/>
      <c r="R81" s="637"/>
      <c r="S81" s="637"/>
      <c r="T81" s="637"/>
      <c r="U81" s="637"/>
      <c r="V81" s="63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9" t="s">
        <v>179</v>
      </c>
      <c r="B82" s="629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29"/>
      <c r="P82" s="629"/>
      <c r="Q82" s="629"/>
      <c r="R82" s="629"/>
      <c r="S82" s="629"/>
      <c r="T82" s="629"/>
      <c r="U82" s="629"/>
      <c r="V82" s="629"/>
      <c r="W82" s="629"/>
      <c r="X82" s="629"/>
      <c r="Y82" s="629"/>
      <c r="Z82" s="629"/>
      <c r="AA82" s="65"/>
      <c r="AB82" s="65"/>
      <c r="AC82" s="79"/>
    </row>
    <row r="83" spans="1:68" ht="14.25" customHeight="1" x14ac:dyDescent="0.25">
      <c r="A83" s="630" t="s">
        <v>112</v>
      </c>
      <c r="B83" s="630"/>
      <c r="C83" s="630"/>
      <c r="D83" s="630"/>
      <c r="E83" s="630"/>
      <c r="F83" s="630"/>
      <c r="G83" s="630"/>
      <c r="H83" s="630"/>
      <c r="I83" s="630"/>
      <c r="J83" s="630"/>
      <c r="K83" s="630"/>
      <c r="L83" s="630"/>
      <c r="M83" s="630"/>
      <c r="N83" s="630"/>
      <c r="O83" s="630"/>
      <c r="P83" s="630"/>
      <c r="Q83" s="630"/>
      <c r="R83" s="630"/>
      <c r="S83" s="630"/>
      <c r="T83" s="630"/>
      <c r="U83" s="630"/>
      <c r="V83" s="630"/>
      <c r="W83" s="630"/>
      <c r="X83" s="630"/>
      <c r="Y83" s="630"/>
      <c r="Z83" s="630"/>
      <c r="AA83" s="66"/>
      <c r="AB83" s="66"/>
      <c r="AC83" s="80"/>
    </row>
    <row r="84" spans="1:68" ht="27" customHeight="1" x14ac:dyDescent="0.25">
      <c r="A84" s="63" t="s">
        <v>180</v>
      </c>
      <c r="B84" s="63" t="s">
        <v>181</v>
      </c>
      <c r="C84" s="36">
        <v>4301011468</v>
      </c>
      <c r="D84" s="631">
        <v>4680115881327</v>
      </c>
      <c r="E84" s="631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117</v>
      </c>
      <c r="L84" s="37" t="s">
        <v>118</v>
      </c>
      <c r="M84" s="38" t="s">
        <v>98</v>
      </c>
      <c r="N84" s="38"/>
      <c r="O84" s="37">
        <v>50</v>
      </c>
      <c r="P84" s="6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3"/>
      <c r="R84" s="633"/>
      <c r="S84" s="633"/>
      <c r="T84" s="63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182</v>
      </c>
      <c r="AG84" s="78"/>
      <c r="AJ84" s="84" t="s">
        <v>103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4301011261</v>
      </c>
      <c r="D85" s="631">
        <v>4680115887732</v>
      </c>
      <c r="E85" s="631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186</v>
      </c>
      <c r="L85" s="37" t="s">
        <v>45</v>
      </c>
      <c r="M85" s="38" t="s">
        <v>82</v>
      </c>
      <c r="N85" s="38"/>
      <c r="O85" s="37">
        <v>30</v>
      </c>
      <c r="P85" s="6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3"/>
      <c r="R85" s="633"/>
      <c r="S85" s="633"/>
      <c r="T85" s="63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4301011476</v>
      </c>
      <c r="D86" s="631">
        <v>4680115881518</v>
      </c>
      <c r="E86" s="63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92</v>
      </c>
      <c r="N86" s="38"/>
      <c r="O86" s="37">
        <v>50</v>
      </c>
      <c r="P86" s="6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3"/>
      <c r="R86" s="633"/>
      <c r="S86" s="633"/>
      <c r="T86" s="63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4301011443</v>
      </c>
      <c r="D87" s="631">
        <v>4680115881303</v>
      </c>
      <c r="E87" s="63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98</v>
      </c>
      <c r="N87" s="38"/>
      <c r="O87" s="37">
        <v>50</v>
      </c>
      <c r="P87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3"/>
      <c r="R87" s="633"/>
      <c r="S87" s="633"/>
      <c r="T87" s="63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103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9"/>
      <c r="B88" s="639"/>
      <c r="C88" s="639"/>
      <c r="D88" s="639"/>
      <c r="E88" s="639"/>
      <c r="F88" s="639"/>
      <c r="G88" s="639"/>
      <c r="H88" s="639"/>
      <c r="I88" s="639"/>
      <c r="J88" s="639"/>
      <c r="K88" s="639"/>
      <c r="L88" s="639"/>
      <c r="M88" s="639"/>
      <c r="N88" s="639"/>
      <c r="O88" s="640"/>
      <c r="P88" s="636" t="s">
        <v>40</v>
      </c>
      <c r="Q88" s="637"/>
      <c r="R88" s="637"/>
      <c r="S88" s="637"/>
      <c r="T88" s="637"/>
      <c r="U88" s="637"/>
      <c r="V88" s="63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9"/>
      <c r="B89" s="639"/>
      <c r="C89" s="639"/>
      <c r="D89" s="639"/>
      <c r="E89" s="639"/>
      <c r="F89" s="639"/>
      <c r="G89" s="639"/>
      <c r="H89" s="639"/>
      <c r="I89" s="639"/>
      <c r="J89" s="639"/>
      <c r="K89" s="639"/>
      <c r="L89" s="639"/>
      <c r="M89" s="639"/>
      <c r="N89" s="639"/>
      <c r="O89" s="640"/>
      <c r="P89" s="636" t="s">
        <v>40</v>
      </c>
      <c r="Q89" s="637"/>
      <c r="R89" s="637"/>
      <c r="S89" s="637"/>
      <c r="T89" s="637"/>
      <c r="U89" s="637"/>
      <c r="V89" s="63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30" t="s">
        <v>88</v>
      </c>
      <c r="B90" s="630"/>
      <c r="C90" s="630"/>
      <c r="D90" s="630"/>
      <c r="E90" s="630"/>
      <c r="F90" s="630"/>
      <c r="G90" s="630"/>
      <c r="H90" s="630"/>
      <c r="I90" s="630"/>
      <c r="J90" s="630"/>
      <c r="K90" s="630"/>
      <c r="L90" s="630"/>
      <c r="M90" s="630"/>
      <c r="N90" s="630"/>
      <c r="O90" s="630"/>
      <c r="P90" s="630"/>
      <c r="Q90" s="630"/>
      <c r="R90" s="630"/>
      <c r="S90" s="630"/>
      <c r="T90" s="630"/>
      <c r="U90" s="630"/>
      <c r="V90" s="630"/>
      <c r="W90" s="630"/>
      <c r="X90" s="630"/>
      <c r="Y90" s="630"/>
      <c r="Z90" s="630"/>
      <c r="AA90" s="66"/>
      <c r="AB90" s="66"/>
      <c r="AC90" s="80"/>
    </row>
    <row r="91" spans="1:68" ht="27" customHeight="1" x14ac:dyDescent="0.25">
      <c r="A91" s="63" t="s">
        <v>191</v>
      </c>
      <c r="B91" s="63" t="s">
        <v>192</v>
      </c>
      <c r="C91" s="36">
        <v>4301051712</v>
      </c>
      <c r="D91" s="631">
        <v>4607091386967</v>
      </c>
      <c r="E91" s="63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98</v>
      </c>
      <c r="N91" s="38"/>
      <c r="O91" s="37">
        <v>45</v>
      </c>
      <c r="P91" s="6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3"/>
      <c r="R91" s="633"/>
      <c r="S91" s="633"/>
      <c r="T91" s="63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193</v>
      </c>
      <c r="AG91" s="78"/>
      <c r="AJ91" s="84" t="s">
        <v>103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194</v>
      </c>
      <c r="B92" s="63" t="s">
        <v>195</v>
      </c>
      <c r="C92" s="36">
        <v>4301051788</v>
      </c>
      <c r="D92" s="631">
        <v>4680115884953</v>
      </c>
      <c r="E92" s="63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7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3"/>
      <c r="R92" s="633"/>
      <c r="S92" s="633"/>
      <c r="T92" s="63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31">
        <v>4607091385731</v>
      </c>
      <c r="E93" s="63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3"/>
      <c r="R93" s="633"/>
      <c r="S93" s="633"/>
      <c r="T93" s="63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31">
        <v>4680115880894</v>
      </c>
      <c r="E94" s="63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102</v>
      </c>
      <c r="M94" s="38" t="s">
        <v>92</v>
      </c>
      <c r="N94" s="38"/>
      <c r="O94" s="37">
        <v>45</v>
      </c>
      <c r="P94" s="6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3"/>
      <c r="R94" s="633"/>
      <c r="S94" s="633"/>
      <c r="T94" s="63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103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9"/>
      <c r="B95" s="639"/>
      <c r="C95" s="639"/>
      <c r="D95" s="639"/>
      <c r="E95" s="639"/>
      <c r="F95" s="639"/>
      <c r="G95" s="639"/>
      <c r="H95" s="639"/>
      <c r="I95" s="639"/>
      <c r="J95" s="639"/>
      <c r="K95" s="639"/>
      <c r="L95" s="639"/>
      <c r="M95" s="639"/>
      <c r="N95" s="639"/>
      <c r="O95" s="640"/>
      <c r="P95" s="636" t="s">
        <v>40</v>
      </c>
      <c r="Q95" s="637"/>
      <c r="R95" s="637"/>
      <c r="S95" s="637"/>
      <c r="T95" s="637"/>
      <c r="U95" s="637"/>
      <c r="V95" s="63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9"/>
      <c r="B96" s="639"/>
      <c r="C96" s="639"/>
      <c r="D96" s="639"/>
      <c r="E96" s="639"/>
      <c r="F96" s="639"/>
      <c r="G96" s="639"/>
      <c r="H96" s="639"/>
      <c r="I96" s="639"/>
      <c r="J96" s="639"/>
      <c r="K96" s="639"/>
      <c r="L96" s="639"/>
      <c r="M96" s="639"/>
      <c r="N96" s="639"/>
      <c r="O96" s="640"/>
      <c r="P96" s="636" t="s">
        <v>40</v>
      </c>
      <c r="Q96" s="637"/>
      <c r="R96" s="637"/>
      <c r="S96" s="637"/>
      <c r="T96" s="637"/>
      <c r="U96" s="637"/>
      <c r="V96" s="63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9" t="s">
        <v>201</v>
      </c>
      <c r="B97" s="629"/>
      <c r="C97" s="629"/>
      <c r="D97" s="629"/>
      <c r="E97" s="629"/>
      <c r="F97" s="629"/>
      <c r="G97" s="629"/>
      <c r="H97" s="629"/>
      <c r="I97" s="629"/>
      <c r="J97" s="629"/>
      <c r="K97" s="629"/>
      <c r="L97" s="629"/>
      <c r="M97" s="629"/>
      <c r="N97" s="629"/>
      <c r="O97" s="629"/>
      <c r="P97" s="629"/>
      <c r="Q97" s="629"/>
      <c r="R97" s="629"/>
      <c r="S97" s="629"/>
      <c r="T97" s="629"/>
      <c r="U97" s="629"/>
      <c r="V97" s="629"/>
      <c r="W97" s="629"/>
      <c r="X97" s="629"/>
      <c r="Y97" s="629"/>
      <c r="Z97" s="629"/>
      <c r="AA97" s="65"/>
      <c r="AB97" s="65"/>
      <c r="AC97" s="79"/>
    </row>
    <row r="98" spans="1:68" ht="14.25" customHeight="1" x14ac:dyDescent="0.25">
      <c r="A98" s="630" t="s">
        <v>112</v>
      </c>
      <c r="B98" s="630"/>
      <c r="C98" s="630"/>
      <c r="D98" s="630"/>
      <c r="E98" s="630"/>
      <c r="F98" s="630"/>
      <c r="G98" s="630"/>
      <c r="H98" s="630"/>
      <c r="I98" s="630"/>
      <c r="J98" s="630"/>
      <c r="K98" s="630"/>
      <c r="L98" s="630"/>
      <c r="M98" s="630"/>
      <c r="N98" s="630"/>
      <c r="O98" s="630"/>
      <c r="P98" s="630"/>
      <c r="Q98" s="630"/>
      <c r="R98" s="630"/>
      <c r="S98" s="630"/>
      <c r="T98" s="630"/>
      <c r="U98" s="630"/>
      <c r="V98" s="630"/>
      <c r="W98" s="630"/>
      <c r="X98" s="630"/>
      <c r="Y98" s="630"/>
      <c r="Z98" s="630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31">
        <v>4680115882133</v>
      </c>
      <c r="E99" s="63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3"/>
      <c r="R99" s="633"/>
      <c r="S99" s="633"/>
      <c r="T99" s="63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103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31">
        <v>4680115887718</v>
      </c>
      <c r="E100" s="631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186</v>
      </c>
      <c r="L100" s="37" t="s">
        <v>45</v>
      </c>
      <c r="M100" s="38" t="s">
        <v>82</v>
      </c>
      <c r="N100" s="38"/>
      <c r="O100" s="37">
        <v>30</v>
      </c>
      <c r="P100" s="6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3"/>
      <c r="R100" s="633"/>
      <c r="S100" s="633"/>
      <c r="T100" s="63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31">
        <v>4680115880269</v>
      </c>
      <c r="E101" s="631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121</v>
      </c>
      <c r="L101" s="37" t="s">
        <v>122</v>
      </c>
      <c r="M101" s="38" t="s">
        <v>92</v>
      </c>
      <c r="N101" s="38"/>
      <c r="O101" s="37">
        <v>50</v>
      </c>
      <c r="P101" s="6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3"/>
      <c r="R101" s="633"/>
      <c r="S101" s="633"/>
      <c r="T101" s="63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103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31">
        <v>4680115880429</v>
      </c>
      <c r="E102" s="631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122</v>
      </c>
      <c r="M102" s="38" t="s">
        <v>92</v>
      </c>
      <c r="N102" s="38"/>
      <c r="O102" s="37">
        <v>50</v>
      </c>
      <c r="P102" s="67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3"/>
      <c r="R102" s="633"/>
      <c r="S102" s="633"/>
      <c r="T102" s="63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103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31">
        <v>4680115881457</v>
      </c>
      <c r="E103" s="631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121</v>
      </c>
      <c r="L103" s="37" t="s">
        <v>45</v>
      </c>
      <c r="M103" s="38" t="s">
        <v>92</v>
      </c>
      <c r="N103" s="38"/>
      <c r="O103" s="37">
        <v>50</v>
      </c>
      <c r="P103" s="6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3"/>
      <c r="R103" s="633"/>
      <c r="S103" s="633"/>
      <c r="T103" s="634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9"/>
      <c r="B104" s="639"/>
      <c r="C104" s="639"/>
      <c r="D104" s="639"/>
      <c r="E104" s="639"/>
      <c r="F104" s="639"/>
      <c r="G104" s="639"/>
      <c r="H104" s="639"/>
      <c r="I104" s="639"/>
      <c r="J104" s="639"/>
      <c r="K104" s="639"/>
      <c r="L104" s="639"/>
      <c r="M104" s="639"/>
      <c r="N104" s="639"/>
      <c r="O104" s="640"/>
      <c r="P104" s="636" t="s">
        <v>40</v>
      </c>
      <c r="Q104" s="637"/>
      <c r="R104" s="637"/>
      <c r="S104" s="637"/>
      <c r="T104" s="637"/>
      <c r="U104" s="637"/>
      <c r="V104" s="638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9"/>
      <c r="B105" s="639"/>
      <c r="C105" s="639"/>
      <c r="D105" s="639"/>
      <c r="E105" s="639"/>
      <c r="F105" s="639"/>
      <c r="G105" s="639"/>
      <c r="H105" s="639"/>
      <c r="I105" s="639"/>
      <c r="J105" s="639"/>
      <c r="K105" s="639"/>
      <c r="L105" s="639"/>
      <c r="M105" s="639"/>
      <c r="N105" s="639"/>
      <c r="O105" s="640"/>
      <c r="P105" s="636" t="s">
        <v>40</v>
      </c>
      <c r="Q105" s="637"/>
      <c r="R105" s="637"/>
      <c r="S105" s="637"/>
      <c r="T105" s="637"/>
      <c r="U105" s="637"/>
      <c r="V105" s="638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30" t="s">
        <v>147</v>
      </c>
      <c r="B106" s="630"/>
      <c r="C106" s="630"/>
      <c r="D106" s="630"/>
      <c r="E106" s="630"/>
      <c r="F106" s="630"/>
      <c r="G106" s="630"/>
      <c r="H106" s="630"/>
      <c r="I106" s="630"/>
      <c r="J106" s="630"/>
      <c r="K106" s="630"/>
      <c r="L106" s="630"/>
      <c r="M106" s="630"/>
      <c r="N106" s="630"/>
      <c r="O106" s="630"/>
      <c r="P106" s="630"/>
      <c r="Q106" s="630"/>
      <c r="R106" s="630"/>
      <c r="S106" s="630"/>
      <c r="T106" s="630"/>
      <c r="U106" s="630"/>
      <c r="V106" s="630"/>
      <c r="W106" s="630"/>
      <c r="X106" s="630"/>
      <c r="Y106" s="630"/>
      <c r="Z106" s="630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31">
        <v>4680115881488</v>
      </c>
      <c r="E107" s="631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117</v>
      </c>
      <c r="L107" s="37" t="s">
        <v>45</v>
      </c>
      <c r="M107" s="38" t="s">
        <v>116</v>
      </c>
      <c r="N107" s="38"/>
      <c r="O107" s="37">
        <v>55</v>
      </c>
      <c r="P107" s="6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3"/>
      <c r="R107" s="633"/>
      <c r="S107" s="633"/>
      <c r="T107" s="63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31">
        <v>4680115887664</v>
      </c>
      <c r="E108" s="631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3"/>
      <c r="R108" s="633"/>
      <c r="S108" s="633"/>
      <c r="T108" s="63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31">
        <v>4680115882775</v>
      </c>
      <c r="E109" s="631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116</v>
      </c>
      <c r="N109" s="38"/>
      <c r="O109" s="37">
        <v>55</v>
      </c>
      <c r="P109" s="68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3"/>
      <c r="R109" s="633"/>
      <c r="S109" s="633"/>
      <c r="T109" s="63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31">
        <v>4680115880658</v>
      </c>
      <c r="E110" s="631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116</v>
      </c>
      <c r="N110" s="38"/>
      <c r="O110" s="37">
        <v>55</v>
      </c>
      <c r="P110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3"/>
      <c r="R110" s="633"/>
      <c r="S110" s="633"/>
      <c r="T110" s="634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9"/>
      <c r="B111" s="639"/>
      <c r="C111" s="639"/>
      <c r="D111" s="639"/>
      <c r="E111" s="639"/>
      <c r="F111" s="639"/>
      <c r="G111" s="639"/>
      <c r="H111" s="639"/>
      <c r="I111" s="639"/>
      <c r="J111" s="639"/>
      <c r="K111" s="639"/>
      <c r="L111" s="639"/>
      <c r="M111" s="639"/>
      <c r="N111" s="639"/>
      <c r="O111" s="640"/>
      <c r="P111" s="636" t="s">
        <v>40</v>
      </c>
      <c r="Q111" s="637"/>
      <c r="R111" s="637"/>
      <c r="S111" s="637"/>
      <c r="T111" s="637"/>
      <c r="U111" s="637"/>
      <c r="V111" s="638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9"/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40"/>
      <c r="P112" s="636" t="s">
        <v>40</v>
      </c>
      <c r="Q112" s="637"/>
      <c r="R112" s="637"/>
      <c r="S112" s="637"/>
      <c r="T112" s="637"/>
      <c r="U112" s="637"/>
      <c r="V112" s="638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30" t="s">
        <v>88</v>
      </c>
      <c r="B113" s="630"/>
      <c r="C113" s="630"/>
      <c r="D113" s="630"/>
      <c r="E113" s="630"/>
      <c r="F113" s="630"/>
      <c r="G113" s="630"/>
      <c r="H113" s="630"/>
      <c r="I113" s="630"/>
      <c r="J113" s="630"/>
      <c r="K113" s="630"/>
      <c r="L113" s="630"/>
      <c r="M113" s="630"/>
      <c r="N113" s="630"/>
      <c r="O113" s="630"/>
      <c r="P113" s="630"/>
      <c r="Q113" s="630"/>
      <c r="R113" s="630"/>
      <c r="S113" s="630"/>
      <c r="T113" s="630"/>
      <c r="U113" s="630"/>
      <c r="V113" s="630"/>
      <c r="W113" s="630"/>
      <c r="X113" s="630"/>
      <c r="Y113" s="630"/>
      <c r="Z113" s="630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31">
        <v>4607091385168</v>
      </c>
      <c r="E114" s="631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117</v>
      </c>
      <c r="L114" s="37" t="s">
        <v>118</v>
      </c>
      <c r="M114" s="38" t="s">
        <v>98</v>
      </c>
      <c r="N114" s="38"/>
      <c r="O114" s="37">
        <v>45</v>
      </c>
      <c r="P114" s="6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3"/>
      <c r="R114" s="633"/>
      <c r="S114" s="633"/>
      <c r="T114" s="63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103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31">
        <v>4607091383256</v>
      </c>
      <c r="E115" s="631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102</v>
      </c>
      <c r="M115" s="38" t="s">
        <v>98</v>
      </c>
      <c r="N115" s="38"/>
      <c r="O115" s="37">
        <v>45</v>
      </c>
      <c r="P115" s="6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3"/>
      <c r="R115" s="633"/>
      <c r="S115" s="633"/>
      <c r="T115" s="63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103</v>
      </c>
      <c r="AK115" s="84">
        <v>27.72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31">
        <v>4607091385748</v>
      </c>
      <c r="E116" s="631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102</v>
      </c>
      <c r="M116" s="38" t="s">
        <v>98</v>
      </c>
      <c r="N116" s="38"/>
      <c r="O116" s="37">
        <v>45</v>
      </c>
      <c r="P116" s="6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3"/>
      <c r="R116" s="633"/>
      <c r="S116" s="633"/>
      <c r="T116" s="63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103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31">
        <v>4680115884533</v>
      </c>
      <c r="E117" s="631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102</v>
      </c>
      <c r="M117" s="38" t="s">
        <v>92</v>
      </c>
      <c r="N117" s="38"/>
      <c r="O117" s="37">
        <v>45</v>
      </c>
      <c r="P117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3"/>
      <c r="R117" s="633"/>
      <c r="S117" s="633"/>
      <c r="T117" s="634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103</v>
      </c>
      <c r="AK117" s="84">
        <v>25.2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9"/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40"/>
      <c r="P118" s="636" t="s">
        <v>40</v>
      </c>
      <c r="Q118" s="637"/>
      <c r="R118" s="637"/>
      <c r="S118" s="637"/>
      <c r="T118" s="637"/>
      <c r="U118" s="637"/>
      <c r="V118" s="638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9"/>
      <c r="B119" s="639"/>
      <c r="C119" s="639"/>
      <c r="D119" s="639"/>
      <c r="E119" s="639"/>
      <c r="F119" s="639"/>
      <c r="G119" s="639"/>
      <c r="H119" s="639"/>
      <c r="I119" s="639"/>
      <c r="J119" s="639"/>
      <c r="K119" s="639"/>
      <c r="L119" s="639"/>
      <c r="M119" s="639"/>
      <c r="N119" s="639"/>
      <c r="O119" s="640"/>
      <c r="P119" s="636" t="s">
        <v>40</v>
      </c>
      <c r="Q119" s="637"/>
      <c r="R119" s="637"/>
      <c r="S119" s="637"/>
      <c r="T119" s="637"/>
      <c r="U119" s="637"/>
      <c r="V119" s="638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30" t="s">
        <v>172</v>
      </c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0"/>
      <c r="P120" s="630"/>
      <c r="Q120" s="630"/>
      <c r="R120" s="630"/>
      <c r="S120" s="630"/>
      <c r="T120" s="630"/>
      <c r="U120" s="630"/>
      <c r="V120" s="630"/>
      <c r="W120" s="630"/>
      <c r="X120" s="630"/>
      <c r="Y120" s="630"/>
      <c r="Z120" s="630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31">
        <v>4680115880238</v>
      </c>
      <c r="E121" s="631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102</v>
      </c>
      <c r="M121" s="38" t="s">
        <v>92</v>
      </c>
      <c r="N121" s="38"/>
      <c r="O121" s="37">
        <v>40</v>
      </c>
      <c r="P121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3"/>
      <c r="R121" s="633"/>
      <c r="S121" s="633"/>
      <c r="T121" s="634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103</v>
      </c>
      <c r="AK121" s="84">
        <v>27.72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9"/>
      <c r="B122" s="639"/>
      <c r="C122" s="639"/>
      <c r="D122" s="639"/>
      <c r="E122" s="639"/>
      <c r="F122" s="639"/>
      <c r="G122" s="639"/>
      <c r="H122" s="639"/>
      <c r="I122" s="639"/>
      <c r="J122" s="639"/>
      <c r="K122" s="639"/>
      <c r="L122" s="639"/>
      <c r="M122" s="639"/>
      <c r="N122" s="639"/>
      <c r="O122" s="640"/>
      <c r="P122" s="636" t="s">
        <v>40</v>
      </c>
      <c r="Q122" s="637"/>
      <c r="R122" s="637"/>
      <c r="S122" s="637"/>
      <c r="T122" s="637"/>
      <c r="U122" s="637"/>
      <c r="V122" s="638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9"/>
      <c r="B123" s="639"/>
      <c r="C123" s="639"/>
      <c r="D123" s="639"/>
      <c r="E123" s="639"/>
      <c r="F123" s="639"/>
      <c r="G123" s="639"/>
      <c r="H123" s="639"/>
      <c r="I123" s="639"/>
      <c r="J123" s="639"/>
      <c r="K123" s="639"/>
      <c r="L123" s="639"/>
      <c r="M123" s="639"/>
      <c r="N123" s="639"/>
      <c r="O123" s="640"/>
      <c r="P123" s="636" t="s">
        <v>40</v>
      </c>
      <c r="Q123" s="637"/>
      <c r="R123" s="637"/>
      <c r="S123" s="637"/>
      <c r="T123" s="637"/>
      <c r="U123" s="637"/>
      <c r="V123" s="638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9" t="s">
        <v>238</v>
      </c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29"/>
      <c r="P124" s="629"/>
      <c r="Q124" s="629"/>
      <c r="R124" s="629"/>
      <c r="S124" s="629"/>
      <c r="T124" s="629"/>
      <c r="U124" s="629"/>
      <c r="V124" s="629"/>
      <c r="W124" s="629"/>
      <c r="X124" s="629"/>
      <c r="Y124" s="629"/>
      <c r="Z124" s="629"/>
      <c r="AA124" s="65"/>
      <c r="AB124" s="65"/>
      <c r="AC124" s="79"/>
    </row>
    <row r="125" spans="1:68" ht="14.25" customHeight="1" x14ac:dyDescent="0.25">
      <c r="A125" s="630" t="s">
        <v>112</v>
      </c>
      <c r="B125" s="630"/>
      <c r="C125" s="630"/>
      <c r="D125" s="630"/>
      <c r="E125" s="630"/>
      <c r="F125" s="630"/>
      <c r="G125" s="630"/>
      <c r="H125" s="630"/>
      <c r="I125" s="630"/>
      <c r="J125" s="630"/>
      <c r="K125" s="630"/>
      <c r="L125" s="630"/>
      <c r="M125" s="630"/>
      <c r="N125" s="630"/>
      <c r="O125" s="630"/>
      <c r="P125" s="630"/>
      <c r="Q125" s="630"/>
      <c r="R125" s="630"/>
      <c r="S125" s="630"/>
      <c r="T125" s="630"/>
      <c r="U125" s="630"/>
      <c r="V125" s="630"/>
      <c r="W125" s="630"/>
      <c r="X125" s="630"/>
      <c r="Y125" s="630"/>
      <c r="Z125" s="630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31">
        <v>4680115882577</v>
      </c>
      <c r="E126" s="63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102</v>
      </c>
      <c r="M126" s="38" t="s">
        <v>109</v>
      </c>
      <c r="N126" s="38"/>
      <c r="O126" s="37">
        <v>90</v>
      </c>
      <c r="P126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33"/>
      <c r="R126" s="633"/>
      <c r="S126" s="633"/>
      <c r="T126" s="63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103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31">
        <v>4680115882577</v>
      </c>
      <c r="E127" s="631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102</v>
      </c>
      <c r="M127" s="38" t="s">
        <v>109</v>
      </c>
      <c r="N127" s="38"/>
      <c r="O127" s="37">
        <v>90</v>
      </c>
      <c r="P127" s="69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3"/>
      <c r="R127" s="633"/>
      <c r="S127" s="633"/>
      <c r="T127" s="634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103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9"/>
      <c r="B128" s="639"/>
      <c r="C128" s="639"/>
      <c r="D128" s="639"/>
      <c r="E128" s="639"/>
      <c r="F128" s="639"/>
      <c r="G128" s="639"/>
      <c r="H128" s="639"/>
      <c r="I128" s="639"/>
      <c r="J128" s="639"/>
      <c r="K128" s="639"/>
      <c r="L128" s="639"/>
      <c r="M128" s="639"/>
      <c r="N128" s="639"/>
      <c r="O128" s="640"/>
      <c r="P128" s="636" t="s">
        <v>40</v>
      </c>
      <c r="Q128" s="637"/>
      <c r="R128" s="637"/>
      <c r="S128" s="637"/>
      <c r="T128" s="637"/>
      <c r="U128" s="637"/>
      <c r="V128" s="638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9"/>
      <c r="B129" s="639"/>
      <c r="C129" s="639"/>
      <c r="D129" s="639"/>
      <c r="E129" s="639"/>
      <c r="F129" s="639"/>
      <c r="G129" s="639"/>
      <c r="H129" s="639"/>
      <c r="I129" s="639"/>
      <c r="J129" s="639"/>
      <c r="K129" s="639"/>
      <c r="L129" s="639"/>
      <c r="M129" s="639"/>
      <c r="N129" s="639"/>
      <c r="O129" s="640"/>
      <c r="P129" s="636" t="s">
        <v>40</v>
      </c>
      <c r="Q129" s="637"/>
      <c r="R129" s="637"/>
      <c r="S129" s="637"/>
      <c r="T129" s="637"/>
      <c r="U129" s="637"/>
      <c r="V129" s="638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30" t="s">
        <v>78</v>
      </c>
      <c r="B130" s="630"/>
      <c r="C130" s="630"/>
      <c r="D130" s="630"/>
      <c r="E130" s="630"/>
      <c r="F130" s="630"/>
      <c r="G130" s="630"/>
      <c r="H130" s="630"/>
      <c r="I130" s="630"/>
      <c r="J130" s="630"/>
      <c r="K130" s="630"/>
      <c r="L130" s="630"/>
      <c r="M130" s="630"/>
      <c r="N130" s="630"/>
      <c r="O130" s="630"/>
      <c r="P130" s="630"/>
      <c r="Q130" s="630"/>
      <c r="R130" s="630"/>
      <c r="S130" s="630"/>
      <c r="T130" s="630"/>
      <c r="U130" s="630"/>
      <c r="V130" s="630"/>
      <c r="W130" s="630"/>
      <c r="X130" s="630"/>
      <c r="Y130" s="630"/>
      <c r="Z130" s="630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31">
        <v>4680115883444</v>
      </c>
      <c r="E131" s="63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102</v>
      </c>
      <c r="M131" s="38" t="s">
        <v>109</v>
      </c>
      <c r="N131" s="38"/>
      <c r="O131" s="37">
        <v>90</v>
      </c>
      <c r="P131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33"/>
      <c r="R131" s="633"/>
      <c r="S131" s="633"/>
      <c r="T131" s="63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103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31">
        <v>4680115883444</v>
      </c>
      <c r="E132" s="631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102</v>
      </c>
      <c r="M132" s="38" t="s">
        <v>109</v>
      </c>
      <c r="N132" s="38"/>
      <c r="O132" s="37">
        <v>90</v>
      </c>
      <c r="P132" s="6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3"/>
      <c r="R132" s="633"/>
      <c r="S132" s="633"/>
      <c r="T132" s="634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103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9"/>
      <c r="B133" s="639"/>
      <c r="C133" s="639"/>
      <c r="D133" s="639"/>
      <c r="E133" s="639"/>
      <c r="F133" s="639"/>
      <c r="G133" s="639"/>
      <c r="H133" s="639"/>
      <c r="I133" s="639"/>
      <c r="J133" s="639"/>
      <c r="K133" s="639"/>
      <c r="L133" s="639"/>
      <c r="M133" s="639"/>
      <c r="N133" s="639"/>
      <c r="O133" s="640"/>
      <c r="P133" s="636" t="s">
        <v>40</v>
      </c>
      <c r="Q133" s="637"/>
      <c r="R133" s="637"/>
      <c r="S133" s="637"/>
      <c r="T133" s="637"/>
      <c r="U133" s="637"/>
      <c r="V133" s="63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9"/>
      <c r="B134" s="639"/>
      <c r="C134" s="639"/>
      <c r="D134" s="639"/>
      <c r="E134" s="639"/>
      <c r="F134" s="639"/>
      <c r="G134" s="639"/>
      <c r="H134" s="639"/>
      <c r="I134" s="639"/>
      <c r="J134" s="639"/>
      <c r="K134" s="639"/>
      <c r="L134" s="639"/>
      <c r="M134" s="639"/>
      <c r="N134" s="639"/>
      <c r="O134" s="640"/>
      <c r="P134" s="636" t="s">
        <v>40</v>
      </c>
      <c r="Q134" s="637"/>
      <c r="R134" s="637"/>
      <c r="S134" s="637"/>
      <c r="T134" s="637"/>
      <c r="U134" s="637"/>
      <c r="V134" s="63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30" t="s">
        <v>88</v>
      </c>
      <c r="B135" s="630"/>
      <c r="C135" s="630"/>
      <c r="D135" s="630"/>
      <c r="E135" s="630"/>
      <c r="F135" s="630"/>
      <c r="G135" s="630"/>
      <c r="H135" s="630"/>
      <c r="I135" s="630"/>
      <c r="J135" s="630"/>
      <c r="K135" s="630"/>
      <c r="L135" s="630"/>
      <c r="M135" s="630"/>
      <c r="N135" s="630"/>
      <c r="O135" s="630"/>
      <c r="P135" s="630"/>
      <c r="Q135" s="630"/>
      <c r="R135" s="630"/>
      <c r="S135" s="630"/>
      <c r="T135" s="630"/>
      <c r="U135" s="630"/>
      <c r="V135" s="630"/>
      <c r="W135" s="630"/>
      <c r="X135" s="630"/>
      <c r="Y135" s="630"/>
      <c r="Z135" s="630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31">
        <v>4680115882584</v>
      </c>
      <c r="E136" s="63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109</v>
      </c>
      <c r="N136" s="38"/>
      <c r="O136" s="37">
        <v>60</v>
      </c>
      <c r="P136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3"/>
      <c r="R136" s="633"/>
      <c r="S136" s="633"/>
      <c r="T136" s="63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31">
        <v>4680115882584</v>
      </c>
      <c r="E137" s="631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102</v>
      </c>
      <c r="M137" s="38" t="s">
        <v>109</v>
      </c>
      <c r="N137" s="38"/>
      <c r="O137" s="37">
        <v>60</v>
      </c>
      <c r="P137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3"/>
      <c r="R137" s="633"/>
      <c r="S137" s="633"/>
      <c r="T137" s="634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103</v>
      </c>
      <c r="AK137" s="84">
        <v>36.96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9"/>
      <c r="B138" s="639"/>
      <c r="C138" s="639"/>
      <c r="D138" s="639"/>
      <c r="E138" s="639"/>
      <c r="F138" s="639"/>
      <c r="G138" s="639"/>
      <c r="H138" s="639"/>
      <c r="I138" s="639"/>
      <c r="J138" s="639"/>
      <c r="K138" s="639"/>
      <c r="L138" s="639"/>
      <c r="M138" s="639"/>
      <c r="N138" s="639"/>
      <c r="O138" s="640"/>
      <c r="P138" s="636" t="s">
        <v>40</v>
      </c>
      <c r="Q138" s="637"/>
      <c r="R138" s="637"/>
      <c r="S138" s="637"/>
      <c r="T138" s="637"/>
      <c r="U138" s="637"/>
      <c r="V138" s="63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9"/>
      <c r="B139" s="639"/>
      <c r="C139" s="639"/>
      <c r="D139" s="639"/>
      <c r="E139" s="639"/>
      <c r="F139" s="639"/>
      <c r="G139" s="639"/>
      <c r="H139" s="639"/>
      <c r="I139" s="639"/>
      <c r="J139" s="639"/>
      <c r="K139" s="639"/>
      <c r="L139" s="639"/>
      <c r="M139" s="639"/>
      <c r="N139" s="639"/>
      <c r="O139" s="640"/>
      <c r="P139" s="636" t="s">
        <v>40</v>
      </c>
      <c r="Q139" s="637"/>
      <c r="R139" s="637"/>
      <c r="S139" s="637"/>
      <c r="T139" s="637"/>
      <c r="U139" s="637"/>
      <c r="V139" s="63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9" t="s">
        <v>110</v>
      </c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29"/>
      <c r="P140" s="629"/>
      <c r="Q140" s="629"/>
      <c r="R140" s="629"/>
      <c r="S140" s="629"/>
      <c r="T140" s="629"/>
      <c r="U140" s="629"/>
      <c r="V140" s="629"/>
      <c r="W140" s="629"/>
      <c r="X140" s="629"/>
      <c r="Y140" s="629"/>
      <c r="Z140" s="629"/>
      <c r="AA140" s="65"/>
      <c r="AB140" s="65"/>
      <c r="AC140" s="79"/>
    </row>
    <row r="141" spans="1:68" ht="14.25" customHeight="1" x14ac:dyDescent="0.25">
      <c r="A141" s="630" t="s">
        <v>112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31">
        <v>4680115887374</v>
      </c>
      <c r="E142" s="631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117</v>
      </c>
      <c r="L142" s="37" t="s">
        <v>45</v>
      </c>
      <c r="M142" s="38" t="s">
        <v>116</v>
      </c>
      <c r="N142" s="38"/>
      <c r="O142" s="37">
        <v>55</v>
      </c>
      <c r="P142" s="6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3"/>
      <c r="R142" s="633"/>
      <c r="S142" s="633"/>
      <c r="T142" s="63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31">
        <v>4607091384604</v>
      </c>
      <c r="E143" s="631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121</v>
      </c>
      <c r="L143" s="37" t="s">
        <v>122</v>
      </c>
      <c r="M143" s="38" t="s">
        <v>116</v>
      </c>
      <c r="N143" s="38"/>
      <c r="O143" s="37">
        <v>50</v>
      </c>
      <c r="P143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3"/>
      <c r="R143" s="633"/>
      <c r="S143" s="633"/>
      <c r="T143" s="634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103</v>
      </c>
      <c r="AK143" s="84">
        <v>48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9"/>
      <c r="B144" s="639"/>
      <c r="C144" s="639"/>
      <c r="D144" s="639"/>
      <c r="E144" s="639"/>
      <c r="F144" s="639"/>
      <c r="G144" s="639"/>
      <c r="H144" s="639"/>
      <c r="I144" s="639"/>
      <c r="J144" s="639"/>
      <c r="K144" s="639"/>
      <c r="L144" s="639"/>
      <c r="M144" s="639"/>
      <c r="N144" s="639"/>
      <c r="O144" s="640"/>
      <c r="P144" s="636" t="s">
        <v>40</v>
      </c>
      <c r="Q144" s="637"/>
      <c r="R144" s="637"/>
      <c r="S144" s="637"/>
      <c r="T144" s="637"/>
      <c r="U144" s="637"/>
      <c r="V144" s="638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9"/>
      <c r="B145" s="639"/>
      <c r="C145" s="639"/>
      <c r="D145" s="639"/>
      <c r="E145" s="639"/>
      <c r="F145" s="639"/>
      <c r="G145" s="639"/>
      <c r="H145" s="639"/>
      <c r="I145" s="639"/>
      <c r="J145" s="639"/>
      <c r="K145" s="639"/>
      <c r="L145" s="639"/>
      <c r="M145" s="639"/>
      <c r="N145" s="639"/>
      <c r="O145" s="640"/>
      <c r="P145" s="636" t="s">
        <v>40</v>
      </c>
      <c r="Q145" s="637"/>
      <c r="R145" s="637"/>
      <c r="S145" s="637"/>
      <c r="T145" s="637"/>
      <c r="U145" s="637"/>
      <c r="V145" s="638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30" t="s">
        <v>78</v>
      </c>
      <c r="B146" s="630"/>
      <c r="C146" s="630"/>
      <c r="D146" s="630"/>
      <c r="E146" s="630"/>
      <c r="F146" s="630"/>
      <c r="G146" s="630"/>
      <c r="H146" s="630"/>
      <c r="I146" s="630"/>
      <c r="J146" s="630"/>
      <c r="K146" s="630"/>
      <c r="L146" s="630"/>
      <c r="M146" s="630"/>
      <c r="N146" s="630"/>
      <c r="O146" s="630"/>
      <c r="P146" s="630"/>
      <c r="Q146" s="630"/>
      <c r="R146" s="630"/>
      <c r="S146" s="630"/>
      <c r="T146" s="630"/>
      <c r="U146" s="630"/>
      <c r="V146" s="630"/>
      <c r="W146" s="630"/>
      <c r="X146" s="630"/>
      <c r="Y146" s="630"/>
      <c r="Z146" s="630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631">
        <v>4607091387667</v>
      </c>
      <c r="E147" s="63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117</v>
      </c>
      <c r="L147" s="37" t="s">
        <v>118</v>
      </c>
      <c r="M147" s="38" t="s">
        <v>116</v>
      </c>
      <c r="N147" s="38"/>
      <c r="O147" s="37">
        <v>40</v>
      </c>
      <c r="P147" s="6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33"/>
      <c r="R147" s="633"/>
      <c r="S147" s="633"/>
      <c r="T147" s="634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103</v>
      </c>
      <c r="AK147" s="84">
        <v>72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31">
        <v>4680115887428</v>
      </c>
      <c r="E148" s="63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121</v>
      </c>
      <c r="L148" s="37" t="s">
        <v>45</v>
      </c>
      <c r="M148" s="38" t="s">
        <v>82</v>
      </c>
      <c r="N148" s="38"/>
      <c r="O148" s="37">
        <v>40</v>
      </c>
      <c r="P148" s="69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3"/>
      <c r="R148" s="633"/>
      <c r="S148" s="633"/>
      <c r="T148" s="634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631">
        <v>4607091387636</v>
      </c>
      <c r="E149" s="631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69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633"/>
      <c r="R149" s="633"/>
      <c r="S149" s="633"/>
      <c r="T149" s="634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631">
        <v>4680115887336</v>
      </c>
      <c r="E150" s="63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121</v>
      </c>
      <c r="L150" s="37" t="s">
        <v>45</v>
      </c>
      <c r="M150" s="38" t="s">
        <v>82</v>
      </c>
      <c r="N150" s="38"/>
      <c r="O150" s="37">
        <v>40</v>
      </c>
      <c r="P150" s="70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33"/>
      <c r="R150" s="633"/>
      <c r="S150" s="633"/>
      <c r="T150" s="63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631">
        <v>4607091382426</v>
      </c>
      <c r="E151" s="631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118</v>
      </c>
      <c r="M151" s="38" t="s">
        <v>82</v>
      </c>
      <c r="N151" s="38"/>
      <c r="O151" s="37">
        <v>40</v>
      </c>
      <c r="P151" s="70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33"/>
      <c r="R151" s="633"/>
      <c r="S151" s="633"/>
      <c r="T151" s="634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103</v>
      </c>
      <c r="AK151" s="84">
        <v>72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631">
        <v>4680115887398</v>
      </c>
      <c r="E152" s="631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121</v>
      </c>
      <c r="L152" s="37" t="s">
        <v>45</v>
      </c>
      <c r="M152" s="38" t="s">
        <v>82</v>
      </c>
      <c r="N152" s="38"/>
      <c r="O152" s="37">
        <v>40</v>
      </c>
      <c r="P152" s="70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33"/>
      <c r="R152" s="633"/>
      <c r="S152" s="633"/>
      <c r="T152" s="634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639"/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40"/>
      <c r="P153" s="636" t="s">
        <v>40</v>
      </c>
      <c r="Q153" s="637"/>
      <c r="R153" s="637"/>
      <c r="S153" s="637"/>
      <c r="T153" s="637"/>
      <c r="U153" s="637"/>
      <c r="V153" s="63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39"/>
      <c r="B154" s="639"/>
      <c r="C154" s="639"/>
      <c r="D154" s="639"/>
      <c r="E154" s="639"/>
      <c r="F154" s="639"/>
      <c r="G154" s="639"/>
      <c r="H154" s="639"/>
      <c r="I154" s="639"/>
      <c r="J154" s="639"/>
      <c r="K154" s="639"/>
      <c r="L154" s="639"/>
      <c r="M154" s="639"/>
      <c r="N154" s="639"/>
      <c r="O154" s="640"/>
      <c r="P154" s="636" t="s">
        <v>40</v>
      </c>
      <c r="Q154" s="637"/>
      <c r="R154" s="637"/>
      <c r="S154" s="637"/>
      <c r="T154" s="637"/>
      <c r="U154" s="637"/>
      <c r="V154" s="63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30" t="s">
        <v>88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631">
        <v>4680115887459</v>
      </c>
      <c r="E156" s="631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633"/>
      <c r="R156" s="633"/>
      <c r="S156" s="633"/>
      <c r="T156" s="634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39"/>
      <c r="B157" s="639"/>
      <c r="C157" s="639"/>
      <c r="D157" s="639"/>
      <c r="E157" s="639"/>
      <c r="F157" s="639"/>
      <c r="G157" s="639"/>
      <c r="H157" s="639"/>
      <c r="I157" s="639"/>
      <c r="J157" s="639"/>
      <c r="K157" s="639"/>
      <c r="L157" s="639"/>
      <c r="M157" s="639"/>
      <c r="N157" s="639"/>
      <c r="O157" s="640"/>
      <c r="P157" s="636" t="s">
        <v>40</v>
      </c>
      <c r="Q157" s="637"/>
      <c r="R157" s="637"/>
      <c r="S157" s="637"/>
      <c r="T157" s="637"/>
      <c r="U157" s="637"/>
      <c r="V157" s="63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39"/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40"/>
      <c r="P158" s="636" t="s">
        <v>40</v>
      </c>
      <c r="Q158" s="637"/>
      <c r="R158" s="637"/>
      <c r="S158" s="637"/>
      <c r="T158" s="637"/>
      <c r="U158" s="637"/>
      <c r="V158" s="63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628" t="s">
        <v>277</v>
      </c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8"/>
      <c r="P159" s="628"/>
      <c r="Q159" s="628"/>
      <c r="R159" s="628"/>
      <c r="S159" s="628"/>
      <c r="T159" s="628"/>
      <c r="U159" s="628"/>
      <c r="V159" s="628"/>
      <c r="W159" s="628"/>
      <c r="X159" s="628"/>
      <c r="Y159" s="628"/>
      <c r="Z159" s="628"/>
      <c r="AA159" s="54"/>
      <c r="AB159" s="54"/>
      <c r="AC159" s="54"/>
    </row>
    <row r="160" spans="1:68" ht="16.5" customHeight="1" x14ac:dyDescent="0.25">
      <c r="A160" s="629" t="s">
        <v>278</v>
      </c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29"/>
      <c r="P160" s="629"/>
      <c r="Q160" s="629"/>
      <c r="R160" s="629"/>
      <c r="S160" s="629"/>
      <c r="T160" s="629"/>
      <c r="U160" s="629"/>
      <c r="V160" s="629"/>
      <c r="W160" s="629"/>
      <c r="X160" s="629"/>
      <c r="Y160" s="629"/>
      <c r="Z160" s="629"/>
      <c r="AA160" s="65"/>
      <c r="AB160" s="65"/>
      <c r="AC160" s="79"/>
    </row>
    <row r="161" spans="1:68" ht="14.25" customHeight="1" x14ac:dyDescent="0.25">
      <c r="A161" s="630" t="s">
        <v>147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631">
        <v>4680115886223</v>
      </c>
      <c r="E162" s="631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633"/>
      <c r="R162" s="633"/>
      <c r="S162" s="633"/>
      <c r="T162" s="634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9"/>
      <c r="B163" s="639"/>
      <c r="C163" s="639"/>
      <c r="D163" s="639"/>
      <c r="E163" s="639"/>
      <c r="F163" s="639"/>
      <c r="G163" s="639"/>
      <c r="H163" s="639"/>
      <c r="I163" s="639"/>
      <c r="J163" s="639"/>
      <c r="K163" s="639"/>
      <c r="L163" s="639"/>
      <c r="M163" s="639"/>
      <c r="N163" s="639"/>
      <c r="O163" s="640"/>
      <c r="P163" s="636" t="s">
        <v>40</v>
      </c>
      <c r="Q163" s="637"/>
      <c r="R163" s="637"/>
      <c r="S163" s="637"/>
      <c r="T163" s="637"/>
      <c r="U163" s="637"/>
      <c r="V163" s="638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9"/>
      <c r="B164" s="639"/>
      <c r="C164" s="639"/>
      <c r="D164" s="639"/>
      <c r="E164" s="639"/>
      <c r="F164" s="639"/>
      <c r="G164" s="639"/>
      <c r="H164" s="639"/>
      <c r="I164" s="639"/>
      <c r="J164" s="639"/>
      <c r="K164" s="639"/>
      <c r="L164" s="639"/>
      <c r="M164" s="639"/>
      <c r="N164" s="639"/>
      <c r="O164" s="640"/>
      <c r="P164" s="636" t="s">
        <v>40</v>
      </c>
      <c r="Q164" s="637"/>
      <c r="R164" s="637"/>
      <c r="S164" s="637"/>
      <c r="T164" s="637"/>
      <c r="U164" s="637"/>
      <c r="V164" s="638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30" t="s">
        <v>78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631">
        <v>4680115880993</v>
      </c>
      <c r="E166" s="631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121</v>
      </c>
      <c r="L166" s="37" t="s">
        <v>122</v>
      </c>
      <c r="M166" s="38" t="s">
        <v>82</v>
      </c>
      <c r="N166" s="38"/>
      <c r="O166" s="37">
        <v>40</v>
      </c>
      <c r="P166" s="70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33"/>
      <c r="R166" s="633"/>
      <c r="S166" s="633"/>
      <c r="T166" s="63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103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631">
        <v>4680115881761</v>
      </c>
      <c r="E167" s="631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121</v>
      </c>
      <c r="L167" s="37" t="s">
        <v>45</v>
      </c>
      <c r="M167" s="38" t="s">
        <v>82</v>
      </c>
      <c r="N167" s="38"/>
      <c r="O167" s="37">
        <v>40</v>
      </c>
      <c r="P167" s="7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33"/>
      <c r="R167" s="633"/>
      <c r="S167" s="633"/>
      <c r="T167" s="63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631">
        <v>4680115881563</v>
      </c>
      <c r="E168" s="631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121</v>
      </c>
      <c r="L168" s="37" t="s">
        <v>122</v>
      </c>
      <c r="M168" s="38" t="s">
        <v>82</v>
      </c>
      <c r="N168" s="38"/>
      <c r="O168" s="37">
        <v>40</v>
      </c>
      <c r="P168" s="70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33"/>
      <c r="R168" s="633"/>
      <c r="S168" s="633"/>
      <c r="T168" s="63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103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631">
        <v>4680115887565</v>
      </c>
      <c r="E169" s="631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633"/>
      <c r="R169" s="633"/>
      <c r="S169" s="633"/>
      <c r="T169" s="63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631">
        <v>4680115880986</v>
      </c>
      <c r="E170" s="63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0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633"/>
      <c r="R170" s="633"/>
      <c r="S170" s="633"/>
      <c r="T170" s="63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103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631">
        <v>4680115887213</v>
      </c>
      <c r="E171" s="631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633"/>
      <c r="R171" s="633"/>
      <c r="S171" s="633"/>
      <c r="T171" s="63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631">
        <v>4680115881785</v>
      </c>
      <c r="E172" s="631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296</v>
      </c>
      <c r="M172" s="38" t="s">
        <v>82</v>
      </c>
      <c r="N172" s="38"/>
      <c r="O172" s="37">
        <v>40</v>
      </c>
      <c r="P172" s="7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633"/>
      <c r="R172" s="633"/>
      <c r="S172" s="633"/>
      <c r="T172" s="63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103</v>
      </c>
      <c r="AK172" s="84">
        <v>37.799999999999997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631">
        <v>4680115887824</v>
      </c>
      <c r="E173" s="631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1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633"/>
      <c r="R173" s="633"/>
      <c r="S173" s="633"/>
      <c r="T173" s="63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631">
        <v>4680115887701</v>
      </c>
      <c r="E174" s="631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1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633"/>
      <c r="R174" s="633"/>
      <c r="S174" s="633"/>
      <c r="T174" s="63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631">
        <v>4680115886537</v>
      </c>
      <c r="E175" s="631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633"/>
      <c r="R175" s="633"/>
      <c r="S175" s="633"/>
      <c r="T175" s="63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631">
        <v>4680115887596</v>
      </c>
      <c r="E176" s="631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186</v>
      </c>
      <c r="L176" s="37" t="s">
        <v>45</v>
      </c>
      <c r="M176" s="38" t="s">
        <v>82</v>
      </c>
      <c r="N176" s="38"/>
      <c r="O176" s="37">
        <v>45</v>
      </c>
      <c r="P176" s="7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633"/>
      <c r="R176" s="633"/>
      <c r="S176" s="633"/>
      <c r="T176" s="63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631">
        <v>4680115881679</v>
      </c>
      <c r="E177" s="631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33"/>
      <c r="R177" s="633"/>
      <c r="S177" s="633"/>
      <c r="T177" s="63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103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631">
        <v>4680115880191</v>
      </c>
      <c r="E178" s="631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33"/>
      <c r="R178" s="633"/>
      <c r="S178" s="633"/>
      <c r="T178" s="634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631">
        <v>4680115883963</v>
      </c>
      <c r="E179" s="63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33"/>
      <c r="R179" s="633"/>
      <c r="S179" s="633"/>
      <c r="T179" s="634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639"/>
      <c r="B180" s="639"/>
      <c r="C180" s="639"/>
      <c r="D180" s="639"/>
      <c r="E180" s="639"/>
      <c r="F180" s="639"/>
      <c r="G180" s="639"/>
      <c r="H180" s="639"/>
      <c r="I180" s="639"/>
      <c r="J180" s="639"/>
      <c r="K180" s="639"/>
      <c r="L180" s="639"/>
      <c r="M180" s="639"/>
      <c r="N180" s="639"/>
      <c r="O180" s="640"/>
      <c r="P180" s="636" t="s">
        <v>40</v>
      </c>
      <c r="Q180" s="637"/>
      <c r="R180" s="637"/>
      <c r="S180" s="637"/>
      <c r="T180" s="637"/>
      <c r="U180" s="637"/>
      <c r="V180" s="638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639"/>
      <c r="B181" s="639"/>
      <c r="C181" s="639"/>
      <c r="D181" s="639"/>
      <c r="E181" s="639"/>
      <c r="F181" s="639"/>
      <c r="G181" s="639"/>
      <c r="H181" s="639"/>
      <c r="I181" s="639"/>
      <c r="J181" s="639"/>
      <c r="K181" s="639"/>
      <c r="L181" s="639"/>
      <c r="M181" s="639"/>
      <c r="N181" s="639"/>
      <c r="O181" s="640"/>
      <c r="P181" s="636" t="s">
        <v>40</v>
      </c>
      <c r="Q181" s="637"/>
      <c r="R181" s="637"/>
      <c r="S181" s="637"/>
      <c r="T181" s="637"/>
      <c r="U181" s="637"/>
      <c r="V181" s="638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630" t="s">
        <v>104</v>
      </c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0"/>
      <c r="P182" s="630"/>
      <c r="Q182" s="630"/>
      <c r="R182" s="630"/>
      <c r="S182" s="630"/>
      <c r="T182" s="630"/>
      <c r="U182" s="630"/>
      <c r="V182" s="630"/>
      <c r="W182" s="630"/>
      <c r="X182" s="630"/>
      <c r="Y182" s="630"/>
      <c r="Z182" s="630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631">
        <v>4680115886780</v>
      </c>
      <c r="E183" s="63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633"/>
      <c r="R183" s="633"/>
      <c r="S183" s="633"/>
      <c r="T183" s="63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631">
        <v>4680115886742</v>
      </c>
      <c r="E184" s="631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633"/>
      <c r="R184" s="633"/>
      <c r="S184" s="633"/>
      <c r="T184" s="634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631">
        <v>4680115886766</v>
      </c>
      <c r="E185" s="631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633"/>
      <c r="R185" s="633"/>
      <c r="S185" s="633"/>
      <c r="T185" s="63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9"/>
      <c r="B186" s="639"/>
      <c r="C186" s="639"/>
      <c r="D186" s="639"/>
      <c r="E186" s="639"/>
      <c r="F186" s="639"/>
      <c r="G186" s="639"/>
      <c r="H186" s="639"/>
      <c r="I186" s="639"/>
      <c r="J186" s="639"/>
      <c r="K186" s="639"/>
      <c r="L186" s="639"/>
      <c r="M186" s="639"/>
      <c r="N186" s="639"/>
      <c r="O186" s="640"/>
      <c r="P186" s="636" t="s">
        <v>40</v>
      </c>
      <c r="Q186" s="637"/>
      <c r="R186" s="637"/>
      <c r="S186" s="637"/>
      <c r="T186" s="637"/>
      <c r="U186" s="637"/>
      <c r="V186" s="638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39"/>
      <c r="B187" s="639"/>
      <c r="C187" s="639"/>
      <c r="D187" s="639"/>
      <c r="E187" s="639"/>
      <c r="F187" s="639"/>
      <c r="G187" s="639"/>
      <c r="H187" s="639"/>
      <c r="I187" s="639"/>
      <c r="J187" s="639"/>
      <c r="K187" s="639"/>
      <c r="L187" s="639"/>
      <c r="M187" s="639"/>
      <c r="N187" s="639"/>
      <c r="O187" s="640"/>
      <c r="P187" s="636" t="s">
        <v>40</v>
      </c>
      <c r="Q187" s="637"/>
      <c r="R187" s="637"/>
      <c r="S187" s="637"/>
      <c r="T187" s="637"/>
      <c r="U187" s="637"/>
      <c r="V187" s="638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630" t="s">
        <v>330</v>
      </c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0"/>
      <c r="P188" s="630"/>
      <c r="Q188" s="630"/>
      <c r="R188" s="630"/>
      <c r="S188" s="630"/>
      <c r="T188" s="630"/>
      <c r="U188" s="630"/>
      <c r="V188" s="630"/>
      <c r="W188" s="630"/>
      <c r="X188" s="630"/>
      <c r="Y188" s="630"/>
      <c r="Z188" s="630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631">
        <v>4680115886797</v>
      </c>
      <c r="E189" s="631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633"/>
      <c r="R189" s="633"/>
      <c r="S189" s="633"/>
      <c r="T189" s="634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9"/>
      <c r="B190" s="639"/>
      <c r="C190" s="639"/>
      <c r="D190" s="639"/>
      <c r="E190" s="639"/>
      <c r="F190" s="639"/>
      <c r="G190" s="639"/>
      <c r="H190" s="639"/>
      <c r="I190" s="639"/>
      <c r="J190" s="639"/>
      <c r="K190" s="639"/>
      <c r="L190" s="639"/>
      <c r="M190" s="639"/>
      <c r="N190" s="639"/>
      <c r="O190" s="640"/>
      <c r="P190" s="636" t="s">
        <v>40</v>
      </c>
      <c r="Q190" s="637"/>
      <c r="R190" s="637"/>
      <c r="S190" s="637"/>
      <c r="T190" s="637"/>
      <c r="U190" s="637"/>
      <c r="V190" s="638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9"/>
      <c r="B191" s="639"/>
      <c r="C191" s="639"/>
      <c r="D191" s="639"/>
      <c r="E191" s="639"/>
      <c r="F191" s="639"/>
      <c r="G191" s="639"/>
      <c r="H191" s="639"/>
      <c r="I191" s="639"/>
      <c r="J191" s="639"/>
      <c r="K191" s="639"/>
      <c r="L191" s="639"/>
      <c r="M191" s="639"/>
      <c r="N191" s="639"/>
      <c r="O191" s="640"/>
      <c r="P191" s="636" t="s">
        <v>40</v>
      </c>
      <c r="Q191" s="637"/>
      <c r="R191" s="637"/>
      <c r="S191" s="637"/>
      <c r="T191" s="637"/>
      <c r="U191" s="637"/>
      <c r="V191" s="638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629" t="s">
        <v>333</v>
      </c>
      <c r="B192" s="629"/>
      <c r="C192" s="629"/>
      <c r="D192" s="629"/>
      <c r="E192" s="629"/>
      <c r="F192" s="629"/>
      <c r="G192" s="629"/>
      <c r="H192" s="629"/>
      <c r="I192" s="629"/>
      <c r="J192" s="629"/>
      <c r="K192" s="629"/>
      <c r="L192" s="629"/>
      <c r="M192" s="629"/>
      <c r="N192" s="629"/>
      <c r="O192" s="629"/>
      <c r="P192" s="629"/>
      <c r="Q192" s="629"/>
      <c r="R192" s="629"/>
      <c r="S192" s="629"/>
      <c r="T192" s="629"/>
      <c r="U192" s="629"/>
      <c r="V192" s="629"/>
      <c r="W192" s="629"/>
      <c r="X192" s="629"/>
      <c r="Y192" s="629"/>
      <c r="Z192" s="629"/>
      <c r="AA192" s="65"/>
      <c r="AB192" s="65"/>
      <c r="AC192" s="79"/>
    </row>
    <row r="193" spans="1:68" ht="14.25" customHeight="1" x14ac:dyDescent="0.25">
      <c r="A193" s="630" t="s">
        <v>112</v>
      </c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0"/>
      <c r="P193" s="630"/>
      <c r="Q193" s="630"/>
      <c r="R193" s="630"/>
      <c r="S193" s="630"/>
      <c r="T193" s="630"/>
      <c r="U193" s="630"/>
      <c r="V193" s="630"/>
      <c r="W193" s="630"/>
      <c r="X193" s="630"/>
      <c r="Y193" s="630"/>
      <c r="Z193" s="630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631">
        <v>4680115881402</v>
      </c>
      <c r="E194" s="631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117</v>
      </c>
      <c r="L194" s="37" t="s">
        <v>45</v>
      </c>
      <c r="M194" s="38" t="s">
        <v>116</v>
      </c>
      <c r="N194" s="38"/>
      <c r="O194" s="37">
        <v>55</v>
      </c>
      <c r="P194" s="7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33"/>
      <c r="R194" s="633"/>
      <c r="S194" s="633"/>
      <c r="T194" s="634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631">
        <v>4680115881396</v>
      </c>
      <c r="E195" s="631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102</v>
      </c>
      <c r="M195" s="38" t="s">
        <v>116</v>
      </c>
      <c r="N195" s="38"/>
      <c r="O195" s="37">
        <v>55</v>
      </c>
      <c r="P195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33"/>
      <c r="R195" s="633"/>
      <c r="S195" s="633"/>
      <c r="T195" s="634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103</v>
      </c>
      <c r="AK195" s="84">
        <v>37.799999999999997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39"/>
      <c r="B196" s="639"/>
      <c r="C196" s="639"/>
      <c r="D196" s="639"/>
      <c r="E196" s="639"/>
      <c r="F196" s="639"/>
      <c r="G196" s="639"/>
      <c r="H196" s="639"/>
      <c r="I196" s="639"/>
      <c r="J196" s="639"/>
      <c r="K196" s="639"/>
      <c r="L196" s="639"/>
      <c r="M196" s="639"/>
      <c r="N196" s="639"/>
      <c r="O196" s="640"/>
      <c r="P196" s="636" t="s">
        <v>40</v>
      </c>
      <c r="Q196" s="637"/>
      <c r="R196" s="637"/>
      <c r="S196" s="637"/>
      <c r="T196" s="637"/>
      <c r="U196" s="637"/>
      <c r="V196" s="638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639"/>
      <c r="B197" s="639"/>
      <c r="C197" s="639"/>
      <c r="D197" s="639"/>
      <c r="E197" s="639"/>
      <c r="F197" s="639"/>
      <c r="G197" s="639"/>
      <c r="H197" s="639"/>
      <c r="I197" s="639"/>
      <c r="J197" s="639"/>
      <c r="K197" s="639"/>
      <c r="L197" s="639"/>
      <c r="M197" s="639"/>
      <c r="N197" s="639"/>
      <c r="O197" s="640"/>
      <c r="P197" s="636" t="s">
        <v>40</v>
      </c>
      <c r="Q197" s="637"/>
      <c r="R197" s="637"/>
      <c r="S197" s="637"/>
      <c r="T197" s="637"/>
      <c r="U197" s="637"/>
      <c r="V197" s="638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630" t="s">
        <v>147</v>
      </c>
      <c r="B198" s="630"/>
      <c r="C198" s="630"/>
      <c r="D198" s="630"/>
      <c r="E198" s="630"/>
      <c r="F198" s="630"/>
      <c r="G198" s="630"/>
      <c r="H198" s="630"/>
      <c r="I198" s="630"/>
      <c r="J198" s="630"/>
      <c r="K198" s="630"/>
      <c r="L198" s="630"/>
      <c r="M198" s="630"/>
      <c r="N198" s="630"/>
      <c r="O198" s="630"/>
      <c r="P198" s="630"/>
      <c r="Q198" s="630"/>
      <c r="R198" s="630"/>
      <c r="S198" s="630"/>
      <c r="T198" s="630"/>
      <c r="U198" s="630"/>
      <c r="V198" s="630"/>
      <c r="W198" s="630"/>
      <c r="X198" s="630"/>
      <c r="Y198" s="630"/>
      <c r="Z198" s="630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631">
        <v>4680115882935</v>
      </c>
      <c r="E199" s="631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117</v>
      </c>
      <c r="L199" s="37" t="s">
        <v>45</v>
      </c>
      <c r="M199" s="38" t="s">
        <v>116</v>
      </c>
      <c r="N199" s="38"/>
      <c r="O199" s="37">
        <v>50</v>
      </c>
      <c r="P199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33"/>
      <c r="R199" s="633"/>
      <c r="S199" s="633"/>
      <c r="T199" s="634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631">
        <v>4680115880764</v>
      </c>
      <c r="E200" s="631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116</v>
      </c>
      <c r="N200" s="38"/>
      <c r="O200" s="37">
        <v>50</v>
      </c>
      <c r="P200" s="7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33"/>
      <c r="R200" s="633"/>
      <c r="S200" s="633"/>
      <c r="T200" s="634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39"/>
      <c r="B201" s="639"/>
      <c r="C201" s="639"/>
      <c r="D201" s="639"/>
      <c r="E201" s="639"/>
      <c r="F201" s="639"/>
      <c r="G201" s="639"/>
      <c r="H201" s="639"/>
      <c r="I201" s="639"/>
      <c r="J201" s="639"/>
      <c r="K201" s="639"/>
      <c r="L201" s="639"/>
      <c r="M201" s="639"/>
      <c r="N201" s="639"/>
      <c r="O201" s="640"/>
      <c r="P201" s="636" t="s">
        <v>40</v>
      </c>
      <c r="Q201" s="637"/>
      <c r="R201" s="637"/>
      <c r="S201" s="637"/>
      <c r="T201" s="637"/>
      <c r="U201" s="637"/>
      <c r="V201" s="638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639"/>
      <c r="B202" s="639"/>
      <c r="C202" s="639"/>
      <c r="D202" s="639"/>
      <c r="E202" s="639"/>
      <c r="F202" s="639"/>
      <c r="G202" s="639"/>
      <c r="H202" s="639"/>
      <c r="I202" s="639"/>
      <c r="J202" s="639"/>
      <c r="K202" s="639"/>
      <c r="L202" s="639"/>
      <c r="M202" s="639"/>
      <c r="N202" s="639"/>
      <c r="O202" s="640"/>
      <c r="P202" s="636" t="s">
        <v>40</v>
      </c>
      <c r="Q202" s="637"/>
      <c r="R202" s="637"/>
      <c r="S202" s="637"/>
      <c r="T202" s="637"/>
      <c r="U202" s="637"/>
      <c r="V202" s="638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630" t="s">
        <v>78</v>
      </c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0"/>
      <c r="P203" s="630"/>
      <c r="Q203" s="630"/>
      <c r="R203" s="630"/>
      <c r="S203" s="630"/>
      <c r="T203" s="630"/>
      <c r="U203" s="630"/>
      <c r="V203" s="630"/>
      <c r="W203" s="630"/>
      <c r="X203" s="630"/>
      <c r="Y203" s="630"/>
      <c r="Z203" s="630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631">
        <v>4680115882683</v>
      </c>
      <c r="E204" s="63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122</v>
      </c>
      <c r="M204" s="38" t="s">
        <v>82</v>
      </c>
      <c r="N204" s="38"/>
      <c r="O204" s="37">
        <v>40</v>
      </c>
      <c r="P204" s="72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33"/>
      <c r="R204" s="633"/>
      <c r="S204" s="633"/>
      <c r="T204" s="63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103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631">
        <v>4680115882690</v>
      </c>
      <c r="E205" s="63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121</v>
      </c>
      <c r="L205" s="37" t="s">
        <v>122</v>
      </c>
      <c r="M205" s="38" t="s">
        <v>82</v>
      </c>
      <c r="N205" s="38"/>
      <c r="O205" s="37">
        <v>40</v>
      </c>
      <c r="P205" s="72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33"/>
      <c r="R205" s="633"/>
      <c r="S205" s="633"/>
      <c r="T205" s="63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103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631">
        <v>4680115882669</v>
      </c>
      <c r="E206" s="631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121</v>
      </c>
      <c r="L206" s="37" t="s">
        <v>122</v>
      </c>
      <c r="M206" s="38" t="s">
        <v>82</v>
      </c>
      <c r="N206" s="38"/>
      <c r="O206" s="37">
        <v>40</v>
      </c>
      <c r="P206" s="72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33"/>
      <c r="R206" s="633"/>
      <c r="S206" s="633"/>
      <c r="T206" s="63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103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631">
        <v>4680115882676</v>
      </c>
      <c r="E207" s="631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121</v>
      </c>
      <c r="L207" s="37" t="s">
        <v>122</v>
      </c>
      <c r="M207" s="38" t="s">
        <v>82</v>
      </c>
      <c r="N207" s="38"/>
      <c r="O207" s="37">
        <v>40</v>
      </c>
      <c r="P207" s="7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33"/>
      <c r="R207" s="633"/>
      <c r="S207" s="633"/>
      <c r="T207" s="63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103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631">
        <v>4680115884014</v>
      </c>
      <c r="E208" s="631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33"/>
      <c r="R208" s="633"/>
      <c r="S208" s="633"/>
      <c r="T208" s="63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103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631">
        <v>4680115884007</v>
      </c>
      <c r="E209" s="63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33"/>
      <c r="R209" s="633"/>
      <c r="S209" s="633"/>
      <c r="T209" s="63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103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631">
        <v>4680115884038</v>
      </c>
      <c r="E210" s="631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33"/>
      <c r="R210" s="633"/>
      <c r="S210" s="633"/>
      <c r="T210" s="63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631">
        <v>4680115884021</v>
      </c>
      <c r="E211" s="631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33"/>
      <c r="R211" s="633"/>
      <c r="S211" s="633"/>
      <c r="T211" s="63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103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639"/>
      <c r="B212" s="639"/>
      <c r="C212" s="639"/>
      <c r="D212" s="639"/>
      <c r="E212" s="639"/>
      <c r="F212" s="639"/>
      <c r="G212" s="639"/>
      <c r="H212" s="639"/>
      <c r="I212" s="639"/>
      <c r="J212" s="639"/>
      <c r="K212" s="639"/>
      <c r="L212" s="639"/>
      <c r="M212" s="639"/>
      <c r="N212" s="639"/>
      <c r="O212" s="640"/>
      <c r="P212" s="636" t="s">
        <v>40</v>
      </c>
      <c r="Q212" s="637"/>
      <c r="R212" s="637"/>
      <c r="S212" s="637"/>
      <c r="T212" s="637"/>
      <c r="U212" s="637"/>
      <c r="V212" s="638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39"/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40"/>
      <c r="P213" s="636" t="s">
        <v>40</v>
      </c>
      <c r="Q213" s="637"/>
      <c r="R213" s="637"/>
      <c r="S213" s="637"/>
      <c r="T213" s="637"/>
      <c r="U213" s="637"/>
      <c r="V213" s="638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630" t="s">
        <v>88</v>
      </c>
      <c r="B214" s="630"/>
      <c r="C214" s="630"/>
      <c r="D214" s="630"/>
      <c r="E214" s="630"/>
      <c r="F214" s="630"/>
      <c r="G214" s="630"/>
      <c r="H214" s="630"/>
      <c r="I214" s="630"/>
      <c r="J214" s="630"/>
      <c r="K214" s="630"/>
      <c r="L214" s="630"/>
      <c r="M214" s="630"/>
      <c r="N214" s="630"/>
      <c r="O214" s="630"/>
      <c r="P214" s="630"/>
      <c r="Q214" s="630"/>
      <c r="R214" s="630"/>
      <c r="S214" s="630"/>
      <c r="T214" s="630"/>
      <c r="U214" s="630"/>
      <c r="V214" s="630"/>
      <c r="W214" s="630"/>
      <c r="X214" s="630"/>
      <c r="Y214" s="630"/>
      <c r="Z214" s="630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631">
        <v>4680115881594</v>
      </c>
      <c r="E215" s="631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33"/>
      <c r="R215" s="633"/>
      <c r="S215" s="633"/>
      <c r="T215" s="63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631">
        <v>4680115881617</v>
      </c>
      <c r="E216" s="631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33"/>
      <c r="R216" s="633"/>
      <c r="S216" s="633"/>
      <c r="T216" s="63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631">
        <v>4680115880573</v>
      </c>
      <c r="E217" s="631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117</v>
      </c>
      <c r="L217" s="37" t="s">
        <v>118</v>
      </c>
      <c r="M217" s="38" t="s">
        <v>92</v>
      </c>
      <c r="N217" s="38"/>
      <c r="O217" s="37">
        <v>45</v>
      </c>
      <c r="P217" s="7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33"/>
      <c r="R217" s="633"/>
      <c r="S217" s="633"/>
      <c r="T217" s="63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103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631">
        <v>4680115882195</v>
      </c>
      <c r="E218" s="631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102</v>
      </c>
      <c r="M218" s="38" t="s">
        <v>92</v>
      </c>
      <c r="N218" s="38"/>
      <c r="O218" s="37">
        <v>40</v>
      </c>
      <c r="P218" s="73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33"/>
      <c r="R218" s="633"/>
      <c r="S218" s="633"/>
      <c r="T218" s="63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103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631">
        <v>4680115882607</v>
      </c>
      <c r="E219" s="631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102</v>
      </c>
      <c r="M219" s="38" t="s">
        <v>98</v>
      </c>
      <c r="N219" s="38"/>
      <c r="O219" s="37">
        <v>45</v>
      </c>
      <c r="P219" s="73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33"/>
      <c r="R219" s="633"/>
      <c r="S219" s="633"/>
      <c r="T219" s="63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103</v>
      </c>
      <c r="AK219" s="84">
        <v>25.2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631">
        <v>4680115880092</v>
      </c>
      <c r="E220" s="63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102</v>
      </c>
      <c r="M220" s="38" t="s">
        <v>92</v>
      </c>
      <c r="N220" s="38"/>
      <c r="O220" s="37">
        <v>45</v>
      </c>
      <c r="P220" s="7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33"/>
      <c r="R220" s="633"/>
      <c r="S220" s="633"/>
      <c r="T220" s="63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103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631">
        <v>4680115880221</v>
      </c>
      <c r="E221" s="631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102</v>
      </c>
      <c r="M221" s="38" t="s">
        <v>92</v>
      </c>
      <c r="N221" s="38"/>
      <c r="O221" s="37">
        <v>45</v>
      </c>
      <c r="P221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33"/>
      <c r="R221" s="633"/>
      <c r="S221" s="633"/>
      <c r="T221" s="63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103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631">
        <v>4680115880504</v>
      </c>
      <c r="E222" s="631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102</v>
      </c>
      <c r="M222" s="38" t="s">
        <v>98</v>
      </c>
      <c r="N222" s="38"/>
      <c r="O222" s="37">
        <v>40</v>
      </c>
      <c r="P222" s="7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33"/>
      <c r="R222" s="633"/>
      <c r="S222" s="633"/>
      <c r="T222" s="634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103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631">
        <v>4680115882164</v>
      </c>
      <c r="E223" s="631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102</v>
      </c>
      <c r="M223" s="38" t="s">
        <v>92</v>
      </c>
      <c r="N223" s="38"/>
      <c r="O223" s="37">
        <v>40</v>
      </c>
      <c r="P223" s="7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33"/>
      <c r="R223" s="633"/>
      <c r="S223" s="633"/>
      <c r="T223" s="634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103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639"/>
      <c r="B224" s="639"/>
      <c r="C224" s="639"/>
      <c r="D224" s="639"/>
      <c r="E224" s="639"/>
      <c r="F224" s="639"/>
      <c r="G224" s="639"/>
      <c r="H224" s="639"/>
      <c r="I224" s="639"/>
      <c r="J224" s="639"/>
      <c r="K224" s="639"/>
      <c r="L224" s="639"/>
      <c r="M224" s="639"/>
      <c r="N224" s="639"/>
      <c r="O224" s="640"/>
      <c r="P224" s="636" t="s">
        <v>40</v>
      </c>
      <c r="Q224" s="637"/>
      <c r="R224" s="637"/>
      <c r="S224" s="637"/>
      <c r="T224" s="637"/>
      <c r="U224" s="637"/>
      <c r="V224" s="638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39"/>
      <c r="B225" s="639"/>
      <c r="C225" s="639"/>
      <c r="D225" s="639"/>
      <c r="E225" s="639"/>
      <c r="F225" s="639"/>
      <c r="G225" s="639"/>
      <c r="H225" s="639"/>
      <c r="I225" s="639"/>
      <c r="J225" s="639"/>
      <c r="K225" s="639"/>
      <c r="L225" s="639"/>
      <c r="M225" s="639"/>
      <c r="N225" s="639"/>
      <c r="O225" s="640"/>
      <c r="P225" s="636" t="s">
        <v>40</v>
      </c>
      <c r="Q225" s="637"/>
      <c r="R225" s="637"/>
      <c r="S225" s="637"/>
      <c r="T225" s="637"/>
      <c r="U225" s="637"/>
      <c r="V225" s="638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630" t="s">
        <v>172</v>
      </c>
      <c r="B226" s="630"/>
      <c r="C226" s="630"/>
      <c r="D226" s="630"/>
      <c r="E226" s="630"/>
      <c r="F226" s="630"/>
      <c r="G226" s="630"/>
      <c r="H226" s="630"/>
      <c r="I226" s="630"/>
      <c r="J226" s="630"/>
      <c r="K226" s="630"/>
      <c r="L226" s="630"/>
      <c r="M226" s="630"/>
      <c r="N226" s="630"/>
      <c r="O226" s="630"/>
      <c r="P226" s="630"/>
      <c r="Q226" s="630"/>
      <c r="R226" s="630"/>
      <c r="S226" s="630"/>
      <c r="T226" s="630"/>
      <c r="U226" s="630"/>
      <c r="V226" s="630"/>
      <c r="W226" s="630"/>
      <c r="X226" s="630"/>
      <c r="Y226" s="630"/>
      <c r="Z226" s="630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631">
        <v>4680115880818</v>
      </c>
      <c r="E227" s="631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102</v>
      </c>
      <c r="M227" s="38" t="s">
        <v>98</v>
      </c>
      <c r="N227" s="38"/>
      <c r="O227" s="37">
        <v>40</v>
      </c>
      <c r="P227" s="7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33"/>
      <c r="R227" s="633"/>
      <c r="S227" s="633"/>
      <c r="T227" s="634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103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631">
        <v>4680115880801</v>
      </c>
      <c r="E228" s="631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33"/>
      <c r="R228" s="633"/>
      <c r="S228" s="633"/>
      <c r="T228" s="634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39"/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40"/>
      <c r="P229" s="636" t="s">
        <v>40</v>
      </c>
      <c r="Q229" s="637"/>
      <c r="R229" s="637"/>
      <c r="S229" s="637"/>
      <c r="T229" s="637"/>
      <c r="U229" s="637"/>
      <c r="V229" s="638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639"/>
      <c r="B230" s="639"/>
      <c r="C230" s="639"/>
      <c r="D230" s="639"/>
      <c r="E230" s="639"/>
      <c r="F230" s="639"/>
      <c r="G230" s="639"/>
      <c r="H230" s="639"/>
      <c r="I230" s="639"/>
      <c r="J230" s="639"/>
      <c r="K230" s="639"/>
      <c r="L230" s="639"/>
      <c r="M230" s="639"/>
      <c r="N230" s="639"/>
      <c r="O230" s="640"/>
      <c r="P230" s="636" t="s">
        <v>40</v>
      </c>
      <c r="Q230" s="637"/>
      <c r="R230" s="637"/>
      <c r="S230" s="637"/>
      <c r="T230" s="637"/>
      <c r="U230" s="637"/>
      <c r="V230" s="638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629" t="s">
        <v>393</v>
      </c>
      <c r="B231" s="629"/>
      <c r="C231" s="629"/>
      <c r="D231" s="629"/>
      <c r="E231" s="629"/>
      <c r="F231" s="629"/>
      <c r="G231" s="629"/>
      <c r="H231" s="629"/>
      <c r="I231" s="629"/>
      <c r="J231" s="629"/>
      <c r="K231" s="629"/>
      <c r="L231" s="629"/>
      <c r="M231" s="629"/>
      <c r="N231" s="629"/>
      <c r="O231" s="629"/>
      <c r="P231" s="629"/>
      <c r="Q231" s="629"/>
      <c r="R231" s="629"/>
      <c r="S231" s="629"/>
      <c r="T231" s="629"/>
      <c r="U231" s="629"/>
      <c r="V231" s="629"/>
      <c r="W231" s="629"/>
      <c r="X231" s="629"/>
      <c r="Y231" s="629"/>
      <c r="Z231" s="629"/>
      <c r="AA231" s="65"/>
      <c r="AB231" s="65"/>
      <c r="AC231" s="79"/>
    </row>
    <row r="232" spans="1:68" ht="14.25" customHeight="1" x14ac:dyDescent="0.25">
      <c r="A232" s="630" t="s">
        <v>112</v>
      </c>
      <c r="B232" s="630"/>
      <c r="C232" s="630"/>
      <c r="D232" s="630"/>
      <c r="E232" s="630"/>
      <c r="F232" s="630"/>
      <c r="G232" s="630"/>
      <c r="H232" s="630"/>
      <c r="I232" s="630"/>
      <c r="J232" s="630"/>
      <c r="K232" s="630"/>
      <c r="L232" s="630"/>
      <c r="M232" s="630"/>
      <c r="N232" s="630"/>
      <c r="O232" s="630"/>
      <c r="P232" s="630"/>
      <c r="Q232" s="630"/>
      <c r="R232" s="630"/>
      <c r="S232" s="630"/>
      <c r="T232" s="630"/>
      <c r="U232" s="630"/>
      <c r="V232" s="630"/>
      <c r="W232" s="630"/>
      <c r="X232" s="630"/>
      <c r="Y232" s="630"/>
      <c r="Z232" s="630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631">
        <v>4680115884137</v>
      </c>
      <c r="E233" s="63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33"/>
      <c r="R233" s="633"/>
      <c r="S233" s="633"/>
      <c r="T233" s="63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631">
        <v>4680115884236</v>
      </c>
      <c r="E234" s="631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633"/>
      <c r="R234" s="633"/>
      <c r="S234" s="633"/>
      <c r="T234" s="63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631">
        <v>4680115884175</v>
      </c>
      <c r="E235" s="631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33"/>
      <c r="R235" s="633"/>
      <c r="S235" s="633"/>
      <c r="T235" s="63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631">
        <v>4680115884144</v>
      </c>
      <c r="E236" s="63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121</v>
      </c>
      <c r="L236" s="37" t="s">
        <v>122</v>
      </c>
      <c r="M236" s="38" t="s">
        <v>116</v>
      </c>
      <c r="N236" s="38"/>
      <c r="O236" s="37">
        <v>55</v>
      </c>
      <c r="P236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33"/>
      <c r="R236" s="633"/>
      <c r="S236" s="633"/>
      <c r="T236" s="63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103</v>
      </c>
      <c r="AK236" s="84">
        <v>48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631">
        <v>4680115884144</v>
      </c>
      <c r="E237" s="631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121</v>
      </c>
      <c r="L237" s="37" t="s">
        <v>45</v>
      </c>
      <c r="M237" s="38" t="s">
        <v>116</v>
      </c>
      <c r="N237" s="38"/>
      <c r="O237" s="37">
        <v>55</v>
      </c>
      <c r="P237" s="75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633"/>
      <c r="R237" s="633"/>
      <c r="S237" s="633"/>
      <c r="T237" s="63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631">
        <v>4680115886551</v>
      </c>
      <c r="E238" s="63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121</v>
      </c>
      <c r="L238" s="37" t="s">
        <v>45</v>
      </c>
      <c r="M238" s="38" t="s">
        <v>116</v>
      </c>
      <c r="N238" s="38"/>
      <c r="O238" s="37">
        <v>55</v>
      </c>
      <c r="P238" s="75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633"/>
      <c r="R238" s="633"/>
      <c r="S238" s="633"/>
      <c r="T238" s="63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631">
        <v>4680115887282</v>
      </c>
      <c r="E239" s="631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116</v>
      </c>
      <c r="N239" s="38"/>
      <c r="O239" s="37">
        <v>55</v>
      </c>
      <c r="P239" s="7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633"/>
      <c r="R239" s="633"/>
      <c r="S239" s="633"/>
      <c r="T239" s="63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631">
        <v>4680115884205</v>
      </c>
      <c r="E240" s="631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121</v>
      </c>
      <c r="L240" s="37" t="s">
        <v>122</v>
      </c>
      <c r="M240" s="38" t="s">
        <v>116</v>
      </c>
      <c r="N240" s="38"/>
      <c r="O240" s="37">
        <v>55</v>
      </c>
      <c r="P240" s="7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33"/>
      <c r="R240" s="633"/>
      <c r="S240" s="633"/>
      <c r="T240" s="634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103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631">
        <v>4680115884205</v>
      </c>
      <c r="E241" s="631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121</v>
      </c>
      <c r="L241" s="37" t="s">
        <v>45</v>
      </c>
      <c r="M241" s="38" t="s">
        <v>116</v>
      </c>
      <c r="N241" s="38"/>
      <c r="O241" s="37">
        <v>55</v>
      </c>
      <c r="P241" s="75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633"/>
      <c r="R241" s="633"/>
      <c r="S241" s="633"/>
      <c r="T241" s="634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639"/>
      <c r="B242" s="639"/>
      <c r="C242" s="639"/>
      <c r="D242" s="639"/>
      <c r="E242" s="639"/>
      <c r="F242" s="639"/>
      <c r="G242" s="639"/>
      <c r="H242" s="639"/>
      <c r="I242" s="639"/>
      <c r="J242" s="639"/>
      <c r="K242" s="639"/>
      <c r="L242" s="639"/>
      <c r="M242" s="639"/>
      <c r="N242" s="639"/>
      <c r="O242" s="640"/>
      <c r="P242" s="636" t="s">
        <v>40</v>
      </c>
      <c r="Q242" s="637"/>
      <c r="R242" s="637"/>
      <c r="S242" s="637"/>
      <c r="T242" s="637"/>
      <c r="U242" s="637"/>
      <c r="V242" s="638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9"/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40"/>
      <c r="P243" s="636" t="s">
        <v>40</v>
      </c>
      <c r="Q243" s="637"/>
      <c r="R243" s="637"/>
      <c r="S243" s="637"/>
      <c r="T243" s="637"/>
      <c r="U243" s="637"/>
      <c r="V243" s="638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30" t="s">
        <v>147</v>
      </c>
      <c r="B244" s="630"/>
      <c r="C244" s="630"/>
      <c r="D244" s="630"/>
      <c r="E244" s="630"/>
      <c r="F244" s="630"/>
      <c r="G244" s="630"/>
      <c r="H244" s="630"/>
      <c r="I244" s="630"/>
      <c r="J244" s="630"/>
      <c r="K244" s="630"/>
      <c r="L244" s="630"/>
      <c r="M244" s="630"/>
      <c r="N244" s="630"/>
      <c r="O244" s="630"/>
      <c r="P244" s="630"/>
      <c r="Q244" s="630"/>
      <c r="R244" s="630"/>
      <c r="S244" s="630"/>
      <c r="T244" s="630"/>
      <c r="U244" s="630"/>
      <c r="V244" s="630"/>
      <c r="W244" s="630"/>
      <c r="X244" s="630"/>
      <c r="Y244" s="630"/>
      <c r="Z244" s="630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631">
        <v>4680115885981</v>
      </c>
      <c r="E245" s="631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33"/>
      <c r="R245" s="633"/>
      <c r="S245" s="633"/>
      <c r="T245" s="63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9"/>
      <c r="B246" s="639"/>
      <c r="C246" s="639"/>
      <c r="D246" s="639"/>
      <c r="E246" s="639"/>
      <c r="F246" s="639"/>
      <c r="G246" s="639"/>
      <c r="H246" s="639"/>
      <c r="I246" s="639"/>
      <c r="J246" s="639"/>
      <c r="K246" s="639"/>
      <c r="L246" s="639"/>
      <c r="M246" s="639"/>
      <c r="N246" s="639"/>
      <c r="O246" s="640"/>
      <c r="P246" s="636" t="s">
        <v>40</v>
      </c>
      <c r="Q246" s="637"/>
      <c r="R246" s="637"/>
      <c r="S246" s="637"/>
      <c r="T246" s="637"/>
      <c r="U246" s="637"/>
      <c r="V246" s="638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9"/>
      <c r="B247" s="639"/>
      <c r="C247" s="639"/>
      <c r="D247" s="639"/>
      <c r="E247" s="639"/>
      <c r="F247" s="639"/>
      <c r="G247" s="639"/>
      <c r="H247" s="639"/>
      <c r="I247" s="639"/>
      <c r="J247" s="639"/>
      <c r="K247" s="639"/>
      <c r="L247" s="639"/>
      <c r="M247" s="639"/>
      <c r="N247" s="639"/>
      <c r="O247" s="640"/>
      <c r="P247" s="636" t="s">
        <v>40</v>
      </c>
      <c r="Q247" s="637"/>
      <c r="R247" s="637"/>
      <c r="S247" s="637"/>
      <c r="T247" s="637"/>
      <c r="U247" s="637"/>
      <c r="V247" s="638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30" t="s">
        <v>418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631">
        <v>4680115886803</v>
      </c>
      <c r="E249" s="631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33"/>
      <c r="R249" s="633"/>
      <c r="S249" s="633"/>
      <c r="T249" s="63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9"/>
      <c r="B250" s="639"/>
      <c r="C250" s="639"/>
      <c r="D250" s="639"/>
      <c r="E250" s="639"/>
      <c r="F250" s="639"/>
      <c r="G250" s="639"/>
      <c r="H250" s="639"/>
      <c r="I250" s="639"/>
      <c r="J250" s="639"/>
      <c r="K250" s="639"/>
      <c r="L250" s="639"/>
      <c r="M250" s="639"/>
      <c r="N250" s="639"/>
      <c r="O250" s="640"/>
      <c r="P250" s="636" t="s">
        <v>40</v>
      </c>
      <c r="Q250" s="637"/>
      <c r="R250" s="637"/>
      <c r="S250" s="637"/>
      <c r="T250" s="637"/>
      <c r="U250" s="637"/>
      <c r="V250" s="63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9"/>
      <c r="B251" s="639"/>
      <c r="C251" s="639"/>
      <c r="D251" s="639"/>
      <c r="E251" s="639"/>
      <c r="F251" s="639"/>
      <c r="G251" s="639"/>
      <c r="H251" s="639"/>
      <c r="I251" s="639"/>
      <c r="J251" s="639"/>
      <c r="K251" s="639"/>
      <c r="L251" s="639"/>
      <c r="M251" s="639"/>
      <c r="N251" s="639"/>
      <c r="O251" s="640"/>
      <c r="P251" s="636" t="s">
        <v>40</v>
      </c>
      <c r="Q251" s="637"/>
      <c r="R251" s="637"/>
      <c r="S251" s="637"/>
      <c r="T251" s="637"/>
      <c r="U251" s="637"/>
      <c r="V251" s="63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30" t="s">
        <v>422</v>
      </c>
      <c r="B252" s="630"/>
      <c r="C252" s="630"/>
      <c r="D252" s="630"/>
      <c r="E252" s="630"/>
      <c r="F252" s="630"/>
      <c r="G252" s="630"/>
      <c r="H252" s="630"/>
      <c r="I252" s="630"/>
      <c r="J252" s="630"/>
      <c r="K252" s="630"/>
      <c r="L252" s="630"/>
      <c r="M252" s="630"/>
      <c r="N252" s="630"/>
      <c r="O252" s="630"/>
      <c r="P252" s="630"/>
      <c r="Q252" s="630"/>
      <c r="R252" s="630"/>
      <c r="S252" s="630"/>
      <c r="T252" s="630"/>
      <c r="U252" s="630"/>
      <c r="V252" s="630"/>
      <c r="W252" s="630"/>
      <c r="X252" s="630"/>
      <c r="Y252" s="630"/>
      <c r="Z252" s="630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631">
        <v>4680115886704</v>
      </c>
      <c r="E253" s="631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33"/>
      <c r="R253" s="633"/>
      <c r="S253" s="633"/>
      <c r="T253" s="63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631">
        <v>4680115886681</v>
      </c>
      <c r="E254" s="631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33"/>
      <c r="R254" s="633"/>
      <c r="S254" s="633"/>
      <c r="T254" s="63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631">
        <v>4680115886735</v>
      </c>
      <c r="E255" s="631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33"/>
      <c r="R255" s="633"/>
      <c r="S255" s="633"/>
      <c r="T255" s="63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631">
        <v>4680115886728</v>
      </c>
      <c r="E256" s="631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76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33"/>
      <c r="R256" s="633"/>
      <c r="S256" s="633"/>
      <c r="T256" s="63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631">
        <v>4680115886711</v>
      </c>
      <c r="E257" s="631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7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33"/>
      <c r="R257" s="633"/>
      <c r="S257" s="633"/>
      <c r="T257" s="63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9"/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40"/>
      <c r="P258" s="636" t="s">
        <v>40</v>
      </c>
      <c r="Q258" s="637"/>
      <c r="R258" s="637"/>
      <c r="S258" s="637"/>
      <c r="T258" s="637"/>
      <c r="U258" s="637"/>
      <c r="V258" s="638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9"/>
      <c r="B259" s="639"/>
      <c r="C259" s="639"/>
      <c r="D259" s="639"/>
      <c r="E259" s="639"/>
      <c r="F259" s="639"/>
      <c r="G259" s="639"/>
      <c r="H259" s="639"/>
      <c r="I259" s="639"/>
      <c r="J259" s="639"/>
      <c r="K259" s="639"/>
      <c r="L259" s="639"/>
      <c r="M259" s="639"/>
      <c r="N259" s="639"/>
      <c r="O259" s="640"/>
      <c r="P259" s="636" t="s">
        <v>40</v>
      </c>
      <c r="Q259" s="637"/>
      <c r="R259" s="637"/>
      <c r="S259" s="637"/>
      <c r="T259" s="637"/>
      <c r="U259" s="637"/>
      <c r="V259" s="638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9" t="s">
        <v>434</v>
      </c>
      <c r="B260" s="629"/>
      <c r="C260" s="629"/>
      <c r="D260" s="629"/>
      <c r="E260" s="629"/>
      <c r="F260" s="629"/>
      <c r="G260" s="629"/>
      <c r="H260" s="629"/>
      <c r="I260" s="629"/>
      <c r="J260" s="629"/>
      <c r="K260" s="629"/>
      <c r="L260" s="629"/>
      <c r="M260" s="629"/>
      <c r="N260" s="629"/>
      <c r="O260" s="629"/>
      <c r="P260" s="629"/>
      <c r="Q260" s="629"/>
      <c r="R260" s="629"/>
      <c r="S260" s="629"/>
      <c r="T260" s="629"/>
      <c r="U260" s="629"/>
      <c r="V260" s="629"/>
      <c r="W260" s="629"/>
      <c r="X260" s="629"/>
      <c r="Y260" s="629"/>
      <c r="Z260" s="629"/>
      <c r="AA260" s="65"/>
      <c r="AB260" s="65"/>
      <c r="AC260" s="79"/>
    </row>
    <row r="261" spans="1:68" ht="14.25" customHeight="1" x14ac:dyDescent="0.25">
      <c r="A261" s="630" t="s">
        <v>112</v>
      </c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0"/>
      <c r="P261" s="630"/>
      <c r="Q261" s="630"/>
      <c r="R261" s="630"/>
      <c r="S261" s="630"/>
      <c r="T261" s="630"/>
      <c r="U261" s="630"/>
      <c r="V261" s="630"/>
      <c r="W261" s="630"/>
      <c r="X261" s="630"/>
      <c r="Y261" s="630"/>
      <c r="Z261" s="630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631">
        <v>4680115885837</v>
      </c>
      <c r="E262" s="63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118</v>
      </c>
      <c r="M262" s="38" t="s">
        <v>116</v>
      </c>
      <c r="N262" s="38"/>
      <c r="O262" s="37">
        <v>55</v>
      </c>
      <c r="P262" s="7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33"/>
      <c r="R262" s="633"/>
      <c r="S262" s="633"/>
      <c r="T262" s="63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103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631">
        <v>4680115885851</v>
      </c>
      <c r="E263" s="631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33"/>
      <c r="R263" s="633"/>
      <c r="S263" s="633"/>
      <c r="T263" s="63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631">
        <v>4680115885806</v>
      </c>
      <c r="E264" s="63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118</v>
      </c>
      <c r="M264" s="38" t="s">
        <v>116</v>
      </c>
      <c r="N264" s="38"/>
      <c r="O264" s="37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33"/>
      <c r="R264" s="633"/>
      <c r="S264" s="633"/>
      <c r="T264" s="63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103</v>
      </c>
      <c r="AK264" s="84">
        <v>86.4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631">
        <v>4680115885844</v>
      </c>
      <c r="E265" s="631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121</v>
      </c>
      <c r="L265" s="37" t="s">
        <v>45</v>
      </c>
      <c r="M265" s="38" t="s">
        <v>116</v>
      </c>
      <c r="N265" s="38"/>
      <c r="O265" s="37">
        <v>55</v>
      </c>
      <c r="P265" s="7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33"/>
      <c r="R265" s="633"/>
      <c r="S265" s="633"/>
      <c r="T265" s="63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631">
        <v>4680115885820</v>
      </c>
      <c r="E266" s="631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121</v>
      </c>
      <c r="L266" s="37" t="s">
        <v>122</v>
      </c>
      <c r="M266" s="38" t="s">
        <v>116</v>
      </c>
      <c r="N266" s="38"/>
      <c r="O266" s="37">
        <v>55</v>
      </c>
      <c r="P266" s="7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33"/>
      <c r="R266" s="633"/>
      <c r="S266" s="633"/>
      <c r="T266" s="63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103</v>
      </c>
      <c r="AK266" s="84">
        <v>48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9"/>
      <c r="B267" s="639"/>
      <c r="C267" s="639"/>
      <c r="D267" s="639"/>
      <c r="E267" s="639"/>
      <c r="F267" s="639"/>
      <c r="G267" s="639"/>
      <c r="H267" s="639"/>
      <c r="I267" s="639"/>
      <c r="J267" s="639"/>
      <c r="K267" s="639"/>
      <c r="L267" s="639"/>
      <c r="M267" s="639"/>
      <c r="N267" s="639"/>
      <c r="O267" s="640"/>
      <c r="P267" s="636" t="s">
        <v>40</v>
      </c>
      <c r="Q267" s="637"/>
      <c r="R267" s="637"/>
      <c r="S267" s="637"/>
      <c r="T267" s="637"/>
      <c r="U267" s="637"/>
      <c r="V267" s="638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9"/>
      <c r="B268" s="639"/>
      <c r="C268" s="639"/>
      <c r="D268" s="639"/>
      <c r="E268" s="639"/>
      <c r="F268" s="639"/>
      <c r="G268" s="639"/>
      <c r="H268" s="639"/>
      <c r="I268" s="639"/>
      <c r="J268" s="639"/>
      <c r="K268" s="639"/>
      <c r="L268" s="639"/>
      <c r="M268" s="639"/>
      <c r="N268" s="639"/>
      <c r="O268" s="640"/>
      <c r="P268" s="636" t="s">
        <v>40</v>
      </c>
      <c r="Q268" s="637"/>
      <c r="R268" s="637"/>
      <c r="S268" s="637"/>
      <c r="T268" s="637"/>
      <c r="U268" s="637"/>
      <c r="V268" s="638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9" t="s">
        <v>450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5"/>
      <c r="AB269" s="65"/>
      <c r="AC269" s="79"/>
    </row>
    <row r="270" spans="1:68" ht="14.25" customHeight="1" x14ac:dyDescent="0.25">
      <c r="A270" s="630" t="s">
        <v>112</v>
      </c>
      <c r="B270" s="630"/>
      <c r="C270" s="630"/>
      <c r="D270" s="630"/>
      <c r="E270" s="630"/>
      <c r="F270" s="630"/>
      <c r="G270" s="630"/>
      <c r="H270" s="630"/>
      <c r="I270" s="630"/>
      <c r="J270" s="630"/>
      <c r="K270" s="630"/>
      <c r="L270" s="630"/>
      <c r="M270" s="630"/>
      <c r="N270" s="630"/>
      <c r="O270" s="630"/>
      <c r="P270" s="630"/>
      <c r="Q270" s="630"/>
      <c r="R270" s="630"/>
      <c r="S270" s="630"/>
      <c r="T270" s="630"/>
      <c r="U270" s="630"/>
      <c r="V270" s="630"/>
      <c r="W270" s="630"/>
      <c r="X270" s="630"/>
      <c r="Y270" s="630"/>
      <c r="Z270" s="630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631">
        <v>4607091383423</v>
      </c>
      <c r="E271" s="631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35</v>
      </c>
      <c r="P271" s="76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33"/>
      <c r="R271" s="633"/>
      <c r="S271" s="633"/>
      <c r="T271" s="63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631">
        <v>4680115886957</v>
      </c>
      <c r="E272" s="631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30</v>
      </c>
      <c r="P272" s="76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33"/>
      <c r="R272" s="633"/>
      <c r="S272" s="633"/>
      <c r="T272" s="63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631">
        <v>4680115885660</v>
      </c>
      <c r="E273" s="631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35</v>
      </c>
      <c r="P273" s="76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33"/>
      <c r="R273" s="633"/>
      <c r="S273" s="633"/>
      <c r="T273" s="63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631">
        <v>4680115886773</v>
      </c>
      <c r="E274" s="631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117</v>
      </c>
      <c r="L274" s="37" t="s">
        <v>45</v>
      </c>
      <c r="M274" s="38" t="s">
        <v>116</v>
      </c>
      <c r="N274" s="38"/>
      <c r="O274" s="37">
        <v>31</v>
      </c>
      <c r="P274" s="77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33"/>
      <c r="R274" s="633"/>
      <c r="S274" s="633"/>
      <c r="T274" s="634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9"/>
      <c r="B275" s="639"/>
      <c r="C275" s="639"/>
      <c r="D275" s="639"/>
      <c r="E275" s="639"/>
      <c r="F275" s="639"/>
      <c r="G275" s="639"/>
      <c r="H275" s="639"/>
      <c r="I275" s="639"/>
      <c r="J275" s="639"/>
      <c r="K275" s="639"/>
      <c r="L275" s="639"/>
      <c r="M275" s="639"/>
      <c r="N275" s="639"/>
      <c r="O275" s="640"/>
      <c r="P275" s="636" t="s">
        <v>40</v>
      </c>
      <c r="Q275" s="637"/>
      <c r="R275" s="637"/>
      <c r="S275" s="637"/>
      <c r="T275" s="637"/>
      <c r="U275" s="637"/>
      <c r="V275" s="638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9"/>
      <c r="B276" s="639"/>
      <c r="C276" s="639"/>
      <c r="D276" s="639"/>
      <c r="E276" s="639"/>
      <c r="F276" s="639"/>
      <c r="G276" s="639"/>
      <c r="H276" s="639"/>
      <c r="I276" s="639"/>
      <c r="J276" s="639"/>
      <c r="K276" s="639"/>
      <c r="L276" s="639"/>
      <c r="M276" s="639"/>
      <c r="N276" s="639"/>
      <c r="O276" s="640"/>
      <c r="P276" s="636" t="s">
        <v>40</v>
      </c>
      <c r="Q276" s="637"/>
      <c r="R276" s="637"/>
      <c r="S276" s="637"/>
      <c r="T276" s="637"/>
      <c r="U276" s="637"/>
      <c r="V276" s="638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9" t="s">
        <v>461</v>
      </c>
      <c r="B277" s="629"/>
      <c r="C277" s="629"/>
      <c r="D277" s="629"/>
      <c r="E277" s="629"/>
      <c r="F277" s="629"/>
      <c r="G277" s="629"/>
      <c r="H277" s="629"/>
      <c r="I277" s="629"/>
      <c r="J277" s="629"/>
      <c r="K277" s="629"/>
      <c r="L277" s="629"/>
      <c r="M277" s="629"/>
      <c r="N277" s="629"/>
      <c r="O277" s="629"/>
      <c r="P277" s="629"/>
      <c r="Q277" s="629"/>
      <c r="R277" s="629"/>
      <c r="S277" s="629"/>
      <c r="T277" s="629"/>
      <c r="U277" s="629"/>
      <c r="V277" s="629"/>
      <c r="W277" s="629"/>
      <c r="X277" s="629"/>
      <c r="Y277" s="629"/>
      <c r="Z277" s="629"/>
      <c r="AA277" s="65"/>
      <c r="AB277" s="65"/>
      <c r="AC277" s="79"/>
    </row>
    <row r="278" spans="1:68" ht="14.25" customHeight="1" x14ac:dyDescent="0.25">
      <c r="A278" s="630" t="s">
        <v>88</v>
      </c>
      <c r="B278" s="630"/>
      <c r="C278" s="630"/>
      <c r="D278" s="630"/>
      <c r="E278" s="630"/>
      <c r="F278" s="630"/>
      <c r="G278" s="630"/>
      <c r="H278" s="630"/>
      <c r="I278" s="630"/>
      <c r="J278" s="630"/>
      <c r="K278" s="630"/>
      <c r="L278" s="630"/>
      <c r="M278" s="630"/>
      <c r="N278" s="630"/>
      <c r="O278" s="630"/>
      <c r="P278" s="630"/>
      <c r="Q278" s="630"/>
      <c r="R278" s="630"/>
      <c r="S278" s="630"/>
      <c r="T278" s="630"/>
      <c r="U278" s="630"/>
      <c r="V278" s="630"/>
      <c r="W278" s="630"/>
      <c r="X278" s="630"/>
      <c r="Y278" s="630"/>
      <c r="Z278" s="630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631">
        <v>4680115886186</v>
      </c>
      <c r="E279" s="631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33"/>
      <c r="R279" s="633"/>
      <c r="S279" s="633"/>
      <c r="T279" s="63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631">
        <v>4680115881228</v>
      </c>
      <c r="E280" s="631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45</v>
      </c>
      <c r="M280" s="38" t="s">
        <v>98</v>
      </c>
      <c r="N280" s="38"/>
      <c r="O280" s="37">
        <v>40</v>
      </c>
      <c r="P280" s="77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33"/>
      <c r="R280" s="633"/>
      <c r="S280" s="633"/>
      <c r="T280" s="634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631">
        <v>4680115881211</v>
      </c>
      <c r="E281" s="631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102</v>
      </c>
      <c r="M281" s="38" t="s">
        <v>92</v>
      </c>
      <c r="N281" s="38"/>
      <c r="O281" s="37">
        <v>45</v>
      </c>
      <c r="P281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33"/>
      <c r="R281" s="633"/>
      <c r="S281" s="633"/>
      <c r="T281" s="634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103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9"/>
      <c r="B282" s="639"/>
      <c r="C282" s="639"/>
      <c r="D282" s="639"/>
      <c r="E282" s="639"/>
      <c r="F282" s="639"/>
      <c r="G282" s="639"/>
      <c r="H282" s="639"/>
      <c r="I282" s="639"/>
      <c r="J282" s="639"/>
      <c r="K282" s="639"/>
      <c r="L282" s="639"/>
      <c r="M282" s="639"/>
      <c r="N282" s="639"/>
      <c r="O282" s="640"/>
      <c r="P282" s="636" t="s">
        <v>40</v>
      </c>
      <c r="Q282" s="637"/>
      <c r="R282" s="637"/>
      <c r="S282" s="637"/>
      <c r="T282" s="637"/>
      <c r="U282" s="637"/>
      <c r="V282" s="638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9"/>
      <c r="B283" s="639"/>
      <c r="C283" s="639"/>
      <c r="D283" s="639"/>
      <c r="E283" s="639"/>
      <c r="F283" s="639"/>
      <c r="G283" s="639"/>
      <c r="H283" s="639"/>
      <c r="I283" s="639"/>
      <c r="J283" s="639"/>
      <c r="K283" s="639"/>
      <c r="L283" s="639"/>
      <c r="M283" s="639"/>
      <c r="N283" s="639"/>
      <c r="O283" s="640"/>
      <c r="P283" s="636" t="s">
        <v>40</v>
      </c>
      <c r="Q283" s="637"/>
      <c r="R283" s="637"/>
      <c r="S283" s="637"/>
      <c r="T283" s="637"/>
      <c r="U283" s="637"/>
      <c r="V283" s="638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9" t="s">
        <v>470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5"/>
      <c r="AB284" s="65"/>
      <c r="AC284" s="79"/>
    </row>
    <row r="285" spans="1:68" ht="14.25" customHeight="1" x14ac:dyDescent="0.25">
      <c r="A285" s="630" t="s">
        <v>78</v>
      </c>
      <c r="B285" s="630"/>
      <c r="C285" s="630"/>
      <c r="D285" s="630"/>
      <c r="E285" s="630"/>
      <c r="F285" s="630"/>
      <c r="G285" s="630"/>
      <c r="H285" s="630"/>
      <c r="I285" s="630"/>
      <c r="J285" s="630"/>
      <c r="K285" s="630"/>
      <c r="L285" s="630"/>
      <c r="M285" s="630"/>
      <c r="N285" s="630"/>
      <c r="O285" s="630"/>
      <c r="P285" s="630"/>
      <c r="Q285" s="630"/>
      <c r="R285" s="630"/>
      <c r="S285" s="630"/>
      <c r="T285" s="630"/>
      <c r="U285" s="630"/>
      <c r="V285" s="630"/>
      <c r="W285" s="630"/>
      <c r="X285" s="630"/>
      <c r="Y285" s="630"/>
      <c r="Z285" s="630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631">
        <v>4680115880344</v>
      </c>
      <c r="E286" s="631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33"/>
      <c r="R286" s="633"/>
      <c r="S286" s="633"/>
      <c r="T286" s="634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631">
        <v>4680115886919</v>
      </c>
      <c r="E287" s="631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7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33"/>
      <c r="R287" s="633"/>
      <c r="S287" s="633"/>
      <c r="T287" s="634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9"/>
      <c r="B288" s="639"/>
      <c r="C288" s="639"/>
      <c r="D288" s="639"/>
      <c r="E288" s="639"/>
      <c r="F288" s="639"/>
      <c r="G288" s="639"/>
      <c r="H288" s="639"/>
      <c r="I288" s="639"/>
      <c r="J288" s="639"/>
      <c r="K288" s="639"/>
      <c r="L288" s="639"/>
      <c r="M288" s="639"/>
      <c r="N288" s="639"/>
      <c r="O288" s="640"/>
      <c r="P288" s="636" t="s">
        <v>40</v>
      </c>
      <c r="Q288" s="637"/>
      <c r="R288" s="637"/>
      <c r="S288" s="637"/>
      <c r="T288" s="637"/>
      <c r="U288" s="637"/>
      <c r="V288" s="638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9"/>
      <c r="B289" s="639"/>
      <c r="C289" s="639"/>
      <c r="D289" s="639"/>
      <c r="E289" s="639"/>
      <c r="F289" s="639"/>
      <c r="G289" s="639"/>
      <c r="H289" s="639"/>
      <c r="I289" s="639"/>
      <c r="J289" s="639"/>
      <c r="K289" s="639"/>
      <c r="L289" s="639"/>
      <c r="M289" s="639"/>
      <c r="N289" s="639"/>
      <c r="O289" s="640"/>
      <c r="P289" s="636" t="s">
        <v>40</v>
      </c>
      <c r="Q289" s="637"/>
      <c r="R289" s="637"/>
      <c r="S289" s="637"/>
      <c r="T289" s="637"/>
      <c r="U289" s="637"/>
      <c r="V289" s="638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30" t="s">
        <v>88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631">
        <v>4680115884618</v>
      </c>
      <c r="E291" s="631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121</v>
      </c>
      <c r="L291" s="37" t="s">
        <v>122</v>
      </c>
      <c r="M291" s="38" t="s">
        <v>92</v>
      </c>
      <c r="N291" s="38"/>
      <c r="O291" s="37">
        <v>45</v>
      </c>
      <c r="P29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33"/>
      <c r="R291" s="633"/>
      <c r="S291" s="633"/>
      <c r="T291" s="63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103</v>
      </c>
      <c r="AK291" s="84">
        <v>43.2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631">
        <v>4680115887114</v>
      </c>
      <c r="E292" s="631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121</v>
      </c>
      <c r="L292" s="37" t="s">
        <v>45</v>
      </c>
      <c r="M292" s="38" t="s">
        <v>92</v>
      </c>
      <c r="N292" s="38"/>
      <c r="O292" s="37">
        <v>45</v>
      </c>
      <c r="P292" s="7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33"/>
      <c r="R292" s="633"/>
      <c r="S292" s="633"/>
      <c r="T292" s="63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9"/>
      <c r="B293" s="639"/>
      <c r="C293" s="639"/>
      <c r="D293" s="639"/>
      <c r="E293" s="639"/>
      <c r="F293" s="639"/>
      <c r="G293" s="639"/>
      <c r="H293" s="639"/>
      <c r="I293" s="639"/>
      <c r="J293" s="639"/>
      <c r="K293" s="639"/>
      <c r="L293" s="639"/>
      <c r="M293" s="639"/>
      <c r="N293" s="639"/>
      <c r="O293" s="640"/>
      <c r="P293" s="636" t="s">
        <v>40</v>
      </c>
      <c r="Q293" s="637"/>
      <c r="R293" s="637"/>
      <c r="S293" s="637"/>
      <c r="T293" s="637"/>
      <c r="U293" s="637"/>
      <c r="V293" s="63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9"/>
      <c r="B294" s="639"/>
      <c r="C294" s="639"/>
      <c r="D294" s="639"/>
      <c r="E294" s="639"/>
      <c r="F294" s="639"/>
      <c r="G294" s="639"/>
      <c r="H294" s="639"/>
      <c r="I294" s="639"/>
      <c r="J294" s="639"/>
      <c r="K294" s="639"/>
      <c r="L294" s="639"/>
      <c r="M294" s="639"/>
      <c r="N294" s="639"/>
      <c r="O294" s="640"/>
      <c r="P294" s="636" t="s">
        <v>40</v>
      </c>
      <c r="Q294" s="637"/>
      <c r="R294" s="637"/>
      <c r="S294" s="637"/>
      <c r="T294" s="637"/>
      <c r="U294" s="637"/>
      <c r="V294" s="63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9" t="s">
        <v>483</v>
      </c>
      <c r="B295" s="629"/>
      <c r="C295" s="629"/>
      <c r="D295" s="629"/>
      <c r="E295" s="629"/>
      <c r="F295" s="629"/>
      <c r="G295" s="629"/>
      <c r="H295" s="629"/>
      <c r="I295" s="629"/>
      <c r="J295" s="629"/>
      <c r="K295" s="629"/>
      <c r="L295" s="629"/>
      <c r="M295" s="629"/>
      <c r="N295" s="629"/>
      <c r="O295" s="629"/>
      <c r="P295" s="629"/>
      <c r="Q295" s="629"/>
      <c r="R295" s="629"/>
      <c r="S295" s="629"/>
      <c r="T295" s="629"/>
      <c r="U295" s="629"/>
      <c r="V295" s="629"/>
      <c r="W295" s="629"/>
      <c r="X295" s="629"/>
      <c r="Y295" s="629"/>
      <c r="Z295" s="629"/>
      <c r="AA295" s="65"/>
      <c r="AB295" s="65"/>
      <c r="AC295" s="79"/>
    </row>
    <row r="296" spans="1:68" ht="14.25" customHeight="1" x14ac:dyDescent="0.25">
      <c r="A296" s="630" t="s">
        <v>112</v>
      </c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0"/>
      <c r="P296" s="630"/>
      <c r="Q296" s="630"/>
      <c r="R296" s="630"/>
      <c r="S296" s="630"/>
      <c r="T296" s="630"/>
      <c r="U296" s="630"/>
      <c r="V296" s="630"/>
      <c r="W296" s="630"/>
      <c r="X296" s="630"/>
      <c r="Y296" s="630"/>
      <c r="Z296" s="630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4301012126</v>
      </c>
      <c r="D297" s="631">
        <v>4607091386004</v>
      </c>
      <c r="E297" s="63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633"/>
      <c r="R297" s="633"/>
      <c r="S297" s="633"/>
      <c r="T297" s="63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2" si="31"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 t="shared" ref="BM297:BM302" si="32">IFERROR(X297*I297/H297,"0")</f>
        <v>0</v>
      </c>
      <c r="BN297" s="78">
        <f t="shared" ref="BN297:BN302" si="33">IFERROR(Y297*I297/H297,"0")</f>
        <v>0</v>
      </c>
      <c r="BO297" s="78">
        <f t="shared" ref="BO297:BO302" si="34">IFERROR(1/J297*(X297/H297),"0")</f>
        <v>0</v>
      </c>
      <c r="BP297" s="78">
        <f t="shared" ref="BP297:BP302" si="35"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4301012024</v>
      </c>
      <c r="D298" s="631">
        <v>4680115885615</v>
      </c>
      <c r="E298" s="631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118</v>
      </c>
      <c r="M298" s="38" t="s">
        <v>92</v>
      </c>
      <c r="N298" s="38"/>
      <c r="O298" s="37">
        <v>55</v>
      </c>
      <c r="P298" s="7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3"/>
      <c r="R298" s="633"/>
      <c r="S298" s="633"/>
      <c r="T298" s="63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103</v>
      </c>
      <c r="AK298" s="84">
        <v>86.4</v>
      </c>
      <c r="BB298" s="367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37.5" customHeight="1" x14ac:dyDescent="0.25">
      <c r="A299" s="63" t="s">
        <v>490</v>
      </c>
      <c r="B299" s="63" t="s">
        <v>491</v>
      </c>
      <c r="C299" s="36">
        <v>4301011858</v>
      </c>
      <c r="D299" s="631">
        <v>4680115885646</v>
      </c>
      <c r="E299" s="631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118</v>
      </c>
      <c r="M299" s="38" t="s">
        <v>116</v>
      </c>
      <c r="N299" s="38"/>
      <c r="O299" s="37">
        <v>55</v>
      </c>
      <c r="P299" s="7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3"/>
      <c r="R299" s="633"/>
      <c r="S299" s="633"/>
      <c r="T299" s="63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103</v>
      </c>
      <c r="AK299" s="84">
        <v>86.4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4301012016</v>
      </c>
      <c r="D300" s="631">
        <v>4680115885554</v>
      </c>
      <c r="E300" s="631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3"/>
      <c r="R300" s="633"/>
      <c r="S300" s="633"/>
      <c r="T300" s="63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495</v>
      </c>
      <c r="AG300" s="78"/>
      <c r="AJ300" s="84" t="s">
        <v>45</v>
      </c>
      <c r="AK300" s="84">
        <v>0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496</v>
      </c>
      <c r="B301" s="63" t="s">
        <v>497</v>
      </c>
      <c r="C301" s="36">
        <v>4301011857</v>
      </c>
      <c r="D301" s="631">
        <v>4680115885622</v>
      </c>
      <c r="E301" s="63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121</v>
      </c>
      <c r="L301" s="37" t="s">
        <v>122</v>
      </c>
      <c r="M301" s="38" t="s">
        <v>116</v>
      </c>
      <c r="N301" s="38"/>
      <c r="O301" s="37">
        <v>55</v>
      </c>
      <c r="P301" s="78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3"/>
      <c r="R301" s="633"/>
      <c r="S301" s="633"/>
      <c r="T301" s="63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489</v>
      </c>
      <c r="AG301" s="78"/>
      <c r="AJ301" s="84" t="s">
        <v>103</v>
      </c>
      <c r="AK301" s="84">
        <v>48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498</v>
      </c>
      <c r="B302" s="63" t="s">
        <v>499</v>
      </c>
      <c r="C302" s="36">
        <v>4301011859</v>
      </c>
      <c r="D302" s="631">
        <v>4680115885608</v>
      </c>
      <c r="E302" s="631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121</v>
      </c>
      <c r="L302" s="37" t="s">
        <v>122</v>
      </c>
      <c r="M302" s="38" t="s">
        <v>116</v>
      </c>
      <c r="N302" s="38"/>
      <c r="O302" s="37">
        <v>55</v>
      </c>
      <c r="P302" s="7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3"/>
      <c r="R302" s="633"/>
      <c r="S302" s="633"/>
      <c r="T302" s="63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500</v>
      </c>
      <c r="AG302" s="78"/>
      <c r="AJ302" s="84" t="s">
        <v>103</v>
      </c>
      <c r="AK302" s="84">
        <v>48</v>
      </c>
      <c r="BB302" s="375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x14ac:dyDescent="0.2">
      <c r="A303" s="639"/>
      <c r="B303" s="639"/>
      <c r="C303" s="639"/>
      <c r="D303" s="639"/>
      <c r="E303" s="639"/>
      <c r="F303" s="639"/>
      <c r="G303" s="639"/>
      <c r="H303" s="639"/>
      <c r="I303" s="639"/>
      <c r="J303" s="639"/>
      <c r="K303" s="639"/>
      <c r="L303" s="639"/>
      <c r="M303" s="639"/>
      <c r="N303" s="639"/>
      <c r="O303" s="640"/>
      <c r="P303" s="636" t="s">
        <v>40</v>
      </c>
      <c r="Q303" s="637"/>
      <c r="R303" s="637"/>
      <c r="S303" s="637"/>
      <c r="T303" s="637"/>
      <c r="U303" s="637"/>
      <c r="V303" s="638"/>
      <c r="W303" s="42" t="s">
        <v>39</v>
      </c>
      <c r="X303" s="43">
        <f>IFERROR(X297/H297,"0")+IFERROR(X298/H298,"0")+IFERROR(X299/H299,"0")+IFERROR(X300/H300,"0")+IFERROR(X301/H301,"0")+IFERROR(X302/H302,"0")</f>
        <v>0</v>
      </c>
      <c r="Y303" s="43">
        <f>IFERROR(Y297/H297,"0")+IFERROR(Y298/H298,"0")+IFERROR(Y299/H299,"0")+IFERROR(Y300/H300,"0")+IFERROR(Y301/H301,"0")+IFERROR(Y302/H302,"0")</f>
        <v>0</v>
      </c>
      <c r="Z303" s="43">
        <f>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39"/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40"/>
      <c r="P304" s="636" t="s">
        <v>40</v>
      </c>
      <c r="Q304" s="637"/>
      <c r="R304" s="637"/>
      <c r="S304" s="637"/>
      <c r="T304" s="637"/>
      <c r="U304" s="637"/>
      <c r="V304" s="638"/>
      <c r="W304" s="42" t="s">
        <v>0</v>
      </c>
      <c r="X304" s="43">
        <f>IFERROR(SUM(X297:X302),"0")</f>
        <v>0</v>
      </c>
      <c r="Y304" s="43">
        <f>IFERROR(SUM(Y297:Y302),"0")</f>
        <v>0</v>
      </c>
      <c r="Z304" s="42"/>
      <c r="AA304" s="67"/>
      <c r="AB304" s="67"/>
      <c r="AC304" s="67"/>
    </row>
    <row r="305" spans="1:68" ht="14.25" customHeight="1" x14ac:dyDescent="0.25">
      <c r="A305" s="630" t="s">
        <v>78</v>
      </c>
      <c r="B305" s="630"/>
      <c r="C305" s="630"/>
      <c r="D305" s="630"/>
      <c r="E305" s="630"/>
      <c r="F305" s="630"/>
      <c r="G305" s="630"/>
      <c r="H305" s="630"/>
      <c r="I305" s="630"/>
      <c r="J305" s="630"/>
      <c r="K305" s="630"/>
      <c r="L305" s="630"/>
      <c r="M305" s="630"/>
      <c r="N305" s="630"/>
      <c r="O305" s="630"/>
      <c r="P305" s="630"/>
      <c r="Q305" s="630"/>
      <c r="R305" s="630"/>
      <c r="S305" s="630"/>
      <c r="T305" s="630"/>
      <c r="U305" s="630"/>
      <c r="V305" s="630"/>
      <c r="W305" s="630"/>
      <c r="X305" s="630"/>
      <c r="Y305" s="630"/>
      <c r="Z305" s="630"/>
      <c r="AA305" s="66"/>
      <c r="AB305" s="66"/>
      <c r="AC305" s="80"/>
    </row>
    <row r="306" spans="1:68" ht="27" customHeight="1" x14ac:dyDescent="0.25">
      <c r="A306" s="63" t="s">
        <v>501</v>
      </c>
      <c r="B306" s="63" t="s">
        <v>502</v>
      </c>
      <c r="C306" s="36">
        <v>4301030878</v>
      </c>
      <c r="D306" s="631">
        <v>4607091387193</v>
      </c>
      <c r="E306" s="631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121</v>
      </c>
      <c r="L306" s="37" t="s">
        <v>122</v>
      </c>
      <c r="M306" s="38" t="s">
        <v>82</v>
      </c>
      <c r="N306" s="38"/>
      <c r="O306" s="37">
        <v>35</v>
      </c>
      <c r="P306" s="7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3"/>
      <c r="R306" s="633"/>
      <c r="S306" s="633"/>
      <c r="T306" s="63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6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103</v>
      </c>
      <c r="AK306" s="84">
        <v>50.4</v>
      </c>
      <c r="BB306" s="377" t="s">
        <v>66</v>
      </c>
      <c r="BM306" s="78">
        <f t="shared" ref="BM306:BM311" si="37">IFERROR(X306*I306/H306,"0")</f>
        <v>0</v>
      </c>
      <c r="BN306" s="78">
        <f t="shared" ref="BN306:BN311" si="38">IFERROR(Y306*I306/H306,"0")</f>
        <v>0</v>
      </c>
      <c r="BO306" s="78">
        <f t="shared" ref="BO306:BO311" si="39">IFERROR(1/J306*(X306/H306),"0")</f>
        <v>0</v>
      </c>
      <c r="BP306" s="78">
        <f t="shared" ref="BP306:BP311" si="40">IFERROR(1/J306*(Y306/H306),"0")</f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4301031153</v>
      </c>
      <c r="D307" s="631">
        <v>4607091387230</v>
      </c>
      <c r="E307" s="631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121</v>
      </c>
      <c r="L307" s="37" t="s">
        <v>122</v>
      </c>
      <c r="M307" s="38" t="s">
        <v>82</v>
      </c>
      <c r="N307" s="38"/>
      <c r="O307" s="37">
        <v>40</v>
      </c>
      <c r="P307" s="7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3"/>
      <c r="R307" s="633"/>
      <c r="S307" s="633"/>
      <c r="T307" s="63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6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103</v>
      </c>
      <c r="AK307" s="84">
        <v>50.4</v>
      </c>
      <c r="BB307" s="379" t="s">
        <v>66</v>
      </c>
      <c r="BM307" s="78">
        <f t="shared" si="37"/>
        <v>0</v>
      </c>
      <c r="BN307" s="78">
        <f t="shared" si="38"/>
        <v>0</v>
      </c>
      <c r="BO307" s="78">
        <f t="shared" si="39"/>
        <v>0</v>
      </c>
      <c r="BP307" s="78">
        <f t="shared" si="40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4301031154</v>
      </c>
      <c r="D308" s="631">
        <v>4607091387292</v>
      </c>
      <c r="E308" s="631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121</v>
      </c>
      <c r="L308" s="37" t="s">
        <v>45</v>
      </c>
      <c r="M308" s="38" t="s">
        <v>82</v>
      </c>
      <c r="N308" s="38"/>
      <c r="O308" s="37">
        <v>45</v>
      </c>
      <c r="P308" s="7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3"/>
      <c r="R308" s="633"/>
      <c r="S308" s="633"/>
      <c r="T308" s="63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509</v>
      </c>
      <c r="AG308" s="78"/>
      <c r="AJ308" s="84" t="s">
        <v>45</v>
      </c>
      <c r="AK308" s="84">
        <v>0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510</v>
      </c>
      <c r="B309" s="63" t="s">
        <v>511</v>
      </c>
      <c r="C309" s="36">
        <v>4301031152</v>
      </c>
      <c r="D309" s="631">
        <v>4607091387285</v>
      </c>
      <c r="E309" s="631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296</v>
      </c>
      <c r="M309" s="38" t="s">
        <v>82</v>
      </c>
      <c r="N309" s="38"/>
      <c r="O309" s="37">
        <v>40</v>
      </c>
      <c r="P309" s="7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3"/>
      <c r="R309" s="633"/>
      <c r="S309" s="633"/>
      <c r="T309" s="634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506</v>
      </c>
      <c r="AG309" s="78"/>
      <c r="AJ309" s="84" t="s">
        <v>103</v>
      </c>
      <c r="AK309" s="84">
        <v>37.799999999999997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4301031305</v>
      </c>
      <c r="D310" s="631">
        <v>4607091389845</v>
      </c>
      <c r="E310" s="631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296</v>
      </c>
      <c r="M310" s="38" t="s">
        <v>82</v>
      </c>
      <c r="N310" s="38"/>
      <c r="O310" s="37">
        <v>40</v>
      </c>
      <c r="P310" s="7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3"/>
      <c r="R310" s="633"/>
      <c r="S310" s="633"/>
      <c r="T310" s="634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103</v>
      </c>
      <c r="AK310" s="84">
        <v>37.799999999999997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ht="27" customHeight="1" x14ac:dyDescent="0.25">
      <c r="A311" s="63" t="s">
        <v>515</v>
      </c>
      <c r="B311" s="63" t="s">
        <v>516</v>
      </c>
      <c r="C311" s="36">
        <v>4301031066</v>
      </c>
      <c r="D311" s="631">
        <v>4607091383836</v>
      </c>
      <c r="E311" s="631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102</v>
      </c>
      <c r="M311" s="38" t="s">
        <v>82</v>
      </c>
      <c r="N311" s="38"/>
      <c r="O311" s="37">
        <v>40</v>
      </c>
      <c r="P311" s="7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3"/>
      <c r="R311" s="633"/>
      <c r="S311" s="633"/>
      <c r="T311" s="634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6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517</v>
      </c>
      <c r="AG311" s="78"/>
      <c r="AJ311" s="84" t="s">
        <v>103</v>
      </c>
      <c r="AK311" s="84">
        <v>25.2</v>
      </c>
      <c r="BB311" s="387" t="s">
        <v>66</v>
      </c>
      <c r="BM311" s="78">
        <f t="shared" si="37"/>
        <v>0</v>
      </c>
      <c r="BN311" s="78">
        <f t="shared" si="38"/>
        <v>0</v>
      </c>
      <c r="BO311" s="78">
        <f t="shared" si="39"/>
        <v>0</v>
      </c>
      <c r="BP311" s="78">
        <f t="shared" si="40"/>
        <v>0</v>
      </c>
    </row>
    <row r="312" spans="1:68" x14ac:dyDescent="0.2">
      <c r="A312" s="639"/>
      <c r="B312" s="639"/>
      <c r="C312" s="639"/>
      <c r="D312" s="639"/>
      <c r="E312" s="639"/>
      <c r="F312" s="639"/>
      <c r="G312" s="639"/>
      <c r="H312" s="639"/>
      <c r="I312" s="639"/>
      <c r="J312" s="639"/>
      <c r="K312" s="639"/>
      <c r="L312" s="639"/>
      <c r="M312" s="639"/>
      <c r="N312" s="639"/>
      <c r="O312" s="640"/>
      <c r="P312" s="636" t="s">
        <v>40</v>
      </c>
      <c r="Q312" s="637"/>
      <c r="R312" s="637"/>
      <c r="S312" s="637"/>
      <c r="T312" s="637"/>
      <c r="U312" s="637"/>
      <c r="V312" s="638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9"/>
      <c r="B313" s="639"/>
      <c r="C313" s="639"/>
      <c r="D313" s="639"/>
      <c r="E313" s="639"/>
      <c r="F313" s="639"/>
      <c r="G313" s="639"/>
      <c r="H313" s="639"/>
      <c r="I313" s="639"/>
      <c r="J313" s="639"/>
      <c r="K313" s="639"/>
      <c r="L313" s="639"/>
      <c r="M313" s="639"/>
      <c r="N313" s="639"/>
      <c r="O313" s="640"/>
      <c r="P313" s="636" t="s">
        <v>40</v>
      </c>
      <c r="Q313" s="637"/>
      <c r="R313" s="637"/>
      <c r="S313" s="637"/>
      <c r="T313" s="637"/>
      <c r="U313" s="637"/>
      <c r="V313" s="638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0" t="s">
        <v>88</v>
      </c>
      <c r="B314" s="630"/>
      <c r="C314" s="630"/>
      <c r="D314" s="630"/>
      <c r="E314" s="630"/>
      <c r="F314" s="630"/>
      <c r="G314" s="630"/>
      <c r="H314" s="630"/>
      <c r="I314" s="630"/>
      <c r="J314" s="630"/>
      <c r="K314" s="630"/>
      <c r="L314" s="630"/>
      <c r="M314" s="630"/>
      <c r="N314" s="630"/>
      <c r="O314" s="630"/>
      <c r="P314" s="630"/>
      <c r="Q314" s="630"/>
      <c r="R314" s="630"/>
      <c r="S314" s="630"/>
      <c r="T314" s="630"/>
      <c r="U314" s="630"/>
      <c r="V314" s="630"/>
      <c r="W314" s="630"/>
      <c r="X314" s="630"/>
      <c r="Y314" s="630"/>
      <c r="Z314" s="630"/>
      <c r="AA314" s="66"/>
      <c r="AB314" s="66"/>
      <c r="AC314" s="80"/>
    </row>
    <row r="315" spans="1:68" ht="27" customHeight="1" x14ac:dyDescent="0.25">
      <c r="A315" s="63" t="s">
        <v>518</v>
      </c>
      <c r="B315" s="63" t="s">
        <v>519</v>
      </c>
      <c r="C315" s="36">
        <v>4301051100</v>
      </c>
      <c r="D315" s="631">
        <v>4607091387766</v>
      </c>
      <c r="E315" s="631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118</v>
      </c>
      <c r="M315" s="38" t="s">
        <v>92</v>
      </c>
      <c r="N315" s="38"/>
      <c r="O315" s="37">
        <v>40</v>
      </c>
      <c r="P315" s="7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3"/>
      <c r="R315" s="633"/>
      <c r="S315" s="633"/>
      <c r="T315" s="63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103</v>
      </c>
      <c r="AK315" s="84">
        <v>62.4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4301051818</v>
      </c>
      <c r="D316" s="631">
        <v>4607091387957</v>
      </c>
      <c r="E316" s="63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3"/>
      <c r="R316" s="633"/>
      <c r="S316" s="633"/>
      <c r="T316" s="63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4301051819</v>
      </c>
      <c r="D317" s="631">
        <v>4607091387964</v>
      </c>
      <c r="E317" s="631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3"/>
      <c r="R317" s="633"/>
      <c r="S317" s="633"/>
      <c r="T317" s="63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527</v>
      </c>
      <c r="B318" s="63" t="s">
        <v>528</v>
      </c>
      <c r="C318" s="36">
        <v>4301051734</v>
      </c>
      <c r="D318" s="631">
        <v>4680115884588</v>
      </c>
      <c r="E318" s="631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102</v>
      </c>
      <c r="M318" s="38" t="s">
        <v>92</v>
      </c>
      <c r="N318" s="38"/>
      <c r="O318" s="37">
        <v>40</v>
      </c>
      <c r="P318" s="7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3"/>
      <c r="R318" s="633"/>
      <c r="S318" s="633"/>
      <c r="T318" s="634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529</v>
      </c>
      <c r="AG318" s="78"/>
      <c r="AJ318" s="84" t="s">
        <v>103</v>
      </c>
      <c r="AK318" s="84">
        <v>42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9"/>
      <c r="B319" s="639"/>
      <c r="C319" s="639"/>
      <c r="D319" s="639"/>
      <c r="E319" s="639"/>
      <c r="F319" s="639"/>
      <c r="G319" s="639"/>
      <c r="H319" s="639"/>
      <c r="I319" s="639"/>
      <c r="J319" s="639"/>
      <c r="K319" s="639"/>
      <c r="L319" s="639"/>
      <c r="M319" s="639"/>
      <c r="N319" s="639"/>
      <c r="O319" s="640"/>
      <c r="P319" s="636" t="s">
        <v>40</v>
      </c>
      <c r="Q319" s="637"/>
      <c r="R319" s="637"/>
      <c r="S319" s="637"/>
      <c r="T319" s="637"/>
      <c r="U319" s="637"/>
      <c r="V319" s="638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9"/>
      <c r="B320" s="639"/>
      <c r="C320" s="639"/>
      <c r="D320" s="639"/>
      <c r="E320" s="639"/>
      <c r="F320" s="639"/>
      <c r="G320" s="639"/>
      <c r="H320" s="639"/>
      <c r="I320" s="639"/>
      <c r="J320" s="639"/>
      <c r="K320" s="639"/>
      <c r="L320" s="639"/>
      <c r="M320" s="639"/>
      <c r="N320" s="639"/>
      <c r="O320" s="640"/>
      <c r="P320" s="636" t="s">
        <v>40</v>
      </c>
      <c r="Q320" s="637"/>
      <c r="R320" s="637"/>
      <c r="S320" s="637"/>
      <c r="T320" s="637"/>
      <c r="U320" s="637"/>
      <c r="V320" s="638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0" t="s">
        <v>172</v>
      </c>
      <c r="B321" s="630"/>
      <c r="C321" s="630"/>
      <c r="D321" s="630"/>
      <c r="E321" s="630"/>
      <c r="F321" s="630"/>
      <c r="G321" s="630"/>
      <c r="H321" s="630"/>
      <c r="I321" s="630"/>
      <c r="J321" s="630"/>
      <c r="K321" s="630"/>
      <c r="L321" s="630"/>
      <c r="M321" s="630"/>
      <c r="N321" s="630"/>
      <c r="O321" s="630"/>
      <c r="P321" s="630"/>
      <c r="Q321" s="630"/>
      <c r="R321" s="630"/>
      <c r="S321" s="630"/>
      <c r="T321" s="630"/>
      <c r="U321" s="630"/>
      <c r="V321" s="630"/>
      <c r="W321" s="630"/>
      <c r="X321" s="630"/>
      <c r="Y321" s="630"/>
      <c r="Z321" s="630"/>
      <c r="AA321" s="66"/>
      <c r="AB321" s="66"/>
      <c r="AC321" s="80"/>
    </row>
    <row r="322" spans="1:68" ht="27" customHeight="1" x14ac:dyDescent="0.25">
      <c r="A322" s="63" t="s">
        <v>530</v>
      </c>
      <c r="B322" s="63" t="s">
        <v>531</v>
      </c>
      <c r="C322" s="36">
        <v>4301060387</v>
      </c>
      <c r="D322" s="631">
        <v>4607091380880</v>
      </c>
      <c r="E322" s="631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7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3"/>
      <c r="R322" s="633"/>
      <c r="S322" s="633"/>
      <c r="T322" s="63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103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533</v>
      </c>
      <c r="B323" s="63" t="s">
        <v>534</v>
      </c>
      <c r="C323" s="36">
        <v>4301060406</v>
      </c>
      <c r="D323" s="631">
        <v>4607091384482</v>
      </c>
      <c r="E323" s="631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7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3"/>
      <c r="R323" s="633"/>
      <c r="S323" s="633"/>
      <c r="T323" s="63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103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536</v>
      </c>
      <c r="B324" s="63" t="s">
        <v>537</v>
      </c>
      <c r="C324" s="36">
        <v>4301060484</v>
      </c>
      <c r="D324" s="631">
        <v>4607091380897</v>
      </c>
      <c r="E324" s="631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118</v>
      </c>
      <c r="M324" s="38" t="s">
        <v>98</v>
      </c>
      <c r="N324" s="38"/>
      <c r="O324" s="37">
        <v>30</v>
      </c>
      <c r="P324" s="79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3"/>
      <c r="R324" s="633"/>
      <c r="S324" s="633"/>
      <c r="T324" s="63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538</v>
      </c>
      <c r="AG324" s="78"/>
      <c r="AJ324" s="84" t="s">
        <v>103</v>
      </c>
      <c r="AK324" s="84">
        <v>67.2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9"/>
      <c r="B325" s="639"/>
      <c r="C325" s="639"/>
      <c r="D325" s="639"/>
      <c r="E325" s="639"/>
      <c r="F325" s="639"/>
      <c r="G325" s="639"/>
      <c r="H325" s="639"/>
      <c r="I325" s="639"/>
      <c r="J325" s="639"/>
      <c r="K325" s="639"/>
      <c r="L325" s="639"/>
      <c r="M325" s="639"/>
      <c r="N325" s="639"/>
      <c r="O325" s="640"/>
      <c r="P325" s="636" t="s">
        <v>40</v>
      </c>
      <c r="Q325" s="637"/>
      <c r="R325" s="637"/>
      <c r="S325" s="637"/>
      <c r="T325" s="637"/>
      <c r="U325" s="637"/>
      <c r="V325" s="638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9"/>
      <c r="B326" s="639"/>
      <c r="C326" s="639"/>
      <c r="D326" s="639"/>
      <c r="E326" s="639"/>
      <c r="F326" s="639"/>
      <c r="G326" s="639"/>
      <c r="H326" s="639"/>
      <c r="I326" s="639"/>
      <c r="J326" s="639"/>
      <c r="K326" s="639"/>
      <c r="L326" s="639"/>
      <c r="M326" s="639"/>
      <c r="N326" s="639"/>
      <c r="O326" s="640"/>
      <c r="P326" s="636" t="s">
        <v>40</v>
      </c>
      <c r="Q326" s="637"/>
      <c r="R326" s="637"/>
      <c r="S326" s="637"/>
      <c r="T326" s="637"/>
      <c r="U326" s="637"/>
      <c r="V326" s="638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0" t="s">
        <v>104</v>
      </c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30"/>
      <c r="U327" s="630"/>
      <c r="V327" s="630"/>
      <c r="W327" s="630"/>
      <c r="X327" s="630"/>
      <c r="Y327" s="630"/>
      <c r="Z327" s="630"/>
      <c r="AA327" s="66"/>
      <c r="AB327" s="66"/>
      <c r="AC327" s="80"/>
    </row>
    <row r="328" spans="1:68" ht="27" customHeight="1" x14ac:dyDescent="0.25">
      <c r="A328" s="63" t="s">
        <v>539</v>
      </c>
      <c r="B328" s="63" t="s">
        <v>540</v>
      </c>
      <c r="C328" s="36">
        <v>4301030235</v>
      </c>
      <c r="D328" s="631">
        <v>4607091388381</v>
      </c>
      <c r="E328" s="631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121</v>
      </c>
      <c r="L328" s="37" t="s">
        <v>45</v>
      </c>
      <c r="M328" s="38" t="s">
        <v>109</v>
      </c>
      <c r="N328" s="38"/>
      <c r="O328" s="37">
        <v>180</v>
      </c>
      <c r="P328" s="7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3"/>
      <c r="R328" s="633"/>
      <c r="S328" s="633"/>
      <c r="T328" s="63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541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542</v>
      </c>
      <c r="B329" s="63" t="s">
        <v>543</v>
      </c>
      <c r="C329" s="36">
        <v>4301030232</v>
      </c>
      <c r="D329" s="631">
        <v>4607091388374</v>
      </c>
      <c r="E329" s="631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121</v>
      </c>
      <c r="L329" s="37" t="s">
        <v>45</v>
      </c>
      <c r="M329" s="38" t="s">
        <v>109</v>
      </c>
      <c r="N329" s="38"/>
      <c r="O329" s="37">
        <v>180</v>
      </c>
      <c r="P329" s="79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3"/>
      <c r="R329" s="633"/>
      <c r="S329" s="633"/>
      <c r="T329" s="63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541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544</v>
      </c>
      <c r="B330" s="63" t="s">
        <v>545</v>
      </c>
      <c r="C330" s="36">
        <v>4301032015</v>
      </c>
      <c r="D330" s="631">
        <v>4607091383102</v>
      </c>
      <c r="E330" s="631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45</v>
      </c>
      <c r="M330" s="38" t="s">
        <v>109</v>
      </c>
      <c r="N330" s="38"/>
      <c r="O330" s="37">
        <v>180</v>
      </c>
      <c r="P330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3"/>
      <c r="R330" s="633"/>
      <c r="S330" s="633"/>
      <c r="T330" s="63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541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546</v>
      </c>
      <c r="B331" s="63" t="s">
        <v>547</v>
      </c>
      <c r="C331" s="36">
        <v>4301030233</v>
      </c>
      <c r="D331" s="631">
        <v>4607091388404</v>
      </c>
      <c r="E331" s="631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102</v>
      </c>
      <c r="M331" s="38" t="s">
        <v>109</v>
      </c>
      <c r="N331" s="38"/>
      <c r="O331" s="37">
        <v>180</v>
      </c>
      <c r="P331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3"/>
      <c r="R331" s="633"/>
      <c r="S331" s="633"/>
      <c r="T331" s="634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541</v>
      </c>
      <c r="AG331" s="78"/>
      <c r="AJ331" s="84" t="s">
        <v>103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9"/>
      <c r="B332" s="639"/>
      <c r="C332" s="639"/>
      <c r="D332" s="639"/>
      <c r="E332" s="639"/>
      <c r="F332" s="639"/>
      <c r="G332" s="639"/>
      <c r="H332" s="639"/>
      <c r="I332" s="639"/>
      <c r="J332" s="639"/>
      <c r="K332" s="639"/>
      <c r="L332" s="639"/>
      <c r="M332" s="639"/>
      <c r="N332" s="639"/>
      <c r="O332" s="640"/>
      <c r="P332" s="636" t="s">
        <v>40</v>
      </c>
      <c r="Q332" s="637"/>
      <c r="R332" s="637"/>
      <c r="S332" s="637"/>
      <c r="T332" s="637"/>
      <c r="U332" s="637"/>
      <c r="V332" s="638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9"/>
      <c r="B333" s="639"/>
      <c r="C333" s="639"/>
      <c r="D333" s="639"/>
      <c r="E333" s="639"/>
      <c r="F333" s="639"/>
      <c r="G333" s="639"/>
      <c r="H333" s="639"/>
      <c r="I333" s="639"/>
      <c r="J333" s="639"/>
      <c r="K333" s="639"/>
      <c r="L333" s="639"/>
      <c r="M333" s="639"/>
      <c r="N333" s="639"/>
      <c r="O333" s="640"/>
      <c r="P333" s="636" t="s">
        <v>40</v>
      </c>
      <c r="Q333" s="637"/>
      <c r="R333" s="637"/>
      <c r="S333" s="637"/>
      <c r="T333" s="637"/>
      <c r="U333" s="637"/>
      <c r="V333" s="638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0" t="s">
        <v>548</v>
      </c>
      <c r="B334" s="630"/>
      <c r="C334" s="630"/>
      <c r="D334" s="630"/>
      <c r="E334" s="630"/>
      <c r="F334" s="630"/>
      <c r="G334" s="630"/>
      <c r="H334" s="630"/>
      <c r="I334" s="630"/>
      <c r="J334" s="630"/>
      <c r="K334" s="630"/>
      <c r="L334" s="630"/>
      <c r="M334" s="630"/>
      <c r="N334" s="630"/>
      <c r="O334" s="630"/>
      <c r="P334" s="630"/>
      <c r="Q334" s="630"/>
      <c r="R334" s="630"/>
      <c r="S334" s="630"/>
      <c r="T334" s="630"/>
      <c r="U334" s="630"/>
      <c r="V334" s="630"/>
      <c r="W334" s="630"/>
      <c r="X334" s="630"/>
      <c r="Y334" s="630"/>
      <c r="Z334" s="630"/>
      <c r="AA334" s="66"/>
      <c r="AB334" s="66"/>
      <c r="AC334" s="80"/>
    </row>
    <row r="335" spans="1:68" ht="16.5" customHeight="1" x14ac:dyDescent="0.25">
      <c r="A335" s="63" t="s">
        <v>549</v>
      </c>
      <c r="B335" s="63" t="s">
        <v>550</v>
      </c>
      <c r="C335" s="36">
        <v>4301180007</v>
      </c>
      <c r="D335" s="631">
        <v>4680115881808</v>
      </c>
      <c r="E335" s="631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552</v>
      </c>
      <c r="N335" s="38"/>
      <c r="O335" s="37">
        <v>730</v>
      </c>
      <c r="P335" s="80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3"/>
      <c r="R335" s="633"/>
      <c r="S335" s="633"/>
      <c r="T335" s="63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551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553</v>
      </c>
      <c r="B336" s="63" t="s">
        <v>554</v>
      </c>
      <c r="C336" s="36">
        <v>4301180006</v>
      </c>
      <c r="D336" s="631">
        <v>4680115881822</v>
      </c>
      <c r="E336" s="631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552</v>
      </c>
      <c r="N336" s="38"/>
      <c r="O336" s="37">
        <v>730</v>
      </c>
      <c r="P336" s="80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3"/>
      <c r="R336" s="633"/>
      <c r="S336" s="633"/>
      <c r="T336" s="63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551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555</v>
      </c>
      <c r="B337" s="63" t="s">
        <v>556</v>
      </c>
      <c r="C337" s="36">
        <v>4301180001</v>
      </c>
      <c r="D337" s="631">
        <v>4680115880016</v>
      </c>
      <c r="E337" s="631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552</v>
      </c>
      <c r="N337" s="38"/>
      <c r="O337" s="37">
        <v>730</v>
      </c>
      <c r="P337" s="80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3"/>
      <c r="R337" s="633"/>
      <c r="S337" s="633"/>
      <c r="T337" s="63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551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9"/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40"/>
      <c r="P338" s="636" t="s">
        <v>40</v>
      </c>
      <c r="Q338" s="637"/>
      <c r="R338" s="637"/>
      <c r="S338" s="637"/>
      <c r="T338" s="637"/>
      <c r="U338" s="637"/>
      <c r="V338" s="63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9"/>
      <c r="B339" s="639"/>
      <c r="C339" s="639"/>
      <c r="D339" s="639"/>
      <c r="E339" s="639"/>
      <c r="F339" s="639"/>
      <c r="G339" s="639"/>
      <c r="H339" s="639"/>
      <c r="I339" s="639"/>
      <c r="J339" s="639"/>
      <c r="K339" s="639"/>
      <c r="L339" s="639"/>
      <c r="M339" s="639"/>
      <c r="N339" s="639"/>
      <c r="O339" s="640"/>
      <c r="P339" s="636" t="s">
        <v>40</v>
      </c>
      <c r="Q339" s="637"/>
      <c r="R339" s="637"/>
      <c r="S339" s="637"/>
      <c r="T339" s="637"/>
      <c r="U339" s="637"/>
      <c r="V339" s="63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9" t="s">
        <v>557</v>
      </c>
      <c r="B340" s="629"/>
      <c r="C340" s="629"/>
      <c r="D340" s="629"/>
      <c r="E340" s="629"/>
      <c r="F340" s="629"/>
      <c r="G340" s="629"/>
      <c r="H340" s="629"/>
      <c r="I340" s="629"/>
      <c r="J340" s="629"/>
      <c r="K340" s="629"/>
      <c r="L340" s="629"/>
      <c r="M340" s="629"/>
      <c r="N340" s="629"/>
      <c r="O340" s="629"/>
      <c r="P340" s="629"/>
      <c r="Q340" s="629"/>
      <c r="R340" s="629"/>
      <c r="S340" s="629"/>
      <c r="T340" s="629"/>
      <c r="U340" s="629"/>
      <c r="V340" s="629"/>
      <c r="W340" s="629"/>
      <c r="X340" s="629"/>
      <c r="Y340" s="629"/>
      <c r="Z340" s="629"/>
      <c r="AA340" s="65"/>
      <c r="AB340" s="65"/>
      <c r="AC340" s="79"/>
    </row>
    <row r="341" spans="1:68" ht="14.25" customHeight="1" x14ac:dyDescent="0.25">
      <c r="A341" s="630" t="s">
        <v>88</v>
      </c>
      <c r="B341" s="630"/>
      <c r="C341" s="630"/>
      <c r="D341" s="630"/>
      <c r="E341" s="630"/>
      <c r="F341" s="630"/>
      <c r="G341" s="630"/>
      <c r="H341" s="630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30"/>
      <c r="U341" s="630"/>
      <c r="V341" s="630"/>
      <c r="W341" s="630"/>
      <c r="X341" s="630"/>
      <c r="Y341" s="630"/>
      <c r="Z341" s="630"/>
      <c r="AA341" s="66"/>
      <c r="AB341" s="66"/>
      <c r="AC341" s="80"/>
    </row>
    <row r="342" spans="1:68" ht="27" customHeight="1" x14ac:dyDescent="0.25">
      <c r="A342" s="63" t="s">
        <v>558</v>
      </c>
      <c r="B342" s="63" t="s">
        <v>559</v>
      </c>
      <c r="C342" s="36">
        <v>4301051489</v>
      </c>
      <c r="D342" s="631">
        <v>4607091387919</v>
      </c>
      <c r="E342" s="631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118</v>
      </c>
      <c r="M342" s="38" t="s">
        <v>98</v>
      </c>
      <c r="N342" s="38"/>
      <c r="O342" s="37">
        <v>45</v>
      </c>
      <c r="P342" s="8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3"/>
      <c r="R342" s="633"/>
      <c r="S342" s="633"/>
      <c r="T342" s="634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103</v>
      </c>
      <c r="AK342" s="84">
        <v>64.8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4301051461</v>
      </c>
      <c r="D343" s="631">
        <v>4680115883604</v>
      </c>
      <c r="E343" s="631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102</v>
      </c>
      <c r="M343" s="38" t="s">
        <v>92</v>
      </c>
      <c r="N343" s="38"/>
      <c r="O343" s="37">
        <v>45</v>
      </c>
      <c r="P343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3"/>
      <c r="R343" s="633"/>
      <c r="S343" s="633"/>
      <c r="T343" s="634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103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564</v>
      </c>
      <c r="B344" s="63" t="s">
        <v>565</v>
      </c>
      <c r="C344" s="36">
        <v>4301051864</v>
      </c>
      <c r="D344" s="631">
        <v>4680115883567</v>
      </c>
      <c r="E344" s="631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102</v>
      </c>
      <c r="M344" s="38" t="s">
        <v>98</v>
      </c>
      <c r="N344" s="38"/>
      <c r="O344" s="37">
        <v>40</v>
      </c>
      <c r="P344" s="80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3"/>
      <c r="R344" s="633"/>
      <c r="S344" s="633"/>
      <c r="T344" s="634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566</v>
      </c>
      <c r="AG344" s="78"/>
      <c r="AJ344" s="84" t="s">
        <v>103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9"/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40"/>
      <c r="P345" s="636" t="s">
        <v>40</v>
      </c>
      <c r="Q345" s="637"/>
      <c r="R345" s="637"/>
      <c r="S345" s="637"/>
      <c r="T345" s="637"/>
      <c r="U345" s="637"/>
      <c r="V345" s="63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39"/>
      <c r="B346" s="639"/>
      <c r="C346" s="639"/>
      <c r="D346" s="639"/>
      <c r="E346" s="639"/>
      <c r="F346" s="639"/>
      <c r="G346" s="639"/>
      <c r="H346" s="639"/>
      <c r="I346" s="639"/>
      <c r="J346" s="639"/>
      <c r="K346" s="639"/>
      <c r="L346" s="639"/>
      <c r="M346" s="639"/>
      <c r="N346" s="639"/>
      <c r="O346" s="640"/>
      <c r="P346" s="636" t="s">
        <v>40</v>
      </c>
      <c r="Q346" s="637"/>
      <c r="R346" s="637"/>
      <c r="S346" s="637"/>
      <c r="T346" s="637"/>
      <c r="U346" s="637"/>
      <c r="V346" s="63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28" t="s">
        <v>567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54"/>
      <c r="AB347" s="54"/>
      <c r="AC347" s="54"/>
    </row>
    <row r="348" spans="1:68" ht="16.5" customHeight="1" x14ac:dyDescent="0.25">
      <c r="A348" s="629" t="s">
        <v>568</v>
      </c>
      <c r="B348" s="629"/>
      <c r="C348" s="629"/>
      <c r="D348" s="629"/>
      <c r="E348" s="629"/>
      <c r="F348" s="629"/>
      <c r="G348" s="629"/>
      <c r="H348" s="629"/>
      <c r="I348" s="629"/>
      <c r="J348" s="629"/>
      <c r="K348" s="629"/>
      <c r="L348" s="629"/>
      <c r="M348" s="629"/>
      <c r="N348" s="629"/>
      <c r="O348" s="629"/>
      <c r="P348" s="629"/>
      <c r="Q348" s="629"/>
      <c r="R348" s="629"/>
      <c r="S348" s="629"/>
      <c r="T348" s="629"/>
      <c r="U348" s="629"/>
      <c r="V348" s="629"/>
      <c r="W348" s="629"/>
      <c r="X348" s="629"/>
      <c r="Y348" s="629"/>
      <c r="Z348" s="629"/>
      <c r="AA348" s="65"/>
      <c r="AB348" s="65"/>
      <c r="AC348" s="79"/>
    </row>
    <row r="349" spans="1:68" ht="14.25" customHeight="1" x14ac:dyDescent="0.25">
      <c r="A349" s="630" t="s">
        <v>112</v>
      </c>
      <c r="B349" s="630"/>
      <c r="C349" s="630"/>
      <c r="D349" s="630"/>
      <c r="E349" s="630"/>
      <c r="F349" s="630"/>
      <c r="G349" s="630"/>
      <c r="H349" s="630"/>
      <c r="I349" s="630"/>
      <c r="J349" s="630"/>
      <c r="K349" s="630"/>
      <c r="L349" s="630"/>
      <c r="M349" s="630"/>
      <c r="N349" s="630"/>
      <c r="O349" s="630"/>
      <c r="P349" s="630"/>
      <c r="Q349" s="630"/>
      <c r="R349" s="630"/>
      <c r="S349" s="630"/>
      <c r="T349" s="630"/>
      <c r="U349" s="630"/>
      <c r="V349" s="630"/>
      <c r="W349" s="630"/>
      <c r="X349" s="630"/>
      <c r="Y349" s="630"/>
      <c r="Z349" s="630"/>
      <c r="AA349" s="66"/>
      <c r="AB349" s="66"/>
      <c r="AC349" s="80"/>
    </row>
    <row r="350" spans="1:68" ht="37.5" customHeight="1" x14ac:dyDescent="0.25">
      <c r="A350" s="63" t="s">
        <v>569</v>
      </c>
      <c r="B350" s="63" t="s">
        <v>570</v>
      </c>
      <c r="C350" s="36">
        <v>4301011869</v>
      </c>
      <c r="D350" s="631">
        <v>4680115884847</v>
      </c>
      <c r="E350" s="63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3"/>
      <c r="R350" s="633"/>
      <c r="S350" s="633"/>
      <c r="T350" s="63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41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42">IFERROR(X350*I350/H350,"0")</f>
        <v>0</v>
      </c>
      <c r="BN350" s="78">
        <f t="shared" ref="BN350:BN356" si="43">IFERROR(Y350*I350/H350,"0")</f>
        <v>0</v>
      </c>
      <c r="BO350" s="78">
        <f t="shared" ref="BO350:BO356" si="44">IFERROR(1/J350*(X350/H350),"0")</f>
        <v>0</v>
      </c>
      <c r="BP350" s="78">
        <f t="shared" ref="BP350:BP356" si="45">IFERROR(1/J350*(Y350/H350),"0")</f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4301011870</v>
      </c>
      <c r="D351" s="631">
        <v>4680115884854</v>
      </c>
      <c r="E351" s="631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8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3"/>
      <c r="R351" s="633"/>
      <c r="S351" s="633"/>
      <c r="T351" s="63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4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42"/>
        <v>0</v>
      </c>
      <c r="BN351" s="78">
        <f t="shared" si="43"/>
        <v>0</v>
      </c>
      <c r="BO351" s="78">
        <f t="shared" si="44"/>
        <v>0</v>
      </c>
      <c r="BP351" s="78">
        <f t="shared" si="45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631">
        <v>4680115884830</v>
      </c>
      <c r="E352" s="63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82</v>
      </c>
      <c r="N352" s="38"/>
      <c r="O352" s="37">
        <v>60</v>
      </c>
      <c r="P352" s="8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3"/>
      <c r="R352" s="633"/>
      <c r="S352" s="633"/>
      <c r="T352" s="63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4301012215</v>
      </c>
      <c r="D353" s="631">
        <v>4680115887046</v>
      </c>
      <c r="E353" s="63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81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33"/>
      <c r="R353" s="633"/>
      <c r="S353" s="633"/>
      <c r="T353" s="63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4301011433</v>
      </c>
      <c r="D354" s="631">
        <v>4680115882638</v>
      </c>
      <c r="E354" s="63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90</v>
      </c>
      <c r="P354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3"/>
      <c r="R354" s="633"/>
      <c r="S354" s="633"/>
      <c r="T354" s="634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583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27" customHeight="1" x14ac:dyDescent="0.25">
      <c r="A355" s="63" t="s">
        <v>584</v>
      </c>
      <c r="B355" s="63" t="s">
        <v>585</v>
      </c>
      <c r="C355" s="36">
        <v>4301011952</v>
      </c>
      <c r="D355" s="631">
        <v>4680115884922</v>
      </c>
      <c r="E355" s="631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121</v>
      </c>
      <c r="L355" s="37" t="s">
        <v>45</v>
      </c>
      <c r="M355" s="38" t="s">
        <v>82</v>
      </c>
      <c r="N355" s="38"/>
      <c r="O355" s="37">
        <v>60</v>
      </c>
      <c r="P355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3"/>
      <c r="R355" s="633"/>
      <c r="S355" s="633"/>
      <c r="T355" s="634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ht="37.5" customHeight="1" x14ac:dyDescent="0.25">
      <c r="A356" s="63" t="s">
        <v>586</v>
      </c>
      <c r="B356" s="63" t="s">
        <v>587</v>
      </c>
      <c r="C356" s="36">
        <v>4301011868</v>
      </c>
      <c r="D356" s="631">
        <v>4680115884861</v>
      </c>
      <c r="E356" s="631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121</v>
      </c>
      <c r="L356" s="37" t="s">
        <v>122</v>
      </c>
      <c r="M356" s="38" t="s">
        <v>82</v>
      </c>
      <c r="N356" s="38"/>
      <c r="O356" s="37">
        <v>60</v>
      </c>
      <c r="P356" s="8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3"/>
      <c r="R356" s="633"/>
      <c r="S356" s="633"/>
      <c r="T356" s="634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41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577</v>
      </c>
      <c r="AG356" s="78"/>
      <c r="AJ356" s="84" t="s">
        <v>103</v>
      </c>
      <c r="AK356" s="84">
        <v>60</v>
      </c>
      <c r="BB356" s="435" t="s">
        <v>66</v>
      </c>
      <c r="BM356" s="78">
        <f t="shared" si="42"/>
        <v>0</v>
      </c>
      <c r="BN356" s="78">
        <f t="shared" si="43"/>
        <v>0</v>
      </c>
      <c r="BO356" s="78">
        <f t="shared" si="44"/>
        <v>0</v>
      </c>
      <c r="BP356" s="78">
        <f t="shared" si="45"/>
        <v>0</v>
      </c>
    </row>
    <row r="357" spans="1:68" x14ac:dyDescent="0.2">
      <c r="A357" s="639"/>
      <c r="B357" s="639"/>
      <c r="C357" s="639"/>
      <c r="D357" s="639"/>
      <c r="E357" s="639"/>
      <c r="F357" s="639"/>
      <c r="G357" s="639"/>
      <c r="H357" s="639"/>
      <c r="I357" s="639"/>
      <c r="J357" s="639"/>
      <c r="K357" s="639"/>
      <c r="L357" s="639"/>
      <c r="M357" s="639"/>
      <c r="N357" s="639"/>
      <c r="O357" s="640"/>
      <c r="P357" s="636" t="s">
        <v>40</v>
      </c>
      <c r="Q357" s="637"/>
      <c r="R357" s="637"/>
      <c r="S357" s="637"/>
      <c r="T357" s="637"/>
      <c r="U357" s="637"/>
      <c r="V357" s="638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39"/>
      <c r="B358" s="639"/>
      <c r="C358" s="639"/>
      <c r="D358" s="639"/>
      <c r="E358" s="639"/>
      <c r="F358" s="639"/>
      <c r="G358" s="639"/>
      <c r="H358" s="639"/>
      <c r="I358" s="639"/>
      <c r="J358" s="639"/>
      <c r="K358" s="639"/>
      <c r="L358" s="639"/>
      <c r="M358" s="639"/>
      <c r="N358" s="639"/>
      <c r="O358" s="640"/>
      <c r="P358" s="636" t="s">
        <v>40</v>
      </c>
      <c r="Q358" s="637"/>
      <c r="R358" s="637"/>
      <c r="S358" s="637"/>
      <c r="T358" s="637"/>
      <c r="U358" s="637"/>
      <c r="V358" s="638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0" t="s">
        <v>147</v>
      </c>
      <c r="B359" s="630"/>
      <c r="C359" s="630"/>
      <c r="D359" s="630"/>
      <c r="E359" s="630"/>
      <c r="F359" s="630"/>
      <c r="G359" s="630"/>
      <c r="H359" s="630"/>
      <c r="I359" s="630"/>
      <c r="J359" s="630"/>
      <c r="K359" s="630"/>
      <c r="L359" s="630"/>
      <c r="M359" s="630"/>
      <c r="N359" s="630"/>
      <c r="O359" s="630"/>
      <c r="P359" s="630"/>
      <c r="Q359" s="630"/>
      <c r="R359" s="630"/>
      <c r="S359" s="630"/>
      <c r="T359" s="630"/>
      <c r="U359" s="630"/>
      <c r="V359" s="630"/>
      <c r="W359" s="630"/>
      <c r="X359" s="630"/>
      <c r="Y359" s="630"/>
      <c r="Z359" s="630"/>
      <c r="AA359" s="66"/>
      <c r="AB359" s="66"/>
      <c r="AC359" s="80"/>
    </row>
    <row r="360" spans="1:68" ht="27" customHeight="1" x14ac:dyDescent="0.25">
      <c r="A360" s="63" t="s">
        <v>588</v>
      </c>
      <c r="B360" s="63" t="s">
        <v>589</v>
      </c>
      <c r="C360" s="36">
        <v>4301020178</v>
      </c>
      <c r="D360" s="631">
        <v>4607091383980</v>
      </c>
      <c r="E360" s="631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45</v>
      </c>
      <c r="M360" s="38" t="s">
        <v>116</v>
      </c>
      <c r="N360" s="38"/>
      <c r="O360" s="37">
        <v>50</v>
      </c>
      <c r="P360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3"/>
      <c r="R360" s="633"/>
      <c r="S360" s="633"/>
      <c r="T360" s="634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591</v>
      </c>
      <c r="B361" s="63" t="s">
        <v>592</v>
      </c>
      <c r="C361" s="36">
        <v>4301020179</v>
      </c>
      <c r="D361" s="631">
        <v>4607091384178</v>
      </c>
      <c r="E361" s="631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121</v>
      </c>
      <c r="L361" s="37" t="s">
        <v>45</v>
      </c>
      <c r="M361" s="38" t="s">
        <v>116</v>
      </c>
      <c r="N361" s="38"/>
      <c r="O361" s="37">
        <v>50</v>
      </c>
      <c r="P361" s="8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3"/>
      <c r="R361" s="633"/>
      <c r="S361" s="633"/>
      <c r="T361" s="634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593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39"/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40"/>
      <c r="P362" s="636" t="s">
        <v>40</v>
      </c>
      <c r="Q362" s="637"/>
      <c r="R362" s="637"/>
      <c r="S362" s="637"/>
      <c r="T362" s="637"/>
      <c r="U362" s="637"/>
      <c r="V362" s="638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39"/>
      <c r="B363" s="639"/>
      <c r="C363" s="639"/>
      <c r="D363" s="639"/>
      <c r="E363" s="639"/>
      <c r="F363" s="639"/>
      <c r="G363" s="639"/>
      <c r="H363" s="639"/>
      <c r="I363" s="639"/>
      <c r="J363" s="639"/>
      <c r="K363" s="639"/>
      <c r="L363" s="639"/>
      <c r="M363" s="639"/>
      <c r="N363" s="639"/>
      <c r="O363" s="640"/>
      <c r="P363" s="636" t="s">
        <v>40</v>
      </c>
      <c r="Q363" s="637"/>
      <c r="R363" s="637"/>
      <c r="S363" s="637"/>
      <c r="T363" s="637"/>
      <c r="U363" s="637"/>
      <c r="V363" s="638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0" t="s">
        <v>88</v>
      </c>
      <c r="B364" s="630"/>
      <c r="C364" s="630"/>
      <c r="D364" s="630"/>
      <c r="E364" s="630"/>
      <c r="F364" s="630"/>
      <c r="G364" s="630"/>
      <c r="H364" s="630"/>
      <c r="I364" s="630"/>
      <c r="J364" s="630"/>
      <c r="K364" s="630"/>
      <c r="L364" s="630"/>
      <c r="M364" s="630"/>
      <c r="N364" s="630"/>
      <c r="O364" s="630"/>
      <c r="P364" s="630"/>
      <c r="Q364" s="630"/>
      <c r="R364" s="630"/>
      <c r="S364" s="630"/>
      <c r="T364" s="630"/>
      <c r="U364" s="630"/>
      <c r="V364" s="630"/>
      <c r="W364" s="630"/>
      <c r="X364" s="630"/>
      <c r="Y364" s="630"/>
      <c r="Z364" s="630"/>
      <c r="AA364" s="66"/>
      <c r="AB364" s="66"/>
      <c r="AC364" s="80"/>
    </row>
    <row r="365" spans="1:68" ht="27" customHeight="1" x14ac:dyDescent="0.25">
      <c r="A365" s="63" t="s">
        <v>594</v>
      </c>
      <c r="B365" s="63" t="s">
        <v>595</v>
      </c>
      <c r="C365" s="36">
        <v>4301051903</v>
      </c>
      <c r="D365" s="631">
        <v>4607091383928</v>
      </c>
      <c r="E365" s="631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118</v>
      </c>
      <c r="M365" s="38" t="s">
        <v>92</v>
      </c>
      <c r="N365" s="38"/>
      <c r="O365" s="37">
        <v>40</v>
      </c>
      <c r="P365" s="8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3"/>
      <c r="R365" s="633"/>
      <c r="S365" s="633"/>
      <c r="T365" s="634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103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597</v>
      </c>
      <c r="B366" s="63" t="s">
        <v>598</v>
      </c>
      <c r="C366" s="36">
        <v>4301051897</v>
      </c>
      <c r="D366" s="631">
        <v>4607091384260</v>
      </c>
      <c r="E366" s="631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118</v>
      </c>
      <c r="M366" s="38" t="s">
        <v>92</v>
      </c>
      <c r="N366" s="38"/>
      <c r="O366" s="37">
        <v>40</v>
      </c>
      <c r="P366" s="8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3"/>
      <c r="R366" s="633"/>
      <c r="S366" s="633"/>
      <c r="T366" s="634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599</v>
      </c>
      <c r="AG366" s="78"/>
      <c r="AJ366" s="84" t="s">
        <v>103</v>
      </c>
      <c r="AK366" s="84">
        <v>72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9"/>
      <c r="B367" s="639"/>
      <c r="C367" s="639"/>
      <c r="D367" s="639"/>
      <c r="E367" s="639"/>
      <c r="F367" s="639"/>
      <c r="G367" s="639"/>
      <c r="H367" s="639"/>
      <c r="I367" s="639"/>
      <c r="J367" s="639"/>
      <c r="K367" s="639"/>
      <c r="L367" s="639"/>
      <c r="M367" s="639"/>
      <c r="N367" s="639"/>
      <c r="O367" s="640"/>
      <c r="P367" s="636" t="s">
        <v>40</v>
      </c>
      <c r="Q367" s="637"/>
      <c r="R367" s="637"/>
      <c r="S367" s="637"/>
      <c r="T367" s="637"/>
      <c r="U367" s="637"/>
      <c r="V367" s="638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39"/>
      <c r="B368" s="639"/>
      <c r="C368" s="639"/>
      <c r="D368" s="639"/>
      <c r="E368" s="639"/>
      <c r="F368" s="639"/>
      <c r="G368" s="639"/>
      <c r="H368" s="639"/>
      <c r="I368" s="639"/>
      <c r="J368" s="639"/>
      <c r="K368" s="639"/>
      <c r="L368" s="639"/>
      <c r="M368" s="639"/>
      <c r="N368" s="639"/>
      <c r="O368" s="640"/>
      <c r="P368" s="636" t="s">
        <v>40</v>
      </c>
      <c r="Q368" s="637"/>
      <c r="R368" s="637"/>
      <c r="S368" s="637"/>
      <c r="T368" s="637"/>
      <c r="U368" s="637"/>
      <c r="V368" s="638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0" t="s">
        <v>172</v>
      </c>
      <c r="B369" s="630"/>
      <c r="C369" s="630"/>
      <c r="D369" s="630"/>
      <c r="E369" s="630"/>
      <c r="F369" s="630"/>
      <c r="G369" s="630"/>
      <c r="H369" s="630"/>
      <c r="I369" s="630"/>
      <c r="J369" s="630"/>
      <c r="K369" s="630"/>
      <c r="L369" s="630"/>
      <c r="M369" s="630"/>
      <c r="N369" s="630"/>
      <c r="O369" s="630"/>
      <c r="P369" s="630"/>
      <c r="Q369" s="630"/>
      <c r="R369" s="630"/>
      <c r="S369" s="630"/>
      <c r="T369" s="630"/>
      <c r="U369" s="630"/>
      <c r="V369" s="630"/>
      <c r="W369" s="630"/>
      <c r="X369" s="630"/>
      <c r="Y369" s="630"/>
      <c r="Z369" s="630"/>
      <c r="AA369" s="66"/>
      <c r="AB369" s="66"/>
      <c r="AC369" s="80"/>
    </row>
    <row r="370" spans="1:68" ht="16.5" customHeight="1" x14ac:dyDescent="0.25">
      <c r="A370" s="63" t="s">
        <v>600</v>
      </c>
      <c r="B370" s="63" t="s">
        <v>601</v>
      </c>
      <c r="C370" s="36">
        <v>4301060524</v>
      </c>
      <c r="D370" s="631">
        <v>4607091384673</v>
      </c>
      <c r="E370" s="631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3"/>
      <c r="R370" s="633"/>
      <c r="S370" s="633"/>
      <c r="T370" s="634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602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9"/>
      <c r="B371" s="639"/>
      <c r="C371" s="639"/>
      <c r="D371" s="639"/>
      <c r="E371" s="639"/>
      <c r="F371" s="639"/>
      <c r="G371" s="639"/>
      <c r="H371" s="639"/>
      <c r="I371" s="639"/>
      <c r="J371" s="639"/>
      <c r="K371" s="639"/>
      <c r="L371" s="639"/>
      <c r="M371" s="639"/>
      <c r="N371" s="639"/>
      <c r="O371" s="640"/>
      <c r="P371" s="636" t="s">
        <v>40</v>
      </c>
      <c r="Q371" s="637"/>
      <c r="R371" s="637"/>
      <c r="S371" s="637"/>
      <c r="T371" s="637"/>
      <c r="U371" s="637"/>
      <c r="V371" s="638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39"/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40"/>
      <c r="P372" s="636" t="s">
        <v>40</v>
      </c>
      <c r="Q372" s="637"/>
      <c r="R372" s="637"/>
      <c r="S372" s="637"/>
      <c r="T372" s="637"/>
      <c r="U372" s="637"/>
      <c r="V372" s="638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29" t="s">
        <v>603</v>
      </c>
      <c r="B373" s="629"/>
      <c r="C373" s="629"/>
      <c r="D373" s="629"/>
      <c r="E373" s="629"/>
      <c r="F373" s="629"/>
      <c r="G373" s="629"/>
      <c r="H373" s="629"/>
      <c r="I373" s="629"/>
      <c r="J373" s="629"/>
      <c r="K373" s="629"/>
      <c r="L373" s="629"/>
      <c r="M373" s="629"/>
      <c r="N373" s="629"/>
      <c r="O373" s="629"/>
      <c r="P373" s="629"/>
      <c r="Q373" s="629"/>
      <c r="R373" s="629"/>
      <c r="S373" s="629"/>
      <c r="T373" s="629"/>
      <c r="U373" s="629"/>
      <c r="V373" s="629"/>
      <c r="W373" s="629"/>
      <c r="X373" s="629"/>
      <c r="Y373" s="629"/>
      <c r="Z373" s="629"/>
      <c r="AA373" s="65"/>
      <c r="AB373" s="65"/>
      <c r="AC373" s="79"/>
    </row>
    <row r="374" spans="1:68" ht="14.25" customHeight="1" x14ac:dyDescent="0.25">
      <c r="A374" s="630" t="s">
        <v>112</v>
      </c>
      <c r="B374" s="630"/>
      <c r="C374" s="630"/>
      <c r="D374" s="630"/>
      <c r="E374" s="630"/>
      <c r="F374" s="630"/>
      <c r="G374" s="630"/>
      <c r="H374" s="630"/>
      <c r="I374" s="630"/>
      <c r="J374" s="630"/>
      <c r="K374" s="630"/>
      <c r="L374" s="630"/>
      <c r="M374" s="630"/>
      <c r="N374" s="630"/>
      <c r="O374" s="630"/>
      <c r="P374" s="630"/>
      <c r="Q374" s="630"/>
      <c r="R374" s="630"/>
      <c r="S374" s="630"/>
      <c r="T374" s="630"/>
      <c r="U374" s="630"/>
      <c r="V374" s="630"/>
      <c r="W374" s="630"/>
      <c r="X374" s="630"/>
      <c r="Y374" s="630"/>
      <c r="Z374" s="630"/>
      <c r="AA374" s="66"/>
      <c r="AB374" s="66"/>
      <c r="AC374" s="80"/>
    </row>
    <row r="375" spans="1:68" ht="37.5" customHeight="1" x14ac:dyDescent="0.25">
      <c r="A375" s="63" t="s">
        <v>604</v>
      </c>
      <c r="B375" s="63" t="s">
        <v>605</v>
      </c>
      <c r="C375" s="36">
        <v>4301011875</v>
      </c>
      <c r="D375" s="631">
        <v>4680115884885</v>
      </c>
      <c r="E375" s="631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118</v>
      </c>
      <c r="M375" s="38" t="s">
        <v>82</v>
      </c>
      <c r="N375" s="38"/>
      <c r="O375" s="37">
        <v>60</v>
      </c>
      <c r="P375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3"/>
      <c r="R375" s="633"/>
      <c r="S375" s="633"/>
      <c r="T375" s="634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606</v>
      </c>
      <c r="AG375" s="78"/>
      <c r="AJ375" s="84" t="s">
        <v>103</v>
      </c>
      <c r="AK375" s="84">
        <v>96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607</v>
      </c>
      <c r="B376" s="63" t="s">
        <v>608</v>
      </c>
      <c r="C376" s="36">
        <v>4301011871</v>
      </c>
      <c r="D376" s="631">
        <v>4680115884908</v>
      </c>
      <c r="E376" s="631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121</v>
      </c>
      <c r="L376" s="37" t="s">
        <v>122</v>
      </c>
      <c r="M376" s="38" t="s">
        <v>82</v>
      </c>
      <c r="N376" s="38"/>
      <c r="O376" s="37">
        <v>60</v>
      </c>
      <c r="P376" s="8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3"/>
      <c r="R376" s="633"/>
      <c r="S376" s="633"/>
      <c r="T376" s="634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606</v>
      </c>
      <c r="AG376" s="78"/>
      <c r="AJ376" s="84" t="s">
        <v>103</v>
      </c>
      <c r="AK376" s="84">
        <v>48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9"/>
      <c r="B377" s="639"/>
      <c r="C377" s="639"/>
      <c r="D377" s="639"/>
      <c r="E377" s="639"/>
      <c r="F377" s="639"/>
      <c r="G377" s="639"/>
      <c r="H377" s="639"/>
      <c r="I377" s="639"/>
      <c r="J377" s="639"/>
      <c r="K377" s="639"/>
      <c r="L377" s="639"/>
      <c r="M377" s="639"/>
      <c r="N377" s="639"/>
      <c r="O377" s="640"/>
      <c r="P377" s="636" t="s">
        <v>40</v>
      </c>
      <c r="Q377" s="637"/>
      <c r="R377" s="637"/>
      <c r="S377" s="637"/>
      <c r="T377" s="637"/>
      <c r="U377" s="637"/>
      <c r="V377" s="638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39"/>
      <c r="B378" s="639"/>
      <c r="C378" s="639"/>
      <c r="D378" s="639"/>
      <c r="E378" s="639"/>
      <c r="F378" s="639"/>
      <c r="G378" s="639"/>
      <c r="H378" s="639"/>
      <c r="I378" s="639"/>
      <c r="J378" s="639"/>
      <c r="K378" s="639"/>
      <c r="L378" s="639"/>
      <c r="M378" s="639"/>
      <c r="N378" s="639"/>
      <c r="O378" s="640"/>
      <c r="P378" s="636" t="s">
        <v>40</v>
      </c>
      <c r="Q378" s="637"/>
      <c r="R378" s="637"/>
      <c r="S378" s="637"/>
      <c r="T378" s="637"/>
      <c r="U378" s="637"/>
      <c r="V378" s="638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0" t="s">
        <v>78</v>
      </c>
      <c r="B379" s="630"/>
      <c r="C379" s="630"/>
      <c r="D379" s="630"/>
      <c r="E379" s="630"/>
      <c r="F379" s="630"/>
      <c r="G379" s="630"/>
      <c r="H379" s="630"/>
      <c r="I379" s="630"/>
      <c r="J379" s="630"/>
      <c r="K379" s="630"/>
      <c r="L379" s="630"/>
      <c r="M379" s="630"/>
      <c r="N379" s="630"/>
      <c r="O379" s="630"/>
      <c r="P379" s="630"/>
      <c r="Q379" s="630"/>
      <c r="R379" s="630"/>
      <c r="S379" s="630"/>
      <c r="T379" s="630"/>
      <c r="U379" s="630"/>
      <c r="V379" s="630"/>
      <c r="W379" s="630"/>
      <c r="X379" s="630"/>
      <c r="Y379" s="630"/>
      <c r="Z379" s="630"/>
      <c r="AA379" s="66"/>
      <c r="AB379" s="66"/>
      <c r="AC379" s="80"/>
    </row>
    <row r="380" spans="1:68" ht="27" customHeight="1" x14ac:dyDescent="0.25">
      <c r="A380" s="63" t="s">
        <v>609</v>
      </c>
      <c r="B380" s="63" t="s">
        <v>610</v>
      </c>
      <c r="C380" s="36">
        <v>4301031303</v>
      </c>
      <c r="D380" s="631">
        <v>4607091384802</v>
      </c>
      <c r="E380" s="63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121</v>
      </c>
      <c r="L380" s="37" t="s">
        <v>122</v>
      </c>
      <c r="M380" s="38" t="s">
        <v>82</v>
      </c>
      <c r="N380" s="38"/>
      <c r="O380" s="37">
        <v>35</v>
      </c>
      <c r="P380" s="82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3"/>
      <c r="R380" s="633"/>
      <c r="S380" s="633"/>
      <c r="T380" s="634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611</v>
      </c>
      <c r="AG380" s="78"/>
      <c r="AJ380" s="84" t="s">
        <v>103</v>
      </c>
      <c r="AK380" s="84">
        <v>52.56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609</v>
      </c>
      <c r="B381" s="63" t="s">
        <v>612</v>
      </c>
      <c r="C381" s="36">
        <v>4301031457</v>
      </c>
      <c r="D381" s="631">
        <v>4607091384802</v>
      </c>
      <c r="E381" s="631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121</v>
      </c>
      <c r="L381" s="37" t="s">
        <v>45</v>
      </c>
      <c r="M381" s="38" t="s">
        <v>82</v>
      </c>
      <c r="N381" s="38"/>
      <c r="O381" s="37">
        <v>50</v>
      </c>
      <c r="P381" s="82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633"/>
      <c r="R381" s="633"/>
      <c r="S381" s="633"/>
      <c r="T381" s="63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613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39"/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40"/>
      <c r="P382" s="636" t="s">
        <v>40</v>
      </c>
      <c r="Q382" s="637"/>
      <c r="R382" s="637"/>
      <c r="S382" s="637"/>
      <c r="T382" s="637"/>
      <c r="U382" s="637"/>
      <c r="V382" s="638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39"/>
      <c r="B383" s="639"/>
      <c r="C383" s="639"/>
      <c r="D383" s="639"/>
      <c r="E383" s="639"/>
      <c r="F383" s="639"/>
      <c r="G383" s="639"/>
      <c r="H383" s="639"/>
      <c r="I383" s="639"/>
      <c r="J383" s="639"/>
      <c r="K383" s="639"/>
      <c r="L383" s="639"/>
      <c r="M383" s="639"/>
      <c r="N383" s="639"/>
      <c r="O383" s="640"/>
      <c r="P383" s="636" t="s">
        <v>40</v>
      </c>
      <c r="Q383" s="637"/>
      <c r="R383" s="637"/>
      <c r="S383" s="637"/>
      <c r="T383" s="637"/>
      <c r="U383" s="637"/>
      <c r="V383" s="638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0" t="s">
        <v>88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customHeight="1" x14ac:dyDescent="0.25">
      <c r="A385" s="63" t="s">
        <v>614</v>
      </c>
      <c r="B385" s="63" t="s">
        <v>615</v>
      </c>
      <c r="C385" s="36">
        <v>4301051899</v>
      </c>
      <c r="D385" s="631">
        <v>4607091384246</v>
      </c>
      <c r="E385" s="631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8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3"/>
      <c r="R385" s="633"/>
      <c r="S385" s="633"/>
      <c r="T385" s="634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103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617</v>
      </c>
      <c r="B386" s="63" t="s">
        <v>618</v>
      </c>
      <c r="C386" s="36">
        <v>4301051660</v>
      </c>
      <c r="D386" s="631">
        <v>4607091384253</v>
      </c>
      <c r="E386" s="631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102</v>
      </c>
      <c r="M386" s="38" t="s">
        <v>92</v>
      </c>
      <c r="N386" s="38"/>
      <c r="O386" s="37">
        <v>40</v>
      </c>
      <c r="P386" s="82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3"/>
      <c r="R386" s="633"/>
      <c r="S386" s="633"/>
      <c r="T386" s="634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616</v>
      </c>
      <c r="AG386" s="78"/>
      <c r="AJ386" s="84" t="s">
        <v>103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617</v>
      </c>
      <c r="B387" s="63" t="s">
        <v>619</v>
      </c>
      <c r="C387" s="36">
        <v>4301052069</v>
      </c>
      <c r="D387" s="631">
        <v>4607091384253</v>
      </c>
      <c r="E387" s="631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3"/>
      <c r="R387" s="633"/>
      <c r="S387" s="633"/>
      <c r="T387" s="634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620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39"/>
      <c r="B388" s="639"/>
      <c r="C388" s="639"/>
      <c r="D388" s="639"/>
      <c r="E388" s="639"/>
      <c r="F388" s="639"/>
      <c r="G388" s="639"/>
      <c r="H388" s="639"/>
      <c r="I388" s="639"/>
      <c r="J388" s="639"/>
      <c r="K388" s="639"/>
      <c r="L388" s="639"/>
      <c r="M388" s="639"/>
      <c r="N388" s="639"/>
      <c r="O388" s="640"/>
      <c r="P388" s="636" t="s">
        <v>40</v>
      </c>
      <c r="Q388" s="637"/>
      <c r="R388" s="637"/>
      <c r="S388" s="637"/>
      <c r="T388" s="637"/>
      <c r="U388" s="637"/>
      <c r="V388" s="63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39"/>
      <c r="B389" s="639"/>
      <c r="C389" s="639"/>
      <c r="D389" s="639"/>
      <c r="E389" s="639"/>
      <c r="F389" s="639"/>
      <c r="G389" s="639"/>
      <c r="H389" s="639"/>
      <c r="I389" s="639"/>
      <c r="J389" s="639"/>
      <c r="K389" s="639"/>
      <c r="L389" s="639"/>
      <c r="M389" s="639"/>
      <c r="N389" s="639"/>
      <c r="O389" s="640"/>
      <c r="P389" s="636" t="s">
        <v>40</v>
      </c>
      <c r="Q389" s="637"/>
      <c r="R389" s="637"/>
      <c r="S389" s="637"/>
      <c r="T389" s="637"/>
      <c r="U389" s="637"/>
      <c r="V389" s="63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28" t="s">
        <v>621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54"/>
      <c r="AB390" s="54"/>
      <c r="AC390" s="54"/>
    </row>
    <row r="391" spans="1:68" ht="16.5" customHeight="1" x14ac:dyDescent="0.25">
      <c r="A391" s="629" t="s">
        <v>622</v>
      </c>
      <c r="B391" s="629"/>
      <c r="C391" s="629"/>
      <c r="D391" s="629"/>
      <c r="E391" s="629"/>
      <c r="F391" s="629"/>
      <c r="G391" s="629"/>
      <c r="H391" s="629"/>
      <c r="I391" s="629"/>
      <c r="J391" s="629"/>
      <c r="K391" s="629"/>
      <c r="L391" s="629"/>
      <c r="M391" s="629"/>
      <c r="N391" s="629"/>
      <c r="O391" s="629"/>
      <c r="P391" s="629"/>
      <c r="Q391" s="629"/>
      <c r="R391" s="629"/>
      <c r="S391" s="629"/>
      <c r="T391" s="629"/>
      <c r="U391" s="629"/>
      <c r="V391" s="629"/>
      <c r="W391" s="629"/>
      <c r="X391" s="629"/>
      <c r="Y391" s="629"/>
      <c r="Z391" s="629"/>
      <c r="AA391" s="65"/>
      <c r="AB391" s="65"/>
      <c r="AC391" s="79"/>
    </row>
    <row r="392" spans="1:68" ht="14.25" customHeight="1" x14ac:dyDescent="0.25">
      <c r="A392" s="630" t="s">
        <v>78</v>
      </c>
      <c r="B392" s="630"/>
      <c r="C392" s="630"/>
      <c r="D392" s="630"/>
      <c r="E392" s="630"/>
      <c r="F392" s="630"/>
      <c r="G392" s="630"/>
      <c r="H392" s="630"/>
      <c r="I392" s="630"/>
      <c r="J392" s="630"/>
      <c r="K392" s="630"/>
      <c r="L392" s="630"/>
      <c r="M392" s="630"/>
      <c r="N392" s="630"/>
      <c r="O392" s="630"/>
      <c r="P392" s="630"/>
      <c r="Q392" s="630"/>
      <c r="R392" s="630"/>
      <c r="S392" s="630"/>
      <c r="T392" s="630"/>
      <c r="U392" s="630"/>
      <c r="V392" s="630"/>
      <c r="W392" s="630"/>
      <c r="X392" s="630"/>
      <c r="Y392" s="630"/>
      <c r="Z392" s="630"/>
      <c r="AA392" s="66"/>
      <c r="AB392" s="66"/>
      <c r="AC392" s="80"/>
    </row>
    <row r="393" spans="1:68" ht="27" customHeight="1" x14ac:dyDescent="0.25">
      <c r="A393" s="63" t="s">
        <v>623</v>
      </c>
      <c r="B393" s="63" t="s">
        <v>624</v>
      </c>
      <c r="C393" s="36">
        <v>4301031405</v>
      </c>
      <c r="D393" s="631">
        <v>4680115886100</v>
      </c>
      <c r="E393" s="631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121</v>
      </c>
      <c r="L393" s="37" t="s">
        <v>122</v>
      </c>
      <c r="M393" s="38" t="s">
        <v>82</v>
      </c>
      <c r="N393" s="38"/>
      <c r="O393" s="37">
        <v>50</v>
      </c>
      <c r="P393" s="82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3"/>
      <c r="R393" s="633"/>
      <c r="S393" s="633"/>
      <c r="T393" s="63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6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103</v>
      </c>
      <c r="AK393" s="84">
        <v>64.8</v>
      </c>
      <c r="BB393" s="461" t="s">
        <v>66</v>
      </c>
      <c r="BM393" s="78">
        <f t="shared" ref="BM393:BM401" si="47">IFERROR(X393*I393/H393,"0")</f>
        <v>0</v>
      </c>
      <c r="BN393" s="78">
        <f t="shared" ref="BN393:BN401" si="48">IFERROR(Y393*I393/H393,"0")</f>
        <v>0</v>
      </c>
      <c r="BO393" s="78">
        <f t="shared" ref="BO393:BO401" si="49">IFERROR(1/J393*(X393/H393),"0")</f>
        <v>0</v>
      </c>
      <c r="BP393" s="78">
        <f t="shared" ref="BP393:BP401" si="50">IFERROR(1/J393*(Y393/H393),"0")</f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4301031406</v>
      </c>
      <c r="D394" s="631">
        <v>4680115886117</v>
      </c>
      <c r="E394" s="631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121</v>
      </c>
      <c r="L394" s="37" t="s">
        <v>45</v>
      </c>
      <c r="M394" s="38" t="s">
        <v>82</v>
      </c>
      <c r="N394" s="38"/>
      <c r="O394" s="37">
        <v>50</v>
      </c>
      <c r="P394" s="82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3"/>
      <c r="R394" s="633"/>
      <c r="S394" s="633"/>
      <c r="T394" s="63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6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7"/>
        <v>0</v>
      </c>
      <c r="BN394" s="78">
        <f t="shared" si="48"/>
        <v>0</v>
      </c>
      <c r="BO394" s="78">
        <f t="shared" si="49"/>
        <v>0</v>
      </c>
      <c r="BP394" s="78">
        <f t="shared" si="5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4301031402</v>
      </c>
      <c r="D395" s="631">
        <v>4680115886124</v>
      </c>
      <c r="E395" s="631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121</v>
      </c>
      <c r="L395" s="37" t="s">
        <v>122</v>
      </c>
      <c r="M395" s="38" t="s">
        <v>82</v>
      </c>
      <c r="N395" s="38"/>
      <c r="O395" s="37">
        <v>50</v>
      </c>
      <c r="P395" s="8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3"/>
      <c r="R395" s="633"/>
      <c r="S395" s="633"/>
      <c r="T395" s="63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103</v>
      </c>
      <c r="AK395" s="84">
        <v>64.8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4301031366</v>
      </c>
      <c r="D396" s="631">
        <v>4680115883147</v>
      </c>
      <c r="E396" s="631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3"/>
      <c r="R396" s="633"/>
      <c r="S396" s="633"/>
      <c r="T396" s="63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 t="shared" ref="Z396:Z401" si="51">IFERROR(IF(Y396=0,"",ROUNDUP(Y396/H396,0)*0.00502),"")</f>
        <v/>
      </c>
      <c r="AA396" s="68" t="s">
        <v>45</v>
      </c>
      <c r="AB396" s="69" t="s">
        <v>45</v>
      </c>
      <c r="AC396" s="466" t="s">
        <v>625</v>
      </c>
      <c r="AG396" s="78"/>
      <c r="AJ396" s="84" t="s">
        <v>45</v>
      </c>
      <c r="AK396" s="84">
        <v>0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27" customHeight="1" x14ac:dyDescent="0.25">
      <c r="A397" s="63" t="s">
        <v>634</v>
      </c>
      <c r="B397" s="63" t="s">
        <v>635</v>
      </c>
      <c r="C397" s="36">
        <v>4301031362</v>
      </c>
      <c r="D397" s="631">
        <v>4607091384338</v>
      </c>
      <c r="E397" s="63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3"/>
      <c r="R397" s="633"/>
      <c r="S397" s="633"/>
      <c r="T397" s="63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si="51"/>
        <v/>
      </c>
      <c r="AA397" s="68" t="s">
        <v>45</v>
      </c>
      <c r="AB397" s="69" t="s">
        <v>45</v>
      </c>
      <c r="AC397" s="468" t="s">
        <v>625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37.5" customHeight="1" x14ac:dyDescent="0.25">
      <c r="A398" s="63" t="s">
        <v>636</v>
      </c>
      <c r="B398" s="63" t="s">
        <v>637</v>
      </c>
      <c r="C398" s="36">
        <v>4301031361</v>
      </c>
      <c r="D398" s="631">
        <v>4607091389524</v>
      </c>
      <c r="E398" s="631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3"/>
      <c r="R398" s="633"/>
      <c r="S398" s="633"/>
      <c r="T398" s="634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4301031364</v>
      </c>
      <c r="D399" s="631">
        <v>4680115883161</v>
      </c>
      <c r="E399" s="631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3"/>
      <c r="R399" s="633"/>
      <c r="S399" s="633"/>
      <c r="T399" s="634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27" customHeight="1" x14ac:dyDescent="0.25">
      <c r="A400" s="63" t="s">
        <v>642</v>
      </c>
      <c r="B400" s="63" t="s">
        <v>643</v>
      </c>
      <c r="C400" s="36">
        <v>4301031358</v>
      </c>
      <c r="D400" s="631">
        <v>4607091389531</v>
      </c>
      <c r="E400" s="631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3"/>
      <c r="R400" s="633"/>
      <c r="S400" s="633"/>
      <c r="T400" s="634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644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ht="37.5" customHeight="1" x14ac:dyDescent="0.25">
      <c r="A401" s="63" t="s">
        <v>645</v>
      </c>
      <c r="B401" s="63" t="s">
        <v>646</v>
      </c>
      <c r="C401" s="36">
        <v>4301031360</v>
      </c>
      <c r="D401" s="631">
        <v>4607091384345</v>
      </c>
      <c r="E401" s="631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3"/>
      <c r="R401" s="633"/>
      <c r="S401" s="633"/>
      <c r="T401" s="634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6"/>
        <v>0</v>
      </c>
      <c r="Z401" s="41" t="str">
        <f t="shared" si="51"/>
        <v/>
      </c>
      <c r="AA401" s="68" t="s">
        <v>45</v>
      </c>
      <c r="AB401" s="69" t="s">
        <v>45</v>
      </c>
      <c r="AC401" s="476" t="s">
        <v>641</v>
      </c>
      <c r="AG401" s="78"/>
      <c r="AJ401" s="84" t="s">
        <v>45</v>
      </c>
      <c r="AK401" s="84">
        <v>0</v>
      </c>
      <c r="BB401" s="477" t="s">
        <v>66</v>
      </c>
      <c r="BM401" s="78">
        <f t="shared" si="47"/>
        <v>0</v>
      </c>
      <c r="BN401" s="78">
        <f t="shared" si="48"/>
        <v>0</v>
      </c>
      <c r="BO401" s="78">
        <f t="shared" si="49"/>
        <v>0</v>
      </c>
      <c r="BP401" s="78">
        <f t="shared" si="50"/>
        <v>0</v>
      </c>
    </row>
    <row r="402" spans="1:68" x14ac:dyDescent="0.2">
      <c r="A402" s="639"/>
      <c r="B402" s="639"/>
      <c r="C402" s="639"/>
      <c r="D402" s="639"/>
      <c r="E402" s="639"/>
      <c r="F402" s="639"/>
      <c r="G402" s="639"/>
      <c r="H402" s="639"/>
      <c r="I402" s="639"/>
      <c r="J402" s="639"/>
      <c r="K402" s="639"/>
      <c r="L402" s="639"/>
      <c r="M402" s="639"/>
      <c r="N402" s="639"/>
      <c r="O402" s="640"/>
      <c r="P402" s="636" t="s">
        <v>40</v>
      </c>
      <c r="Q402" s="637"/>
      <c r="R402" s="637"/>
      <c r="S402" s="637"/>
      <c r="T402" s="637"/>
      <c r="U402" s="637"/>
      <c r="V402" s="638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39"/>
      <c r="B403" s="639"/>
      <c r="C403" s="639"/>
      <c r="D403" s="639"/>
      <c r="E403" s="639"/>
      <c r="F403" s="639"/>
      <c r="G403" s="639"/>
      <c r="H403" s="639"/>
      <c r="I403" s="639"/>
      <c r="J403" s="639"/>
      <c r="K403" s="639"/>
      <c r="L403" s="639"/>
      <c r="M403" s="639"/>
      <c r="N403" s="639"/>
      <c r="O403" s="640"/>
      <c r="P403" s="636" t="s">
        <v>40</v>
      </c>
      <c r="Q403" s="637"/>
      <c r="R403" s="637"/>
      <c r="S403" s="637"/>
      <c r="T403" s="637"/>
      <c r="U403" s="637"/>
      <c r="V403" s="638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0" t="s">
        <v>88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 x14ac:dyDescent="0.25">
      <c r="A405" s="63" t="s">
        <v>647</v>
      </c>
      <c r="B405" s="63" t="s">
        <v>648</v>
      </c>
      <c r="C405" s="36">
        <v>4301051284</v>
      </c>
      <c r="D405" s="631">
        <v>4607091384352</v>
      </c>
      <c r="E405" s="631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121</v>
      </c>
      <c r="L405" s="37" t="s">
        <v>122</v>
      </c>
      <c r="M405" s="38" t="s">
        <v>92</v>
      </c>
      <c r="N405" s="38"/>
      <c r="O405" s="37">
        <v>45</v>
      </c>
      <c r="P405" s="8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3"/>
      <c r="R405" s="633"/>
      <c r="S405" s="633"/>
      <c r="T405" s="634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103</v>
      </c>
      <c r="AK405" s="84">
        <v>28.8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650</v>
      </c>
      <c r="B406" s="63" t="s">
        <v>651</v>
      </c>
      <c r="C406" s="36">
        <v>4301051431</v>
      </c>
      <c r="D406" s="631">
        <v>4607091389654</v>
      </c>
      <c r="E406" s="631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102</v>
      </c>
      <c r="M406" s="38" t="s">
        <v>92</v>
      </c>
      <c r="N406" s="38"/>
      <c r="O406" s="37">
        <v>45</v>
      </c>
      <c r="P406" s="8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3"/>
      <c r="R406" s="633"/>
      <c r="S406" s="633"/>
      <c r="T406" s="634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652</v>
      </c>
      <c r="AG406" s="78"/>
      <c r="AJ406" s="84" t="s">
        <v>103</v>
      </c>
      <c r="AK406" s="84">
        <v>27.72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39"/>
      <c r="B407" s="639"/>
      <c r="C407" s="639"/>
      <c r="D407" s="639"/>
      <c r="E407" s="639"/>
      <c r="F407" s="639"/>
      <c r="G407" s="639"/>
      <c r="H407" s="639"/>
      <c r="I407" s="639"/>
      <c r="J407" s="639"/>
      <c r="K407" s="639"/>
      <c r="L407" s="639"/>
      <c r="M407" s="639"/>
      <c r="N407" s="639"/>
      <c r="O407" s="640"/>
      <c r="P407" s="636" t="s">
        <v>40</v>
      </c>
      <c r="Q407" s="637"/>
      <c r="R407" s="637"/>
      <c r="S407" s="637"/>
      <c r="T407" s="637"/>
      <c r="U407" s="637"/>
      <c r="V407" s="638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39"/>
      <c r="B408" s="639"/>
      <c r="C408" s="639"/>
      <c r="D408" s="639"/>
      <c r="E408" s="639"/>
      <c r="F408" s="639"/>
      <c r="G408" s="639"/>
      <c r="H408" s="639"/>
      <c r="I408" s="639"/>
      <c r="J408" s="639"/>
      <c r="K408" s="639"/>
      <c r="L408" s="639"/>
      <c r="M408" s="639"/>
      <c r="N408" s="639"/>
      <c r="O408" s="640"/>
      <c r="P408" s="636" t="s">
        <v>40</v>
      </c>
      <c r="Q408" s="637"/>
      <c r="R408" s="637"/>
      <c r="S408" s="637"/>
      <c r="T408" s="637"/>
      <c r="U408" s="637"/>
      <c r="V408" s="638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29" t="s">
        <v>653</v>
      </c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9"/>
      <c r="W409" s="629"/>
      <c r="X409" s="629"/>
      <c r="Y409" s="629"/>
      <c r="Z409" s="629"/>
      <c r="AA409" s="65"/>
      <c r="AB409" s="65"/>
      <c r="AC409" s="79"/>
    </row>
    <row r="410" spans="1:68" ht="14.25" customHeight="1" x14ac:dyDescent="0.25">
      <c r="A410" s="630" t="s">
        <v>147</v>
      </c>
      <c r="B410" s="630"/>
      <c r="C410" s="630"/>
      <c r="D410" s="630"/>
      <c r="E410" s="630"/>
      <c r="F410" s="630"/>
      <c r="G410" s="630"/>
      <c r="H410" s="630"/>
      <c r="I410" s="630"/>
      <c r="J410" s="630"/>
      <c r="K410" s="630"/>
      <c r="L410" s="630"/>
      <c r="M410" s="630"/>
      <c r="N410" s="630"/>
      <c r="O410" s="630"/>
      <c r="P410" s="630"/>
      <c r="Q410" s="630"/>
      <c r="R410" s="630"/>
      <c r="S410" s="630"/>
      <c r="T410" s="630"/>
      <c r="U410" s="630"/>
      <c r="V410" s="630"/>
      <c r="W410" s="630"/>
      <c r="X410" s="630"/>
      <c r="Y410" s="630"/>
      <c r="Z410" s="630"/>
      <c r="AA410" s="66"/>
      <c r="AB410" s="66"/>
      <c r="AC410" s="80"/>
    </row>
    <row r="411" spans="1:68" ht="27" customHeight="1" x14ac:dyDescent="0.25">
      <c r="A411" s="63" t="s">
        <v>654</v>
      </c>
      <c r="B411" s="63" t="s">
        <v>655</v>
      </c>
      <c r="C411" s="36">
        <v>4301020319</v>
      </c>
      <c r="D411" s="631">
        <v>4680115885240</v>
      </c>
      <c r="E411" s="631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3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3"/>
      <c r="R411" s="633"/>
      <c r="S411" s="633"/>
      <c r="T411" s="63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656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9"/>
      <c r="B412" s="639"/>
      <c r="C412" s="639"/>
      <c r="D412" s="639"/>
      <c r="E412" s="639"/>
      <c r="F412" s="639"/>
      <c r="G412" s="639"/>
      <c r="H412" s="639"/>
      <c r="I412" s="639"/>
      <c r="J412" s="639"/>
      <c r="K412" s="639"/>
      <c r="L412" s="639"/>
      <c r="M412" s="639"/>
      <c r="N412" s="639"/>
      <c r="O412" s="640"/>
      <c r="P412" s="636" t="s">
        <v>40</v>
      </c>
      <c r="Q412" s="637"/>
      <c r="R412" s="637"/>
      <c r="S412" s="637"/>
      <c r="T412" s="637"/>
      <c r="U412" s="637"/>
      <c r="V412" s="638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39"/>
      <c r="B413" s="639"/>
      <c r="C413" s="639"/>
      <c r="D413" s="639"/>
      <c r="E413" s="639"/>
      <c r="F413" s="639"/>
      <c r="G413" s="639"/>
      <c r="H413" s="639"/>
      <c r="I413" s="639"/>
      <c r="J413" s="639"/>
      <c r="K413" s="639"/>
      <c r="L413" s="639"/>
      <c r="M413" s="639"/>
      <c r="N413" s="639"/>
      <c r="O413" s="640"/>
      <c r="P413" s="636" t="s">
        <v>40</v>
      </c>
      <c r="Q413" s="637"/>
      <c r="R413" s="637"/>
      <c r="S413" s="637"/>
      <c r="T413" s="637"/>
      <c r="U413" s="637"/>
      <c r="V413" s="638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0" t="s">
        <v>78</v>
      </c>
      <c r="B414" s="630"/>
      <c r="C414" s="630"/>
      <c r="D414" s="630"/>
      <c r="E414" s="630"/>
      <c r="F414" s="630"/>
      <c r="G414" s="630"/>
      <c r="H414" s="630"/>
      <c r="I414" s="630"/>
      <c r="J414" s="630"/>
      <c r="K414" s="630"/>
      <c r="L414" s="630"/>
      <c r="M414" s="630"/>
      <c r="N414" s="630"/>
      <c r="O414" s="630"/>
      <c r="P414" s="630"/>
      <c r="Q414" s="630"/>
      <c r="R414" s="630"/>
      <c r="S414" s="630"/>
      <c r="T414" s="630"/>
      <c r="U414" s="630"/>
      <c r="V414" s="630"/>
      <c r="W414" s="630"/>
      <c r="X414" s="630"/>
      <c r="Y414" s="630"/>
      <c r="Z414" s="630"/>
      <c r="AA414" s="66"/>
      <c r="AB414" s="66"/>
      <c r="AC414" s="80"/>
    </row>
    <row r="415" spans="1:68" ht="27" customHeight="1" x14ac:dyDescent="0.25">
      <c r="A415" s="63" t="s">
        <v>657</v>
      </c>
      <c r="B415" s="63" t="s">
        <v>658</v>
      </c>
      <c r="C415" s="36">
        <v>4301031403</v>
      </c>
      <c r="D415" s="631">
        <v>4680115886094</v>
      </c>
      <c r="E415" s="631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121</v>
      </c>
      <c r="L415" s="37" t="s">
        <v>122</v>
      </c>
      <c r="M415" s="38" t="s">
        <v>116</v>
      </c>
      <c r="N415" s="38"/>
      <c r="O415" s="37">
        <v>50</v>
      </c>
      <c r="P415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3"/>
      <c r="R415" s="633"/>
      <c r="S415" s="633"/>
      <c r="T415" s="63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103</v>
      </c>
      <c r="AK415" s="84">
        <v>64.8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4301031363</v>
      </c>
      <c r="D416" s="631">
        <v>4607091389425</v>
      </c>
      <c r="E416" s="631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3"/>
      <c r="R416" s="633"/>
      <c r="S416" s="633"/>
      <c r="T416" s="634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4301031373</v>
      </c>
      <c r="D417" s="631">
        <v>4680115880771</v>
      </c>
      <c r="E417" s="631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3"/>
      <c r="R417" s="633"/>
      <c r="S417" s="633"/>
      <c r="T417" s="634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665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666</v>
      </c>
      <c r="B418" s="63" t="s">
        <v>667</v>
      </c>
      <c r="C418" s="36">
        <v>4301031359</v>
      </c>
      <c r="D418" s="631">
        <v>4607091389500</v>
      </c>
      <c r="E418" s="631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3"/>
      <c r="R418" s="633"/>
      <c r="S418" s="633"/>
      <c r="T418" s="634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665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39"/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40"/>
      <c r="P419" s="636" t="s">
        <v>40</v>
      </c>
      <c r="Q419" s="637"/>
      <c r="R419" s="637"/>
      <c r="S419" s="637"/>
      <c r="T419" s="637"/>
      <c r="U419" s="637"/>
      <c r="V419" s="638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39"/>
      <c r="B420" s="639"/>
      <c r="C420" s="639"/>
      <c r="D420" s="639"/>
      <c r="E420" s="639"/>
      <c r="F420" s="639"/>
      <c r="G420" s="639"/>
      <c r="H420" s="639"/>
      <c r="I420" s="639"/>
      <c r="J420" s="639"/>
      <c r="K420" s="639"/>
      <c r="L420" s="639"/>
      <c r="M420" s="639"/>
      <c r="N420" s="639"/>
      <c r="O420" s="640"/>
      <c r="P420" s="636" t="s">
        <v>40</v>
      </c>
      <c r="Q420" s="637"/>
      <c r="R420" s="637"/>
      <c r="S420" s="637"/>
      <c r="T420" s="637"/>
      <c r="U420" s="637"/>
      <c r="V420" s="638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29" t="s">
        <v>668</v>
      </c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29"/>
      <c r="P421" s="629"/>
      <c r="Q421" s="629"/>
      <c r="R421" s="629"/>
      <c r="S421" s="629"/>
      <c r="T421" s="629"/>
      <c r="U421" s="629"/>
      <c r="V421" s="629"/>
      <c r="W421" s="629"/>
      <c r="X421" s="629"/>
      <c r="Y421" s="629"/>
      <c r="Z421" s="629"/>
      <c r="AA421" s="65"/>
      <c r="AB421" s="65"/>
      <c r="AC421" s="79"/>
    </row>
    <row r="422" spans="1:68" ht="14.25" customHeight="1" x14ac:dyDescent="0.25">
      <c r="A422" s="630" t="s">
        <v>78</v>
      </c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  <c r="M422" s="630"/>
      <c r="N422" s="630"/>
      <c r="O422" s="630"/>
      <c r="P422" s="630"/>
      <c r="Q422" s="630"/>
      <c r="R422" s="630"/>
      <c r="S422" s="630"/>
      <c r="T422" s="630"/>
      <c r="U422" s="630"/>
      <c r="V422" s="630"/>
      <c r="W422" s="630"/>
      <c r="X422" s="630"/>
      <c r="Y422" s="630"/>
      <c r="Z422" s="630"/>
      <c r="AA422" s="66"/>
      <c r="AB422" s="66"/>
      <c r="AC422" s="80"/>
    </row>
    <row r="423" spans="1:68" ht="27" customHeight="1" x14ac:dyDescent="0.25">
      <c r="A423" s="63" t="s">
        <v>669</v>
      </c>
      <c r="B423" s="63" t="s">
        <v>670</v>
      </c>
      <c r="C423" s="36">
        <v>4301031347</v>
      </c>
      <c r="D423" s="631">
        <v>4680115885110</v>
      </c>
      <c r="E423" s="631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84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3"/>
      <c r="R423" s="633"/>
      <c r="S423" s="633"/>
      <c r="T423" s="634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671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39"/>
      <c r="B424" s="639"/>
      <c r="C424" s="639"/>
      <c r="D424" s="639"/>
      <c r="E424" s="639"/>
      <c r="F424" s="639"/>
      <c r="G424" s="639"/>
      <c r="H424" s="639"/>
      <c r="I424" s="639"/>
      <c r="J424" s="639"/>
      <c r="K424" s="639"/>
      <c r="L424" s="639"/>
      <c r="M424" s="639"/>
      <c r="N424" s="639"/>
      <c r="O424" s="640"/>
      <c r="P424" s="636" t="s">
        <v>40</v>
      </c>
      <c r="Q424" s="637"/>
      <c r="R424" s="637"/>
      <c r="S424" s="637"/>
      <c r="T424" s="637"/>
      <c r="U424" s="637"/>
      <c r="V424" s="638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39"/>
      <c r="B425" s="639"/>
      <c r="C425" s="639"/>
      <c r="D425" s="639"/>
      <c r="E425" s="639"/>
      <c r="F425" s="639"/>
      <c r="G425" s="639"/>
      <c r="H425" s="639"/>
      <c r="I425" s="639"/>
      <c r="J425" s="639"/>
      <c r="K425" s="639"/>
      <c r="L425" s="639"/>
      <c r="M425" s="639"/>
      <c r="N425" s="639"/>
      <c r="O425" s="640"/>
      <c r="P425" s="636" t="s">
        <v>40</v>
      </c>
      <c r="Q425" s="637"/>
      <c r="R425" s="637"/>
      <c r="S425" s="637"/>
      <c r="T425" s="637"/>
      <c r="U425" s="637"/>
      <c r="V425" s="638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28" t="s">
        <v>672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54"/>
      <c r="AB426" s="54"/>
      <c r="AC426" s="54"/>
    </row>
    <row r="427" spans="1:68" ht="16.5" customHeight="1" x14ac:dyDescent="0.25">
      <c r="A427" s="629" t="s">
        <v>672</v>
      </c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29"/>
      <c r="P427" s="629"/>
      <c r="Q427" s="629"/>
      <c r="R427" s="629"/>
      <c r="S427" s="629"/>
      <c r="T427" s="629"/>
      <c r="U427" s="629"/>
      <c r="V427" s="629"/>
      <c r="W427" s="629"/>
      <c r="X427" s="629"/>
      <c r="Y427" s="629"/>
      <c r="Z427" s="629"/>
      <c r="AA427" s="65"/>
      <c r="AB427" s="65"/>
      <c r="AC427" s="79"/>
    </row>
    <row r="428" spans="1:68" ht="14.25" customHeight="1" x14ac:dyDescent="0.25">
      <c r="A428" s="630" t="s">
        <v>112</v>
      </c>
      <c r="B428" s="630"/>
      <c r="C428" s="630"/>
      <c r="D428" s="630"/>
      <c r="E428" s="630"/>
      <c r="F428" s="630"/>
      <c r="G428" s="630"/>
      <c r="H428" s="630"/>
      <c r="I428" s="630"/>
      <c r="J428" s="630"/>
      <c r="K428" s="630"/>
      <c r="L428" s="630"/>
      <c r="M428" s="630"/>
      <c r="N428" s="630"/>
      <c r="O428" s="630"/>
      <c r="P428" s="630"/>
      <c r="Q428" s="630"/>
      <c r="R428" s="630"/>
      <c r="S428" s="630"/>
      <c r="T428" s="630"/>
      <c r="U428" s="630"/>
      <c r="V428" s="630"/>
      <c r="W428" s="630"/>
      <c r="X428" s="630"/>
      <c r="Y428" s="630"/>
      <c r="Z428" s="630"/>
      <c r="AA428" s="66"/>
      <c r="AB428" s="66"/>
      <c r="AC428" s="80"/>
    </row>
    <row r="429" spans="1:68" ht="27" customHeight="1" x14ac:dyDescent="0.25">
      <c r="A429" s="63" t="s">
        <v>673</v>
      </c>
      <c r="B429" s="63" t="s">
        <v>674</v>
      </c>
      <c r="C429" s="36">
        <v>4301011795</v>
      </c>
      <c r="D429" s="631">
        <v>4607091389067</v>
      </c>
      <c r="E429" s="63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8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3"/>
      <c r="R429" s="633"/>
      <c r="S429" s="633"/>
      <c r="T429" s="63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52">IFERROR(IF(X429="",0,CEILING((X429/$H429),1)*$H429),"")</f>
        <v>0</v>
      </c>
      <c r="Z429" s="41" t="str">
        <f t="shared" ref="Z429:Z435" si="53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103</v>
      </c>
      <c r="AK429" s="84">
        <v>42.24</v>
      </c>
      <c r="BB429" s="495" t="s">
        <v>66</v>
      </c>
      <c r="BM429" s="78">
        <f t="shared" ref="BM429:BM440" si="54">IFERROR(X429*I429/H429,"0")</f>
        <v>0</v>
      </c>
      <c r="BN429" s="78">
        <f t="shared" ref="BN429:BN440" si="55">IFERROR(Y429*I429/H429,"0")</f>
        <v>0</v>
      </c>
      <c r="BO429" s="78">
        <f t="shared" ref="BO429:BO440" si="56">IFERROR(1/J429*(X429/H429),"0")</f>
        <v>0</v>
      </c>
      <c r="BP429" s="78">
        <f t="shared" ref="BP429:BP440" si="57">IFERROR(1/J429*(Y429/H429),"0")</f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4301012210</v>
      </c>
      <c r="D430" s="631">
        <v>4607091383522</v>
      </c>
      <c r="E430" s="63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3"/>
      <c r="R430" s="633"/>
      <c r="S430" s="633"/>
      <c r="T430" s="63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2"/>
        <v>0</v>
      </c>
      <c r="Z430" s="41" t="str">
        <f t="shared" si="5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675</v>
      </c>
      <c r="B431" s="63" t="s">
        <v>678</v>
      </c>
      <c r="C431" s="36">
        <v>4301012145</v>
      </c>
      <c r="D431" s="631">
        <v>4607091383522</v>
      </c>
      <c r="E431" s="63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3"/>
      <c r="R431" s="633"/>
      <c r="S431" s="633"/>
      <c r="T431" s="63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677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4301011961</v>
      </c>
      <c r="D432" s="631">
        <v>4680115885271</v>
      </c>
      <c r="E432" s="631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116</v>
      </c>
      <c r="N432" s="38"/>
      <c r="O432" s="37">
        <v>60</v>
      </c>
      <c r="P432" s="8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3"/>
      <c r="R432" s="633"/>
      <c r="S432" s="633"/>
      <c r="T432" s="63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103</v>
      </c>
      <c r="AK432" s="84">
        <v>42.24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4301011376</v>
      </c>
      <c r="D433" s="631">
        <v>4680115885226</v>
      </c>
      <c r="E433" s="631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84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3"/>
      <c r="R433" s="633"/>
      <c r="S433" s="633"/>
      <c r="T433" s="63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103</v>
      </c>
      <c r="AK433" s="84">
        <v>42.24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16.5" customHeight="1" x14ac:dyDescent="0.25">
      <c r="A434" s="63" t="s">
        <v>685</v>
      </c>
      <c r="B434" s="63" t="s">
        <v>686</v>
      </c>
      <c r="C434" s="36">
        <v>4301011774</v>
      </c>
      <c r="D434" s="631">
        <v>4680115884502</v>
      </c>
      <c r="E434" s="631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3"/>
      <c r="R434" s="633"/>
      <c r="S434" s="633"/>
      <c r="T434" s="63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45</v>
      </c>
      <c r="AK434" s="84">
        <v>0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4301011771</v>
      </c>
      <c r="D435" s="631">
        <v>4607091389104</v>
      </c>
      <c r="E435" s="63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84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3"/>
      <c r="R435" s="633"/>
      <c r="S435" s="633"/>
      <c r="T435" s="63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 t="shared" si="53"/>
        <v/>
      </c>
      <c r="AA435" s="68" t="s">
        <v>45</v>
      </c>
      <c r="AB435" s="69" t="s">
        <v>45</v>
      </c>
      <c r="AC435" s="506" t="s">
        <v>690</v>
      </c>
      <c r="AG435" s="78"/>
      <c r="AJ435" s="84" t="s">
        <v>103</v>
      </c>
      <c r="AK435" s="84">
        <v>42.24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691</v>
      </c>
      <c r="B436" s="63" t="s">
        <v>692</v>
      </c>
      <c r="C436" s="36">
        <v>4301012125</v>
      </c>
      <c r="D436" s="631">
        <v>4680115886391</v>
      </c>
      <c r="E436" s="63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3"/>
      <c r="R436" s="633"/>
      <c r="S436" s="633"/>
      <c r="T436" s="63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693</v>
      </c>
      <c r="B437" s="63" t="s">
        <v>694</v>
      </c>
      <c r="C437" s="36">
        <v>4301012035</v>
      </c>
      <c r="D437" s="631">
        <v>4680115880603</v>
      </c>
      <c r="E437" s="63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60</v>
      </c>
      <c r="P437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3"/>
      <c r="R437" s="633"/>
      <c r="S437" s="633"/>
      <c r="T437" s="634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695</v>
      </c>
      <c r="B438" s="63" t="s">
        <v>696</v>
      </c>
      <c r="C438" s="36">
        <v>4301012036</v>
      </c>
      <c r="D438" s="631">
        <v>4680115882782</v>
      </c>
      <c r="E438" s="631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121</v>
      </c>
      <c r="L438" s="37" t="s">
        <v>45</v>
      </c>
      <c r="M438" s="38" t="s">
        <v>116</v>
      </c>
      <c r="N438" s="38"/>
      <c r="O438" s="37">
        <v>60</v>
      </c>
      <c r="P438" s="8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3"/>
      <c r="R438" s="633"/>
      <c r="S438" s="633"/>
      <c r="T438" s="634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681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4301012050</v>
      </c>
      <c r="D439" s="631">
        <v>4680115885479</v>
      </c>
      <c r="E439" s="631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3"/>
      <c r="R439" s="633"/>
      <c r="S439" s="633"/>
      <c r="T439" s="634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699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ht="27" customHeight="1" x14ac:dyDescent="0.25">
      <c r="A440" s="63" t="s">
        <v>700</v>
      </c>
      <c r="B440" s="63" t="s">
        <v>701</v>
      </c>
      <c r="C440" s="36">
        <v>4301012034</v>
      </c>
      <c r="D440" s="631">
        <v>4607091389982</v>
      </c>
      <c r="E440" s="631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121</v>
      </c>
      <c r="L440" s="37" t="s">
        <v>45</v>
      </c>
      <c r="M440" s="38" t="s">
        <v>116</v>
      </c>
      <c r="N440" s="38"/>
      <c r="O440" s="37">
        <v>60</v>
      </c>
      <c r="P440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3"/>
      <c r="R440" s="633"/>
      <c r="S440" s="633"/>
      <c r="T440" s="634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52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690</v>
      </c>
      <c r="AG440" s="78"/>
      <c r="AJ440" s="84" t="s">
        <v>45</v>
      </c>
      <c r="AK440" s="84">
        <v>0</v>
      </c>
      <c r="BB440" s="517" t="s">
        <v>66</v>
      </c>
      <c r="BM440" s="78">
        <f t="shared" si="54"/>
        <v>0</v>
      </c>
      <c r="BN440" s="78">
        <f t="shared" si="55"/>
        <v>0</v>
      </c>
      <c r="BO440" s="78">
        <f t="shared" si="56"/>
        <v>0</v>
      </c>
      <c r="BP440" s="78">
        <f t="shared" si="57"/>
        <v>0</v>
      </c>
    </row>
    <row r="441" spans="1:68" x14ac:dyDescent="0.2">
      <c r="A441" s="639"/>
      <c r="B441" s="639"/>
      <c r="C441" s="639"/>
      <c r="D441" s="639"/>
      <c r="E441" s="639"/>
      <c r="F441" s="639"/>
      <c r="G441" s="639"/>
      <c r="H441" s="639"/>
      <c r="I441" s="639"/>
      <c r="J441" s="639"/>
      <c r="K441" s="639"/>
      <c r="L441" s="639"/>
      <c r="M441" s="639"/>
      <c r="N441" s="639"/>
      <c r="O441" s="640"/>
      <c r="P441" s="636" t="s">
        <v>40</v>
      </c>
      <c r="Q441" s="637"/>
      <c r="R441" s="637"/>
      <c r="S441" s="637"/>
      <c r="T441" s="637"/>
      <c r="U441" s="637"/>
      <c r="V441" s="638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39"/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40"/>
      <c r="P442" s="636" t="s">
        <v>40</v>
      </c>
      <c r="Q442" s="637"/>
      <c r="R442" s="637"/>
      <c r="S442" s="637"/>
      <c r="T442" s="637"/>
      <c r="U442" s="637"/>
      <c r="V442" s="638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0" t="s">
        <v>147</v>
      </c>
      <c r="B443" s="630"/>
      <c r="C443" s="630"/>
      <c r="D443" s="630"/>
      <c r="E443" s="630"/>
      <c r="F443" s="630"/>
      <c r="G443" s="630"/>
      <c r="H443" s="630"/>
      <c r="I443" s="630"/>
      <c r="J443" s="630"/>
      <c r="K443" s="630"/>
      <c r="L443" s="630"/>
      <c r="M443" s="630"/>
      <c r="N443" s="630"/>
      <c r="O443" s="630"/>
      <c r="P443" s="630"/>
      <c r="Q443" s="630"/>
      <c r="R443" s="630"/>
      <c r="S443" s="630"/>
      <c r="T443" s="630"/>
      <c r="U443" s="630"/>
      <c r="V443" s="630"/>
      <c r="W443" s="630"/>
      <c r="X443" s="630"/>
      <c r="Y443" s="630"/>
      <c r="Z443" s="630"/>
      <c r="AA443" s="66"/>
      <c r="AB443" s="66"/>
      <c r="AC443" s="80"/>
    </row>
    <row r="444" spans="1:68" ht="16.5" customHeight="1" x14ac:dyDescent="0.25">
      <c r="A444" s="63" t="s">
        <v>702</v>
      </c>
      <c r="B444" s="63" t="s">
        <v>703</v>
      </c>
      <c r="C444" s="36">
        <v>4301020334</v>
      </c>
      <c r="D444" s="631">
        <v>4607091388930</v>
      </c>
      <c r="E444" s="631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85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3"/>
      <c r="R444" s="633"/>
      <c r="S444" s="633"/>
      <c r="T444" s="634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704</v>
      </c>
      <c r="AG444" s="78"/>
      <c r="AJ444" s="84" t="s">
        <v>103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705</v>
      </c>
      <c r="B445" s="63" t="s">
        <v>706</v>
      </c>
      <c r="C445" s="36">
        <v>4301020384</v>
      </c>
      <c r="D445" s="631">
        <v>4680115886407</v>
      </c>
      <c r="E445" s="631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3"/>
      <c r="R445" s="633"/>
      <c r="S445" s="633"/>
      <c r="T445" s="634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704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707</v>
      </c>
      <c r="B446" s="63" t="s">
        <v>708</v>
      </c>
      <c r="C446" s="36">
        <v>4301020385</v>
      </c>
      <c r="D446" s="631">
        <v>4680115880054</v>
      </c>
      <c r="E446" s="631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121</v>
      </c>
      <c r="L446" s="37" t="s">
        <v>45</v>
      </c>
      <c r="M446" s="38" t="s">
        <v>116</v>
      </c>
      <c r="N446" s="38"/>
      <c r="O446" s="37">
        <v>70</v>
      </c>
      <c r="P446" s="8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3"/>
      <c r="R446" s="633"/>
      <c r="S446" s="633"/>
      <c r="T446" s="634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704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39"/>
      <c r="B447" s="639"/>
      <c r="C447" s="639"/>
      <c r="D447" s="639"/>
      <c r="E447" s="639"/>
      <c r="F447" s="639"/>
      <c r="G447" s="639"/>
      <c r="H447" s="639"/>
      <c r="I447" s="639"/>
      <c r="J447" s="639"/>
      <c r="K447" s="639"/>
      <c r="L447" s="639"/>
      <c r="M447" s="639"/>
      <c r="N447" s="639"/>
      <c r="O447" s="640"/>
      <c r="P447" s="636" t="s">
        <v>40</v>
      </c>
      <c r="Q447" s="637"/>
      <c r="R447" s="637"/>
      <c r="S447" s="637"/>
      <c r="T447" s="637"/>
      <c r="U447" s="637"/>
      <c r="V447" s="638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39"/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40"/>
      <c r="P448" s="636" t="s">
        <v>40</v>
      </c>
      <c r="Q448" s="637"/>
      <c r="R448" s="637"/>
      <c r="S448" s="637"/>
      <c r="T448" s="637"/>
      <c r="U448" s="637"/>
      <c r="V448" s="638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0" t="s">
        <v>78</v>
      </c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0"/>
      <c r="P449" s="630"/>
      <c r="Q449" s="630"/>
      <c r="R449" s="630"/>
      <c r="S449" s="630"/>
      <c r="T449" s="630"/>
      <c r="U449" s="630"/>
      <c r="V449" s="630"/>
      <c r="W449" s="630"/>
      <c r="X449" s="630"/>
      <c r="Y449" s="630"/>
      <c r="Z449" s="630"/>
      <c r="AA449" s="66"/>
      <c r="AB449" s="66"/>
      <c r="AC449" s="80"/>
    </row>
    <row r="450" spans="1:68" ht="27" customHeight="1" x14ac:dyDescent="0.25">
      <c r="A450" s="63" t="s">
        <v>709</v>
      </c>
      <c r="B450" s="63" t="s">
        <v>710</v>
      </c>
      <c r="C450" s="36">
        <v>4301031349</v>
      </c>
      <c r="D450" s="631">
        <v>4680115883116</v>
      </c>
      <c r="E450" s="631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85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3"/>
      <c r="R450" s="633"/>
      <c r="S450" s="633"/>
      <c r="T450" s="63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8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103</v>
      </c>
      <c r="AK450" s="84">
        <v>42.24</v>
      </c>
      <c r="BB450" s="525" t="s">
        <v>66</v>
      </c>
      <c r="BM450" s="78">
        <f t="shared" ref="BM450:BM455" si="59">IFERROR(X450*I450/H450,"0")</f>
        <v>0</v>
      </c>
      <c r="BN450" s="78">
        <f t="shared" ref="BN450:BN455" si="60">IFERROR(Y450*I450/H450,"0")</f>
        <v>0</v>
      </c>
      <c r="BO450" s="78">
        <f t="shared" ref="BO450:BO455" si="61">IFERROR(1/J450*(X450/H450),"0")</f>
        <v>0</v>
      </c>
      <c r="BP450" s="78">
        <f t="shared" ref="BP450:BP455" si="62">IFERROR(1/J450*(Y450/H450),"0")</f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4301031350</v>
      </c>
      <c r="D451" s="631">
        <v>4680115883093</v>
      </c>
      <c r="E451" s="631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5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3"/>
      <c r="R451" s="633"/>
      <c r="S451" s="633"/>
      <c r="T451" s="63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8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103</v>
      </c>
      <c r="AK451" s="84">
        <v>42.24</v>
      </c>
      <c r="BB451" s="527" t="s">
        <v>66</v>
      </c>
      <c r="BM451" s="78">
        <f t="shared" si="59"/>
        <v>0</v>
      </c>
      <c r="BN451" s="78">
        <f t="shared" si="60"/>
        <v>0</v>
      </c>
      <c r="BO451" s="78">
        <f t="shared" si="61"/>
        <v>0</v>
      </c>
      <c r="BP451" s="78">
        <f t="shared" si="62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4301031353</v>
      </c>
      <c r="D452" s="631">
        <v>4680115883109</v>
      </c>
      <c r="E452" s="631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8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3"/>
      <c r="R452" s="633"/>
      <c r="S452" s="633"/>
      <c r="T452" s="634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717</v>
      </c>
      <c r="AG452" s="78"/>
      <c r="AJ452" s="84" t="s">
        <v>103</v>
      </c>
      <c r="AK452" s="84">
        <v>42.24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718</v>
      </c>
      <c r="B453" s="63" t="s">
        <v>719</v>
      </c>
      <c r="C453" s="36">
        <v>4301031419</v>
      </c>
      <c r="D453" s="631">
        <v>4680115882072</v>
      </c>
      <c r="E453" s="631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121</v>
      </c>
      <c r="L453" s="37" t="s">
        <v>45</v>
      </c>
      <c r="M453" s="38" t="s">
        <v>116</v>
      </c>
      <c r="N453" s="38"/>
      <c r="O453" s="37">
        <v>70</v>
      </c>
      <c r="P453" s="86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3"/>
      <c r="R453" s="633"/>
      <c r="S453" s="633"/>
      <c r="T453" s="634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720</v>
      </c>
      <c r="B454" s="63" t="s">
        <v>721</v>
      </c>
      <c r="C454" s="36">
        <v>4301031418</v>
      </c>
      <c r="D454" s="631">
        <v>4680115882102</v>
      </c>
      <c r="E454" s="631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121</v>
      </c>
      <c r="L454" s="37" t="s">
        <v>45</v>
      </c>
      <c r="M454" s="38" t="s">
        <v>82</v>
      </c>
      <c r="N454" s="38"/>
      <c r="O454" s="37">
        <v>70</v>
      </c>
      <c r="P45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3"/>
      <c r="R454" s="633"/>
      <c r="S454" s="633"/>
      <c r="T454" s="634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ht="27" customHeight="1" x14ac:dyDescent="0.25">
      <c r="A455" s="63" t="s">
        <v>722</v>
      </c>
      <c r="B455" s="63" t="s">
        <v>723</v>
      </c>
      <c r="C455" s="36">
        <v>4301031417</v>
      </c>
      <c r="D455" s="631">
        <v>4680115882096</v>
      </c>
      <c r="E455" s="631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121</v>
      </c>
      <c r="L455" s="37" t="s">
        <v>45</v>
      </c>
      <c r="M455" s="38" t="s">
        <v>82</v>
      </c>
      <c r="N455" s="38"/>
      <c r="O455" s="37">
        <v>70</v>
      </c>
      <c r="P455" s="86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3"/>
      <c r="R455" s="633"/>
      <c r="S455" s="633"/>
      <c r="T455" s="634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8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717</v>
      </c>
      <c r="AG455" s="78"/>
      <c r="AJ455" s="84" t="s">
        <v>45</v>
      </c>
      <c r="AK455" s="84">
        <v>0</v>
      </c>
      <c r="BB455" s="535" t="s">
        <v>66</v>
      </c>
      <c r="BM455" s="78">
        <f t="shared" si="59"/>
        <v>0</v>
      </c>
      <c r="BN455" s="78">
        <f t="shared" si="60"/>
        <v>0</v>
      </c>
      <c r="BO455" s="78">
        <f t="shared" si="61"/>
        <v>0</v>
      </c>
      <c r="BP455" s="78">
        <f t="shared" si="62"/>
        <v>0</v>
      </c>
    </row>
    <row r="456" spans="1:68" x14ac:dyDescent="0.2">
      <c r="A456" s="639"/>
      <c r="B456" s="639"/>
      <c r="C456" s="639"/>
      <c r="D456" s="639"/>
      <c r="E456" s="639"/>
      <c r="F456" s="639"/>
      <c r="G456" s="639"/>
      <c r="H456" s="639"/>
      <c r="I456" s="639"/>
      <c r="J456" s="639"/>
      <c r="K456" s="639"/>
      <c r="L456" s="639"/>
      <c r="M456" s="639"/>
      <c r="N456" s="639"/>
      <c r="O456" s="640"/>
      <c r="P456" s="636" t="s">
        <v>40</v>
      </c>
      <c r="Q456" s="637"/>
      <c r="R456" s="637"/>
      <c r="S456" s="637"/>
      <c r="T456" s="637"/>
      <c r="U456" s="637"/>
      <c r="V456" s="638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39"/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40"/>
      <c r="P457" s="636" t="s">
        <v>40</v>
      </c>
      <c r="Q457" s="637"/>
      <c r="R457" s="637"/>
      <c r="S457" s="637"/>
      <c r="T457" s="637"/>
      <c r="U457" s="637"/>
      <c r="V457" s="638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0" t="s">
        <v>88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customHeight="1" x14ac:dyDescent="0.25">
      <c r="A459" s="63" t="s">
        <v>724</v>
      </c>
      <c r="B459" s="63" t="s">
        <v>725</v>
      </c>
      <c r="C459" s="36">
        <v>4301051064</v>
      </c>
      <c r="D459" s="631">
        <v>4680115883536</v>
      </c>
      <c r="E459" s="631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3"/>
      <c r="R459" s="633"/>
      <c r="S459" s="633"/>
      <c r="T459" s="63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726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39"/>
      <c r="B460" s="639"/>
      <c r="C460" s="639"/>
      <c r="D460" s="639"/>
      <c r="E460" s="639"/>
      <c r="F460" s="639"/>
      <c r="G460" s="639"/>
      <c r="H460" s="639"/>
      <c r="I460" s="639"/>
      <c r="J460" s="639"/>
      <c r="K460" s="639"/>
      <c r="L460" s="639"/>
      <c r="M460" s="639"/>
      <c r="N460" s="639"/>
      <c r="O460" s="640"/>
      <c r="P460" s="636" t="s">
        <v>40</v>
      </c>
      <c r="Q460" s="637"/>
      <c r="R460" s="637"/>
      <c r="S460" s="637"/>
      <c r="T460" s="637"/>
      <c r="U460" s="637"/>
      <c r="V460" s="63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39"/>
      <c r="B461" s="639"/>
      <c r="C461" s="639"/>
      <c r="D461" s="639"/>
      <c r="E461" s="639"/>
      <c r="F461" s="639"/>
      <c r="G461" s="639"/>
      <c r="H461" s="639"/>
      <c r="I461" s="639"/>
      <c r="J461" s="639"/>
      <c r="K461" s="639"/>
      <c r="L461" s="639"/>
      <c r="M461" s="639"/>
      <c r="N461" s="639"/>
      <c r="O461" s="640"/>
      <c r="P461" s="636" t="s">
        <v>40</v>
      </c>
      <c r="Q461" s="637"/>
      <c r="R461" s="637"/>
      <c r="S461" s="637"/>
      <c r="T461" s="637"/>
      <c r="U461" s="637"/>
      <c r="V461" s="63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28" t="s">
        <v>727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54"/>
      <c r="AB462" s="54"/>
      <c r="AC462" s="54"/>
    </row>
    <row r="463" spans="1:68" ht="16.5" customHeight="1" x14ac:dyDescent="0.25">
      <c r="A463" s="629" t="s">
        <v>727</v>
      </c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29"/>
      <c r="P463" s="629"/>
      <c r="Q463" s="629"/>
      <c r="R463" s="629"/>
      <c r="S463" s="629"/>
      <c r="T463" s="629"/>
      <c r="U463" s="629"/>
      <c r="V463" s="629"/>
      <c r="W463" s="629"/>
      <c r="X463" s="629"/>
      <c r="Y463" s="629"/>
      <c r="Z463" s="629"/>
      <c r="AA463" s="65"/>
      <c r="AB463" s="65"/>
      <c r="AC463" s="79"/>
    </row>
    <row r="464" spans="1:68" ht="14.25" customHeight="1" x14ac:dyDescent="0.25">
      <c r="A464" s="630" t="s">
        <v>112</v>
      </c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0"/>
      <c r="P464" s="630"/>
      <c r="Q464" s="630"/>
      <c r="R464" s="630"/>
      <c r="S464" s="630"/>
      <c r="T464" s="630"/>
      <c r="U464" s="630"/>
      <c r="V464" s="630"/>
      <c r="W464" s="630"/>
      <c r="X464" s="630"/>
      <c r="Y464" s="630"/>
      <c r="Z464" s="630"/>
      <c r="AA464" s="66"/>
      <c r="AB464" s="66"/>
      <c r="AC464" s="80"/>
    </row>
    <row r="465" spans="1:68" ht="27" customHeight="1" x14ac:dyDescent="0.25">
      <c r="A465" s="63" t="s">
        <v>728</v>
      </c>
      <c r="B465" s="63" t="s">
        <v>729</v>
      </c>
      <c r="C465" s="36">
        <v>4301011763</v>
      </c>
      <c r="D465" s="631">
        <v>4640242181011</v>
      </c>
      <c r="E465" s="631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3"/>
      <c r="R465" s="633"/>
      <c r="S465" s="633"/>
      <c r="T465" s="63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4301011585</v>
      </c>
      <c r="D466" s="631">
        <v>4640242180441</v>
      </c>
      <c r="E466" s="631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6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3"/>
      <c r="R466" s="633"/>
      <c r="S466" s="633"/>
      <c r="T466" s="63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4301011584</v>
      </c>
      <c r="D467" s="631">
        <v>4640242180564</v>
      </c>
      <c r="E467" s="631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118</v>
      </c>
      <c r="M467" s="38" t="s">
        <v>116</v>
      </c>
      <c r="N467" s="38"/>
      <c r="O467" s="37">
        <v>50</v>
      </c>
      <c r="P467" s="8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3"/>
      <c r="R467" s="633"/>
      <c r="S467" s="633"/>
      <c r="T467" s="63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736</v>
      </c>
      <c r="AG467" s="78"/>
      <c r="AJ467" s="84" t="s">
        <v>103</v>
      </c>
      <c r="AK467" s="84">
        <v>96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737</v>
      </c>
      <c r="B468" s="63" t="s">
        <v>738</v>
      </c>
      <c r="C468" s="36">
        <v>4301011764</v>
      </c>
      <c r="D468" s="631">
        <v>4640242181189</v>
      </c>
      <c r="E468" s="631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121</v>
      </c>
      <c r="L468" s="37" t="s">
        <v>45</v>
      </c>
      <c r="M468" s="38" t="s">
        <v>92</v>
      </c>
      <c r="N468" s="38"/>
      <c r="O468" s="37">
        <v>55</v>
      </c>
      <c r="P468" s="8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3"/>
      <c r="R468" s="633"/>
      <c r="S468" s="633"/>
      <c r="T468" s="634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730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9"/>
      <c r="B469" s="639"/>
      <c r="C469" s="639"/>
      <c r="D469" s="639"/>
      <c r="E469" s="639"/>
      <c r="F469" s="639"/>
      <c r="G469" s="639"/>
      <c r="H469" s="639"/>
      <c r="I469" s="639"/>
      <c r="J469" s="639"/>
      <c r="K469" s="639"/>
      <c r="L469" s="639"/>
      <c r="M469" s="639"/>
      <c r="N469" s="639"/>
      <c r="O469" s="640"/>
      <c r="P469" s="636" t="s">
        <v>40</v>
      </c>
      <c r="Q469" s="637"/>
      <c r="R469" s="637"/>
      <c r="S469" s="637"/>
      <c r="T469" s="637"/>
      <c r="U469" s="637"/>
      <c r="V469" s="638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9"/>
      <c r="B470" s="639"/>
      <c r="C470" s="639"/>
      <c r="D470" s="639"/>
      <c r="E470" s="639"/>
      <c r="F470" s="639"/>
      <c r="G470" s="639"/>
      <c r="H470" s="639"/>
      <c r="I470" s="639"/>
      <c r="J470" s="639"/>
      <c r="K470" s="639"/>
      <c r="L470" s="639"/>
      <c r="M470" s="639"/>
      <c r="N470" s="639"/>
      <c r="O470" s="640"/>
      <c r="P470" s="636" t="s">
        <v>40</v>
      </c>
      <c r="Q470" s="637"/>
      <c r="R470" s="637"/>
      <c r="S470" s="637"/>
      <c r="T470" s="637"/>
      <c r="U470" s="637"/>
      <c r="V470" s="638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0" t="s">
        <v>147</v>
      </c>
      <c r="B471" s="630"/>
      <c r="C471" s="630"/>
      <c r="D471" s="630"/>
      <c r="E471" s="630"/>
      <c r="F471" s="630"/>
      <c r="G471" s="630"/>
      <c r="H471" s="630"/>
      <c r="I471" s="630"/>
      <c r="J471" s="630"/>
      <c r="K471" s="630"/>
      <c r="L471" s="630"/>
      <c r="M471" s="630"/>
      <c r="N471" s="630"/>
      <c r="O471" s="630"/>
      <c r="P471" s="630"/>
      <c r="Q471" s="630"/>
      <c r="R471" s="630"/>
      <c r="S471" s="630"/>
      <c r="T471" s="630"/>
      <c r="U471" s="630"/>
      <c r="V471" s="630"/>
      <c r="W471" s="630"/>
      <c r="X471" s="630"/>
      <c r="Y471" s="630"/>
      <c r="Z471" s="630"/>
      <c r="AA471" s="66"/>
      <c r="AB471" s="66"/>
      <c r="AC471" s="80"/>
    </row>
    <row r="472" spans="1:68" ht="27" customHeight="1" x14ac:dyDescent="0.25">
      <c r="A472" s="63" t="s">
        <v>739</v>
      </c>
      <c r="B472" s="63" t="s">
        <v>740</v>
      </c>
      <c r="C472" s="36">
        <v>4301020400</v>
      </c>
      <c r="D472" s="631">
        <v>4640242180519</v>
      </c>
      <c r="E472" s="631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3"/>
      <c r="R472" s="633"/>
      <c r="S472" s="633"/>
      <c r="T472" s="63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742</v>
      </c>
      <c r="B473" s="63" t="s">
        <v>743</v>
      </c>
      <c r="C473" s="36">
        <v>4301020260</v>
      </c>
      <c r="D473" s="631">
        <v>4640242180526</v>
      </c>
      <c r="E473" s="631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3"/>
      <c r="R473" s="633"/>
      <c r="S473" s="633"/>
      <c r="T473" s="63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744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9"/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40"/>
      <c r="P474" s="636" t="s">
        <v>40</v>
      </c>
      <c r="Q474" s="637"/>
      <c r="R474" s="637"/>
      <c r="S474" s="637"/>
      <c r="T474" s="637"/>
      <c r="U474" s="637"/>
      <c r="V474" s="638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9"/>
      <c r="B475" s="639"/>
      <c r="C475" s="639"/>
      <c r="D475" s="639"/>
      <c r="E475" s="639"/>
      <c r="F475" s="639"/>
      <c r="G475" s="639"/>
      <c r="H475" s="639"/>
      <c r="I475" s="639"/>
      <c r="J475" s="639"/>
      <c r="K475" s="639"/>
      <c r="L475" s="639"/>
      <c r="M475" s="639"/>
      <c r="N475" s="639"/>
      <c r="O475" s="640"/>
      <c r="P475" s="636" t="s">
        <v>40</v>
      </c>
      <c r="Q475" s="637"/>
      <c r="R475" s="637"/>
      <c r="S475" s="637"/>
      <c r="T475" s="637"/>
      <c r="U475" s="637"/>
      <c r="V475" s="638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0" t="s">
        <v>78</v>
      </c>
      <c r="B476" s="630"/>
      <c r="C476" s="630"/>
      <c r="D476" s="630"/>
      <c r="E476" s="630"/>
      <c r="F476" s="630"/>
      <c r="G476" s="630"/>
      <c r="H476" s="630"/>
      <c r="I476" s="630"/>
      <c r="J476" s="630"/>
      <c r="K476" s="630"/>
      <c r="L476" s="630"/>
      <c r="M476" s="630"/>
      <c r="N476" s="630"/>
      <c r="O476" s="630"/>
      <c r="P476" s="630"/>
      <c r="Q476" s="630"/>
      <c r="R476" s="630"/>
      <c r="S476" s="630"/>
      <c r="T476" s="630"/>
      <c r="U476" s="630"/>
      <c r="V476" s="630"/>
      <c r="W476" s="630"/>
      <c r="X476" s="630"/>
      <c r="Y476" s="630"/>
      <c r="Z476" s="630"/>
      <c r="AA476" s="66"/>
      <c r="AB476" s="66"/>
      <c r="AC476" s="80"/>
    </row>
    <row r="477" spans="1:68" ht="27" customHeight="1" x14ac:dyDescent="0.25">
      <c r="A477" s="63" t="s">
        <v>745</v>
      </c>
      <c r="B477" s="63" t="s">
        <v>746</v>
      </c>
      <c r="C477" s="36">
        <v>4301031467</v>
      </c>
      <c r="D477" s="631">
        <v>4640242180595</v>
      </c>
      <c r="E477" s="631"/>
      <c r="F477" s="62">
        <v>0.8</v>
      </c>
      <c r="G477" s="37">
        <v>6</v>
      </c>
      <c r="H477" s="62">
        <v>4.8</v>
      </c>
      <c r="I477" s="62">
        <v>5.05</v>
      </c>
      <c r="J477" s="37">
        <v>132</v>
      </c>
      <c r="K477" s="37" t="s">
        <v>121</v>
      </c>
      <c r="L477" s="37" t="s">
        <v>45</v>
      </c>
      <c r="M477" s="38" t="s">
        <v>82</v>
      </c>
      <c r="N477" s="38"/>
      <c r="O477" s="37">
        <v>40</v>
      </c>
      <c r="P477" s="87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633"/>
      <c r="R477" s="633"/>
      <c r="S477" s="633"/>
      <c r="T477" s="63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747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9"/>
      <c r="B478" s="639"/>
      <c r="C478" s="639"/>
      <c r="D478" s="639"/>
      <c r="E478" s="639"/>
      <c r="F478" s="639"/>
      <c r="G478" s="639"/>
      <c r="H478" s="639"/>
      <c r="I478" s="639"/>
      <c r="J478" s="639"/>
      <c r="K478" s="639"/>
      <c r="L478" s="639"/>
      <c r="M478" s="639"/>
      <c r="N478" s="639"/>
      <c r="O478" s="640"/>
      <c r="P478" s="636" t="s">
        <v>40</v>
      </c>
      <c r="Q478" s="637"/>
      <c r="R478" s="637"/>
      <c r="S478" s="637"/>
      <c r="T478" s="637"/>
      <c r="U478" s="637"/>
      <c r="V478" s="638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9"/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40"/>
      <c r="P479" s="636" t="s">
        <v>40</v>
      </c>
      <c r="Q479" s="637"/>
      <c r="R479" s="637"/>
      <c r="S479" s="637"/>
      <c r="T479" s="637"/>
      <c r="U479" s="637"/>
      <c r="V479" s="638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30" t="s">
        <v>88</v>
      </c>
      <c r="B480" s="630"/>
      <c r="C480" s="630"/>
      <c r="D480" s="630"/>
      <c r="E480" s="630"/>
      <c r="F480" s="630"/>
      <c r="G480" s="630"/>
      <c r="H480" s="630"/>
      <c r="I480" s="630"/>
      <c r="J480" s="630"/>
      <c r="K480" s="630"/>
      <c r="L480" s="630"/>
      <c r="M480" s="630"/>
      <c r="N480" s="630"/>
      <c r="O480" s="630"/>
      <c r="P480" s="630"/>
      <c r="Q480" s="630"/>
      <c r="R480" s="630"/>
      <c r="S480" s="630"/>
      <c r="T480" s="630"/>
      <c r="U480" s="630"/>
      <c r="V480" s="630"/>
      <c r="W480" s="630"/>
      <c r="X480" s="630"/>
      <c r="Y480" s="630"/>
      <c r="Z480" s="630"/>
      <c r="AA480" s="66"/>
      <c r="AB480" s="66"/>
      <c r="AC480" s="80"/>
    </row>
    <row r="481" spans="1:68" ht="27" customHeight="1" x14ac:dyDescent="0.25">
      <c r="A481" s="63" t="s">
        <v>748</v>
      </c>
      <c r="B481" s="63" t="s">
        <v>749</v>
      </c>
      <c r="C481" s="36">
        <v>4301052046</v>
      </c>
      <c r="D481" s="631">
        <v>4640242180533</v>
      </c>
      <c r="E481" s="631"/>
      <c r="F481" s="62">
        <v>1.5</v>
      </c>
      <c r="G481" s="37">
        <v>6</v>
      </c>
      <c r="H481" s="62">
        <v>9</v>
      </c>
      <c r="I481" s="62">
        <v>9.4939999999999998</v>
      </c>
      <c r="J481" s="37">
        <v>64</v>
      </c>
      <c r="K481" s="37" t="s">
        <v>117</v>
      </c>
      <c r="L481" s="37" t="s">
        <v>118</v>
      </c>
      <c r="M481" s="38" t="s">
        <v>98</v>
      </c>
      <c r="N481" s="38"/>
      <c r="O481" s="37">
        <v>45</v>
      </c>
      <c r="P481" s="8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633"/>
      <c r="R481" s="633"/>
      <c r="S481" s="633"/>
      <c r="T481" s="63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52" t="s">
        <v>750</v>
      </c>
      <c r="AG481" s="78"/>
      <c r="AJ481" s="84" t="s">
        <v>103</v>
      </c>
      <c r="AK481" s="84">
        <v>72</v>
      </c>
      <c r="BB481" s="553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39"/>
      <c r="B482" s="639"/>
      <c r="C482" s="639"/>
      <c r="D482" s="639"/>
      <c r="E482" s="639"/>
      <c r="F482" s="639"/>
      <c r="G482" s="639"/>
      <c r="H482" s="639"/>
      <c r="I482" s="639"/>
      <c r="J482" s="639"/>
      <c r="K482" s="639"/>
      <c r="L482" s="639"/>
      <c r="M482" s="639"/>
      <c r="N482" s="639"/>
      <c r="O482" s="640"/>
      <c r="P482" s="636" t="s">
        <v>40</v>
      </c>
      <c r="Q482" s="637"/>
      <c r="R482" s="637"/>
      <c r="S482" s="637"/>
      <c r="T482" s="637"/>
      <c r="U482" s="637"/>
      <c r="V482" s="638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639"/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40"/>
      <c r="P483" s="636" t="s">
        <v>40</v>
      </c>
      <c r="Q483" s="637"/>
      <c r="R483" s="637"/>
      <c r="S483" s="637"/>
      <c r="T483" s="637"/>
      <c r="U483" s="637"/>
      <c r="V483" s="638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630" t="s">
        <v>172</v>
      </c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0"/>
      <c r="P484" s="630"/>
      <c r="Q484" s="630"/>
      <c r="R484" s="630"/>
      <c r="S484" s="630"/>
      <c r="T484" s="630"/>
      <c r="U484" s="630"/>
      <c r="V484" s="630"/>
      <c r="W484" s="630"/>
      <c r="X484" s="630"/>
      <c r="Y484" s="630"/>
      <c r="Z484" s="630"/>
      <c r="AA484" s="66"/>
      <c r="AB484" s="66"/>
      <c r="AC484" s="80"/>
    </row>
    <row r="485" spans="1:68" ht="27" customHeight="1" x14ac:dyDescent="0.25">
      <c r="A485" s="63" t="s">
        <v>751</v>
      </c>
      <c r="B485" s="63" t="s">
        <v>752</v>
      </c>
      <c r="C485" s="36">
        <v>4301060491</v>
      </c>
      <c r="D485" s="631">
        <v>4640242180120</v>
      </c>
      <c r="E485" s="631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117</v>
      </c>
      <c r="L485" s="37" t="s">
        <v>45</v>
      </c>
      <c r="M485" s="38" t="s">
        <v>92</v>
      </c>
      <c r="N485" s="38"/>
      <c r="O485" s="37">
        <v>40</v>
      </c>
      <c r="P485" s="8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633"/>
      <c r="R485" s="633"/>
      <c r="S485" s="633"/>
      <c r="T485" s="634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754</v>
      </c>
      <c r="B486" s="63" t="s">
        <v>755</v>
      </c>
      <c r="C486" s="36">
        <v>4301060493</v>
      </c>
      <c r="D486" s="631">
        <v>4640242180137</v>
      </c>
      <c r="E486" s="631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633"/>
      <c r="R486" s="633"/>
      <c r="S486" s="633"/>
      <c r="T486" s="63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756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9"/>
      <c r="B487" s="639"/>
      <c r="C487" s="639"/>
      <c r="D487" s="639"/>
      <c r="E487" s="639"/>
      <c r="F487" s="639"/>
      <c r="G487" s="639"/>
      <c r="H487" s="639"/>
      <c r="I487" s="639"/>
      <c r="J487" s="639"/>
      <c r="K487" s="639"/>
      <c r="L487" s="639"/>
      <c r="M487" s="639"/>
      <c r="N487" s="639"/>
      <c r="O487" s="640"/>
      <c r="P487" s="636" t="s">
        <v>40</v>
      </c>
      <c r="Q487" s="637"/>
      <c r="R487" s="637"/>
      <c r="S487" s="637"/>
      <c r="T487" s="637"/>
      <c r="U487" s="637"/>
      <c r="V487" s="638"/>
      <c r="W487" s="42" t="s">
        <v>39</v>
      </c>
      <c r="X487" s="43">
        <f>IFERROR(X485/H485,"0")+IFERROR(X486/H486,"0")</f>
        <v>0</v>
      </c>
      <c r="Y487" s="43">
        <f>IFERROR(Y485/H485,"0")+IFERROR(Y486/H486,"0")</f>
        <v>0</v>
      </c>
      <c r="Z487" s="43">
        <f>IFERROR(IF(Z485="",0,Z485),"0")+IFERROR(IF(Z486="",0,Z486),"0")</f>
        <v>0</v>
      </c>
      <c r="AA487" s="67"/>
      <c r="AB487" s="67"/>
      <c r="AC487" s="67"/>
    </row>
    <row r="488" spans="1:68" x14ac:dyDescent="0.2">
      <c r="A488" s="639"/>
      <c r="B488" s="639"/>
      <c r="C488" s="639"/>
      <c r="D488" s="639"/>
      <c r="E488" s="639"/>
      <c r="F488" s="639"/>
      <c r="G488" s="639"/>
      <c r="H488" s="639"/>
      <c r="I488" s="639"/>
      <c r="J488" s="639"/>
      <c r="K488" s="639"/>
      <c r="L488" s="639"/>
      <c r="M488" s="639"/>
      <c r="N488" s="639"/>
      <c r="O488" s="640"/>
      <c r="P488" s="636" t="s">
        <v>40</v>
      </c>
      <c r="Q488" s="637"/>
      <c r="R488" s="637"/>
      <c r="S488" s="637"/>
      <c r="T488" s="637"/>
      <c r="U488" s="637"/>
      <c r="V488" s="638"/>
      <c r="W488" s="42" t="s">
        <v>0</v>
      </c>
      <c r="X488" s="43">
        <f>IFERROR(SUM(X485:X486),"0")</f>
        <v>0</v>
      </c>
      <c r="Y488" s="43">
        <f>IFERROR(SUM(Y485:Y486),"0")</f>
        <v>0</v>
      </c>
      <c r="Z488" s="42"/>
      <c r="AA488" s="67"/>
      <c r="AB488" s="67"/>
      <c r="AC488" s="67"/>
    </row>
    <row r="489" spans="1:68" ht="16.5" customHeight="1" x14ac:dyDescent="0.25">
      <c r="A489" s="629" t="s">
        <v>757</v>
      </c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629"/>
      <c r="P489" s="629"/>
      <c r="Q489" s="629"/>
      <c r="R489" s="629"/>
      <c r="S489" s="629"/>
      <c r="T489" s="629"/>
      <c r="U489" s="629"/>
      <c r="V489" s="629"/>
      <c r="W489" s="629"/>
      <c r="X489" s="629"/>
      <c r="Y489" s="629"/>
      <c r="Z489" s="629"/>
      <c r="AA489" s="65"/>
      <c r="AB489" s="65"/>
      <c r="AC489" s="79"/>
    </row>
    <row r="490" spans="1:68" ht="14.25" customHeight="1" x14ac:dyDescent="0.25">
      <c r="A490" s="630" t="s">
        <v>147</v>
      </c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630"/>
      <c r="P490" s="630"/>
      <c r="Q490" s="630"/>
      <c r="R490" s="630"/>
      <c r="S490" s="630"/>
      <c r="T490" s="630"/>
      <c r="U490" s="630"/>
      <c r="V490" s="630"/>
      <c r="W490" s="630"/>
      <c r="X490" s="630"/>
      <c r="Y490" s="630"/>
      <c r="Z490" s="630"/>
      <c r="AA490" s="66"/>
      <c r="AB490" s="66"/>
      <c r="AC490" s="80"/>
    </row>
    <row r="491" spans="1:68" ht="27" customHeight="1" x14ac:dyDescent="0.25">
      <c r="A491" s="63" t="s">
        <v>758</v>
      </c>
      <c r="B491" s="63" t="s">
        <v>759</v>
      </c>
      <c r="C491" s="36">
        <v>4301020314</v>
      </c>
      <c r="D491" s="631">
        <v>4640242180090</v>
      </c>
      <c r="E491" s="631"/>
      <c r="F491" s="62">
        <v>1.5</v>
      </c>
      <c r="G491" s="37">
        <v>8</v>
      </c>
      <c r="H491" s="62">
        <v>12</v>
      </c>
      <c r="I491" s="62">
        <v>12.41</v>
      </c>
      <c r="J491" s="37">
        <v>64</v>
      </c>
      <c r="K491" s="37" t="s">
        <v>117</v>
      </c>
      <c r="L491" s="37" t="s">
        <v>45</v>
      </c>
      <c r="M491" s="38" t="s">
        <v>116</v>
      </c>
      <c r="N491" s="38"/>
      <c r="O491" s="37">
        <v>50</v>
      </c>
      <c r="P491" s="87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633"/>
      <c r="R491" s="633"/>
      <c r="S491" s="633"/>
      <c r="T491" s="634"/>
      <c r="U491" s="39" t="s">
        <v>45</v>
      </c>
      <c r="V491" s="39" t="s">
        <v>45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IFERROR(IF(Y491=0,"",ROUNDUP(Y491/H491,0)*0.01898),"")</f>
        <v/>
      </c>
      <c r="AA491" s="68" t="s">
        <v>45</v>
      </c>
      <c r="AB491" s="69" t="s">
        <v>45</v>
      </c>
      <c r="AC491" s="558" t="s">
        <v>760</v>
      </c>
      <c r="AG491" s="78"/>
      <c r="AJ491" s="84" t="s">
        <v>45</v>
      </c>
      <c r="AK491" s="84">
        <v>0</v>
      </c>
      <c r="BB491" s="55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39"/>
      <c r="B492" s="639"/>
      <c r="C492" s="639"/>
      <c r="D492" s="639"/>
      <c r="E492" s="639"/>
      <c r="F492" s="639"/>
      <c r="G492" s="639"/>
      <c r="H492" s="639"/>
      <c r="I492" s="639"/>
      <c r="J492" s="639"/>
      <c r="K492" s="639"/>
      <c r="L492" s="639"/>
      <c r="M492" s="639"/>
      <c r="N492" s="639"/>
      <c r="O492" s="640"/>
      <c r="P492" s="636" t="s">
        <v>40</v>
      </c>
      <c r="Q492" s="637"/>
      <c r="R492" s="637"/>
      <c r="S492" s="637"/>
      <c r="T492" s="637"/>
      <c r="U492" s="637"/>
      <c r="V492" s="638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x14ac:dyDescent="0.2">
      <c r="A493" s="639"/>
      <c r="B493" s="639"/>
      <c r="C493" s="639"/>
      <c r="D493" s="639"/>
      <c r="E493" s="639"/>
      <c r="F493" s="639"/>
      <c r="G493" s="639"/>
      <c r="H493" s="639"/>
      <c r="I493" s="639"/>
      <c r="J493" s="639"/>
      <c r="K493" s="639"/>
      <c r="L493" s="639"/>
      <c r="M493" s="639"/>
      <c r="N493" s="639"/>
      <c r="O493" s="640"/>
      <c r="P493" s="636" t="s">
        <v>40</v>
      </c>
      <c r="Q493" s="637"/>
      <c r="R493" s="637"/>
      <c r="S493" s="637"/>
      <c r="T493" s="637"/>
      <c r="U493" s="637"/>
      <c r="V493" s="638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5" customHeight="1" x14ac:dyDescent="0.2">
      <c r="A494" s="639"/>
      <c r="B494" s="639"/>
      <c r="C494" s="639"/>
      <c r="D494" s="639"/>
      <c r="E494" s="639"/>
      <c r="F494" s="639"/>
      <c r="G494" s="639"/>
      <c r="H494" s="639"/>
      <c r="I494" s="639"/>
      <c r="J494" s="639"/>
      <c r="K494" s="639"/>
      <c r="L494" s="639"/>
      <c r="M494" s="639"/>
      <c r="N494" s="639"/>
      <c r="O494" s="879"/>
      <c r="P494" s="876" t="s">
        <v>33</v>
      </c>
      <c r="Q494" s="877"/>
      <c r="R494" s="877"/>
      <c r="S494" s="877"/>
      <c r="T494" s="877"/>
      <c r="U494" s="877"/>
      <c r="V494" s="878"/>
      <c r="W494" s="42" t="s">
        <v>0</v>
      </c>
      <c r="X494" s="4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0</v>
      </c>
      <c r="Y494" s="4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0</v>
      </c>
      <c r="Z494" s="42"/>
      <c r="AA494" s="67"/>
      <c r="AB494" s="67"/>
      <c r="AC494" s="67"/>
    </row>
    <row r="495" spans="1:68" x14ac:dyDescent="0.2">
      <c r="A495" s="639"/>
      <c r="B495" s="639"/>
      <c r="C495" s="639"/>
      <c r="D495" s="639"/>
      <c r="E495" s="639"/>
      <c r="F495" s="639"/>
      <c r="G495" s="639"/>
      <c r="H495" s="639"/>
      <c r="I495" s="639"/>
      <c r="J495" s="639"/>
      <c r="K495" s="639"/>
      <c r="L495" s="639"/>
      <c r="M495" s="639"/>
      <c r="N495" s="639"/>
      <c r="O495" s="879"/>
      <c r="P495" s="876" t="s">
        <v>34</v>
      </c>
      <c r="Q495" s="877"/>
      <c r="R495" s="877"/>
      <c r="S495" s="877"/>
      <c r="T495" s="877"/>
      <c r="U495" s="877"/>
      <c r="V495" s="878"/>
      <c r="W495" s="42" t="s">
        <v>0</v>
      </c>
      <c r="X495" s="43">
        <f>IFERROR(SUM(BM22:BM491),"0")</f>
        <v>0</v>
      </c>
      <c r="Y495" s="43">
        <f>IFERROR(SUM(BN22:BN491),"0")</f>
        <v>0</v>
      </c>
      <c r="Z495" s="42"/>
      <c r="AA495" s="67"/>
      <c r="AB495" s="67"/>
      <c r="AC495" s="67"/>
    </row>
    <row r="496" spans="1:68" x14ac:dyDescent="0.2">
      <c r="A496" s="639"/>
      <c r="B496" s="639"/>
      <c r="C496" s="639"/>
      <c r="D496" s="639"/>
      <c r="E496" s="639"/>
      <c r="F496" s="639"/>
      <c r="G496" s="639"/>
      <c r="H496" s="639"/>
      <c r="I496" s="639"/>
      <c r="J496" s="639"/>
      <c r="K496" s="639"/>
      <c r="L496" s="639"/>
      <c r="M496" s="639"/>
      <c r="N496" s="639"/>
      <c r="O496" s="879"/>
      <c r="P496" s="876" t="s">
        <v>35</v>
      </c>
      <c r="Q496" s="877"/>
      <c r="R496" s="877"/>
      <c r="S496" s="877"/>
      <c r="T496" s="877"/>
      <c r="U496" s="877"/>
      <c r="V496" s="878"/>
      <c r="W496" s="42" t="s">
        <v>20</v>
      </c>
      <c r="X496" s="44">
        <f>ROUNDUP(SUM(BO22:BO491),0)</f>
        <v>0</v>
      </c>
      <c r="Y496" s="44">
        <f>ROUNDUP(SUM(BP22:BP491),0)</f>
        <v>0</v>
      </c>
      <c r="Z496" s="42"/>
      <c r="AA496" s="67"/>
      <c r="AB496" s="67"/>
      <c r="AC496" s="67"/>
    </row>
    <row r="497" spans="1:32" x14ac:dyDescent="0.2">
      <c r="A497" s="639"/>
      <c r="B497" s="639"/>
      <c r="C497" s="639"/>
      <c r="D497" s="639"/>
      <c r="E497" s="639"/>
      <c r="F497" s="639"/>
      <c r="G497" s="639"/>
      <c r="H497" s="639"/>
      <c r="I497" s="639"/>
      <c r="J497" s="639"/>
      <c r="K497" s="639"/>
      <c r="L497" s="639"/>
      <c r="M497" s="639"/>
      <c r="N497" s="639"/>
      <c r="O497" s="879"/>
      <c r="P497" s="876" t="s">
        <v>36</v>
      </c>
      <c r="Q497" s="877"/>
      <c r="R497" s="877"/>
      <c r="S497" s="877"/>
      <c r="T497" s="877"/>
      <c r="U497" s="877"/>
      <c r="V497" s="878"/>
      <c r="W497" s="42" t="s">
        <v>0</v>
      </c>
      <c r="X497" s="43">
        <f>GrossWeightTotal+PalletQtyTotal*25</f>
        <v>0</v>
      </c>
      <c r="Y497" s="43">
        <f>GrossWeightTotalR+PalletQtyTotalR*25</f>
        <v>0</v>
      </c>
      <c r="Z497" s="42"/>
      <c r="AA497" s="67"/>
      <c r="AB497" s="67"/>
      <c r="AC497" s="67"/>
    </row>
    <row r="498" spans="1:32" x14ac:dyDescent="0.2">
      <c r="A498" s="639"/>
      <c r="B498" s="639"/>
      <c r="C498" s="639"/>
      <c r="D498" s="639"/>
      <c r="E498" s="639"/>
      <c r="F498" s="639"/>
      <c r="G498" s="639"/>
      <c r="H498" s="639"/>
      <c r="I498" s="639"/>
      <c r="J498" s="639"/>
      <c r="K498" s="639"/>
      <c r="L498" s="639"/>
      <c r="M498" s="639"/>
      <c r="N498" s="639"/>
      <c r="O498" s="879"/>
      <c r="P498" s="876" t="s">
        <v>37</v>
      </c>
      <c r="Q498" s="877"/>
      <c r="R498" s="877"/>
      <c r="S498" s="877"/>
      <c r="T498" s="877"/>
      <c r="U498" s="877"/>
      <c r="V498" s="878"/>
      <c r="W498" s="42" t="s">
        <v>20</v>
      </c>
      <c r="X498" s="4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0</v>
      </c>
      <c r="Y498" s="4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0</v>
      </c>
      <c r="Z498" s="42"/>
      <c r="AA498" s="67"/>
      <c r="AB498" s="67"/>
      <c r="AC498" s="67"/>
    </row>
    <row r="499" spans="1:32" ht="14.25" x14ac:dyDescent="0.2">
      <c r="A499" s="639"/>
      <c r="B499" s="639"/>
      <c r="C499" s="639"/>
      <c r="D499" s="639"/>
      <c r="E499" s="639"/>
      <c r="F499" s="639"/>
      <c r="G499" s="639"/>
      <c r="H499" s="639"/>
      <c r="I499" s="639"/>
      <c r="J499" s="639"/>
      <c r="K499" s="639"/>
      <c r="L499" s="639"/>
      <c r="M499" s="639"/>
      <c r="N499" s="639"/>
      <c r="O499" s="879"/>
      <c r="P499" s="876" t="s">
        <v>38</v>
      </c>
      <c r="Q499" s="877"/>
      <c r="R499" s="877"/>
      <c r="S499" s="877"/>
      <c r="T499" s="877"/>
      <c r="U499" s="877"/>
      <c r="V499" s="878"/>
      <c r="W499" s="45" t="s">
        <v>51</v>
      </c>
      <c r="X499" s="42"/>
      <c r="Y499" s="42"/>
      <c r="Z499" s="42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0</v>
      </c>
      <c r="AA499" s="67"/>
      <c r="AB499" s="67"/>
      <c r="AC499" s="67"/>
    </row>
    <row r="500" spans="1:32" ht="13.5" thickBot="1" x14ac:dyDescent="0.25"/>
    <row r="501" spans="1:32" ht="27" thickTop="1" thickBot="1" x14ac:dyDescent="0.25">
      <c r="A501" s="46" t="s">
        <v>9</v>
      </c>
      <c r="B501" s="85" t="s">
        <v>77</v>
      </c>
      <c r="C501" s="882" t="s">
        <v>110</v>
      </c>
      <c r="D501" s="882" t="s">
        <v>110</v>
      </c>
      <c r="E501" s="882" t="s">
        <v>110</v>
      </c>
      <c r="F501" s="882" t="s">
        <v>110</v>
      </c>
      <c r="G501" s="882" t="s">
        <v>110</v>
      </c>
      <c r="H501" s="882" t="s">
        <v>110</v>
      </c>
      <c r="I501" s="882" t="s">
        <v>277</v>
      </c>
      <c r="J501" s="882" t="s">
        <v>277</v>
      </c>
      <c r="K501" s="882" t="s">
        <v>277</v>
      </c>
      <c r="L501" s="882" t="s">
        <v>277</v>
      </c>
      <c r="M501" s="882" t="s">
        <v>277</v>
      </c>
      <c r="N501" s="883"/>
      <c r="O501" s="882" t="s">
        <v>277</v>
      </c>
      <c r="P501" s="882" t="s">
        <v>277</v>
      </c>
      <c r="Q501" s="882" t="s">
        <v>277</v>
      </c>
      <c r="R501" s="882" t="s">
        <v>277</v>
      </c>
      <c r="S501" s="882" t="s">
        <v>567</v>
      </c>
      <c r="T501" s="882" t="s">
        <v>567</v>
      </c>
      <c r="U501" s="882" t="s">
        <v>621</v>
      </c>
      <c r="V501" s="882" t="s">
        <v>621</v>
      </c>
      <c r="W501" s="882" t="s">
        <v>621</v>
      </c>
      <c r="X501" s="85" t="s">
        <v>672</v>
      </c>
      <c r="Y501" s="882" t="s">
        <v>727</v>
      </c>
      <c r="Z501" s="882" t="s">
        <v>727</v>
      </c>
      <c r="AB501" s="60"/>
      <c r="AC501" s="60"/>
      <c r="AF501" s="1"/>
    </row>
    <row r="502" spans="1:32" ht="14.25" customHeight="1" thickTop="1" x14ac:dyDescent="0.2">
      <c r="A502" s="880" t="s">
        <v>10</v>
      </c>
      <c r="B502" s="882" t="s">
        <v>77</v>
      </c>
      <c r="C502" s="882" t="s">
        <v>111</v>
      </c>
      <c r="D502" s="882" t="s">
        <v>128</v>
      </c>
      <c r="E502" s="882" t="s">
        <v>179</v>
      </c>
      <c r="F502" s="882" t="s">
        <v>201</v>
      </c>
      <c r="G502" s="882" t="s">
        <v>238</v>
      </c>
      <c r="H502" s="882" t="s">
        <v>110</v>
      </c>
      <c r="I502" s="882" t="s">
        <v>278</v>
      </c>
      <c r="J502" s="882" t="s">
        <v>333</v>
      </c>
      <c r="K502" s="882" t="s">
        <v>393</v>
      </c>
      <c r="L502" s="882" t="s">
        <v>434</v>
      </c>
      <c r="M502" s="882" t="s">
        <v>450</v>
      </c>
      <c r="N502" s="1"/>
      <c r="O502" s="882" t="s">
        <v>461</v>
      </c>
      <c r="P502" s="882" t="s">
        <v>470</v>
      </c>
      <c r="Q502" s="882" t="s">
        <v>483</v>
      </c>
      <c r="R502" s="882" t="s">
        <v>557</v>
      </c>
      <c r="S502" s="882" t="s">
        <v>568</v>
      </c>
      <c r="T502" s="882" t="s">
        <v>603</v>
      </c>
      <c r="U502" s="882" t="s">
        <v>622</v>
      </c>
      <c r="V502" s="882" t="s">
        <v>653</v>
      </c>
      <c r="W502" s="882" t="s">
        <v>668</v>
      </c>
      <c r="X502" s="882" t="s">
        <v>672</v>
      </c>
      <c r="Y502" s="882" t="s">
        <v>727</v>
      </c>
      <c r="Z502" s="882" t="s">
        <v>757</v>
      </c>
      <c r="AB502" s="60"/>
      <c r="AC502" s="60"/>
      <c r="AF502" s="1"/>
    </row>
    <row r="503" spans="1:32" ht="13.5" thickBot="1" x14ac:dyDescent="0.25">
      <c r="A503" s="881"/>
      <c r="B503" s="882"/>
      <c r="C503" s="882"/>
      <c r="D503" s="882"/>
      <c r="E503" s="882"/>
      <c r="F503" s="882"/>
      <c r="G503" s="882"/>
      <c r="H503" s="882"/>
      <c r="I503" s="882"/>
      <c r="J503" s="882"/>
      <c r="K503" s="882"/>
      <c r="L503" s="882"/>
      <c r="M503" s="882"/>
      <c r="N503" s="1"/>
      <c r="O503" s="882"/>
      <c r="P503" s="882"/>
      <c r="Q503" s="882"/>
      <c r="R503" s="882"/>
      <c r="S503" s="882"/>
      <c r="T503" s="882"/>
      <c r="U503" s="882"/>
      <c r="V503" s="882"/>
      <c r="W503" s="882"/>
      <c r="X503" s="882"/>
      <c r="Y503" s="882"/>
      <c r="Z503" s="882"/>
      <c r="AB503" s="60"/>
      <c r="AC503" s="60"/>
      <c r="AF503" s="1"/>
    </row>
    <row r="504" spans="1:32" ht="18" thickTop="1" thickBot="1" x14ac:dyDescent="0.25">
      <c r="A504" s="46" t="s">
        <v>13</v>
      </c>
      <c r="B504" s="52">
        <f>IFERROR(Y22*1,"0")+IFERROR(Y23*1,"0")+IFERROR(Y27*1,"0")+IFERROR(Y28*1,"0")+IFERROR(Y29*1,"0")+IFERROR(Y30*1,"0")+IFERROR(Y34*1,"0")</f>
        <v>0</v>
      </c>
      <c r="C504" s="52">
        <f>IFERROR(Y40*1,"0")+IFERROR(Y41*1,"0")+IFERROR(Y42*1,"0")+IFERROR(Y46*1,"0")</f>
        <v>0</v>
      </c>
      <c r="D504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4" s="52">
        <f>IFERROR(Y84*1,"0")+IFERROR(Y85*1,"0")+IFERROR(Y86*1,"0")+IFERROR(Y87*1,"0")+IFERROR(Y91*1,"0")+IFERROR(Y92*1,"0")+IFERROR(Y93*1,"0")+IFERROR(Y94*1,"0")</f>
        <v>0</v>
      </c>
      <c r="F504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4" s="52">
        <f>IFERROR(Y126*1,"0")+IFERROR(Y127*1,"0")+IFERROR(Y131*1,"0")+IFERROR(Y132*1,"0")+IFERROR(Y136*1,"0")+IFERROR(Y137*1,"0")</f>
        <v>0</v>
      </c>
      <c r="H504" s="52">
        <f>IFERROR(Y142*1,"0")+IFERROR(Y143*1,"0")+IFERROR(Y147*1,"0")+IFERROR(Y148*1,"0")+IFERROR(Y149*1,"0")+IFERROR(Y150*1,"0")+IFERROR(Y151*1,"0")+IFERROR(Y152*1,"0")+IFERROR(Y156*1,"0")</f>
        <v>0</v>
      </c>
      <c r="I504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4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52">
        <f>IFERROR(Y262*1,"0")+IFERROR(Y263*1,"0")+IFERROR(Y264*1,"0")+IFERROR(Y265*1,"0")+IFERROR(Y266*1,"0")</f>
        <v>0</v>
      </c>
      <c r="M504" s="52">
        <f>IFERROR(Y271*1,"0")+IFERROR(Y272*1,"0")+IFERROR(Y273*1,"0")+IFERROR(Y274*1,"0")</f>
        <v>0</v>
      </c>
      <c r="N504" s="1"/>
      <c r="O504" s="52">
        <f>IFERROR(Y279*1,"0")+IFERROR(Y280*1,"0")+IFERROR(Y281*1,"0")</f>
        <v>0</v>
      </c>
      <c r="P504" s="52">
        <f>IFERROR(Y286*1,"0")+IFERROR(Y287*1,"0")+IFERROR(Y291*1,"0")+IFERROR(Y292*1,"0")</f>
        <v>0</v>
      </c>
      <c r="Q504" s="52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4" s="52">
        <f>IFERROR(Y342*1,"0")+IFERROR(Y343*1,"0")+IFERROR(Y344*1,"0")</f>
        <v>0</v>
      </c>
      <c r="S504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4" s="52">
        <f>IFERROR(Y375*1,"0")+IFERROR(Y376*1,"0")+IFERROR(Y380*1,"0")+IFERROR(Y381*1,"0")+IFERROR(Y385*1,"0")+IFERROR(Y386*1,"0")+IFERROR(Y387*1,"0")</f>
        <v>0</v>
      </c>
      <c r="U504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52">
        <f>IFERROR(Y411*1,"0")+IFERROR(Y415*1,"0")+IFERROR(Y416*1,"0")+IFERROR(Y417*1,"0")+IFERROR(Y418*1,"0")</f>
        <v>0</v>
      </c>
      <c r="W504" s="52">
        <f>IFERROR(Y423*1,"0")</f>
        <v>0</v>
      </c>
      <c r="X504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4" s="52">
        <f>IFERROR(Y465*1,"0")+IFERROR(Y466*1,"0")+IFERROR(Y467*1,"0")+IFERROR(Y468*1,"0")+IFERROR(Y472*1,"0")+IFERROR(Y473*1,"0")+IFERROR(Y477*1,"0")+IFERROR(Y481*1,"0")+IFERROR(Y485*1,"0")+IFERROR(Y486*1,"0")</f>
        <v>0</v>
      </c>
      <c r="Z504" s="52">
        <f>IFERROR(Y491*1,"0")</f>
        <v>0</v>
      </c>
      <c r="AB504" s="60"/>
      <c r="AC504" s="60"/>
      <c r="AF504" s="1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4">
    <mergeCell ref="U502:U503"/>
    <mergeCell ref="V502:V503"/>
    <mergeCell ref="W502:W503"/>
    <mergeCell ref="X502:X503"/>
    <mergeCell ref="Y502:Y503"/>
    <mergeCell ref="Z502:Z503"/>
    <mergeCell ref="C501:H501"/>
    <mergeCell ref="I501:R501"/>
    <mergeCell ref="S501:T501"/>
    <mergeCell ref="U501:W501"/>
    <mergeCell ref="Y501:Z501"/>
    <mergeCell ref="J502:J503"/>
    <mergeCell ref="K502:K503"/>
    <mergeCell ref="L502:L503"/>
    <mergeCell ref="M502:M503"/>
    <mergeCell ref="O502:O503"/>
    <mergeCell ref="P502:P503"/>
    <mergeCell ref="Q502:Q503"/>
    <mergeCell ref="R502:R503"/>
    <mergeCell ref="S502:S503"/>
    <mergeCell ref="T502:T503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I502:I503"/>
    <mergeCell ref="A490:Z490"/>
    <mergeCell ref="D491:E491"/>
    <mergeCell ref="P491:T491"/>
    <mergeCell ref="P492:V492"/>
    <mergeCell ref="A492:O493"/>
    <mergeCell ref="P493:V493"/>
    <mergeCell ref="P494:V494"/>
    <mergeCell ref="A494:O499"/>
    <mergeCell ref="P495:V495"/>
    <mergeCell ref="P496:V496"/>
    <mergeCell ref="P497:V497"/>
    <mergeCell ref="P498:V498"/>
    <mergeCell ref="P499:V499"/>
    <mergeCell ref="A484:Z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81 X467 X450:X452 X444 X435 X432:X433 X429 X415 X405:X406 X395 X393 X385:X386 X380 X375:X376 X365:X366 X356 X342:X344 X331 X322:X324 X318 X315 X309:X311 X306:X307 X301:X302 X298:X299 X291 X281 X266 X264 X262 X240 X236 X227 X217:X223 X211 X204:X209 X195 X177 X172 X170 X168 X166 X151 X147 X143 X137 X131:X132 X126:X127 X121 X114:X117 X101:X102 X99 X94 X91 X87 X84 X78:X79 X74 X72 X60 X55 X51 X46 X40:X4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9"/>
    </row>
    <row r="3" spans="2:8" x14ac:dyDescent="0.2">
      <c r="B3" s="53" t="s">
        <v>762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764</v>
      </c>
      <c r="D6" s="53" t="s">
        <v>765</v>
      </c>
      <c r="E6" s="53" t="s">
        <v>45</v>
      </c>
    </row>
    <row r="8" spans="2:8" x14ac:dyDescent="0.2">
      <c r="B8" s="53" t="s">
        <v>76</v>
      </c>
      <c r="C8" s="53" t="s">
        <v>764</v>
      </c>
      <c r="D8" s="53" t="s">
        <v>45</v>
      </c>
      <c r="E8" s="53" t="s">
        <v>45</v>
      </c>
    </row>
    <row r="10" spans="2:8" x14ac:dyDescent="0.2">
      <c r="B10" s="53" t="s">
        <v>766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767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768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769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770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771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772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773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774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775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776</v>
      </c>
      <c r="C20" s="53" t="s">
        <v>45</v>
      </c>
      <c r="D20" s="53" t="s">
        <v>45</v>
      </c>
      <c r="E20" s="53" t="s">
        <v>45</v>
      </c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990</vt:i4>
      </vt:variant>
    </vt:vector>
  </HeadingPairs>
  <TitlesOfParts>
    <vt:vector size="99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