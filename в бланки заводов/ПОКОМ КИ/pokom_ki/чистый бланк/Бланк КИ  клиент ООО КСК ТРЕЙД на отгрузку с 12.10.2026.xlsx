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C33011E-7762-4400-891E-E5A40CD51A69}" xr6:coauthVersionLast="47" xr6:coauthVersionMax="47" xr10:uidLastSave="{00000000-0000-0000-0000-000000000000}"/>
  <bookViews>
    <workbookView xWindow="2055" yWindow="0" windowWidth="23145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P543" i="2"/>
  <c r="Y540" i="2"/>
  <c r="X540" i="2"/>
  <c r="X539" i="2"/>
  <c r="BO538" i="2"/>
  <c r="BM538" i="2"/>
  <c r="Y538" i="2"/>
  <c r="BP538" i="2" s="1"/>
  <c r="P538" i="2"/>
  <c r="BP537" i="2"/>
  <c r="BO537" i="2"/>
  <c r="BM537" i="2"/>
  <c r="Z537" i="2"/>
  <c r="Y537" i="2"/>
  <c r="Y539" i="2" s="1"/>
  <c r="P537" i="2"/>
  <c r="Y535" i="2"/>
  <c r="X535" i="2"/>
  <c r="X534" i="2"/>
  <c r="BO533" i="2"/>
  <c r="BM533" i="2"/>
  <c r="Z533" i="2"/>
  <c r="Z534" i="2" s="1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P525" i="2"/>
  <c r="BO525" i="2"/>
  <c r="BM525" i="2"/>
  <c r="Z525" i="2"/>
  <c r="Z526" i="2" s="1"/>
  <c r="Y525" i="2"/>
  <c r="Y527" i="2" s="1"/>
  <c r="P525" i="2"/>
  <c r="Y523" i="2"/>
  <c r="X523" i="2"/>
  <c r="X522" i="2"/>
  <c r="BO521" i="2"/>
  <c r="BM521" i="2"/>
  <c r="Z521" i="2"/>
  <c r="Z522" i="2" s="1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N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N509" i="2"/>
  <c r="BM509" i="2"/>
  <c r="Y509" i="2"/>
  <c r="Y516" i="2" s="1"/>
  <c r="P509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N499" i="2"/>
  <c r="BM499" i="2"/>
  <c r="Y499" i="2"/>
  <c r="BP499" i="2" s="1"/>
  <c r="P499" i="2"/>
  <c r="BO498" i="2"/>
  <c r="BM498" i="2"/>
  <c r="Y498" i="2"/>
  <c r="BN498" i="2" s="1"/>
  <c r="P498" i="2"/>
  <c r="BO497" i="2"/>
  <c r="BM497" i="2"/>
  <c r="Z497" i="2"/>
  <c r="Y497" i="2"/>
  <c r="BP497" i="2" s="1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N492" i="2"/>
  <c r="BM492" i="2"/>
  <c r="Y492" i="2"/>
  <c r="BP492" i="2" s="1"/>
  <c r="P492" i="2"/>
  <c r="X488" i="2"/>
  <c r="X487" i="2"/>
  <c r="BO486" i="2"/>
  <c r="BM486" i="2"/>
  <c r="Y486" i="2"/>
  <c r="BN486" i="2" s="1"/>
  <c r="P486" i="2"/>
  <c r="BO485" i="2"/>
  <c r="BN485" i="2"/>
  <c r="BM485" i="2"/>
  <c r="Z485" i="2"/>
  <c r="Y485" i="2"/>
  <c r="BP485" i="2" s="1"/>
  <c r="P485" i="2"/>
  <c r="BO484" i="2"/>
  <c r="BM484" i="2"/>
  <c r="Y484" i="2"/>
  <c r="P484" i="2"/>
  <c r="Y482" i="2"/>
  <c r="X482" i="2"/>
  <c r="X481" i="2"/>
  <c r="BP480" i="2"/>
  <c r="BO480" i="2"/>
  <c r="BM480" i="2"/>
  <c r="Y480" i="2"/>
  <c r="Y481" i="2" s="1"/>
  <c r="P480" i="2"/>
  <c r="X477" i="2"/>
  <c r="Y476" i="2"/>
  <c r="X476" i="2"/>
  <c r="BO475" i="2"/>
  <c r="BN475" i="2"/>
  <c r="BM475" i="2"/>
  <c r="Y475" i="2"/>
  <c r="Y477" i="2" s="1"/>
  <c r="P475" i="2"/>
  <c r="X473" i="2"/>
  <c r="X472" i="2"/>
  <c r="BO471" i="2"/>
  <c r="BM471" i="2"/>
  <c r="Y471" i="2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N468" i="2" s="1"/>
  <c r="P468" i="2"/>
  <c r="BO467" i="2"/>
  <c r="BN467" i="2"/>
  <c r="BM467" i="2"/>
  <c r="Y467" i="2"/>
  <c r="Z467" i="2" s="1"/>
  <c r="P467" i="2"/>
  <c r="BO466" i="2"/>
  <c r="BM466" i="2"/>
  <c r="Y466" i="2"/>
  <c r="P466" i="2"/>
  <c r="X462" i="2"/>
  <c r="X461" i="2"/>
  <c r="BO460" i="2"/>
  <c r="BN460" i="2"/>
  <c r="BM460" i="2"/>
  <c r="Y460" i="2"/>
  <c r="BP460" i="2" s="1"/>
  <c r="P460" i="2"/>
  <c r="BO459" i="2"/>
  <c r="BM459" i="2"/>
  <c r="Y459" i="2"/>
  <c r="Z459" i="2" s="1"/>
  <c r="P459" i="2"/>
  <c r="BO458" i="2"/>
  <c r="BN458" i="2"/>
  <c r="BM458" i="2"/>
  <c r="Y458" i="2"/>
  <c r="Z458" i="2" s="1"/>
  <c r="P458" i="2"/>
  <c r="X456" i="2"/>
  <c r="X455" i="2"/>
  <c r="BO454" i="2"/>
  <c r="BM454" i="2"/>
  <c r="Y454" i="2"/>
  <c r="P454" i="2"/>
  <c r="X452" i="2"/>
  <c r="X451" i="2"/>
  <c r="BO450" i="2"/>
  <c r="BN450" i="2"/>
  <c r="BM450" i="2"/>
  <c r="Y450" i="2"/>
  <c r="BP450" i="2" s="1"/>
  <c r="P450" i="2"/>
  <c r="BO449" i="2"/>
  <c r="BM449" i="2"/>
  <c r="Y449" i="2"/>
  <c r="Y451" i="2" s="1"/>
  <c r="P449" i="2"/>
  <c r="X446" i="2"/>
  <c r="X445" i="2"/>
  <c r="BO444" i="2"/>
  <c r="BM444" i="2"/>
  <c r="Y444" i="2"/>
  <c r="BP444" i="2" s="1"/>
  <c r="P444" i="2"/>
  <c r="BO443" i="2"/>
  <c r="BN443" i="2"/>
  <c r="BM443" i="2"/>
  <c r="Y443" i="2"/>
  <c r="P443" i="2"/>
  <c r="X441" i="2"/>
  <c r="X440" i="2"/>
  <c r="BO439" i="2"/>
  <c r="BN439" i="2"/>
  <c r="BM439" i="2"/>
  <c r="Y439" i="2"/>
  <c r="BP439" i="2" s="1"/>
  <c r="P439" i="2"/>
  <c r="BO438" i="2"/>
  <c r="BM438" i="2"/>
  <c r="Y438" i="2"/>
  <c r="Y440" i="2" s="1"/>
  <c r="P438" i="2"/>
  <c r="BO437" i="2"/>
  <c r="BM437" i="2"/>
  <c r="Z437" i="2"/>
  <c r="Y437" i="2"/>
  <c r="BP437" i="2" s="1"/>
  <c r="P437" i="2"/>
  <c r="X435" i="2"/>
  <c r="X434" i="2"/>
  <c r="BO433" i="2"/>
  <c r="BN433" i="2"/>
  <c r="BM433" i="2"/>
  <c r="Y433" i="2"/>
  <c r="BP433" i="2" s="1"/>
  <c r="P433" i="2"/>
  <c r="BO432" i="2"/>
  <c r="BM432" i="2"/>
  <c r="Y432" i="2"/>
  <c r="P432" i="2"/>
  <c r="BP431" i="2"/>
  <c r="BO431" i="2"/>
  <c r="BM431" i="2"/>
  <c r="Z431" i="2"/>
  <c r="Y431" i="2"/>
  <c r="BN431" i="2" s="1"/>
  <c r="P431" i="2"/>
  <c r="X429" i="2"/>
  <c r="X428" i="2"/>
  <c r="BO427" i="2"/>
  <c r="BN427" i="2"/>
  <c r="BM427" i="2"/>
  <c r="Y427" i="2"/>
  <c r="BP427" i="2" s="1"/>
  <c r="P427" i="2"/>
  <c r="BO426" i="2"/>
  <c r="BM426" i="2"/>
  <c r="Y426" i="2"/>
  <c r="BP426" i="2" s="1"/>
  <c r="P426" i="2"/>
  <c r="BO425" i="2"/>
  <c r="BN425" i="2"/>
  <c r="BM425" i="2"/>
  <c r="Y425" i="2"/>
  <c r="BP425" i="2" s="1"/>
  <c r="P425" i="2"/>
  <c r="BO424" i="2"/>
  <c r="BM424" i="2"/>
  <c r="Y424" i="2"/>
  <c r="BP424" i="2" s="1"/>
  <c r="P424" i="2"/>
  <c r="BP423" i="2"/>
  <c r="BO423" i="2"/>
  <c r="BN423" i="2"/>
  <c r="BM423" i="2"/>
  <c r="Z423" i="2"/>
  <c r="Y423" i="2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Y416" i="2" s="1"/>
  <c r="P412" i="2"/>
  <c r="X409" i="2"/>
  <c r="X408" i="2"/>
  <c r="BP407" i="2"/>
  <c r="BO407" i="2"/>
  <c r="BM407" i="2"/>
  <c r="Z407" i="2"/>
  <c r="Y407" i="2"/>
  <c r="BN407" i="2" s="1"/>
  <c r="P407" i="2"/>
  <c r="BO406" i="2"/>
  <c r="BM406" i="2"/>
  <c r="Y406" i="2"/>
  <c r="Y409" i="2" s="1"/>
  <c r="P406" i="2"/>
  <c r="X403" i="2"/>
  <c r="Y402" i="2"/>
  <c r="X402" i="2"/>
  <c r="BO401" i="2"/>
  <c r="BN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N395" i="2"/>
  <c r="BM395" i="2"/>
  <c r="Y395" i="2"/>
  <c r="BP395" i="2" s="1"/>
  <c r="P395" i="2"/>
  <c r="BO394" i="2"/>
  <c r="BM394" i="2"/>
  <c r="Y394" i="2"/>
  <c r="P394" i="2"/>
  <c r="BP393" i="2"/>
  <c r="BO393" i="2"/>
  <c r="BM393" i="2"/>
  <c r="Z393" i="2"/>
  <c r="Y393" i="2"/>
  <c r="Y397" i="2" s="1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O387" i="2"/>
  <c r="BN387" i="2"/>
  <c r="BM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N381" i="2"/>
  <c r="BM381" i="2"/>
  <c r="Y381" i="2"/>
  <c r="BP381" i="2" s="1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N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P368" i="2"/>
  <c r="BO367" i="2"/>
  <c r="BN367" i="2"/>
  <c r="BM367" i="2"/>
  <c r="Y367" i="2"/>
  <c r="Z367" i="2" s="1"/>
  <c r="P367" i="2"/>
  <c r="BP366" i="2"/>
  <c r="BO366" i="2"/>
  <c r="BM366" i="2"/>
  <c r="Y366" i="2"/>
  <c r="BN366" i="2" s="1"/>
  <c r="P366" i="2"/>
  <c r="BO365" i="2"/>
  <c r="BM365" i="2"/>
  <c r="Y365" i="2"/>
  <c r="P365" i="2"/>
  <c r="BO364" i="2"/>
  <c r="BN364" i="2"/>
  <c r="BM364" i="2"/>
  <c r="Y364" i="2"/>
  <c r="BP364" i="2" s="1"/>
  <c r="P364" i="2"/>
  <c r="BO363" i="2"/>
  <c r="BM363" i="2"/>
  <c r="Y363" i="2"/>
  <c r="P363" i="2"/>
  <c r="X361" i="2"/>
  <c r="X360" i="2"/>
  <c r="BO359" i="2"/>
  <c r="BN359" i="2"/>
  <c r="BM359" i="2"/>
  <c r="Z359" i="2"/>
  <c r="Y359" i="2"/>
  <c r="BP359" i="2" s="1"/>
  <c r="P359" i="2"/>
  <c r="BO358" i="2"/>
  <c r="BM358" i="2"/>
  <c r="Y358" i="2"/>
  <c r="Z358" i="2" s="1"/>
  <c r="P358" i="2"/>
  <c r="BO357" i="2"/>
  <c r="BN357" i="2"/>
  <c r="BM357" i="2"/>
  <c r="Y357" i="2"/>
  <c r="Z357" i="2" s="1"/>
  <c r="P357" i="2"/>
  <c r="BP356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N354" i="2"/>
  <c r="BM354" i="2"/>
  <c r="Y354" i="2"/>
  <c r="BP354" i="2" s="1"/>
  <c r="P354" i="2"/>
  <c r="BO353" i="2"/>
  <c r="BM353" i="2"/>
  <c r="Y353" i="2"/>
  <c r="P353" i="2"/>
  <c r="X350" i="2"/>
  <c r="X349" i="2"/>
  <c r="BO348" i="2"/>
  <c r="BN348" i="2"/>
  <c r="BM348" i="2"/>
  <c r="Y348" i="2"/>
  <c r="BP348" i="2" s="1"/>
  <c r="P348" i="2"/>
  <c r="BO347" i="2"/>
  <c r="BM347" i="2"/>
  <c r="Y347" i="2"/>
  <c r="Z347" i="2" s="1"/>
  <c r="P347" i="2"/>
  <c r="BO346" i="2"/>
  <c r="BN346" i="2"/>
  <c r="BM346" i="2"/>
  <c r="Y346" i="2"/>
  <c r="Z346" i="2" s="1"/>
  <c r="P346" i="2"/>
  <c r="X343" i="2"/>
  <c r="X342" i="2"/>
  <c r="BO341" i="2"/>
  <c r="BN341" i="2"/>
  <c r="BM341" i="2"/>
  <c r="Y341" i="2"/>
  <c r="BP341" i="2" s="1"/>
  <c r="P341" i="2"/>
  <c r="BO340" i="2"/>
  <c r="BM340" i="2"/>
  <c r="Y340" i="2"/>
  <c r="P340" i="2"/>
  <c r="BP339" i="2"/>
  <c r="BO339" i="2"/>
  <c r="BN339" i="2"/>
  <c r="BM339" i="2"/>
  <c r="Z339" i="2"/>
  <c r="Y339" i="2"/>
  <c r="P339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N333" i="2"/>
  <c r="BM333" i="2"/>
  <c r="Y333" i="2"/>
  <c r="BP333" i="2" s="1"/>
  <c r="P333" i="2"/>
  <c r="BO332" i="2"/>
  <c r="BM332" i="2"/>
  <c r="Y332" i="2"/>
  <c r="BN332" i="2" s="1"/>
  <c r="P332" i="2"/>
  <c r="X329" i="2"/>
  <c r="X328" i="2"/>
  <c r="BP327" i="2"/>
  <c r="BO327" i="2"/>
  <c r="BN327" i="2"/>
  <c r="BM327" i="2"/>
  <c r="Z327" i="2"/>
  <c r="Y327" i="2"/>
  <c r="P327" i="2"/>
  <c r="BO326" i="2"/>
  <c r="BM326" i="2"/>
  <c r="Y326" i="2"/>
  <c r="P326" i="2"/>
  <c r="BO325" i="2"/>
  <c r="BN325" i="2"/>
  <c r="BM325" i="2"/>
  <c r="Y325" i="2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N318" i="2"/>
  <c r="BM318" i="2"/>
  <c r="Y318" i="2"/>
  <c r="BP318" i="2" s="1"/>
  <c r="P318" i="2"/>
  <c r="BO317" i="2"/>
  <c r="BM317" i="2"/>
  <c r="Y317" i="2"/>
  <c r="BP317" i="2" s="1"/>
  <c r="P317" i="2"/>
  <c r="BO316" i="2"/>
  <c r="BN316" i="2"/>
  <c r="BM316" i="2"/>
  <c r="Y316" i="2"/>
  <c r="BP316" i="2" s="1"/>
  <c r="P316" i="2"/>
  <c r="BO315" i="2"/>
  <c r="BN315" i="2"/>
  <c r="BM315" i="2"/>
  <c r="Y315" i="2"/>
  <c r="BP315" i="2" s="1"/>
  <c r="P315" i="2"/>
  <c r="X312" i="2"/>
  <c r="X311" i="2"/>
  <c r="BO310" i="2"/>
  <c r="BM310" i="2"/>
  <c r="Y310" i="2"/>
  <c r="Z310" i="2" s="1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N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N293" i="2"/>
  <c r="BM293" i="2"/>
  <c r="Y293" i="2"/>
  <c r="BP293" i="2" s="1"/>
  <c r="P293" i="2"/>
  <c r="BP292" i="2"/>
  <c r="BO292" i="2"/>
  <c r="BN292" i="2"/>
  <c r="BM292" i="2"/>
  <c r="Z292" i="2"/>
  <c r="Y292" i="2"/>
  <c r="P292" i="2"/>
  <c r="BO291" i="2"/>
  <c r="BM291" i="2"/>
  <c r="Y291" i="2"/>
  <c r="P291" i="2"/>
  <c r="X288" i="2"/>
  <c r="X287" i="2"/>
  <c r="BP286" i="2"/>
  <c r="BO286" i="2"/>
  <c r="BM286" i="2"/>
  <c r="Y286" i="2"/>
  <c r="BN286" i="2" s="1"/>
  <c r="P286" i="2"/>
  <c r="BO285" i="2"/>
  <c r="BM285" i="2"/>
  <c r="Y285" i="2"/>
  <c r="P285" i="2"/>
  <c r="X283" i="2"/>
  <c r="X282" i="2"/>
  <c r="BP281" i="2"/>
  <c r="BO281" i="2"/>
  <c r="BM281" i="2"/>
  <c r="Z281" i="2"/>
  <c r="Y281" i="2"/>
  <c r="BN281" i="2" s="1"/>
  <c r="P281" i="2"/>
  <c r="BO280" i="2"/>
  <c r="BM280" i="2"/>
  <c r="Z280" i="2"/>
  <c r="Y280" i="2"/>
  <c r="BN280" i="2" s="1"/>
  <c r="P280" i="2"/>
  <c r="BO279" i="2"/>
  <c r="BM279" i="2"/>
  <c r="Y279" i="2"/>
  <c r="P279" i="2"/>
  <c r="BO278" i="2"/>
  <c r="BM278" i="2"/>
  <c r="Y278" i="2"/>
  <c r="P278" i="2"/>
  <c r="BO277" i="2"/>
  <c r="BN277" i="2"/>
  <c r="BM277" i="2"/>
  <c r="Y277" i="2"/>
  <c r="Z277" i="2" s="1"/>
  <c r="P277" i="2"/>
  <c r="BP276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N274" i="2"/>
  <c r="BM274" i="2"/>
  <c r="Y274" i="2"/>
  <c r="BP274" i="2" s="1"/>
  <c r="P274" i="2"/>
  <c r="BO273" i="2"/>
  <c r="BM273" i="2"/>
  <c r="Y273" i="2"/>
  <c r="BP273" i="2" s="1"/>
  <c r="P273" i="2"/>
  <c r="BO272" i="2"/>
  <c r="BN272" i="2"/>
  <c r="BM272" i="2"/>
  <c r="Y272" i="2"/>
  <c r="BP272" i="2" s="1"/>
  <c r="P272" i="2"/>
  <c r="BP271" i="2"/>
  <c r="BO271" i="2"/>
  <c r="BN271" i="2"/>
  <c r="BM271" i="2"/>
  <c r="Z271" i="2"/>
  <c r="Y271" i="2"/>
  <c r="P271" i="2"/>
  <c r="BO270" i="2"/>
  <c r="BM270" i="2"/>
  <c r="Y270" i="2"/>
  <c r="BP270" i="2" s="1"/>
  <c r="P270" i="2"/>
  <c r="X268" i="2"/>
  <c r="X267" i="2"/>
  <c r="BP266" i="2"/>
  <c r="BO266" i="2"/>
  <c r="BM266" i="2"/>
  <c r="Y266" i="2"/>
  <c r="BN266" i="2" s="1"/>
  <c r="P266" i="2"/>
  <c r="BO265" i="2"/>
  <c r="BM265" i="2"/>
  <c r="Y265" i="2"/>
  <c r="Z265" i="2" s="1"/>
  <c r="P265" i="2"/>
  <c r="BP264" i="2"/>
  <c r="BO264" i="2"/>
  <c r="BM264" i="2"/>
  <c r="Z264" i="2"/>
  <c r="Y264" i="2"/>
  <c r="BN264" i="2" s="1"/>
  <c r="P264" i="2"/>
  <c r="BO263" i="2"/>
  <c r="BM263" i="2"/>
  <c r="Y263" i="2"/>
  <c r="BN263" i="2" s="1"/>
  <c r="P263" i="2"/>
  <c r="BO262" i="2"/>
  <c r="BM262" i="2"/>
  <c r="Y262" i="2"/>
  <c r="P262" i="2"/>
  <c r="BO261" i="2"/>
  <c r="BN261" i="2"/>
  <c r="BM261" i="2"/>
  <c r="Y261" i="2"/>
  <c r="BP261" i="2" s="1"/>
  <c r="P261" i="2"/>
  <c r="BO260" i="2"/>
  <c r="BM260" i="2"/>
  <c r="Y260" i="2"/>
  <c r="P260" i="2"/>
  <c r="BO259" i="2"/>
  <c r="BM259" i="2"/>
  <c r="Y259" i="2"/>
  <c r="Z259" i="2" s="1"/>
  <c r="P259" i="2"/>
  <c r="X257" i="2"/>
  <c r="X256" i="2"/>
  <c r="BO255" i="2"/>
  <c r="BN255" i="2"/>
  <c r="BM255" i="2"/>
  <c r="Y255" i="2"/>
  <c r="P255" i="2"/>
  <c r="BO254" i="2"/>
  <c r="BM254" i="2"/>
  <c r="Y254" i="2"/>
  <c r="P254" i="2"/>
  <c r="X252" i="2"/>
  <c r="X251" i="2"/>
  <c r="BO250" i="2"/>
  <c r="BM250" i="2"/>
  <c r="Y250" i="2"/>
  <c r="P250" i="2"/>
  <c r="BO249" i="2"/>
  <c r="BN249" i="2"/>
  <c r="BM249" i="2"/>
  <c r="Y249" i="2"/>
  <c r="BP249" i="2" s="1"/>
  <c r="P249" i="2"/>
  <c r="X246" i="2"/>
  <c r="Y245" i="2"/>
  <c r="X245" i="2"/>
  <c r="BO244" i="2"/>
  <c r="BN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N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N233" i="2"/>
  <c r="BM233" i="2"/>
  <c r="Y233" i="2"/>
  <c r="Z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N226" i="2"/>
  <c r="BM226" i="2"/>
  <c r="Y226" i="2"/>
  <c r="BP226" i="2" s="1"/>
  <c r="P226" i="2"/>
  <c r="BO225" i="2"/>
  <c r="BM225" i="2"/>
  <c r="Y225" i="2"/>
  <c r="P225" i="2"/>
  <c r="BO224" i="2"/>
  <c r="BM224" i="2"/>
  <c r="Y224" i="2"/>
  <c r="Z224" i="2" s="1"/>
  <c r="P224" i="2"/>
  <c r="BO223" i="2"/>
  <c r="BN223" i="2"/>
  <c r="BM223" i="2"/>
  <c r="Y223" i="2"/>
  <c r="Z223" i="2" s="1"/>
  <c r="P223" i="2"/>
  <c r="BP222" i="2"/>
  <c r="BO222" i="2"/>
  <c r="BM222" i="2"/>
  <c r="Y222" i="2"/>
  <c r="Z222" i="2" s="1"/>
  <c r="P222" i="2"/>
  <c r="BP221" i="2"/>
  <c r="BO221" i="2"/>
  <c r="BM221" i="2"/>
  <c r="Z221" i="2"/>
  <c r="Y221" i="2"/>
  <c r="BN221" i="2" s="1"/>
  <c r="P221" i="2"/>
  <c r="BO220" i="2"/>
  <c r="BM220" i="2"/>
  <c r="Y220" i="2"/>
  <c r="BN220" i="2" s="1"/>
  <c r="P220" i="2"/>
  <c r="BP219" i="2"/>
  <c r="BO219" i="2"/>
  <c r="BN219" i="2"/>
  <c r="BM219" i="2"/>
  <c r="Z219" i="2"/>
  <c r="Y219" i="2"/>
  <c r="P219" i="2"/>
  <c r="BO218" i="2"/>
  <c r="BM218" i="2"/>
  <c r="Y218" i="2"/>
  <c r="P218" i="2"/>
  <c r="BO217" i="2"/>
  <c r="BN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Z204" i="2"/>
  <c r="Y204" i="2"/>
  <c r="P204" i="2"/>
  <c r="BO203" i="2"/>
  <c r="BM203" i="2"/>
  <c r="Y203" i="2"/>
  <c r="Z203" i="2" s="1"/>
  <c r="P203" i="2"/>
  <c r="BO202" i="2"/>
  <c r="BN202" i="2"/>
  <c r="BM202" i="2"/>
  <c r="Y202" i="2"/>
  <c r="Z202" i="2" s="1"/>
  <c r="P202" i="2"/>
  <c r="BO201" i="2"/>
  <c r="BN201" i="2"/>
  <c r="BM201" i="2"/>
  <c r="Y201" i="2"/>
  <c r="Z201" i="2" s="1"/>
  <c r="P201" i="2"/>
  <c r="BP200" i="2"/>
  <c r="BO200" i="2"/>
  <c r="BN200" i="2"/>
  <c r="BM200" i="2"/>
  <c r="Z200" i="2"/>
  <c r="Y200" i="2"/>
  <c r="P200" i="2"/>
  <c r="BO199" i="2"/>
  <c r="BM199" i="2"/>
  <c r="Y199" i="2"/>
  <c r="P199" i="2"/>
  <c r="X195" i="2"/>
  <c r="Y194" i="2"/>
  <c r="X194" i="2"/>
  <c r="BO193" i="2"/>
  <c r="BN193" i="2"/>
  <c r="BM193" i="2"/>
  <c r="Y193" i="2"/>
  <c r="P193" i="2"/>
  <c r="X191" i="2"/>
  <c r="Y190" i="2"/>
  <c r="X190" i="2"/>
  <c r="BO189" i="2"/>
  <c r="BN189" i="2"/>
  <c r="BM189" i="2"/>
  <c r="Y189" i="2"/>
  <c r="Y191" i="2" s="1"/>
  <c r="P189" i="2"/>
  <c r="X187" i="2"/>
  <c r="X186" i="2"/>
  <c r="BP185" i="2"/>
  <c r="BO185" i="2"/>
  <c r="BM185" i="2"/>
  <c r="Y185" i="2"/>
  <c r="P185" i="2"/>
  <c r="BP184" i="2"/>
  <c r="BO184" i="2"/>
  <c r="BN184" i="2"/>
  <c r="BM184" i="2"/>
  <c r="Z184" i="2"/>
  <c r="Y184" i="2"/>
  <c r="P184" i="2"/>
  <c r="X182" i="2"/>
  <c r="X181" i="2"/>
  <c r="BO180" i="2"/>
  <c r="BM180" i="2"/>
  <c r="Y180" i="2"/>
  <c r="Z180" i="2" s="1"/>
  <c r="P180" i="2"/>
  <c r="BO179" i="2"/>
  <c r="BN179" i="2"/>
  <c r="BM179" i="2"/>
  <c r="Y179" i="2"/>
  <c r="Z179" i="2" s="1"/>
  <c r="P179" i="2"/>
  <c r="BO178" i="2"/>
  <c r="BM178" i="2"/>
  <c r="Y178" i="2"/>
  <c r="P178" i="2"/>
  <c r="BO177" i="2"/>
  <c r="BN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Z174" i="2"/>
  <c r="Y174" i="2"/>
  <c r="BN174" i="2" s="1"/>
  <c r="P174" i="2"/>
  <c r="BO173" i="2"/>
  <c r="BN173" i="2"/>
  <c r="BM173" i="2"/>
  <c r="Y173" i="2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N167" i="2"/>
  <c r="BM167" i="2"/>
  <c r="Y167" i="2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Y164" i="2" s="1"/>
  <c r="P160" i="2"/>
  <c r="BO159" i="2"/>
  <c r="BN159" i="2"/>
  <c r="BM159" i="2"/>
  <c r="Y159" i="2"/>
  <c r="BP159" i="2" s="1"/>
  <c r="P159" i="2"/>
  <c r="Y156" i="2"/>
  <c r="X156" i="2"/>
  <c r="X155" i="2"/>
  <c r="BO154" i="2"/>
  <c r="BM154" i="2"/>
  <c r="Y154" i="2"/>
  <c r="P154" i="2"/>
  <c r="X152" i="2"/>
  <c r="X151" i="2"/>
  <c r="BP150" i="2"/>
  <c r="BO150" i="2"/>
  <c r="BM150" i="2"/>
  <c r="Z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Y152" i="2" s="1"/>
  <c r="P147" i="2"/>
  <c r="X144" i="2"/>
  <c r="X143" i="2"/>
  <c r="BO142" i="2"/>
  <c r="BN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N137" i="2"/>
  <c r="BM137" i="2"/>
  <c r="Y137" i="2"/>
  <c r="P137" i="2"/>
  <c r="BO136" i="2"/>
  <c r="BM136" i="2"/>
  <c r="Y136" i="2"/>
  <c r="P136" i="2"/>
  <c r="X134" i="2"/>
  <c r="X133" i="2"/>
  <c r="BO132" i="2"/>
  <c r="BM132" i="2"/>
  <c r="Y132" i="2"/>
  <c r="Y134" i="2" s="1"/>
  <c r="P132" i="2"/>
  <c r="BO131" i="2"/>
  <c r="BN131" i="2"/>
  <c r="BM131" i="2"/>
  <c r="Y131" i="2"/>
  <c r="P131" i="2"/>
  <c r="X128" i="2"/>
  <c r="X127" i="2"/>
  <c r="BP126" i="2"/>
  <c r="BO126" i="2"/>
  <c r="BM126" i="2"/>
  <c r="Z126" i="2"/>
  <c r="Z127" i="2" s="1"/>
  <c r="Y126" i="2"/>
  <c r="Y127" i="2" s="1"/>
  <c r="P126" i="2"/>
  <c r="X124" i="2"/>
  <c r="X123" i="2"/>
  <c r="BO122" i="2"/>
  <c r="BN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N119" i="2"/>
  <c r="BM119" i="2"/>
  <c r="Y119" i="2"/>
  <c r="P119" i="2"/>
  <c r="X117" i="2"/>
  <c r="X116" i="2"/>
  <c r="BP115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N111" i="2"/>
  <c r="BM111" i="2"/>
  <c r="Y111" i="2"/>
  <c r="Z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P103" i="2"/>
  <c r="BO102" i="2"/>
  <c r="BN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P95" i="2"/>
  <c r="BO95" i="2"/>
  <c r="BM95" i="2"/>
  <c r="Z95" i="2"/>
  <c r="Y95" i="2"/>
  <c r="BN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P89" i="2"/>
  <c r="BO89" i="2"/>
  <c r="BN89" i="2"/>
  <c r="BM89" i="2"/>
  <c r="Z89" i="2"/>
  <c r="Y89" i="2"/>
  <c r="P89" i="2"/>
  <c r="BO88" i="2"/>
  <c r="BM88" i="2"/>
  <c r="Y88" i="2"/>
  <c r="BP88" i="2" s="1"/>
  <c r="P88" i="2"/>
  <c r="BO87" i="2"/>
  <c r="BN87" i="2"/>
  <c r="BM87" i="2"/>
  <c r="Y87" i="2"/>
  <c r="BP87" i="2" s="1"/>
  <c r="P87" i="2"/>
  <c r="BO86" i="2"/>
  <c r="BM86" i="2"/>
  <c r="Y86" i="2"/>
  <c r="BP86" i="2" s="1"/>
  <c r="P86" i="2"/>
  <c r="BO85" i="2"/>
  <c r="BN85" i="2"/>
  <c r="BM85" i="2"/>
  <c r="Y85" i="2"/>
  <c r="BP85" i="2" s="1"/>
  <c r="P85" i="2"/>
  <c r="BO84" i="2"/>
  <c r="BM84" i="2"/>
  <c r="Y84" i="2"/>
  <c r="BP84" i="2" s="1"/>
  <c r="P84" i="2"/>
  <c r="X81" i="2"/>
  <c r="X80" i="2"/>
  <c r="BP79" i="2"/>
  <c r="BO79" i="2"/>
  <c r="BM79" i="2"/>
  <c r="Y79" i="2"/>
  <c r="P79" i="2"/>
  <c r="BP78" i="2"/>
  <c r="BO78" i="2"/>
  <c r="BM78" i="2"/>
  <c r="Z78" i="2"/>
  <c r="Y78" i="2"/>
  <c r="BN78" i="2" s="1"/>
  <c r="P78" i="2"/>
  <c r="BO77" i="2"/>
  <c r="BN77" i="2"/>
  <c r="BM77" i="2"/>
  <c r="Y77" i="2"/>
  <c r="P77" i="2"/>
  <c r="Y75" i="2"/>
  <c r="X75" i="2"/>
  <c r="Y74" i="2"/>
  <c r="X74" i="2"/>
  <c r="BP73" i="2"/>
  <c r="BO73" i="2"/>
  <c r="BN73" i="2"/>
  <c r="BM73" i="2"/>
  <c r="Z73" i="2"/>
  <c r="Y73" i="2"/>
  <c r="P73" i="2"/>
  <c r="BP72" i="2"/>
  <c r="BO72" i="2"/>
  <c r="BM72" i="2"/>
  <c r="Z72" i="2"/>
  <c r="Z74" i="2" s="1"/>
  <c r="Y72" i="2"/>
  <c r="BN72" i="2" s="1"/>
  <c r="P72" i="2"/>
  <c r="X70" i="2"/>
  <c r="X69" i="2"/>
  <c r="BO68" i="2"/>
  <c r="BN68" i="2"/>
  <c r="BM68" i="2"/>
  <c r="Y68" i="2"/>
  <c r="Z68" i="2" s="1"/>
  <c r="P68" i="2"/>
  <c r="BO67" i="2"/>
  <c r="BM67" i="2"/>
  <c r="Y67" i="2"/>
  <c r="Z67" i="2" s="1"/>
  <c r="P67" i="2"/>
  <c r="BO66" i="2"/>
  <c r="BM66" i="2"/>
  <c r="Y66" i="2"/>
  <c r="BP66" i="2" s="1"/>
  <c r="P66" i="2"/>
  <c r="BP65" i="2"/>
  <c r="BO65" i="2"/>
  <c r="BN65" i="2"/>
  <c r="BM65" i="2"/>
  <c r="Z65" i="2"/>
  <c r="Y65" i="2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N58" i="2"/>
  <c r="BM58" i="2"/>
  <c r="Y58" i="2"/>
  <c r="Z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N55" i="2"/>
  <c r="BM55" i="2"/>
  <c r="Y55" i="2"/>
  <c r="BP55" i="2" s="1"/>
  <c r="P55" i="2"/>
  <c r="BO54" i="2"/>
  <c r="BM54" i="2"/>
  <c r="Y54" i="2"/>
  <c r="P54" i="2"/>
  <c r="X51" i="2"/>
  <c r="X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BO46" i="2"/>
  <c r="BN46" i="2"/>
  <c r="BM46" i="2"/>
  <c r="Y46" i="2"/>
  <c r="Y50" i="2" s="1"/>
  <c r="P46" i="2"/>
  <c r="X42" i="2"/>
  <c r="X41" i="2"/>
  <c r="BO40" i="2"/>
  <c r="BM40" i="2"/>
  <c r="Y40" i="2"/>
  <c r="P40" i="2"/>
  <c r="BO39" i="2"/>
  <c r="BN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BO36" i="2"/>
  <c r="BM36" i="2"/>
  <c r="Y36" i="2"/>
  <c r="Z36" i="2" s="1"/>
  <c r="P36" i="2"/>
  <c r="X32" i="2"/>
  <c r="X31" i="2"/>
  <c r="BO30" i="2"/>
  <c r="BM30" i="2"/>
  <c r="Y30" i="2"/>
  <c r="BP30" i="2" s="1"/>
  <c r="P30" i="2"/>
  <c r="BP29" i="2"/>
  <c r="BO29" i="2"/>
  <c r="BM29" i="2"/>
  <c r="Z29" i="2"/>
  <c r="Y29" i="2"/>
  <c r="BN29" i="2" s="1"/>
  <c r="P29" i="2"/>
  <c r="BP28" i="2"/>
  <c r="BO28" i="2"/>
  <c r="BM28" i="2"/>
  <c r="Y28" i="2"/>
  <c r="P28" i="2"/>
  <c r="BP27" i="2"/>
  <c r="BO27" i="2"/>
  <c r="BM27" i="2"/>
  <c r="Z27" i="2"/>
  <c r="Y27" i="2"/>
  <c r="BN27" i="2" s="1"/>
  <c r="P27" i="2"/>
  <c r="BO26" i="2"/>
  <c r="BM26" i="2"/>
  <c r="Y26" i="2"/>
  <c r="Z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BN320" i="2" l="1"/>
  <c r="BP320" i="2"/>
  <c r="Y384" i="2"/>
  <c r="Y383" i="2"/>
  <c r="BN380" i="2"/>
  <c r="Y456" i="2"/>
  <c r="Y455" i="2"/>
  <c r="BN454" i="2"/>
  <c r="BP454" i="2"/>
  <c r="Z454" i="2"/>
  <c r="Z455" i="2" s="1"/>
  <c r="BP47" i="2"/>
  <c r="BP57" i="2"/>
  <c r="BP101" i="2"/>
  <c r="F10" i="2"/>
  <c r="BP67" i="2"/>
  <c r="Z88" i="2"/>
  <c r="Z106" i="2"/>
  <c r="BP106" i="2"/>
  <c r="Y124" i="2"/>
  <c r="BP119" i="2"/>
  <c r="Y155" i="2"/>
  <c r="BN154" i="2"/>
  <c r="BP154" i="2"/>
  <c r="BN166" i="2"/>
  <c r="Y169" i="2"/>
  <c r="BP166" i="2"/>
  <c r="BP176" i="2"/>
  <c r="BN218" i="2"/>
  <c r="BP218" i="2"/>
  <c r="Z218" i="2"/>
  <c r="Y288" i="2"/>
  <c r="BN285" i="2"/>
  <c r="BP373" i="2"/>
  <c r="Y378" i="2"/>
  <c r="BN382" i="2"/>
  <c r="BP382" i="2"/>
  <c r="Z382" i="2"/>
  <c r="BN510" i="2"/>
  <c r="BP510" i="2"/>
  <c r="Z510" i="2"/>
  <c r="A10" i="2"/>
  <c r="BP112" i="2"/>
  <c r="Z178" i="2"/>
  <c r="BN178" i="2"/>
  <c r="BN262" i="2"/>
  <c r="BP262" i="2"/>
  <c r="Z262" i="2"/>
  <c r="BP279" i="2"/>
  <c r="BN279" i="2"/>
  <c r="Z279" i="2"/>
  <c r="BN295" i="2"/>
  <c r="BP295" i="2"/>
  <c r="Z295" i="2"/>
  <c r="F9" i="2"/>
  <c r="H9" i="2"/>
  <c r="X548" i="2"/>
  <c r="Z39" i="2"/>
  <c r="BP46" i="2"/>
  <c r="BN47" i="2"/>
  <c r="Z55" i="2"/>
  <c r="BN57" i="2"/>
  <c r="BP58" i="2"/>
  <c r="Y70" i="2"/>
  <c r="Z85" i="2"/>
  <c r="Z87" i="2"/>
  <c r="BP102" i="2"/>
  <c r="BP111" i="2"/>
  <c r="BN112" i="2"/>
  <c r="Z119" i="2"/>
  <c r="Z154" i="2"/>
  <c r="Z155" i="2" s="1"/>
  <c r="Z166" i="2"/>
  <c r="BN171" i="2"/>
  <c r="BP171" i="2"/>
  <c r="BP173" i="2"/>
  <c r="Z173" i="2"/>
  <c r="Z176" i="2"/>
  <c r="BN250" i="2"/>
  <c r="Z250" i="2"/>
  <c r="Y328" i="2"/>
  <c r="BN376" i="2"/>
  <c r="BP376" i="2"/>
  <c r="BN421" i="2"/>
  <c r="BP421" i="2"/>
  <c r="Z421" i="2"/>
  <c r="Y228" i="2"/>
  <c r="BN214" i="2"/>
  <c r="BP214" i="2"/>
  <c r="Z214" i="2"/>
  <c r="BN254" i="2"/>
  <c r="BP254" i="2"/>
  <c r="Z254" i="2"/>
  <c r="Y32" i="2"/>
  <c r="BN67" i="2"/>
  <c r="BP68" i="2"/>
  <c r="BN88" i="2"/>
  <c r="Z121" i="2"/>
  <c r="BN121" i="2"/>
  <c r="BP131" i="2"/>
  <c r="Z131" i="2"/>
  <c r="BP174" i="2"/>
  <c r="BP178" i="2"/>
  <c r="BN231" i="2"/>
  <c r="BP231" i="2"/>
  <c r="Z231" i="2"/>
  <c r="Z235" i="2" s="1"/>
  <c r="BN239" i="2"/>
  <c r="BP239" i="2"/>
  <c r="Z239" i="2"/>
  <c r="BP260" i="2"/>
  <c r="BN260" i="2"/>
  <c r="BN309" i="2"/>
  <c r="Y311" i="2"/>
  <c r="BP309" i="2"/>
  <c r="BN326" i="2"/>
  <c r="BP326" i="2"/>
  <c r="Z326" i="2"/>
  <c r="BP369" i="2"/>
  <c r="BN369" i="2"/>
  <c r="Z369" i="2"/>
  <c r="Z399" i="2"/>
  <c r="BN399" i="2"/>
  <c r="BN126" i="2"/>
  <c r="BP175" i="2"/>
  <c r="BP203" i="2"/>
  <c r="BP224" i="2"/>
  <c r="BP234" i="2"/>
  <c r="Y298" i="2"/>
  <c r="Y299" i="2"/>
  <c r="BP310" i="2"/>
  <c r="BP470" i="2"/>
  <c r="BP495" i="2"/>
  <c r="BP505" i="2"/>
  <c r="BP515" i="2"/>
  <c r="BP529" i="2"/>
  <c r="BP122" i="2"/>
  <c r="Y128" i="2"/>
  <c r="Z142" i="2"/>
  <c r="Y168" i="2"/>
  <c r="BP167" i="2"/>
  <c r="BP177" i="2"/>
  <c r="BP179" i="2"/>
  <c r="Z189" i="2"/>
  <c r="Z190" i="2" s="1"/>
  <c r="BP189" i="2"/>
  <c r="BP230" i="2"/>
  <c r="Z238" i="2"/>
  <c r="Z244" i="2"/>
  <c r="Z245" i="2" s="1"/>
  <c r="BP244" i="2"/>
  <c r="Y252" i="2"/>
  <c r="BP259" i="2"/>
  <c r="Z261" i="2"/>
  <c r="Z272" i="2"/>
  <c r="Z274" i="2"/>
  <c r="BP277" i="2"/>
  <c r="Z293" i="2"/>
  <c r="BP297" i="2"/>
  <c r="Z316" i="2"/>
  <c r="Z318" i="2"/>
  <c r="BP367" i="2"/>
  <c r="Z374" i="2"/>
  <c r="Z381" i="2"/>
  <c r="BN393" i="2"/>
  <c r="BN437" i="2"/>
  <c r="Z439" i="2"/>
  <c r="Y452" i="2"/>
  <c r="Z461" i="2"/>
  <c r="BP458" i="2"/>
  <c r="Z460" i="2"/>
  <c r="BP467" i="2"/>
  <c r="Z475" i="2"/>
  <c r="Z476" i="2" s="1"/>
  <c r="BP475" i="2"/>
  <c r="BN497" i="2"/>
  <c r="Z499" i="2"/>
  <c r="Z509" i="2"/>
  <c r="BP509" i="2"/>
  <c r="BN525" i="2"/>
  <c r="Y526" i="2"/>
  <c r="BN537" i="2"/>
  <c r="BP202" i="2"/>
  <c r="BN203" i="2"/>
  <c r="Z220" i="2"/>
  <c r="BP223" i="2"/>
  <c r="BN224" i="2"/>
  <c r="BP233" i="2"/>
  <c r="BN234" i="2"/>
  <c r="BN270" i="2"/>
  <c r="BN291" i="2"/>
  <c r="BN310" i="2"/>
  <c r="Z315" i="2"/>
  <c r="Y329" i="2"/>
  <c r="Z333" i="2"/>
  <c r="Z341" i="2"/>
  <c r="Z349" i="2"/>
  <c r="BP346" i="2"/>
  <c r="Z348" i="2"/>
  <c r="Z354" i="2"/>
  <c r="BP357" i="2"/>
  <c r="Z364" i="2"/>
  <c r="Z387" i="2"/>
  <c r="Z395" i="2"/>
  <c r="Z401" i="2"/>
  <c r="BN414" i="2"/>
  <c r="Z425" i="2"/>
  <c r="BN426" i="2"/>
  <c r="Z427" i="2"/>
  <c r="Z433" i="2"/>
  <c r="BN449" i="2"/>
  <c r="Z450" i="2"/>
  <c r="Y461" i="2"/>
  <c r="BN470" i="2"/>
  <c r="BN495" i="2"/>
  <c r="BN505" i="2"/>
  <c r="BP512" i="2"/>
  <c r="BN515" i="2"/>
  <c r="BN529" i="2"/>
  <c r="Y530" i="2"/>
  <c r="Q556" i="2"/>
  <c r="BN199" i="2"/>
  <c r="Y207" i="2"/>
  <c r="K556" i="2"/>
  <c r="BP205" i="2"/>
  <c r="Z205" i="2"/>
  <c r="Z340" i="2"/>
  <c r="BN340" i="2"/>
  <c r="BP368" i="2"/>
  <c r="BN368" i="2"/>
  <c r="BP468" i="2"/>
  <c r="Z468" i="2"/>
  <c r="Y63" i="2"/>
  <c r="Z141" i="2"/>
  <c r="Z162" i="2"/>
  <c r="Z199" i="2"/>
  <c r="BN353" i="2"/>
  <c r="T556" i="2"/>
  <c r="Z353" i="2"/>
  <c r="Y361" i="2"/>
  <c r="Z368" i="2"/>
  <c r="BN205" i="2"/>
  <c r="BP365" i="2"/>
  <c r="Z365" i="2"/>
  <c r="Y507" i="2"/>
  <c r="BP503" i="2"/>
  <c r="Z503" i="2"/>
  <c r="Z84" i="2"/>
  <c r="Z105" i="2"/>
  <c r="BN265" i="2"/>
  <c r="Z335" i="2"/>
  <c r="BP340" i="2"/>
  <c r="Y428" i="2"/>
  <c r="Z420" i="2"/>
  <c r="W556" i="2"/>
  <c r="BN420" i="2"/>
  <c r="Y473" i="2"/>
  <c r="Z486" i="2"/>
  <c r="Y109" i="2"/>
  <c r="BP141" i="2"/>
  <c r="BP199" i="2"/>
  <c r="BP332" i="2"/>
  <c r="Z332" i="2"/>
  <c r="R556" i="2"/>
  <c r="Y336" i="2"/>
  <c r="BP347" i="2"/>
  <c r="BN347" i="2"/>
  <c r="S556" i="2"/>
  <c r="BP353" i="2"/>
  <c r="Y360" i="2"/>
  <c r="BN365" i="2"/>
  <c r="Z394" i="2"/>
  <c r="BN394" i="2"/>
  <c r="Y445" i="2"/>
  <c r="BP443" i="2"/>
  <c r="Z443" i="2"/>
  <c r="BN503" i="2"/>
  <c r="BP162" i="2"/>
  <c r="Y206" i="2"/>
  <c r="BP220" i="2"/>
  <c r="Y235" i="2"/>
  <c r="Y242" i="2"/>
  <c r="Y241" i="2"/>
  <c r="BN240" i="2"/>
  <c r="BP265" i="2"/>
  <c r="BP280" i="2"/>
  <c r="BP319" i="2"/>
  <c r="Z319" i="2"/>
  <c r="BN406" i="2"/>
  <c r="U556" i="2"/>
  <c r="Z406" i="2"/>
  <c r="Z408" i="2" s="1"/>
  <c r="BP432" i="2"/>
  <c r="BN432" i="2"/>
  <c r="Z432" i="2"/>
  <c r="Y434" i="2"/>
  <c r="J556" i="2"/>
  <c r="BP105" i="2"/>
  <c r="Z148" i="2"/>
  <c r="Y227" i="2"/>
  <c r="Z240" i="2"/>
  <c r="Z241" i="2" s="1"/>
  <c r="BP335" i="2"/>
  <c r="BP420" i="2"/>
  <c r="BN438" i="2"/>
  <c r="Y441" i="2"/>
  <c r="BP486" i="2"/>
  <c r="H556" i="2"/>
  <c r="BP56" i="2"/>
  <c r="BP37" i="2"/>
  <c r="Z37" i="2"/>
  <c r="BN215" i="2"/>
  <c r="Z215" i="2"/>
  <c r="BN232" i="2"/>
  <c r="Z263" i="2"/>
  <c r="BP296" i="2"/>
  <c r="Z296" i="2"/>
  <c r="BN319" i="2"/>
  <c r="Z389" i="2"/>
  <c r="BP394" i="2"/>
  <c r="Z438" i="2"/>
  <c r="Z440" i="2" s="1"/>
  <c r="Z498" i="2"/>
  <c r="F556" i="2"/>
  <c r="Y91" i="2"/>
  <c r="BN84" i="2"/>
  <c r="BN26" i="2"/>
  <c r="Y31" i="2"/>
  <c r="E556" i="2"/>
  <c r="BN54" i="2"/>
  <c r="Y62" i="2"/>
  <c r="Z40" i="2"/>
  <c r="BN40" i="2"/>
  <c r="BP93" i="2"/>
  <c r="Z93" i="2"/>
  <c r="Y97" i="2"/>
  <c r="BP160" i="2"/>
  <c r="BN160" i="2"/>
  <c r="Y187" i="2"/>
  <c r="Y186" i="2"/>
  <c r="BN185" i="2"/>
  <c r="BP278" i="2"/>
  <c r="BN278" i="2"/>
  <c r="BN363" i="2"/>
  <c r="Z363" i="2"/>
  <c r="Y371" i="2"/>
  <c r="BP386" i="2"/>
  <c r="Z386" i="2"/>
  <c r="Y390" i="2"/>
  <c r="BP400" i="2"/>
  <c r="BN400" i="2"/>
  <c r="BP406" i="2"/>
  <c r="Z413" i="2"/>
  <c r="Y556" i="2"/>
  <c r="Y472" i="2"/>
  <c r="BP466" i="2"/>
  <c r="BN466" i="2"/>
  <c r="Z466" i="2"/>
  <c r="AC556" i="2"/>
  <c r="Y545" i="2"/>
  <c r="Y544" i="2"/>
  <c r="BP543" i="2"/>
  <c r="BN543" i="2"/>
  <c r="Z543" i="2"/>
  <c r="Z544" i="2" s="1"/>
  <c r="Z54" i="2"/>
  <c r="BN37" i="2"/>
  <c r="BN93" i="2"/>
  <c r="Z120" i="2"/>
  <c r="Z123" i="2" s="1"/>
  <c r="Y123" i="2"/>
  <c r="BP137" i="2"/>
  <c r="Z137" i="2"/>
  <c r="BP148" i="2"/>
  <c r="Z160" i="2"/>
  <c r="Z171" i="2"/>
  <c r="Z185" i="2"/>
  <c r="Z186" i="2" s="1"/>
  <c r="BP193" i="2"/>
  <c r="Z193" i="2"/>
  <c r="Z194" i="2" s="1"/>
  <c r="Y195" i="2"/>
  <c r="Y212" i="2"/>
  <c r="Y211" i="2"/>
  <c r="BN210" i="2"/>
  <c r="L556" i="2"/>
  <c r="BP232" i="2"/>
  <c r="BP240" i="2"/>
  <c r="Y257" i="2"/>
  <c r="Y256" i="2"/>
  <c r="Z255" i="2"/>
  <c r="Z256" i="2" s="1"/>
  <c r="Z278" i="2"/>
  <c r="BN296" i="2"/>
  <c r="Y337" i="2"/>
  <c r="BP375" i="2"/>
  <c r="Z375" i="2"/>
  <c r="Z400" i="2"/>
  <c r="Z402" i="2" s="1"/>
  <c r="Y488" i="2"/>
  <c r="BP484" i="2"/>
  <c r="Y487" i="2"/>
  <c r="BN484" i="2"/>
  <c r="BP513" i="2"/>
  <c r="Z513" i="2"/>
  <c r="BP113" i="2"/>
  <c r="BN113" i="2"/>
  <c r="BP60" i="2"/>
  <c r="Z60" i="2"/>
  <c r="BP40" i="2"/>
  <c r="BP48" i="2"/>
  <c r="BN48" i="2"/>
  <c r="BP54" i="2"/>
  <c r="BP103" i="2"/>
  <c r="BN103" i="2"/>
  <c r="BP180" i="2"/>
  <c r="BN180" i="2"/>
  <c r="Z210" i="2"/>
  <c r="Z211" i="2" s="1"/>
  <c r="BP215" i="2"/>
  <c r="BN230" i="2"/>
  <c r="Y236" i="2"/>
  <c r="BP263" i="2"/>
  <c r="BP275" i="2"/>
  <c r="Z275" i="2"/>
  <c r="Z305" i="2"/>
  <c r="Z306" i="2" s="1"/>
  <c r="Y307" i="2"/>
  <c r="Y306" i="2"/>
  <c r="BN305" i="2"/>
  <c r="BN386" i="2"/>
  <c r="BP389" i="2"/>
  <c r="BP438" i="2"/>
  <c r="Z484" i="2"/>
  <c r="Z487" i="2" s="1"/>
  <c r="AA556" i="2"/>
  <c r="BP498" i="2"/>
  <c r="Z113" i="2"/>
  <c r="C556" i="2"/>
  <c r="BP36" i="2"/>
  <c r="BN36" i="2"/>
  <c r="Y41" i="2"/>
  <c r="BP136" i="2"/>
  <c r="BN136" i="2"/>
  <c r="Y139" i="2"/>
  <c r="BP26" i="2"/>
  <c r="Z96" i="2"/>
  <c r="BN96" i="2"/>
  <c r="Z30" i="2"/>
  <c r="X550" i="2"/>
  <c r="Z48" i="2"/>
  <c r="Z66" i="2"/>
  <c r="Z69" i="2" s="1"/>
  <c r="Y69" i="2"/>
  <c r="BN79" i="2"/>
  <c r="Z79" i="2"/>
  <c r="Z103" i="2"/>
  <c r="Z115" i="2"/>
  <c r="BN120" i="2"/>
  <c r="BP149" i="2"/>
  <c r="Z149" i="2"/>
  <c r="Y321" i="2"/>
  <c r="BN317" i="2"/>
  <c r="Z317" i="2"/>
  <c r="BP358" i="2"/>
  <c r="BN358" i="2"/>
  <c r="BP363" i="2"/>
  <c r="Y370" i="2"/>
  <c r="BN375" i="2"/>
  <c r="BP413" i="2"/>
  <c r="BP459" i="2"/>
  <c r="BN459" i="2"/>
  <c r="BN513" i="2"/>
  <c r="X546" i="2"/>
  <c r="Z56" i="2"/>
  <c r="Y90" i="2"/>
  <c r="Y342" i="2"/>
  <c r="BP59" i="2"/>
  <c r="BN59" i="2"/>
  <c r="BP114" i="2"/>
  <c r="Z114" i="2"/>
  <c r="BP132" i="2"/>
  <c r="Y133" i="2"/>
  <c r="X547" i="2"/>
  <c r="X549" i="2" s="1"/>
  <c r="BN30" i="2"/>
  <c r="Z38" i="2"/>
  <c r="Z61" i="2"/>
  <c r="BN66" i="2"/>
  <c r="Z94" i="2"/>
  <c r="Z132" i="2"/>
  <c r="Z133" i="2" s="1"/>
  <c r="Y143" i="2"/>
  <c r="BN149" i="2"/>
  <c r="BP161" i="2"/>
  <c r="Z161" i="2"/>
  <c r="BP204" i="2"/>
  <c r="BN204" i="2"/>
  <c r="BP210" i="2"/>
  <c r="Z216" i="2"/>
  <c r="BP255" i="2"/>
  <c r="Y268" i="2"/>
  <c r="BN294" i="2"/>
  <c r="Z294" i="2"/>
  <c r="BP305" i="2"/>
  <c r="BP355" i="2"/>
  <c r="Z355" i="2"/>
  <c r="Y391" i="2"/>
  <c r="BP496" i="2"/>
  <c r="BN496" i="2"/>
  <c r="Y138" i="2"/>
  <c r="BP172" i="2"/>
  <c r="Z172" i="2"/>
  <c r="BP225" i="2"/>
  <c r="BN225" i="2"/>
  <c r="Y282" i="2"/>
  <c r="Y343" i="2"/>
  <c r="Y429" i="2"/>
  <c r="Y446" i="2"/>
  <c r="Z496" i="2"/>
  <c r="Z136" i="2"/>
  <c r="BP104" i="2"/>
  <c r="Z104" i="2"/>
  <c r="Z107" i="2"/>
  <c r="BN107" i="2"/>
  <c r="BN132" i="2"/>
  <c r="Y181" i="2"/>
  <c r="Z225" i="2"/>
  <c r="BP250" i="2"/>
  <c r="P556" i="2"/>
  <c r="Y349" i="2"/>
  <c r="Y377" i="2"/>
  <c r="BN373" i="2"/>
  <c r="Z373" i="2"/>
  <c r="BP422" i="2"/>
  <c r="BN422" i="2"/>
  <c r="Z422" i="2"/>
  <c r="BP471" i="2"/>
  <c r="BN471" i="2"/>
  <c r="Y151" i="2"/>
  <c r="I556" i="2"/>
  <c r="BN147" i="2"/>
  <c r="Z147" i="2"/>
  <c r="Z151" i="2" s="1"/>
  <c r="BP147" i="2"/>
  <c r="Y24" i="2"/>
  <c r="BN22" i="2"/>
  <c r="B556" i="2"/>
  <c r="Z22" i="2"/>
  <c r="Z23" i="2" s="1"/>
  <c r="Y42" i="2"/>
  <c r="Y98" i="2"/>
  <c r="BP22" i="2"/>
  <c r="BP49" i="2"/>
  <c r="Z49" i="2"/>
  <c r="Z86" i="2"/>
  <c r="BN86" i="2"/>
  <c r="Z28" i="2"/>
  <c r="Z31" i="2" s="1"/>
  <c r="BN28" i="2"/>
  <c r="BP38" i="2"/>
  <c r="D556" i="2"/>
  <c r="BP61" i="2"/>
  <c r="Y81" i="2"/>
  <c r="BP77" i="2"/>
  <c r="Y80" i="2"/>
  <c r="BP94" i="2"/>
  <c r="G556" i="2"/>
  <c r="Y144" i="2"/>
  <c r="BN172" i="2"/>
  <c r="Z175" i="2"/>
  <c r="BP216" i="2"/>
  <c r="BN222" i="2"/>
  <c r="BN273" i="2"/>
  <c r="Z273" i="2"/>
  <c r="BP294" i="2"/>
  <c r="Z321" i="2"/>
  <c r="Y322" i="2"/>
  <c r="Z396" i="2"/>
  <c r="Y396" i="2"/>
  <c r="Y435" i="2"/>
  <c r="Z471" i="2"/>
  <c r="Y500" i="2"/>
  <c r="BP493" i="2"/>
  <c r="Z493" i="2"/>
  <c r="Y501" i="2"/>
  <c r="M556" i="2"/>
  <c r="BN49" i="2"/>
  <c r="Z77" i="2"/>
  <c r="BN104" i="2"/>
  <c r="Y117" i="2"/>
  <c r="Z167" i="2"/>
  <c r="Z168" i="2" s="1"/>
  <c r="Y182" i="2"/>
  <c r="BP201" i="2"/>
  <c r="BN259" i="2"/>
  <c r="Y267" i="2"/>
  <c r="Y287" i="2"/>
  <c r="BP285" i="2"/>
  <c r="Z285" i="2"/>
  <c r="Y408" i="2"/>
  <c r="Z434" i="2"/>
  <c r="Z556" i="2"/>
  <c r="Y506" i="2"/>
  <c r="Y283" i="2"/>
  <c r="O556" i="2"/>
  <c r="Y51" i="2"/>
  <c r="Y108" i="2"/>
  <c r="Z217" i="2"/>
  <c r="Z260" i="2"/>
  <c r="Z267" i="2" s="1"/>
  <c r="Z270" i="2"/>
  <c r="Z291" i="2"/>
  <c r="Z301" i="2"/>
  <c r="Z302" i="2" s="1"/>
  <c r="Z325" i="2"/>
  <c r="Z328" i="2" s="1"/>
  <c r="Y350" i="2"/>
  <c r="Z380" i="2"/>
  <c r="Z383" i="2" s="1"/>
  <c r="Y403" i="2"/>
  <c r="Z414" i="2"/>
  <c r="Z426" i="2"/>
  <c r="Z449" i="2"/>
  <c r="Z451" i="2" s="1"/>
  <c r="Y462" i="2"/>
  <c r="Z511" i="2"/>
  <c r="Y116" i="2"/>
  <c r="Y163" i="2"/>
  <c r="Y251" i="2"/>
  <c r="BP291" i="2"/>
  <c r="BP301" i="2"/>
  <c r="Y312" i="2"/>
  <c r="BP325" i="2"/>
  <c r="Z334" i="2"/>
  <c r="BP380" i="2"/>
  <c r="Z388" i="2"/>
  <c r="Z412" i="2"/>
  <c r="Z424" i="2"/>
  <c r="BP449" i="2"/>
  <c r="Y517" i="2"/>
  <c r="Y531" i="2"/>
  <c r="BN511" i="2"/>
  <c r="Z46" i="2"/>
  <c r="Z50" i="2" s="1"/>
  <c r="Z101" i="2"/>
  <c r="Z108" i="2" s="1"/>
  <c r="Z266" i="2"/>
  <c r="Z276" i="2"/>
  <c r="Z286" i="2"/>
  <c r="Z297" i="2"/>
  <c r="Y302" i="2"/>
  <c r="Z309" i="2"/>
  <c r="Z311" i="2" s="1"/>
  <c r="Z320" i="2"/>
  <c r="BN334" i="2"/>
  <c r="Z356" i="2"/>
  <c r="Z366" i="2"/>
  <c r="Z376" i="2"/>
  <c r="BN388" i="2"/>
  <c r="BN412" i="2"/>
  <c r="Y415" i="2"/>
  <c r="BN424" i="2"/>
  <c r="Z444" i="2"/>
  <c r="Z469" i="2"/>
  <c r="Z494" i="2"/>
  <c r="Z504" i="2"/>
  <c r="Z514" i="2"/>
  <c r="V556" i="2"/>
  <c r="BP412" i="2"/>
  <c r="BN444" i="2"/>
  <c r="BN469" i="2"/>
  <c r="Z480" i="2"/>
  <c r="Z481" i="2" s="1"/>
  <c r="BN494" i="2"/>
  <c r="BN504" i="2"/>
  <c r="BN514" i="2"/>
  <c r="Z538" i="2"/>
  <c r="Z539" i="2" s="1"/>
  <c r="X556" i="2"/>
  <c r="Z226" i="2"/>
  <c r="Z249" i="2"/>
  <c r="Z251" i="2" s="1"/>
  <c r="BN521" i="2"/>
  <c r="BN533" i="2"/>
  <c r="BN480" i="2"/>
  <c r="Z492" i="2"/>
  <c r="BN538" i="2"/>
  <c r="BP521" i="2"/>
  <c r="BP533" i="2"/>
  <c r="AB556" i="2"/>
  <c r="Z159" i="2"/>
  <c r="Y547" i="2" l="1"/>
  <c r="Z116" i="2"/>
  <c r="Z227" i="2"/>
  <c r="Z336" i="2"/>
  <c r="Z90" i="2"/>
  <c r="Z287" i="2"/>
  <c r="Y550" i="2"/>
  <c r="Z342" i="2"/>
  <c r="Z500" i="2"/>
  <c r="Z41" i="2"/>
  <c r="Z143" i="2"/>
  <c r="Z181" i="2"/>
  <c r="Z506" i="2"/>
  <c r="Z472" i="2"/>
  <c r="Y546" i="2"/>
  <c r="Z97" i="2"/>
  <c r="Z445" i="2"/>
  <c r="Z360" i="2"/>
  <c r="Z62" i="2"/>
  <c r="Z390" i="2"/>
  <c r="Z282" i="2"/>
  <c r="Z428" i="2"/>
  <c r="Z206" i="2"/>
  <c r="Z415" i="2"/>
  <c r="Z377" i="2"/>
  <c r="Z370" i="2"/>
  <c r="Z516" i="2"/>
  <c r="Z163" i="2"/>
  <c r="Z138" i="2"/>
  <c r="Z298" i="2"/>
  <c r="Y548" i="2"/>
  <c r="Y549" i="2" s="1"/>
  <c r="Z80" i="2"/>
  <c r="Z551" i="2" l="1"/>
</calcChain>
</file>

<file path=xl/sharedStrings.xml><?xml version="1.0" encoding="utf-8"?>
<sst xmlns="http://schemas.openxmlformats.org/spreadsheetml/2006/main" count="4117" uniqueCount="870">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</sst>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6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6"/>
  <sheetViews>
    <sheetView showGridLines="0" tabSelected="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67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68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/>
      <c r="I5" s="976"/>
      <c r="J5" s="976"/>
      <c r="K5" s="976"/>
      <c r="L5" s="976"/>
      <c r="M5" s="976"/>
      <c r="N5" s="72"/>
      <c r="P5" s="27" t="s">
        <v>4</v>
      </c>
      <c r="Q5" s="978">
        <v>46304</v>
      </c>
      <c r="R5" s="978"/>
      <c r="T5" s="979" t="s">
        <v>3</v>
      </c>
      <c r="U5" s="980"/>
      <c r="V5" s="981" t="s">
        <v>851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852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Пятница</v>
      </c>
      <c r="R6" s="956"/>
      <c r="T6" s="957" t="s">
        <v>5</v>
      </c>
      <c r="U6" s="958"/>
      <c r="V6" s="959" t="s">
        <v>70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1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58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4.1666666666666664E-2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71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55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72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73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74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75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61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59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66</v>
      </c>
      <c r="L17" s="915" t="s">
        <v>64</v>
      </c>
      <c r="M17" s="915" t="s">
        <v>2</v>
      </c>
      <c r="N17" s="915" t="s">
        <v>63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56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60</v>
      </c>
      <c r="AB17" s="921" t="s">
        <v>19</v>
      </c>
      <c r="AC17" s="921" t="s">
        <v>65</v>
      </c>
      <c r="AD17" s="923" t="s">
        <v>57</v>
      </c>
      <c r="AE17" s="924"/>
      <c r="AF17" s="925"/>
      <c r="AG17" s="82"/>
      <c r="BD17" s="81" t="s">
        <v>62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customHeight="1" x14ac:dyDescent="0.2">
      <c r="A19" s="650" t="s">
        <v>76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54"/>
      <c r="AB19" s="54"/>
      <c r="AC19" s="54"/>
    </row>
    <row r="20" spans="1:68" ht="16.5" customHeight="1" x14ac:dyDescent="0.25">
      <c r="A20" s="643" t="s">
        <v>76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5"/>
      <c r="AB20" s="65"/>
      <c r="AC20" s="79"/>
    </row>
    <row r="21" spans="1:68" ht="14.25" customHeight="1" x14ac:dyDescent="0.25">
      <c r="A21" s="644" t="s">
        <v>77</v>
      </c>
      <c r="B21" s="644"/>
      <c r="C21" s="644"/>
      <c r="D21" s="644"/>
      <c r="E21" s="644"/>
      <c r="F21" s="644"/>
      <c r="G21" s="644"/>
      <c r="H21" s="644"/>
      <c r="I21" s="644"/>
      <c r="J21" s="644"/>
      <c r="K21" s="644"/>
      <c r="L21" s="644"/>
      <c r="M21" s="644"/>
      <c r="N21" s="644"/>
      <c r="O21" s="644"/>
      <c r="P21" s="644"/>
      <c r="Q21" s="644"/>
      <c r="R21" s="644"/>
      <c r="S21" s="644"/>
      <c r="T21" s="644"/>
      <c r="U21" s="644"/>
      <c r="V21" s="644"/>
      <c r="W21" s="644"/>
      <c r="X21" s="644"/>
      <c r="Y21" s="644"/>
      <c r="Z21" s="64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4301031508</v>
      </c>
      <c r="D22" s="639">
        <v>4680115889071</v>
      </c>
      <c r="E22" s="639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1"/>
      <c r="R22" s="641"/>
      <c r="S22" s="641"/>
      <c r="T22" s="64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33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0" t="s">
        <v>40</v>
      </c>
      <c r="Q23" s="631"/>
      <c r="R23" s="631"/>
      <c r="S23" s="631"/>
      <c r="T23" s="631"/>
      <c r="U23" s="631"/>
      <c r="V23" s="632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44" t="s">
        <v>83</v>
      </c>
      <c r="B25" s="644"/>
      <c r="C25" s="644"/>
      <c r="D25" s="644"/>
      <c r="E25" s="644"/>
      <c r="F25" s="644"/>
      <c r="G25" s="644"/>
      <c r="H25" s="644"/>
      <c r="I25" s="644"/>
      <c r="J25" s="644"/>
      <c r="K25" s="644"/>
      <c r="L25" s="644"/>
      <c r="M25" s="644"/>
      <c r="N25" s="644"/>
      <c r="O25" s="644"/>
      <c r="P25" s="644"/>
      <c r="Q25" s="644"/>
      <c r="R25" s="644"/>
      <c r="S25" s="644"/>
      <c r="T25" s="644"/>
      <c r="U25" s="644"/>
      <c r="V25" s="644"/>
      <c r="W25" s="644"/>
      <c r="X25" s="644"/>
      <c r="Y25" s="644"/>
      <c r="Z25" s="644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639">
        <v>4680115885912</v>
      </c>
      <c r="E26" s="63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1"/>
      <c r="R26" s="641"/>
      <c r="S26" s="641"/>
      <c r="T26" s="64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639">
        <v>4607091388237</v>
      </c>
      <c r="E27" s="63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1"/>
      <c r="R27" s="641"/>
      <c r="S27" s="641"/>
      <c r="T27" s="64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39">
        <v>4680115887350</v>
      </c>
      <c r="E28" s="63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1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1"/>
      <c r="R28" s="641"/>
      <c r="S28" s="641"/>
      <c r="T28" s="64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39">
        <v>4680115885905</v>
      </c>
      <c r="E29" s="63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1"/>
      <c r="R29" s="641"/>
      <c r="S29" s="641"/>
      <c r="T29" s="64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4301052071</v>
      </c>
      <c r="D30" s="639">
        <v>4680115887619</v>
      </c>
      <c r="E30" s="639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1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1"/>
      <c r="R30" s="641"/>
      <c r="S30" s="641"/>
      <c r="T30" s="64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3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0" t="s">
        <v>40</v>
      </c>
      <c r="Q31" s="631"/>
      <c r="R31" s="631"/>
      <c r="S31" s="631"/>
      <c r="T31" s="631"/>
      <c r="U31" s="631"/>
      <c r="V31" s="632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customHeight="1" x14ac:dyDescent="0.2">
      <c r="A33" s="650" t="s">
        <v>45</v>
      </c>
      <c r="B33" s="650"/>
      <c r="C33" s="650"/>
      <c r="D33" s="650"/>
      <c r="E33" s="650"/>
      <c r="F33" s="650"/>
      <c r="G33" s="650"/>
      <c r="H33" s="650"/>
      <c r="I33" s="650"/>
      <c r="J33" s="650"/>
      <c r="K33" s="650"/>
      <c r="L33" s="650"/>
      <c r="M33" s="650"/>
      <c r="N33" s="650"/>
      <c r="O33" s="650"/>
      <c r="P33" s="650"/>
      <c r="Q33" s="650"/>
      <c r="R33" s="650"/>
      <c r="S33" s="650"/>
      <c r="T33" s="650"/>
      <c r="U33" s="650"/>
      <c r="V33" s="650"/>
      <c r="W33" s="650"/>
      <c r="X33" s="650"/>
      <c r="Y33" s="650"/>
      <c r="Z33" s="650"/>
      <c r="AA33" s="54"/>
      <c r="AB33" s="54"/>
      <c r="AC33" s="54"/>
    </row>
    <row r="34" spans="1:68" ht="16.5" customHeight="1" x14ac:dyDescent="0.25">
      <c r="A34" s="643" t="s">
        <v>101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5"/>
      <c r="AB34" s="65"/>
      <c r="AC34" s="79"/>
    </row>
    <row r="35" spans="1:68" ht="14.25" customHeight="1" x14ac:dyDescent="0.25">
      <c r="A35" s="644" t="s">
        <v>83</v>
      </c>
      <c r="B35" s="644"/>
      <c r="C35" s="644"/>
      <c r="D35" s="644"/>
      <c r="E35" s="644"/>
      <c r="F35" s="644"/>
      <c r="G35" s="644"/>
      <c r="H35" s="644"/>
      <c r="I35" s="644"/>
      <c r="J35" s="644"/>
      <c r="K35" s="644"/>
      <c r="L35" s="644"/>
      <c r="M35" s="644"/>
      <c r="N35" s="644"/>
      <c r="O35" s="644"/>
      <c r="P35" s="644"/>
      <c r="Q35" s="644"/>
      <c r="R35" s="644"/>
      <c r="S35" s="644"/>
      <c r="T35" s="644"/>
      <c r="U35" s="644"/>
      <c r="V35" s="644"/>
      <c r="W35" s="644"/>
      <c r="X35" s="644"/>
      <c r="Y35" s="644"/>
      <c r="Z35" s="644"/>
      <c r="AA35" s="66"/>
      <c r="AB35" s="66"/>
      <c r="AC35" s="80"/>
    </row>
    <row r="36" spans="1:68" ht="27" customHeight="1" x14ac:dyDescent="0.25">
      <c r="A36" s="63" t="s">
        <v>102</v>
      </c>
      <c r="B36" s="63" t="s">
        <v>103</v>
      </c>
      <c r="C36" s="36">
        <v>4301052187</v>
      </c>
      <c r="D36" s="639">
        <v>4680115889354</v>
      </c>
      <c r="E36" s="639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41"/>
      <c r="R36" s="641"/>
      <c r="S36" s="641"/>
      <c r="T36" s="642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customHeight="1" x14ac:dyDescent="0.25">
      <c r="A37" s="63" t="s">
        <v>105</v>
      </c>
      <c r="B37" s="63" t="s">
        <v>106</v>
      </c>
      <c r="C37" s="36">
        <v>4301052198</v>
      </c>
      <c r="D37" s="639">
        <v>4680115888463</v>
      </c>
      <c r="E37" s="63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9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41"/>
      <c r="R37" s="641"/>
      <c r="S37" s="641"/>
      <c r="T37" s="64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4301052259</v>
      </c>
      <c r="D38" s="639">
        <v>4680115889590</v>
      </c>
      <c r="E38" s="639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90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41"/>
      <c r="R38" s="641"/>
      <c r="S38" s="641"/>
      <c r="T38" s="64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4301052184</v>
      </c>
      <c r="D39" s="639">
        <v>4680115888272</v>
      </c>
      <c r="E39" s="639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90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41"/>
      <c r="R39" s="641"/>
      <c r="S39" s="641"/>
      <c r="T39" s="64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4301052188</v>
      </c>
      <c r="D40" s="639">
        <v>4680115888364</v>
      </c>
      <c r="E40" s="63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90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41"/>
      <c r="R40" s="641"/>
      <c r="S40" s="641"/>
      <c r="T40" s="64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x14ac:dyDescent="0.2">
      <c r="A41" s="633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0" t="s">
        <v>40</v>
      </c>
      <c r="Q41" s="631"/>
      <c r="R41" s="631"/>
      <c r="S41" s="631"/>
      <c r="T41" s="631"/>
      <c r="U41" s="631"/>
      <c r="V41" s="632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0" t="s">
        <v>40</v>
      </c>
      <c r="Q42" s="631"/>
      <c r="R42" s="631"/>
      <c r="S42" s="631"/>
      <c r="T42" s="631"/>
      <c r="U42" s="631"/>
      <c r="V42" s="632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customHeight="1" x14ac:dyDescent="0.2">
      <c r="A43" s="650" t="s">
        <v>117</v>
      </c>
      <c r="B43" s="650"/>
      <c r="C43" s="650"/>
      <c r="D43" s="650"/>
      <c r="E43" s="650"/>
      <c r="F43" s="650"/>
      <c r="G43" s="650"/>
      <c r="H43" s="650"/>
      <c r="I43" s="650"/>
      <c r="J43" s="650"/>
      <c r="K43" s="650"/>
      <c r="L43" s="650"/>
      <c r="M43" s="650"/>
      <c r="N43" s="650"/>
      <c r="O43" s="650"/>
      <c r="P43" s="650"/>
      <c r="Q43" s="650"/>
      <c r="R43" s="650"/>
      <c r="S43" s="650"/>
      <c r="T43" s="650"/>
      <c r="U43" s="650"/>
      <c r="V43" s="650"/>
      <c r="W43" s="650"/>
      <c r="X43" s="650"/>
      <c r="Y43" s="650"/>
      <c r="Z43" s="650"/>
      <c r="AA43" s="54"/>
      <c r="AB43" s="54"/>
      <c r="AC43" s="54"/>
    </row>
    <row r="44" spans="1:68" ht="16.5" customHeight="1" x14ac:dyDescent="0.25">
      <c r="A44" s="643" t="s">
        <v>118</v>
      </c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3"/>
      <c r="P44" s="643"/>
      <c r="Q44" s="643"/>
      <c r="R44" s="643"/>
      <c r="S44" s="643"/>
      <c r="T44" s="643"/>
      <c r="U44" s="643"/>
      <c r="V44" s="643"/>
      <c r="W44" s="643"/>
      <c r="X44" s="643"/>
      <c r="Y44" s="643"/>
      <c r="Z44" s="643"/>
      <c r="AA44" s="65"/>
      <c r="AB44" s="65"/>
      <c r="AC44" s="79"/>
    </row>
    <row r="45" spans="1:68" ht="14.25" customHeight="1" x14ac:dyDescent="0.25">
      <c r="A45" s="644" t="s">
        <v>119</v>
      </c>
      <c r="B45" s="644"/>
      <c r="C45" s="644"/>
      <c r="D45" s="644"/>
      <c r="E45" s="644"/>
      <c r="F45" s="644"/>
      <c r="G45" s="644"/>
      <c r="H45" s="644"/>
      <c r="I45" s="644"/>
      <c r="J45" s="644"/>
      <c r="K45" s="644"/>
      <c r="L45" s="644"/>
      <c r="M45" s="644"/>
      <c r="N45" s="644"/>
      <c r="O45" s="644"/>
      <c r="P45" s="644"/>
      <c r="Q45" s="644"/>
      <c r="R45" s="644"/>
      <c r="S45" s="644"/>
      <c r="T45" s="644"/>
      <c r="U45" s="644"/>
      <c r="V45" s="644"/>
      <c r="W45" s="644"/>
      <c r="X45" s="644"/>
      <c r="Y45" s="644"/>
      <c r="Z45" s="644"/>
      <c r="AA45" s="66"/>
      <c r="AB45" s="66"/>
      <c r="AC45" s="80"/>
    </row>
    <row r="46" spans="1:68" ht="16.5" customHeight="1" x14ac:dyDescent="0.25">
      <c r="A46" s="63" t="s">
        <v>120</v>
      </c>
      <c r="B46" s="63" t="s">
        <v>121</v>
      </c>
      <c r="C46" s="36">
        <v>4301011380</v>
      </c>
      <c r="D46" s="639">
        <v>4607091385670</v>
      </c>
      <c r="E46" s="639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9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41"/>
      <c r="R46" s="641"/>
      <c r="S46" s="641"/>
      <c r="T46" s="642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IFERROR(IF(Y46=0,"",ROUNDUP(Y46/H46,0)*0.01898),"")</f>
        <v/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customHeight="1" x14ac:dyDescent="0.25">
      <c r="A47" s="63" t="s">
        <v>125</v>
      </c>
      <c r="B47" s="63" t="s">
        <v>126</v>
      </c>
      <c r="C47" s="36">
        <v>4301012053</v>
      </c>
      <c r="D47" s="639">
        <v>4680115887725</v>
      </c>
      <c r="E47" s="639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90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41"/>
      <c r="R47" s="641"/>
      <c r="S47" s="641"/>
      <c r="T47" s="64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129</v>
      </c>
      <c r="B48" s="63" t="s">
        <v>130</v>
      </c>
      <c r="C48" s="36">
        <v>4301011382</v>
      </c>
      <c r="D48" s="639">
        <v>4607091385687</v>
      </c>
      <c r="E48" s="639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9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41"/>
      <c r="R48" s="641"/>
      <c r="S48" s="641"/>
      <c r="T48" s="64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IFERROR(IF(Y48=0,"",ROUNDUP(Y48/H48,0)*0.00902),"")</f>
        <v/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4301011565</v>
      </c>
      <c r="D49" s="639">
        <v>4680115882539</v>
      </c>
      <c r="E49" s="639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90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41"/>
      <c r="R49" s="641"/>
      <c r="S49" s="641"/>
      <c r="T49" s="64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633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0" t="s">
        <v>40</v>
      </c>
      <c r="Q50" s="631"/>
      <c r="R50" s="631"/>
      <c r="S50" s="631"/>
      <c r="T50" s="631"/>
      <c r="U50" s="631"/>
      <c r="V50" s="632"/>
      <c r="W50" s="42" t="s">
        <v>39</v>
      </c>
      <c r="X50" s="43">
        <f>IFERROR(X46/H46,"0")+IFERROR(X47/H47,"0")+IFERROR(X48/H48,"0")+IFERROR(X49/H49,"0")</f>
        <v>0</v>
      </c>
      <c r="Y50" s="43">
        <f>IFERROR(Y46/H46,"0")+IFERROR(Y47/H47,"0")+IFERROR(Y48/H48,"0")+IFERROR(Y49/H49,"0")</f>
        <v>0</v>
      </c>
      <c r="Z50" s="43">
        <f>IFERROR(IF(Z46="",0,Z46),"0")+IFERROR(IF(Z47="",0,Z47),"0")+IFERROR(IF(Z48="",0,Z48),"0")+IFERROR(IF(Z49="",0,Z49),"0")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0" t="s">
        <v>40</v>
      </c>
      <c r="Q51" s="631"/>
      <c r="R51" s="631"/>
      <c r="S51" s="631"/>
      <c r="T51" s="631"/>
      <c r="U51" s="631"/>
      <c r="V51" s="632"/>
      <c r="W51" s="42" t="s">
        <v>0</v>
      </c>
      <c r="X51" s="43">
        <f>IFERROR(SUM(X46:X49),"0")</f>
        <v>0</v>
      </c>
      <c r="Y51" s="43">
        <f>IFERROR(SUM(Y46:Y49),"0")</f>
        <v>0</v>
      </c>
      <c r="Z51" s="42"/>
      <c r="AA51" s="67"/>
      <c r="AB51" s="67"/>
      <c r="AC51" s="67"/>
    </row>
    <row r="52" spans="1:68" ht="16.5" customHeight="1" x14ac:dyDescent="0.25">
      <c r="A52" s="643" t="s">
        <v>134</v>
      </c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3"/>
      <c r="P52" s="643"/>
      <c r="Q52" s="643"/>
      <c r="R52" s="643"/>
      <c r="S52" s="643"/>
      <c r="T52" s="643"/>
      <c r="U52" s="643"/>
      <c r="V52" s="643"/>
      <c r="W52" s="643"/>
      <c r="X52" s="643"/>
      <c r="Y52" s="643"/>
      <c r="Z52" s="643"/>
      <c r="AA52" s="65"/>
      <c r="AB52" s="65"/>
      <c r="AC52" s="79"/>
    </row>
    <row r="53" spans="1:68" ht="14.25" customHeight="1" x14ac:dyDescent="0.25">
      <c r="A53" s="644" t="s">
        <v>119</v>
      </c>
      <c r="B53" s="644"/>
      <c r="C53" s="644"/>
      <c r="D53" s="644"/>
      <c r="E53" s="644"/>
      <c r="F53" s="644"/>
      <c r="G53" s="644"/>
      <c r="H53" s="644"/>
      <c r="I53" s="644"/>
      <c r="J53" s="644"/>
      <c r="K53" s="644"/>
      <c r="L53" s="644"/>
      <c r="M53" s="644"/>
      <c r="N53" s="644"/>
      <c r="O53" s="644"/>
      <c r="P53" s="644"/>
      <c r="Q53" s="644"/>
      <c r="R53" s="644"/>
      <c r="S53" s="644"/>
      <c r="T53" s="644"/>
      <c r="U53" s="644"/>
      <c r="V53" s="644"/>
      <c r="W53" s="644"/>
      <c r="X53" s="644"/>
      <c r="Y53" s="644"/>
      <c r="Z53" s="644"/>
      <c r="AA53" s="66"/>
      <c r="AB53" s="66"/>
      <c r="AC53" s="80"/>
    </row>
    <row r="54" spans="1:68" ht="27" customHeight="1" x14ac:dyDescent="0.25">
      <c r="A54" s="63" t="s">
        <v>135</v>
      </c>
      <c r="B54" s="63" t="s">
        <v>136</v>
      </c>
      <c r="C54" s="36">
        <v>4301012161</v>
      </c>
      <c r="D54" s="639">
        <v>4680115885882</v>
      </c>
      <c r="E54" s="639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89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41"/>
      <c r="R54" s="641"/>
      <c r="S54" s="641"/>
      <c r="T54" s="642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4301011816</v>
      </c>
      <c r="D55" s="639">
        <v>4680115881426</v>
      </c>
      <c r="E55" s="639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8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41"/>
      <c r="R55" s="641"/>
      <c r="S55" s="641"/>
      <c r="T55" s="64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4301012162</v>
      </c>
      <c r="D56" s="639">
        <v>4680115881426</v>
      </c>
      <c r="E56" s="63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89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41"/>
      <c r="R56" s="641"/>
      <c r="S56" s="641"/>
      <c r="T56" s="64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4301012259</v>
      </c>
      <c r="D57" s="639">
        <v>4680115880283</v>
      </c>
      <c r="E57" s="63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89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1"/>
      <c r="R57" s="641"/>
      <c r="S57" s="641"/>
      <c r="T57" s="64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4301011806</v>
      </c>
      <c r="D58" s="639">
        <v>4680115881525</v>
      </c>
      <c r="E58" s="63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89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1"/>
      <c r="R58" s="641"/>
      <c r="S58" s="641"/>
      <c r="T58" s="64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4301012159</v>
      </c>
      <c r="D59" s="639">
        <v>4680115881525</v>
      </c>
      <c r="E59" s="63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89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1"/>
      <c r="R59" s="641"/>
      <c r="S59" s="641"/>
      <c r="T59" s="64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4301012165</v>
      </c>
      <c r="D60" s="639">
        <v>4680115885899</v>
      </c>
      <c r="E60" s="63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89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1"/>
      <c r="R60" s="641"/>
      <c r="S60" s="641"/>
      <c r="T60" s="64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152</v>
      </c>
      <c r="B61" s="63" t="s">
        <v>153</v>
      </c>
      <c r="C61" s="36">
        <v>4301012158</v>
      </c>
      <c r="D61" s="639">
        <v>4680115881419</v>
      </c>
      <c r="E61" s="63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41"/>
      <c r="R61" s="641"/>
      <c r="S61" s="641"/>
      <c r="T61" s="64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633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0" t="s">
        <v>40</v>
      </c>
      <c r="Q62" s="631"/>
      <c r="R62" s="631"/>
      <c r="S62" s="631"/>
      <c r="T62" s="631"/>
      <c r="U62" s="631"/>
      <c r="V62" s="632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0</v>
      </c>
      <c r="Y62" s="43">
        <f>IFERROR(Y54/H54,"0")+IFERROR(Y55/H55,"0")+IFERROR(Y56/H56,"0")+IFERROR(Y57/H57,"0")+IFERROR(Y58/H58,"0")+IFERROR(Y59/H59,"0")+IFERROR(Y60/H60,"0")+IFERROR(Y61/H61,"0")</f>
        <v>0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0" t="s">
        <v>40</v>
      </c>
      <c r="Q63" s="631"/>
      <c r="R63" s="631"/>
      <c r="S63" s="631"/>
      <c r="T63" s="631"/>
      <c r="U63" s="631"/>
      <c r="V63" s="632"/>
      <c r="W63" s="42" t="s">
        <v>0</v>
      </c>
      <c r="X63" s="43">
        <f>IFERROR(SUM(X54:X61),"0")</f>
        <v>0</v>
      </c>
      <c r="Y63" s="43">
        <f>IFERROR(SUM(Y54:Y61),"0")</f>
        <v>0</v>
      </c>
      <c r="Z63" s="42"/>
      <c r="AA63" s="67"/>
      <c r="AB63" s="67"/>
      <c r="AC63" s="67"/>
    </row>
    <row r="64" spans="1:68" ht="14.25" customHeight="1" x14ac:dyDescent="0.25">
      <c r="A64" s="644" t="s">
        <v>154</v>
      </c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4"/>
      <c r="Q64" s="644"/>
      <c r="R64" s="644"/>
      <c r="S64" s="644"/>
      <c r="T64" s="644"/>
      <c r="U64" s="644"/>
      <c r="V64" s="644"/>
      <c r="W64" s="644"/>
      <c r="X64" s="644"/>
      <c r="Y64" s="644"/>
      <c r="Z64" s="644"/>
      <c r="AA64" s="66"/>
      <c r="AB64" s="66"/>
      <c r="AC64" s="80"/>
    </row>
    <row r="65" spans="1:68" ht="27" customHeight="1" x14ac:dyDescent="0.25">
      <c r="A65" s="63" t="s">
        <v>155</v>
      </c>
      <c r="B65" s="63" t="s">
        <v>156</v>
      </c>
      <c r="C65" s="36">
        <v>4301020390</v>
      </c>
      <c r="D65" s="639">
        <v>4680115881440</v>
      </c>
      <c r="E65" s="63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89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41"/>
      <c r="R65" s="641"/>
      <c r="S65" s="641"/>
      <c r="T65" s="64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158</v>
      </c>
      <c r="B66" s="63" t="s">
        <v>159</v>
      </c>
      <c r="C66" s="36">
        <v>4301020358</v>
      </c>
      <c r="D66" s="639">
        <v>4680115885950</v>
      </c>
      <c r="E66" s="63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8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1"/>
      <c r="R66" s="641"/>
      <c r="S66" s="641"/>
      <c r="T66" s="64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161</v>
      </c>
      <c r="B67" s="63" t="s">
        <v>162</v>
      </c>
      <c r="C67" s="36">
        <v>4301020371</v>
      </c>
      <c r="D67" s="639">
        <v>4680115887688</v>
      </c>
      <c r="E67" s="63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88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1"/>
      <c r="R67" s="641"/>
      <c r="S67" s="641"/>
      <c r="T67" s="64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39">
        <v>4680115881433</v>
      </c>
      <c r="E68" s="63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888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41"/>
      <c r="R68" s="641"/>
      <c r="S68" s="641"/>
      <c r="T68" s="64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3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0" t="s">
        <v>40</v>
      </c>
      <c r="Q69" s="631"/>
      <c r="R69" s="631"/>
      <c r="S69" s="631"/>
      <c r="T69" s="631"/>
      <c r="U69" s="631"/>
      <c r="V69" s="632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644" t="s">
        <v>83</v>
      </c>
      <c r="B71" s="644"/>
      <c r="C71" s="644"/>
      <c r="D71" s="644"/>
      <c r="E71" s="644"/>
      <c r="F71" s="644"/>
      <c r="G71" s="644"/>
      <c r="H71" s="644"/>
      <c r="I71" s="644"/>
      <c r="J71" s="644"/>
      <c r="K71" s="644"/>
      <c r="L71" s="644"/>
      <c r="M71" s="644"/>
      <c r="N71" s="644"/>
      <c r="O71" s="644"/>
      <c r="P71" s="644"/>
      <c r="Q71" s="644"/>
      <c r="R71" s="644"/>
      <c r="S71" s="644"/>
      <c r="T71" s="644"/>
      <c r="U71" s="644"/>
      <c r="V71" s="644"/>
      <c r="W71" s="644"/>
      <c r="X71" s="644"/>
      <c r="Y71" s="644"/>
      <c r="Z71" s="644"/>
      <c r="AA71" s="66"/>
      <c r="AB71" s="66"/>
      <c r="AC71" s="80"/>
    </row>
    <row r="72" spans="1:68" ht="16.5" customHeight="1" x14ac:dyDescent="0.25">
      <c r="A72" s="63" t="s">
        <v>166</v>
      </c>
      <c r="B72" s="63" t="s">
        <v>167</v>
      </c>
      <c r="C72" s="36">
        <v>4301051837</v>
      </c>
      <c r="D72" s="639">
        <v>4680115884311</v>
      </c>
      <c r="E72" s="63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8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1"/>
      <c r="R72" s="641"/>
      <c r="S72" s="641"/>
      <c r="T72" s="64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170</v>
      </c>
      <c r="C73" s="36">
        <v>4301052083</v>
      </c>
      <c r="D73" s="639">
        <v>4680115884403</v>
      </c>
      <c r="E73" s="63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88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1"/>
      <c r="R73" s="641"/>
      <c r="S73" s="641"/>
      <c r="T73" s="64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33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0" t="s">
        <v>40</v>
      </c>
      <c r="Q74" s="631"/>
      <c r="R74" s="631"/>
      <c r="S74" s="631"/>
      <c r="T74" s="631"/>
      <c r="U74" s="631"/>
      <c r="V74" s="632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0" t="s">
        <v>40</v>
      </c>
      <c r="Q75" s="631"/>
      <c r="R75" s="631"/>
      <c r="S75" s="631"/>
      <c r="T75" s="631"/>
      <c r="U75" s="631"/>
      <c r="V75" s="632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customHeight="1" x14ac:dyDescent="0.25">
      <c r="A76" s="644" t="s">
        <v>172</v>
      </c>
      <c r="B76" s="644"/>
      <c r="C76" s="644"/>
      <c r="D76" s="644"/>
      <c r="E76" s="644"/>
      <c r="F76" s="644"/>
      <c r="G76" s="644"/>
      <c r="H76" s="644"/>
      <c r="I76" s="644"/>
      <c r="J76" s="644"/>
      <c r="K76" s="644"/>
      <c r="L76" s="644"/>
      <c r="M76" s="644"/>
      <c r="N76" s="644"/>
      <c r="O76" s="644"/>
      <c r="P76" s="644"/>
      <c r="Q76" s="644"/>
      <c r="R76" s="644"/>
      <c r="S76" s="644"/>
      <c r="T76" s="644"/>
      <c r="U76" s="644"/>
      <c r="V76" s="644"/>
      <c r="W76" s="644"/>
      <c r="X76" s="644"/>
      <c r="Y76" s="644"/>
      <c r="Z76" s="644"/>
      <c r="AA76" s="66"/>
      <c r="AB76" s="66"/>
      <c r="AC76" s="80"/>
    </row>
    <row r="77" spans="1:68" ht="27" customHeight="1" x14ac:dyDescent="0.25">
      <c r="A77" s="63" t="s">
        <v>173</v>
      </c>
      <c r="B77" s="63" t="s">
        <v>174</v>
      </c>
      <c r="C77" s="36">
        <v>4301060455</v>
      </c>
      <c r="D77" s="639">
        <v>4680115881532</v>
      </c>
      <c r="E77" s="639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1"/>
      <c r="R77" s="641"/>
      <c r="S77" s="641"/>
      <c r="T77" s="64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173</v>
      </c>
      <c r="B78" s="63" t="s">
        <v>176</v>
      </c>
      <c r="C78" s="36">
        <v>4301060526</v>
      </c>
      <c r="D78" s="639">
        <v>4680115881532</v>
      </c>
      <c r="E78" s="63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88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1"/>
      <c r="R78" s="641"/>
      <c r="S78" s="641"/>
      <c r="T78" s="64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177</v>
      </c>
      <c r="B79" s="63" t="s">
        <v>178</v>
      </c>
      <c r="C79" s="36">
        <v>4301060527</v>
      </c>
      <c r="D79" s="639">
        <v>4680115881464</v>
      </c>
      <c r="E79" s="639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41"/>
      <c r="R79" s="641"/>
      <c r="S79" s="641"/>
      <c r="T79" s="64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33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0" t="s">
        <v>40</v>
      </c>
      <c r="Q80" s="631"/>
      <c r="R80" s="631"/>
      <c r="S80" s="631"/>
      <c r="T80" s="631"/>
      <c r="U80" s="631"/>
      <c r="V80" s="632"/>
      <c r="W80" s="42" t="s">
        <v>39</v>
      </c>
      <c r="X80" s="43">
        <f>IFERROR(X77/H77,"0")+IFERROR(X78/H78,"0")+IFERROR(X79/H79,"0")</f>
        <v>0</v>
      </c>
      <c r="Y80" s="43">
        <f>IFERROR(Y77/H77,"0")+IFERROR(Y78/H78,"0")+IFERROR(Y79/H79,"0")</f>
        <v>0</v>
      </c>
      <c r="Z80" s="43">
        <f>IFERROR(IF(Z77="",0,Z77),"0")+IFERROR(IF(Z78="",0,Z78),"0")+IFERROR(IF(Z79="",0,Z79),"0")</f>
        <v>0</v>
      </c>
      <c r="AA80" s="67"/>
      <c r="AB80" s="67"/>
      <c r="AC80" s="67"/>
    </row>
    <row r="81" spans="1:68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0" t="s">
        <v>40</v>
      </c>
      <c r="Q81" s="631"/>
      <c r="R81" s="631"/>
      <c r="S81" s="631"/>
      <c r="T81" s="631"/>
      <c r="U81" s="631"/>
      <c r="V81" s="632"/>
      <c r="W81" s="42" t="s">
        <v>0</v>
      </c>
      <c r="X81" s="43">
        <f>IFERROR(SUM(X77:X79),"0")</f>
        <v>0</v>
      </c>
      <c r="Y81" s="43">
        <f>IFERROR(SUM(Y77:Y79),"0")</f>
        <v>0</v>
      </c>
      <c r="Z81" s="42"/>
      <c r="AA81" s="67"/>
      <c r="AB81" s="67"/>
      <c r="AC81" s="67"/>
    </row>
    <row r="82" spans="1:68" ht="16.5" customHeight="1" x14ac:dyDescent="0.25">
      <c r="A82" s="643" t="s">
        <v>180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5"/>
      <c r="AB82" s="65"/>
      <c r="AC82" s="79"/>
    </row>
    <row r="83" spans="1:68" ht="14.25" customHeight="1" x14ac:dyDescent="0.25">
      <c r="A83" s="644" t="s">
        <v>119</v>
      </c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4"/>
      <c r="N83" s="644"/>
      <c r="O83" s="644"/>
      <c r="P83" s="644"/>
      <c r="Q83" s="644"/>
      <c r="R83" s="644"/>
      <c r="S83" s="644"/>
      <c r="T83" s="644"/>
      <c r="U83" s="644"/>
      <c r="V83" s="644"/>
      <c r="W83" s="644"/>
      <c r="X83" s="644"/>
      <c r="Y83" s="644"/>
      <c r="Z83" s="644"/>
      <c r="AA83" s="66"/>
      <c r="AB83" s="66"/>
      <c r="AC83" s="80"/>
    </row>
    <row r="84" spans="1:68" ht="27" customHeight="1" x14ac:dyDescent="0.25">
      <c r="A84" s="63" t="s">
        <v>181</v>
      </c>
      <c r="B84" s="63" t="s">
        <v>182</v>
      </c>
      <c r="C84" s="36">
        <v>4301011468</v>
      </c>
      <c r="D84" s="639">
        <v>4680115881327</v>
      </c>
      <c r="E84" s="639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88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1"/>
      <c r="R84" s="641"/>
      <c r="S84" s="641"/>
      <c r="T84" s="642"/>
      <c r="U84" s="39" t="s">
        <v>46</v>
      </c>
      <c r="V84" s="39" t="s">
        <v>46</v>
      </c>
      <c r="W84" s="40" t="s">
        <v>0</v>
      </c>
      <c r="X84" s="58">
        <v>0</v>
      </c>
      <c r="Y84" s="55">
        <f t="shared" ref="Y84:Y89" si="5"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0</v>
      </c>
      <c r="BN84" s="78">
        <f t="shared" ref="BN84:BN89" si="7">IFERROR(Y84*I84/H84,"0")</f>
        <v>0</v>
      </c>
      <c r="BO84" s="78">
        <f t="shared" ref="BO84:BO89" si="8">IFERROR(1/J84*(X84/H84),"0")</f>
        <v>0</v>
      </c>
      <c r="BP84" s="78">
        <f t="shared" ref="BP84:BP89" si="9">IFERROR(1/J84*(Y84/H84),"0")</f>
        <v>0</v>
      </c>
    </row>
    <row r="85" spans="1:68" ht="27" customHeight="1" x14ac:dyDescent="0.25">
      <c r="A85" s="63" t="s">
        <v>181</v>
      </c>
      <c r="B85" s="63" t="s">
        <v>184</v>
      </c>
      <c r="C85" s="36">
        <v>4301012251</v>
      </c>
      <c r="D85" s="639">
        <v>4680115881327</v>
      </c>
      <c r="E85" s="63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87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41"/>
      <c r="R85" s="641"/>
      <c r="S85" s="641"/>
      <c r="T85" s="642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4301012392</v>
      </c>
      <c r="D86" s="639">
        <v>4680115887732</v>
      </c>
      <c r="E86" s="639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87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1"/>
      <c r="R86" s="641"/>
      <c r="S86" s="641"/>
      <c r="T86" s="64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4301011476</v>
      </c>
      <c r="D87" s="639">
        <v>4680115881518</v>
      </c>
      <c r="E87" s="639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87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41"/>
      <c r="R87" s="641"/>
      <c r="S87" s="641"/>
      <c r="T87" s="64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customHeight="1" x14ac:dyDescent="0.25">
      <c r="A88" s="63" t="s">
        <v>188</v>
      </c>
      <c r="B88" s="63" t="s">
        <v>190</v>
      </c>
      <c r="C88" s="36">
        <v>4301012252</v>
      </c>
      <c r="D88" s="639">
        <v>4680115881518</v>
      </c>
      <c r="E88" s="63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88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41"/>
      <c r="R88" s="641"/>
      <c r="S88" s="641"/>
      <c r="T88" s="64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4301012250</v>
      </c>
      <c r="D89" s="639">
        <v>4680115881303</v>
      </c>
      <c r="E89" s="63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88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41"/>
      <c r="R89" s="641"/>
      <c r="S89" s="641"/>
      <c r="T89" s="64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IFERROR(X84/H84,"0")+IFERROR(X85/H85,"0")+IFERROR(X86/H86,"0")+IFERROR(X87/H87,"0")+IFERROR(X88/H88,"0")+IFERROR(X89/H89,"0")</f>
        <v>0</v>
      </c>
      <c r="Y90" s="43">
        <f>IFERROR(Y84/H84,"0")+IFERROR(Y85/H85,"0")+IFERROR(Y86/H86,"0")+IFERROR(Y87/H87,"0")+IFERROR(Y88/H88,"0")+IFERROR(Y89/H89,"0")</f>
        <v>0</v>
      </c>
      <c r="Z90" s="43">
        <f>IFERROR(IF(Z84="",0,Z84),"0")+IFERROR(IF(Z85="",0,Z85),"0")+IFERROR(IF(Z86="",0,Z86),"0")+IFERROR(IF(Z87="",0,Z87),"0")+IFERROR(IF(Z88="",0,Z88),"0")+IFERROR(IF(Z89="",0,Z89),"0")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IFERROR(SUM(X84:X89),"0")</f>
        <v>0</v>
      </c>
      <c r="Y91" s="43">
        <f>IFERROR(SUM(Y84:Y89),"0")</f>
        <v>0</v>
      </c>
      <c r="Z91" s="42"/>
      <c r="AA91" s="67"/>
      <c r="AB91" s="67"/>
      <c r="AC91" s="67"/>
    </row>
    <row r="92" spans="1:68" ht="14.25" customHeight="1" x14ac:dyDescent="0.25">
      <c r="A92" s="644" t="s">
        <v>83</v>
      </c>
      <c r="B92" s="644"/>
      <c r="C92" s="644"/>
      <c r="D92" s="644"/>
      <c r="E92" s="644"/>
      <c r="F92" s="644"/>
      <c r="G92" s="644"/>
      <c r="H92" s="644"/>
      <c r="I92" s="644"/>
      <c r="J92" s="644"/>
      <c r="K92" s="644"/>
      <c r="L92" s="644"/>
      <c r="M92" s="644"/>
      <c r="N92" s="644"/>
      <c r="O92" s="644"/>
      <c r="P92" s="644"/>
      <c r="Q92" s="644"/>
      <c r="R92" s="644"/>
      <c r="S92" s="644"/>
      <c r="T92" s="644"/>
      <c r="U92" s="644"/>
      <c r="V92" s="644"/>
      <c r="W92" s="644"/>
      <c r="X92" s="644"/>
      <c r="Y92" s="644"/>
      <c r="Z92" s="644"/>
      <c r="AA92" s="66"/>
      <c r="AB92" s="66"/>
      <c r="AC92" s="80"/>
    </row>
    <row r="93" spans="1:68" ht="27" customHeight="1" x14ac:dyDescent="0.25">
      <c r="A93" s="63" t="s">
        <v>193</v>
      </c>
      <c r="B93" s="63" t="s">
        <v>194</v>
      </c>
      <c r="C93" s="36">
        <v>4301052101</v>
      </c>
      <c r="D93" s="639">
        <v>4607091386967</v>
      </c>
      <c r="E93" s="63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87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41"/>
      <c r="R93" s="641"/>
      <c r="S93" s="641"/>
      <c r="T93" s="64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196</v>
      </c>
      <c r="B94" s="63" t="s">
        <v>197</v>
      </c>
      <c r="C94" s="36">
        <v>4301052090</v>
      </c>
      <c r="D94" s="639">
        <v>4680115884953</v>
      </c>
      <c r="E94" s="63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87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41"/>
      <c r="R94" s="641"/>
      <c r="S94" s="641"/>
      <c r="T94" s="64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4301052094</v>
      </c>
      <c r="D95" s="639">
        <v>4607091385731</v>
      </c>
      <c r="E95" s="63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87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41"/>
      <c r="R95" s="641"/>
      <c r="S95" s="641"/>
      <c r="T95" s="64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201</v>
      </c>
      <c r="B96" s="63" t="s">
        <v>202</v>
      </c>
      <c r="C96" s="36">
        <v>4301052092</v>
      </c>
      <c r="D96" s="639">
        <v>4680115880894</v>
      </c>
      <c r="E96" s="63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87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41"/>
      <c r="R96" s="641"/>
      <c r="S96" s="641"/>
      <c r="T96" s="64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43" t="s">
        <v>204</v>
      </c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3"/>
      <c r="P99" s="643"/>
      <c r="Q99" s="643"/>
      <c r="R99" s="643"/>
      <c r="S99" s="643"/>
      <c r="T99" s="643"/>
      <c r="U99" s="643"/>
      <c r="V99" s="643"/>
      <c r="W99" s="643"/>
      <c r="X99" s="643"/>
      <c r="Y99" s="643"/>
      <c r="Z99" s="643"/>
      <c r="AA99" s="65"/>
      <c r="AB99" s="65"/>
      <c r="AC99" s="79"/>
    </row>
    <row r="100" spans="1:68" ht="14.25" customHeight="1" x14ac:dyDescent="0.25">
      <c r="A100" s="644" t="s">
        <v>119</v>
      </c>
      <c r="B100" s="644"/>
      <c r="C100" s="644"/>
      <c r="D100" s="644"/>
      <c r="E100" s="644"/>
      <c r="F100" s="644"/>
      <c r="G100" s="644"/>
      <c r="H100" s="644"/>
      <c r="I100" s="644"/>
      <c r="J100" s="644"/>
      <c r="K100" s="644"/>
      <c r="L100" s="644"/>
      <c r="M100" s="644"/>
      <c r="N100" s="644"/>
      <c r="O100" s="644"/>
      <c r="P100" s="644"/>
      <c r="Q100" s="644"/>
      <c r="R100" s="644"/>
      <c r="S100" s="644"/>
      <c r="T100" s="644"/>
      <c r="U100" s="644"/>
      <c r="V100" s="644"/>
      <c r="W100" s="644"/>
      <c r="X100" s="644"/>
      <c r="Y100" s="644"/>
      <c r="Z100" s="644"/>
      <c r="AA100" s="66"/>
      <c r="AB100" s="66"/>
      <c r="AC100" s="80"/>
    </row>
    <row r="101" spans="1:68" ht="37.5" customHeight="1" x14ac:dyDescent="0.25">
      <c r="A101" s="63" t="s">
        <v>205</v>
      </c>
      <c r="B101" s="63" t="s">
        <v>206</v>
      </c>
      <c r="C101" s="36">
        <v>4301011514</v>
      </c>
      <c r="D101" s="639">
        <v>4680115882133</v>
      </c>
      <c r="E101" s="63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87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41"/>
      <c r="R101" s="641"/>
      <c r="S101" s="641"/>
      <c r="T101" s="64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7" si="10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0</v>
      </c>
      <c r="BN101" s="78">
        <f t="shared" ref="BN101:BN107" si="12">IFERROR(Y101*I101/H101,"0")</f>
        <v>0</v>
      </c>
      <c r="BO101" s="78">
        <f t="shared" ref="BO101:BO107" si="13">IFERROR(1/J101*(X101/H101),"0")</f>
        <v>0</v>
      </c>
      <c r="BP101" s="78">
        <f t="shared" ref="BP101:BP107" si="14">IFERROR(1/J101*(Y101/H101),"0")</f>
        <v>0</v>
      </c>
    </row>
    <row r="102" spans="1:68" ht="27" customHeight="1" x14ac:dyDescent="0.25">
      <c r="A102" s="63" t="s">
        <v>205</v>
      </c>
      <c r="B102" s="63" t="s">
        <v>208</v>
      </c>
      <c r="C102" s="36">
        <v>4301012256</v>
      </c>
      <c r="D102" s="639">
        <v>4680115882133</v>
      </c>
      <c r="E102" s="63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8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41"/>
      <c r="R102" s="641"/>
      <c r="S102" s="641"/>
      <c r="T102" s="64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customHeight="1" x14ac:dyDescent="0.25">
      <c r="A103" s="63" t="s">
        <v>210</v>
      </c>
      <c r="B103" s="63" t="s">
        <v>211</v>
      </c>
      <c r="C103" s="36">
        <v>4301012379</v>
      </c>
      <c r="D103" s="639">
        <v>4680115887718</v>
      </c>
      <c r="E103" s="63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8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1"/>
      <c r="R103" s="641"/>
      <c r="S103" s="641"/>
      <c r="T103" s="64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4301012253</v>
      </c>
      <c r="D104" s="639">
        <v>4680115880269</v>
      </c>
      <c r="E104" s="63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8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41"/>
      <c r="R104" s="641"/>
      <c r="S104" s="641"/>
      <c r="T104" s="64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215</v>
      </c>
      <c r="B105" s="63" t="s">
        <v>216</v>
      </c>
      <c r="C105" s="36">
        <v>4301012254</v>
      </c>
      <c r="D105" s="639">
        <v>4680115880429</v>
      </c>
      <c r="E105" s="63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8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1"/>
      <c r="R105" s="641"/>
      <c r="S105" s="641"/>
      <c r="T105" s="64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217</v>
      </c>
      <c r="B106" s="63" t="s">
        <v>218</v>
      </c>
      <c r="C106" s="36">
        <v>4301012255</v>
      </c>
      <c r="D106" s="639">
        <v>4680115881457</v>
      </c>
      <c r="E106" s="63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8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41"/>
      <c r="R106" s="641"/>
      <c r="S106" s="641"/>
      <c r="T106" s="64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219</v>
      </c>
      <c r="B107" s="63" t="s">
        <v>220</v>
      </c>
      <c r="C107" s="36">
        <v>4301012366</v>
      </c>
      <c r="D107" s="639">
        <v>4680115889477</v>
      </c>
      <c r="E107" s="639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86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41"/>
      <c r="R107" s="641"/>
      <c r="S107" s="641"/>
      <c r="T107" s="64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633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0" t="s">
        <v>40</v>
      </c>
      <c r="Q108" s="631"/>
      <c r="R108" s="631"/>
      <c r="S108" s="631"/>
      <c r="T108" s="631"/>
      <c r="U108" s="631"/>
      <c r="V108" s="632"/>
      <c r="W108" s="42" t="s">
        <v>39</v>
      </c>
      <c r="X108" s="43">
        <f>IFERROR(X101/H101,"0")+IFERROR(X102/H102,"0")+IFERROR(X103/H103,"0")+IFERROR(X104/H104,"0")+IFERROR(X105/H105,"0")+IFERROR(X106/H106,"0")+IFERROR(X107/H107,"0")</f>
        <v>0</v>
      </c>
      <c r="Y108" s="43">
        <f>IFERROR(Y101/H101,"0")+IFERROR(Y102/H102,"0")+IFERROR(Y103/H103,"0")+IFERROR(Y104/H104,"0")+IFERROR(Y105/H105,"0")+IFERROR(Y106/H106,"0")+IFERROR(Y107/H107,"0")</f>
        <v>0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0" t="s">
        <v>40</v>
      </c>
      <c r="Q109" s="631"/>
      <c r="R109" s="631"/>
      <c r="S109" s="631"/>
      <c r="T109" s="631"/>
      <c r="U109" s="631"/>
      <c r="V109" s="632"/>
      <c r="W109" s="42" t="s">
        <v>0</v>
      </c>
      <c r="X109" s="43">
        <f>IFERROR(SUM(X101:X107),"0")</f>
        <v>0</v>
      </c>
      <c r="Y109" s="43">
        <f>IFERROR(SUM(Y101:Y107),"0")</f>
        <v>0</v>
      </c>
      <c r="Z109" s="42"/>
      <c r="AA109" s="67"/>
      <c r="AB109" s="67"/>
      <c r="AC109" s="67"/>
    </row>
    <row r="110" spans="1:68" ht="14.25" customHeight="1" x14ac:dyDescent="0.25">
      <c r="A110" s="644" t="s">
        <v>154</v>
      </c>
      <c r="B110" s="644"/>
      <c r="C110" s="644"/>
      <c r="D110" s="644"/>
      <c r="E110" s="644"/>
      <c r="F110" s="644"/>
      <c r="G110" s="644"/>
      <c r="H110" s="644"/>
      <c r="I110" s="644"/>
      <c r="J110" s="644"/>
      <c r="K110" s="644"/>
      <c r="L110" s="644"/>
      <c r="M110" s="644"/>
      <c r="N110" s="644"/>
      <c r="O110" s="644"/>
      <c r="P110" s="644"/>
      <c r="Q110" s="644"/>
      <c r="R110" s="644"/>
      <c r="S110" s="644"/>
      <c r="T110" s="644"/>
      <c r="U110" s="644"/>
      <c r="V110" s="644"/>
      <c r="W110" s="644"/>
      <c r="X110" s="644"/>
      <c r="Y110" s="644"/>
      <c r="Z110" s="644"/>
      <c r="AA110" s="66"/>
      <c r="AB110" s="66"/>
      <c r="AC110" s="80"/>
    </row>
    <row r="111" spans="1:68" ht="27" customHeight="1" x14ac:dyDescent="0.25">
      <c r="A111" s="63" t="s">
        <v>222</v>
      </c>
      <c r="B111" s="63" t="s">
        <v>223</v>
      </c>
      <c r="C111" s="36">
        <v>4301020391</v>
      </c>
      <c r="D111" s="639">
        <v>4680115881488</v>
      </c>
      <c r="E111" s="639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8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1"/>
      <c r="R111" s="641"/>
      <c r="S111" s="641"/>
      <c r="T111" s="642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4301020186</v>
      </c>
      <c r="D112" s="639">
        <v>4680115887664</v>
      </c>
      <c r="E112" s="639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8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1"/>
      <c r="R112" s="641"/>
      <c r="S112" s="641"/>
      <c r="T112" s="642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230</v>
      </c>
      <c r="C113" s="36">
        <v>4301020430</v>
      </c>
      <c r="D113" s="639">
        <v>4680115887664</v>
      </c>
      <c r="E113" s="639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1"/>
      <c r="R113" s="641"/>
      <c r="S113" s="641"/>
      <c r="T113" s="642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231</v>
      </c>
      <c r="B114" s="63" t="s">
        <v>232</v>
      </c>
      <c r="C114" s="36">
        <v>4301020393</v>
      </c>
      <c r="D114" s="639">
        <v>4680115882775</v>
      </c>
      <c r="E114" s="639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8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1"/>
      <c r="R114" s="641"/>
      <c r="S114" s="641"/>
      <c r="T114" s="64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4301020392</v>
      </c>
      <c r="D115" s="639">
        <v>4680115880658</v>
      </c>
      <c r="E115" s="639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8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1"/>
      <c r="R115" s="641"/>
      <c r="S115" s="641"/>
      <c r="T115" s="64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33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0" t="s">
        <v>40</v>
      </c>
      <c r="Q116" s="631"/>
      <c r="R116" s="631"/>
      <c r="S116" s="631"/>
      <c r="T116" s="631"/>
      <c r="U116" s="631"/>
      <c r="V116" s="632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0" t="s">
        <v>40</v>
      </c>
      <c r="Q117" s="631"/>
      <c r="R117" s="631"/>
      <c r="S117" s="631"/>
      <c r="T117" s="631"/>
      <c r="U117" s="631"/>
      <c r="V117" s="632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customHeight="1" x14ac:dyDescent="0.25">
      <c r="A118" s="644" t="s">
        <v>83</v>
      </c>
      <c r="B118" s="644"/>
      <c r="C118" s="644"/>
      <c r="D118" s="644"/>
      <c r="E118" s="644"/>
      <c r="F118" s="644"/>
      <c r="G118" s="644"/>
      <c r="H118" s="644"/>
      <c r="I118" s="644"/>
      <c r="J118" s="644"/>
      <c r="K118" s="644"/>
      <c r="L118" s="644"/>
      <c r="M118" s="644"/>
      <c r="N118" s="644"/>
      <c r="O118" s="644"/>
      <c r="P118" s="644"/>
      <c r="Q118" s="644"/>
      <c r="R118" s="644"/>
      <c r="S118" s="644"/>
      <c r="T118" s="644"/>
      <c r="U118" s="644"/>
      <c r="V118" s="644"/>
      <c r="W118" s="644"/>
      <c r="X118" s="644"/>
      <c r="Y118" s="644"/>
      <c r="Z118" s="644"/>
      <c r="AA118" s="66"/>
      <c r="AB118" s="66"/>
      <c r="AC118" s="80"/>
    </row>
    <row r="119" spans="1:68" ht="27" customHeight="1" x14ac:dyDescent="0.25">
      <c r="A119" s="63" t="s">
        <v>235</v>
      </c>
      <c r="B119" s="63" t="s">
        <v>236</v>
      </c>
      <c r="C119" s="36">
        <v>4301052088</v>
      </c>
      <c r="D119" s="639">
        <v>4607091385168</v>
      </c>
      <c r="E119" s="639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85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1"/>
      <c r="R119" s="641"/>
      <c r="S119" s="641"/>
      <c r="T119" s="64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238</v>
      </c>
      <c r="B120" s="63" t="s">
        <v>239</v>
      </c>
      <c r="C120" s="36">
        <v>4301052087</v>
      </c>
      <c r="D120" s="639">
        <v>4607091383256</v>
      </c>
      <c r="E120" s="639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85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1"/>
      <c r="R120" s="641"/>
      <c r="S120" s="641"/>
      <c r="T120" s="64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240</v>
      </c>
      <c r="B121" s="63" t="s">
        <v>241</v>
      </c>
      <c r="C121" s="36">
        <v>4301052086</v>
      </c>
      <c r="D121" s="639">
        <v>4607091385748</v>
      </c>
      <c r="E121" s="639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85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1"/>
      <c r="R121" s="641"/>
      <c r="S121" s="641"/>
      <c r="T121" s="64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customHeight="1" x14ac:dyDescent="0.25">
      <c r="A122" s="63" t="s">
        <v>242</v>
      </c>
      <c r="B122" s="63" t="s">
        <v>243</v>
      </c>
      <c r="C122" s="36">
        <v>4301052085</v>
      </c>
      <c r="D122" s="639">
        <v>4680115884533</v>
      </c>
      <c r="E122" s="639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86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1"/>
      <c r="R122" s="641"/>
      <c r="S122" s="641"/>
      <c r="T122" s="64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33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0" t="s">
        <v>40</v>
      </c>
      <c r="Q123" s="631"/>
      <c r="R123" s="631"/>
      <c r="S123" s="631"/>
      <c r="T123" s="631"/>
      <c r="U123" s="631"/>
      <c r="V123" s="632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customHeight="1" x14ac:dyDescent="0.25">
      <c r="A125" s="644" t="s">
        <v>172</v>
      </c>
      <c r="B125" s="644"/>
      <c r="C125" s="644"/>
      <c r="D125" s="644"/>
      <c r="E125" s="644"/>
      <c r="F125" s="644"/>
      <c r="G125" s="644"/>
      <c r="H125" s="644"/>
      <c r="I125" s="644"/>
      <c r="J125" s="644"/>
      <c r="K125" s="644"/>
      <c r="L125" s="644"/>
      <c r="M125" s="644"/>
      <c r="N125" s="644"/>
      <c r="O125" s="644"/>
      <c r="P125" s="644"/>
      <c r="Q125" s="644"/>
      <c r="R125" s="644"/>
      <c r="S125" s="644"/>
      <c r="T125" s="644"/>
      <c r="U125" s="644"/>
      <c r="V125" s="644"/>
      <c r="W125" s="644"/>
      <c r="X125" s="644"/>
      <c r="Y125" s="644"/>
      <c r="Z125" s="644"/>
      <c r="AA125" s="66"/>
      <c r="AB125" s="66"/>
      <c r="AC125" s="80"/>
    </row>
    <row r="126" spans="1:68" ht="16.5" customHeight="1" x14ac:dyDescent="0.25">
      <c r="A126" s="63" t="s">
        <v>245</v>
      </c>
      <c r="B126" s="63" t="s">
        <v>246</v>
      </c>
      <c r="C126" s="36">
        <v>4301060525</v>
      </c>
      <c r="D126" s="639">
        <v>4680115880238</v>
      </c>
      <c r="E126" s="639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85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1"/>
      <c r="R126" s="641"/>
      <c r="S126" s="641"/>
      <c r="T126" s="642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33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0" t="s">
        <v>40</v>
      </c>
      <c r="Q127" s="631"/>
      <c r="R127" s="631"/>
      <c r="S127" s="631"/>
      <c r="T127" s="631"/>
      <c r="U127" s="631"/>
      <c r="V127" s="632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0" t="s">
        <v>40</v>
      </c>
      <c r="Q128" s="631"/>
      <c r="R128" s="631"/>
      <c r="S128" s="631"/>
      <c r="T128" s="631"/>
      <c r="U128" s="631"/>
      <c r="V128" s="632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customHeight="1" x14ac:dyDescent="0.25">
      <c r="A129" s="643" t="s">
        <v>248</v>
      </c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3"/>
      <c r="P129" s="643"/>
      <c r="Q129" s="643"/>
      <c r="R129" s="643"/>
      <c r="S129" s="643"/>
      <c r="T129" s="643"/>
      <c r="U129" s="643"/>
      <c r="V129" s="643"/>
      <c r="W129" s="643"/>
      <c r="X129" s="643"/>
      <c r="Y129" s="643"/>
      <c r="Z129" s="643"/>
      <c r="AA129" s="65"/>
      <c r="AB129" s="65"/>
      <c r="AC129" s="79"/>
    </row>
    <row r="130" spans="1:68" ht="14.25" customHeight="1" x14ac:dyDescent="0.25">
      <c r="A130" s="644" t="s">
        <v>119</v>
      </c>
      <c r="B130" s="644"/>
      <c r="C130" s="644"/>
      <c r="D130" s="644"/>
      <c r="E130" s="644"/>
      <c r="F130" s="644"/>
      <c r="G130" s="644"/>
      <c r="H130" s="644"/>
      <c r="I130" s="644"/>
      <c r="J130" s="644"/>
      <c r="K130" s="644"/>
      <c r="L130" s="644"/>
      <c r="M130" s="644"/>
      <c r="N130" s="644"/>
      <c r="O130" s="644"/>
      <c r="P130" s="644"/>
      <c r="Q130" s="644"/>
      <c r="R130" s="644"/>
      <c r="S130" s="644"/>
      <c r="T130" s="644"/>
      <c r="U130" s="644"/>
      <c r="V130" s="644"/>
      <c r="W130" s="644"/>
      <c r="X130" s="644"/>
      <c r="Y130" s="644"/>
      <c r="Z130" s="644"/>
      <c r="AA130" s="66"/>
      <c r="AB130" s="66"/>
      <c r="AC130" s="80"/>
    </row>
    <row r="131" spans="1:68" ht="27" customHeight="1" x14ac:dyDescent="0.25">
      <c r="A131" s="63" t="s">
        <v>249</v>
      </c>
      <c r="B131" s="63" t="s">
        <v>250</v>
      </c>
      <c r="C131" s="36">
        <v>4301011562</v>
      </c>
      <c r="D131" s="639">
        <v>4680115882577</v>
      </c>
      <c r="E131" s="63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8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1"/>
      <c r="R131" s="641"/>
      <c r="S131" s="641"/>
      <c r="T131" s="64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249</v>
      </c>
      <c r="B132" s="63" t="s">
        <v>253</v>
      </c>
      <c r="C132" s="36">
        <v>4301011564</v>
      </c>
      <c r="D132" s="639">
        <v>4680115882577</v>
      </c>
      <c r="E132" s="63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8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1"/>
      <c r="R132" s="641"/>
      <c r="S132" s="641"/>
      <c r="T132" s="64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33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0" t="s">
        <v>40</v>
      </c>
      <c r="Q133" s="631"/>
      <c r="R133" s="631"/>
      <c r="S133" s="631"/>
      <c r="T133" s="631"/>
      <c r="U133" s="631"/>
      <c r="V133" s="632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0" t="s">
        <v>40</v>
      </c>
      <c r="Q134" s="631"/>
      <c r="R134" s="631"/>
      <c r="S134" s="631"/>
      <c r="T134" s="631"/>
      <c r="U134" s="631"/>
      <c r="V134" s="632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44" t="s">
        <v>77</v>
      </c>
      <c r="B135" s="644"/>
      <c r="C135" s="644"/>
      <c r="D135" s="644"/>
      <c r="E135" s="644"/>
      <c r="F135" s="644"/>
      <c r="G135" s="644"/>
      <c r="H135" s="644"/>
      <c r="I135" s="644"/>
      <c r="J135" s="644"/>
      <c r="K135" s="644"/>
      <c r="L135" s="644"/>
      <c r="M135" s="644"/>
      <c r="N135" s="644"/>
      <c r="O135" s="644"/>
      <c r="P135" s="644"/>
      <c r="Q135" s="644"/>
      <c r="R135" s="644"/>
      <c r="S135" s="644"/>
      <c r="T135" s="644"/>
      <c r="U135" s="644"/>
      <c r="V135" s="644"/>
      <c r="W135" s="644"/>
      <c r="X135" s="644"/>
      <c r="Y135" s="644"/>
      <c r="Z135" s="644"/>
      <c r="AA135" s="66"/>
      <c r="AB135" s="66"/>
      <c r="AC135" s="80"/>
    </row>
    <row r="136" spans="1:68" ht="27" customHeight="1" x14ac:dyDescent="0.25">
      <c r="A136" s="63" t="s">
        <v>254</v>
      </c>
      <c r="B136" s="63" t="s">
        <v>255</v>
      </c>
      <c r="C136" s="36">
        <v>4301031234</v>
      </c>
      <c r="D136" s="639">
        <v>4680115883444</v>
      </c>
      <c r="E136" s="63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85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1"/>
      <c r="R136" s="641"/>
      <c r="S136" s="641"/>
      <c r="T136" s="64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254</v>
      </c>
      <c r="B137" s="63" t="s">
        <v>257</v>
      </c>
      <c r="C137" s="36">
        <v>4301031235</v>
      </c>
      <c r="D137" s="639">
        <v>4680115883444</v>
      </c>
      <c r="E137" s="63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8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1"/>
      <c r="R137" s="641"/>
      <c r="S137" s="641"/>
      <c r="T137" s="64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33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0" t="s">
        <v>40</v>
      </c>
      <c r="Q138" s="631"/>
      <c r="R138" s="631"/>
      <c r="S138" s="631"/>
      <c r="T138" s="631"/>
      <c r="U138" s="631"/>
      <c r="V138" s="632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0" t="s">
        <v>40</v>
      </c>
      <c r="Q139" s="631"/>
      <c r="R139" s="631"/>
      <c r="S139" s="631"/>
      <c r="T139" s="631"/>
      <c r="U139" s="631"/>
      <c r="V139" s="632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644" t="s">
        <v>83</v>
      </c>
      <c r="B140" s="644"/>
      <c r="C140" s="644"/>
      <c r="D140" s="644"/>
      <c r="E140" s="644"/>
      <c r="F140" s="644"/>
      <c r="G140" s="644"/>
      <c r="H140" s="644"/>
      <c r="I140" s="644"/>
      <c r="J140" s="644"/>
      <c r="K140" s="644"/>
      <c r="L140" s="644"/>
      <c r="M140" s="644"/>
      <c r="N140" s="644"/>
      <c r="O140" s="644"/>
      <c r="P140" s="644"/>
      <c r="Q140" s="644"/>
      <c r="R140" s="644"/>
      <c r="S140" s="644"/>
      <c r="T140" s="644"/>
      <c r="U140" s="644"/>
      <c r="V140" s="644"/>
      <c r="W140" s="644"/>
      <c r="X140" s="644"/>
      <c r="Y140" s="644"/>
      <c r="Z140" s="644"/>
      <c r="AA140" s="66"/>
      <c r="AB140" s="66"/>
      <c r="AC140" s="80"/>
    </row>
    <row r="141" spans="1:68" ht="16.5" customHeight="1" x14ac:dyDescent="0.25">
      <c r="A141" s="63" t="s">
        <v>258</v>
      </c>
      <c r="B141" s="63" t="s">
        <v>259</v>
      </c>
      <c r="C141" s="36">
        <v>4301051476</v>
      </c>
      <c r="D141" s="639">
        <v>4680115882584</v>
      </c>
      <c r="E141" s="63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8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1"/>
      <c r="R141" s="641"/>
      <c r="S141" s="641"/>
      <c r="T141" s="64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258</v>
      </c>
      <c r="B142" s="63" t="s">
        <v>260</v>
      </c>
      <c r="C142" s="36">
        <v>4301051477</v>
      </c>
      <c r="D142" s="639">
        <v>4680115882584</v>
      </c>
      <c r="E142" s="63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8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1"/>
      <c r="R142" s="641"/>
      <c r="S142" s="641"/>
      <c r="T142" s="64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33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0" t="s">
        <v>40</v>
      </c>
      <c r="Q143" s="631"/>
      <c r="R143" s="631"/>
      <c r="S143" s="631"/>
      <c r="T143" s="631"/>
      <c r="U143" s="631"/>
      <c r="V143" s="632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0" t="s">
        <v>40</v>
      </c>
      <c r="Q144" s="631"/>
      <c r="R144" s="631"/>
      <c r="S144" s="631"/>
      <c r="T144" s="631"/>
      <c r="U144" s="631"/>
      <c r="V144" s="632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customHeight="1" x14ac:dyDescent="0.25">
      <c r="A145" s="643" t="s">
        <v>261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5"/>
      <c r="AB145" s="65"/>
      <c r="AC145" s="79"/>
    </row>
    <row r="146" spans="1:68" ht="14.25" customHeight="1" x14ac:dyDescent="0.25">
      <c r="A146" s="644" t="s">
        <v>83</v>
      </c>
      <c r="B146" s="644"/>
      <c r="C146" s="644"/>
      <c r="D146" s="644"/>
      <c r="E146" s="644"/>
      <c r="F146" s="644"/>
      <c r="G146" s="644"/>
      <c r="H146" s="644"/>
      <c r="I146" s="644"/>
      <c r="J146" s="644"/>
      <c r="K146" s="644"/>
      <c r="L146" s="644"/>
      <c r="M146" s="644"/>
      <c r="N146" s="644"/>
      <c r="O146" s="644"/>
      <c r="P146" s="644"/>
      <c r="Q146" s="644"/>
      <c r="R146" s="644"/>
      <c r="S146" s="644"/>
      <c r="T146" s="644"/>
      <c r="U146" s="644"/>
      <c r="V146" s="644"/>
      <c r="W146" s="644"/>
      <c r="X146" s="644"/>
      <c r="Y146" s="644"/>
      <c r="Z146" s="644"/>
      <c r="AA146" s="66"/>
      <c r="AB146" s="66"/>
      <c r="AC146" s="80"/>
    </row>
    <row r="147" spans="1:68" ht="27" customHeight="1" x14ac:dyDescent="0.25">
      <c r="A147" s="63" t="s">
        <v>262</v>
      </c>
      <c r="B147" s="63" t="s">
        <v>263</v>
      </c>
      <c r="C147" s="36">
        <v>4301052254</v>
      </c>
      <c r="D147" s="639">
        <v>4680115888203</v>
      </c>
      <c r="E147" s="63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84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1"/>
      <c r="R147" s="641"/>
      <c r="S147" s="641"/>
      <c r="T147" s="64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265</v>
      </c>
      <c r="B148" s="63" t="s">
        <v>266</v>
      </c>
      <c r="C148" s="36">
        <v>4301052252</v>
      </c>
      <c r="D148" s="639">
        <v>4680115888180</v>
      </c>
      <c r="E148" s="63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84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1"/>
      <c r="R148" s="641"/>
      <c r="S148" s="641"/>
      <c r="T148" s="64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268</v>
      </c>
      <c r="B149" s="63" t="s">
        <v>269</v>
      </c>
      <c r="C149" s="36">
        <v>4301052253</v>
      </c>
      <c r="D149" s="639">
        <v>4680115888197</v>
      </c>
      <c r="E149" s="63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84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41"/>
      <c r="R149" s="641"/>
      <c r="S149" s="641"/>
      <c r="T149" s="64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4301052255</v>
      </c>
      <c r="D150" s="639">
        <v>4680115888210</v>
      </c>
      <c r="E150" s="63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84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41"/>
      <c r="R150" s="641"/>
      <c r="S150" s="641"/>
      <c r="T150" s="642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x14ac:dyDescent="0.2">
      <c r="A151" s="633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0" t="s">
        <v>40</v>
      </c>
      <c r="Q151" s="631"/>
      <c r="R151" s="631"/>
      <c r="S151" s="631"/>
      <c r="T151" s="631"/>
      <c r="U151" s="631"/>
      <c r="V151" s="632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0" t="s">
        <v>40</v>
      </c>
      <c r="Q152" s="631"/>
      <c r="R152" s="631"/>
      <c r="S152" s="631"/>
      <c r="T152" s="631"/>
      <c r="U152" s="631"/>
      <c r="V152" s="632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customHeight="1" x14ac:dyDescent="0.25">
      <c r="A153" s="644" t="s">
        <v>274</v>
      </c>
      <c r="B153" s="644"/>
      <c r="C153" s="644"/>
      <c r="D153" s="644"/>
      <c r="E153" s="644"/>
      <c r="F153" s="644"/>
      <c r="G153" s="644"/>
      <c r="H153" s="644"/>
      <c r="I153" s="644"/>
      <c r="J153" s="644"/>
      <c r="K153" s="644"/>
      <c r="L153" s="644"/>
      <c r="M153" s="644"/>
      <c r="N153" s="644"/>
      <c r="O153" s="644"/>
      <c r="P153" s="644"/>
      <c r="Q153" s="644"/>
      <c r="R153" s="644"/>
      <c r="S153" s="644"/>
      <c r="T153" s="644"/>
      <c r="U153" s="644"/>
      <c r="V153" s="644"/>
      <c r="W153" s="644"/>
      <c r="X153" s="644"/>
      <c r="Y153" s="644"/>
      <c r="Z153" s="644"/>
      <c r="AA153" s="66"/>
      <c r="AB153" s="66"/>
      <c r="AC153" s="80"/>
    </row>
    <row r="154" spans="1:68" ht="27" customHeight="1" x14ac:dyDescent="0.25">
      <c r="A154" s="63" t="s">
        <v>275</v>
      </c>
      <c r="B154" s="63" t="s">
        <v>276</v>
      </c>
      <c r="C154" s="36">
        <v>4301032067</v>
      </c>
      <c r="D154" s="639">
        <v>4680115889132</v>
      </c>
      <c r="E154" s="639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84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41"/>
      <c r="R154" s="641"/>
      <c r="S154" s="641"/>
      <c r="T154" s="64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33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0" t="s">
        <v>40</v>
      </c>
      <c r="Q155" s="631"/>
      <c r="R155" s="631"/>
      <c r="S155" s="631"/>
      <c r="T155" s="631"/>
      <c r="U155" s="631"/>
      <c r="V155" s="632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0" t="s">
        <v>40</v>
      </c>
      <c r="Q156" s="631"/>
      <c r="R156" s="631"/>
      <c r="S156" s="631"/>
      <c r="T156" s="631"/>
      <c r="U156" s="631"/>
      <c r="V156" s="632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customHeight="1" x14ac:dyDescent="0.25">
      <c r="A157" s="643" t="s">
        <v>117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5"/>
      <c r="AB157" s="65"/>
      <c r="AC157" s="79"/>
    </row>
    <row r="158" spans="1:68" ht="14.25" customHeight="1" x14ac:dyDescent="0.25">
      <c r="A158" s="644" t="s">
        <v>119</v>
      </c>
      <c r="B158" s="644"/>
      <c r="C158" s="644"/>
      <c r="D158" s="644"/>
      <c r="E158" s="644"/>
      <c r="F158" s="644"/>
      <c r="G158" s="644"/>
      <c r="H158" s="644"/>
      <c r="I158" s="644"/>
      <c r="J158" s="644"/>
      <c r="K158" s="644"/>
      <c r="L158" s="644"/>
      <c r="M158" s="644"/>
      <c r="N158" s="644"/>
      <c r="O158" s="644"/>
      <c r="P158" s="644"/>
      <c r="Q158" s="644"/>
      <c r="R158" s="644"/>
      <c r="S158" s="644"/>
      <c r="T158" s="644"/>
      <c r="U158" s="644"/>
      <c r="V158" s="644"/>
      <c r="W158" s="644"/>
      <c r="X158" s="644"/>
      <c r="Y158" s="644"/>
      <c r="Z158" s="644"/>
      <c r="AA158" s="66"/>
      <c r="AB158" s="66"/>
      <c r="AC158" s="80"/>
    </row>
    <row r="159" spans="1:68" ht="27" customHeight="1" x14ac:dyDescent="0.25">
      <c r="A159" s="63" t="s">
        <v>281</v>
      </c>
      <c r="B159" s="63" t="s">
        <v>282</v>
      </c>
      <c r="C159" s="36">
        <v>4301012338</v>
      </c>
      <c r="D159" s="639">
        <v>4680115887374</v>
      </c>
      <c r="E159" s="639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8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41"/>
      <c r="R159" s="641"/>
      <c r="S159" s="641"/>
      <c r="T159" s="64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284</v>
      </c>
      <c r="B160" s="63" t="s">
        <v>285</v>
      </c>
      <c r="C160" s="36">
        <v>4301011705</v>
      </c>
      <c r="D160" s="639">
        <v>4607091384604</v>
      </c>
      <c r="E160" s="63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84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41"/>
      <c r="R160" s="641"/>
      <c r="S160" s="641"/>
      <c r="T160" s="64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customHeight="1" x14ac:dyDescent="0.25">
      <c r="A161" s="63" t="s">
        <v>284</v>
      </c>
      <c r="B161" s="63" t="s">
        <v>287</v>
      </c>
      <c r="C161" s="36">
        <v>4301012258</v>
      </c>
      <c r="D161" s="639">
        <v>4607091384604</v>
      </c>
      <c r="E161" s="639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41"/>
      <c r="R161" s="641"/>
      <c r="S161" s="641"/>
      <c r="T161" s="64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customHeight="1" x14ac:dyDescent="0.25">
      <c r="A162" s="63" t="s">
        <v>288</v>
      </c>
      <c r="B162" s="63" t="s">
        <v>289</v>
      </c>
      <c r="C162" s="36">
        <v>4301012344</v>
      </c>
      <c r="D162" s="639">
        <v>4680115888876</v>
      </c>
      <c r="E162" s="639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84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41"/>
      <c r="R162" s="641"/>
      <c r="S162" s="641"/>
      <c r="T162" s="64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633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0" t="s">
        <v>40</v>
      </c>
      <c r="Q163" s="631"/>
      <c r="R163" s="631"/>
      <c r="S163" s="631"/>
      <c r="T163" s="631"/>
      <c r="U163" s="631"/>
      <c r="V163" s="632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customHeight="1" x14ac:dyDescent="0.25">
      <c r="A165" s="644" t="s">
        <v>154</v>
      </c>
      <c r="B165" s="644"/>
      <c r="C165" s="644"/>
      <c r="D165" s="644"/>
      <c r="E165" s="644"/>
      <c r="F165" s="644"/>
      <c r="G165" s="644"/>
      <c r="H165" s="644"/>
      <c r="I165" s="644"/>
      <c r="J165" s="644"/>
      <c r="K165" s="644"/>
      <c r="L165" s="644"/>
      <c r="M165" s="644"/>
      <c r="N165" s="644"/>
      <c r="O165" s="644"/>
      <c r="P165" s="644"/>
      <c r="Q165" s="644"/>
      <c r="R165" s="644"/>
      <c r="S165" s="644"/>
      <c r="T165" s="644"/>
      <c r="U165" s="644"/>
      <c r="V165" s="644"/>
      <c r="W165" s="644"/>
      <c r="X165" s="644"/>
      <c r="Y165" s="644"/>
      <c r="Z165" s="644"/>
      <c r="AA165" s="66"/>
      <c r="AB165" s="66"/>
      <c r="AC165" s="80"/>
    </row>
    <row r="166" spans="1:68" ht="16.5" customHeight="1" x14ac:dyDescent="0.25">
      <c r="A166" s="63" t="s">
        <v>291</v>
      </c>
      <c r="B166" s="63" t="s">
        <v>292</v>
      </c>
      <c r="C166" s="36">
        <v>4301020410</v>
      </c>
      <c r="D166" s="639">
        <v>4680115887695</v>
      </c>
      <c r="E166" s="639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83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41"/>
      <c r="R166" s="641"/>
      <c r="S166" s="641"/>
      <c r="T166" s="64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customHeight="1" x14ac:dyDescent="0.25">
      <c r="A167" s="63" t="s">
        <v>294</v>
      </c>
      <c r="B167" s="63" t="s">
        <v>295</v>
      </c>
      <c r="C167" s="36">
        <v>4301020439</v>
      </c>
      <c r="D167" s="639">
        <v>4680115889491</v>
      </c>
      <c r="E167" s="639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84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41"/>
      <c r="R167" s="641"/>
      <c r="S167" s="641"/>
      <c r="T167" s="64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">
      <c r="A168" s="633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0" t="s">
        <v>40</v>
      </c>
      <c r="Q168" s="631"/>
      <c r="R168" s="631"/>
      <c r="S168" s="631"/>
      <c r="T168" s="631"/>
      <c r="U168" s="631"/>
      <c r="V168" s="632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0" t="s">
        <v>40</v>
      </c>
      <c r="Q169" s="631"/>
      <c r="R169" s="631"/>
      <c r="S169" s="631"/>
      <c r="T169" s="631"/>
      <c r="U169" s="631"/>
      <c r="V169" s="632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customHeight="1" x14ac:dyDescent="0.25">
      <c r="A170" s="644" t="s">
        <v>77</v>
      </c>
      <c r="B170" s="644"/>
      <c r="C170" s="644"/>
      <c r="D170" s="644"/>
      <c r="E170" s="644"/>
      <c r="F170" s="644"/>
      <c r="G170" s="644"/>
      <c r="H170" s="644"/>
      <c r="I170" s="644"/>
      <c r="J170" s="644"/>
      <c r="K170" s="644"/>
      <c r="L170" s="644"/>
      <c r="M170" s="644"/>
      <c r="N170" s="644"/>
      <c r="O170" s="644"/>
      <c r="P170" s="644"/>
      <c r="Q170" s="644"/>
      <c r="R170" s="644"/>
      <c r="S170" s="644"/>
      <c r="T170" s="644"/>
      <c r="U170" s="644"/>
      <c r="V170" s="644"/>
      <c r="W170" s="644"/>
      <c r="X170" s="644"/>
      <c r="Y170" s="644"/>
      <c r="Z170" s="644"/>
      <c r="AA170" s="66"/>
      <c r="AB170" s="66"/>
      <c r="AC170" s="80"/>
    </row>
    <row r="171" spans="1:68" ht="27" customHeight="1" x14ac:dyDescent="0.25">
      <c r="A171" s="63" t="s">
        <v>297</v>
      </c>
      <c r="B171" s="63" t="s">
        <v>298</v>
      </c>
      <c r="C171" s="36">
        <v>4301031496</v>
      </c>
      <c r="D171" s="639">
        <v>4680115887428</v>
      </c>
      <c r="E171" s="63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83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1"/>
      <c r="R171" s="641"/>
      <c r="S171" s="641"/>
      <c r="T171" s="64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ref="Y171:Y180" si="15">IFERROR(IF(X171="",0,CEILING((X171/$H171),1)*$H171),"")</f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0</v>
      </c>
      <c r="BN171" s="78">
        <f t="shared" ref="BN171:BN180" si="17">IFERROR(Y171*I171/H171,"0")</f>
        <v>0</v>
      </c>
      <c r="BO171" s="78">
        <f t="shared" ref="BO171:BO180" si="18">IFERROR(1/J171*(X171/H171),"0")</f>
        <v>0</v>
      </c>
      <c r="BP171" s="78">
        <f t="shared" ref="BP171:BP180" si="19">IFERROR(1/J171*(Y171/H171),"0")</f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4301031509</v>
      </c>
      <c r="D172" s="639">
        <v>4680115889170</v>
      </c>
      <c r="E172" s="63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83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1"/>
      <c r="R172" s="641"/>
      <c r="S172" s="641"/>
      <c r="T172" s="64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4301031522</v>
      </c>
      <c r="D173" s="639">
        <v>4680115887398</v>
      </c>
      <c r="E173" s="63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83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1"/>
      <c r="R173" s="641"/>
      <c r="S173" s="641"/>
      <c r="T173" s="64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306</v>
      </c>
      <c r="B174" s="63" t="s">
        <v>307</v>
      </c>
      <c r="C174" s="36">
        <v>4301031520</v>
      </c>
      <c r="D174" s="639">
        <v>4680115887336</v>
      </c>
      <c r="E174" s="63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83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1"/>
      <c r="R174" s="641"/>
      <c r="S174" s="641"/>
      <c r="T174" s="64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customHeight="1" x14ac:dyDescent="0.25">
      <c r="A175" s="63" t="s">
        <v>309</v>
      </c>
      <c r="B175" s="63" t="s">
        <v>310</v>
      </c>
      <c r="C175" s="36">
        <v>4301031528</v>
      </c>
      <c r="D175" s="639">
        <v>4680115887787</v>
      </c>
      <c r="E175" s="63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83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1"/>
      <c r="R175" s="641"/>
      <c r="S175" s="641"/>
      <c r="T175" s="64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312</v>
      </c>
      <c r="B176" s="63" t="s">
        <v>313</v>
      </c>
      <c r="C176" s="36">
        <v>4301031448</v>
      </c>
      <c r="D176" s="639">
        <v>4680115887503</v>
      </c>
      <c r="E176" s="63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1"/>
      <c r="R176" s="641"/>
      <c r="S176" s="641"/>
      <c r="T176" s="64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314</v>
      </c>
      <c r="B177" s="63" t="s">
        <v>315</v>
      </c>
      <c r="C177" s="36">
        <v>4301031389</v>
      </c>
      <c r="D177" s="639">
        <v>4680115887763</v>
      </c>
      <c r="E177" s="63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83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1"/>
      <c r="R177" s="641"/>
      <c r="S177" s="641"/>
      <c r="T177" s="64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317</v>
      </c>
      <c r="B178" s="63" t="s">
        <v>318</v>
      </c>
      <c r="C178" s="36">
        <v>4301031521</v>
      </c>
      <c r="D178" s="639">
        <v>4680115887480</v>
      </c>
      <c r="E178" s="63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83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1"/>
      <c r="R178" s="641"/>
      <c r="S178" s="641"/>
      <c r="T178" s="64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customHeight="1" x14ac:dyDescent="0.25">
      <c r="A179" s="63" t="s">
        <v>319</v>
      </c>
      <c r="B179" s="63" t="s">
        <v>320</v>
      </c>
      <c r="C179" s="36">
        <v>4301031434</v>
      </c>
      <c r="D179" s="639">
        <v>4680115888067</v>
      </c>
      <c r="E179" s="639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83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1"/>
      <c r="R179" s="641"/>
      <c r="S179" s="641"/>
      <c r="T179" s="64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322</v>
      </c>
      <c r="B180" s="63" t="s">
        <v>323</v>
      </c>
      <c r="C180" s="36">
        <v>4301031519</v>
      </c>
      <c r="D180" s="639">
        <v>4680115887435</v>
      </c>
      <c r="E180" s="63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83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1"/>
      <c r="R180" s="641"/>
      <c r="S180" s="641"/>
      <c r="T180" s="64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x14ac:dyDescent="0.2">
      <c r="A181" s="633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0" t="s">
        <v>40</v>
      </c>
      <c r="Q181" s="631"/>
      <c r="R181" s="631"/>
      <c r="S181" s="631"/>
      <c r="T181" s="631"/>
      <c r="U181" s="631"/>
      <c r="V181" s="632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0</v>
      </c>
      <c r="X182" s="43">
        <f>IFERROR(SUM(X171:X180),"0")</f>
        <v>0</v>
      </c>
      <c r="Y182" s="43">
        <f>IFERROR(SUM(Y171:Y180),"0")</f>
        <v>0</v>
      </c>
      <c r="Z182" s="42"/>
      <c r="AA182" s="67"/>
      <c r="AB182" s="67"/>
      <c r="AC182" s="67"/>
    </row>
    <row r="183" spans="1:68" ht="14.25" customHeight="1" x14ac:dyDescent="0.25">
      <c r="A183" s="644" t="s">
        <v>83</v>
      </c>
      <c r="B183" s="644"/>
      <c r="C183" s="644"/>
      <c r="D183" s="644"/>
      <c r="E183" s="644"/>
      <c r="F183" s="644"/>
      <c r="G183" s="644"/>
      <c r="H183" s="644"/>
      <c r="I183" s="644"/>
      <c r="J183" s="644"/>
      <c r="K183" s="644"/>
      <c r="L183" s="644"/>
      <c r="M183" s="644"/>
      <c r="N183" s="644"/>
      <c r="O183" s="644"/>
      <c r="P183" s="644"/>
      <c r="Q183" s="644"/>
      <c r="R183" s="644"/>
      <c r="S183" s="644"/>
      <c r="T183" s="644"/>
      <c r="U183" s="644"/>
      <c r="V183" s="644"/>
      <c r="W183" s="644"/>
      <c r="X183" s="644"/>
      <c r="Y183" s="644"/>
      <c r="Z183" s="644"/>
      <c r="AA183" s="66"/>
      <c r="AB183" s="66"/>
      <c r="AC183" s="80"/>
    </row>
    <row r="184" spans="1:68" ht="16.5" customHeight="1" x14ac:dyDescent="0.25">
      <c r="A184" s="63" t="s">
        <v>324</v>
      </c>
      <c r="B184" s="63" t="s">
        <v>325</v>
      </c>
      <c r="C184" s="36">
        <v>4301052193</v>
      </c>
      <c r="D184" s="639">
        <v>4680115888395</v>
      </c>
      <c r="E184" s="63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1"/>
      <c r="R184" s="641"/>
      <c r="S184" s="641"/>
      <c r="T184" s="64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customHeight="1" x14ac:dyDescent="0.25">
      <c r="A185" s="63" t="s">
        <v>327</v>
      </c>
      <c r="B185" s="63" t="s">
        <v>328</v>
      </c>
      <c r="C185" s="36">
        <v>4301052191</v>
      </c>
      <c r="D185" s="639">
        <v>4680115888371</v>
      </c>
      <c r="E185" s="63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1"/>
      <c r="R185" s="641"/>
      <c r="S185" s="641"/>
      <c r="T185" s="64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633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0" t="s">
        <v>40</v>
      </c>
      <c r="Q186" s="631"/>
      <c r="R186" s="631"/>
      <c r="S186" s="631"/>
      <c r="T186" s="631"/>
      <c r="U186" s="631"/>
      <c r="V186" s="632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0" t="s">
        <v>40</v>
      </c>
      <c r="Q187" s="631"/>
      <c r="R187" s="631"/>
      <c r="S187" s="631"/>
      <c r="T187" s="631"/>
      <c r="U187" s="631"/>
      <c r="V187" s="632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customHeight="1" x14ac:dyDescent="0.25">
      <c r="A188" s="644" t="s">
        <v>274</v>
      </c>
      <c r="B188" s="644"/>
      <c r="C188" s="644"/>
      <c r="D188" s="644"/>
      <c r="E188" s="644"/>
      <c r="F188" s="644"/>
      <c r="G188" s="644"/>
      <c r="H188" s="644"/>
      <c r="I188" s="644"/>
      <c r="J188" s="644"/>
      <c r="K188" s="644"/>
      <c r="L188" s="644"/>
      <c r="M188" s="644"/>
      <c r="N188" s="644"/>
      <c r="O188" s="644"/>
      <c r="P188" s="644"/>
      <c r="Q188" s="644"/>
      <c r="R188" s="644"/>
      <c r="S188" s="644"/>
      <c r="T188" s="644"/>
      <c r="U188" s="644"/>
      <c r="V188" s="644"/>
      <c r="W188" s="644"/>
      <c r="X188" s="644"/>
      <c r="Y188" s="644"/>
      <c r="Z188" s="644"/>
      <c r="AA188" s="66"/>
      <c r="AB188" s="66"/>
      <c r="AC188" s="80"/>
    </row>
    <row r="189" spans="1:68" ht="16.5" customHeight="1" x14ac:dyDescent="0.25">
      <c r="A189" s="63" t="s">
        <v>330</v>
      </c>
      <c r="B189" s="63" t="s">
        <v>331</v>
      </c>
      <c r="C189" s="36">
        <v>4301032058</v>
      </c>
      <c r="D189" s="639">
        <v>4680115889026</v>
      </c>
      <c r="E189" s="63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1"/>
      <c r="R189" s="641"/>
      <c r="S189" s="641"/>
      <c r="T189" s="64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33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0" t="s">
        <v>40</v>
      </c>
      <c r="Q190" s="631"/>
      <c r="R190" s="631"/>
      <c r="S190" s="631"/>
      <c r="T190" s="631"/>
      <c r="U190" s="631"/>
      <c r="V190" s="632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0" t="s">
        <v>40</v>
      </c>
      <c r="Q191" s="631"/>
      <c r="R191" s="631"/>
      <c r="S191" s="631"/>
      <c r="T191" s="631"/>
      <c r="U191" s="631"/>
      <c r="V191" s="632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customHeight="1" x14ac:dyDescent="0.25">
      <c r="A192" s="644" t="s">
        <v>334</v>
      </c>
      <c r="B192" s="644"/>
      <c r="C192" s="644"/>
      <c r="D192" s="644"/>
      <c r="E192" s="644"/>
      <c r="F192" s="644"/>
      <c r="G192" s="644"/>
      <c r="H192" s="644"/>
      <c r="I192" s="644"/>
      <c r="J192" s="644"/>
      <c r="K192" s="644"/>
      <c r="L192" s="644"/>
      <c r="M192" s="644"/>
      <c r="N192" s="644"/>
      <c r="O192" s="644"/>
      <c r="P192" s="644"/>
      <c r="Q192" s="644"/>
      <c r="R192" s="644"/>
      <c r="S192" s="644"/>
      <c r="T192" s="644"/>
      <c r="U192" s="644"/>
      <c r="V192" s="644"/>
      <c r="W192" s="644"/>
      <c r="X192" s="644"/>
      <c r="Y192" s="644"/>
      <c r="Z192" s="644"/>
      <c r="AA192" s="66"/>
      <c r="AB192" s="66"/>
      <c r="AC192" s="80"/>
    </row>
    <row r="193" spans="1:68" ht="27" customHeight="1" x14ac:dyDescent="0.25">
      <c r="A193" s="63" t="s">
        <v>335</v>
      </c>
      <c r="B193" s="63" t="s">
        <v>336</v>
      </c>
      <c r="C193" s="36">
        <v>4301041009</v>
      </c>
      <c r="D193" s="639">
        <v>4680115889033</v>
      </c>
      <c r="E193" s="63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1"/>
      <c r="R193" s="641"/>
      <c r="S193" s="641"/>
      <c r="T193" s="64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0" t="s">
        <v>40</v>
      </c>
      <c r="Q195" s="631"/>
      <c r="R195" s="631"/>
      <c r="S195" s="631"/>
      <c r="T195" s="631"/>
      <c r="U195" s="631"/>
      <c r="V195" s="632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50" t="s">
        <v>338</v>
      </c>
      <c r="B196" s="650"/>
      <c r="C196" s="650"/>
      <c r="D196" s="650"/>
      <c r="E196" s="650"/>
      <c r="F196" s="650"/>
      <c r="G196" s="650"/>
      <c r="H196" s="650"/>
      <c r="I196" s="650"/>
      <c r="J196" s="650"/>
      <c r="K196" s="650"/>
      <c r="L196" s="650"/>
      <c r="M196" s="650"/>
      <c r="N196" s="650"/>
      <c r="O196" s="650"/>
      <c r="P196" s="650"/>
      <c r="Q196" s="650"/>
      <c r="R196" s="650"/>
      <c r="S196" s="650"/>
      <c r="T196" s="650"/>
      <c r="U196" s="650"/>
      <c r="V196" s="650"/>
      <c r="W196" s="650"/>
      <c r="X196" s="650"/>
      <c r="Y196" s="650"/>
      <c r="Z196" s="650"/>
      <c r="AA196" s="54"/>
      <c r="AB196" s="54"/>
      <c r="AC196" s="54"/>
    </row>
    <row r="197" spans="1:68" ht="16.5" customHeight="1" x14ac:dyDescent="0.25">
      <c r="A197" s="643" t="s">
        <v>339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5"/>
      <c r="AB197" s="65"/>
      <c r="AC197" s="79"/>
    </row>
    <row r="198" spans="1:68" ht="14.25" customHeight="1" x14ac:dyDescent="0.25">
      <c r="A198" s="644" t="s">
        <v>119</v>
      </c>
      <c r="B198" s="644"/>
      <c r="C198" s="644"/>
      <c r="D198" s="644"/>
      <c r="E198" s="644"/>
      <c r="F198" s="644"/>
      <c r="G198" s="644"/>
      <c r="H198" s="644"/>
      <c r="I198" s="644"/>
      <c r="J198" s="644"/>
      <c r="K198" s="644"/>
      <c r="L198" s="644"/>
      <c r="M198" s="644"/>
      <c r="N198" s="644"/>
      <c r="O198" s="644"/>
      <c r="P198" s="644"/>
      <c r="Q198" s="644"/>
      <c r="R198" s="644"/>
      <c r="S198" s="644"/>
      <c r="T198" s="644"/>
      <c r="U198" s="644"/>
      <c r="V198" s="644"/>
      <c r="W198" s="644"/>
      <c r="X198" s="644"/>
      <c r="Y198" s="644"/>
      <c r="Z198" s="644"/>
      <c r="AA198" s="66"/>
      <c r="AB198" s="66"/>
      <c r="AC198" s="80"/>
    </row>
    <row r="199" spans="1:68" ht="27" customHeight="1" x14ac:dyDescent="0.25">
      <c r="A199" s="63" t="s">
        <v>340</v>
      </c>
      <c r="B199" s="63" t="s">
        <v>341</v>
      </c>
      <c r="C199" s="36">
        <v>4301011223</v>
      </c>
      <c r="D199" s="639">
        <v>4607091383423</v>
      </c>
      <c r="E199" s="63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1"/>
      <c r="R199" s="641"/>
      <c r="S199" s="641"/>
      <c r="T199" s="64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customHeight="1" x14ac:dyDescent="0.25">
      <c r="A200" s="63" t="s">
        <v>342</v>
      </c>
      <c r="B200" s="63" t="s">
        <v>343</v>
      </c>
      <c r="C200" s="36">
        <v>4301012340</v>
      </c>
      <c r="D200" s="639">
        <v>4680115888760</v>
      </c>
      <c r="E200" s="63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1"/>
      <c r="R200" s="641"/>
      <c r="S200" s="641"/>
      <c r="T200" s="64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345</v>
      </c>
      <c r="B201" s="63" t="s">
        <v>346</v>
      </c>
      <c r="C201" s="36">
        <v>4301012341</v>
      </c>
      <c r="D201" s="639">
        <v>4680115888807</v>
      </c>
      <c r="E201" s="63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1"/>
      <c r="R201" s="641"/>
      <c r="S201" s="641"/>
      <c r="T201" s="64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customHeight="1" x14ac:dyDescent="0.25">
      <c r="A202" s="63" t="s">
        <v>348</v>
      </c>
      <c r="B202" s="63" t="s">
        <v>349</v>
      </c>
      <c r="C202" s="36">
        <v>4301012342</v>
      </c>
      <c r="D202" s="639">
        <v>4680115888852</v>
      </c>
      <c r="E202" s="63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1"/>
      <c r="R202" s="641"/>
      <c r="S202" s="641"/>
      <c r="T202" s="64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customHeight="1" x14ac:dyDescent="0.25">
      <c r="A203" s="63" t="s">
        <v>351</v>
      </c>
      <c r="B203" s="63" t="s">
        <v>352</v>
      </c>
      <c r="C203" s="36">
        <v>4301012370</v>
      </c>
      <c r="D203" s="639">
        <v>4680115886957</v>
      </c>
      <c r="E203" s="63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1"/>
      <c r="R203" s="641"/>
      <c r="S203" s="641"/>
      <c r="T203" s="64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354</v>
      </c>
      <c r="B204" s="63" t="s">
        <v>355</v>
      </c>
      <c r="C204" s="36">
        <v>4301012098</v>
      </c>
      <c r="D204" s="639">
        <v>4680115885660</v>
      </c>
      <c r="E204" s="63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1"/>
      <c r="R204" s="641"/>
      <c r="S204" s="641"/>
      <c r="T204" s="64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customHeight="1" x14ac:dyDescent="0.25">
      <c r="A205" s="63" t="s">
        <v>357</v>
      </c>
      <c r="B205" s="63" t="s">
        <v>358</v>
      </c>
      <c r="C205" s="36">
        <v>4301012369</v>
      </c>
      <c r="D205" s="639">
        <v>4680115886773</v>
      </c>
      <c r="E205" s="63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1"/>
      <c r="R205" s="641"/>
      <c r="S205" s="641"/>
      <c r="T205" s="64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x14ac:dyDescent="0.2">
      <c r="A206" s="633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0" t="s">
        <v>40</v>
      </c>
      <c r="Q206" s="631"/>
      <c r="R206" s="631"/>
      <c r="S206" s="631"/>
      <c r="T206" s="631"/>
      <c r="U206" s="631"/>
      <c r="V206" s="632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0" t="s">
        <v>40</v>
      </c>
      <c r="Q207" s="631"/>
      <c r="R207" s="631"/>
      <c r="S207" s="631"/>
      <c r="T207" s="631"/>
      <c r="U207" s="631"/>
      <c r="V207" s="632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customHeight="1" x14ac:dyDescent="0.25">
      <c r="A208" s="643" t="s">
        <v>360</v>
      </c>
      <c r="B208" s="643"/>
      <c r="C208" s="643"/>
      <c r="D208" s="643"/>
      <c r="E208" s="643"/>
      <c r="F208" s="643"/>
      <c r="G208" s="643"/>
      <c r="H208" s="643"/>
      <c r="I208" s="643"/>
      <c r="J208" s="643"/>
      <c r="K208" s="643"/>
      <c r="L208" s="643"/>
      <c r="M208" s="643"/>
      <c r="N208" s="643"/>
      <c r="O208" s="643"/>
      <c r="P208" s="643"/>
      <c r="Q208" s="643"/>
      <c r="R208" s="643"/>
      <c r="S208" s="643"/>
      <c r="T208" s="643"/>
      <c r="U208" s="643"/>
      <c r="V208" s="643"/>
      <c r="W208" s="643"/>
      <c r="X208" s="643"/>
      <c r="Y208" s="643"/>
      <c r="Z208" s="643"/>
      <c r="AA208" s="65"/>
      <c r="AB208" s="65"/>
      <c r="AC208" s="79"/>
    </row>
    <row r="209" spans="1:68" ht="14.25" customHeight="1" x14ac:dyDescent="0.25">
      <c r="A209" s="644" t="s">
        <v>154</v>
      </c>
      <c r="B209" s="644"/>
      <c r="C209" s="644"/>
      <c r="D209" s="644"/>
      <c r="E209" s="644"/>
      <c r="F209" s="644"/>
      <c r="G209" s="644"/>
      <c r="H209" s="644"/>
      <c r="I209" s="644"/>
      <c r="J209" s="644"/>
      <c r="K209" s="644"/>
      <c r="L209" s="644"/>
      <c r="M209" s="644"/>
      <c r="N209" s="644"/>
      <c r="O209" s="644"/>
      <c r="P209" s="644"/>
      <c r="Q209" s="644"/>
      <c r="R209" s="644"/>
      <c r="S209" s="644"/>
      <c r="T209" s="644"/>
      <c r="U209" s="644"/>
      <c r="V209" s="644"/>
      <c r="W209" s="644"/>
      <c r="X209" s="644"/>
      <c r="Y209" s="644"/>
      <c r="Z209" s="644"/>
      <c r="AA209" s="66"/>
      <c r="AB209" s="66"/>
      <c r="AC209" s="80"/>
    </row>
    <row r="210" spans="1:68" ht="27" customHeight="1" x14ac:dyDescent="0.25">
      <c r="A210" s="63" t="s">
        <v>361</v>
      </c>
      <c r="B210" s="63" t="s">
        <v>362</v>
      </c>
      <c r="C210" s="36">
        <v>4301020323</v>
      </c>
      <c r="D210" s="639">
        <v>4680115886223</v>
      </c>
      <c r="E210" s="63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1"/>
      <c r="R210" s="641"/>
      <c r="S210" s="641"/>
      <c r="T210" s="64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x14ac:dyDescent="0.2">
      <c r="A211" s="633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0" t="s">
        <v>40</v>
      </c>
      <c r="Q211" s="631"/>
      <c r="R211" s="631"/>
      <c r="S211" s="631"/>
      <c r="T211" s="631"/>
      <c r="U211" s="631"/>
      <c r="V211" s="632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0" t="s">
        <v>40</v>
      </c>
      <c r="Q212" s="631"/>
      <c r="R212" s="631"/>
      <c r="S212" s="631"/>
      <c r="T212" s="631"/>
      <c r="U212" s="631"/>
      <c r="V212" s="632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customHeight="1" x14ac:dyDescent="0.25">
      <c r="A213" s="644" t="s">
        <v>77</v>
      </c>
      <c r="B213" s="644"/>
      <c r="C213" s="644"/>
      <c r="D213" s="644"/>
      <c r="E213" s="644"/>
      <c r="F213" s="644"/>
      <c r="G213" s="644"/>
      <c r="H213" s="644"/>
      <c r="I213" s="644"/>
      <c r="J213" s="644"/>
      <c r="K213" s="644"/>
      <c r="L213" s="644"/>
      <c r="M213" s="644"/>
      <c r="N213" s="644"/>
      <c r="O213" s="644"/>
      <c r="P213" s="644"/>
      <c r="Q213" s="644"/>
      <c r="R213" s="644"/>
      <c r="S213" s="644"/>
      <c r="T213" s="644"/>
      <c r="U213" s="644"/>
      <c r="V213" s="644"/>
      <c r="W213" s="644"/>
      <c r="X213" s="644"/>
      <c r="Y213" s="644"/>
      <c r="Z213" s="644"/>
      <c r="AA213" s="66"/>
      <c r="AB213" s="66"/>
      <c r="AC213" s="80"/>
    </row>
    <row r="214" spans="1:68" ht="27" customHeight="1" x14ac:dyDescent="0.25">
      <c r="A214" s="63" t="s">
        <v>364</v>
      </c>
      <c r="B214" s="63" t="s">
        <v>365</v>
      </c>
      <c r="C214" s="36">
        <v>4301031191</v>
      </c>
      <c r="D214" s="639">
        <v>4680115880993</v>
      </c>
      <c r="E214" s="63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1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1"/>
      <c r="R214" s="641"/>
      <c r="S214" s="641"/>
      <c r="T214" s="64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customHeight="1" x14ac:dyDescent="0.25">
      <c r="A215" s="63" t="s">
        <v>367</v>
      </c>
      <c r="B215" s="63" t="s">
        <v>368</v>
      </c>
      <c r="C215" s="36">
        <v>4301031204</v>
      </c>
      <c r="D215" s="639">
        <v>4680115881761</v>
      </c>
      <c r="E215" s="63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1"/>
      <c r="R215" s="641"/>
      <c r="S215" s="641"/>
      <c r="T215" s="64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370</v>
      </c>
      <c r="B216" s="63" t="s">
        <v>371</v>
      </c>
      <c r="C216" s="36">
        <v>4301031201</v>
      </c>
      <c r="D216" s="639">
        <v>4680115881563</v>
      </c>
      <c r="E216" s="63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1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41"/>
      <c r="R216" s="641"/>
      <c r="S216" s="641"/>
      <c r="T216" s="64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customHeight="1" x14ac:dyDescent="0.25">
      <c r="A217" s="63" t="s">
        <v>373</v>
      </c>
      <c r="B217" s="63" t="s">
        <v>374</v>
      </c>
      <c r="C217" s="36">
        <v>4301031447</v>
      </c>
      <c r="D217" s="639">
        <v>4680115887565</v>
      </c>
      <c r="E217" s="639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1"/>
      <c r="R217" s="641"/>
      <c r="S217" s="641"/>
      <c r="T217" s="64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4301031199</v>
      </c>
      <c r="D218" s="639">
        <v>4680115880986</v>
      </c>
      <c r="E218" s="63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1"/>
      <c r="R218" s="641"/>
      <c r="S218" s="641"/>
      <c r="T218" s="64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378</v>
      </c>
      <c r="B219" s="63" t="s">
        <v>379</v>
      </c>
      <c r="C219" s="36">
        <v>4301031443</v>
      </c>
      <c r="D219" s="639">
        <v>4680115887213</v>
      </c>
      <c r="E219" s="63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1"/>
      <c r="R219" s="641"/>
      <c r="S219" s="641"/>
      <c r="T219" s="64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4301031205</v>
      </c>
      <c r="D220" s="639">
        <v>4680115881785</v>
      </c>
      <c r="E220" s="63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1"/>
      <c r="R220" s="641"/>
      <c r="S220" s="641"/>
      <c r="T220" s="64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4301031499</v>
      </c>
      <c r="D221" s="639">
        <v>4680115888432</v>
      </c>
      <c r="E221" s="63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1"/>
      <c r="R221" s="641"/>
      <c r="S221" s="641"/>
      <c r="T221" s="64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386</v>
      </c>
      <c r="B222" s="63" t="s">
        <v>387</v>
      </c>
      <c r="C222" s="36">
        <v>4301031503</v>
      </c>
      <c r="D222" s="639">
        <v>4680115886537</v>
      </c>
      <c r="E222" s="63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1"/>
      <c r="R222" s="641"/>
      <c r="S222" s="641"/>
      <c r="T222" s="64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389</v>
      </c>
      <c r="B223" s="63" t="s">
        <v>390</v>
      </c>
      <c r="C223" s="36">
        <v>4301031279</v>
      </c>
      <c r="D223" s="639">
        <v>4680115887596</v>
      </c>
      <c r="E223" s="639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0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1"/>
      <c r="R223" s="641"/>
      <c r="S223" s="641"/>
      <c r="T223" s="64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392</v>
      </c>
      <c r="B224" s="63" t="s">
        <v>393</v>
      </c>
      <c r="C224" s="36">
        <v>4301031530</v>
      </c>
      <c r="D224" s="639">
        <v>4680115881679</v>
      </c>
      <c r="E224" s="63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0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1"/>
      <c r="R224" s="641"/>
      <c r="S224" s="641"/>
      <c r="T224" s="64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394</v>
      </c>
      <c r="B225" s="63" t="s">
        <v>395</v>
      </c>
      <c r="C225" s="36">
        <v>4301031531</v>
      </c>
      <c r="D225" s="639">
        <v>4680115880191</v>
      </c>
      <c r="E225" s="63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0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1"/>
      <c r="R225" s="641"/>
      <c r="S225" s="641"/>
      <c r="T225" s="64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396</v>
      </c>
      <c r="B226" s="63" t="s">
        <v>397</v>
      </c>
      <c r="C226" s="36">
        <v>4301031245</v>
      </c>
      <c r="D226" s="639">
        <v>4680115883963</v>
      </c>
      <c r="E226" s="63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1"/>
      <c r="R226" s="641"/>
      <c r="S226" s="641"/>
      <c r="T226" s="64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0" t="s">
        <v>40</v>
      </c>
      <c r="Q228" s="631"/>
      <c r="R228" s="631"/>
      <c r="S228" s="631"/>
      <c r="T228" s="631"/>
      <c r="U228" s="631"/>
      <c r="V228" s="632"/>
      <c r="W228" s="42" t="s">
        <v>0</v>
      </c>
      <c r="X228" s="43">
        <f>IFERROR(SUM(X214:X226),"0")</f>
        <v>0</v>
      </c>
      <c r="Y228" s="43">
        <f>IFERROR(SUM(Y214:Y226),"0")</f>
        <v>0</v>
      </c>
      <c r="Z228" s="42"/>
      <c r="AA228" s="67"/>
      <c r="AB228" s="67"/>
      <c r="AC228" s="67"/>
    </row>
    <row r="229" spans="1:68" ht="14.25" customHeight="1" x14ac:dyDescent="0.25">
      <c r="A229" s="644" t="s">
        <v>83</v>
      </c>
      <c r="B229" s="644"/>
      <c r="C229" s="644"/>
      <c r="D229" s="644"/>
      <c r="E229" s="644"/>
      <c r="F229" s="644"/>
      <c r="G229" s="644"/>
      <c r="H229" s="644"/>
      <c r="I229" s="644"/>
      <c r="J229" s="644"/>
      <c r="K229" s="644"/>
      <c r="L229" s="644"/>
      <c r="M229" s="644"/>
      <c r="N229" s="644"/>
      <c r="O229" s="644"/>
      <c r="P229" s="644"/>
      <c r="Q229" s="644"/>
      <c r="R229" s="644"/>
      <c r="S229" s="644"/>
      <c r="T229" s="644"/>
      <c r="U229" s="644"/>
      <c r="V229" s="644"/>
      <c r="W229" s="644"/>
      <c r="X229" s="644"/>
      <c r="Y229" s="644"/>
      <c r="Z229" s="644"/>
      <c r="AA229" s="66"/>
      <c r="AB229" s="66"/>
      <c r="AC229" s="80"/>
    </row>
    <row r="230" spans="1:68" ht="16.5" customHeight="1" x14ac:dyDescent="0.25">
      <c r="A230" s="63" t="s">
        <v>399</v>
      </c>
      <c r="B230" s="63" t="s">
        <v>400</v>
      </c>
      <c r="C230" s="36">
        <v>4301052279</v>
      </c>
      <c r="D230" s="639">
        <v>4680115888692</v>
      </c>
      <c r="E230" s="63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0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1"/>
      <c r="R230" s="641"/>
      <c r="S230" s="641"/>
      <c r="T230" s="64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customHeight="1" x14ac:dyDescent="0.25">
      <c r="A231" s="63" t="s">
        <v>402</v>
      </c>
      <c r="B231" s="63" t="s">
        <v>403</v>
      </c>
      <c r="C231" s="36">
        <v>4301052280</v>
      </c>
      <c r="D231" s="639">
        <v>4680115888722</v>
      </c>
      <c r="E231" s="63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01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1"/>
      <c r="R231" s="641"/>
      <c r="S231" s="641"/>
      <c r="T231" s="64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405</v>
      </c>
      <c r="B232" s="63" t="s">
        <v>406</v>
      </c>
      <c r="C232" s="36">
        <v>4301052276</v>
      </c>
      <c r="D232" s="639">
        <v>4680115888951</v>
      </c>
      <c r="E232" s="63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0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1"/>
      <c r="R232" s="641"/>
      <c r="S232" s="641"/>
      <c r="T232" s="64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407</v>
      </c>
      <c r="B233" s="63" t="s">
        <v>408</v>
      </c>
      <c r="C233" s="36">
        <v>4301052278</v>
      </c>
      <c r="D233" s="639">
        <v>4680115888975</v>
      </c>
      <c r="E233" s="63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03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1"/>
      <c r="R233" s="641"/>
      <c r="S233" s="641"/>
      <c r="T233" s="64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410</v>
      </c>
      <c r="B234" s="63" t="s">
        <v>411</v>
      </c>
      <c r="C234" s="36">
        <v>4301052277</v>
      </c>
      <c r="D234" s="639">
        <v>4680115888982</v>
      </c>
      <c r="E234" s="63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79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1"/>
      <c r="R234" s="641"/>
      <c r="S234" s="641"/>
      <c r="T234" s="64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33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0" t="s">
        <v>40</v>
      </c>
      <c r="Q235" s="631"/>
      <c r="R235" s="631"/>
      <c r="S235" s="631"/>
      <c r="T235" s="631"/>
      <c r="U235" s="631"/>
      <c r="V235" s="632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0" t="s">
        <v>40</v>
      </c>
      <c r="Q236" s="631"/>
      <c r="R236" s="631"/>
      <c r="S236" s="631"/>
      <c r="T236" s="631"/>
      <c r="U236" s="631"/>
      <c r="V236" s="632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44" t="s">
        <v>274</v>
      </c>
      <c r="B237" s="644"/>
      <c r="C237" s="644"/>
      <c r="D237" s="644"/>
      <c r="E237" s="644"/>
      <c r="F237" s="644"/>
      <c r="G237" s="644"/>
      <c r="H237" s="644"/>
      <c r="I237" s="644"/>
      <c r="J237" s="644"/>
      <c r="K237" s="644"/>
      <c r="L237" s="644"/>
      <c r="M237" s="644"/>
      <c r="N237" s="644"/>
      <c r="O237" s="644"/>
      <c r="P237" s="644"/>
      <c r="Q237" s="644"/>
      <c r="R237" s="644"/>
      <c r="S237" s="644"/>
      <c r="T237" s="644"/>
      <c r="U237" s="644"/>
      <c r="V237" s="644"/>
      <c r="W237" s="644"/>
      <c r="X237" s="644"/>
      <c r="Y237" s="644"/>
      <c r="Z237" s="644"/>
      <c r="AA237" s="66"/>
      <c r="AB237" s="66"/>
      <c r="AC237" s="80"/>
    </row>
    <row r="238" spans="1:68" ht="27" customHeight="1" x14ac:dyDescent="0.25">
      <c r="A238" s="63" t="s">
        <v>412</v>
      </c>
      <c r="B238" s="63" t="s">
        <v>413</v>
      </c>
      <c r="C238" s="36">
        <v>4301032053</v>
      </c>
      <c r="D238" s="639">
        <v>4680115886780</v>
      </c>
      <c r="E238" s="63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1"/>
      <c r="R238" s="641"/>
      <c r="S238" s="641"/>
      <c r="T238" s="64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415</v>
      </c>
      <c r="B239" s="63" t="s">
        <v>416</v>
      </c>
      <c r="C239" s="36">
        <v>4301032051</v>
      </c>
      <c r="D239" s="639">
        <v>4680115886742</v>
      </c>
      <c r="E239" s="63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1"/>
      <c r="R239" s="641"/>
      <c r="S239" s="641"/>
      <c r="T239" s="64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418</v>
      </c>
      <c r="B240" s="63" t="s">
        <v>419</v>
      </c>
      <c r="C240" s="36">
        <v>4301032052</v>
      </c>
      <c r="D240" s="639">
        <v>4680115886766</v>
      </c>
      <c r="E240" s="63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1"/>
      <c r="R240" s="641"/>
      <c r="S240" s="641"/>
      <c r="T240" s="64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33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0" t="s">
        <v>40</v>
      </c>
      <c r="Q241" s="631"/>
      <c r="R241" s="631"/>
      <c r="S241" s="631"/>
      <c r="T241" s="631"/>
      <c r="U241" s="631"/>
      <c r="V241" s="632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44" t="s">
        <v>420</v>
      </c>
      <c r="B243" s="644"/>
      <c r="C243" s="644"/>
      <c r="D243" s="644"/>
      <c r="E243" s="644"/>
      <c r="F243" s="644"/>
      <c r="G243" s="644"/>
      <c r="H243" s="644"/>
      <c r="I243" s="644"/>
      <c r="J243" s="644"/>
      <c r="K243" s="644"/>
      <c r="L243" s="644"/>
      <c r="M243" s="644"/>
      <c r="N243" s="644"/>
      <c r="O243" s="644"/>
      <c r="P243" s="644"/>
      <c r="Q243" s="644"/>
      <c r="R243" s="644"/>
      <c r="S243" s="644"/>
      <c r="T243" s="644"/>
      <c r="U243" s="644"/>
      <c r="V243" s="644"/>
      <c r="W243" s="644"/>
      <c r="X243" s="644"/>
      <c r="Y243" s="644"/>
      <c r="Z243" s="644"/>
      <c r="AA243" s="66"/>
      <c r="AB243" s="66"/>
      <c r="AC243" s="80"/>
    </row>
    <row r="244" spans="1:68" ht="27" customHeight="1" x14ac:dyDescent="0.25">
      <c r="A244" s="63" t="s">
        <v>421</v>
      </c>
      <c r="B244" s="63" t="s">
        <v>422</v>
      </c>
      <c r="C244" s="36">
        <v>4301170013</v>
      </c>
      <c r="D244" s="639">
        <v>4680115886797</v>
      </c>
      <c r="E244" s="63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1"/>
      <c r="R244" s="641"/>
      <c r="S244" s="641"/>
      <c r="T244" s="64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3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0" t="s">
        <v>40</v>
      </c>
      <c r="Q245" s="631"/>
      <c r="R245" s="631"/>
      <c r="S245" s="631"/>
      <c r="T245" s="631"/>
      <c r="U245" s="631"/>
      <c r="V245" s="632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43" t="s">
        <v>423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5"/>
      <c r="AB247" s="65"/>
      <c r="AC247" s="79"/>
    </row>
    <row r="248" spans="1:68" ht="14.25" customHeight="1" x14ac:dyDescent="0.25">
      <c r="A248" s="644" t="s">
        <v>119</v>
      </c>
      <c r="B248" s="644"/>
      <c r="C248" s="644"/>
      <c r="D248" s="644"/>
      <c r="E248" s="644"/>
      <c r="F248" s="644"/>
      <c r="G248" s="644"/>
      <c r="H248" s="644"/>
      <c r="I248" s="644"/>
      <c r="J248" s="644"/>
      <c r="K248" s="644"/>
      <c r="L248" s="644"/>
      <c r="M248" s="644"/>
      <c r="N248" s="644"/>
      <c r="O248" s="644"/>
      <c r="P248" s="644"/>
      <c r="Q248" s="644"/>
      <c r="R248" s="644"/>
      <c r="S248" s="644"/>
      <c r="T248" s="644"/>
      <c r="U248" s="644"/>
      <c r="V248" s="644"/>
      <c r="W248" s="644"/>
      <c r="X248" s="644"/>
      <c r="Y248" s="644"/>
      <c r="Z248" s="644"/>
      <c r="AA248" s="66"/>
      <c r="AB248" s="66"/>
      <c r="AC248" s="80"/>
    </row>
    <row r="249" spans="1:68" ht="27" customHeight="1" x14ac:dyDescent="0.25">
      <c r="A249" s="63" t="s">
        <v>424</v>
      </c>
      <c r="B249" s="63" t="s">
        <v>425</v>
      </c>
      <c r="C249" s="36">
        <v>4301011450</v>
      </c>
      <c r="D249" s="639">
        <v>4680115881402</v>
      </c>
      <c r="E249" s="63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1"/>
      <c r="R249" s="641"/>
      <c r="S249" s="641"/>
      <c r="T249" s="64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427</v>
      </c>
      <c r="B250" s="63" t="s">
        <v>428</v>
      </c>
      <c r="C250" s="36">
        <v>4301011768</v>
      </c>
      <c r="D250" s="639">
        <v>4680115881396</v>
      </c>
      <c r="E250" s="63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1"/>
      <c r="R250" s="641"/>
      <c r="S250" s="641"/>
      <c r="T250" s="64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0" t="s">
        <v>40</v>
      </c>
      <c r="Q252" s="631"/>
      <c r="R252" s="631"/>
      <c r="S252" s="631"/>
      <c r="T252" s="631"/>
      <c r="U252" s="631"/>
      <c r="V252" s="632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44" t="s">
        <v>154</v>
      </c>
      <c r="B253" s="644"/>
      <c r="C253" s="644"/>
      <c r="D253" s="644"/>
      <c r="E253" s="644"/>
      <c r="F253" s="644"/>
      <c r="G253" s="644"/>
      <c r="H253" s="644"/>
      <c r="I253" s="644"/>
      <c r="J253" s="644"/>
      <c r="K253" s="644"/>
      <c r="L253" s="644"/>
      <c r="M253" s="644"/>
      <c r="N253" s="644"/>
      <c r="O253" s="644"/>
      <c r="P253" s="644"/>
      <c r="Q253" s="644"/>
      <c r="R253" s="644"/>
      <c r="S253" s="644"/>
      <c r="T253" s="644"/>
      <c r="U253" s="644"/>
      <c r="V253" s="644"/>
      <c r="W253" s="644"/>
      <c r="X253" s="644"/>
      <c r="Y253" s="644"/>
      <c r="Z253" s="644"/>
      <c r="AA253" s="66"/>
      <c r="AB253" s="66"/>
      <c r="AC253" s="80"/>
    </row>
    <row r="254" spans="1:68" ht="16.5" customHeight="1" x14ac:dyDescent="0.25">
      <c r="A254" s="63" t="s">
        <v>429</v>
      </c>
      <c r="B254" s="63" t="s">
        <v>430</v>
      </c>
      <c r="C254" s="36">
        <v>4301020261</v>
      </c>
      <c r="D254" s="639">
        <v>4680115882935</v>
      </c>
      <c r="E254" s="63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41"/>
      <c r="R254" s="641"/>
      <c r="S254" s="641"/>
      <c r="T254" s="64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432</v>
      </c>
      <c r="B255" s="63" t="s">
        <v>433</v>
      </c>
      <c r="C255" s="36">
        <v>4301020220</v>
      </c>
      <c r="D255" s="639">
        <v>4680115880764</v>
      </c>
      <c r="E255" s="639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41"/>
      <c r="R255" s="641"/>
      <c r="S255" s="641"/>
      <c r="T255" s="64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33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0" t="s">
        <v>40</v>
      </c>
      <c r="Q256" s="631"/>
      <c r="R256" s="631"/>
      <c r="S256" s="631"/>
      <c r="T256" s="631"/>
      <c r="U256" s="631"/>
      <c r="V256" s="632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0" t="s">
        <v>40</v>
      </c>
      <c r="Q257" s="631"/>
      <c r="R257" s="631"/>
      <c r="S257" s="631"/>
      <c r="T257" s="631"/>
      <c r="U257" s="631"/>
      <c r="V257" s="632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44" t="s">
        <v>77</v>
      </c>
      <c r="B258" s="644"/>
      <c r="C258" s="644"/>
      <c r="D258" s="644"/>
      <c r="E258" s="644"/>
      <c r="F258" s="644"/>
      <c r="G258" s="644"/>
      <c r="H258" s="644"/>
      <c r="I258" s="644"/>
      <c r="J258" s="644"/>
      <c r="K258" s="644"/>
      <c r="L258" s="644"/>
      <c r="M258" s="644"/>
      <c r="N258" s="644"/>
      <c r="O258" s="644"/>
      <c r="P258" s="644"/>
      <c r="Q258" s="644"/>
      <c r="R258" s="644"/>
      <c r="S258" s="644"/>
      <c r="T258" s="644"/>
      <c r="U258" s="644"/>
      <c r="V258" s="644"/>
      <c r="W258" s="644"/>
      <c r="X258" s="644"/>
      <c r="Y258" s="644"/>
      <c r="Z258" s="644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39">
        <v>4680115882683</v>
      </c>
      <c r="E259" s="639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41"/>
      <c r="R259" s="641"/>
      <c r="S259" s="641"/>
      <c r="T259" s="642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1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0</v>
      </c>
      <c r="BN259" s="78">
        <f t="shared" ref="BN259:BN266" si="33">IFERROR(Y259*I259/H259,"0")</f>
        <v>0</v>
      </c>
      <c r="BO259" s="78">
        <f t="shared" ref="BO259:BO266" si="34">IFERROR(1/J259*(X259/H259),"0")</f>
        <v>0</v>
      </c>
      <c r="BP259" s="78">
        <f t="shared" ref="BP259:BP266" si="35">IFERROR(1/J259*(Y259/H259),"0")</f>
        <v>0</v>
      </c>
    </row>
    <row r="260" spans="1:68" ht="27" customHeight="1" x14ac:dyDescent="0.25">
      <c r="A260" s="63" t="s">
        <v>437</v>
      </c>
      <c r="B260" s="63" t="s">
        <v>438</v>
      </c>
      <c r="C260" s="36">
        <v>4301031230</v>
      </c>
      <c r="D260" s="639">
        <v>4680115882690</v>
      </c>
      <c r="E260" s="63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41"/>
      <c r="R260" s="641"/>
      <c r="S260" s="641"/>
      <c r="T260" s="64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1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0</v>
      </c>
      <c r="BN260" s="78">
        <f t="shared" si="33"/>
        <v>0</v>
      </c>
      <c r="BO260" s="78">
        <f t="shared" si="34"/>
        <v>0</v>
      </c>
      <c r="BP260" s="78">
        <f t="shared" si="35"/>
        <v>0</v>
      </c>
    </row>
    <row r="261" spans="1:68" ht="27" customHeight="1" x14ac:dyDescent="0.25">
      <c r="A261" s="63" t="s">
        <v>440</v>
      </c>
      <c r="B261" s="63" t="s">
        <v>441</v>
      </c>
      <c r="C261" s="36">
        <v>4301031220</v>
      </c>
      <c r="D261" s="639">
        <v>4680115882669</v>
      </c>
      <c r="E261" s="63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41"/>
      <c r="R261" s="641"/>
      <c r="S261" s="641"/>
      <c r="T261" s="64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customHeight="1" x14ac:dyDescent="0.25">
      <c r="A262" s="63" t="s">
        <v>443</v>
      </c>
      <c r="B262" s="63" t="s">
        <v>444</v>
      </c>
      <c r="C262" s="36">
        <v>4301031221</v>
      </c>
      <c r="D262" s="639">
        <v>4680115882676</v>
      </c>
      <c r="E262" s="63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41"/>
      <c r="R262" s="641"/>
      <c r="S262" s="641"/>
      <c r="T262" s="64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customHeight="1" x14ac:dyDescent="0.25">
      <c r="A263" s="63" t="s">
        <v>446</v>
      </c>
      <c r="B263" s="63" t="s">
        <v>447</v>
      </c>
      <c r="C263" s="36">
        <v>4301031223</v>
      </c>
      <c r="D263" s="639">
        <v>4680115884014</v>
      </c>
      <c r="E263" s="639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41"/>
      <c r="R263" s="641"/>
      <c r="S263" s="641"/>
      <c r="T263" s="642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customHeight="1" x14ac:dyDescent="0.25">
      <c r="A264" s="63" t="s">
        <v>448</v>
      </c>
      <c r="B264" s="63" t="s">
        <v>449</v>
      </c>
      <c r="C264" s="36">
        <v>4301031222</v>
      </c>
      <c r="D264" s="639">
        <v>4680115884007</v>
      </c>
      <c r="E264" s="639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41"/>
      <c r="R264" s="641"/>
      <c r="S264" s="641"/>
      <c r="T264" s="64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customHeight="1" x14ac:dyDescent="0.25">
      <c r="A265" s="63" t="s">
        <v>450</v>
      </c>
      <c r="B265" s="63" t="s">
        <v>451</v>
      </c>
      <c r="C265" s="36">
        <v>4301031229</v>
      </c>
      <c r="D265" s="639">
        <v>4680115884038</v>
      </c>
      <c r="E265" s="63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41"/>
      <c r="R265" s="641"/>
      <c r="S265" s="641"/>
      <c r="T265" s="64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customHeight="1" x14ac:dyDescent="0.25">
      <c r="A266" s="63" t="s">
        <v>452</v>
      </c>
      <c r="B266" s="63" t="s">
        <v>453</v>
      </c>
      <c r="C266" s="36">
        <v>4301031225</v>
      </c>
      <c r="D266" s="639">
        <v>4680115884021</v>
      </c>
      <c r="E266" s="63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41"/>
      <c r="R266" s="641"/>
      <c r="S266" s="641"/>
      <c r="T266" s="64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44" t="s">
        <v>83</v>
      </c>
      <c r="B269" s="644"/>
      <c r="C269" s="644"/>
      <c r="D269" s="644"/>
      <c r="E269" s="644"/>
      <c r="F269" s="644"/>
      <c r="G269" s="644"/>
      <c r="H269" s="644"/>
      <c r="I269" s="644"/>
      <c r="J269" s="644"/>
      <c r="K269" s="644"/>
      <c r="L269" s="644"/>
      <c r="M269" s="644"/>
      <c r="N269" s="644"/>
      <c r="O269" s="644"/>
      <c r="P269" s="644"/>
      <c r="Q269" s="644"/>
      <c r="R269" s="644"/>
      <c r="S269" s="644"/>
      <c r="T269" s="644"/>
      <c r="U269" s="644"/>
      <c r="V269" s="644"/>
      <c r="W269" s="644"/>
      <c r="X269" s="644"/>
      <c r="Y269" s="644"/>
      <c r="Z269" s="644"/>
      <c r="AA269" s="66"/>
      <c r="AB269" s="66"/>
      <c r="AC269" s="80"/>
    </row>
    <row r="270" spans="1:68" ht="27" customHeight="1" x14ac:dyDescent="0.25">
      <c r="A270" s="63" t="s">
        <v>454</v>
      </c>
      <c r="B270" s="63" t="s">
        <v>455</v>
      </c>
      <c r="C270" s="36">
        <v>4301051408</v>
      </c>
      <c r="D270" s="639">
        <v>4680115881594</v>
      </c>
      <c r="E270" s="639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41"/>
      <c r="R270" s="641"/>
      <c r="S270" s="641"/>
      <c r="T270" s="64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6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0</v>
      </c>
      <c r="BN270" s="78">
        <f t="shared" ref="BN270:BN281" si="38">IFERROR(Y270*I270/H270,"0")</f>
        <v>0</v>
      </c>
      <c r="BO270" s="78">
        <f t="shared" ref="BO270:BO281" si="39">IFERROR(1/J270*(X270/H270),"0")</f>
        <v>0</v>
      </c>
      <c r="BP270" s="78">
        <f t="shared" ref="BP270:BP281" si="40">IFERROR(1/J270*(Y270/H270),"0")</f>
        <v>0</v>
      </c>
    </row>
    <row r="271" spans="1:68" ht="27" customHeight="1" x14ac:dyDescent="0.25">
      <c r="A271" s="63" t="s">
        <v>457</v>
      </c>
      <c r="B271" s="63" t="s">
        <v>458</v>
      </c>
      <c r="C271" s="36">
        <v>4301051411</v>
      </c>
      <c r="D271" s="639">
        <v>4680115881617</v>
      </c>
      <c r="E271" s="639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41"/>
      <c r="R271" s="641"/>
      <c r="S271" s="641"/>
      <c r="T271" s="64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6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0</v>
      </c>
      <c r="BN271" s="78">
        <f t="shared" si="38"/>
        <v>0</v>
      </c>
      <c r="BO271" s="78">
        <f t="shared" si="39"/>
        <v>0</v>
      </c>
      <c r="BP271" s="78">
        <f t="shared" si="40"/>
        <v>0</v>
      </c>
    </row>
    <row r="272" spans="1:68" ht="27" customHeight="1" x14ac:dyDescent="0.25">
      <c r="A272" s="63" t="s">
        <v>460</v>
      </c>
      <c r="B272" s="63" t="s">
        <v>461</v>
      </c>
      <c r="C272" s="36">
        <v>4301051656</v>
      </c>
      <c r="D272" s="639">
        <v>4680115880573</v>
      </c>
      <c r="E272" s="639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41"/>
      <c r="R272" s="641"/>
      <c r="S272" s="641"/>
      <c r="T272" s="64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customHeight="1" x14ac:dyDescent="0.25">
      <c r="A273" s="63" t="s">
        <v>463</v>
      </c>
      <c r="B273" s="63" t="s">
        <v>464</v>
      </c>
      <c r="C273" s="36">
        <v>4301051407</v>
      </c>
      <c r="D273" s="639">
        <v>4680115882195</v>
      </c>
      <c r="E273" s="639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41"/>
      <c r="R273" s="641"/>
      <c r="S273" s="641"/>
      <c r="T273" s="64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customHeight="1" x14ac:dyDescent="0.25">
      <c r="A274" s="63" t="s">
        <v>465</v>
      </c>
      <c r="B274" s="63" t="s">
        <v>466</v>
      </c>
      <c r="C274" s="36">
        <v>4301051752</v>
      </c>
      <c r="D274" s="639">
        <v>4680115882607</v>
      </c>
      <c r="E274" s="639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41"/>
      <c r="R274" s="641"/>
      <c r="S274" s="641"/>
      <c r="T274" s="64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customHeight="1" x14ac:dyDescent="0.25">
      <c r="A275" s="63" t="s">
        <v>467</v>
      </c>
      <c r="B275" s="63" t="s">
        <v>468</v>
      </c>
      <c r="C275" s="36">
        <v>4301052143</v>
      </c>
      <c r="D275" s="639">
        <v>4680115882607</v>
      </c>
      <c r="E275" s="639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41"/>
      <c r="R275" s="641"/>
      <c r="S275" s="641"/>
      <c r="T275" s="64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39">
        <v>4680115880092</v>
      </c>
      <c r="E276" s="639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41"/>
      <c r="R276" s="641"/>
      <c r="S276" s="641"/>
      <c r="T276" s="64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472</v>
      </c>
      <c r="B277" s="63" t="s">
        <v>473</v>
      </c>
      <c r="C277" s="36">
        <v>4301052214</v>
      </c>
      <c r="D277" s="639">
        <v>4680115889064</v>
      </c>
      <c r="E277" s="639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41"/>
      <c r="R277" s="641"/>
      <c r="S277" s="641"/>
      <c r="T277" s="64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474</v>
      </c>
      <c r="B278" s="63" t="s">
        <v>475</v>
      </c>
      <c r="C278" s="36">
        <v>4301051668</v>
      </c>
      <c r="D278" s="639">
        <v>4680115880221</v>
      </c>
      <c r="E278" s="639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41"/>
      <c r="R278" s="641"/>
      <c r="S278" s="641"/>
      <c r="T278" s="64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4301051945</v>
      </c>
      <c r="D279" s="639">
        <v>4680115880504</v>
      </c>
      <c r="E279" s="63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41"/>
      <c r="R279" s="641"/>
      <c r="S279" s="641"/>
      <c r="T279" s="64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4301051410</v>
      </c>
      <c r="D280" s="639">
        <v>4680115882164</v>
      </c>
      <c r="E280" s="639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41"/>
      <c r="R280" s="641"/>
      <c r="S280" s="641"/>
      <c r="T280" s="64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4301052180</v>
      </c>
      <c r="D281" s="639">
        <v>4680115888340</v>
      </c>
      <c r="E281" s="63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41"/>
      <c r="R281" s="641"/>
      <c r="S281" s="641"/>
      <c r="T281" s="64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44" t="s">
        <v>172</v>
      </c>
      <c r="B284" s="644"/>
      <c r="C284" s="644"/>
      <c r="D284" s="644"/>
      <c r="E284" s="644"/>
      <c r="F284" s="644"/>
      <c r="G284" s="644"/>
      <c r="H284" s="644"/>
      <c r="I284" s="644"/>
      <c r="J284" s="644"/>
      <c r="K284" s="644"/>
      <c r="L284" s="644"/>
      <c r="M284" s="644"/>
      <c r="N284" s="644"/>
      <c r="O284" s="644"/>
      <c r="P284" s="644"/>
      <c r="Q284" s="644"/>
      <c r="R284" s="644"/>
      <c r="S284" s="644"/>
      <c r="T284" s="644"/>
      <c r="U284" s="644"/>
      <c r="V284" s="644"/>
      <c r="W284" s="644"/>
      <c r="X284" s="644"/>
      <c r="Y284" s="644"/>
      <c r="Z284" s="644"/>
      <c r="AA284" s="66"/>
      <c r="AB284" s="66"/>
      <c r="AC284" s="80"/>
    </row>
    <row r="285" spans="1:68" ht="27" customHeight="1" x14ac:dyDescent="0.25">
      <c r="A285" s="63" t="s">
        <v>485</v>
      </c>
      <c r="B285" s="63" t="s">
        <v>486</v>
      </c>
      <c r="C285" s="36">
        <v>4301060463</v>
      </c>
      <c r="D285" s="639">
        <v>4680115880818</v>
      </c>
      <c r="E285" s="63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41"/>
      <c r="R285" s="641"/>
      <c r="S285" s="641"/>
      <c r="T285" s="642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488</v>
      </c>
      <c r="B286" s="63" t="s">
        <v>489</v>
      </c>
      <c r="C286" s="36">
        <v>4301060389</v>
      </c>
      <c r="D286" s="639">
        <v>4680115880801</v>
      </c>
      <c r="E286" s="63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41"/>
      <c r="R286" s="641"/>
      <c r="S286" s="641"/>
      <c r="T286" s="64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3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0" t="s">
        <v>40</v>
      </c>
      <c r="Q287" s="631"/>
      <c r="R287" s="631"/>
      <c r="S287" s="631"/>
      <c r="T287" s="631"/>
      <c r="U287" s="631"/>
      <c r="V287" s="632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43" t="s">
        <v>491</v>
      </c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3"/>
      <c r="P289" s="643"/>
      <c r="Q289" s="643"/>
      <c r="R289" s="643"/>
      <c r="S289" s="643"/>
      <c r="T289" s="643"/>
      <c r="U289" s="643"/>
      <c r="V289" s="643"/>
      <c r="W289" s="643"/>
      <c r="X289" s="643"/>
      <c r="Y289" s="643"/>
      <c r="Z289" s="643"/>
      <c r="AA289" s="65"/>
      <c r="AB289" s="65"/>
      <c r="AC289" s="79"/>
    </row>
    <row r="290" spans="1:68" ht="14.25" customHeight="1" x14ac:dyDescent="0.25">
      <c r="A290" s="644" t="s">
        <v>119</v>
      </c>
      <c r="B290" s="644"/>
      <c r="C290" s="644"/>
      <c r="D290" s="644"/>
      <c r="E290" s="644"/>
      <c r="F290" s="644"/>
      <c r="G290" s="644"/>
      <c r="H290" s="644"/>
      <c r="I290" s="644"/>
      <c r="J290" s="644"/>
      <c r="K290" s="644"/>
      <c r="L290" s="644"/>
      <c r="M290" s="644"/>
      <c r="N290" s="644"/>
      <c r="O290" s="644"/>
      <c r="P290" s="644"/>
      <c r="Q290" s="644"/>
      <c r="R290" s="644"/>
      <c r="S290" s="644"/>
      <c r="T290" s="644"/>
      <c r="U290" s="644"/>
      <c r="V290" s="644"/>
      <c r="W290" s="644"/>
      <c r="X290" s="644"/>
      <c r="Y290" s="644"/>
      <c r="Z290" s="644"/>
      <c r="AA290" s="66"/>
      <c r="AB290" s="66"/>
      <c r="AC290" s="80"/>
    </row>
    <row r="291" spans="1:68" ht="27" customHeight="1" x14ac:dyDescent="0.25">
      <c r="A291" s="63" t="s">
        <v>492</v>
      </c>
      <c r="B291" s="63" t="s">
        <v>493</v>
      </c>
      <c r="C291" s="36">
        <v>4301011826</v>
      </c>
      <c r="D291" s="639">
        <v>4680115884137</v>
      </c>
      <c r="E291" s="639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41"/>
      <c r="R291" s="641"/>
      <c r="S291" s="641"/>
      <c r="T291" s="64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customHeight="1" x14ac:dyDescent="0.25">
      <c r="A292" s="63" t="s">
        <v>495</v>
      </c>
      <c r="B292" s="63" t="s">
        <v>496</v>
      </c>
      <c r="C292" s="36">
        <v>4301011724</v>
      </c>
      <c r="D292" s="639">
        <v>4680115884236</v>
      </c>
      <c r="E292" s="63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41"/>
      <c r="R292" s="641"/>
      <c r="S292" s="641"/>
      <c r="T292" s="64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4301011721</v>
      </c>
      <c r="D293" s="639">
        <v>4680115884175</v>
      </c>
      <c r="E293" s="63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41"/>
      <c r="R293" s="641"/>
      <c r="S293" s="641"/>
      <c r="T293" s="64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customHeight="1" x14ac:dyDescent="0.25">
      <c r="A294" s="63" t="s">
        <v>500</v>
      </c>
      <c r="B294" s="63" t="s">
        <v>501</v>
      </c>
      <c r="C294" s="36">
        <v>4301011824</v>
      </c>
      <c r="D294" s="639">
        <v>4680115884144</v>
      </c>
      <c r="E294" s="639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41"/>
      <c r="R294" s="641"/>
      <c r="S294" s="641"/>
      <c r="T294" s="64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customHeight="1" x14ac:dyDescent="0.25">
      <c r="A295" s="63" t="s">
        <v>502</v>
      </c>
      <c r="B295" s="63" t="s">
        <v>503</v>
      </c>
      <c r="C295" s="36">
        <v>4301012149</v>
      </c>
      <c r="D295" s="639">
        <v>4680115886551</v>
      </c>
      <c r="E295" s="63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41"/>
      <c r="R295" s="641"/>
      <c r="S295" s="641"/>
      <c r="T295" s="64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customHeight="1" x14ac:dyDescent="0.25">
      <c r="A296" s="63" t="s">
        <v>505</v>
      </c>
      <c r="B296" s="63" t="s">
        <v>506</v>
      </c>
      <c r="C296" s="36">
        <v>4301012228</v>
      </c>
      <c r="D296" s="639">
        <v>4680115887282</v>
      </c>
      <c r="E296" s="639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41"/>
      <c r="R296" s="641"/>
      <c r="S296" s="641"/>
      <c r="T296" s="64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508</v>
      </c>
      <c r="B297" s="63" t="s">
        <v>509</v>
      </c>
      <c r="C297" s="36">
        <v>4301011722</v>
      </c>
      <c r="D297" s="639">
        <v>4680115884205</v>
      </c>
      <c r="E297" s="639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41"/>
      <c r="R297" s="641"/>
      <c r="S297" s="641"/>
      <c r="T297" s="64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x14ac:dyDescent="0.2">
      <c r="A298" s="633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0" t="s">
        <v>40</v>
      </c>
      <c r="Q298" s="631"/>
      <c r="R298" s="631"/>
      <c r="S298" s="631"/>
      <c r="T298" s="631"/>
      <c r="U298" s="631"/>
      <c r="V298" s="632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0" t="s">
        <v>40</v>
      </c>
      <c r="Q299" s="631"/>
      <c r="R299" s="631"/>
      <c r="S299" s="631"/>
      <c r="T299" s="631"/>
      <c r="U299" s="631"/>
      <c r="V299" s="632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44" t="s">
        <v>154</v>
      </c>
      <c r="B300" s="644"/>
      <c r="C300" s="644"/>
      <c r="D300" s="644"/>
      <c r="E300" s="644"/>
      <c r="F300" s="644"/>
      <c r="G300" s="644"/>
      <c r="H300" s="644"/>
      <c r="I300" s="644"/>
      <c r="J300" s="644"/>
      <c r="K300" s="644"/>
      <c r="L300" s="644"/>
      <c r="M300" s="644"/>
      <c r="N300" s="644"/>
      <c r="O300" s="644"/>
      <c r="P300" s="644"/>
      <c r="Q300" s="644"/>
      <c r="R300" s="644"/>
      <c r="S300" s="644"/>
      <c r="T300" s="644"/>
      <c r="U300" s="644"/>
      <c r="V300" s="644"/>
      <c r="W300" s="644"/>
      <c r="X300" s="644"/>
      <c r="Y300" s="644"/>
      <c r="Z300" s="644"/>
      <c r="AA300" s="66"/>
      <c r="AB300" s="66"/>
      <c r="AC300" s="80"/>
    </row>
    <row r="301" spans="1:68" ht="27" customHeight="1" x14ac:dyDescent="0.25">
      <c r="A301" s="63" t="s">
        <v>510</v>
      </c>
      <c r="B301" s="63" t="s">
        <v>511</v>
      </c>
      <c r="C301" s="36">
        <v>4301020377</v>
      </c>
      <c r="D301" s="639">
        <v>4680115885981</v>
      </c>
      <c r="E301" s="639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41"/>
      <c r="R301" s="641"/>
      <c r="S301" s="641"/>
      <c r="T301" s="642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44" t="s">
        <v>513</v>
      </c>
      <c r="B304" s="644"/>
      <c r="C304" s="644"/>
      <c r="D304" s="644"/>
      <c r="E304" s="644"/>
      <c r="F304" s="644"/>
      <c r="G304" s="644"/>
      <c r="H304" s="644"/>
      <c r="I304" s="644"/>
      <c r="J304" s="644"/>
      <c r="K304" s="644"/>
      <c r="L304" s="644"/>
      <c r="M304" s="644"/>
      <c r="N304" s="644"/>
      <c r="O304" s="644"/>
      <c r="P304" s="644"/>
      <c r="Q304" s="644"/>
      <c r="R304" s="644"/>
      <c r="S304" s="644"/>
      <c r="T304" s="644"/>
      <c r="U304" s="644"/>
      <c r="V304" s="644"/>
      <c r="W304" s="644"/>
      <c r="X304" s="644"/>
      <c r="Y304" s="644"/>
      <c r="Z304" s="644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4301040362</v>
      </c>
      <c r="D305" s="639">
        <v>4680115886803</v>
      </c>
      <c r="E305" s="639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41"/>
      <c r="R305" s="641"/>
      <c r="S305" s="641"/>
      <c r="T305" s="642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33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0" t="s">
        <v>40</v>
      </c>
      <c r="Q306" s="631"/>
      <c r="R306" s="631"/>
      <c r="S306" s="631"/>
      <c r="T306" s="631"/>
      <c r="U306" s="631"/>
      <c r="V306" s="632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0" t="s">
        <v>40</v>
      </c>
      <c r="Q307" s="631"/>
      <c r="R307" s="631"/>
      <c r="S307" s="631"/>
      <c r="T307" s="631"/>
      <c r="U307" s="631"/>
      <c r="V307" s="632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44" t="s">
        <v>334</v>
      </c>
      <c r="B308" s="644"/>
      <c r="C308" s="644"/>
      <c r="D308" s="644"/>
      <c r="E308" s="644"/>
      <c r="F308" s="644"/>
      <c r="G308" s="644"/>
      <c r="H308" s="644"/>
      <c r="I308" s="644"/>
      <c r="J308" s="644"/>
      <c r="K308" s="644"/>
      <c r="L308" s="644"/>
      <c r="M308" s="644"/>
      <c r="N308" s="644"/>
      <c r="O308" s="644"/>
      <c r="P308" s="644"/>
      <c r="Q308" s="644"/>
      <c r="R308" s="644"/>
      <c r="S308" s="644"/>
      <c r="T308" s="644"/>
      <c r="U308" s="644"/>
      <c r="V308" s="644"/>
      <c r="W308" s="644"/>
      <c r="X308" s="644"/>
      <c r="Y308" s="644"/>
      <c r="Z308" s="644"/>
      <c r="AA308" s="66"/>
      <c r="AB308" s="66"/>
      <c r="AC308" s="80"/>
    </row>
    <row r="309" spans="1:68" ht="27" customHeight="1" x14ac:dyDescent="0.25">
      <c r="A309" s="63" t="s">
        <v>517</v>
      </c>
      <c r="B309" s="63" t="s">
        <v>518</v>
      </c>
      <c r="C309" s="36">
        <v>4301041008</v>
      </c>
      <c r="D309" s="639">
        <v>4680115886681</v>
      </c>
      <c r="E309" s="639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41"/>
      <c r="R309" s="641"/>
      <c r="S309" s="641"/>
      <c r="T309" s="642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520</v>
      </c>
      <c r="B310" s="63" t="s">
        <v>521</v>
      </c>
      <c r="C310" s="36">
        <v>4301041007</v>
      </c>
      <c r="D310" s="639">
        <v>4680115886735</v>
      </c>
      <c r="E310" s="639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41"/>
      <c r="R310" s="641"/>
      <c r="S310" s="641"/>
      <c r="T310" s="64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33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0" t="s">
        <v>40</v>
      </c>
      <c r="Q311" s="631"/>
      <c r="R311" s="631"/>
      <c r="S311" s="631"/>
      <c r="T311" s="631"/>
      <c r="U311" s="631"/>
      <c r="V311" s="632"/>
      <c r="W311" s="42" t="s">
        <v>39</v>
      </c>
      <c r="X311" s="43">
        <f>IFERROR(X309/H309,"0")+IFERROR(X310/H310,"0")</f>
        <v>0</v>
      </c>
      <c r="Y311" s="43">
        <f>IFERROR(Y309/H309,"0")+IFERROR(Y310/H310,"0")</f>
        <v>0</v>
      </c>
      <c r="Z311" s="43">
        <f>IFERROR(IF(Z309="",0,Z309),"0")+IFERROR(IF(Z310="",0,Z310),"0")</f>
        <v>0</v>
      </c>
      <c r="AA311" s="67"/>
      <c r="AB311" s="67"/>
      <c r="AC311" s="67"/>
    </row>
    <row r="312" spans="1:68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0</v>
      </c>
      <c r="X312" s="43">
        <f>IFERROR(SUM(X309:X310),"0")</f>
        <v>0</v>
      </c>
      <c r="Y312" s="43">
        <f>IFERROR(SUM(Y309:Y310),"0")</f>
        <v>0</v>
      </c>
      <c r="Z312" s="42"/>
      <c r="AA312" s="67"/>
      <c r="AB312" s="67"/>
      <c r="AC312" s="67"/>
    </row>
    <row r="313" spans="1:68" ht="16.5" customHeight="1" x14ac:dyDescent="0.25">
      <c r="A313" s="643" t="s">
        <v>522</v>
      </c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3"/>
      <c r="P313" s="643"/>
      <c r="Q313" s="643"/>
      <c r="R313" s="643"/>
      <c r="S313" s="643"/>
      <c r="T313" s="643"/>
      <c r="U313" s="643"/>
      <c r="V313" s="643"/>
      <c r="W313" s="643"/>
      <c r="X313" s="643"/>
      <c r="Y313" s="643"/>
      <c r="Z313" s="643"/>
      <c r="AA313" s="65"/>
      <c r="AB313" s="65"/>
      <c r="AC313" s="79"/>
    </row>
    <row r="314" spans="1:68" ht="14.25" customHeight="1" x14ac:dyDescent="0.25">
      <c r="A314" s="644" t="s">
        <v>119</v>
      </c>
      <c r="B314" s="644"/>
      <c r="C314" s="644"/>
      <c r="D314" s="644"/>
      <c r="E314" s="644"/>
      <c r="F314" s="644"/>
      <c r="G314" s="644"/>
      <c r="H314" s="644"/>
      <c r="I314" s="644"/>
      <c r="J314" s="644"/>
      <c r="K314" s="644"/>
      <c r="L314" s="644"/>
      <c r="M314" s="644"/>
      <c r="N314" s="644"/>
      <c r="O314" s="644"/>
      <c r="P314" s="644"/>
      <c r="Q314" s="644"/>
      <c r="R314" s="644"/>
      <c r="S314" s="644"/>
      <c r="T314" s="644"/>
      <c r="U314" s="644"/>
      <c r="V314" s="644"/>
      <c r="W314" s="644"/>
      <c r="X314" s="644"/>
      <c r="Y314" s="644"/>
      <c r="Z314" s="644"/>
      <c r="AA314" s="66"/>
      <c r="AB314" s="66"/>
      <c r="AC314" s="80"/>
    </row>
    <row r="315" spans="1:68" ht="27" customHeight="1" x14ac:dyDescent="0.25">
      <c r="A315" s="63" t="s">
        <v>523</v>
      </c>
      <c r="B315" s="63" t="s">
        <v>524</v>
      </c>
      <c r="C315" s="36">
        <v>4301011855</v>
      </c>
      <c r="D315" s="639">
        <v>4680115885837</v>
      </c>
      <c r="E315" s="639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7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41"/>
      <c r="R315" s="641"/>
      <c r="S315" s="641"/>
      <c r="T315" s="642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customHeight="1" x14ac:dyDescent="0.25">
      <c r="A316" s="63" t="s">
        <v>526</v>
      </c>
      <c r="B316" s="63" t="s">
        <v>527</v>
      </c>
      <c r="C316" s="36">
        <v>4301012390</v>
      </c>
      <c r="D316" s="639">
        <v>4680115889637</v>
      </c>
      <c r="E316" s="639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41"/>
      <c r="R316" s="641"/>
      <c r="S316" s="641"/>
      <c r="T316" s="642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customHeight="1" x14ac:dyDescent="0.25">
      <c r="A317" s="63" t="s">
        <v>529</v>
      </c>
      <c r="B317" s="63" t="s">
        <v>530</v>
      </c>
      <c r="C317" s="36">
        <v>4301012234</v>
      </c>
      <c r="D317" s="639">
        <v>4680115887237</v>
      </c>
      <c r="E317" s="639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41"/>
      <c r="R317" s="641"/>
      <c r="S317" s="641"/>
      <c r="T317" s="642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customHeight="1" x14ac:dyDescent="0.25">
      <c r="A318" s="63" t="s">
        <v>532</v>
      </c>
      <c r="B318" s="63" t="s">
        <v>533</v>
      </c>
      <c r="C318" s="36">
        <v>4301011850</v>
      </c>
      <c r="D318" s="639">
        <v>4680115885806</v>
      </c>
      <c r="E318" s="63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7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41"/>
      <c r="R318" s="641"/>
      <c r="S318" s="641"/>
      <c r="T318" s="64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customHeight="1" x14ac:dyDescent="0.25">
      <c r="A319" s="63" t="s">
        <v>535</v>
      </c>
      <c r="B319" s="63" t="s">
        <v>536</v>
      </c>
      <c r="C319" s="36">
        <v>4301011852</v>
      </c>
      <c r="D319" s="639">
        <v>4680115885844</v>
      </c>
      <c r="E319" s="639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7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41"/>
      <c r="R319" s="641"/>
      <c r="S319" s="641"/>
      <c r="T319" s="64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customHeight="1" x14ac:dyDescent="0.25">
      <c r="A320" s="63" t="s">
        <v>538</v>
      </c>
      <c r="B320" s="63" t="s">
        <v>539</v>
      </c>
      <c r="C320" s="36">
        <v>4301011851</v>
      </c>
      <c r="D320" s="639">
        <v>4680115885820</v>
      </c>
      <c r="E320" s="639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41"/>
      <c r="R320" s="641"/>
      <c r="S320" s="641"/>
      <c r="T320" s="64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x14ac:dyDescent="0.2">
      <c r="A321" s="633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0" t="s">
        <v>40</v>
      </c>
      <c r="Q321" s="631"/>
      <c r="R321" s="631"/>
      <c r="S321" s="631"/>
      <c r="T321" s="631"/>
      <c r="U321" s="631"/>
      <c r="V321" s="632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0" t="s">
        <v>40</v>
      </c>
      <c r="Q322" s="631"/>
      <c r="R322" s="631"/>
      <c r="S322" s="631"/>
      <c r="T322" s="631"/>
      <c r="U322" s="631"/>
      <c r="V322" s="632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customHeight="1" x14ac:dyDescent="0.25">
      <c r="A323" s="643" t="s">
        <v>541</v>
      </c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3"/>
      <c r="P323" s="643"/>
      <c r="Q323" s="643"/>
      <c r="R323" s="643"/>
      <c r="S323" s="643"/>
      <c r="T323" s="643"/>
      <c r="U323" s="643"/>
      <c r="V323" s="643"/>
      <c r="W323" s="643"/>
      <c r="X323" s="643"/>
      <c r="Y323" s="643"/>
      <c r="Z323" s="643"/>
      <c r="AA323" s="65"/>
      <c r="AB323" s="65"/>
      <c r="AC323" s="79"/>
    </row>
    <row r="324" spans="1:68" ht="14.25" customHeight="1" x14ac:dyDescent="0.25">
      <c r="A324" s="644" t="s">
        <v>83</v>
      </c>
      <c r="B324" s="644"/>
      <c r="C324" s="644"/>
      <c r="D324" s="644"/>
      <c r="E324" s="644"/>
      <c r="F324" s="644"/>
      <c r="G324" s="644"/>
      <c r="H324" s="644"/>
      <c r="I324" s="644"/>
      <c r="J324" s="644"/>
      <c r="K324" s="644"/>
      <c r="L324" s="644"/>
      <c r="M324" s="644"/>
      <c r="N324" s="644"/>
      <c r="O324" s="644"/>
      <c r="P324" s="644"/>
      <c r="Q324" s="644"/>
      <c r="R324" s="644"/>
      <c r="S324" s="644"/>
      <c r="T324" s="644"/>
      <c r="U324" s="644"/>
      <c r="V324" s="644"/>
      <c r="W324" s="644"/>
      <c r="X324" s="644"/>
      <c r="Y324" s="644"/>
      <c r="Z324" s="644"/>
      <c r="AA324" s="66"/>
      <c r="AB324" s="66"/>
      <c r="AC324" s="80"/>
    </row>
    <row r="325" spans="1:68" ht="27" customHeight="1" x14ac:dyDescent="0.25">
      <c r="A325" s="63" t="s">
        <v>542</v>
      </c>
      <c r="B325" s="63" t="s">
        <v>543</v>
      </c>
      <c r="C325" s="36">
        <v>4301051893</v>
      </c>
      <c r="D325" s="639">
        <v>4680115886186</v>
      </c>
      <c r="E325" s="639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41"/>
      <c r="R325" s="641"/>
      <c r="S325" s="641"/>
      <c r="T325" s="642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545</v>
      </c>
      <c r="B326" s="63" t="s">
        <v>546</v>
      </c>
      <c r="C326" s="36">
        <v>4301051795</v>
      </c>
      <c r="D326" s="639">
        <v>4680115881228</v>
      </c>
      <c r="E326" s="639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41"/>
      <c r="R326" s="641"/>
      <c r="S326" s="641"/>
      <c r="T326" s="64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548</v>
      </c>
      <c r="B327" s="63" t="s">
        <v>549</v>
      </c>
      <c r="C327" s="36">
        <v>4301051388</v>
      </c>
      <c r="D327" s="639">
        <v>4680115881211</v>
      </c>
      <c r="E327" s="639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41"/>
      <c r="R327" s="641"/>
      <c r="S327" s="641"/>
      <c r="T327" s="64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33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0" t="s">
        <v>40</v>
      </c>
      <c r="Q328" s="631"/>
      <c r="R328" s="631"/>
      <c r="S328" s="631"/>
      <c r="T328" s="631"/>
      <c r="U328" s="631"/>
      <c r="V328" s="632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0" t="s">
        <v>40</v>
      </c>
      <c r="Q329" s="631"/>
      <c r="R329" s="631"/>
      <c r="S329" s="631"/>
      <c r="T329" s="631"/>
      <c r="U329" s="631"/>
      <c r="V329" s="632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43" t="s">
        <v>550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5"/>
      <c r="AB330" s="65"/>
      <c r="AC330" s="79"/>
    </row>
    <row r="331" spans="1:68" ht="14.25" customHeight="1" x14ac:dyDescent="0.25">
      <c r="A331" s="644" t="s">
        <v>77</v>
      </c>
      <c r="B331" s="644"/>
      <c r="C331" s="644"/>
      <c r="D331" s="644"/>
      <c r="E331" s="644"/>
      <c r="F331" s="644"/>
      <c r="G331" s="644"/>
      <c r="H331" s="644"/>
      <c r="I331" s="644"/>
      <c r="J331" s="644"/>
      <c r="K331" s="644"/>
      <c r="L331" s="644"/>
      <c r="M331" s="644"/>
      <c r="N331" s="644"/>
      <c r="O331" s="644"/>
      <c r="P331" s="644"/>
      <c r="Q331" s="644"/>
      <c r="R331" s="644"/>
      <c r="S331" s="644"/>
      <c r="T331" s="644"/>
      <c r="U331" s="644"/>
      <c r="V331" s="644"/>
      <c r="W331" s="644"/>
      <c r="X331" s="644"/>
      <c r="Y331" s="644"/>
      <c r="Z331" s="644"/>
      <c r="AA331" s="66"/>
      <c r="AB331" s="66"/>
      <c r="AC331" s="80"/>
    </row>
    <row r="332" spans="1:68" ht="27" customHeight="1" x14ac:dyDescent="0.25">
      <c r="A332" s="63" t="s">
        <v>551</v>
      </c>
      <c r="B332" s="63" t="s">
        <v>552</v>
      </c>
      <c r="C332" s="36">
        <v>4301031445</v>
      </c>
      <c r="D332" s="639">
        <v>4680115888319</v>
      </c>
      <c r="E332" s="639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41"/>
      <c r="R332" s="641"/>
      <c r="S332" s="641"/>
      <c r="T332" s="64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39">
        <v>4680115884700</v>
      </c>
      <c r="E333" s="639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41"/>
      <c r="R333" s="641"/>
      <c r="S333" s="641"/>
      <c r="T333" s="64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39">
        <v>4680115880344</v>
      </c>
      <c r="E334" s="639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41"/>
      <c r="R334" s="641"/>
      <c r="S334" s="641"/>
      <c r="T334" s="642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39">
        <v>4680115886919</v>
      </c>
      <c r="E335" s="639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41"/>
      <c r="R335" s="641"/>
      <c r="S335" s="641"/>
      <c r="T335" s="64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3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0" t="s">
        <v>40</v>
      </c>
      <c r="Q336" s="631"/>
      <c r="R336" s="631"/>
      <c r="S336" s="631"/>
      <c r="T336" s="631"/>
      <c r="U336" s="631"/>
      <c r="V336" s="632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0" t="s">
        <v>40</v>
      </c>
      <c r="Q337" s="631"/>
      <c r="R337" s="631"/>
      <c r="S337" s="631"/>
      <c r="T337" s="631"/>
      <c r="U337" s="631"/>
      <c r="V337" s="632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customHeight="1" x14ac:dyDescent="0.25">
      <c r="A338" s="644" t="s">
        <v>83</v>
      </c>
      <c r="B338" s="644"/>
      <c r="C338" s="644"/>
      <c r="D338" s="644"/>
      <c r="E338" s="644"/>
      <c r="F338" s="644"/>
      <c r="G338" s="644"/>
      <c r="H338" s="644"/>
      <c r="I338" s="644"/>
      <c r="J338" s="644"/>
      <c r="K338" s="644"/>
      <c r="L338" s="644"/>
      <c r="M338" s="644"/>
      <c r="N338" s="644"/>
      <c r="O338" s="644"/>
      <c r="P338" s="644"/>
      <c r="Q338" s="644"/>
      <c r="R338" s="644"/>
      <c r="S338" s="644"/>
      <c r="T338" s="644"/>
      <c r="U338" s="644"/>
      <c r="V338" s="644"/>
      <c r="W338" s="644"/>
      <c r="X338" s="644"/>
      <c r="Y338" s="644"/>
      <c r="Z338" s="644"/>
      <c r="AA338" s="66"/>
      <c r="AB338" s="66"/>
      <c r="AC338" s="80"/>
    </row>
    <row r="339" spans="1:68" ht="27" customHeight="1" x14ac:dyDescent="0.25">
      <c r="A339" s="63" t="s">
        <v>563</v>
      </c>
      <c r="B339" s="63" t="s">
        <v>564</v>
      </c>
      <c r="C339" s="36">
        <v>4301051782</v>
      </c>
      <c r="D339" s="639">
        <v>4680115884618</v>
      </c>
      <c r="E339" s="639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7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41"/>
      <c r="R339" s="641"/>
      <c r="S339" s="641"/>
      <c r="T339" s="64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566</v>
      </c>
      <c r="B340" s="63" t="s">
        <v>567</v>
      </c>
      <c r="C340" s="36">
        <v>4301052057</v>
      </c>
      <c r="D340" s="639">
        <v>4680115887114</v>
      </c>
      <c r="E340" s="639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41"/>
      <c r="R340" s="641"/>
      <c r="S340" s="641"/>
      <c r="T340" s="64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4301052066</v>
      </c>
      <c r="D341" s="639">
        <v>4680115887466</v>
      </c>
      <c r="E341" s="639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41"/>
      <c r="R341" s="641"/>
      <c r="S341" s="641"/>
      <c r="T341" s="64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33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0" t="s">
        <v>40</v>
      </c>
      <c r="Q342" s="631"/>
      <c r="R342" s="631"/>
      <c r="S342" s="631"/>
      <c r="T342" s="631"/>
      <c r="U342" s="631"/>
      <c r="V342" s="632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0" t="s">
        <v>40</v>
      </c>
      <c r="Q343" s="631"/>
      <c r="R343" s="631"/>
      <c r="S343" s="631"/>
      <c r="T343" s="631"/>
      <c r="U343" s="631"/>
      <c r="V343" s="632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customHeight="1" x14ac:dyDescent="0.25">
      <c r="A344" s="643" t="s">
        <v>572</v>
      </c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3"/>
      <c r="P344" s="643"/>
      <c r="Q344" s="643"/>
      <c r="R344" s="643"/>
      <c r="S344" s="643"/>
      <c r="T344" s="643"/>
      <c r="U344" s="643"/>
      <c r="V344" s="643"/>
      <c r="W344" s="643"/>
      <c r="X344" s="643"/>
      <c r="Y344" s="643"/>
      <c r="Z344" s="643"/>
      <c r="AA344" s="65"/>
      <c r="AB344" s="65"/>
      <c r="AC344" s="79"/>
    </row>
    <row r="345" spans="1:68" ht="14.25" customHeight="1" x14ac:dyDescent="0.25">
      <c r="A345" s="644" t="s">
        <v>119</v>
      </c>
      <c r="B345" s="644"/>
      <c r="C345" s="644"/>
      <c r="D345" s="644"/>
      <c r="E345" s="644"/>
      <c r="F345" s="644"/>
      <c r="G345" s="644"/>
      <c r="H345" s="644"/>
      <c r="I345" s="644"/>
      <c r="J345" s="644"/>
      <c r="K345" s="644"/>
      <c r="L345" s="644"/>
      <c r="M345" s="644"/>
      <c r="N345" s="644"/>
      <c r="O345" s="644"/>
      <c r="P345" s="644"/>
      <c r="Q345" s="644"/>
      <c r="R345" s="644"/>
      <c r="S345" s="644"/>
      <c r="T345" s="644"/>
      <c r="U345" s="644"/>
      <c r="V345" s="644"/>
      <c r="W345" s="644"/>
      <c r="X345" s="644"/>
      <c r="Y345" s="644"/>
      <c r="Z345" s="644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39">
        <v>4680115887947</v>
      </c>
      <c r="E346" s="639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41"/>
      <c r="R346" s="641"/>
      <c r="S346" s="641"/>
      <c r="T346" s="64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39">
        <v>4680115887978</v>
      </c>
      <c r="E347" s="639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41"/>
      <c r="R347" s="641"/>
      <c r="S347" s="641"/>
      <c r="T347" s="64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39">
        <v>4680115887992</v>
      </c>
      <c r="E348" s="639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41"/>
      <c r="R348" s="641"/>
      <c r="S348" s="641"/>
      <c r="T348" s="642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33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0" t="s">
        <v>40</v>
      </c>
      <c r="Q349" s="631"/>
      <c r="R349" s="631"/>
      <c r="S349" s="631"/>
      <c r="T349" s="631"/>
      <c r="U349" s="631"/>
      <c r="V349" s="632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0" t="s">
        <v>40</v>
      </c>
      <c r="Q350" s="631"/>
      <c r="R350" s="631"/>
      <c r="S350" s="631"/>
      <c r="T350" s="631"/>
      <c r="U350" s="631"/>
      <c r="V350" s="632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43" t="s">
        <v>581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5"/>
      <c r="AB351" s="65"/>
      <c r="AC351" s="79"/>
    </row>
    <row r="352" spans="1:68" ht="14.25" customHeight="1" x14ac:dyDescent="0.25">
      <c r="A352" s="644" t="s">
        <v>119</v>
      </c>
      <c r="B352" s="644"/>
      <c r="C352" s="644"/>
      <c r="D352" s="644"/>
      <c r="E352" s="644"/>
      <c r="F352" s="644"/>
      <c r="G352" s="644"/>
      <c r="H352" s="644"/>
      <c r="I352" s="644"/>
      <c r="J352" s="644"/>
      <c r="K352" s="644"/>
      <c r="L352" s="644"/>
      <c r="M352" s="644"/>
      <c r="N352" s="644"/>
      <c r="O352" s="644"/>
      <c r="P352" s="644"/>
      <c r="Q352" s="644"/>
      <c r="R352" s="644"/>
      <c r="S352" s="644"/>
      <c r="T352" s="644"/>
      <c r="U352" s="644"/>
      <c r="V352" s="644"/>
      <c r="W352" s="644"/>
      <c r="X352" s="644"/>
      <c r="Y352" s="644"/>
      <c r="Z352" s="644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4301012360</v>
      </c>
      <c r="D353" s="639">
        <v>4680115889293</v>
      </c>
      <c r="E353" s="639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73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41"/>
      <c r="R353" s="641"/>
      <c r="S353" s="641"/>
      <c r="T353" s="642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9" si="51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0</v>
      </c>
      <c r="BN353" s="78">
        <f t="shared" ref="BN353:BN359" si="53">IFERROR(Y353*I353/H353,"0")</f>
        <v>0</v>
      </c>
      <c r="BO353" s="78">
        <f t="shared" ref="BO353:BO359" si="54">IFERROR(1/J353*(X353/H353),"0")</f>
        <v>0</v>
      </c>
      <c r="BP353" s="78">
        <f t="shared" ref="BP353:BP359" si="55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39">
        <v>4680115887190</v>
      </c>
      <c r="E354" s="639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41"/>
      <c r="R354" s="641"/>
      <c r="S354" s="641"/>
      <c r="T354" s="642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customHeight="1" x14ac:dyDescent="0.25">
      <c r="A355" s="63" t="s">
        <v>588</v>
      </c>
      <c r="B355" s="63" t="s">
        <v>589</v>
      </c>
      <c r="C355" s="36">
        <v>4301012400</v>
      </c>
      <c r="D355" s="639">
        <v>4680115889880</v>
      </c>
      <c r="E355" s="639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73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41"/>
      <c r="R355" s="641"/>
      <c r="S355" s="641"/>
      <c r="T355" s="642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customHeight="1" x14ac:dyDescent="0.25">
      <c r="A356" s="63" t="s">
        <v>590</v>
      </c>
      <c r="B356" s="63" t="s">
        <v>591</v>
      </c>
      <c r="C356" s="36">
        <v>4301012233</v>
      </c>
      <c r="D356" s="639">
        <v>4680115887138</v>
      </c>
      <c r="E356" s="639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7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41"/>
      <c r="R356" s="641"/>
      <c r="S356" s="641"/>
      <c r="T356" s="642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customHeight="1" x14ac:dyDescent="0.25">
      <c r="A357" s="63" t="s">
        <v>593</v>
      </c>
      <c r="B357" s="63" t="s">
        <v>594</v>
      </c>
      <c r="C357" s="36">
        <v>4301012016</v>
      </c>
      <c r="D357" s="639">
        <v>4680115885554</v>
      </c>
      <c r="E357" s="639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7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41"/>
      <c r="R357" s="641"/>
      <c r="S357" s="641"/>
      <c r="T357" s="642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4301012236</v>
      </c>
      <c r="D358" s="639">
        <v>4680115887220</v>
      </c>
      <c r="E358" s="639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73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41"/>
      <c r="R358" s="641"/>
      <c r="S358" s="641"/>
      <c r="T358" s="642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customHeight="1" x14ac:dyDescent="0.25">
      <c r="A359" s="63" t="s">
        <v>598</v>
      </c>
      <c r="B359" s="63" t="s">
        <v>599</v>
      </c>
      <c r="C359" s="36">
        <v>4301011859</v>
      </c>
      <c r="D359" s="639">
        <v>4680115885608</v>
      </c>
      <c r="E359" s="639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7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41"/>
      <c r="R359" s="641"/>
      <c r="S359" s="641"/>
      <c r="T359" s="64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x14ac:dyDescent="0.2">
      <c r="A360" s="633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0" t="s">
        <v>40</v>
      </c>
      <c r="Q360" s="631"/>
      <c r="R360" s="631"/>
      <c r="S360" s="631"/>
      <c r="T360" s="631"/>
      <c r="U360" s="631"/>
      <c r="V360" s="632"/>
      <c r="W360" s="42" t="s">
        <v>39</v>
      </c>
      <c r="X360" s="43">
        <f>IFERROR(X353/H353,"0")+IFERROR(X354/H354,"0")+IFERROR(X355/H355,"0")+IFERROR(X356/H356,"0")+IFERROR(X357/H357,"0")+IFERROR(X358/H358,"0")+IFERROR(X359/H359,"0")</f>
        <v>0</v>
      </c>
      <c r="Y360" s="43">
        <f>IFERROR(Y353/H353,"0")+IFERROR(Y354/H354,"0")+IFERROR(Y355/H355,"0")+IFERROR(Y356/H356,"0")+IFERROR(Y357/H357,"0")+IFERROR(Y358/H358,"0")+IFERROR(Y359/H359,"0")</f>
        <v>0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7"/>
      <c r="AB360" s="67"/>
      <c r="AC360" s="67"/>
    </row>
    <row r="361" spans="1:68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0" t="s">
        <v>40</v>
      </c>
      <c r="Q361" s="631"/>
      <c r="R361" s="631"/>
      <c r="S361" s="631"/>
      <c r="T361" s="631"/>
      <c r="U361" s="631"/>
      <c r="V361" s="632"/>
      <c r="W361" s="42" t="s">
        <v>0</v>
      </c>
      <c r="X361" s="43">
        <f>IFERROR(SUM(X353:X359),"0")</f>
        <v>0</v>
      </c>
      <c r="Y361" s="43">
        <f>IFERROR(SUM(Y353:Y359),"0")</f>
        <v>0</v>
      </c>
      <c r="Z361" s="42"/>
      <c r="AA361" s="67"/>
      <c r="AB361" s="67"/>
      <c r="AC361" s="67"/>
    </row>
    <row r="362" spans="1:68" ht="14.25" customHeight="1" x14ac:dyDescent="0.25">
      <c r="A362" s="644" t="s">
        <v>77</v>
      </c>
      <c r="B362" s="644"/>
      <c r="C362" s="644"/>
      <c r="D362" s="644"/>
      <c r="E362" s="644"/>
      <c r="F362" s="644"/>
      <c r="G362" s="644"/>
      <c r="H362" s="644"/>
      <c r="I362" s="644"/>
      <c r="J362" s="644"/>
      <c r="K362" s="644"/>
      <c r="L362" s="644"/>
      <c r="M362" s="644"/>
      <c r="N362" s="644"/>
      <c r="O362" s="644"/>
      <c r="P362" s="644"/>
      <c r="Q362" s="644"/>
      <c r="R362" s="644"/>
      <c r="S362" s="644"/>
      <c r="T362" s="644"/>
      <c r="U362" s="644"/>
      <c r="V362" s="644"/>
      <c r="W362" s="644"/>
      <c r="X362" s="644"/>
      <c r="Y362" s="644"/>
      <c r="Z362" s="644"/>
      <c r="AA362" s="66"/>
      <c r="AB362" s="66"/>
      <c r="AC362" s="80"/>
    </row>
    <row r="363" spans="1:68" ht="27" customHeight="1" x14ac:dyDescent="0.25">
      <c r="A363" s="63" t="s">
        <v>601</v>
      </c>
      <c r="B363" s="63" t="s">
        <v>602</v>
      </c>
      <c r="C363" s="36">
        <v>4301030878</v>
      </c>
      <c r="D363" s="639">
        <v>4607091387193</v>
      </c>
      <c r="E363" s="639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7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41"/>
      <c r="R363" s="641"/>
      <c r="S363" s="641"/>
      <c r="T363" s="64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customHeight="1" x14ac:dyDescent="0.25">
      <c r="A364" s="63" t="s">
        <v>604</v>
      </c>
      <c r="B364" s="63" t="s">
        <v>605</v>
      </c>
      <c r="C364" s="36">
        <v>4301031153</v>
      </c>
      <c r="D364" s="639">
        <v>4607091387230</v>
      </c>
      <c r="E364" s="639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7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41"/>
      <c r="R364" s="641"/>
      <c r="S364" s="641"/>
      <c r="T364" s="64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customHeight="1" x14ac:dyDescent="0.25">
      <c r="A365" s="63" t="s">
        <v>607</v>
      </c>
      <c r="B365" s="63" t="s">
        <v>608</v>
      </c>
      <c r="C365" s="36">
        <v>4301031154</v>
      </c>
      <c r="D365" s="639">
        <v>4607091387292</v>
      </c>
      <c r="E365" s="639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72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41"/>
      <c r="R365" s="641"/>
      <c r="S365" s="641"/>
      <c r="T365" s="64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4301031152</v>
      </c>
      <c r="D366" s="639">
        <v>4607091387285</v>
      </c>
      <c r="E366" s="639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41"/>
      <c r="R366" s="641"/>
      <c r="S366" s="641"/>
      <c r="T366" s="64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customHeight="1" x14ac:dyDescent="0.25">
      <c r="A367" s="63" t="s">
        <v>612</v>
      </c>
      <c r="B367" s="63" t="s">
        <v>613</v>
      </c>
      <c r="C367" s="36">
        <v>4301031305</v>
      </c>
      <c r="D367" s="639">
        <v>4607091389845</v>
      </c>
      <c r="E367" s="639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41"/>
      <c r="R367" s="641"/>
      <c r="S367" s="641"/>
      <c r="T367" s="64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6"/>
        <v>0</v>
      </c>
      <c r="Z367" s="41" t="str">
        <f>IFERROR(IF(Y367=0,"",ROUNDUP(Y367/H367,0)*0.00502),"")</f>
        <v/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0</v>
      </c>
      <c r="BN367" s="78">
        <f t="shared" si="58"/>
        <v>0</v>
      </c>
      <c r="BO367" s="78">
        <f t="shared" si="59"/>
        <v>0</v>
      </c>
      <c r="BP367" s="78">
        <f t="shared" si="60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4301031460</v>
      </c>
      <c r="D368" s="639">
        <v>4680115887442</v>
      </c>
      <c r="E368" s="639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41"/>
      <c r="R368" s="641"/>
      <c r="S368" s="641"/>
      <c r="T368" s="64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4301031066</v>
      </c>
      <c r="D369" s="639">
        <v>4607091383836</v>
      </c>
      <c r="E369" s="639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41"/>
      <c r="R369" s="641"/>
      <c r="S369" s="641"/>
      <c r="T369" s="64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6"/>
        <v>0</v>
      </c>
      <c r="Z369" s="41" t="str">
        <f>IFERROR(IF(Y369=0,"",ROUNDUP(Y369/H369,0)*0.00651),"")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0</v>
      </c>
      <c r="BN369" s="78">
        <f t="shared" si="58"/>
        <v>0</v>
      </c>
      <c r="BO369" s="78">
        <f t="shared" si="59"/>
        <v>0</v>
      </c>
      <c r="BP369" s="78">
        <f t="shared" si="60"/>
        <v>0</v>
      </c>
    </row>
    <row r="370" spans="1:68" x14ac:dyDescent="0.2">
      <c r="A370" s="633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0" t="s">
        <v>40</v>
      </c>
      <c r="Q370" s="631"/>
      <c r="R370" s="631"/>
      <c r="S370" s="631"/>
      <c r="T370" s="631"/>
      <c r="U370" s="631"/>
      <c r="V370" s="632"/>
      <c r="W370" s="42" t="s">
        <v>39</v>
      </c>
      <c r="X370" s="43">
        <f>IFERROR(X363/H363,"0")+IFERROR(X364/H364,"0")+IFERROR(X365/H365,"0")+IFERROR(X366/H366,"0")+IFERROR(X367/H367,"0")+IFERROR(X368/H368,"0")+IFERROR(X369/H369,"0")</f>
        <v>0</v>
      </c>
      <c r="Y370" s="43">
        <f>IFERROR(Y363/H363,"0")+IFERROR(Y364/H364,"0")+IFERROR(Y365/H365,"0")+IFERROR(Y366/H366,"0")+IFERROR(Y367/H367,"0")+IFERROR(Y368/H368,"0")+IFERROR(Y369/H369,"0")</f>
        <v>0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7"/>
      <c r="AB370" s="67"/>
      <c r="AC370" s="67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0</v>
      </c>
      <c r="X371" s="43">
        <f>IFERROR(SUM(X363:X369),"0")</f>
        <v>0</v>
      </c>
      <c r="Y371" s="43">
        <f>IFERROR(SUM(Y363:Y369),"0")</f>
        <v>0</v>
      </c>
      <c r="Z371" s="42"/>
      <c r="AA371" s="67"/>
      <c r="AB371" s="67"/>
      <c r="AC371" s="67"/>
    </row>
    <row r="372" spans="1:68" ht="14.25" customHeight="1" x14ac:dyDescent="0.25">
      <c r="A372" s="644" t="s">
        <v>83</v>
      </c>
      <c r="B372" s="644"/>
      <c r="C372" s="644"/>
      <c r="D372" s="644"/>
      <c r="E372" s="644"/>
      <c r="F372" s="644"/>
      <c r="G372" s="644"/>
      <c r="H372" s="644"/>
      <c r="I372" s="644"/>
      <c r="J372" s="644"/>
      <c r="K372" s="644"/>
      <c r="L372" s="644"/>
      <c r="M372" s="644"/>
      <c r="N372" s="644"/>
      <c r="O372" s="644"/>
      <c r="P372" s="644"/>
      <c r="Q372" s="644"/>
      <c r="R372" s="644"/>
      <c r="S372" s="644"/>
      <c r="T372" s="644"/>
      <c r="U372" s="644"/>
      <c r="V372" s="644"/>
      <c r="W372" s="644"/>
      <c r="X372" s="644"/>
      <c r="Y372" s="644"/>
      <c r="Z372" s="644"/>
      <c r="AA372" s="66"/>
      <c r="AB372" s="66"/>
      <c r="AC372" s="80"/>
    </row>
    <row r="373" spans="1:68" ht="27" customHeight="1" x14ac:dyDescent="0.25">
      <c r="A373" s="63" t="s">
        <v>620</v>
      </c>
      <c r="B373" s="63" t="s">
        <v>621</v>
      </c>
      <c r="C373" s="36">
        <v>4301051100</v>
      </c>
      <c r="D373" s="639">
        <v>4607091387766</v>
      </c>
      <c r="E373" s="639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41"/>
      <c r="R373" s="641"/>
      <c r="S373" s="641"/>
      <c r="T373" s="642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623</v>
      </c>
      <c r="B374" s="63" t="s">
        <v>624</v>
      </c>
      <c r="C374" s="36">
        <v>4301051818</v>
      </c>
      <c r="D374" s="639">
        <v>4607091387957</v>
      </c>
      <c r="E374" s="639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41"/>
      <c r="R374" s="641"/>
      <c r="S374" s="641"/>
      <c r="T374" s="642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626</v>
      </c>
      <c r="B375" s="63" t="s">
        <v>627</v>
      </c>
      <c r="C375" s="36">
        <v>4301051819</v>
      </c>
      <c r="D375" s="639">
        <v>4607091387964</v>
      </c>
      <c r="E375" s="639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41"/>
      <c r="R375" s="641"/>
      <c r="S375" s="641"/>
      <c r="T375" s="642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customHeight="1" x14ac:dyDescent="0.25">
      <c r="A376" s="63" t="s">
        <v>629</v>
      </c>
      <c r="B376" s="63" t="s">
        <v>630</v>
      </c>
      <c r="C376" s="36">
        <v>4301051734</v>
      </c>
      <c r="D376" s="639">
        <v>4680115884588</v>
      </c>
      <c r="E376" s="639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7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41"/>
      <c r="R376" s="641"/>
      <c r="S376" s="641"/>
      <c r="T376" s="642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customHeight="1" x14ac:dyDescent="0.25">
      <c r="A379" s="644" t="s">
        <v>172</v>
      </c>
      <c r="B379" s="644"/>
      <c r="C379" s="644"/>
      <c r="D379" s="644"/>
      <c r="E379" s="644"/>
      <c r="F379" s="644"/>
      <c r="G379" s="644"/>
      <c r="H379" s="644"/>
      <c r="I379" s="644"/>
      <c r="J379" s="644"/>
      <c r="K379" s="644"/>
      <c r="L379" s="644"/>
      <c r="M379" s="644"/>
      <c r="N379" s="644"/>
      <c r="O379" s="644"/>
      <c r="P379" s="644"/>
      <c r="Q379" s="644"/>
      <c r="R379" s="644"/>
      <c r="S379" s="644"/>
      <c r="T379" s="644"/>
      <c r="U379" s="644"/>
      <c r="V379" s="644"/>
      <c r="W379" s="644"/>
      <c r="X379" s="644"/>
      <c r="Y379" s="644"/>
      <c r="Z379" s="644"/>
      <c r="AA379" s="66"/>
      <c r="AB379" s="66"/>
      <c r="AC379" s="80"/>
    </row>
    <row r="380" spans="1:68" ht="27" customHeight="1" x14ac:dyDescent="0.25">
      <c r="A380" s="63" t="s">
        <v>631</v>
      </c>
      <c r="B380" s="63" t="s">
        <v>632</v>
      </c>
      <c r="C380" s="36">
        <v>4301060387</v>
      </c>
      <c r="D380" s="639">
        <v>4607091380880</v>
      </c>
      <c r="E380" s="639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7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41"/>
      <c r="R380" s="641"/>
      <c r="S380" s="641"/>
      <c r="T380" s="64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4301060406</v>
      </c>
      <c r="D381" s="639">
        <v>4607091384482</v>
      </c>
      <c r="E381" s="639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72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41"/>
      <c r="R381" s="641"/>
      <c r="S381" s="641"/>
      <c r="T381" s="64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637</v>
      </c>
      <c r="B382" s="63" t="s">
        <v>638</v>
      </c>
      <c r="C382" s="36">
        <v>4301060484</v>
      </c>
      <c r="D382" s="639">
        <v>4607091380897</v>
      </c>
      <c r="E382" s="639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7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41"/>
      <c r="R382" s="641"/>
      <c r="S382" s="641"/>
      <c r="T382" s="64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33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0" t="s">
        <v>40</v>
      </c>
      <c r="Q383" s="631"/>
      <c r="R383" s="631"/>
      <c r="S383" s="631"/>
      <c r="T383" s="631"/>
      <c r="U383" s="631"/>
      <c r="V383" s="632"/>
      <c r="W383" s="42" t="s">
        <v>39</v>
      </c>
      <c r="X383" s="43">
        <f>IFERROR(X380/H380,"0")+IFERROR(X381/H381,"0")+IFERROR(X382/H382,"0")</f>
        <v>0</v>
      </c>
      <c r="Y383" s="43">
        <f>IFERROR(Y380/H380,"0")+IFERROR(Y381/H381,"0")+IFERROR(Y382/H382,"0")</f>
        <v>0</v>
      </c>
      <c r="Z383" s="43">
        <f>IFERROR(IF(Z380="",0,Z380),"0")+IFERROR(IF(Z381="",0,Z381),"0")+IFERROR(IF(Z382="",0,Z382),"0")</f>
        <v>0</v>
      </c>
      <c r="AA383" s="67"/>
      <c r="AB383" s="67"/>
      <c r="AC383" s="67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0" t="s">
        <v>40</v>
      </c>
      <c r="Q384" s="631"/>
      <c r="R384" s="631"/>
      <c r="S384" s="631"/>
      <c r="T384" s="631"/>
      <c r="U384" s="631"/>
      <c r="V384" s="632"/>
      <c r="W384" s="42" t="s">
        <v>0</v>
      </c>
      <c r="X384" s="43">
        <f>IFERROR(SUM(X380:X382),"0")</f>
        <v>0</v>
      </c>
      <c r="Y384" s="43">
        <f>IFERROR(SUM(Y380:Y382),"0")</f>
        <v>0</v>
      </c>
      <c r="Z384" s="42"/>
      <c r="AA384" s="67"/>
      <c r="AB384" s="67"/>
      <c r="AC384" s="67"/>
    </row>
    <row r="385" spans="1:68" ht="14.25" customHeight="1" x14ac:dyDescent="0.25">
      <c r="A385" s="644" t="s">
        <v>274</v>
      </c>
      <c r="B385" s="644"/>
      <c r="C385" s="644"/>
      <c r="D385" s="644"/>
      <c r="E385" s="644"/>
      <c r="F385" s="644"/>
      <c r="G385" s="644"/>
      <c r="H385" s="644"/>
      <c r="I385" s="644"/>
      <c r="J385" s="644"/>
      <c r="K385" s="644"/>
      <c r="L385" s="644"/>
      <c r="M385" s="644"/>
      <c r="N385" s="644"/>
      <c r="O385" s="644"/>
      <c r="P385" s="644"/>
      <c r="Q385" s="644"/>
      <c r="R385" s="644"/>
      <c r="S385" s="644"/>
      <c r="T385" s="644"/>
      <c r="U385" s="644"/>
      <c r="V385" s="644"/>
      <c r="W385" s="644"/>
      <c r="X385" s="644"/>
      <c r="Y385" s="644"/>
      <c r="Z385" s="644"/>
      <c r="AA385" s="66"/>
      <c r="AB385" s="66"/>
      <c r="AC385" s="80"/>
    </row>
    <row r="386" spans="1:68" ht="27" customHeight="1" x14ac:dyDescent="0.25">
      <c r="A386" s="63" t="s">
        <v>640</v>
      </c>
      <c r="B386" s="63" t="s">
        <v>641</v>
      </c>
      <c r="C386" s="36">
        <v>4301030235</v>
      </c>
      <c r="D386" s="639">
        <v>4607091388381</v>
      </c>
      <c r="E386" s="639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41"/>
      <c r="R386" s="641"/>
      <c r="S386" s="641"/>
      <c r="T386" s="64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4301030232</v>
      </c>
      <c r="D387" s="639">
        <v>4607091388374</v>
      </c>
      <c r="E387" s="639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41"/>
      <c r="R387" s="641"/>
      <c r="S387" s="641"/>
      <c r="T387" s="64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4301032015</v>
      </c>
      <c r="D388" s="639">
        <v>4607091383102</v>
      </c>
      <c r="E388" s="639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41"/>
      <c r="R388" s="641"/>
      <c r="S388" s="641"/>
      <c r="T388" s="64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647</v>
      </c>
      <c r="B389" s="63" t="s">
        <v>648</v>
      </c>
      <c r="C389" s="36">
        <v>4301030233</v>
      </c>
      <c r="D389" s="639">
        <v>4607091388404</v>
      </c>
      <c r="E389" s="639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7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41"/>
      <c r="R389" s="641"/>
      <c r="S389" s="641"/>
      <c r="T389" s="64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33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0" t="s">
        <v>40</v>
      </c>
      <c r="Q390" s="631"/>
      <c r="R390" s="631"/>
      <c r="S390" s="631"/>
      <c r="T390" s="631"/>
      <c r="U390" s="631"/>
      <c r="V390" s="632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0" t="s">
        <v>40</v>
      </c>
      <c r="Q391" s="631"/>
      <c r="R391" s="631"/>
      <c r="S391" s="631"/>
      <c r="T391" s="631"/>
      <c r="U391" s="631"/>
      <c r="V391" s="632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customHeight="1" x14ac:dyDescent="0.25">
      <c r="A392" s="644" t="s">
        <v>649</v>
      </c>
      <c r="B392" s="644"/>
      <c r="C392" s="644"/>
      <c r="D392" s="644"/>
      <c r="E392" s="644"/>
      <c r="F392" s="644"/>
      <c r="G392" s="644"/>
      <c r="H392" s="644"/>
      <c r="I392" s="644"/>
      <c r="J392" s="644"/>
      <c r="K392" s="644"/>
      <c r="L392" s="644"/>
      <c r="M392" s="644"/>
      <c r="N392" s="644"/>
      <c r="O392" s="644"/>
      <c r="P392" s="644"/>
      <c r="Q392" s="644"/>
      <c r="R392" s="644"/>
      <c r="S392" s="644"/>
      <c r="T392" s="644"/>
      <c r="U392" s="644"/>
      <c r="V392" s="644"/>
      <c r="W392" s="644"/>
      <c r="X392" s="644"/>
      <c r="Y392" s="644"/>
      <c r="Z392" s="644"/>
      <c r="AA392" s="66"/>
      <c r="AB392" s="66"/>
      <c r="AC392" s="80"/>
    </row>
    <row r="393" spans="1:68" ht="16.5" customHeight="1" x14ac:dyDescent="0.25">
      <c r="A393" s="63" t="s">
        <v>650</v>
      </c>
      <c r="B393" s="63" t="s">
        <v>651</v>
      </c>
      <c r="C393" s="36">
        <v>4301180007</v>
      </c>
      <c r="D393" s="639">
        <v>4680115881808</v>
      </c>
      <c r="E393" s="639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7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41"/>
      <c r="R393" s="641"/>
      <c r="S393" s="641"/>
      <c r="T393" s="64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4301180006</v>
      </c>
      <c r="D394" s="639">
        <v>4680115881822</v>
      </c>
      <c r="E394" s="639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7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41"/>
      <c r="R394" s="641"/>
      <c r="S394" s="641"/>
      <c r="T394" s="64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656</v>
      </c>
      <c r="B395" s="63" t="s">
        <v>657</v>
      </c>
      <c r="C395" s="36">
        <v>4301180001</v>
      </c>
      <c r="D395" s="639">
        <v>4680115880016</v>
      </c>
      <c r="E395" s="639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7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41"/>
      <c r="R395" s="641"/>
      <c r="S395" s="641"/>
      <c r="T395" s="64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IFERROR(IF(Y395=0,"",ROUNDUP(Y395/H395,0)*0.00474),"")</f>
        <v/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33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0" t="s">
        <v>40</v>
      </c>
      <c r="Q396" s="631"/>
      <c r="R396" s="631"/>
      <c r="S396" s="631"/>
      <c r="T396" s="631"/>
      <c r="U396" s="631"/>
      <c r="V396" s="632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0" t="s">
        <v>40</v>
      </c>
      <c r="Q397" s="631"/>
      <c r="R397" s="631"/>
      <c r="S397" s="631"/>
      <c r="T397" s="631"/>
      <c r="U397" s="631"/>
      <c r="V397" s="632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customHeight="1" x14ac:dyDescent="0.25">
      <c r="A398" s="644" t="s">
        <v>658</v>
      </c>
      <c r="B398" s="644"/>
      <c r="C398" s="644"/>
      <c r="D398" s="644"/>
      <c r="E398" s="644"/>
      <c r="F398" s="644"/>
      <c r="G398" s="644"/>
      <c r="H398" s="644"/>
      <c r="I398" s="644"/>
      <c r="J398" s="644"/>
      <c r="K398" s="644"/>
      <c r="L398" s="644"/>
      <c r="M398" s="644"/>
      <c r="N398" s="644"/>
      <c r="O398" s="644"/>
      <c r="P398" s="644"/>
      <c r="Q398" s="644"/>
      <c r="R398" s="644"/>
      <c r="S398" s="644"/>
      <c r="T398" s="644"/>
      <c r="U398" s="644"/>
      <c r="V398" s="644"/>
      <c r="W398" s="644"/>
      <c r="X398" s="644"/>
      <c r="Y398" s="644"/>
      <c r="Z398" s="644"/>
      <c r="AA398" s="66"/>
      <c r="AB398" s="66"/>
      <c r="AC398" s="80"/>
    </row>
    <row r="399" spans="1:68" ht="27" customHeight="1" x14ac:dyDescent="0.25">
      <c r="A399" s="63" t="s">
        <v>659</v>
      </c>
      <c r="B399" s="63" t="s">
        <v>660</v>
      </c>
      <c r="C399" s="36">
        <v>4301220003</v>
      </c>
      <c r="D399" s="639">
        <v>4680115888678</v>
      </c>
      <c r="E399" s="639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71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41"/>
      <c r="R399" s="641"/>
      <c r="S399" s="641"/>
      <c r="T399" s="64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662</v>
      </c>
      <c r="B400" s="63" t="s">
        <v>663</v>
      </c>
      <c r="C400" s="36">
        <v>4301220001</v>
      </c>
      <c r="D400" s="639">
        <v>4680115888654</v>
      </c>
      <c r="E400" s="639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41"/>
      <c r="R400" s="641"/>
      <c r="S400" s="641"/>
      <c r="T400" s="64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665</v>
      </c>
      <c r="B401" s="63" t="s">
        <v>666</v>
      </c>
      <c r="C401" s="36">
        <v>4301220002</v>
      </c>
      <c r="D401" s="639">
        <v>4680115888753</v>
      </c>
      <c r="E401" s="639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70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41"/>
      <c r="R401" s="641"/>
      <c r="S401" s="641"/>
      <c r="T401" s="64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0" t="s">
        <v>40</v>
      </c>
      <c r="Q403" s="631"/>
      <c r="R403" s="631"/>
      <c r="S403" s="631"/>
      <c r="T403" s="631"/>
      <c r="U403" s="631"/>
      <c r="V403" s="632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customHeight="1" x14ac:dyDescent="0.25">
      <c r="A404" s="643" t="s">
        <v>667</v>
      </c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3"/>
      <c r="P404" s="643"/>
      <c r="Q404" s="643"/>
      <c r="R404" s="643"/>
      <c r="S404" s="643"/>
      <c r="T404" s="643"/>
      <c r="U404" s="643"/>
      <c r="V404" s="643"/>
      <c r="W404" s="643"/>
      <c r="X404" s="643"/>
      <c r="Y404" s="643"/>
      <c r="Z404" s="643"/>
      <c r="AA404" s="65"/>
      <c r="AB404" s="65"/>
      <c r="AC404" s="79"/>
    </row>
    <row r="405" spans="1:68" ht="14.25" customHeight="1" x14ac:dyDescent="0.25">
      <c r="A405" s="644" t="s">
        <v>83</v>
      </c>
      <c r="B405" s="644"/>
      <c r="C405" s="644"/>
      <c r="D405" s="644"/>
      <c r="E405" s="644"/>
      <c r="F405" s="644"/>
      <c r="G405" s="644"/>
      <c r="H405" s="644"/>
      <c r="I405" s="644"/>
      <c r="J405" s="644"/>
      <c r="K405" s="644"/>
      <c r="L405" s="644"/>
      <c r="M405" s="644"/>
      <c r="N405" s="644"/>
      <c r="O405" s="644"/>
      <c r="P405" s="644"/>
      <c r="Q405" s="644"/>
      <c r="R405" s="644"/>
      <c r="S405" s="644"/>
      <c r="T405" s="644"/>
      <c r="U405" s="644"/>
      <c r="V405" s="644"/>
      <c r="W405" s="644"/>
      <c r="X405" s="644"/>
      <c r="Y405" s="644"/>
      <c r="Z405" s="644"/>
      <c r="AA405" s="66"/>
      <c r="AB405" s="66"/>
      <c r="AC405" s="80"/>
    </row>
    <row r="406" spans="1:68" ht="16.5" customHeight="1" x14ac:dyDescent="0.25">
      <c r="A406" s="63" t="s">
        <v>668</v>
      </c>
      <c r="B406" s="63" t="s">
        <v>669</v>
      </c>
      <c r="C406" s="36">
        <v>4301052235</v>
      </c>
      <c r="D406" s="639">
        <v>4680115889415</v>
      </c>
      <c r="E406" s="639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70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41"/>
      <c r="R406" s="641"/>
      <c r="S406" s="641"/>
      <c r="T406" s="64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customHeight="1" x14ac:dyDescent="0.25">
      <c r="A407" s="63" t="s">
        <v>671</v>
      </c>
      <c r="B407" s="63" t="s">
        <v>672</v>
      </c>
      <c r="C407" s="36">
        <v>4301052236</v>
      </c>
      <c r="D407" s="639">
        <v>4680115889422</v>
      </c>
      <c r="E407" s="639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70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41"/>
      <c r="R407" s="641"/>
      <c r="S407" s="641"/>
      <c r="T407" s="64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33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0" t="s">
        <v>40</v>
      </c>
      <c r="Q408" s="631"/>
      <c r="R408" s="631"/>
      <c r="S408" s="631"/>
      <c r="T408" s="631"/>
      <c r="U408" s="631"/>
      <c r="V408" s="632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0" t="s">
        <v>40</v>
      </c>
      <c r="Q409" s="631"/>
      <c r="R409" s="631"/>
      <c r="S409" s="631"/>
      <c r="T409" s="631"/>
      <c r="U409" s="631"/>
      <c r="V409" s="632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customHeight="1" x14ac:dyDescent="0.25">
      <c r="A410" s="643" t="s">
        <v>674</v>
      </c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3"/>
      <c r="P410" s="643"/>
      <c r="Q410" s="643"/>
      <c r="R410" s="643"/>
      <c r="S410" s="643"/>
      <c r="T410" s="643"/>
      <c r="U410" s="643"/>
      <c r="V410" s="643"/>
      <c r="W410" s="643"/>
      <c r="X410" s="643"/>
      <c r="Y410" s="643"/>
      <c r="Z410" s="643"/>
      <c r="AA410" s="65"/>
      <c r="AB410" s="65"/>
      <c r="AC410" s="79"/>
    </row>
    <row r="411" spans="1:68" ht="14.25" customHeight="1" x14ac:dyDescent="0.25">
      <c r="A411" s="644" t="s">
        <v>83</v>
      </c>
      <c r="B411" s="644"/>
      <c r="C411" s="644"/>
      <c r="D411" s="644"/>
      <c r="E411" s="644"/>
      <c r="F411" s="644"/>
      <c r="G411" s="644"/>
      <c r="H411" s="644"/>
      <c r="I411" s="644"/>
      <c r="J411" s="644"/>
      <c r="K411" s="644"/>
      <c r="L411" s="644"/>
      <c r="M411" s="644"/>
      <c r="N411" s="644"/>
      <c r="O411" s="644"/>
      <c r="P411" s="644"/>
      <c r="Q411" s="644"/>
      <c r="R411" s="644"/>
      <c r="S411" s="644"/>
      <c r="T411" s="644"/>
      <c r="U411" s="644"/>
      <c r="V411" s="644"/>
      <c r="W411" s="644"/>
      <c r="X411" s="644"/>
      <c r="Y411" s="644"/>
      <c r="Z411" s="644"/>
      <c r="AA411" s="66"/>
      <c r="AB411" s="66"/>
      <c r="AC411" s="80"/>
    </row>
    <row r="412" spans="1:68" ht="27" customHeight="1" x14ac:dyDescent="0.25">
      <c r="A412" s="63" t="s">
        <v>675</v>
      </c>
      <c r="B412" s="63" t="s">
        <v>676</v>
      </c>
      <c r="C412" s="36">
        <v>4301051489</v>
      </c>
      <c r="D412" s="639">
        <v>4607091387919</v>
      </c>
      <c r="E412" s="639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70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41"/>
      <c r="R412" s="641"/>
      <c r="S412" s="641"/>
      <c r="T412" s="64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678</v>
      </c>
      <c r="B413" s="63" t="s">
        <v>679</v>
      </c>
      <c r="C413" s="36">
        <v>4301051461</v>
      </c>
      <c r="D413" s="639">
        <v>4680115883604</v>
      </c>
      <c r="E413" s="639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7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41"/>
      <c r="R413" s="641"/>
      <c r="S413" s="641"/>
      <c r="T413" s="64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IFERROR(IF(Y413=0,"",ROUNDUP(Y413/H413,0)*0.00651),"")</f>
        <v/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681</v>
      </c>
      <c r="B414" s="63" t="s">
        <v>682</v>
      </c>
      <c r="C414" s="36">
        <v>4301051864</v>
      </c>
      <c r="D414" s="639">
        <v>4680115883567</v>
      </c>
      <c r="E414" s="639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7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41"/>
      <c r="R414" s="641"/>
      <c r="S414" s="641"/>
      <c r="T414" s="64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33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0" t="s">
        <v>40</v>
      </c>
      <c r="Q415" s="631"/>
      <c r="R415" s="631"/>
      <c r="S415" s="631"/>
      <c r="T415" s="631"/>
      <c r="U415" s="631"/>
      <c r="V415" s="632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0" t="s">
        <v>40</v>
      </c>
      <c r="Q416" s="631"/>
      <c r="R416" s="631"/>
      <c r="S416" s="631"/>
      <c r="T416" s="631"/>
      <c r="U416" s="631"/>
      <c r="V416" s="632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27.75" customHeight="1" x14ac:dyDescent="0.2">
      <c r="A417" s="650" t="s">
        <v>684</v>
      </c>
      <c r="B417" s="650"/>
      <c r="C417" s="650"/>
      <c r="D417" s="650"/>
      <c r="E417" s="650"/>
      <c r="F417" s="650"/>
      <c r="G417" s="650"/>
      <c r="H417" s="650"/>
      <c r="I417" s="650"/>
      <c r="J417" s="650"/>
      <c r="K417" s="650"/>
      <c r="L417" s="650"/>
      <c r="M417" s="650"/>
      <c r="N417" s="650"/>
      <c r="O417" s="650"/>
      <c r="P417" s="650"/>
      <c r="Q417" s="650"/>
      <c r="R417" s="650"/>
      <c r="S417" s="650"/>
      <c r="T417" s="650"/>
      <c r="U417" s="650"/>
      <c r="V417" s="650"/>
      <c r="W417" s="650"/>
      <c r="X417" s="650"/>
      <c r="Y417" s="650"/>
      <c r="Z417" s="650"/>
      <c r="AA417" s="54"/>
      <c r="AB417" s="54"/>
      <c r="AC417" s="54"/>
    </row>
    <row r="418" spans="1:68" ht="16.5" customHeight="1" x14ac:dyDescent="0.25">
      <c r="A418" s="643" t="s">
        <v>685</v>
      </c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3"/>
      <c r="P418" s="643"/>
      <c r="Q418" s="643"/>
      <c r="R418" s="643"/>
      <c r="S418" s="643"/>
      <c r="T418" s="643"/>
      <c r="U418" s="643"/>
      <c r="V418" s="643"/>
      <c r="W418" s="643"/>
      <c r="X418" s="643"/>
      <c r="Y418" s="643"/>
      <c r="Z418" s="643"/>
      <c r="AA418" s="65"/>
      <c r="AB418" s="65"/>
      <c r="AC418" s="79"/>
    </row>
    <row r="419" spans="1:68" ht="14.25" customHeight="1" x14ac:dyDescent="0.25">
      <c r="A419" s="644" t="s">
        <v>119</v>
      </c>
      <c r="B419" s="644"/>
      <c r="C419" s="644"/>
      <c r="D419" s="644"/>
      <c r="E419" s="644"/>
      <c r="F419" s="644"/>
      <c r="G419" s="644"/>
      <c r="H419" s="644"/>
      <c r="I419" s="644"/>
      <c r="J419" s="644"/>
      <c r="K419" s="644"/>
      <c r="L419" s="644"/>
      <c r="M419" s="644"/>
      <c r="N419" s="644"/>
      <c r="O419" s="644"/>
      <c r="P419" s="644"/>
      <c r="Q419" s="644"/>
      <c r="R419" s="644"/>
      <c r="S419" s="644"/>
      <c r="T419" s="644"/>
      <c r="U419" s="644"/>
      <c r="V419" s="644"/>
      <c r="W419" s="644"/>
      <c r="X419" s="644"/>
      <c r="Y419" s="644"/>
      <c r="Z419" s="644"/>
      <c r="AA419" s="66"/>
      <c r="AB419" s="66"/>
      <c r="AC419" s="80"/>
    </row>
    <row r="420" spans="1:68" ht="27" customHeight="1" x14ac:dyDescent="0.25">
      <c r="A420" s="63" t="s">
        <v>686</v>
      </c>
      <c r="B420" s="63" t="s">
        <v>687</v>
      </c>
      <c r="C420" s="36">
        <v>4301012332</v>
      </c>
      <c r="D420" s="639">
        <v>4680115888401</v>
      </c>
      <c r="E420" s="639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70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41"/>
      <c r="R420" s="641"/>
      <c r="S420" s="641"/>
      <c r="T420" s="642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ref="Y420:Y427" si="61">IFERROR(IF(X420="",0,CEILING((X420/$H420),1)*$H420),"")</f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0</v>
      </c>
      <c r="BN420" s="78">
        <f t="shared" ref="BN420:BN427" si="63">IFERROR(Y420*I420/H420,"0")</f>
        <v>0</v>
      </c>
      <c r="BO420" s="78">
        <f t="shared" ref="BO420:BO427" si="64">IFERROR(1/J420*(X420/H420),"0")</f>
        <v>0</v>
      </c>
      <c r="BP420" s="78">
        <f t="shared" ref="BP420:BP427" si="65">IFERROR(1/J420*(Y420/H420),"0")</f>
        <v>0</v>
      </c>
    </row>
    <row r="421" spans="1:68" ht="37.5" customHeight="1" x14ac:dyDescent="0.25">
      <c r="A421" s="63" t="s">
        <v>689</v>
      </c>
      <c r="B421" s="63" t="s">
        <v>690</v>
      </c>
      <c r="C421" s="36">
        <v>4301011869</v>
      </c>
      <c r="D421" s="639">
        <v>4680115884847</v>
      </c>
      <c r="E421" s="639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7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41"/>
      <c r="R421" s="641"/>
      <c r="S421" s="641"/>
      <c r="T421" s="642"/>
      <c r="U421" s="39" t="s">
        <v>46</v>
      </c>
      <c r="V421" s="39" t="s">
        <v>46</v>
      </c>
      <c r="W421" s="40" t="s">
        <v>0</v>
      </c>
      <c r="X421" s="58">
        <v>0</v>
      </c>
      <c r="Y421" s="55">
        <f t="shared" si="61"/>
        <v>0</v>
      </c>
      <c r="Z421" s="41" t="str">
        <f>IFERROR(IF(Y421=0,"",ROUNDUP(Y421/H421,0)*0.02175),"")</f>
        <v/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0</v>
      </c>
      <c r="BN421" s="78">
        <f t="shared" si="63"/>
        <v>0</v>
      </c>
      <c r="BO421" s="78">
        <f t="shared" si="64"/>
        <v>0</v>
      </c>
      <c r="BP421" s="78">
        <f t="shared" si="65"/>
        <v>0</v>
      </c>
    </row>
    <row r="422" spans="1:68" ht="27" customHeight="1" x14ac:dyDescent="0.25">
      <c r="A422" s="63" t="s">
        <v>692</v>
      </c>
      <c r="B422" s="63" t="s">
        <v>693</v>
      </c>
      <c r="C422" s="36">
        <v>4301012083</v>
      </c>
      <c r="D422" s="639">
        <v>4680115884854</v>
      </c>
      <c r="E422" s="639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41"/>
      <c r="R422" s="641"/>
      <c r="S422" s="641"/>
      <c r="T422" s="642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si="61"/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0</v>
      </c>
      <c r="BN422" s="78">
        <f t="shared" si="63"/>
        <v>0</v>
      </c>
      <c r="BO422" s="78">
        <f t="shared" si="64"/>
        <v>0</v>
      </c>
      <c r="BP422" s="78">
        <f t="shared" si="65"/>
        <v>0</v>
      </c>
    </row>
    <row r="423" spans="1:68" ht="27" customHeight="1" x14ac:dyDescent="0.25">
      <c r="A423" s="63" t="s">
        <v>695</v>
      </c>
      <c r="B423" s="63" t="s">
        <v>696</v>
      </c>
      <c r="C423" s="36">
        <v>4301011867</v>
      </c>
      <c r="D423" s="639">
        <v>4680115884830</v>
      </c>
      <c r="E423" s="63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6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41"/>
      <c r="R423" s="641"/>
      <c r="S423" s="641"/>
      <c r="T423" s="64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si="61"/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0</v>
      </c>
      <c r="BN423" s="78">
        <f t="shared" si="63"/>
        <v>0</v>
      </c>
      <c r="BO423" s="78">
        <f t="shared" si="64"/>
        <v>0</v>
      </c>
      <c r="BP423" s="78">
        <f t="shared" si="65"/>
        <v>0</v>
      </c>
    </row>
    <row r="424" spans="1:68" ht="27" customHeight="1" x14ac:dyDescent="0.25">
      <c r="A424" s="63" t="s">
        <v>698</v>
      </c>
      <c r="B424" s="63" t="s">
        <v>699</v>
      </c>
      <c r="C424" s="36">
        <v>4301012356</v>
      </c>
      <c r="D424" s="639">
        <v>4680115889231</v>
      </c>
      <c r="E424" s="63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69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41"/>
      <c r="R424" s="641"/>
      <c r="S424" s="641"/>
      <c r="T424" s="64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61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0</v>
      </c>
      <c r="BN424" s="78">
        <f t="shared" si="63"/>
        <v>0</v>
      </c>
      <c r="BO424" s="78">
        <f t="shared" si="64"/>
        <v>0</v>
      </c>
      <c r="BP424" s="78">
        <f t="shared" si="65"/>
        <v>0</v>
      </c>
    </row>
    <row r="425" spans="1:68" ht="27" customHeight="1" x14ac:dyDescent="0.25">
      <c r="A425" s="63" t="s">
        <v>701</v>
      </c>
      <c r="B425" s="63" t="s">
        <v>702</v>
      </c>
      <c r="C425" s="36">
        <v>4301011433</v>
      </c>
      <c r="D425" s="639">
        <v>4680115882638</v>
      </c>
      <c r="E425" s="639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41"/>
      <c r="R425" s="641"/>
      <c r="S425" s="641"/>
      <c r="T425" s="64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customHeight="1" x14ac:dyDescent="0.25">
      <c r="A426" s="63" t="s">
        <v>704</v>
      </c>
      <c r="B426" s="63" t="s">
        <v>705</v>
      </c>
      <c r="C426" s="36">
        <v>4301011952</v>
      </c>
      <c r="D426" s="639">
        <v>4680115884922</v>
      </c>
      <c r="E426" s="639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41"/>
      <c r="R426" s="641"/>
      <c r="S426" s="641"/>
      <c r="T426" s="64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customHeight="1" x14ac:dyDescent="0.25">
      <c r="A427" s="63" t="s">
        <v>707</v>
      </c>
      <c r="B427" s="63" t="s">
        <v>708</v>
      </c>
      <c r="C427" s="36">
        <v>4301011868</v>
      </c>
      <c r="D427" s="639">
        <v>4680115884861</v>
      </c>
      <c r="E427" s="639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6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41"/>
      <c r="R427" s="641"/>
      <c r="S427" s="641"/>
      <c r="T427" s="64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1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0</v>
      </c>
      <c r="BN427" s="78">
        <f t="shared" si="63"/>
        <v>0</v>
      </c>
      <c r="BO427" s="78">
        <f t="shared" si="64"/>
        <v>0</v>
      </c>
      <c r="BP427" s="78">
        <f t="shared" si="65"/>
        <v>0</v>
      </c>
    </row>
    <row r="428" spans="1:68" x14ac:dyDescent="0.2">
      <c r="A428" s="633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0" t="s">
        <v>40</v>
      </c>
      <c r="Q428" s="631"/>
      <c r="R428" s="631"/>
      <c r="S428" s="631"/>
      <c r="T428" s="631"/>
      <c r="U428" s="631"/>
      <c r="V428" s="632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0</v>
      </c>
      <c r="Y428" s="43">
        <f>IFERROR(Y420/H420,"0")+IFERROR(Y421/H421,"0")+IFERROR(Y422/H422,"0")+IFERROR(Y423/H423,"0")+IFERROR(Y424/H424,"0")+IFERROR(Y425/H425,"0")+IFERROR(Y426/H426,"0")+IFERROR(Y427/H427,"0")</f>
        <v>0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0</v>
      </c>
      <c r="AA428" s="67"/>
      <c r="AB428" s="67"/>
      <c r="AC428" s="67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0" t="s">
        <v>40</v>
      </c>
      <c r="Q429" s="631"/>
      <c r="R429" s="631"/>
      <c r="S429" s="631"/>
      <c r="T429" s="631"/>
      <c r="U429" s="631"/>
      <c r="V429" s="632"/>
      <c r="W429" s="42" t="s">
        <v>0</v>
      </c>
      <c r="X429" s="43">
        <f>IFERROR(SUM(X420:X427),"0")</f>
        <v>0</v>
      </c>
      <c r="Y429" s="43">
        <f>IFERROR(SUM(Y420:Y427),"0")</f>
        <v>0</v>
      </c>
      <c r="Z429" s="42"/>
      <c r="AA429" s="67"/>
      <c r="AB429" s="67"/>
      <c r="AC429" s="67"/>
    </row>
    <row r="430" spans="1:68" ht="14.25" customHeight="1" x14ac:dyDescent="0.25">
      <c r="A430" s="644" t="s">
        <v>154</v>
      </c>
      <c r="B430" s="644"/>
      <c r="C430" s="644"/>
      <c r="D430" s="644"/>
      <c r="E430" s="644"/>
      <c r="F430" s="644"/>
      <c r="G430" s="644"/>
      <c r="H430" s="644"/>
      <c r="I430" s="644"/>
      <c r="J430" s="644"/>
      <c r="K430" s="644"/>
      <c r="L430" s="644"/>
      <c r="M430" s="644"/>
      <c r="N430" s="644"/>
      <c r="O430" s="644"/>
      <c r="P430" s="644"/>
      <c r="Q430" s="644"/>
      <c r="R430" s="644"/>
      <c r="S430" s="644"/>
      <c r="T430" s="644"/>
      <c r="U430" s="644"/>
      <c r="V430" s="644"/>
      <c r="W430" s="644"/>
      <c r="X430" s="644"/>
      <c r="Y430" s="644"/>
      <c r="Z430" s="644"/>
      <c r="AA430" s="66"/>
      <c r="AB430" s="66"/>
      <c r="AC430" s="80"/>
    </row>
    <row r="431" spans="1:68" ht="27" customHeight="1" x14ac:dyDescent="0.25">
      <c r="A431" s="63" t="s">
        <v>710</v>
      </c>
      <c r="B431" s="63" t="s">
        <v>711</v>
      </c>
      <c r="C431" s="36">
        <v>4301020178</v>
      </c>
      <c r="D431" s="639">
        <v>4607091383980</v>
      </c>
      <c r="E431" s="639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41"/>
      <c r="R431" s="641"/>
      <c r="S431" s="641"/>
      <c r="T431" s="642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713</v>
      </c>
      <c r="B432" s="63" t="s">
        <v>714</v>
      </c>
      <c r="C432" s="36">
        <v>4301020355</v>
      </c>
      <c r="D432" s="639">
        <v>4680115888425</v>
      </c>
      <c r="E432" s="639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69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41"/>
      <c r="R432" s="641"/>
      <c r="S432" s="641"/>
      <c r="T432" s="642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customHeight="1" x14ac:dyDescent="0.25">
      <c r="A433" s="63" t="s">
        <v>716</v>
      </c>
      <c r="B433" s="63" t="s">
        <v>717</v>
      </c>
      <c r="C433" s="36">
        <v>4301020179</v>
      </c>
      <c r="D433" s="639">
        <v>4607091384178</v>
      </c>
      <c r="E433" s="639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69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41"/>
      <c r="R433" s="641"/>
      <c r="S433" s="641"/>
      <c r="T433" s="642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633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0" t="s">
        <v>40</v>
      </c>
      <c r="Q434" s="631"/>
      <c r="R434" s="631"/>
      <c r="S434" s="631"/>
      <c r="T434" s="631"/>
      <c r="U434" s="631"/>
      <c r="V434" s="632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0" t="s">
        <v>40</v>
      </c>
      <c r="Q435" s="631"/>
      <c r="R435" s="631"/>
      <c r="S435" s="631"/>
      <c r="T435" s="631"/>
      <c r="U435" s="631"/>
      <c r="V435" s="632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14.25" customHeight="1" x14ac:dyDescent="0.25">
      <c r="A436" s="644" t="s">
        <v>83</v>
      </c>
      <c r="B436" s="644"/>
      <c r="C436" s="644"/>
      <c r="D436" s="644"/>
      <c r="E436" s="644"/>
      <c r="F436" s="644"/>
      <c r="G436" s="644"/>
      <c r="H436" s="644"/>
      <c r="I436" s="644"/>
      <c r="J436" s="644"/>
      <c r="K436" s="644"/>
      <c r="L436" s="644"/>
      <c r="M436" s="644"/>
      <c r="N436" s="644"/>
      <c r="O436" s="644"/>
      <c r="P436" s="644"/>
      <c r="Q436" s="644"/>
      <c r="R436" s="644"/>
      <c r="S436" s="644"/>
      <c r="T436" s="644"/>
      <c r="U436" s="644"/>
      <c r="V436" s="644"/>
      <c r="W436" s="644"/>
      <c r="X436" s="644"/>
      <c r="Y436" s="644"/>
      <c r="Z436" s="644"/>
      <c r="AA436" s="66"/>
      <c r="AB436" s="66"/>
      <c r="AC436" s="80"/>
    </row>
    <row r="437" spans="1:68" ht="27" customHeight="1" x14ac:dyDescent="0.25">
      <c r="A437" s="63" t="s">
        <v>719</v>
      </c>
      <c r="B437" s="63" t="s">
        <v>720</v>
      </c>
      <c r="C437" s="36">
        <v>4301051903</v>
      </c>
      <c r="D437" s="639">
        <v>4607091383928</v>
      </c>
      <c r="E437" s="639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41"/>
      <c r="R437" s="641"/>
      <c r="S437" s="641"/>
      <c r="T437" s="64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722</v>
      </c>
      <c r="B438" s="63" t="s">
        <v>723</v>
      </c>
      <c r="C438" s="36">
        <v>4301051897</v>
      </c>
      <c r="D438" s="639">
        <v>4607091384260</v>
      </c>
      <c r="E438" s="639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6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41"/>
      <c r="R438" s="641"/>
      <c r="S438" s="641"/>
      <c r="T438" s="64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725</v>
      </c>
      <c r="B439" s="63" t="s">
        <v>726</v>
      </c>
      <c r="C439" s="36">
        <v>4301052220</v>
      </c>
      <c r="D439" s="639">
        <v>4680115889538</v>
      </c>
      <c r="E439" s="639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69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41"/>
      <c r="R439" s="641"/>
      <c r="S439" s="641"/>
      <c r="T439" s="64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0" t="s">
        <v>40</v>
      </c>
      <c r="Q441" s="631"/>
      <c r="R441" s="631"/>
      <c r="S441" s="631"/>
      <c r="T441" s="631"/>
      <c r="U441" s="631"/>
      <c r="V441" s="632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customHeight="1" x14ac:dyDescent="0.25">
      <c r="A442" s="644" t="s">
        <v>172</v>
      </c>
      <c r="B442" s="644"/>
      <c r="C442" s="644"/>
      <c r="D442" s="644"/>
      <c r="E442" s="644"/>
      <c r="F442" s="644"/>
      <c r="G442" s="644"/>
      <c r="H442" s="644"/>
      <c r="I442" s="644"/>
      <c r="J442" s="644"/>
      <c r="K442" s="644"/>
      <c r="L442" s="644"/>
      <c r="M442" s="644"/>
      <c r="N442" s="644"/>
      <c r="O442" s="644"/>
      <c r="P442" s="644"/>
      <c r="Q442" s="644"/>
      <c r="R442" s="644"/>
      <c r="S442" s="644"/>
      <c r="T442" s="644"/>
      <c r="U442" s="644"/>
      <c r="V442" s="644"/>
      <c r="W442" s="644"/>
      <c r="X442" s="644"/>
      <c r="Y442" s="644"/>
      <c r="Z442" s="644"/>
      <c r="AA442" s="66"/>
      <c r="AB442" s="66"/>
      <c r="AC442" s="80"/>
    </row>
    <row r="443" spans="1:68" ht="27" customHeight="1" x14ac:dyDescent="0.25">
      <c r="A443" s="63" t="s">
        <v>728</v>
      </c>
      <c r="B443" s="63" t="s">
        <v>729</v>
      </c>
      <c r="C443" s="36">
        <v>4301060537</v>
      </c>
      <c r="D443" s="639">
        <v>4680115889545</v>
      </c>
      <c r="E443" s="639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68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41"/>
      <c r="R443" s="641"/>
      <c r="S443" s="641"/>
      <c r="T443" s="64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731</v>
      </c>
      <c r="B444" s="63" t="s">
        <v>732</v>
      </c>
      <c r="C444" s="36">
        <v>4301060524</v>
      </c>
      <c r="D444" s="639">
        <v>4607091384673</v>
      </c>
      <c r="E444" s="63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6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41"/>
      <c r="R444" s="641"/>
      <c r="S444" s="641"/>
      <c r="T444" s="64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0" t="s">
        <v>40</v>
      </c>
      <c r="Q446" s="631"/>
      <c r="R446" s="631"/>
      <c r="S446" s="631"/>
      <c r="T446" s="631"/>
      <c r="U446" s="631"/>
      <c r="V446" s="632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customHeight="1" x14ac:dyDescent="0.25">
      <c r="A447" s="643" t="s">
        <v>734</v>
      </c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3"/>
      <c r="P447" s="643"/>
      <c r="Q447" s="643"/>
      <c r="R447" s="643"/>
      <c r="S447" s="643"/>
      <c r="T447" s="643"/>
      <c r="U447" s="643"/>
      <c r="V447" s="643"/>
      <c r="W447" s="643"/>
      <c r="X447" s="643"/>
      <c r="Y447" s="643"/>
      <c r="Z447" s="643"/>
      <c r="AA447" s="65"/>
      <c r="AB447" s="65"/>
      <c r="AC447" s="79"/>
    </row>
    <row r="448" spans="1:68" ht="14.25" customHeight="1" x14ac:dyDescent="0.25">
      <c r="A448" s="644" t="s">
        <v>119</v>
      </c>
      <c r="B448" s="644"/>
      <c r="C448" s="644"/>
      <c r="D448" s="644"/>
      <c r="E448" s="644"/>
      <c r="F448" s="644"/>
      <c r="G448" s="644"/>
      <c r="H448" s="644"/>
      <c r="I448" s="644"/>
      <c r="J448" s="644"/>
      <c r="K448" s="644"/>
      <c r="L448" s="644"/>
      <c r="M448" s="644"/>
      <c r="N448" s="644"/>
      <c r="O448" s="644"/>
      <c r="P448" s="644"/>
      <c r="Q448" s="644"/>
      <c r="R448" s="644"/>
      <c r="S448" s="644"/>
      <c r="T448" s="644"/>
      <c r="U448" s="644"/>
      <c r="V448" s="644"/>
      <c r="W448" s="644"/>
      <c r="X448" s="644"/>
      <c r="Y448" s="644"/>
      <c r="Z448" s="644"/>
      <c r="AA448" s="66"/>
      <c r="AB448" s="66"/>
      <c r="AC448" s="80"/>
    </row>
    <row r="449" spans="1:68" ht="27" customHeight="1" x14ac:dyDescent="0.25">
      <c r="A449" s="63" t="s">
        <v>735</v>
      </c>
      <c r="B449" s="63" t="s">
        <v>736</v>
      </c>
      <c r="C449" s="36">
        <v>4301011875</v>
      </c>
      <c r="D449" s="639">
        <v>4680115884885</v>
      </c>
      <c r="E449" s="639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6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41"/>
      <c r="R449" s="641"/>
      <c r="S449" s="641"/>
      <c r="T449" s="64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37.5" customHeight="1" x14ac:dyDescent="0.25">
      <c r="A450" s="63" t="s">
        <v>738</v>
      </c>
      <c r="B450" s="63" t="s">
        <v>739</v>
      </c>
      <c r="C450" s="36">
        <v>4301011871</v>
      </c>
      <c r="D450" s="639">
        <v>4680115884908</v>
      </c>
      <c r="E450" s="639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6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41"/>
      <c r="R450" s="641"/>
      <c r="S450" s="641"/>
      <c r="T450" s="64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33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0" t="s">
        <v>40</v>
      </c>
      <c r="Q451" s="631"/>
      <c r="R451" s="631"/>
      <c r="S451" s="631"/>
      <c r="T451" s="631"/>
      <c r="U451" s="631"/>
      <c r="V451" s="632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0" t="s">
        <v>40</v>
      </c>
      <c r="Q452" s="631"/>
      <c r="R452" s="631"/>
      <c r="S452" s="631"/>
      <c r="T452" s="631"/>
      <c r="U452" s="631"/>
      <c r="V452" s="632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4.25" customHeight="1" x14ac:dyDescent="0.25">
      <c r="A453" s="644" t="s">
        <v>77</v>
      </c>
      <c r="B453" s="644"/>
      <c r="C453" s="644"/>
      <c r="D453" s="644"/>
      <c r="E453" s="644"/>
      <c r="F453" s="644"/>
      <c r="G453" s="644"/>
      <c r="H453" s="644"/>
      <c r="I453" s="644"/>
      <c r="J453" s="644"/>
      <c r="K453" s="644"/>
      <c r="L453" s="644"/>
      <c r="M453" s="644"/>
      <c r="N453" s="644"/>
      <c r="O453" s="644"/>
      <c r="P453" s="644"/>
      <c r="Q453" s="644"/>
      <c r="R453" s="644"/>
      <c r="S453" s="644"/>
      <c r="T453" s="644"/>
      <c r="U453" s="644"/>
      <c r="V453" s="644"/>
      <c r="W453" s="644"/>
      <c r="X453" s="644"/>
      <c r="Y453" s="644"/>
      <c r="Z453" s="644"/>
      <c r="AA453" s="66"/>
      <c r="AB453" s="66"/>
      <c r="AC453" s="80"/>
    </row>
    <row r="454" spans="1:68" ht="27" customHeight="1" x14ac:dyDescent="0.25">
      <c r="A454" s="63" t="s">
        <v>740</v>
      </c>
      <c r="B454" s="63" t="s">
        <v>741</v>
      </c>
      <c r="C454" s="36">
        <v>4301031457</v>
      </c>
      <c r="D454" s="639">
        <v>4607091384802</v>
      </c>
      <c r="E454" s="639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68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41"/>
      <c r="R454" s="641"/>
      <c r="S454" s="641"/>
      <c r="T454" s="64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customHeight="1" x14ac:dyDescent="0.25">
      <c r="A457" s="644" t="s">
        <v>83</v>
      </c>
      <c r="B457" s="644"/>
      <c r="C457" s="644"/>
      <c r="D457" s="644"/>
      <c r="E457" s="644"/>
      <c r="F457" s="644"/>
      <c r="G457" s="644"/>
      <c r="H457" s="644"/>
      <c r="I457" s="644"/>
      <c r="J457" s="644"/>
      <c r="K457" s="644"/>
      <c r="L457" s="644"/>
      <c r="M457" s="644"/>
      <c r="N457" s="644"/>
      <c r="O457" s="644"/>
      <c r="P457" s="644"/>
      <c r="Q457" s="644"/>
      <c r="R457" s="644"/>
      <c r="S457" s="644"/>
      <c r="T457" s="644"/>
      <c r="U457" s="644"/>
      <c r="V457" s="644"/>
      <c r="W457" s="644"/>
      <c r="X457" s="644"/>
      <c r="Y457" s="644"/>
      <c r="Z457" s="644"/>
      <c r="AA457" s="66"/>
      <c r="AB457" s="66"/>
      <c r="AC457" s="80"/>
    </row>
    <row r="458" spans="1:68" ht="27" customHeight="1" x14ac:dyDescent="0.25">
      <c r="A458" s="63" t="s">
        <v>743</v>
      </c>
      <c r="B458" s="63" t="s">
        <v>744</v>
      </c>
      <c r="C458" s="36">
        <v>4301051899</v>
      </c>
      <c r="D458" s="639">
        <v>4607091384246</v>
      </c>
      <c r="E458" s="639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68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41"/>
      <c r="R458" s="641"/>
      <c r="S458" s="641"/>
      <c r="T458" s="642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746</v>
      </c>
      <c r="B459" s="63" t="s">
        <v>747</v>
      </c>
      <c r="C459" s="36">
        <v>4301051660</v>
      </c>
      <c r="D459" s="639">
        <v>4607091384253</v>
      </c>
      <c r="E459" s="639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68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41"/>
      <c r="R459" s="641"/>
      <c r="S459" s="641"/>
      <c r="T459" s="64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746</v>
      </c>
      <c r="B460" s="63" t="s">
        <v>748</v>
      </c>
      <c r="C460" s="36">
        <v>4301052069</v>
      </c>
      <c r="D460" s="639">
        <v>4607091384253</v>
      </c>
      <c r="E460" s="639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68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41"/>
      <c r="R460" s="641"/>
      <c r="S460" s="641"/>
      <c r="T460" s="64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33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0" t="s">
        <v>40</v>
      </c>
      <c r="Q461" s="631"/>
      <c r="R461" s="631"/>
      <c r="S461" s="631"/>
      <c r="T461" s="631"/>
      <c r="U461" s="631"/>
      <c r="V461" s="632"/>
      <c r="W461" s="42" t="s">
        <v>39</v>
      </c>
      <c r="X461" s="43">
        <f>IFERROR(X458/H458,"0")+IFERROR(X459/H459,"0")+IFERROR(X460/H460,"0")</f>
        <v>0</v>
      </c>
      <c r="Y461" s="43">
        <f>IFERROR(Y458/H458,"0")+IFERROR(Y459/H459,"0")+IFERROR(Y460/H460,"0")</f>
        <v>0</v>
      </c>
      <c r="Z461" s="43">
        <f>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0" t="s">
        <v>40</v>
      </c>
      <c r="Q462" s="631"/>
      <c r="R462" s="631"/>
      <c r="S462" s="631"/>
      <c r="T462" s="631"/>
      <c r="U462" s="631"/>
      <c r="V462" s="632"/>
      <c r="W462" s="42" t="s">
        <v>0</v>
      </c>
      <c r="X462" s="43">
        <f>IFERROR(SUM(X458:X460),"0")</f>
        <v>0</v>
      </c>
      <c r="Y462" s="43">
        <f>IFERROR(SUM(Y458:Y460),"0")</f>
        <v>0</v>
      </c>
      <c r="Z462" s="42"/>
      <c r="AA462" s="67"/>
      <c r="AB462" s="67"/>
      <c r="AC462" s="67"/>
    </row>
    <row r="463" spans="1:68" ht="27.75" customHeight="1" x14ac:dyDescent="0.2">
      <c r="A463" s="650" t="s">
        <v>750</v>
      </c>
      <c r="B463" s="650"/>
      <c r="C463" s="650"/>
      <c r="D463" s="650"/>
      <c r="E463" s="650"/>
      <c r="F463" s="650"/>
      <c r="G463" s="650"/>
      <c r="H463" s="650"/>
      <c r="I463" s="650"/>
      <c r="J463" s="650"/>
      <c r="K463" s="650"/>
      <c r="L463" s="650"/>
      <c r="M463" s="650"/>
      <c r="N463" s="650"/>
      <c r="O463" s="650"/>
      <c r="P463" s="650"/>
      <c r="Q463" s="650"/>
      <c r="R463" s="650"/>
      <c r="S463" s="650"/>
      <c r="T463" s="650"/>
      <c r="U463" s="650"/>
      <c r="V463" s="650"/>
      <c r="W463" s="650"/>
      <c r="X463" s="650"/>
      <c r="Y463" s="650"/>
      <c r="Z463" s="650"/>
      <c r="AA463" s="54"/>
      <c r="AB463" s="54"/>
      <c r="AC463" s="54"/>
    </row>
    <row r="464" spans="1:68" ht="16.5" customHeight="1" x14ac:dyDescent="0.25">
      <c r="A464" s="643" t="s">
        <v>751</v>
      </c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3"/>
      <c r="P464" s="643"/>
      <c r="Q464" s="643"/>
      <c r="R464" s="643"/>
      <c r="S464" s="643"/>
      <c r="T464" s="643"/>
      <c r="U464" s="643"/>
      <c r="V464" s="643"/>
      <c r="W464" s="643"/>
      <c r="X464" s="643"/>
      <c r="Y464" s="643"/>
      <c r="Z464" s="643"/>
      <c r="AA464" s="65"/>
      <c r="AB464" s="65"/>
      <c r="AC464" s="79"/>
    </row>
    <row r="465" spans="1:68" ht="14.25" customHeight="1" x14ac:dyDescent="0.25">
      <c r="A465" s="644" t="s">
        <v>77</v>
      </c>
      <c r="B465" s="644"/>
      <c r="C465" s="644"/>
      <c r="D465" s="644"/>
      <c r="E465" s="644"/>
      <c r="F465" s="644"/>
      <c r="G465" s="644"/>
      <c r="H465" s="644"/>
      <c r="I465" s="644"/>
      <c r="J465" s="644"/>
      <c r="K465" s="644"/>
      <c r="L465" s="644"/>
      <c r="M465" s="644"/>
      <c r="N465" s="644"/>
      <c r="O465" s="644"/>
      <c r="P465" s="644"/>
      <c r="Q465" s="644"/>
      <c r="R465" s="644"/>
      <c r="S465" s="644"/>
      <c r="T465" s="644"/>
      <c r="U465" s="644"/>
      <c r="V465" s="644"/>
      <c r="W465" s="644"/>
      <c r="X465" s="644"/>
      <c r="Y465" s="644"/>
      <c r="Z465" s="644"/>
      <c r="AA465" s="66"/>
      <c r="AB465" s="66"/>
      <c r="AC465" s="80"/>
    </row>
    <row r="466" spans="1:68" ht="27" customHeight="1" x14ac:dyDescent="0.25">
      <c r="A466" s="63" t="s">
        <v>752</v>
      </c>
      <c r="B466" s="63" t="s">
        <v>753</v>
      </c>
      <c r="C466" s="36">
        <v>4301031405</v>
      </c>
      <c r="D466" s="639">
        <v>4680115886100</v>
      </c>
      <c r="E466" s="639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41"/>
      <c r="R466" s="641"/>
      <c r="S466" s="641"/>
      <c r="T466" s="642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customHeight="1" x14ac:dyDescent="0.25">
      <c r="A467" s="63" t="s">
        <v>755</v>
      </c>
      <c r="B467" s="63" t="s">
        <v>756</v>
      </c>
      <c r="C467" s="36">
        <v>4301031402</v>
      </c>
      <c r="D467" s="639">
        <v>4680115886124</v>
      </c>
      <c r="E467" s="639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41"/>
      <c r="R467" s="641"/>
      <c r="S467" s="641"/>
      <c r="T467" s="642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customHeight="1" x14ac:dyDescent="0.25">
      <c r="A468" s="63" t="s">
        <v>758</v>
      </c>
      <c r="B468" s="63" t="s">
        <v>759</v>
      </c>
      <c r="C468" s="36">
        <v>4301031362</v>
      </c>
      <c r="D468" s="639">
        <v>4607091384338</v>
      </c>
      <c r="E468" s="639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41"/>
      <c r="R468" s="641"/>
      <c r="S468" s="641"/>
      <c r="T468" s="642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customHeight="1" x14ac:dyDescent="0.25">
      <c r="A469" s="63" t="s">
        <v>760</v>
      </c>
      <c r="B469" s="63" t="s">
        <v>761</v>
      </c>
      <c r="C469" s="36">
        <v>4301031364</v>
      </c>
      <c r="D469" s="639">
        <v>4680115883161</v>
      </c>
      <c r="E469" s="639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41"/>
      <c r="R469" s="641"/>
      <c r="S469" s="641"/>
      <c r="T469" s="64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customHeight="1" x14ac:dyDescent="0.25">
      <c r="A470" s="63" t="s">
        <v>763</v>
      </c>
      <c r="B470" s="63" t="s">
        <v>764</v>
      </c>
      <c r="C470" s="36">
        <v>4301031358</v>
      </c>
      <c r="D470" s="639">
        <v>4607091389531</v>
      </c>
      <c r="E470" s="639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41"/>
      <c r="R470" s="641"/>
      <c r="S470" s="641"/>
      <c r="T470" s="64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customHeight="1" x14ac:dyDescent="0.25">
      <c r="A471" s="63" t="s">
        <v>766</v>
      </c>
      <c r="B471" s="63" t="s">
        <v>767</v>
      </c>
      <c r="C471" s="36">
        <v>4301031360</v>
      </c>
      <c r="D471" s="639">
        <v>4607091384345</v>
      </c>
      <c r="E471" s="63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41"/>
      <c r="R471" s="641"/>
      <c r="S471" s="641"/>
      <c r="T471" s="64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x14ac:dyDescent="0.2">
      <c r="A472" s="633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0" t="s">
        <v>40</v>
      </c>
      <c r="Q472" s="631"/>
      <c r="R472" s="631"/>
      <c r="S472" s="631"/>
      <c r="T472" s="631"/>
      <c r="U472" s="631"/>
      <c r="V472" s="632"/>
      <c r="W472" s="42" t="s">
        <v>39</v>
      </c>
      <c r="X472" s="43">
        <f>IFERROR(X466/H466,"0")+IFERROR(X467/H467,"0")+IFERROR(X468/H468,"0")+IFERROR(X469/H469,"0")+IFERROR(X470/H470,"0")+IFERROR(X471/H471,"0")</f>
        <v>0</v>
      </c>
      <c r="Y472" s="43">
        <f>IFERROR(Y466/H466,"0")+IFERROR(Y467/H467,"0")+IFERROR(Y468/H468,"0")+IFERROR(Y469/H469,"0")+IFERROR(Y470/H470,"0")+IFERROR(Y471/H471,"0")</f>
        <v>0</v>
      </c>
      <c r="Z472" s="43">
        <f>IFERROR(IF(Z466="",0,Z466),"0")+IFERROR(IF(Z467="",0,Z467),"0")+IFERROR(IF(Z468="",0,Z468),"0")+IFERROR(IF(Z469="",0,Z469),"0")+IFERROR(IF(Z470="",0,Z470),"0")+IFERROR(IF(Z471="",0,Z471),"0")</f>
        <v>0</v>
      </c>
      <c r="AA472" s="67"/>
      <c r="AB472" s="67"/>
      <c r="AC472" s="67"/>
    </row>
    <row r="473" spans="1:68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0" t="s">
        <v>40</v>
      </c>
      <c r="Q473" s="631"/>
      <c r="R473" s="631"/>
      <c r="S473" s="631"/>
      <c r="T473" s="631"/>
      <c r="U473" s="631"/>
      <c r="V473" s="632"/>
      <c r="W473" s="42" t="s">
        <v>0</v>
      </c>
      <c r="X473" s="43">
        <f>IFERROR(SUM(X466:X471),"0")</f>
        <v>0</v>
      </c>
      <c r="Y473" s="43">
        <f>IFERROR(SUM(Y466:Y471),"0")</f>
        <v>0</v>
      </c>
      <c r="Z473" s="42"/>
      <c r="AA473" s="67"/>
      <c r="AB473" s="67"/>
      <c r="AC473" s="67"/>
    </row>
    <row r="474" spans="1:68" ht="14.25" customHeight="1" x14ac:dyDescent="0.25">
      <c r="A474" s="644" t="s">
        <v>83</v>
      </c>
      <c r="B474" s="644"/>
      <c r="C474" s="644"/>
      <c r="D474" s="644"/>
      <c r="E474" s="644"/>
      <c r="F474" s="644"/>
      <c r="G474" s="644"/>
      <c r="H474" s="644"/>
      <c r="I474" s="644"/>
      <c r="J474" s="644"/>
      <c r="K474" s="644"/>
      <c r="L474" s="644"/>
      <c r="M474" s="644"/>
      <c r="N474" s="644"/>
      <c r="O474" s="644"/>
      <c r="P474" s="644"/>
      <c r="Q474" s="644"/>
      <c r="R474" s="644"/>
      <c r="S474" s="644"/>
      <c r="T474" s="644"/>
      <c r="U474" s="644"/>
      <c r="V474" s="644"/>
      <c r="W474" s="644"/>
      <c r="X474" s="644"/>
      <c r="Y474" s="644"/>
      <c r="Z474" s="644"/>
      <c r="AA474" s="66"/>
      <c r="AB474" s="66"/>
      <c r="AC474" s="80"/>
    </row>
    <row r="475" spans="1:68" ht="27" customHeight="1" x14ac:dyDescent="0.25">
      <c r="A475" s="63" t="s">
        <v>768</v>
      </c>
      <c r="B475" s="63" t="s">
        <v>769</v>
      </c>
      <c r="C475" s="36">
        <v>4301051284</v>
      </c>
      <c r="D475" s="639">
        <v>4607091384352</v>
      </c>
      <c r="E475" s="639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41"/>
      <c r="R475" s="641"/>
      <c r="S475" s="641"/>
      <c r="T475" s="64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0" t="s">
        <v>40</v>
      </c>
      <c r="Q477" s="631"/>
      <c r="R477" s="631"/>
      <c r="S477" s="631"/>
      <c r="T477" s="631"/>
      <c r="U477" s="631"/>
      <c r="V477" s="632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customHeight="1" x14ac:dyDescent="0.25">
      <c r="A478" s="643" t="s">
        <v>771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5"/>
      <c r="AB478" s="65"/>
      <c r="AC478" s="79"/>
    </row>
    <row r="479" spans="1:68" ht="14.25" customHeight="1" x14ac:dyDescent="0.25">
      <c r="A479" s="644" t="s">
        <v>154</v>
      </c>
      <c r="B479" s="644"/>
      <c r="C479" s="644"/>
      <c r="D479" s="644"/>
      <c r="E479" s="644"/>
      <c r="F479" s="644"/>
      <c r="G479" s="644"/>
      <c r="H479" s="644"/>
      <c r="I479" s="644"/>
      <c r="J479" s="644"/>
      <c r="K479" s="644"/>
      <c r="L479" s="644"/>
      <c r="M479" s="644"/>
      <c r="N479" s="644"/>
      <c r="O479" s="644"/>
      <c r="P479" s="644"/>
      <c r="Q479" s="644"/>
      <c r="R479" s="644"/>
      <c r="S479" s="644"/>
      <c r="T479" s="644"/>
      <c r="U479" s="644"/>
      <c r="V479" s="644"/>
      <c r="W479" s="644"/>
      <c r="X479" s="644"/>
      <c r="Y479" s="644"/>
      <c r="Z479" s="644"/>
      <c r="AA479" s="66"/>
      <c r="AB479" s="66"/>
      <c r="AC479" s="80"/>
    </row>
    <row r="480" spans="1:68" ht="27" customHeight="1" x14ac:dyDescent="0.25">
      <c r="A480" s="63" t="s">
        <v>772</v>
      </c>
      <c r="B480" s="63" t="s">
        <v>773</v>
      </c>
      <c r="C480" s="36">
        <v>4301020416</v>
      </c>
      <c r="D480" s="639">
        <v>4680115885240</v>
      </c>
      <c r="E480" s="639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6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41"/>
      <c r="R480" s="641"/>
      <c r="S480" s="641"/>
      <c r="T480" s="642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644" t="s">
        <v>77</v>
      </c>
      <c r="B483" s="644"/>
      <c r="C483" s="644"/>
      <c r="D483" s="644"/>
      <c r="E483" s="644"/>
      <c r="F483" s="644"/>
      <c r="G483" s="644"/>
      <c r="H483" s="644"/>
      <c r="I483" s="644"/>
      <c r="J483" s="644"/>
      <c r="K483" s="644"/>
      <c r="L483" s="644"/>
      <c r="M483" s="644"/>
      <c r="N483" s="644"/>
      <c r="O483" s="644"/>
      <c r="P483" s="644"/>
      <c r="Q483" s="644"/>
      <c r="R483" s="644"/>
      <c r="S483" s="644"/>
      <c r="T483" s="644"/>
      <c r="U483" s="644"/>
      <c r="V483" s="644"/>
      <c r="W483" s="644"/>
      <c r="X483" s="644"/>
      <c r="Y483" s="644"/>
      <c r="Z483" s="644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4301031407</v>
      </c>
      <c r="D484" s="639">
        <v>4680115886094</v>
      </c>
      <c r="E484" s="639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6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41"/>
      <c r="R484" s="641"/>
      <c r="S484" s="641"/>
      <c r="T484" s="64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778</v>
      </c>
      <c r="B485" s="63" t="s">
        <v>779</v>
      </c>
      <c r="C485" s="36">
        <v>4301031373</v>
      </c>
      <c r="D485" s="639">
        <v>4680115880771</v>
      </c>
      <c r="E485" s="63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6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41"/>
      <c r="R485" s="641"/>
      <c r="S485" s="641"/>
      <c r="T485" s="642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customHeight="1" x14ac:dyDescent="0.25">
      <c r="A486" s="63" t="s">
        <v>781</v>
      </c>
      <c r="B486" s="63" t="s">
        <v>782</v>
      </c>
      <c r="C486" s="36">
        <v>4301031359</v>
      </c>
      <c r="D486" s="639">
        <v>4607091389500</v>
      </c>
      <c r="E486" s="63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41"/>
      <c r="R486" s="641"/>
      <c r="S486" s="641"/>
      <c r="T486" s="642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33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0" t="s">
        <v>40</v>
      </c>
      <c r="Q487" s="631"/>
      <c r="R487" s="631"/>
      <c r="S487" s="631"/>
      <c r="T487" s="631"/>
      <c r="U487" s="631"/>
      <c r="V487" s="632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0" t="s">
        <v>40</v>
      </c>
      <c r="Q488" s="631"/>
      <c r="R488" s="631"/>
      <c r="S488" s="631"/>
      <c r="T488" s="631"/>
      <c r="U488" s="631"/>
      <c r="V488" s="632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customHeight="1" x14ac:dyDescent="0.2">
      <c r="A489" s="650" t="s">
        <v>783</v>
      </c>
      <c r="B489" s="650"/>
      <c r="C489" s="650"/>
      <c r="D489" s="650"/>
      <c r="E489" s="650"/>
      <c r="F489" s="650"/>
      <c r="G489" s="650"/>
      <c r="H489" s="650"/>
      <c r="I489" s="650"/>
      <c r="J489" s="650"/>
      <c r="K489" s="650"/>
      <c r="L489" s="650"/>
      <c r="M489" s="650"/>
      <c r="N489" s="650"/>
      <c r="O489" s="650"/>
      <c r="P489" s="650"/>
      <c r="Q489" s="650"/>
      <c r="R489" s="650"/>
      <c r="S489" s="650"/>
      <c r="T489" s="650"/>
      <c r="U489" s="650"/>
      <c r="V489" s="650"/>
      <c r="W489" s="650"/>
      <c r="X489" s="650"/>
      <c r="Y489" s="650"/>
      <c r="Z489" s="650"/>
      <c r="AA489" s="54"/>
      <c r="AB489" s="54"/>
      <c r="AC489" s="54"/>
    </row>
    <row r="490" spans="1:68" ht="16.5" customHeight="1" x14ac:dyDescent="0.25">
      <c r="A490" s="643" t="s">
        <v>783</v>
      </c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3"/>
      <c r="P490" s="643"/>
      <c r="Q490" s="643"/>
      <c r="R490" s="643"/>
      <c r="S490" s="643"/>
      <c r="T490" s="643"/>
      <c r="U490" s="643"/>
      <c r="V490" s="643"/>
      <c r="W490" s="643"/>
      <c r="X490" s="643"/>
      <c r="Y490" s="643"/>
      <c r="Z490" s="643"/>
      <c r="AA490" s="65"/>
      <c r="AB490" s="65"/>
      <c r="AC490" s="79"/>
    </row>
    <row r="491" spans="1:68" ht="14.25" customHeight="1" x14ac:dyDescent="0.25">
      <c r="A491" s="644" t="s">
        <v>119</v>
      </c>
      <c r="B491" s="644"/>
      <c r="C491" s="644"/>
      <c r="D491" s="644"/>
      <c r="E491" s="644"/>
      <c r="F491" s="644"/>
      <c r="G491" s="644"/>
      <c r="H491" s="644"/>
      <c r="I491" s="644"/>
      <c r="J491" s="644"/>
      <c r="K491" s="644"/>
      <c r="L491" s="644"/>
      <c r="M491" s="644"/>
      <c r="N491" s="644"/>
      <c r="O491" s="644"/>
      <c r="P491" s="644"/>
      <c r="Q491" s="644"/>
      <c r="R491" s="644"/>
      <c r="S491" s="644"/>
      <c r="T491" s="644"/>
      <c r="U491" s="644"/>
      <c r="V491" s="644"/>
      <c r="W491" s="644"/>
      <c r="X491" s="644"/>
      <c r="Y491" s="644"/>
      <c r="Z491" s="644"/>
      <c r="AA491" s="66"/>
      <c r="AB491" s="66"/>
      <c r="AC491" s="80"/>
    </row>
    <row r="492" spans="1:68" ht="27" customHeight="1" x14ac:dyDescent="0.25">
      <c r="A492" s="63" t="s">
        <v>784</v>
      </c>
      <c r="B492" s="63" t="s">
        <v>785</v>
      </c>
      <c r="C492" s="36">
        <v>4301011769</v>
      </c>
      <c r="D492" s="639">
        <v>4607091389067</v>
      </c>
      <c r="E492" s="639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6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41"/>
      <c r="R492" s="641"/>
      <c r="S492" s="641"/>
      <c r="T492" s="642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9" si="71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0</v>
      </c>
      <c r="BN492" s="78">
        <f t="shared" ref="BN492:BN499" si="73">IFERROR(Y492*I492/H492,"0")</f>
        <v>0</v>
      </c>
      <c r="BO492" s="78">
        <f t="shared" ref="BO492:BO499" si="74">IFERROR(1/J492*(X492/H492),"0")</f>
        <v>0</v>
      </c>
      <c r="BP492" s="78">
        <f t="shared" ref="BP492:BP499" si="75">IFERROR(1/J492*(Y492/H492),"0")</f>
        <v>0</v>
      </c>
    </row>
    <row r="493" spans="1:68" ht="16.5" customHeight="1" x14ac:dyDescent="0.25">
      <c r="A493" s="63" t="s">
        <v>786</v>
      </c>
      <c r="B493" s="63" t="s">
        <v>787</v>
      </c>
      <c r="C493" s="36">
        <v>4301012380</v>
      </c>
      <c r="D493" s="639">
        <v>4680115889576</v>
      </c>
      <c r="E493" s="639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6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41"/>
      <c r="R493" s="641"/>
      <c r="S493" s="641"/>
      <c r="T493" s="642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customHeight="1" x14ac:dyDescent="0.25">
      <c r="A494" s="63" t="s">
        <v>789</v>
      </c>
      <c r="B494" s="63" t="s">
        <v>790</v>
      </c>
      <c r="C494" s="36">
        <v>4301011961</v>
      </c>
      <c r="D494" s="639">
        <v>4680115885271</v>
      </c>
      <c r="E494" s="639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6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41"/>
      <c r="R494" s="641"/>
      <c r="S494" s="641"/>
      <c r="T494" s="642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customHeight="1" x14ac:dyDescent="0.25">
      <c r="A495" s="63" t="s">
        <v>792</v>
      </c>
      <c r="B495" s="63" t="s">
        <v>793</v>
      </c>
      <c r="C495" s="36">
        <v>4301011369</v>
      </c>
      <c r="D495" s="639">
        <v>4680115885226</v>
      </c>
      <c r="E495" s="63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66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41"/>
      <c r="R495" s="641"/>
      <c r="S495" s="641"/>
      <c r="T495" s="64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1"/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0</v>
      </c>
      <c r="BN495" s="78">
        <f t="shared" si="73"/>
        <v>0</v>
      </c>
      <c r="BO495" s="78">
        <f t="shared" si="74"/>
        <v>0</v>
      </c>
      <c r="BP495" s="78">
        <f t="shared" si="75"/>
        <v>0</v>
      </c>
    </row>
    <row r="496" spans="1:68" ht="27" customHeight="1" x14ac:dyDescent="0.25">
      <c r="A496" s="63" t="s">
        <v>795</v>
      </c>
      <c r="B496" s="63" t="s">
        <v>796</v>
      </c>
      <c r="C496" s="36">
        <v>4301011771</v>
      </c>
      <c r="D496" s="639">
        <v>4607091389104</v>
      </c>
      <c r="E496" s="63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6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41"/>
      <c r="R496" s="641"/>
      <c r="S496" s="641"/>
      <c r="T496" s="64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1"/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0</v>
      </c>
      <c r="BN496" s="78">
        <f t="shared" si="73"/>
        <v>0</v>
      </c>
      <c r="BO496" s="78">
        <f t="shared" si="74"/>
        <v>0</v>
      </c>
      <c r="BP496" s="78">
        <f t="shared" si="75"/>
        <v>0</v>
      </c>
    </row>
    <row r="497" spans="1:68" ht="27" customHeight="1" x14ac:dyDescent="0.25">
      <c r="A497" s="63" t="s">
        <v>798</v>
      </c>
      <c r="B497" s="63" t="s">
        <v>799</v>
      </c>
      <c r="C497" s="36">
        <v>4301012125</v>
      </c>
      <c r="D497" s="639">
        <v>4680115886391</v>
      </c>
      <c r="E497" s="639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6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41"/>
      <c r="R497" s="641"/>
      <c r="S497" s="641"/>
      <c r="T497" s="64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4301012048</v>
      </c>
      <c r="D498" s="639">
        <v>4680115880603</v>
      </c>
      <c r="E498" s="639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66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41"/>
      <c r="R498" s="641"/>
      <c r="S498" s="641"/>
      <c r="T498" s="64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1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0</v>
      </c>
      <c r="BN498" s="78">
        <f t="shared" si="73"/>
        <v>0</v>
      </c>
      <c r="BO498" s="78">
        <f t="shared" si="74"/>
        <v>0</v>
      </c>
      <c r="BP498" s="78">
        <f t="shared" si="75"/>
        <v>0</v>
      </c>
    </row>
    <row r="499" spans="1:68" ht="27" customHeight="1" x14ac:dyDescent="0.25">
      <c r="A499" s="63" t="s">
        <v>802</v>
      </c>
      <c r="B499" s="63" t="s">
        <v>803</v>
      </c>
      <c r="C499" s="36">
        <v>4301012034</v>
      </c>
      <c r="D499" s="639">
        <v>4607091389982</v>
      </c>
      <c r="E499" s="639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6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41"/>
      <c r="R499" s="641"/>
      <c r="S499" s="641"/>
      <c r="T499" s="64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1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0</v>
      </c>
      <c r="BN499" s="78">
        <f t="shared" si="73"/>
        <v>0</v>
      </c>
      <c r="BO499" s="78">
        <f t="shared" si="74"/>
        <v>0</v>
      </c>
      <c r="BP499" s="78">
        <f t="shared" si="75"/>
        <v>0</v>
      </c>
    </row>
    <row r="500" spans="1:68" x14ac:dyDescent="0.2">
      <c r="A500" s="633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0" t="s">
        <v>40</v>
      </c>
      <c r="Q500" s="631"/>
      <c r="R500" s="631"/>
      <c r="S500" s="631"/>
      <c r="T500" s="631"/>
      <c r="U500" s="631"/>
      <c r="V500" s="632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0</v>
      </c>
      <c r="Y500" s="43">
        <f>IFERROR(Y492/H492,"0")+IFERROR(Y493/H493,"0")+IFERROR(Y494/H494,"0")+IFERROR(Y495/H495,"0")+IFERROR(Y496/H496,"0")+IFERROR(Y497/H497,"0")+IFERROR(Y498/H498,"0")+IFERROR(Y499/H499,"0")</f>
        <v>0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</v>
      </c>
      <c r="AA500" s="67"/>
      <c r="AB500" s="67"/>
      <c r="AC500" s="67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0" t="s">
        <v>40</v>
      </c>
      <c r="Q501" s="631"/>
      <c r="R501" s="631"/>
      <c r="S501" s="631"/>
      <c r="T501" s="631"/>
      <c r="U501" s="631"/>
      <c r="V501" s="632"/>
      <c r="W501" s="42" t="s">
        <v>0</v>
      </c>
      <c r="X501" s="43">
        <f>IFERROR(SUM(X492:X499),"0")</f>
        <v>0</v>
      </c>
      <c r="Y501" s="43">
        <f>IFERROR(SUM(Y492:Y499),"0")</f>
        <v>0</v>
      </c>
      <c r="Z501" s="42"/>
      <c r="AA501" s="67"/>
      <c r="AB501" s="67"/>
      <c r="AC501" s="67"/>
    </row>
    <row r="502" spans="1:68" ht="14.25" customHeight="1" x14ac:dyDescent="0.25">
      <c r="A502" s="644" t="s">
        <v>154</v>
      </c>
      <c r="B502" s="644"/>
      <c r="C502" s="644"/>
      <c r="D502" s="644"/>
      <c r="E502" s="644"/>
      <c r="F502" s="644"/>
      <c r="G502" s="644"/>
      <c r="H502" s="644"/>
      <c r="I502" s="644"/>
      <c r="J502" s="644"/>
      <c r="K502" s="644"/>
      <c r="L502" s="644"/>
      <c r="M502" s="644"/>
      <c r="N502" s="644"/>
      <c r="O502" s="644"/>
      <c r="P502" s="644"/>
      <c r="Q502" s="644"/>
      <c r="R502" s="644"/>
      <c r="S502" s="644"/>
      <c r="T502" s="644"/>
      <c r="U502" s="644"/>
      <c r="V502" s="644"/>
      <c r="W502" s="644"/>
      <c r="X502" s="644"/>
      <c r="Y502" s="644"/>
      <c r="Z502" s="644"/>
      <c r="AA502" s="66"/>
      <c r="AB502" s="66"/>
      <c r="AC502" s="80"/>
    </row>
    <row r="503" spans="1:68" ht="16.5" customHeight="1" x14ac:dyDescent="0.25">
      <c r="A503" s="63" t="s">
        <v>804</v>
      </c>
      <c r="B503" s="63" t="s">
        <v>805</v>
      </c>
      <c r="C503" s="36">
        <v>4301020334</v>
      </c>
      <c r="D503" s="639">
        <v>4607091388930</v>
      </c>
      <c r="E503" s="63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6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41"/>
      <c r="R503" s="641"/>
      <c r="S503" s="641"/>
      <c r="T503" s="642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IFERROR(IF(Y503=0,"",ROUNDUP(Y503/H503,0)*0.01196),"")</f>
        <v/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16.5" customHeight="1" x14ac:dyDescent="0.25">
      <c r="A504" s="63" t="s">
        <v>807</v>
      </c>
      <c r="B504" s="63" t="s">
        <v>808</v>
      </c>
      <c r="C504" s="36">
        <v>4301020374</v>
      </c>
      <c r="D504" s="639">
        <v>4680115886407</v>
      </c>
      <c r="E504" s="639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6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41"/>
      <c r="R504" s="641"/>
      <c r="S504" s="641"/>
      <c r="T504" s="642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customHeight="1" x14ac:dyDescent="0.25">
      <c r="A505" s="63" t="s">
        <v>809</v>
      </c>
      <c r="B505" s="63" t="s">
        <v>810</v>
      </c>
      <c r="C505" s="36">
        <v>4301020385</v>
      </c>
      <c r="D505" s="639">
        <v>4680115880054</v>
      </c>
      <c r="E505" s="639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6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41"/>
      <c r="R505" s="641"/>
      <c r="S505" s="641"/>
      <c r="T505" s="642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633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0" t="s">
        <v>40</v>
      </c>
      <c r="Q506" s="631"/>
      <c r="R506" s="631"/>
      <c r="S506" s="631"/>
      <c r="T506" s="631"/>
      <c r="U506" s="631"/>
      <c r="V506" s="632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0" t="s">
        <v>40</v>
      </c>
      <c r="Q507" s="631"/>
      <c r="R507" s="631"/>
      <c r="S507" s="631"/>
      <c r="T507" s="631"/>
      <c r="U507" s="631"/>
      <c r="V507" s="632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14.25" customHeight="1" x14ac:dyDescent="0.25">
      <c r="A508" s="644" t="s">
        <v>77</v>
      </c>
      <c r="B508" s="644"/>
      <c r="C508" s="644"/>
      <c r="D508" s="644"/>
      <c r="E508" s="644"/>
      <c r="F508" s="644"/>
      <c r="G508" s="644"/>
      <c r="H508" s="644"/>
      <c r="I508" s="644"/>
      <c r="J508" s="644"/>
      <c r="K508" s="644"/>
      <c r="L508" s="644"/>
      <c r="M508" s="644"/>
      <c r="N508" s="644"/>
      <c r="O508" s="644"/>
      <c r="P508" s="644"/>
      <c r="Q508" s="644"/>
      <c r="R508" s="644"/>
      <c r="S508" s="644"/>
      <c r="T508" s="644"/>
      <c r="U508" s="644"/>
      <c r="V508" s="644"/>
      <c r="W508" s="644"/>
      <c r="X508" s="644"/>
      <c r="Y508" s="644"/>
      <c r="Z508" s="644"/>
      <c r="AA508" s="66"/>
      <c r="AB508" s="66"/>
      <c r="AC508" s="80"/>
    </row>
    <row r="509" spans="1:68" ht="27" customHeight="1" x14ac:dyDescent="0.25">
      <c r="A509" s="63" t="s">
        <v>811</v>
      </c>
      <c r="B509" s="63" t="s">
        <v>812</v>
      </c>
      <c r="C509" s="36">
        <v>4301031349</v>
      </c>
      <c r="D509" s="639">
        <v>4680115883116</v>
      </c>
      <c r="E509" s="63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65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41"/>
      <c r="R509" s="641"/>
      <c r="S509" s="641"/>
      <c r="T509" s="64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customHeight="1" x14ac:dyDescent="0.25">
      <c r="A510" s="63" t="s">
        <v>814</v>
      </c>
      <c r="B510" s="63" t="s">
        <v>815</v>
      </c>
      <c r="C510" s="36">
        <v>4301031350</v>
      </c>
      <c r="D510" s="639">
        <v>4680115883093</v>
      </c>
      <c r="E510" s="63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65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41"/>
      <c r="R510" s="641"/>
      <c r="S510" s="641"/>
      <c r="T510" s="64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6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39">
        <v>4680115883109</v>
      </c>
      <c r="E511" s="63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6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41"/>
      <c r="R511" s="641"/>
      <c r="S511" s="641"/>
      <c r="T511" s="642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6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0</v>
      </c>
      <c r="BN511" s="78">
        <f t="shared" si="78"/>
        <v>0</v>
      </c>
      <c r="BO511" s="78">
        <f t="shared" si="79"/>
        <v>0</v>
      </c>
      <c r="BP511" s="78">
        <f t="shared" si="80"/>
        <v>0</v>
      </c>
    </row>
    <row r="512" spans="1:68" ht="27" customHeight="1" x14ac:dyDescent="0.25">
      <c r="A512" s="63" t="s">
        <v>820</v>
      </c>
      <c r="B512" s="63" t="s">
        <v>821</v>
      </c>
      <c r="C512" s="36">
        <v>4301031419</v>
      </c>
      <c r="D512" s="639">
        <v>4680115882072</v>
      </c>
      <c r="E512" s="639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65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41"/>
      <c r="R512" s="641"/>
      <c r="S512" s="641"/>
      <c r="T512" s="642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6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customHeight="1" x14ac:dyDescent="0.25">
      <c r="A513" s="63" t="s">
        <v>822</v>
      </c>
      <c r="B513" s="63" t="s">
        <v>823</v>
      </c>
      <c r="C513" s="36">
        <v>4301031352</v>
      </c>
      <c r="D513" s="639">
        <v>4680115882102</v>
      </c>
      <c r="E513" s="639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6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41"/>
      <c r="R513" s="641"/>
      <c r="S513" s="641"/>
      <c r="T513" s="64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customHeight="1" x14ac:dyDescent="0.25">
      <c r="A514" s="63" t="s">
        <v>822</v>
      </c>
      <c r="B514" s="63" t="s">
        <v>824</v>
      </c>
      <c r="C514" s="36">
        <v>4301031418</v>
      </c>
      <c r="D514" s="639">
        <v>4680115882102</v>
      </c>
      <c r="E514" s="639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6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41"/>
      <c r="R514" s="641"/>
      <c r="S514" s="641"/>
      <c r="T514" s="64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6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customHeight="1" x14ac:dyDescent="0.25">
      <c r="A515" s="63" t="s">
        <v>825</v>
      </c>
      <c r="B515" s="63" t="s">
        <v>826</v>
      </c>
      <c r="C515" s="36">
        <v>4301031417</v>
      </c>
      <c r="D515" s="639">
        <v>4680115882096</v>
      </c>
      <c r="E515" s="639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6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41"/>
      <c r="R515" s="641"/>
      <c r="S515" s="641"/>
      <c r="T515" s="64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6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x14ac:dyDescent="0.2">
      <c r="A516" s="633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0" t="s">
        <v>40</v>
      </c>
      <c r="Q516" s="631"/>
      <c r="R516" s="631"/>
      <c r="S516" s="631"/>
      <c r="T516" s="631"/>
      <c r="U516" s="631"/>
      <c r="V516" s="632"/>
      <c r="W516" s="42" t="s">
        <v>39</v>
      </c>
      <c r="X516" s="43">
        <f>IFERROR(X509/H509,"0")+IFERROR(X510/H510,"0")+IFERROR(X511/H511,"0")+IFERROR(X512/H512,"0")+IFERROR(X513/H513,"0")+IFERROR(X514/H514,"0")+IFERROR(X515/H515,"0")</f>
        <v>0</v>
      </c>
      <c r="Y516" s="43">
        <f>IFERROR(Y509/H509,"0")+IFERROR(Y510/H510,"0")+IFERROR(Y511/H511,"0")+IFERROR(Y512/H512,"0")+IFERROR(Y513/H513,"0")+IFERROR(Y514/H514,"0")+IFERROR(Y515/H515,"0")</f>
        <v>0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0</v>
      </c>
      <c r="AA516" s="67"/>
      <c r="AB516" s="67"/>
      <c r="AC516" s="67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0" t="s">
        <v>40</v>
      </c>
      <c r="Q517" s="631"/>
      <c r="R517" s="631"/>
      <c r="S517" s="631"/>
      <c r="T517" s="631"/>
      <c r="U517" s="631"/>
      <c r="V517" s="632"/>
      <c r="W517" s="42" t="s">
        <v>0</v>
      </c>
      <c r="X517" s="43">
        <f>IFERROR(SUM(X509:X515),"0")</f>
        <v>0</v>
      </c>
      <c r="Y517" s="43">
        <f>IFERROR(SUM(Y509:Y515),"0")</f>
        <v>0</v>
      </c>
      <c r="Z517" s="42"/>
      <c r="AA517" s="67"/>
      <c r="AB517" s="67"/>
      <c r="AC517" s="67"/>
    </row>
    <row r="518" spans="1:68" ht="27.75" customHeight="1" x14ac:dyDescent="0.2">
      <c r="A518" s="650" t="s">
        <v>827</v>
      </c>
      <c r="B518" s="650"/>
      <c r="C518" s="650"/>
      <c r="D518" s="650"/>
      <c r="E518" s="650"/>
      <c r="F518" s="650"/>
      <c r="G518" s="650"/>
      <c r="H518" s="650"/>
      <c r="I518" s="650"/>
      <c r="J518" s="650"/>
      <c r="K518" s="650"/>
      <c r="L518" s="650"/>
      <c r="M518" s="650"/>
      <c r="N518" s="650"/>
      <c r="O518" s="650"/>
      <c r="P518" s="650"/>
      <c r="Q518" s="650"/>
      <c r="R518" s="650"/>
      <c r="S518" s="650"/>
      <c r="T518" s="650"/>
      <c r="U518" s="650"/>
      <c r="V518" s="650"/>
      <c r="W518" s="650"/>
      <c r="X518" s="650"/>
      <c r="Y518" s="650"/>
      <c r="Z518" s="650"/>
      <c r="AA518" s="54"/>
      <c r="AB518" s="54"/>
      <c r="AC518" s="54"/>
    </row>
    <row r="519" spans="1:68" ht="16.5" customHeight="1" x14ac:dyDescent="0.25">
      <c r="A519" s="643" t="s">
        <v>827</v>
      </c>
      <c r="B519" s="643"/>
      <c r="C519" s="643"/>
      <c r="D519" s="643"/>
      <c r="E519" s="643"/>
      <c r="F519" s="643"/>
      <c r="G519" s="643"/>
      <c r="H519" s="643"/>
      <c r="I519" s="643"/>
      <c r="J519" s="643"/>
      <c r="K519" s="643"/>
      <c r="L519" s="643"/>
      <c r="M519" s="643"/>
      <c r="N519" s="643"/>
      <c r="O519" s="643"/>
      <c r="P519" s="643"/>
      <c r="Q519" s="643"/>
      <c r="R519" s="643"/>
      <c r="S519" s="643"/>
      <c r="T519" s="643"/>
      <c r="U519" s="643"/>
      <c r="V519" s="643"/>
      <c r="W519" s="643"/>
      <c r="X519" s="643"/>
      <c r="Y519" s="643"/>
      <c r="Z519" s="643"/>
      <c r="AA519" s="65"/>
      <c r="AB519" s="65"/>
      <c r="AC519" s="79"/>
    </row>
    <row r="520" spans="1:68" ht="14.25" customHeight="1" x14ac:dyDescent="0.25">
      <c r="A520" s="644" t="s">
        <v>119</v>
      </c>
      <c r="B520" s="644"/>
      <c r="C520" s="644"/>
      <c r="D520" s="644"/>
      <c r="E520" s="644"/>
      <c r="F520" s="644"/>
      <c r="G520" s="644"/>
      <c r="H520" s="644"/>
      <c r="I520" s="644"/>
      <c r="J520" s="644"/>
      <c r="K520" s="644"/>
      <c r="L520" s="644"/>
      <c r="M520" s="644"/>
      <c r="N520" s="644"/>
      <c r="O520" s="644"/>
      <c r="P520" s="644"/>
      <c r="Q520" s="644"/>
      <c r="R520" s="644"/>
      <c r="S520" s="644"/>
      <c r="T520" s="644"/>
      <c r="U520" s="644"/>
      <c r="V520" s="644"/>
      <c r="W520" s="644"/>
      <c r="X520" s="644"/>
      <c r="Y520" s="644"/>
      <c r="Z520" s="644"/>
      <c r="AA520" s="66"/>
      <c r="AB520" s="66"/>
      <c r="AC520" s="80"/>
    </row>
    <row r="521" spans="1:68" ht="27" customHeight="1" x14ac:dyDescent="0.25">
      <c r="A521" s="63" t="s">
        <v>828</v>
      </c>
      <c r="B521" s="63" t="s">
        <v>829</v>
      </c>
      <c r="C521" s="36">
        <v>4301012386</v>
      </c>
      <c r="D521" s="639">
        <v>4680115889736</v>
      </c>
      <c r="E521" s="639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65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41"/>
      <c r="R521" s="641"/>
      <c r="S521" s="641"/>
      <c r="T521" s="64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33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0" t="s">
        <v>40</v>
      </c>
      <c r="Q522" s="631"/>
      <c r="R522" s="631"/>
      <c r="S522" s="631"/>
      <c r="T522" s="631"/>
      <c r="U522" s="631"/>
      <c r="V522" s="632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0" t="s">
        <v>40</v>
      </c>
      <c r="Q523" s="631"/>
      <c r="R523" s="631"/>
      <c r="S523" s="631"/>
      <c r="T523" s="631"/>
      <c r="U523" s="631"/>
      <c r="V523" s="632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 x14ac:dyDescent="0.25">
      <c r="A524" s="644" t="s">
        <v>154</v>
      </c>
      <c r="B524" s="644"/>
      <c r="C524" s="644"/>
      <c r="D524" s="644"/>
      <c r="E524" s="644"/>
      <c r="F524" s="644"/>
      <c r="G524" s="644"/>
      <c r="H524" s="644"/>
      <c r="I524" s="644"/>
      <c r="J524" s="644"/>
      <c r="K524" s="644"/>
      <c r="L524" s="644"/>
      <c r="M524" s="644"/>
      <c r="N524" s="644"/>
      <c r="O524" s="644"/>
      <c r="P524" s="644"/>
      <c r="Q524" s="644"/>
      <c r="R524" s="644"/>
      <c r="S524" s="644"/>
      <c r="T524" s="644"/>
      <c r="U524" s="644"/>
      <c r="V524" s="644"/>
      <c r="W524" s="644"/>
      <c r="X524" s="644"/>
      <c r="Y524" s="644"/>
      <c r="Z524" s="644"/>
      <c r="AA524" s="66"/>
      <c r="AB524" s="66"/>
      <c r="AC524" s="80"/>
    </row>
    <row r="525" spans="1:68" ht="27" customHeight="1" x14ac:dyDescent="0.25">
      <c r="A525" s="63" t="s">
        <v>831</v>
      </c>
      <c r="B525" s="63" t="s">
        <v>832</v>
      </c>
      <c r="C525" s="36">
        <v>4301020444</v>
      </c>
      <c r="D525" s="639">
        <v>4680115889781</v>
      </c>
      <c r="E525" s="639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64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41"/>
      <c r="R525" s="641"/>
      <c r="S525" s="641"/>
      <c r="T525" s="64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633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0" t="s">
        <v>40</v>
      </c>
      <c r="Q526" s="631"/>
      <c r="R526" s="631"/>
      <c r="S526" s="631"/>
      <c r="T526" s="631"/>
      <c r="U526" s="631"/>
      <c r="V526" s="632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0" t="s">
        <v>40</v>
      </c>
      <c r="Q527" s="631"/>
      <c r="R527" s="631"/>
      <c r="S527" s="631"/>
      <c r="T527" s="631"/>
      <c r="U527" s="631"/>
      <c r="V527" s="632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customHeight="1" x14ac:dyDescent="0.25">
      <c r="A528" s="644" t="s">
        <v>77</v>
      </c>
      <c r="B528" s="644"/>
      <c r="C528" s="644"/>
      <c r="D528" s="644"/>
      <c r="E528" s="644"/>
      <c r="F528" s="644"/>
      <c r="G528" s="644"/>
      <c r="H528" s="644"/>
      <c r="I528" s="644"/>
      <c r="J528" s="644"/>
      <c r="K528" s="644"/>
      <c r="L528" s="644"/>
      <c r="M528" s="644"/>
      <c r="N528" s="644"/>
      <c r="O528" s="644"/>
      <c r="P528" s="644"/>
      <c r="Q528" s="644"/>
      <c r="R528" s="644"/>
      <c r="S528" s="644"/>
      <c r="T528" s="644"/>
      <c r="U528" s="644"/>
      <c r="V528" s="644"/>
      <c r="W528" s="644"/>
      <c r="X528" s="644"/>
      <c r="Y528" s="644"/>
      <c r="Z528" s="644"/>
      <c r="AA528" s="66"/>
      <c r="AB528" s="66"/>
      <c r="AC528" s="80"/>
    </row>
    <row r="529" spans="1:68" ht="27" customHeight="1" x14ac:dyDescent="0.25">
      <c r="A529" s="63" t="s">
        <v>833</v>
      </c>
      <c r="B529" s="63" t="s">
        <v>834</v>
      </c>
      <c r="C529" s="36">
        <v>4301031523</v>
      </c>
      <c r="D529" s="639">
        <v>4680115889774</v>
      </c>
      <c r="E529" s="639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64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41"/>
      <c r="R529" s="641"/>
      <c r="S529" s="641"/>
      <c r="T529" s="64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33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0" t="s">
        <v>40</v>
      </c>
      <c r="Q530" s="631"/>
      <c r="R530" s="631"/>
      <c r="S530" s="631"/>
      <c r="T530" s="631"/>
      <c r="U530" s="631"/>
      <c r="V530" s="632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0" t="s">
        <v>40</v>
      </c>
      <c r="Q531" s="631"/>
      <c r="R531" s="631"/>
      <c r="S531" s="631"/>
      <c r="T531" s="631"/>
      <c r="U531" s="631"/>
      <c r="V531" s="632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44" t="s">
        <v>83</v>
      </c>
      <c r="B532" s="644"/>
      <c r="C532" s="644"/>
      <c r="D532" s="644"/>
      <c r="E532" s="644"/>
      <c r="F532" s="644"/>
      <c r="G532" s="644"/>
      <c r="H532" s="644"/>
      <c r="I532" s="644"/>
      <c r="J532" s="644"/>
      <c r="K532" s="644"/>
      <c r="L532" s="644"/>
      <c r="M532" s="644"/>
      <c r="N532" s="644"/>
      <c r="O532" s="644"/>
      <c r="P532" s="644"/>
      <c r="Q532" s="644"/>
      <c r="R532" s="644"/>
      <c r="S532" s="644"/>
      <c r="T532" s="644"/>
      <c r="U532" s="644"/>
      <c r="V532" s="644"/>
      <c r="W532" s="644"/>
      <c r="X532" s="644"/>
      <c r="Y532" s="644"/>
      <c r="Z532" s="644"/>
      <c r="AA532" s="66"/>
      <c r="AB532" s="66"/>
      <c r="AC532" s="80"/>
    </row>
    <row r="533" spans="1:68" ht="27" customHeight="1" x14ac:dyDescent="0.25">
      <c r="A533" s="63" t="s">
        <v>836</v>
      </c>
      <c r="B533" s="63" t="s">
        <v>837</v>
      </c>
      <c r="C533" s="36">
        <v>4301052282</v>
      </c>
      <c r="D533" s="639">
        <v>4680115889811</v>
      </c>
      <c r="E533" s="639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64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41"/>
      <c r="R533" s="641"/>
      <c r="S533" s="641"/>
      <c r="T533" s="64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33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0" t="s">
        <v>40</v>
      </c>
      <c r="Q534" s="631"/>
      <c r="R534" s="631"/>
      <c r="S534" s="631"/>
      <c r="T534" s="631"/>
      <c r="U534" s="631"/>
      <c r="V534" s="63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0" t="s">
        <v>40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44" t="s">
        <v>172</v>
      </c>
      <c r="B536" s="644"/>
      <c r="C536" s="644"/>
      <c r="D536" s="644"/>
      <c r="E536" s="644"/>
      <c r="F536" s="644"/>
      <c r="G536" s="644"/>
      <c r="H536" s="644"/>
      <c r="I536" s="644"/>
      <c r="J536" s="644"/>
      <c r="K536" s="644"/>
      <c r="L536" s="644"/>
      <c r="M536" s="644"/>
      <c r="N536" s="644"/>
      <c r="O536" s="644"/>
      <c r="P536" s="644"/>
      <c r="Q536" s="644"/>
      <c r="R536" s="644"/>
      <c r="S536" s="644"/>
      <c r="T536" s="644"/>
      <c r="U536" s="644"/>
      <c r="V536" s="644"/>
      <c r="W536" s="644"/>
      <c r="X536" s="644"/>
      <c r="Y536" s="644"/>
      <c r="Z536" s="644"/>
      <c r="AA536" s="66"/>
      <c r="AB536" s="66"/>
      <c r="AC536" s="80"/>
    </row>
    <row r="537" spans="1:68" ht="27" customHeight="1" x14ac:dyDescent="0.25">
      <c r="A537" s="63" t="s">
        <v>839</v>
      </c>
      <c r="B537" s="63" t="s">
        <v>840</v>
      </c>
      <c r="C537" s="36">
        <v>4301060543</v>
      </c>
      <c r="D537" s="639">
        <v>4680115889804</v>
      </c>
      <c r="E537" s="639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64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41"/>
      <c r="R537" s="641"/>
      <c r="S537" s="641"/>
      <c r="T537" s="64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customHeight="1" x14ac:dyDescent="0.25">
      <c r="A538" s="63" t="s">
        <v>842</v>
      </c>
      <c r="B538" s="63" t="s">
        <v>843</v>
      </c>
      <c r="C538" s="36">
        <v>4301060544</v>
      </c>
      <c r="D538" s="639">
        <v>4680115889828</v>
      </c>
      <c r="E538" s="639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64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41"/>
      <c r="R538" s="641"/>
      <c r="S538" s="641"/>
      <c r="T538" s="64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633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0" t="s">
        <v>40</v>
      </c>
      <c r="Q539" s="631"/>
      <c r="R539" s="631"/>
      <c r="S539" s="631"/>
      <c r="T539" s="631"/>
      <c r="U539" s="631"/>
      <c r="V539" s="632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0" t="s">
        <v>40</v>
      </c>
      <c r="Q540" s="631"/>
      <c r="R540" s="631"/>
      <c r="S540" s="631"/>
      <c r="T540" s="631"/>
      <c r="U540" s="631"/>
      <c r="V540" s="632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customHeight="1" x14ac:dyDescent="0.25">
      <c r="A541" s="643" t="s">
        <v>845</v>
      </c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3"/>
      <c r="P541" s="643"/>
      <c r="Q541" s="643"/>
      <c r="R541" s="643"/>
      <c r="S541" s="643"/>
      <c r="T541" s="643"/>
      <c r="U541" s="643"/>
      <c r="V541" s="643"/>
      <c r="W541" s="643"/>
      <c r="X541" s="643"/>
      <c r="Y541" s="643"/>
      <c r="Z541" s="643"/>
      <c r="AA541" s="65"/>
      <c r="AB541" s="65"/>
      <c r="AC541" s="79"/>
    </row>
    <row r="542" spans="1:68" ht="14.25" customHeight="1" x14ac:dyDescent="0.25">
      <c r="A542" s="644" t="s">
        <v>154</v>
      </c>
      <c r="B542" s="644"/>
      <c r="C542" s="644"/>
      <c r="D542" s="644"/>
      <c r="E542" s="644"/>
      <c r="F542" s="644"/>
      <c r="G542" s="644"/>
      <c r="H542" s="644"/>
      <c r="I542" s="644"/>
      <c r="J542" s="644"/>
      <c r="K542" s="644"/>
      <c r="L542" s="644"/>
      <c r="M542" s="644"/>
      <c r="N542" s="644"/>
      <c r="O542" s="644"/>
      <c r="P542" s="644"/>
      <c r="Q542" s="644"/>
      <c r="R542" s="644"/>
      <c r="S542" s="644"/>
      <c r="T542" s="644"/>
      <c r="U542" s="644"/>
      <c r="V542" s="644"/>
      <c r="W542" s="644"/>
      <c r="X542" s="644"/>
      <c r="Y542" s="644"/>
      <c r="Z542" s="644"/>
      <c r="AA542" s="66"/>
      <c r="AB542" s="66"/>
      <c r="AC542" s="80"/>
    </row>
    <row r="543" spans="1:68" ht="27" customHeight="1" x14ac:dyDescent="0.25">
      <c r="A543" s="63" t="s">
        <v>846</v>
      </c>
      <c r="B543" s="63" t="s">
        <v>847</v>
      </c>
      <c r="C543" s="36">
        <v>4301020441</v>
      </c>
      <c r="D543" s="639">
        <v>4680115889798</v>
      </c>
      <c r="E543" s="639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64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41"/>
      <c r="R543" s="641"/>
      <c r="S543" s="641"/>
      <c r="T543" s="64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633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0" t="s">
        <v>40</v>
      </c>
      <c r="Q544" s="631"/>
      <c r="R544" s="631"/>
      <c r="S544" s="631"/>
      <c r="T544" s="631"/>
      <c r="U544" s="631"/>
      <c r="V544" s="6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0" t="s">
        <v>40</v>
      </c>
      <c r="Q545" s="631"/>
      <c r="R545" s="631"/>
      <c r="S545" s="631"/>
      <c r="T545" s="631"/>
      <c r="U545" s="631"/>
      <c r="V545" s="6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633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638"/>
      <c r="P546" s="635" t="s">
        <v>33</v>
      </c>
      <c r="Q546" s="636"/>
      <c r="R546" s="636"/>
      <c r="S546" s="636"/>
      <c r="T546" s="636"/>
      <c r="U546" s="636"/>
      <c r="V546" s="63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0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0</v>
      </c>
      <c r="Z546" s="42"/>
      <c r="AA546" s="67"/>
      <c r="AB546" s="67"/>
      <c r="AC546" s="67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638"/>
      <c r="P547" s="635" t="s">
        <v>34</v>
      </c>
      <c r="Q547" s="636"/>
      <c r="R547" s="636"/>
      <c r="S547" s="636"/>
      <c r="T547" s="636"/>
      <c r="U547" s="636"/>
      <c r="V547" s="637"/>
      <c r="W547" s="42" t="s">
        <v>0</v>
      </c>
      <c r="X547" s="43">
        <f>IFERROR(SUM(BM22:BM543),"0")</f>
        <v>0</v>
      </c>
      <c r="Y547" s="43">
        <f>IFERROR(SUM(BN22:BN543),"0")</f>
        <v>0</v>
      </c>
      <c r="Z547" s="42"/>
      <c r="AA547" s="67"/>
      <c r="AB547" s="67"/>
      <c r="AC547" s="67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638"/>
      <c r="P548" s="635" t="s">
        <v>35</v>
      </c>
      <c r="Q548" s="636"/>
      <c r="R548" s="636"/>
      <c r="S548" s="636"/>
      <c r="T548" s="636"/>
      <c r="U548" s="636"/>
      <c r="V548" s="637"/>
      <c r="W548" s="42" t="s">
        <v>20</v>
      </c>
      <c r="X548" s="44">
        <f>ROUNDUP(SUM(BO22:BO543),0)</f>
        <v>0</v>
      </c>
      <c r="Y548" s="44">
        <f>ROUNDUP(SUM(BP22:BP543),0)</f>
        <v>0</v>
      </c>
      <c r="Z548" s="42"/>
      <c r="AA548" s="67"/>
      <c r="AB548" s="67"/>
      <c r="AC548" s="67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638"/>
      <c r="P549" s="635" t="s">
        <v>36</v>
      </c>
      <c r="Q549" s="636"/>
      <c r="R549" s="636"/>
      <c r="S549" s="636"/>
      <c r="T549" s="636"/>
      <c r="U549" s="636"/>
      <c r="V549" s="637"/>
      <c r="W549" s="42" t="s">
        <v>0</v>
      </c>
      <c r="X549" s="43">
        <f>GrossWeightTotal+PalletQtyTotal*25</f>
        <v>0</v>
      </c>
      <c r="Y549" s="43">
        <f>GrossWeightTotalR+PalletQtyTotalR*25</f>
        <v>0</v>
      </c>
      <c r="Z549" s="42"/>
      <c r="AA549" s="67"/>
      <c r="AB549" s="67"/>
      <c r="AC549" s="67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638"/>
      <c r="P550" s="635" t="s">
        <v>37</v>
      </c>
      <c r="Q550" s="636"/>
      <c r="R550" s="636"/>
      <c r="S550" s="636"/>
      <c r="T550" s="636"/>
      <c r="U550" s="636"/>
      <c r="V550" s="63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0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0</v>
      </c>
      <c r="Z550" s="42"/>
      <c r="AA550" s="67"/>
      <c r="AB550" s="67"/>
      <c r="AC550" s="67"/>
    </row>
    <row r="551" spans="1:32" ht="14.25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638"/>
      <c r="P551" s="635" t="s">
        <v>38</v>
      </c>
      <c r="Q551" s="636"/>
      <c r="R551" s="636"/>
      <c r="S551" s="636"/>
      <c r="T551" s="636"/>
      <c r="U551" s="636"/>
      <c r="V551" s="63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0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626" t="s">
        <v>117</v>
      </c>
      <c r="E553" s="626" t="s">
        <v>117</v>
      </c>
      <c r="F553" s="626" t="s">
        <v>117</v>
      </c>
      <c r="G553" s="626" t="s">
        <v>117</v>
      </c>
      <c r="H553" s="626" t="s">
        <v>117</v>
      </c>
      <c r="I553" s="626" t="s">
        <v>117</v>
      </c>
      <c r="J553" s="626" t="s">
        <v>117</v>
      </c>
      <c r="K553" s="626" t="s">
        <v>338</v>
      </c>
      <c r="L553" s="626" t="s">
        <v>338</v>
      </c>
      <c r="M553" s="626" t="s">
        <v>338</v>
      </c>
      <c r="N553" s="627"/>
      <c r="O553" s="626" t="s">
        <v>338</v>
      </c>
      <c r="P553" s="626" t="s">
        <v>338</v>
      </c>
      <c r="Q553" s="626" t="s">
        <v>338</v>
      </c>
      <c r="R553" s="626" t="s">
        <v>338</v>
      </c>
      <c r="S553" s="626" t="s">
        <v>338</v>
      </c>
      <c r="T553" s="626" t="s">
        <v>338</v>
      </c>
      <c r="U553" s="626" t="s">
        <v>338</v>
      </c>
      <c r="V553" s="626" t="s">
        <v>338</v>
      </c>
      <c r="W553" s="626" t="s">
        <v>684</v>
      </c>
      <c r="X553" s="626" t="s">
        <v>684</v>
      </c>
      <c r="Y553" s="626" t="s">
        <v>750</v>
      </c>
      <c r="Z553" s="626" t="s">
        <v>750</v>
      </c>
      <c r="AA553" s="85" t="s">
        <v>783</v>
      </c>
      <c r="AB553" s="626" t="s">
        <v>827</v>
      </c>
      <c r="AC553" s="626" t="s">
        <v>827</v>
      </c>
      <c r="AF553" s="1"/>
    </row>
    <row r="554" spans="1:32" ht="14.25" customHeight="1" thickTop="1" x14ac:dyDescent="0.2">
      <c r="A554" s="628" t="s">
        <v>10</v>
      </c>
      <c r="B554" s="626" t="s">
        <v>76</v>
      </c>
      <c r="C554" s="626" t="s">
        <v>101</v>
      </c>
      <c r="D554" s="626" t="s">
        <v>118</v>
      </c>
      <c r="E554" s="626" t="s">
        <v>134</v>
      </c>
      <c r="F554" s="626" t="s">
        <v>180</v>
      </c>
      <c r="G554" s="626" t="s">
        <v>204</v>
      </c>
      <c r="H554" s="626" t="s">
        <v>248</v>
      </c>
      <c r="I554" s="626" t="s">
        <v>261</v>
      </c>
      <c r="J554" s="626" t="s">
        <v>117</v>
      </c>
      <c r="K554" s="626" t="s">
        <v>339</v>
      </c>
      <c r="L554" s="626" t="s">
        <v>360</v>
      </c>
      <c r="M554" s="626" t="s">
        <v>423</v>
      </c>
      <c r="N554" s="1"/>
      <c r="O554" s="626" t="s">
        <v>491</v>
      </c>
      <c r="P554" s="626" t="s">
        <v>522</v>
      </c>
      <c r="Q554" s="626" t="s">
        <v>541</v>
      </c>
      <c r="R554" s="626" t="s">
        <v>550</v>
      </c>
      <c r="S554" s="626" t="s">
        <v>572</v>
      </c>
      <c r="T554" s="626" t="s">
        <v>581</v>
      </c>
      <c r="U554" s="626" t="s">
        <v>667</v>
      </c>
      <c r="V554" s="626" t="s">
        <v>674</v>
      </c>
      <c r="W554" s="626" t="s">
        <v>685</v>
      </c>
      <c r="X554" s="626" t="s">
        <v>734</v>
      </c>
      <c r="Y554" s="626" t="s">
        <v>751</v>
      </c>
      <c r="Z554" s="626" t="s">
        <v>771</v>
      </c>
      <c r="AA554" s="626" t="s">
        <v>783</v>
      </c>
      <c r="AB554" s="626" t="s">
        <v>827</v>
      </c>
      <c r="AC554" s="626" t="s">
        <v>845</v>
      </c>
      <c r="AF554" s="1"/>
    </row>
    <row r="555" spans="1:32" ht="13.5" thickBot="1" x14ac:dyDescent="0.25">
      <c r="A555" s="629"/>
      <c r="B555" s="626"/>
      <c r="C555" s="626"/>
      <c r="D555" s="626"/>
      <c r="E555" s="626"/>
      <c r="F555" s="626"/>
      <c r="G555" s="626"/>
      <c r="H555" s="626"/>
      <c r="I555" s="626"/>
      <c r="J555" s="626"/>
      <c r="K555" s="626"/>
      <c r="L555" s="626"/>
      <c r="M555" s="626"/>
      <c r="N555" s="1"/>
      <c r="O555" s="626"/>
      <c r="P555" s="626"/>
      <c r="Q555" s="626"/>
      <c r="R555" s="626"/>
      <c r="S555" s="626"/>
      <c r="T555" s="626"/>
      <c r="U555" s="626"/>
      <c r="V555" s="626"/>
      <c r="W555" s="626"/>
      <c r="X555" s="626"/>
      <c r="Y555" s="626"/>
      <c r="Z555" s="626"/>
      <c r="AA555" s="626"/>
      <c r="AB555" s="626"/>
      <c r="AC555" s="626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0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0</v>
      </c>
      <c r="F556" s="52">
        <f>IFERROR(Y84*1,"0")+IFERROR(Y85*1,"0")+IFERROR(Y86*1,"0")+IFERROR(Y87*1,"0")+IFERROR(Y88*1,"0")+IFERROR(Y89*1,"0")+IFERROR(Y93*1,"0")+IFERROR(Y94*1,"0")+IFERROR(Y95*1,"0")+IFERROR(Y96*1,"0")</f>
        <v>0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56" s="52">
        <f>IFERROR(Y131*1,"0")+IFERROR(Y132*1,"0")+IFERROR(Y136*1,"0")+IFERROR(Y137*1,"0")+IFERROR(Y141*1,"0")+IFERROR(Y142*1,"0")</f>
        <v>0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0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0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0</v>
      </c>
      <c r="U556" s="52">
        <f>IFERROR(Y406*1,"0")+IFERROR(Y407*1,"0")</f>
        <v>0</v>
      </c>
      <c r="V556" s="52">
        <f>IFERROR(Y412*1,"0")+IFERROR(Y413*1,"0")+IFERROR(Y414*1,"0")</f>
        <v>0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0</v>
      </c>
      <c r="X556" s="52">
        <f>IFERROR(Y449*1,"0")+IFERROR(Y450*1,"0")+IFERROR(Y454*1,"0")+IFERROR(Y458*1,"0")+IFERROR(Y459*1,"0")+IFERROR(Y460*1,"0")</f>
        <v>0</v>
      </c>
      <c r="Y556" s="52">
        <f>IFERROR(Y466*1,"0")+IFERROR(Y467*1,"0")+IFERROR(Y468*1,"0")+IFERROR(Y469*1,"0")+IFERROR(Y470*1,"0")+IFERROR(Y471*1,"0")+IFERROR(Y475*1,"0")</f>
        <v>0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0</v>
      </c>
      <c r="AB556" s="52">
        <f>IFERROR(Y521*1,"0")+IFERROR(Y525*1,"0")+IFERROR(Y529*1,"0")+IFERROR(Y533*1,"0")+IFERROR(Y537*1,"0")+IFERROR(Y538*1,"0")</f>
        <v>0</v>
      </c>
      <c r="AC556" s="52">
        <f>IFERROR(Y543*1,"0")</f>
        <v>0</v>
      </c>
      <c r="AF556" s="1"/>
    </row>
  </sheetData>
  <sheetProtection algorithmName="SHA-512" hashValue="XwtGQvBDgkamz2fK5g+Q4jYMWN6YYT5w1Fyd+QbGvp6bDOUSWyy16PB7a1fdYGRCTOTjU9aVeKus9dSvQ/83mg==" saltValue="BqpICxC4lHYJcL/ZsQWty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9" spans="2:8" x14ac:dyDescent="0.2">
      <c r="B9" s="53" t="s">
        <v>858</v>
      </c>
      <c r="C9" s="53" t="s">
        <v>853</v>
      </c>
      <c r="D9" s="53" t="s">
        <v>46</v>
      </c>
      <c r="E9" s="53" t="s">
        <v>46</v>
      </c>
    </row>
    <row r="11" spans="2:8" x14ac:dyDescent="0.2">
      <c r="B11" s="53" t="s">
        <v>858</v>
      </c>
      <c r="C11" s="53" t="s">
        <v>856</v>
      </c>
      <c r="D11" s="53" t="s">
        <v>46</v>
      </c>
      <c r="E11" s="53" t="s">
        <v>46</v>
      </c>
    </row>
    <row r="13" spans="2:8" x14ac:dyDescent="0.2">
      <c r="B13" s="53" t="s">
        <v>859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868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869</v>
      </c>
      <c r="C23" s="53" t="s">
        <v>46</v>
      </c>
      <c r="D23" s="53" t="s">
        <v>46</v>
      </c>
      <c r="E23" s="53" t="s">
        <v>46</v>
      </c>
    </row>
  </sheetData>
  <sheetProtection algorithmName="SHA-512" hashValue="+bCzvZF5rUMDw89kfkYhpZDkO246RsrlIAa2e4fVL+hDKpqNsot5AF71b/GJY8lXPTxv2IU9T3XVtAl4h+x1cw==" saltValue="Frq4ZsUUiySd8pwD/4Mf2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1124</vt:i4>
      </vt:variant>
    </vt:vector>
  </HeadingPairs>
  <TitlesOfParts>
    <vt:vector size="112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2026-10-06T12:21:40Z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