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Pushkarniy_ABI\"/>
    </mc:Choice>
  </mc:AlternateContent>
  <xr:revisionPtr revIDLastSave="0" documentId="13_ncr:1_{24EDAECF-08F8-4CE6-B246-8EA51304D8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GrossWeightTotalR">Лист1!$Y$475:$Y$475</definedName>
    <definedName name="PalletQtyTotalR">Лист1!$Y$476:$Y$476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71" i="1" l="1"/>
  <c r="Y473" i="1" s="1"/>
  <c r="Y466" i="1"/>
  <c r="Y468" i="1" s="1"/>
  <c r="Y465" i="1"/>
  <c r="Y461" i="1"/>
  <c r="Y462" i="1" s="1"/>
  <c r="Y457" i="1"/>
  <c r="Y456" i="1"/>
  <c r="Y459" i="1" s="1"/>
  <c r="Y452" i="1"/>
  <c r="Y451" i="1"/>
  <c r="Y453" i="1" s="1"/>
  <c r="Y450" i="1"/>
  <c r="Y446" i="1"/>
  <c r="Y445" i="1"/>
  <c r="Y444" i="1"/>
  <c r="Y448" i="1" s="1"/>
  <c r="Y443" i="1"/>
  <c r="Y437" i="1"/>
  <c r="Y436" i="1"/>
  <c r="Y435" i="1"/>
  <c r="Y438" i="1" s="1"/>
  <c r="Y431" i="1"/>
  <c r="Y430" i="1"/>
  <c r="Y429" i="1"/>
  <c r="Y428" i="1"/>
  <c r="Y427" i="1"/>
  <c r="Y426" i="1"/>
  <c r="Y433" i="1" s="1"/>
  <c r="Y422" i="1"/>
  <c r="Y421" i="1"/>
  <c r="Y423" i="1" s="1"/>
  <c r="Y420" i="1"/>
  <c r="Y416" i="1"/>
  <c r="Y415" i="1"/>
  <c r="Y414" i="1"/>
  <c r="Y413" i="1"/>
  <c r="Y412" i="1"/>
  <c r="Y411" i="1"/>
  <c r="Y410" i="1"/>
  <c r="Y409" i="1"/>
  <c r="Y408" i="1"/>
  <c r="Y407" i="1"/>
  <c r="Y406" i="1"/>
  <c r="Y417" i="1" s="1"/>
  <c r="Y400" i="1"/>
  <c r="Y402" i="1" s="1"/>
  <c r="Y395" i="1"/>
  <c r="Y394" i="1"/>
  <c r="Y393" i="1"/>
  <c r="Y392" i="1"/>
  <c r="Y396" i="1" s="1"/>
  <c r="Y388" i="1"/>
  <c r="Y389" i="1" s="1"/>
  <c r="Y383" i="1"/>
  <c r="Y382" i="1"/>
  <c r="Y378" i="1"/>
  <c r="Y377" i="1"/>
  <c r="Y376" i="1"/>
  <c r="Y375" i="1"/>
  <c r="Y374" i="1"/>
  <c r="Y373" i="1"/>
  <c r="Y372" i="1"/>
  <c r="Y371" i="1"/>
  <c r="Y370" i="1"/>
  <c r="Y364" i="1"/>
  <c r="Y363" i="1"/>
  <c r="Y359" i="1"/>
  <c r="Y361" i="1" s="1"/>
  <c r="Y358" i="1"/>
  <c r="Y354" i="1"/>
  <c r="Y353" i="1"/>
  <c r="Y355" i="1" s="1"/>
  <c r="Y348" i="1"/>
  <c r="Y349" i="1" s="1"/>
  <c r="Y344" i="1"/>
  <c r="Y343" i="1"/>
  <c r="Y339" i="1"/>
  <c r="Y338" i="1"/>
  <c r="Y334" i="1"/>
  <c r="Y333" i="1"/>
  <c r="Y332" i="1"/>
  <c r="Y331" i="1"/>
  <c r="Y330" i="1"/>
  <c r="Y329" i="1"/>
  <c r="Y328" i="1"/>
  <c r="Y336" i="1" s="1"/>
  <c r="Y322" i="1"/>
  <c r="Y321" i="1"/>
  <c r="Y320" i="1"/>
  <c r="Y315" i="1"/>
  <c r="Y314" i="1"/>
  <c r="Y313" i="1"/>
  <c r="Y317" i="1" s="1"/>
  <c r="Y309" i="1"/>
  <c r="Y308" i="1"/>
  <c r="Y307" i="1"/>
  <c r="Y306" i="1"/>
  <c r="Y302" i="1"/>
  <c r="Y301" i="1"/>
  <c r="Y300" i="1"/>
  <c r="Y303" i="1" s="1"/>
  <c r="Y296" i="1"/>
  <c r="Y295" i="1"/>
  <c r="Y294" i="1"/>
  <c r="Y293" i="1"/>
  <c r="Y298" i="1" s="1"/>
  <c r="Y289" i="1"/>
  <c r="Y288" i="1"/>
  <c r="Y287" i="1"/>
  <c r="Y286" i="1"/>
  <c r="Y285" i="1"/>
  <c r="Y284" i="1"/>
  <c r="Y290" i="1" s="1"/>
  <c r="Y283" i="1"/>
  <c r="Y279" i="1"/>
  <c r="Y278" i="1"/>
  <c r="Y277" i="1"/>
  <c r="Y276" i="1"/>
  <c r="Y275" i="1"/>
  <c r="Y281" i="1" s="1"/>
  <c r="Y274" i="1"/>
  <c r="Y269" i="1"/>
  <c r="Y268" i="1"/>
  <c r="Y270" i="1" s="1"/>
  <c r="Y264" i="1"/>
  <c r="Y263" i="1"/>
  <c r="Y258" i="1"/>
  <c r="Y257" i="1"/>
  <c r="Y256" i="1"/>
  <c r="Y259" i="1" s="1"/>
  <c r="Y251" i="1"/>
  <c r="Y250" i="1"/>
  <c r="Y249" i="1"/>
  <c r="Y248" i="1"/>
  <c r="Y253" i="1" s="1"/>
  <c r="Y243" i="1"/>
  <c r="Y242" i="1"/>
  <c r="Y241" i="1"/>
  <c r="Y240" i="1"/>
  <c r="Y244" i="1" s="1"/>
  <c r="Y239" i="1"/>
  <c r="Y234" i="1"/>
  <c r="Y233" i="1"/>
  <c r="Y232" i="1"/>
  <c r="Y231" i="1"/>
  <c r="Y230" i="1"/>
  <c r="Y235" i="1" s="1"/>
  <c r="Y226" i="1"/>
  <c r="Y228" i="1" s="1"/>
  <c r="Y222" i="1"/>
  <c r="Y223" i="1" s="1"/>
  <c r="Y218" i="1"/>
  <c r="Y217" i="1"/>
  <c r="Y216" i="1"/>
  <c r="Y215" i="1"/>
  <c r="Y214" i="1"/>
  <c r="Y213" i="1"/>
  <c r="Y212" i="1"/>
  <c r="Y211" i="1"/>
  <c r="Y210" i="1"/>
  <c r="Y209" i="1"/>
  <c r="Y204" i="1"/>
  <c r="Y203" i="1"/>
  <c r="Y199" i="1"/>
  <c r="Y198" i="1"/>
  <c r="Y197" i="1"/>
  <c r="Y196" i="1"/>
  <c r="Y195" i="1"/>
  <c r="Y194" i="1"/>
  <c r="Y193" i="1"/>
  <c r="Y192" i="1"/>
  <c r="Y191" i="1"/>
  <c r="Y201" i="1" s="1"/>
  <c r="Y187" i="1"/>
  <c r="Y186" i="1"/>
  <c r="Y185" i="1"/>
  <c r="Y184" i="1"/>
  <c r="Y183" i="1"/>
  <c r="Y182" i="1"/>
  <c r="Y181" i="1"/>
  <c r="Y180" i="1"/>
  <c r="Y176" i="1"/>
  <c r="Y175" i="1"/>
  <c r="Y171" i="1"/>
  <c r="Y173" i="1" s="1"/>
  <c r="Y170" i="1"/>
  <c r="Y167" i="1"/>
  <c r="Y165" i="1"/>
  <c r="Y166" i="1" s="1"/>
  <c r="Y161" i="1"/>
  <c r="Y160" i="1"/>
  <c r="Y159" i="1"/>
  <c r="Y155" i="1"/>
  <c r="Y154" i="1"/>
  <c r="Y153" i="1"/>
  <c r="Y152" i="1"/>
  <c r="Y151" i="1"/>
  <c r="Y150" i="1"/>
  <c r="Y149" i="1"/>
  <c r="Y148" i="1"/>
  <c r="Y147" i="1"/>
  <c r="Y146" i="1"/>
  <c r="Y142" i="1"/>
  <c r="Y143" i="1" s="1"/>
  <c r="Y136" i="1"/>
  <c r="Y138" i="1" s="1"/>
  <c r="Y132" i="1"/>
  <c r="Y131" i="1"/>
  <c r="Y130" i="1"/>
  <c r="Y126" i="1"/>
  <c r="Y125" i="1"/>
  <c r="Y124" i="1"/>
  <c r="Y128" i="1" s="1"/>
  <c r="Y119" i="1"/>
  <c r="Y118" i="1"/>
  <c r="Y114" i="1"/>
  <c r="Y113" i="1"/>
  <c r="Y109" i="1"/>
  <c r="Y111" i="1" s="1"/>
  <c r="Y108" i="1"/>
  <c r="Y105" i="1"/>
  <c r="Y103" i="1"/>
  <c r="Y104" i="1" s="1"/>
  <c r="Y99" i="1"/>
  <c r="Y98" i="1"/>
  <c r="Y97" i="1"/>
  <c r="Y96" i="1"/>
  <c r="Y92" i="1"/>
  <c r="Y91" i="1"/>
  <c r="Y90" i="1"/>
  <c r="Y94" i="1" s="1"/>
  <c r="Y86" i="1"/>
  <c r="Y85" i="1"/>
  <c r="Y84" i="1"/>
  <c r="Y83" i="1"/>
  <c r="Y78" i="1"/>
  <c r="Y77" i="1"/>
  <c r="Y76" i="1"/>
  <c r="Y75" i="1"/>
  <c r="Y71" i="1"/>
  <c r="Y70" i="1"/>
  <c r="Y69" i="1"/>
  <c r="Y72" i="1" s="1"/>
  <c r="Y64" i="1"/>
  <c r="Y63" i="1"/>
  <c r="Y66" i="1" s="1"/>
  <c r="Y59" i="1"/>
  <c r="Y58" i="1"/>
  <c r="Y57" i="1"/>
  <c r="Y56" i="1"/>
  <c r="Y61" i="1" s="1"/>
  <c r="Y52" i="1"/>
  <c r="Y51" i="1"/>
  <c r="Y53" i="1" s="1"/>
  <c r="Y50" i="1"/>
  <c r="Y46" i="1"/>
  <c r="Y45" i="1"/>
  <c r="Y44" i="1"/>
  <c r="Y47" i="1" s="1"/>
  <c r="Y40" i="1"/>
  <c r="Y39" i="1"/>
  <c r="Y38" i="1"/>
  <c r="Y37" i="1"/>
  <c r="Y36" i="1"/>
  <c r="Y35" i="1"/>
  <c r="Y42" i="1" s="1"/>
  <c r="Y30" i="1"/>
  <c r="Y32" i="1" s="1"/>
  <c r="Y26" i="1"/>
  <c r="Y25" i="1"/>
  <c r="Y24" i="1"/>
  <c r="Y27" i="1" s="1"/>
  <c r="Y18" i="1"/>
  <c r="Y20" i="1" s="1"/>
  <c r="Y14" i="1"/>
  <c r="Y13" i="1"/>
  <c r="Y12" i="1"/>
  <c r="Y11" i="1"/>
  <c r="Y10" i="1"/>
  <c r="Y15" i="1" s="1"/>
  <c r="Y6" i="1"/>
  <c r="Y7" i="1" s="1"/>
  <c r="Y271" i="1" l="1"/>
  <c r="Y356" i="1"/>
  <c r="Y16" i="1"/>
  <c r="Y19" i="1"/>
  <c r="Y28" i="1"/>
  <c r="Y31" i="1"/>
  <c r="Y54" i="1"/>
  <c r="Y79" i="1"/>
  <c r="Y80" i="1"/>
  <c r="Y88" i="1"/>
  <c r="Y93" i="1"/>
  <c r="Y101" i="1"/>
  <c r="Y115" i="1"/>
  <c r="Y116" i="1"/>
  <c r="Y121" i="1"/>
  <c r="Y127" i="1"/>
  <c r="Y133" i="1"/>
  <c r="Y137" i="1"/>
  <c r="Y156" i="1"/>
  <c r="Y157" i="1"/>
  <c r="Y162" i="1"/>
  <c r="Y177" i="1"/>
  <c r="Y178" i="1"/>
  <c r="Y189" i="1"/>
  <c r="Y200" i="1"/>
  <c r="Y206" i="1"/>
  <c r="Y220" i="1"/>
  <c r="Y227" i="1"/>
  <c r="Y245" i="1"/>
  <c r="Y260" i="1"/>
  <c r="Y266" i="1"/>
  <c r="Y291" i="1"/>
  <c r="Y304" i="1"/>
  <c r="Y311" i="1"/>
  <c r="Y316" i="1"/>
  <c r="Y323" i="1"/>
  <c r="Y335" i="1"/>
  <c r="Y341" i="1"/>
  <c r="Y346" i="1"/>
  <c r="Y365" i="1"/>
  <c r="Y366" i="1"/>
  <c r="Y379" i="1"/>
  <c r="Y397" i="1"/>
  <c r="Y401" i="1"/>
  <c r="Y424" i="1"/>
  <c r="Y447" i="1"/>
  <c r="Y454" i="1"/>
  <c r="Y467" i="1"/>
  <c r="Y472" i="1"/>
  <c r="Y476" i="1"/>
  <c r="Y60" i="1"/>
  <c r="Y100" i="1"/>
  <c r="Y205" i="1"/>
  <c r="Y252" i="1"/>
  <c r="Y297" i="1"/>
  <c r="Y340" i="1"/>
  <c r="Y475" i="1"/>
  <c r="Y41" i="1"/>
  <c r="Y48" i="1"/>
  <c r="Y65" i="1"/>
  <c r="Y73" i="1"/>
  <c r="Y87" i="1"/>
  <c r="Y110" i="1"/>
  <c r="Y120" i="1"/>
  <c r="Y134" i="1"/>
  <c r="Y144" i="1"/>
  <c r="Y163" i="1"/>
  <c r="Y172" i="1"/>
  <c r="Y188" i="1"/>
  <c r="Y219" i="1"/>
  <c r="Y224" i="1"/>
  <c r="Y236" i="1"/>
  <c r="Y265" i="1"/>
  <c r="Y280" i="1"/>
  <c r="Y310" i="1"/>
  <c r="Y324" i="1"/>
  <c r="Y345" i="1"/>
  <c r="Y350" i="1"/>
  <c r="Y360" i="1"/>
  <c r="Y380" i="1"/>
  <c r="Y385" i="1"/>
  <c r="Y384" i="1"/>
  <c r="Y390" i="1"/>
  <c r="Y418" i="1"/>
  <c r="Y432" i="1"/>
  <c r="Y439" i="1"/>
  <c r="Y458" i="1"/>
  <c r="Y463" i="1"/>
  <c r="Y8" i="1"/>
  <c r="Y474" i="1" l="1"/>
  <c r="Y478" i="1"/>
  <c r="Y477" i="1"/>
</calcChain>
</file>

<file path=xl/sharedStrings.xml><?xml version="1.0" encoding="utf-8"?>
<sst xmlns="http://schemas.openxmlformats.org/spreadsheetml/2006/main" count="1940" uniqueCount="780">
  <si>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</si>
  <si>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</si>
  <si>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</si>
  <si>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</si>
  <si>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</si>
  <si>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</si>
  <si>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</si>
  <si>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</si>
  <si>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</si>
  <si>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</si>
  <si>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</si>
  <si>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</si>
  <si>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</si>
  <si>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</si>
  <si>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</si>
  <si>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</si>
  <si>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</si>
  <si>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 с округлением до короба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</si>
  <si>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</si>
  <si>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</si>
  <si>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</si>
  <si>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</si>
  <si>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</si>
  <si>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</si>
  <si>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</si>
  <si>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</si>
  <si>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</si>
  <si>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</si>
  <si>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</si>
  <si>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</si>
  <si>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</si>
  <si>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</si>
  <si>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</si>
  <si>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</si>
  <si>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</si>
  <si>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</si>
  <si>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</si>
  <si>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</si>
  <si>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</si>
  <si>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</si>
  <si>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</si>
  <si>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</si>
  <si>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</si>
  <si>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</si>
  <si>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</si>
  <si>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</si>
  <si>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</si>
  <si>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</si>
  <si>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</si>
  <si>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</si>
  <si>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</si>
  <si>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</si>
  <si>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</si>
  <si>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</si>
  <si>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</si>
  <si>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</si>
  <si>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</si>
  <si>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</si>
  <si>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</si>
  <si>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</si>
  <si>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</si>
  <si>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</si>
  <si>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</si>
  <si>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</si>
  <si>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SU001485</t>
  </si>
  <si>
    <t>P003008</t>
  </si>
  <si>
    <t>12</t>
  </si>
  <si>
    <t>Короб, мин. 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</si>
  <si>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</si>
  <si>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</si>
  <si>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</si>
  <si>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</si>
  <si>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</si>
  <si>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</si>
  <si>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</si>
  <si>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</si>
  <si>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</si>
  <si>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</si>
  <si>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</si>
  <si>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SU002829</t>
  </si>
  <si>
    <t>P003235</t>
  </si>
  <si>
    <t>Вареные колбасы «Филейская» Весовые Вектор ТМ «Вязанка»</t>
  </si>
  <si>
    <t>SU002674</t>
  </si>
  <si>
    <t>P003045</t>
  </si>
  <si>
    <t>Вареные колбасы Классическая Вязанка Фикс.вес 0,6 Вектор Вязанка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</si>
  <si>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</si>
  <si>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</si>
  <si>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</si>
  <si>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</si>
  <si>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</si>
  <si>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</si>
  <si>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</si>
  <si>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</si>
  <si>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</si>
  <si>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</si>
  <si>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</si>
  <si>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</si>
  <si>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</si>
  <si>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</si>
  <si>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</si>
  <si>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</si>
  <si>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</si>
  <si>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</si>
  <si>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</si>
  <si>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</si>
  <si>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</si>
  <si>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</si>
  <si>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SU003029</t>
  </si>
  <si>
    <t>P003569</t>
  </si>
  <si>
    <t>В/к колбасы «Сервелат Филейский»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</si>
  <si>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</si>
  <si>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</si>
  <si>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</si>
  <si>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SU003616</t>
  </si>
  <si>
    <t>P004555</t>
  </si>
  <si>
    <t>Сосиски «Филейские по-ганноверски» Весовой амицел ТМ «Вязанка»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</si>
  <si>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</si>
  <si>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</si>
  <si>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</si>
  <si>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</si>
  <si>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</si>
  <si>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</si>
  <si>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</si>
  <si>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</si>
  <si>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</si>
  <si>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</si>
  <si>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</si>
  <si>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</si>
  <si>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</si>
  <si>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</si>
  <si>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</si>
  <si>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</si>
  <si>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Молокуша</t>
  </si>
  <si>
    <t>SU002830</t>
  </si>
  <si>
    <t>P003239</t>
  </si>
  <si>
    <t>Вареные колбасы Молокуша Вязанка Вес п/а Вязанка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</si>
  <si>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</si>
  <si>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</si>
  <si>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</si>
  <si>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</si>
  <si>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</si>
  <si>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</si>
  <si>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</si>
  <si>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</si>
  <si>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</si>
  <si>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</si>
  <si>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</si>
  <si>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</si>
  <si>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</si>
  <si>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</si>
  <si>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</si>
  <si>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</si>
  <si>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</si>
  <si>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</si>
  <si>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Сливушка</t>
  </si>
  <si>
    <t>SU002928</t>
  </si>
  <si>
    <t>P003357</t>
  </si>
  <si>
    <t>Вареные колбасы «Сливушка» Вес П/а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</si>
  <si>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</si>
  <si>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</si>
  <si>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</si>
  <si>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</si>
  <si>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</si>
  <si>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</si>
  <si>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</si>
  <si>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</si>
  <si>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</si>
  <si>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</si>
  <si>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</si>
  <si>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</si>
  <si>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</si>
  <si>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</si>
  <si>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</si>
  <si>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</si>
  <si>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</si>
  <si>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</si>
  <si>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</si>
  <si>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</si>
  <si>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</si>
  <si>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</si>
  <si>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</si>
  <si>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</si>
  <si>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</si>
  <si>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</si>
  <si>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</si>
  <si>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</si>
  <si>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</si>
  <si>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</si>
  <si>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SU002367</t>
  </si>
  <si>
    <t>P002644</t>
  </si>
  <si>
    <t>Сардельки «Сливушки» фикс.вес 0,33 п/а мгс ТМ «Вязанка»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</si>
  <si>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</si>
  <si>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</si>
  <si>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</si>
  <si>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</si>
  <si>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</si>
  <si>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</si>
  <si>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</si>
  <si>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</si>
  <si>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</si>
  <si>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</si>
  <si>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</si>
  <si>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</si>
  <si>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</si>
  <si>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</si>
  <si>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</si>
  <si>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</si>
  <si>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</si>
  <si>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</si>
  <si>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SU002312</t>
  </si>
  <si>
    <t>P003913</t>
  </si>
  <si>
    <t>Вареные колбасы «Докторский гарант» Фикс.вес 0,4 Вектор ТМ «Вязанка»</t>
  </si>
  <si>
    <t>SU003932</t>
  </si>
  <si>
    <t>P005042</t>
  </si>
  <si>
    <t>Вареные колбасы «Элитная» Фикс.вес 0,3 п/а ТМ «Вязанка»</t>
  </si>
  <si>
    <t>SU000064</t>
  </si>
  <si>
    <t>P001841</t>
  </si>
  <si>
    <t>В/к колбасы Балыковая Вязанка Весовые Фиброуз в/у Вязанка</t>
  </si>
  <si>
    <t>SU000664</t>
  </si>
  <si>
    <t>P002177</t>
  </si>
  <si>
    <t>В/к колбасы Салями Финская Вязанка Весовые Фиброуз в/у Вязанка</t>
  </si>
  <si>
    <t>SU000097</t>
  </si>
  <si>
    <t>P002179</t>
  </si>
  <si>
    <t>В/к колбасы Столичный Вязанка Весовые Фиброуз в/у Вязанка</t>
  </si>
  <si>
    <t>SU004053</t>
  </si>
  <si>
    <t>P005187</t>
  </si>
  <si>
    <t>Сосиски «Сочные» Фикс.вес 0,3 П/а мгс ТМ «Вязанка»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</si>
  <si>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</si>
  <si>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</si>
  <si>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</si>
  <si>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</si>
  <si>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</si>
  <si>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SU003997</t>
  </si>
  <si>
    <t>P005141</t>
  </si>
  <si>
    <t>Копченые колбасы «Мясорубская с чесноком» Фикс.вес 0,3 фиброуз ТМ «Стародворье»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</si>
  <si>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</si>
  <si>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</si>
  <si>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</si>
  <si>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</si>
  <si>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</si>
  <si>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</si>
  <si>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</si>
  <si>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</si>
  <si>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</si>
  <si>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</si>
  <si>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</si>
  <si>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</si>
  <si>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</si>
  <si>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</si>
  <si>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</si>
  <si>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</si>
  <si>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</si>
  <si>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</si>
  <si>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</si>
  <si>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</si>
  <si>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</si>
  <si>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</si>
  <si>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</si>
  <si>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</si>
  <si>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</si>
  <si>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</si>
  <si>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</si>
  <si>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</si>
  <si>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</si>
  <si>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</si>
  <si>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</si>
  <si>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</si>
  <si>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</si>
  <si>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</si>
  <si>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</si>
  <si>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</si>
  <si>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</si>
  <si>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</si>
  <si>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</si>
  <si>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</si>
  <si>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</si>
  <si>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</si>
  <si>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</si>
  <si>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</si>
  <si>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</si>
  <si>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</si>
  <si>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</si>
  <si>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</si>
  <si>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</si>
  <si>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</si>
  <si>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</si>
  <si>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</si>
  <si>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</si>
  <si>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</si>
  <si>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</si>
  <si>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</si>
  <si>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</si>
  <si>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</si>
  <si>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</si>
  <si>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</si>
  <si>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</si>
  <si>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</si>
  <si>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</si>
  <si>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</si>
  <si>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</si>
  <si>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</si>
  <si>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</si>
  <si>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</si>
  <si>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</si>
  <si>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</si>
  <si>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</si>
  <si>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</si>
  <si>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</si>
  <si>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</si>
  <si>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</si>
  <si>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</si>
  <si>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</si>
  <si>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</si>
  <si>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</si>
  <si>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</si>
  <si>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</si>
  <si>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</si>
  <si>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</si>
  <si>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SU002845</t>
  </si>
  <si>
    <t>P003266</t>
  </si>
  <si>
    <t>Сосиски «Сочинки Сливочные» Весовые ТМ «Стародворье» 1,35 кг</t>
  </si>
  <si>
    <t>SU002725</t>
  </si>
  <si>
    <t>P003959</t>
  </si>
  <si>
    <t>Сосиски «Сочинки» Весовой п/а ТМ «Стародворье»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</si>
  <si>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</si>
  <si>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</si>
  <si>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</si>
  <si>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</si>
  <si>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</si>
  <si>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</si>
  <si>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</si>
  <si>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</si>
  <si>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</si>
  <si>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</si>
  <si>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</si>
  <si>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</si>
  <si>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</si>
  <si>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</si>
  <si>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</si>
  <si>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</si>
  <si>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</si>
  <si>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</si>
  <si>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</si>
  <si>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</si>
  <si>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</si>
  <si>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SU002758</t>
  </si>
  <si>
    <t>P003960</t>
  </si>
  <si>
    <t>Сардельки «Сочинки» Фикс.вес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</si>
  <si>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</si>
  <si>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</si>
  <si>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</si>
  <si>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</si>
  <si>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SU003275</t>
  </si>
  <si>
    <t>P003950</t>
  </si>
  <si>
    <t>Вареные колбасы «Стародворская со шпиком» Весовой п/а ТМ «Стародворье»</t>
  </si>
  <si>
    <t>SU003271</t>
  </si>
  <si>
    <t>P003945</t>
  </si>
  <si>
    <t>Вареные колбасы «Стародворская с окороком » Весовой п/а ТМ «Стародворье»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</si>
  <si>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</si>
  <si>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</si>
  <si>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</si>
  <si>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</si>
  <si>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</si>
  <si>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</si>
  <si>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</si>
  <si>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</si>
  <si>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</si>
  <si>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</si>
  <si>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</si>
  <si>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</si>
  <si>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</si>
  <si>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</si>
  <si>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</si>
  <si>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</si>
  <si>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</si>
  <si>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</si>
  <si>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</si>
  <si>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</si>
  <si>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</si>
  <si>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</si>
  <si>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</si>
  <si>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</si>
  <si>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</si>
  <si>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</si>
  <si>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</si>
  <si>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</si>
  <si>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</si>
  <si>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</si>
  <si>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</si>
  <si>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</si>
  <si>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</si>
  <si>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</si>
  <si>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</si>
  <si>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</si>
  <si>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</si>
  <si>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</si>
  <si>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</si>
  <si>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</si>
  <si>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</si>
  <si>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</si>
  <si>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</si>
  <si>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</si>
  <si>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</si>
  <si>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</si>
  <si>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</si>
  <si>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</si>
  <si>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</si>
  <si>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</si>
  <si>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</si>
  <si>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</si>
  <si>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SU003390</t>
  </si>
  <si>
    <t>P004208</t>
  </si>
  <si>
    <t>Вареные колбасы «Молочная по-стародворски» ф/в 0,4 п/а ТМ «Стародворье»</t>
  </si>
  <si>
    <t>SU003388</t>
  </si>
  <si>
    <t>P004207</t>
  </si>
  <si>
    <t>Вареные колбасы «Филедворская по-стародворски» ф/в 0,4 п/а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</si>
  <si>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</si>
  <si>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</si>
  <si>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</si>
  <si>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</si>
  <si>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</si>
  <si>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</si>
  <si>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</si>
  <si>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</si>
  <si>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</si>
  <si>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</si>
  <si>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</si>
  <si>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</si>
  <si>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</si>
  <si>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</si>
  <si>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</si>
  <si>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</si>
  <si>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</si>
  <si>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</si>
  <si>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</si>
  <si>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</si>
  <si>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</si>
  <si>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</si>
  <si>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</si>
  <si>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</si>
  <si>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</si>
  <si>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</si>
  <si>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</si>
  <si>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SU003942</t>
  </si>
  <si>
    <t>P005056</t>
  </si>
  <si>
    <t>Копченые колбасы «Чесночная» Фикс.вес 0,4 фиброуз ТМ «Стародворье»</t>
  </si>
  <si>
    <t>SU003962</t>
  </si>
  <si>
    <t>P005092</t>
  </si>
  <si>
    <t>Сосиски «Сливочные» Фикс.вес 0,55 п/а ТМ «Стародворье»</t>
  </si>
  <si>
    <t>SU003340</t>
  </si>
  <si>
    <t>P004090</t>
  </si>
  <si>
    <t>Сосиски «Венские» ф/в 0,6 п/а ТМ «Стародворье»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</si>
  <si>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</si>
  <si>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</si>
  <si>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</si>
  <si>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</si>
  <si>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</si>
  <si>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</si>
  <si>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</si>
  <si>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</si>
  <si>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</si>
  <si>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</si>
  <si>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SU003392</t>
  </si>
  <si>
    <t>P004210</t>
  </si>
  <si>
    <t>Вареные колбасы «Стародворская Традиционная» Весовой п/а ТМ «Стародворье»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</si>
  <si>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</si>
  <si>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</si>
  <si>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</si>
  <si>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</si>
  <si>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</si>
  <si>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</si>
  <si>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</si>
  <si>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</si>
  <si>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</si>
  <si>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SU001822</t>
  </si>
  <si>
    <t>P003013</t>
  </si>
  <si>
    <t>В/к колбасы Кремлевский Бордо Весовые Фиброуз в/у Стародворье</t>
  </si>
  <si>
    <t>SU001801</t>
  </si>
  <si>
    <t>P003014</t>
  </si>
  <si>
    <t>В/к колбасы Сервелатная По-стародворски Фирменная Весовые Фиброуз в/у Стародворье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</si>
  <si>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</si>
  <si>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</si>
  <si>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</si>
  <si>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</si>
  <si>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</si>
  <si>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</si>
  <si>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</si>
  <si>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</si>
  <si>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</si>
  <si>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</si>
  <si>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</si>
  <si>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</si>
  <si>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SU001340</t>
  </si>
  <si>
    <t>P002209</t>
  </si>
  <si>
    <t>Сосиски Ганноверские Бордо Весовые П/а мгс Баварушка</t>
  </si>
  <si>
    <t>SU001727</t>
  </si>
  <si>
    <t>P002205</t>
  </si>
  <si>
    <t>Сосиски Молочные по-стародворски Бордо Весовые П/а мгс Стародворье</t>
  </si>
  <si>
    <t>SU001728</t>
  </si>
  <si>
    <t>P002207</t>
  </si>
  <si>
    <t>Сосиски Сливочные по-стародворски Бордо Весовые П/а мгс Стародворье</t>
  </si>
  <si>
    <t>SU003333</t>
  </si>
  <si>
    <t>P004082</t>
  </si>
  <si>
    <t>Сосиски «Ганноверские» Фикс.вес 0,5 П/а мгс ТМ «Стародворье»</t>
  </si>
  <si>
    <t>SU001051</t>
  </si>
  <si>
    <t>P003997</t>
  </si>
  <si>
    <t>Сардельки «Нежные» Весовые NDX мгс ТМ «Стародворье»</t>
  </si>
  <si>
    <t>SU000227</t>
  </si>
  <si>
    <t>P002536</t>
  </si>
  <si>
    <t>Сардельки «Стародворские с говядиной» Весовые NDX ТМ «Стародворье»</t>
  </si>
  <si>
    <t>SU001430</t>
  </si>
  <si>
    <t>P004913</t>
  </si>
  <si>
    <t>Сардельки «Шпикачки Стародворские» Весовой NDX ТМ «Стародворье»</t>
  </si>
  <si>
    <t>SU001921</t>
  </si>
  <si>
    <t>P001916</t>
  </si>
  <si>
    <t>С/к колбасы Салями Охотничья Бордо Весовые б/о терм/п 180 Стародворье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</si>
  <si>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</si>
  <si>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</si>
  <si>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</si>
  <si>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</si>
  <si>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</si>
  <si>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</si>
  <si>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</si>
  <si>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</si>
  <si>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</si>
  <si>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</si>
  <si>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</si>
  <si>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</si>
  <si>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</si>
  <si>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</si>
  <si>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</si>
  <si>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</si>
  <si>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</si>
  <si>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</si>
  <si>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</si>
  <si>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</si>
  <si>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</si>
  <si>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</si>
  <si>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</si>
  <si>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</si>
  <si>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SU003167</t>
  </si>
  <si>
    <t>P003363</t>
  </si>
  <si>
    <t>Сосиски «Баварские» Фикс.вес 0,35 П/а ТМ «Стародворье»</t>
  </si>
  <si>
    <t>SU003168</t>
  </si>
  <si>
    <t>P003364</t>
  </si>
  <si>
    <t>Сосиски «Баварские с сыром» Фикс.вес 0,35 п/а ТМ «Стародворье»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</si>
  <si>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</si>
  <si>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</si>
  <si>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</si>
  <si>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</si>
  <si>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</si>
  <si>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SU003423</t>
  </si>
  <si>
    <t>P004257</t>
  </si>
  <si>
    <t>Вареные колбасы «Со шпиком» Весовой п/а ТМ «Особый рецепт»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</si>
  <si>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</si>
  <si>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</si>
  <si>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</si>
  <si>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SU000251</t>
  </si>
  <si>
    <t>P005077</t>
  </si>
  <si>
    <t>Вареные колбасы «Докторская» Весовой п/а ТМ «Особый рецепт»</t>
  </si>
  <si>
    <t>SU002787</t>
  </si>
  <si>
    <t>P003189</t>
  </si>
  <si>
    <t>Вареные колбасы «Молочная с нежным филе» Фикс.вес 0,4 кг п/а ТМ «Особый рецепт»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</si>
  <si>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</si>
  <si>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</si>
  <si>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</si>
  <si>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</si>
  <si>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</si>
  <si>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</si>
  <si>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</si>
  <si>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</si>
  <si>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</si>
  <si>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</si>
  <si>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</si>
  <si>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</si>
  <si>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</si>
  <si>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</si>
  <si>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</si>
  <si>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SU000246</t>
  </si>
  <si>
    <t>P004843</t>
  </si>
  <si>
    <t>Сосиски «Молочные оригинальные» Весовой п/а ТМ «Особый рецепт»</t>
  </si>
  <si>
    <t>SU002287</t>
  </si>
  <si>
    <t>P005080</t>
  </si>
  <si>
    <t>Сардельки «Сочные» Весовой п/а ТМ «Особый рецепт»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</si>
  <si>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</si>
  <si>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</si>
  <si>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</si>
  <si>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</si>
  <si>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</si>
  <si>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</si>
  <si>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</si>
  <si>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</si>
  <si>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</si>
  <si>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</si>
  <si>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P005172</t>
  </si>
  <si>
    <t>Копченые колбасы «Сервелат Левантский» Весовой п/а ТМ «Особый рецепт»</t>
  </si>
  <si>
    <t>SU002074</t>
  </si>
  <si>
    <t>P004844</t>
  </si>
  <si>
    <t>Сосиски «Молочные для завтрака» Весовой п/а ТМ «Особый рецепт»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</si>
  <si>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</si>
  <si>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</si>
  <si>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</si>
  <si>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</si>
  <si>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</si>
  <si>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</si>
  <si>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</si>
  <si>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</si>
  <si>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</si>
  <si>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</si>
  <si>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</si>
  <si>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SU002613</t>
  </si>
  <si>
    <t>P004895</t>
  </si>
  <si>
    <t>Копченые колбасы «Филейбургская с сочным окороком» Весовой фиброуз ТМ «Баварушка»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</si>
  <si>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</si>
  <si>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</si>
  <si>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</si>
  <si>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</si>
  <si>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</si>
  <si>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</si>
  <si>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</si>
  <si>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</si>
  <si>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</si>
  <si>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</si>
  <si>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</si>
  <si>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</si>
  <si>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</si>
  <si>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</si>
  <si>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</si>
  <si>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</si>
  <si>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</si>
  <si>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</si>
  <si>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</si>
  <si>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</si>
  <si>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</si>
  <si>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SU002557</t>
  </si>
  <si>
    <t>P003318</t>
  </si>
  <si>
    <t>Сосиски Баварушки (с грудкой ГОСТ 31962-2013) Филейбургская Фикс.вес 0,33 П/а мгс Баварушка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</si>
  <si>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</si>
  <si>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</si>
  <si>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</si>
  <si>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</si>
  <si>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SU002612</t>
  </si>
  <si>
    <t>P004896</t>
  </si>
  <si>
    <t>Копченые колбасы «Балыкбургская» Весовой фиброуз ТМ «Баварушка»</t>
  </si>
  <si>
    <t>SU002545</t>
  </si>
  <si>
    <t>P004516</t>
  </si>
  <si>
    <t>В/к колбасы «Балыкбургская рубленая» Фикс.вес 0,35 фиброуз в/у срез ТМ «Баварушка»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</si>
  <si>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</si>
  <si>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</si>
  <si>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</si>
  <si>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</si>
  <si>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</si>
  <si>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</si>
  <si>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</si>
  <si>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</si>
  <si>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</si>
  <si>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</si>
  <si>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</si>
  <si>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</si>
  <si>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</si>
  <si>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</si>
  <si>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</si>
  <si>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</si>
  <si>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</si>
  <si>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SU002634</t>
  </si>
  <si>
    <t>P002989</t>
  </si>
  <si>
    <t>Вареные колбасы «Дугушка Стародворская» Вес п/а ТМ «Дугушка»</t>
  </si>
  <si>
    <t>SU002094</t>
  </si>
  <si>
    <t>P004938</t>
  </si>
  <si>
    <t>Вареные колбасы «Докторская Дугушка» Весовой п/а ТМ «Стародворье»</t>
  </si>
  <si>
    <t>SU002998</t>
  </si>
  <si>
    <t>P004033</t>
  </si>
  <si>
    <t>Вареные колбасы «Молочная ГОСТ» Весовой п/а ТМ «Дугушка»</t>
  </si>
  <si>
    <t>SU002010</t>
  </si>
  <si>
    <t>P004030</t>
  </si>
  <si>
    <t>Вареные колбасы «Молочная Дугушка» Весовые Вектор ТМ «Дугушка»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</si>
  <si>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</si>
  <si>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</si>
  <si>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</si>
  <si>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</si>
  <si>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</si>
  <si>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</si>
  <si>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</si>
  <si>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</si>
  <si>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</si>
  <si>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</si>
  <si>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</si>
  <si>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</si>
  <si>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</si>
  <si>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</si>
  <si>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</si>
  <si>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</si>
  <si>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</si>
  <si>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</si>
  <si>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</si>
  <si>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</si>
  <si>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</si>
  <si>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</si>
  <si>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</si>
  <si>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</si>
  <si>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</si>
  <si>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</si>
  <si>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</si>
  <si>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SU002158</t>
  </si>
  <si>
    <t>P004466</t>
  </si>
  <si>
    <t>В/к колбасы «Салями Запеченая» Весовые ТМ «Дугушка»</t>
  </si>
  <si>
    <t>SU002151</t>
  </si>
  <si>
    <t>P004470</t>
  </si>
  <si>
    <t>В/к колбасы «Сервелат Запеченный» Весовые Вектор ТМ «Дугушка»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</si>
  <si>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</si>
  <si>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</si>
  <si>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</si>
  <si>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</si>
  <si>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</si>
  <si>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</si>
  <si>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</si>
  <si>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</si>
  <si>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</si>
  <si>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</si>
  <si>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</si>
  <si>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</si>
  <si>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SU002219</t>
  </si>
  <si>
    <t>P002855</t>
  </si>
  <si>
    <t>Сосиски «Сливочные Дугушки» Весовые П/а мгс ТМ «Дугушка»</t>
  </si>
  <si>
    <t>SU002146</t>
  </si>
  <si>
    <t>P002319</t>
  </si>
  <si>
    <t>Сосиски «Молочные Дугушки» ф/в 0,3 амицел ТМ «Дугушка»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</si>
  <si>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</si>
  <si>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</si>
  <si>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</si>
  <si>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</si>
  <si>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SU002807</t>
  </si>
  <si>
    <t>P003583</t>
  </si>
  <si>
    <t>Вареные колбасы «Муромская» Весовой п/а ТМ «Зареченские»</t>
  </si>
  <si>
    <t>SU002808</t>
  </si>
  <si>
    <t>P003582</t>
  </si>
  <si>
    <t>Вареные колбасы «Нежная» НТУ Весовые П/а ТМ «Зареченские»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</si>
  <si>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</si>
  <si>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</si>
  <si>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</si>
  <si>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</si>
  <si>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</si>
  <si>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</si>
  <si>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SU002811</t>
  </si>
  <si>
    <t>P003588</t>
  </si>
  <si>
    <t>Ветчины «Нежная» Весовой п/а ТМ «Зареченские» большой батон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</si>
  <si>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</si>
  <si>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</si>
  <si>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</si>
  <si>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</si>
  <si>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</si>
  <si>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</si>
  <si>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SU002809</t>
  </si>
  <si>
    <t>P003586</t>
  </si>
  <si>
    <t>В/к колбасы «Сервелат Рижский» НТУ Весовые Фиброуз в/у ТМ «Зареченские»</t>
  </si>
  <si>
    <t>SU002655</t>
  </si>
  <si>
    <t>P004991</t>
  </si>
  <si>
    <t>Сосиски «Датские» Весовой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</si>
  <si>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</si>
  <si>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</si>
  <si>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</si>
  <si>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SU002971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</si>
  <si>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</si>
  <si>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</si>
  <si>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</si>
  <si>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</si>
  <si>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</si>
  <si>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</si>
  <si>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</si>
  <si>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</si>
  <si>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</si>
  <si>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</si>
  <si>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</si>
  <si>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</si>
  <si>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</si>
  <si>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</si>
  <si>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</si>
  <si>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</si>
  <si>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</si>
  <si>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Заказ,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</si>
</sst>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7" formatCode="#,##0_ ;[Red]\-#,##0\ "/>
    <numFmt numFmtId="168" formatCode="#,##0.00_ ;[Red]\-#,##0.00\ "/>
  </numFmts>
  <fonts count="2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10"/>
      <color rgb="FF651C32"/>
      <name val="Arial Narrow"/>
      <family val="2"/>
      <charset val="204"/>
    </font>
    <font>
      <sz val="10"/>
      <color rgb="FF651C32"/>
      <name val="Arial Cyr"/>
      <charset val="204"/>
    </font>
    <font>
      <b/>
      <sz val="8"/>
      <color rgb="FF651C32"/>
      <name val="Arial Cyr"/>
      <charset val="204"/>
    </font>
    <font>
      <sz val="8"/>
      <name val="Arial Cyr"/>
      <charset val="204"/>
    </font>
    <font>
      <b/>
      <sz val="10"/>
      <name val="Arial Cyr"/>
      <family val="2"/>
      <charset val="204"/>
    </font>
    <font>
      <b/>
      <sz val="8"/>
      <color rgb="FF651C32"/>
      <name val="Arial Cyr"/>
      <family val="2"/>
      <charset val="204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Arial Cyr"/>
      <charset val="204"/>
    </font>
    <font>
      <sz val="10"/>
      <color theme="1"/>
      <name val="Arial Cyr"/>
      <charset val="204"/>
    </font>
    <font>
      <sz val="8"/>
      <color rgb="FF000000"/>
      <name val="Arial Cyr"/>
      <charset val="204"/>
    </font>
    <font>
      <vertAlign val="superscript"/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</fills>
  <borders count="26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1" fontId="11" fillId="0" borderId="3" xfId="0" applyNumberFormat="1" applyFont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/>
    </xf>
    <xf numFmtId="166" fontId="7" fillId="0" borderId="1" xfId="0" applyNumberFormat="1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3" fillId="0" borderId="1" xfId="0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15" fillId="2" borderId="1" xfId="0" applyFont="1" applyFill="1" applyBorder="1" applyAlignment="1" applyProtection="1">
      <alignment horizontal="center"/>
      <protection hidden="1"/>
    </xf>
    <xf numFmtId="167" fontId="16" fillId="0" borderId="0" xfId="0" applyNumberFormat="1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17" xfId="0" applyFont="1" applyFill="1" applyBorder="1" applyAlignment="1" applyProtection="1">
      <alignment horizontal="center" vertical="center" wrapText="1"/>
      <protection hidden="1"/>
    </xf>
    <xf numFmtId="0" fontId="18" fillId="0" borderId="18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4" fontId="19" fillId="0" borderId="21" xfId="1" applyNumberFormat="1" applyFont="1" applyBorder="1" applyAlignment="1" applyProtection="1">
      <alignment horizontal="center" vertical="center"/>
      <protection hidden="1"/>
    </xf>
    <xf numFmtId="168" fontId="20" fillId="0" borderId="1" xfId="0" applyNumberFormat="1" applyFont="1" applyBorder="1" applyAlignment="1">
      <alignment horizontal="right"/>
    </xf>
    <xf numFmtId="168" fontId="6" fillId="2" borderId="1" xfId="0" applyNumberFormat="1" applyFont="1" applyFill="1" applyBorder="1" applyAlignment="1">
      <alignment horizontal="right"/>
    </xf>
    <xf numFmtId="167" fontId="6" fillId="2" borderId="1" xfId="0" applyNumberFormat="1" applyFont="1" applyFill="1" applyBorder="1" applyAlignment="1">
      <alignment horizontal="right"/>
    </xf>
    <xf numFmtId="0" fontId="12" fillId="0" borderId="25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1" fontId="11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0" fontId="6" fillId="2" borderId="6" xfId="0" applyFont="1" applyFill="1" applyBorder="1" applyAlignment="1" applyProtection="1">
      <alignment horizontal="right"/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14" fillId="0" borderId="25" xfId="0" applyFont="1" applyBorder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9" xfId="0" applyBorder="1" applyProtection="1">
      <protection hidden="1"/>
    </xf>
    <xf numFmtId="0" fontId="18" fillId="0" borderId="18" xfId="0" applyFont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4" fillId="2" borderId="19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" fillId="2" borderId="1" xfId="0" applyFont="1" applyFill="1" applyBorder="1" applyAlignment="1" applyProtection="1">
      <alignment horizontal="left"/>
      <protection hidden="1"/>
    </xf>
    <xf numFmtId="0" fontId="0" fillId="0" borderId="16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8" xfId="0" applyBorder="1" applyProtection="1"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Protection="1"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9" fillId="2" borderId="1" xfId="1" applyFont="1" applyFill="1" applyBorder="1" applyAlignment="1" applyProtection="1">
      <alignment horizontal="center" vertical="center" wrapText="1"/>
      <protection locked="0" hidden="1"/>
    </xf>
    <xf numFmtId="0" fontId="0" fillId="0" borderId="9" xfId="0" applyBorder="1" applyProtection="1">
      <protection locked="0" hidden="1"/>
    </xf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0" fontId="21" fillId="0" borderId="9" xfId="0" applyFont="1" applyBorder="1" applyProtection="1">
      <protection locked="0" hidden="1"/>
    </xf>
    <xf numFmtId="0" fontId="21" fillId="0" borderId="0" xfId="0" applyFont="1" applyProtection="1">
      <protection hidden="1"/>
    </xf>
    <xf numFmtId="168" fontId="8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 applyProtection="1">
      <alignment horizontal="center"/>
      <protection hidden="1"/>
    </xf>
    <xf numFmtId="0" fontId="22" fillId="0" borderId="18" xfId="0" applyFont="1" applyBorder="1" applyAlignment="1" applyProtection="1">
      <alignment horizontal="center" vertical="center" wrapText="1"/>
      <protection hidden="1"/>
    </xf>
    <xf numFmtId="0" fontId="21" fillId="0" borderId="22" xfId="0" applyFont="1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4"/>
  <sheetViews>
    <sheetView tabSelected="1" workbookViewId="0">
      <selection activeCell="AB2" sqref="AB2"/>
    </sheetView>
  </sheetViews>
  <sheetFormatPr defaultRowHeight="15" x14ac:dyDescent="0.25"/>
  <cols>
    <col min="1" max="1" width="9.140625" style="17" customWidth="1"/>
    <col min="2" max="2" width="10.85546875" style="11" customWidth="1"/>
    <col min="3" max="3" width="12.5703125" style="11" customWidth="1"/>
    <col min="4" max="4" width="6.42578125" style="11" customWidth="1"/>
    <col min="5" max="5" width="6.85546875" style="11" customWidth="1"/>
    <col min="6" max="6" width="8.42578125" style="11" customWidth="1"/>
    <col min="7" max="7" width="9.42578125" style="11" customWidth="1"/>
    <col min="8" max="8" width="11.85546875" style="11" customWidth="1"/>
    <col min="9" max="9" width="9.42578125" style="11" customWidth="1"/>
    <col min="10" max="10" width="9.140625" style="12" customWidth="1"/>
    <col min="11" max="12" width="13.85546875" style="12" customWidth="1"/>
    <col min="13" max="13" width="9.42578125" style="12" customWidth="1"/>
    <col min="14" max="14" width="15.85546875" style="12" hidden="1" customWidth="1"/>
    <col min="15" max="15" width="10.42578125" style="11" customWidth="1"/>
    <col min="16" max="16" width="7.42578125" style="13" customWidth="1"/>
    <col min="17" max="17" width="15.5703125" style="13" customWidth="1"/>
    <col min="18" max="18" width="8.140625" style="17" customWidth="1"/>
    <col min="19" max="19" width="6.140625" style="17" customWidth="1"/>
    <col min="20" max="20" width="10.85546875" style="14" customWidth="1"/>
    <col min="21" max="21" width="10.42578125" style="14" customWidth="1"/>
    <col min="22" max="22" width="9.42578125" style="14" customWidth="1"/>
    <col min="23" max="23" width="8.42578125" style="14" customWidth="1"/>
    <col min="24" max="24" width="11" style="57" customWidth="1"/>
    <col min="25" max="25" width="11" style="17" customWidth="1"/>
  </cols>
  <sheetData>
    <row r="1" spans="1:25" x14ac:dyDescent="0.25">
      <c r="A1" s="34" t="s">
        <v>0</v>
      </c>
      <c r="B1" s="34" t="s">
        <v>1</v>
      </c>
      <c r="C1" s="50" t="s">
        <v>2</v>
      </c>
      <c r="D1" s="34" t="s">
        <v>3</v>
      </c>
      <c r="E1" s="46"/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4" t="s">
        <v>12</v>
      </c>
      <c r="O1" s="34" t="s">
        <v>13</v>
      </c>
      <c r="P1" s="34" t="s">
        <v>14</v>
      </c>
      <c r="Q1" s="45"/>
      <c r="R1" s="45"/>
      <c r="S1" s="45"/>
      <c r="T1" s="46"/>
      <c r="U1" s="55" t="s">
        <v>15</v>
      </c>
      <c r="V1" s="44"/>
      <c r="W1" s="34" t="s">
        <v>16</v>
      </c>
      <c r="X1" s="53" t="s">
        <v>779</v>
      </c>
      <c r="Y1" s="53" t="s">
        <v>17</v>
      </c>
    </row>
    <row r="2" spans="1:25" x14ac:dyDescent="0.25">
      <c r="A2" s="35"/>
      <c r="B2" s="35"/>
      <c r="C2" s="35"/>
      <c r="D2" s="47"/>
      <c r="E2" s="49"/>
      <c r="F2" s="35"/>
      <c r="G2" s="35"/>
      <c r="H2" s="35"/>
      <c r="I2" s="35"/>
      <c r="J2" s="35"/>
      <c r="K2" s="35"/>
      <c r="L2" s="35"/>
      <c r="M2" s="35"/>
      <c r="N2" s="35"/>
      <c r="O2" s="35"/>
      <c r="P2" s="47"/>
      <c r="Q2" s="48"/>
      <c r="R2" s="48"/>
      <c r="S2" s="48"/>
      <c r="T2" s="49"/>
      <c r="U2" s="1" t="s">
        <v>18</v>
      </c>
      <c r="V2" s="1" t="s">
        <v>19</v>
      </c>
      <c r="W2" s="35"/>
      <c r="X2" s="56"/>
      <c r="Y2" s="54"/>
    </row>
    <row r="3" spans="1:25" x14ac:dyDescent="0.25">
      <c r="A3" t="s">
        <v>20</v>
      </c>
    </row>
    <row r="4" spans="1:25" x14ac:dyDescent="0.25">
      <c r="A4" t="s">
        <v>20</v>
      </c>
    </row>
    <row r="5" spans="1:25" x14ac:dyDescent="0.25">
      <c r="A5" t="s">
        <v>21</v>
      </c>
    </row>
    <row r="6" spans="1:25" x14ac:dyDescent="0.25">
      <c r="A6" s="2" t="s">
        <v>22</v>
      </c>
      <c r="B6" s="2" t="s">
        <v>23</v>
      </c>
      <c r="C6" s="3">
        <v>4301031278</v>
      </c>
      <c r="D6" s="25">
        <v>4680115886643</v>
      </c>
      <c r="E6" s="26"/>
      <c r="F6" s="4">
        <v>0.19</v>
      </c>
      <c r="G6" s="5">
        <v>10</v>
      </c>
      <c r="H6" s="4">
        <v>1.9</v>
      </c>
      <c r="I6" s="4">
        <v>2</v>
      </c>
      <c r="J6" s="5">
        <v>234</v>
      </c>
      <c r="K6" s="5" t="s">
        <v>24</v>
      </c>
      <c r="L6" s="5"/>
      <c r="M6" s="6" t="s">
        <v>25</v>
      </c>
      <c r="N6" s="6"/>
      <c r="O6" s="5">
        <v>40</v>
      </c>
      <c r="P6" s="22" t="s">
        <v>26</v>
      </c>
      <c r="Q6" s="23"/>
      <c r="R6" s="23"/>
      <c r="S6" s="23"/>
      <c r="T6" s="24"/>
      <c r="U6" s="7"/>
      <c r="V6" s="7"/>
      <c r="W6" s="8" t="s">
        <v>27</v>
      </c>
      <c r="X6" s="58"/>
      <c r="Y6" s="19">
        <f>IFERROR(IF(X6="",0,CEILING((X6/$H6),1)*$H6),"")</f>
        <v>0</v>
      </c>
    </row>
    <row r="7" spans="1:25" x14ac:dyDescent="0.25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/>
      <c r="P7" s="30" t="s">
        <v>28</v>
      </c>
      <c r="Q7" s="31"/>
      <c r="R7" s="31"/>
      <c r="S7" s="31"/>
      <c r="T7" s="31"/>
      <c r="U7" s="31"/>
      <c r="V7" s="32"/>
      <c r="W7" s="9" t="s">
        <v>29</v>
      </c>
      <c r="X7" s="20"/>
      <c r="Y7" s="20">
        <f>IFERROR(Y6/H6,"0")</f>
        <v>0</v>
      </c>
    </row>
    <row r="8" spans="1:25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30" t="s">
        <v>28</v>
      </c>
      <c r="Q8" s="31"/>
      <c r="R8" s="31"/>
      <c r="S8" s="31"/>
      <c r="T8" s="31"/>
      <c r="U8" s="31"/>
      <c r="V8" s="32"/>
      <c r="W8" s="9" t="s">
        <v>27</v>
      </c>
      <c r="X8" s="20"/>
      <c r="Y8" s="20">
        <f>IFERROR(SUM(Y6:Y6),"0")</f>
        <v>0</v>
      </c>
    </row>
    <row r="9" spans="1:25" x14ac:dyDescent="0.25">
      <c r="A9" t="s">
        <v>30</v>
      </c>
    </row>
    <row r="10" spans="1:25" x14ac:dyDescent="0.25">
      <c r="A10" s="2" t="s">
        <v>31</v>
      </c>
      <c r="B10" s="2" t="s">
        <v>32</v>
      </c>
      <c r="C10" s="3">
        <v>4301051866</v>
      </c>
      <c r="D10" s="25">
        <v>4680115885912</v>
      </c>
      <c r="E10" s="26"/>
      <c r="F10" s="4">
        <v>0.3</v>
      </c>
      <c r="G10" s="5">
        <v>6</v>
      </c>
      <c r="H10" s="4">
        <v>1.8</v>
      </c>
      <c r="I10" s="4">
        <v>3.18</v>
      </c>
      <c r="J10" s="5">
        <v>182</v>
      </c>
      <c r="K10" s="5" t="s">
        <v>33</v>
      </c>
      <c r="L10" s="5"/>
      <c r="M10" s="6" t="s">
        <v>34</v>
      </c>
      <c r="N10" s="6"/>
      <c r="O10" s="5">
        <v>40</v>
      </c>
      <c r="P10" s="22" t="s">
        <v>35</v>
      </c>
      <c r="Q10" s="23"/>
      <c r="R10" s="23"/>
      <c r="S10" s="23"/>
      <c r="T10" s="24"/>
      <c r="U10" s="7"/>
      <c r="V10" s="7"/>
      <c r="W10" s="8" t="s">
        <v>27</v>
      </c>
      <c r="X10" s="58"/>
      <c r="Y10" s="19">
        <f>IFERROR(IF(X10="",0,CEILING((X10/$H10),1)*$H10),"")</f>
        <v>0</v>
      </c>
    </row>
    <row r="11" spans="1:25" x14ac:dyDescent="0.25">
      <c r="A11" s="2" t="s">
        <v>36</v>
      </c>
      <c r="B11" s="2" t="s">
        <v>37</v>
      </c>
      <c r="C11" s="3">
        <v>4301051776</v>
      </c>
      <c r="D11" s="25">
        <v>4607091388237</v>
      </c>
      <c r="E11" s="26"/>
      <c r="F11" s="4">
        <v>0.42</v>
      </c>
      <c r="G11" s="5">
        <v>6</v>
      </c>
      <c r="H11" s="4">
        <v>2.52</v>
      </c>
      <c r="I11" s="4">
        <v>2.766</v>
      </c>
      <c r="J11" s="5">
        <v>182</v>
      </c>
      <c r="K11" s="5" t="s">
        <v>33</v>
      </c>
      <c r="L11" s="5"/>
      <c r="M11" s="6" t="s">
        <v>34</v>
      </c>
      <c r="N11" s="6"/>
      <c r="O11" s="5">
        <v>40</v>
      </c>
      <c r="P11" s="22" t="s">
        <v>38</v>
      </c>
      <c r="Q11" s="23"/>
      <c r="R11" s="23"/>
      <c r="S11" s="23"/>
      <c r="T11" s="24"/>
      <c r="U11" s="7"/>
      <c r="V11" s="7"/>
      <c r="W11" s="8" t="s">
        <v>27</v>
      </c>
      <c r="X11" s="58"/>
      <c r="Y11" s="19">
        <f>IFERROR(IF(X11="",0,CEILING((X11/$H11),1)*$H11),"")</f>
        <v>0</v>
      </c>
    </row>
    <row r="12" spans="1:25" x14ac:dyDescent="0.25">
      <c r="A12" s="2" t="s">
        <v>39</v>
      </c>
      <c r="B12" s="2" t="s">
        <v>40</v>
      </c>
      <c r="C12" s="3">
        <v>4301052063</v>
      </c>
      <c r="D12" s="25">
        <v>4680115887350</v>
      </c>
      <c r="E12" s="26"/>
      <c r="F12" s="4">
        <v>0.3</v>
      </c>
      <c r="G12" s="5">
        <v>6</v>
      </c>
      <c r="H12" s="4">
        <v>1.8</v>
      </c>
      <c r="I12" s="4">
        <v>3.18</v>
      </c>
      <c r="J12" s="5">
        <v>182</v>
      </c>
      <c r="K12" s="5" t="s">
        <v>33</v>
      </c>
      <c r="L12" s="5"/>
      <c r="M12" s="6" t="s">
        <v>41</v>
      </c>
      <c r="N12" s="6"/>
      <c r="O12" s="5">
        <v>40</v>
      </c>
      <c r="P12" s="22" t="s">
        <v>42</v>
      </c>
      <c r="Q12" s="23"/>
      <c r="R12" s="23"/>
      <c r="S12" s="23"/>
      <c r="T12" s="24"/>
      <c r="U12" s="7"/>
      <c r="V12" s="7"/>
      <c r="W12" s="8" t="s">
        <v>27</v>
      </c>
      <c r="X12" s="58"/>
      <c r="Y12" s="19">
        <f>IFERROR(IF(X12="",0,CEILING((X12/$H12),1)*$H12),"")</f>
        <v>0</v>
      </c>
    </row>
    <row r="13" spans="1:25" x14ac:dyDescent="0.25">
      <c r="A13" s="2" t="s">
        <v>43</v>
      </c>
      <c r="B13" s="2" t="s">
        <v>44</v>
      </c>
      <c r="C13" s="3">
        <v>4301051863</v>
      </c>
      <c r="D13" s="25">
        <v>4680115885905</v>
      </c>
      <c r="E13" s="26"/>
      <c r="F13" s="4">
        <v>0.3</v>
      </c>
      <c r="G13" s="5">
        <v>6</v>
      </c>
      <c r="H13" s="4">
        <v>1.8</v>
      </c>
      <c r="I13" s="4">
        <v>3.18</v>
      </c>
      <c r="J13" s="5">
        <v>182</v>
      </c>
      <c r="K13" s="5" t="s">
        <v>33</v>
      </c>
      <c r="L13" s="5" t="s">
        <v>45</v>
      </c>
      <c r="M13" s="6" t="s">
        <v>41</v>
      </c>
      <c r="N13" s="6"/>
      <c r="O13" s="5">
        <v>40</v>
      </c>
      <c r="P13" s="22" t="s">
        <v>46</v>
      </c>
      <c r="Q13" s="23"/>
      <c r="R13" s="23"/>
      <c r="S13" s="23"/>
      <c r="T13" s="24"/>
      <c r="U13" s="7"/>
      <c r="V13" s="7"/>
      <c r="W13" s="8" t="s">
        <v>27</v>
      </c>
      <c r="X13" s="58"/>
      <c r="Y13" s="19">
        <f>IFERROR(IF(X13="",0,CEILING((X13/$H13),1)*$H13),"")</f>
        <v>0</v>
      </c>
    </row>
    <row r="14" spans="1:25" x14ac:dyDescent="0.25">
      <c r="A14" s="2" t="s">
        <v>47</v>
      </c>
      <c r="B14" s="2" t="s">
        <v>48</v>
      </c>
      <c r="C14" s="3">
        <v>4301051851</v>
      </c>
      <c r="D14" s="25">
        <v>4607091388244</v>
      </c>
      <c r="E14" s="26"/>
      <c r="F14" s="4">
        <v>0.42</v>
      </c>
      <c r="G14" s="5">
        <v>6</v>
      </c>
      <c r="H14" s="4">
        <v>2.52</v>
      </c>
      <c r="I14" s="4">
        <v>2.766</v>
      </c>
      <c r="J14" s="5">
        <v>182</v>
      </c>
      <c r="K14" s="5" t="s">
        <v>33</v>
      </c>
      <c r="L14" s="5" t="s">
        <v>45</v>
      </c>
      <c r="M14" s="6" t="s">
        <v>41</v>
      </c>
      <c r="N14" s="6"/>
      <c r="O14" s="5">
        <v>40</v>
      </c>
      <c r="P14" s="22" t="s">
        <v>49</v>
      </c>
      <c r="Q14" s="23"/>
      <c r="R14" s="23"/>
      <c r="S14" s="23"/>
      <c r="T14" s="24"/>
      <c r="U14" s="7"/>
      <c r="V14" s="7"/>
      <c r="W14" s="8" t="s">
        <v>27</v>
      </c>
      <c r="X14" s="58"/>
      <c r="Y14" s="19">
        <f>IFERROR(IF(X14="",0,CEILING((X14/$H14),1)*$H14),"")</f>
        <v>0</v>
      </c>
    </row>
    <row r="15" spans="1:25" x14ac:dyDescent="0.2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30" t="s">
        <v>28</v>
      </c>
      <c r="Q15" s="31"/>
      <c r="R15" s="31"/>
      <c r="S15" s="31"/>
      <c r="T15" s="31"/>
      <c r="U15" s="31"/>
      <c r="V15" s="32"/>
      <c r="W15" s="9" t="s">
        <v>29</v>
      </c>
      <c r="X15" s="20"/>
      <c r="Y15" s="20">
        <f>IFERROR(Y10/H10,"0")+IFERROR(Y11/H11,"0")+IFERROR(Y12/H12,"0")+IFERROR(Y13/H13,"0")+IFERROR(Y14/H14,"0")</f>
        <v>0</v>
      </c>
    </row>
    <row r="16" spans="1:25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30" t="s">
        <v>28</v>
      </c>
      <c r="Q16" s="31"/>
      <c r="R16" s="31"/>
      <c r="S16" s="31"/>
      <c r="T16" s="31"/>
      <c r="U16" s="31"/>
      <c r="V16" s="32"/>
      <c r="W16" s="9" t="s">
        <v>27</v>
      </c>
      <c r="X16" s="20"/>
      <c r="Y16" s="20">
        <f>IFERROR(SUM(Y10:Y14),"0")</f>
        <v>0</v>
      </c>
    </row>
    <row r="17" spans="1:25" x14ac:dyDescent="0.25">
      <c r="A17" t="s">
        <v>50</v>
      </c>
    </row>
    <row r="18" spans="1:25" x14ac:dyDescent="0.25">
      <c r="A18" s="2" t="s">
        <v>51</v>
      </c>
      <c r="B18" s="2" t="s">
        <v>52</v>
      </c>
      <c r="C18" s="3">
        <v>4301032013</v>
      </c>
      <c r="D18" s="25">
        <v>4607091388503</v>
      </c>
      <c r="E18" s="26"/>
      <c r="F18" s="4">
        <v>0.05</v>
      </c>
      <c r="G18" s="5">
        <v>12</v>
      </c>
      <c r="H18" s="4">
        <v>0.6</v>
      </c>
      <c r="I18" s="4">
        <v>0.82199999999999995</v>
      </c>
      <c r="J18" s="5">
        <v>182</v>
      </c>
      <c r="K18" s="5" t="s">
        <v>33</v>
      </c>
      <c r="L18" s="5"/>
      <c r="M18" s="6" t="s">
        <v>53</v>
      </c>
      <c r="N18" s="6"/>
      <c r="O18" s="5">
        <v>120</v>
      </c>
      <c r="P18" s="22" t="s">
        <v>54</v>
      </c>
      <c r="Q18" s="23"/>
      <c r="R18" s="23"/>
      <c r="S18" s="23"/>
      <c r="T18" s="24"/>
      <c r="U18" s="7"/>
      <c r="V18" s="7"/>
      <c r="W18" s="8" t="s">
        <v>27</v>
      </c>
      <c r="X18" s="58"/>
      <c r="Y18" s="19">
        <f>IFERROR(IF(X18="",0,CEILING((X18/$H18),1)*$H18),"")</f>
        <v>0</v>
      </c>
    </row>
    <row r="19" spans="1:25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30" t="s">
        <v>28</v>
      </c>
      <c r="Q19" s="31"/>
      <c r="R19" s="31"/>
      <c r="S19" s="31"/>
      <c r="T19" s="31"/>
      <c r="U19" s="31"/>
      <c r="V19" s="32"/>
      <c r="W19" s="9" t="s">
        <v>29</v>
      </c>
      <c r="X19" s="20"/>
      <c r="Y19" s="20">
        <f>IFERROR(Y18/H18,"0")</f>
        <v>0</v>
      </c>
    </row>
    <row r="20" spans="1:25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30" t="s">
        <v>28</v>
      </c>
      <c r="Q20" s="31"/>
      <c r="R20" s="31"/>
      <c r="S20" s="31"/>
      <c r="T20" s="31"/>
      <c r="U20" s="31"/>
      <c r="V20" s="32"/>
      <c r="W20" s="9" t="s">
        <v>27</v>
      </c>
      <c r="X20" s="20"/>
      <c r="Y20" s="20">
        <f>IFERROR(SUM(Y18:Y18),"0")</f>
        <v>0</v>
      </c>
    </row>
    <row r="21" spans="1:25" x14ac:dyDescent="0.25">
      <c r="A21" t="s">
        <v>55</v>
      </c>
    </row>
    <row r="22" spans="1:25" x14ac:dyDescent="0.25">
      <c r="A22" t="s">
        <v>56</v>
      </c>
    </row>
    <row r="23" spans="1:25" x14ac:dyDescent="0.25">
      <c r="A23" t="s">
        <v>57</v>
      </c>
    </row>
    <row r="24" spans="1:25" x14ac:dyDescent="0.25">
      <c r="A24" s="2" t="s">
        <v>58</v>
      </c>
      <c r="B24" s="2" t="s">
        <v>59</v>
      </c>
      <c r="C24" s="3">
        <v>4301011380</v>
      </c>
      <c r="D24" s="25">
        <v>4607091385670</v>
      </c>
      <c r="E24" s="26"/>
      <c r="F24" s="4">
        <v>1.35</v>
      </c>
      <c r="G24" s="5">
        <v>8</v>
      </c>
      <c r="H24" s="4">
        <v>10.8</v>
      </c>
      <c r="I24" s="4">
        <v>11.21</v>
      </c>
      <c r="J24" s="5">
        <v>64</v>
      </c>
      <c r="K24" s="5" t="s">
        <v>60</v>
      </c>
      <c r="L24" s="5" t="s">
        <v>61</v>
      </c>
      <c r="M24" s="6" t="s">
        <v>62</v>
      </c>
      <c r="N24" s="6"/>
      <c r="O24" s="5">
        <v>50</v>
      </c>
      <c r="P24" s="22" t="s">
        <v>63</v>
      </c>
      <c r="Q24" s="23"/>
      <c r="R24" s="23"/>
      <c r="S24" s="23"/>
      <c r="T24" s="24"/>
      <c r="U24" s="7"/>
      <c r="V24" s="7"/>
      <c r="W24" s="8" t="s">
        <v>27</v>
      </c>
      <c r="X24" s="58"/>
      <c r="Y24" s="19">
        <f>IFERROR(IF(X24="",0,CEILING((X24/$H24),1)*$H24),"")</f>
        <v>0</v>
      </c>
    </row>
    <row r="25" spans="1:25" x14ac:dyDescent="0.25">
      <c r="A25" s="2" t="s">
        <v>64</v>
      </c>
      <c r="B25" s="2" t="s">
        <v>65</v>
      </c>
      <c r="C25" s="3">
        <v>4301011382</v>
      </c>
      <c r="D25" s="25">
        <v>4607091385687</v>
      </c>
      <c r="E25" s="26"/>
      <c r="F25" s="4">
        <v>0.4</v>
      </c>
      <c r="G25" s="5">
        <v>10</v>
      </c>
      <c r="H25" s="4">
        <v>4</v>
      </c>
      <c r="I25" s="4">
        <v>4.1900000000000004</v>
      </c>
      <c r="J25" s="5">
        <v>132</v>
      </c>
      <c r="K25" s="5" t="s">
        <v>66</v>
      </c>
      <c r="L25" s="5" t="s">
        <v>67</v>
      </c>
      <c r="M25" s="6" t="s">
        <v>34</v>
      </c>
      <c r="N25" s="6"/>
      <c r="O25" s="5">
        <v>50</v>
      </c>
      <c r="P25" s="22" t="s">
        <v>68</v>
      </c>
      <c r="Q25" s="23"/>
      <c r="R25" s="23"/>
      <c r="S25" s="23"/>
      <c r="T25" s="24"/>
      <c r="U25" s="7"/>
      <c r="V25" s="7"/>
      <c r="W25" s="8" t="s">
        <v>27</v>
      </c>
      <c r="X25" s="58"/>
      <c r="Y25" s="19">
        <f>IFERROR(IF(X25="",0,CEILING((X25/$H25),1)*$H25),"")</f>
        <v>0</v>
      </c>
    </row>
    <row r="26" spans="1:25" x14ac:dyDescent="0.25">
      <c r="A26" s="2" t="s">
        <v>69</v>
      </c>
      <c r="B26" s="2" t="s">
        <v>70</v>
      </c>
      <c r="C26" s="3">
        <v>4301011565</v>
      </c>
      <c r="D26" s="25">
        <v>4680115882539</v>
      </c>
      <c r="E26" s="26"/>
      <c r="F26" s="4">
        <v>0.37</v>
      </c>
      <c r="G26" s="5">
        <v>10</v>
      </c>
      <c r="H26" s="4">
        <v>3.7</v>
      </c>
      <c r="I26" s="4">
        <v>3.89</v>
      </c>
      <c r="J26" s="5">
        <v>132</v>
      </c>
      <c r="K26" s="5" t="s">
        <v>66</v>
      </c>
      <c r="L26" s="5"/>
      <c r="M26" s="6" t="s">
        <v>34</v>
      </c>
      <c r="N26" s="6"/>
      <c r="O26" s="5">
        <v>50</v>
      </c>
      <c r="P26" s="22" t="s">
        <v>71</v>
      </c>
      <c r="Q26" s="23"/>
      <c r="R26" s="23"/>
      <c r="S26" s="23"/>
      <c r="T26" s="24"/>
      <c r="U26" s="7"/>
      <c r="V26" s="7"/>
      <c r="W26" s="8" t="s">
        <v>27</v>
      </c>
      <c r="X26" s="58"/>
      <c r="Y26" s="19">
        <f>IFERROR(IF(X26="",0,CEILING((X26/$H26),1)*$H26),"")</f>
        <v>0</v>
      </c>
    </row>
    <row r="27" spans="1:25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30" t="s">
        <v>28</v>
      </c>
      <c r="Q27" s="31"/>
      <c r="R27" s="31"/>
      <c r="S27" s="31"/>
      <c r="T27" s="31"/>
      <c r="U27" s="31"/>
      <c r="V27" s="32"/>
      <c r="W27" s="9" t="s">
        <v>29</v>
      </c>
      <c r="X27" s="20"/>
      <c r="Y27" s="20">
        <f>IFERROR(Y24/H24,"0")+IFERROR(Y25/H25,"0")+IFERROR(Y26/H26,"0")</f>
        <v>0</v>
      </c>
    </row>
    <row r="28" spans="1:25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P28" s="30" t="s">
        <v>28</v>
      </c>
      <c r="Q28" s="31"/>
      <c r="R28" s="31"/>
      <c r="S28" s="31"/>
      <c r="T28" s="31"/>
      <c r="U28" s="31"/>
      <c r="V28" s="32"/>
      <c r="W28" s="9" t="s">
        <v>27</v>
      </c>
      <c r="X28" s="20"/>
      <c r="Y28" s="20">
        <f>IFERROR(SUM(Y24:Y26),"0")</f>
        <v>0</v>
      </c>
    </row>
    <row r="29" spans="1:25" x14ac:dyDescent="0.25">
      <c r="A29" t="s">
        <v>30</v>
      </c>
    </row>
    <row r="30" spans="1:25" x14ac:dyDescent="0.25">
      <c r="A30" s="2" t="s">
        <v>72</v>
      </c>
      <c r="B30" s="2" t="s">
        <v>73</v>
      </c>
      <c r="C30" s="3">
        <v>4301051820</v>
      </c>
      <c r="D30" s="25">
        <v>4680115884915</v>
      </c>
      <c r="E30" s="26"/>
      <c r="F30" s="4">
        <v>0.3</v>
      </c>
      <c r="G30" s="5">
        <v>6</v>
      </c>
      <c r="H30" s="4">
        <v>1.8</v>
      </c>
      <c r="I30" s="4">
        <v>1.98</v>
      </c>
      <c r="J30" s="5">
        <v>182</v>
      </c>
      <c r="K30" s="5" t="s">
        <v>33</v>
      </c>
      <c r="L30" s="5" t="s">
        <v>45</v>
      </c>
      <c r="M30" s="6" t="s">
        <v>34</v>
      </c>
      <c r="N30" s="6"/>
      <c r="O30" s="5">
        <v>40</v>
      </c>
      <c r="P30" s="22" t="s">
        <v>74</v>
      </c>
      <c r="Q30" s="23"/>
      <c r="R30" s="23"/>
      <c r="S30" s="23"/>
      <c r="T30" s="24"/>
      <c r="U30" s="7"/>
      <c r="V30" s="7"/>
      <c r="W30" s="8" t="s">
        <v>27</v>
      </c>
      <c r="X30" s="58"/>
      <c r="Y30" s="19">
        <f>IFERROR(IF(X30="",0,CEILING((X30/$H30),1)*$H30),"")</f>
        <v>0</v>
      </c>
    </row>
    <row r="31" spans="1:25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  <c r="P31" s="30" t="s">
        <v>28</v>
      </c>
      <c r="Q31" s="31"/>
      <c r="R31" s="31"/>
      <c r="S31" s="31"/>
      <c r="T31" s="31"/>
      <c r="U31" s="31"/>
      <c r="V31" s="32"/>
      <c r="W31" s="9" t="s">
        <v>29</v>
      </c>
      <c r="X31" s="20"/>
      <c r="Y31" s="20">
        <f>IFERROR(Y30/H30,"0")</f>
        <v>0</v>
      </c>
    </row>
    <row r="32" spans="1:25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30" t="s">
        <v>28</v>
      </c>
      <c r="Q32" s="31"/>
      <c r="R32" s="31"/>
      <c r="S32" s="31"/>
      <c r="T32" s="31"/>
      <c r="U32" s="31"/>
      <c r="V32" s="32"/>
      <c r="W32" s="9" t="s">
        <v>27</v>
      </c>
      <c r="X32" s="20"/>
      <c r="Y32" s="20">
        <f>IFERROR(SUM(Y30:Y30),"0")</f>
        <v>0</v>
      </c>
    </row>
    <row r="33" spans="1:25" x14ac:dyDescent="0.25">
      <c r="A33" t="s">
        <v>75</v>
      </c>
    </row>
    <row r="34" spans="1:25" x14ac:dyDescent="0.25">
      <c r="A34" t="s">
        <v>57</v>
      </c>
    </row>
    <row r="35" spans="1:25" x14ac:dyDescent="0.25">
      <c r="A35" s="2" t="s">
        <v>76</v>
      </c>
      <c r="B35" s="2" t="s">
        <v>77</v>
      </c>
      <c r="C35" s="3">
        <v>4301012030</v>
      </c>
      <c r="D35" s="25">
        <v>4680115885882</v>
      </c>
      <c r="E35" s="26"/>
      <c r="F35" s="4">
        <v>1.4</v>
      </c>
      <c r="G35" s="5">
        <v>8</v>
      </c>
      <c r="H35" s="4">
        <v>11.2</v>
      </c>
      <c r="I35" s="4">
        <v>11.61</v>
      </c>
      <c r="J35" s="5">
        <v>64</v>
      </c>
      <c r="K35" s="5" t="s">
        <v>60</v>
      </c>
      <c r="L35" s="5" t="s">
        <v>61</v>
      </c>
      <c r="M35" s="6" t="s">
        <v>34</v>
      </c>
      <c r="N35" s="6"/>
      <c r="O35" s="5">
        <v>50</v>
      </c>
      <c r="P35" s="22" t="s">
        <v>78</v>
      </c>
      <c r="Q35" s="23"/>
      <c r="R35" s="23"/>
      <c r="S35" s="23"/>
      <c r="T35" s="24"/>
      <c r="U35" s="7"/>
      <c r="V35" s="7"/>
      <c r="W35" s="8" t="s">
        <v>27</v>
      </c>
      <c r="X35" s="58"/>
      <c r="Y35" s="19">
        <f t="shared" ref="Y35:Y40" si="0">IFERROR(IF(X35="",0,CEILING((X35/$H35),1)*$H35),"")</f>
        <v>0</v>
      </c>
    </row>
    <row r="36" spans="1:25" x14ac:dyDescent="0.25">
      <c r="A36" s="2" t="s">
        <v>79</v>
      </c>
      <c r="B36" s="2" t="s">
        <v>80</v>
      </c>
      <c r="C36" s="3">
        <v>4301011816</v>
      </c>
      <c r="D36" s="25">
        <v>4680115881426</v>
      </c>
      <c r="E36" s="26"/>
      <c r="F36" s="4">
        <v>1.35</v>
      </c>
      <c r="G36" s="5">
        <v>8</v>
      </c>
      <c r="H36" s="4">
        <v>10.8</v>
      </c>
      <c r="I36" s="4">
        <v>11.21</v>
      </c>
      <c r="J36" s="5">
        <v>64</v>
      </c>
      <c r="K36" s="5" t="s">
        <v>60</v>
      </c>
      <c r="L36" s="5"/>
      <c r="M36" s="6" t="s">
        <v>62</v>
      </c>
      <c r="N36" s="6"/>
      <c r="O36" s="5">
        <v>50</v>
      </c>
      <c r="P36" s="22" t="s">
        <v>81</v>
      </c>
      <c r="Q36" s="23"/>
      <c r="R36" s="23"/>
      <c r="S36" s="23"/>
      <c r="T36" s="24"/>
      <c r="U36" s="7"/>
      <c r="V36" s="7"/>
      <c r="W36" s="8" t="s">
        <v>27</v>
      </c>
      <c r="X36" s="58"/>
      <c r="Y36" s="19">
        <f t="shared" si="0"/>
        <v>0</v>
      </c>
    </row>
    <row r="37" spans="1:25" x14ac:dyDescent="0.25">
      <c r="A37" s="2" t="s">
        <v>82</v>
      </c>
      <c r="B37" s="2" t="s">
        <v>83</v>
      </c>
      <c r="C37" s="3">
        <v>4301011386</v>
      </c>
      <c r="D37" s="25">
        <v>4680115880283</v>
      </c>
      <c r="E37" s="26"/>
      <c r="F37" s="4">
        <v>0.6</v>
      </c>
      <c r="G37" s="5">
        <v>8</v>
      </c>
      <c r="H37" s="4">
        <v>4.8</v>
      </c>
      <c r="I37" s="4">
        <v>4.99</v>
      </c>
      <c r="J37" s="5">
        <v>132</v>
      </c>
      <c r="K37" s="5" t="s">
        <v>66</v>
      </c>
      <c r="L37" s="5"/>
      <c r="M37" s="6" t="s">
        <v>62</v>
      </c>
      <c r="N37" s="6"/>
      <c r="O37" s="5">
        <v>45</v>
      </c>
      <c r="P37" s="22" t="s">
        <v>84</v>
      </c>
      <c r="Q37" s="23"/>
      <c r="R37" s="23"/>
      <c r="S37" s="23"/>
      <c r="T37" s="24"/>
      <c r="U37" s="7"/>
      <c r="V37" s="7"/>
      <c r="W37" s="8" t="s">
        <v>27</v>
      </c>
      <c r="X37" s="58"/>
      <c r="Y37" s="19">
        <f t="shared" si="0"/>
        <v>0</v>
      </c>
    </row>
    <row r="38" spans="1:25" x14ac:dyDescent="0.25">
      <c r="A38" s="2" t="s">
        <v>85</v>
      </c>
      <c r="B38" s="2" t="s">
        <v>86</v>
      </c>
      <c r="C38" s="3">
        <v>4301011806</v>
      </c>
      <c r="D38" s="25">
        <v>4680115881525</v>
      </c>
      <c r="E38" s="26"/>
      <c r="F38" s="4">
        <v>0.4</v>
      </c>
      <c r="G38" s="5">
        <v>10</v>
      </c>
      <c r="H38" s="4">
        <v>4</v>
      </c>
      <c r="I38" s="4">
        <v>4.1900000000000004</v>
      </c>
      <c r="J38" s="5">
        <v>132</v>
      </c>
      <c r="K38" s="5" t="s">
        <v>66</v>
      </c>
      <c r="L38" s="5"/>
      <c r="M38" s="6" t="s">
        <v>62</v>
      </c>
      <c r="N38" s="6"/>
      <c r="O38" s="5">
        <v>50</v>
      </c>
      <c r="P38" s="22" t="s">
        <v>87</v>
      </c>
      <c r="Q38" s="23"/>
      <c r="R38" s="23"/>
      <c r="S38" s="23"/>
      <c r="T38" s="24"/>
      <c r="U38" s="7"/>
      <c r="V38" s="7"/>
      <c r="W38" s="8" t="s">
        <v>27</v>
      </c>
      <c r="X38" s="58"/>
      <c r="Y38" s="19">
        <f t="shared" si="0"/>
        <v>0</v>
      </c>
    </row>
    <row r="39" spans="1:25" x14ac:dyDescent="0.25">
      <c r="A39" s="2" t="s">
        <v>88</v>
      </c>
      <c r="B39" s="2" t="s">
        <v>89</v>
      </c>
      <c r="C39" s="3">
        <v>4301011589</v>
      </c>
      <c r="D39" s="25">
        <v>4680115885899</v>
      </c>
      <c r="E39" s="26"/>
      <c r="F39" s="4">
        <v>0.35</v>
      </c>
      <c r="G39" s="5">
        <v>6</v>
      </c>
      <c r="H39" s="4">
        <v>2.1</v>
      </c>
      <c r="I39" s="4">
        <v>2.2799999999999998</v>
      </c>
      <c r="J39" s="5">
        <v>182</v>
      </c>
      <c r="K39" s="5" t="s">
        <v>33</v>
      </c>
      <c r="L39" s="5" t="s">
        <v>45</v>
      </c>
      <c r="M39" s="6" t="s">
        <v>41</v>
      </c>
      <c r="N39" s="6"/>
      <c r="O39" s="5">
        <v>50</v>
      </c>
      <c r="P39" s="22" t="s">
        <v>90</v>
      </c>
      <c r="Q39" s="23"/>
      <c r="R39" s="23"/>
      <c r="S39" s="23"/>
      <c r="T39" s="24"/>
      <c r="U39" s="7"/>
      <c r="V39" s="7"/>
      <c r="W39" s="8" t="s">
        <v>27</v>
      </c>
      <c r="X39" s="58"/>
      <c r="Y39" s="19">
        <f t="shared" si="0"/>
        <v>0</v>
      </c>
    </row>
    <row r="40" spans="1:25" x14ac:dyDescent="0.25">
      <c r="A40" s="2" t="s">
        <v>91</v>
      </c>
      <c r="B40" s="2" t="s">
        <v>92</v>
      </c>
      <c r="C40" s="3">
        <v>4301011801</v>
      </c>
      <c r="D40" s="25">
        <v>4680115881419</v>
      </c>
      <c r="E40" s="26"/>
      <c r="F40" s="4">
        <v>0.45</v>
      </c>
      <c r="G40" s="5">
        <v>10</v>
      </c>
      <c r="H40" s="4">
        <v>4.5</v>
      </c>
      <c r="I40" s="4">
        <v>4.6900000000000004</v>
      </c>
      <c r="J40" s="5">
        <v>132</v>
      </c>
      <c r="K40" s="5" t="s">
        <v>66</v>
      </c>
      <c r="L40" s="5"/>
      <c r="M40" s="6" t="s">
        <v>62</v>
      </c>
      <c r="N40" s="6"/>
      <c r="O40" s="5">
        <v>50</v>
      </c>
      <c r="P40" s="22" t="s">
        <v>93</v>
      </c>
      <c r="Q40" s="23"/>
      <c r="R40" s="23"/>
      <c r="S40" s="23"/>
      <c r="T40" s="24"/>
      <c r="U40" s="7"/>
      <c r="V40" s="7"/>
      <c r="W40" s="8" t="s">
        <v>27</v>
      </c>
      <c r="X40" s="58"/>
      <c r="Y40" s="19">
        <f t="shared" si="0"/>
        <v>0</v>
      </c>
    </row>
    <row r="41" spans="1:25" x14ac:dyDescent="0.2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9"/>
      <c r="P41" s="30" t="s">
        <v>28</v>
      </c>
      <c r="Q41" s="31"/>
      <c r="R41" s="31"/>
      <c r="S41" s="31"/>
      <c r="T41" s="31"/>
      <c r="U41" s="31"/>
      <c r="V41" s="32"/>
      <c r="W41" s="9" t="s">
        <v>29</v>
      </c>
      <c r="X41" s="20"/>
      <c r="Y41" s="20">
        <f>IFERROR(Y35/H35,"0")+IFERROR(Y36/H36,"0")+IFERROR(Y37/H37,"0")+IFERROR(Y38/H38,"0")+IFERROR(Y39/H39,"0")+IFERROR(Y40/H40,"0")</f>
        <v>0</v>
      </c>
    </row>
    <row r="42" spans="1:2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9"/>
      <c r="P42" s="30" t="s">
        <v>28</v>
      </c>
      <c r="Q42" s="31"/>
      <c r="R42" s="31"/>
      <c r="S42" s="31"/>
      <c r="T42" s="31"/>
      <c r="U42" s="31"/>
      <c r="V42" s="32"/>
      <c r="W42" s="9" t="s">
        <v>27</v>
      </c>
      <c r="X42" s="20"/>
      <c r="Y42" s="20">
        <f>IFERROR(SUM(Y35:Y40),"0")</f>
        <v>0</v>
      </c>
    </row>
    <row r="43" spans="1:25" x14ac:dyDescent="0.25">
      <c r="A43" t="s">
        <v>94</v>
      </c>
    </row>
    <row r="44" spans="1:25" x14ac:dyDescent="0.25">
      <c r="A44" s="2" t="s">
        <v>95</v>
      </c>
      <c r="B44" s="2" t="s">
        <v>96</v>
      </c>
      <c r="C44" s="3">
        <v>4301020298</v>
      </c>
      <c r="D44" s="25">
        <v>4680115881440</v>
      </c>
      <c r="E44" s="26"/>
      <c r="F44" s="4">
        <v>1.35</v>
      </c>
      <c r="G44" s="5">
        <v>8</v>
      </c>
      <c r="H44" s="4">
        <v>10.8</v>
      </c>
      <c r="I44" s="4">
        <v>11.21</v>
      </c>
      <c r="J44" s="5">
        <v>64</v>
      </c>
      <c r="K44" s="5" t="s">
        <v>60</v>
      </c>
      <c r="L44" s="5" t="s">
        <v>61</v>
      </c>
      <c r="M44" s="6" t="s">
        <v>62</v>
      </c>
      <c r="N44" s="6"/>
      <c r="O44" s="5">
        <v>50</v>
      </c>
      <c r="P44" s="22" t="s">
        <v>97</v>
      </c>
      <c r="Q44" s="23"/>
      <c r="R44" s="23"/>
      <c r="S44" s="23"/>
      <c r="T44" s="24"/>
      <c r="U44" s="7"/>
      <c r="V44" s="7"/>
      <c r="W44" s="8" t="s">
        <v>27</v>
      </c>
      <c r="X44" s="58"/>
      <c r="Y44" s="19">
        <f>IFERROR(IF(X44="",0,CEILING((X44/$H44),1)*$H44),"")</f>
        <v>0</v>
      </c>
    </row>
    <row r="45" spans="1:25" x14ac:dyDescent="0.25">
      <c r="A45" s="2" t="s">
        <v>98</v>
      </c>
      <c r="B45" s="2" t="s">
        <v>99</v>
      </c>
      <c r="C45" s="3">
        <v>4301020358</v>
      </c>
      <c r="D45" s="25">
        <v>4680115885950</v>
      </c>
      <c r="E45" s="26"/>
      <c r="F45" s="4">
        <v>0.37</v>
      </c>
      <c r="G45" s="5">
        <v>6</v>
      </c>
      <c r="H45" s="4">
        <v>2.2200000000000002</v>
      </c>
      <c r="I45" s="4">
        <v>2.4</v>
      </c>
      <c r="J45" s="5">
        <v>182</v>
      </c>
      <c r="K45" s="5" t="s">
        <v>33</v>
      </c>
      <c r="L45" s="5"/>
      <c r="M45" s="6" t="s">
        <v>34</v>
      </c>
      <c r="N45" s="6"/>
      <c r="O45" s="5">
        <v>50</v>
      </c>
      <c r="P45" s="22" t="s">
        <v>100</v>
      </c>
      <c r="Q45" s="23"/>
      <c r="R45" s="23"/>
      <c r="S45" s="23"/>
      <c r="T45" s="24"/>
      <c r="U45" s="7"/>
      <c r="V45" s="7"/>
      <c r="W45" s="8" t="s">
        <v>27</v>
      </c>
      <c r="X45" s="58"/>
      <c r="Y45" s="19">
        <f>IFERROR(IF(X45="",0,CEILING((X45/$H45),1)*$H45),"")</f>
        <v>0</v>
      </c>
    </row>
    <row r="46" spans="1:25" x14ac:dyDescent="0.25">
      <c r="A46" s="2" t="s">
        <v>101</v>
      </c>
      <c r="B46" s="2" t="s">
        <v>102</v>
      </c>
      <c r="C46" s="3">
        <v>4301020296</v>
      </c>
      <c r="D46" s="25">
        <v>4680115881433</v>
      </c>
      <c r="E46" s="26"/>
      <c r="F46" s="4">
        <v>0.45</v>
      </c>
      <c r="G46" s="5">
        <v>6</v>
      </c>
      <c r="H46" s="4">
        <v>2.7</v>
      </c>
      <c r="I46" s="4">
        <v>2.88</v>
      </c>
      <c r="J46" s="5">
        <v>182</v>
      </c>
      <c r="K46" s="5" t="s">
        <v>33</v>
      </c>
      <c r="L46" s="5"/>
      <c r="M46" s="6" t="s">
        <v>62</v>
      </c>
      <c r="N46" s="6"/>
      <c r="O46" s="5">
        <v>50</v>
      </c>
      <c r="P46" s="22" t="s">
        <v>103</v>
      </c>
      <c r="Q46" s="23"/>
      <c r="R46" s="23"/>
      <c r="S46" s="23"/>
      <c r="T46" s="24"/>
      <c r="U46" s="7"/>
      <c r="V46" s="7"/>
      <c r="W46" s="8" t="s">
        <v>27</v>
      </c>
      <c r="X46" s="58"/>
      <c r="Y46" s="19">
        <f>IFERROR(IF(X46="",0,CEILING((X46/$H46),1)*$H46),"")</f>
        <v>0</v>
      </c>
    </row>
    <row r="47" spans="1:25" x14ac:dyDescent="0.25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  <c r="P47" s="30" t="s">
        <v>28</v>
      </c>
      <c r="Q47" s="31"/>
      <c r="R47" s="31"/>
      <c r="S47" s="31"/>
      <c r="T47" s="31"/>
      <c r="U47" s="31"/>
      <c r="V47" s="32"/>
      <c r="W47" s="9" t="s">
        <v>29</v>
      </c>
      <c r="X47" s="20"/>
      <c r="Y47" s="20">
        <f>IFERROR(Y44/H44,"0")+IFERROR(Y45/H45,"0")+IFERROR(Y46/H46,"0")</f>
        <v>0</v>
      </c>
    </row>
    <row r="48" spans="1:2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9"/>
      <c r="P48" s="30" t="s">
        <v>28</v>
      </c>
      <c r="Q48" s="31"/>
      <c r="R48" s="31"/>
      <c r="S48" s="31"/>
      <c r="T48" s="31"/>
      <c r="U48" s="31"/>
      <c r="V48" s="32"/>
      <c r="W48" s="9" t="s">
        <v>27</v>
      </c>
      <c r="X48" s="20"/>
      <c r="Y48" s="20">
        <f>IFERROR(SUM(Y44:Y46),"0")</f>
        <v>0</v>
      </c>
    </row>
    <row r="49" spans="1:25" x14ac:dyDescent="0.25">
      <c r="A49" t="s">
        <v>21</v>
      </c>
    </row>
    <row r="50" spans="1:25" x14ac:dyDescent="0.25">
      <c r="A50" s="2" t="s">
        <v>104</v>
      </c>
      <c r="B50" s="2" t="s">
        <v>105</v>
      </c>
      <c r="C50" s="3">
        <v>4301031243</v>
      </c>
      <c r="D50" s="25">
        <v>4680115885073</v>
      </c>
      <c r="E50" s="26"/>
      <c r="F50" s="4">
        <v>0.3</v>
      </c>
      <c r="G50" s="5">
        <v>6</v>
      </c>
      <c r="H50" s="4">
        <v>1.8</v>
      </c>
      <c r="I50" s="4">
        <v>1.9</v>
      </c>
      <c r="J50" s="5">
        <v>234</v>
      </c>
      <c r="K50" s="5" t="s">
        <v>24</v>
      </c>
      <c r="L50" s="5"/>
      <c r="M50" s="6" t="s">
        <v>25</v>
      </c>
      <c r="N50" s="6"/>
      <c r="O50" s="5">
        <v>40</v>
      </c>
      <c r="P50" s="22" t="s">
        <v>106</v>
      </c>
      <c r="Q50" s="23"/>
      <c r="R50" s="23"/>
      <c r="S50" s="23"/>
      <c r="T50" s="24"/>
      <c r="U50" s="7"/>
      <c r="V50" s="7"/>
      <c r="W50" s="8" t="s">
        <v>27</v>
      </c>
      <c r="X50" s="58"/>
      <c r="Y50" s="19">
        <f>IFERROR(IF(X50="",0,CEILING((X50/$H50),1)*$H50),"")</f>
        <v>0</v>
      </c>
    </row>
    <row r="51" spans="1:25" x14ac:dyDescent="0.25">
      <c r="A51" s="2" t="s">
        <v>107</v>
      </c>
      <c r="B51" s="2" t="s">
        <v>108</v>
      </c>
      <c r="C51" s="3">
        <v>4301031241</v>
      </c>
      <c r="D51" s="25">
        <v>4680115885059</v>
      </c>
      <c r="E51" s="26"/>
      <c r="F51" s="4">
        <v>0.3</v>
      </c>
      <c r="G51" s="5">
        <v>6</v>
      </c>
      <c r="H51" s="4">
        <v>1.8</v>
      </c>
      <c r="I51" s="4">
        <v>1.9</v>
      </c>
      <c r="J51" s="5">
        <v>234</v>
      </c>
      <c r="K51" s="5" t="s">
        <v>24</v>
      </c>
      <c r="L51" s="5"/>
      <c r="M51" s="6" t="s">
        <v>25</v>
      </c>
      <c r="N51" s="6"/>
      <c r="O51" s="5">
        <v>40</v>
      </c>
      <c r="P51" s="22" t="s">
        <v>109</v>
      </c>
      <c r="Q51" s="23"/>
      <c r="R51" s="23"/>
      <c r="S51" s="23"/>
      <c r="T51" s="24"/>
      <c r="U51" s="7"/>
      <c r="V51" s="7"/>
      <c r="W51" s="8" t="s">
        <v>27</v>
      </c>
      <c r="X51" s="58"/>
      <c r="Y51" s="19">
        <f>IFERROR(IF(X51="",0,CEILING((X51/$H51),1)*$H51),"")</f>
        <v>0</v>
      </c>
    </row>
    <row r="52" spans="1:25" x14ac:dyDescent="0.25">
      <c r="A52" s="2" t="s">
        <v>110</v>
      </c>
      <c r="B52" s="2" t="s">
        <v>111</v>
      </c>
      <c r="C52" s="3">
        <v>4301031316</v>
      </c>
      <c r="D52" s="25">
        <v>4680115885097</v>
      </c>
      <c r="E52" s="26"/>
      <c r="F52" s="4">
        <v>0.3</v>
      </c>
      <c r="G52" s="5">
        <v>6</v>
      </c>
      <c r="H52" s="4">
        <v>1.8</v>
      </c>
      <c r="I52" s="4">
        <v>1.9</v>
      </c>
      <c r="J52" s="5">
        <v>234</v>
      </c>
      <c r="K52" s="5" t="s">
        <v>24</v>
      </c>
      <c r="L52" s="5"/>
      <c r="M52" s="6" t="s">
        <v>25</v>
      </c>
      <c r="N52" s="6"/>
      <c r="O52" s="5">
        <v>40</v>
      </c>
      <c r="P52" s="22" t="s">
        <v>112</v>
      </c>
      <c r="Q52" s="23"/>
      <c r="R52" s="23"/>
      <c r="S52" s="23"/>
      <c r="T52" s="24"/>
      <c r="U52" s="7"/>
      <c r="V52" s="7"/>
      <c r="W52" s="8" t="s">
        <v>27</v>
      </c>
      <c r="X52" s="58"/>
      <c r="Y52" s="19">
        <f>IFERROR(IF(X52="",0,CEILING((X52/$H52),1)*$H52),"")</f>
        <v>0</v>
      </c>
    </row>
    <row r="53" spans="1:25" x14ac:dyDescent="0.25">
      <c r="A53" s="27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9"/>
      <c r="P53" s="30" t="s">
        <v>28</v>
      </c>
      <c r="Q53" s="31"/>
      <c r="R53" s="31"/>
      <c r="S53" s="31"/>
      <c r="T53" s="31"/>
      <c r="U53" s="31"/>
      <c r="V53" s="32"/>
      <c r="W53" s="9" t="s">
        <v>29</v>
      </c>
      <c r="X53" s="20"/>
      <c r="Y53" s="20">
        <f>IFERROR(Y50/H50,"0")+IFERROR(Y51/H51,"0")+IFERROR(Y52/H52,"0")</f>
        <v>0</v>
      </c>
    </row>
    <row r="54" spans="1:25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  <c r="P54" s="30" t="s">
        <v>28</v>
      </c>
      <c r="Q54" s="31"/>
      <c r="R54" s="31"/>
      <c r="S54" s="31"/>
      <c r="T54" s="31"/>
      <c r="U54" s="31"/>
      <c r="V54" s="32"/>
      <c r="W54" s="9" t="s">
        <v>27</v>
      </c>
      <c r="X54" s="20"/>
      <c r="Y54" s="20">
        <f>IFERROR(SUM(Y50:Y52),"0")</f>
        <v>0</v>
      </c>
    </row>
    <row r="55" spans="1:25" x14ac:dyDescent="0.25">
      <c r="A55" t="s">
        <v>30</v>
      </c>
    </row>
    <row r="56" spans="1:25" x14ac:dyDescent="0.25">
      <c r="A56" s="2" t="s">
        <v>113</v>
      </c>
      <c r="B56" s="2" t="s">
        <v>114</v>
      </c>
      <c r="C56" s="3">
        <v>4301051846</v>
      </c>
      <c r="D56" s="25">
        <v>4680115885769</v>
      </c>
      <c r="E56" s="26"/>
      <c r="F56" s="4">
        <v>1.4</v>
      </c>
      <c r="G56" s="5">
        <v>6</v>
      </c>
      <c r="H56" s="4">
        <v>8.4</v>
      </c>
      <c r="I56" s="4">
        <v>8.81</v>
      </c>
      <c r="J56" s="5">
        <v>64</v>
      </c>
      <c r="K56" s="5" t="s">
        <v>60</v>
      </c>
      <c r="L56" s="5"/>
      <c r="M56" s="6" t="s">
        <v>34</v>
      </c>
      <c r="N56" s="6"/>
      <c r="O56" s="5">
        <v>45</v>
      </c>
      <c r="P56" s="22" t="s">
        <v>115</v>
      </c>
      <c r="Q56" s="23"/>
      <c r="R56" s="23"/>
      <c r="S56" s="23"/>
      <c r="T56" s="24"/>
      <c r="U56" s="7"/>
      <c r="V56" s="7"/>
      <c r="W56" s="8" t="s">
        <v>27</v>
      </c>
      <c r="X56" s="58"/>
      <c r="Y56" s="19">
        <f>IFERROR(IF(X56="",0,CEILING((X56/$H56),1)*$H56),"")</f>
        <v>0</v>
      </c>
    </row>
    <row r="57" spans="1:25" x14ac:dyDescent="0.25">
      <c r="A57" s="2" t="s">
        <v>116</v>
      </c>
      <c r="B57" s="2" t="s">
        <v>117</v>
      </c>
      <c r="C57" s="3">
        <v>4301051837</v>
      </c>
      <c r="D57" s="25">
        <v>4680115884311</v>
      </c>
      <c r="E57" s="26"/>
      <c r="F57" s="4">
        <v>0.3</v>
      </c>
      <c r="G57" s="5">
        <v>6</v>
      </c>
      <c r="H57" s="4">
        <v>1.8</v>
      </c>
      <c r="I57" s="4">
        <v>2.0459999999999998</v>
      </c>
      <c r="J57" s="5">
        <v>182</v>
      </c>
      <c r="K57" s="5" t="s">
        <v>33</v>
      </c>
      <c r="L57" s="5" t="s">
        <v>45</v>
      </c>
      <c r="M57" s="6" t="s">
        <v>34</v>
      </c>
      <c r="N57" s="6"/>
      <c r="O57" s="5">
        <v>40</v>
      </c>
      <c r="P57" s="22" t="s">
        <v>118</v>
      </c>
      <c r="Q57" s="23"/>
      <c r="R57" s="23"/>
      <c r="S57" s="23"/>
      <c r="T57" s="24"/>
      <c r="U57" s="7"/>
      <c r="V57" s="7"/>
      <c r="W57" s="8" t="s">
        <v>27</v>
      </c>
      <c r="X57" s="58"/>
      <c r="Y57" s="19">
        <f>IFERROR(IF(X57="",0,CEILING((X57/$H57),1)*$H57),"")</f>
        <v>0</v>
      </c>
    </row>
    <row r="58" spans="1:25" x14ac:dyDescent="0.25">
      <c r="A58" s="2" t="s">
        <v>119</v>
      </c>
      <c r="B58" s="2" t="s">
        <v>120</v>
      </c>
      <c r="C58" s="3">
        <v>4301051844</v>
      </c>
      <c r="D58" s="25">
        <v>4680115885929</v>
      </c>
      <c r="E58" s="26"/>
      <c r="F58" s="4">
        <v>0.42</v>
      </c>
      <c r="G58" s="5">
        <v>6</v>
      </c>
      <c r="H58" s="4">
        <v>2.52</v>
      </c>
      <c r="I58" s="4">
        <v>2.7</v>
      </c>
      <c r="J58" s="5">
        <v>182</v>
      </c>
      <c r="K58" s="5" t="s">
        <v>33</v>
      </c>
      <c r="L58" s="5"/>
      <c r="M58" s="6" t="s">
        <v>34</v>
      </c>
      <c r="N58" s="6"/>
      <c r="O58" s="5">
        <v>45</v>
      </c>
      <c r="P58" s="22" t="s">
        <v>121</v>
      </c>
      <c r="Q58" s="23"/>
      <c r="R58" s="23"/>
      <c r="S58" s="23"/>
      <c r="T58" s="24"/>
      <c r="U58" s="7"/>
      <c r="V58" s="7"/>
      <c r="W58" s="8" t="s">
        <v>27</v>
      </c>
      <c r="X58" s="58"/>
      <c r="Y58" s="19">
        <f>IFERROR(IF(X58="",0,CEILING((X58/$H58),1)*$H58),"")</f>
        <v>0</v>
      </c>
    </row>
    <row r="59" spans="1:25" x14ac:dyDescent="0.25">
      <c r="A59" s="2" t="s">
        <v>122</v>
      </c>
      <c r="B59" s="2" t="s">
        <v>123</v>
      </c>
      <c r="C59" s="3">
        <v>4301051929</v>
      </c>
      <c r="D59" s="25">
        <v>4680115884403</v>
      </c>
      <c r="E59" s="26"/>
      <c r="F59" s="4">
        <v>0.3</v>
      </c>
      <c r="G59" s="5">
        <v>6</v>
      </c>
      <c r="H59" s="4">
        <v>1.8</v>
      </c>
      <c r="I59" s="4">
        <v>1.98</v>
      </c>
      <c r="J59" s="5">
        <v>182</v>
      </c>
      <c r="K59" s="5" t="s">
        <v>33</v>
      </c>
      <c r="L59" s="5" t="s">
        <v>45</v>
      </c>
      <c r="M59" s="6" t="s">
        <v>34</v>
      </c>
      <c r="N59" s="6"/>
      <c r="O59" s="5">
        <v>40</v>
      </c>
      <c r="P59" s="22" t="s">
        <v>124</v>
      </c>
      <c r="Q59" s="23"/>
      <c r="R59" s="23"/>
      <c r="S59" s="23"/>
      <c r="T59" s="24"/>
      <c r="U59" s="7"/>
      <c r="V59" s="7"/>
      <c r="W59" s="8" t="s">
        <v>27</v>
      </c>
      <c r="X59" s="58"/>
      <c r="Y59" s="19">
        <f>IFERROR(IF(X59="",0,CEILING((X59/$H59),1)*$H59),"")</f>
        <v>0</v>
      </c>
    </row>
    <row r="60" spans="1:25" x14ac:dyDescent="0.25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  <c r="P60" s="30" t="s">
        <v>28</v>
      </c>
      <c r="Q60" s="31"/>
      <c r="R60" s="31"/>
      <c r="S60" s="31"/>
      <c r="T60" s="31"/>
      <c r="U60" s="31"/>
      <c r="V60" s="32"/>
      <c r="W60" s="9" t="s">
        <v>29</v>
      </c>
      <c r="X60" s="20"/>
      <c r="Y60" s="20">
        <f>IFERROR(Y56/H56,"0")+IFERROR(Y57/H57,"0")+IFERROR(Y58/H58,"0")+IFERROR(Y59/H59,"0")</f>
        <v>0</v>
      </c>
    </row>
    <row r="61" spans="1:25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  <c r="P61" s="30" t="s">
        <v>28</v>
      </c>
      <c r="Q61" s="31"/>
      <c r="R61" s="31"/>
      <c r="S61" s="31"/>
      <c r="T61" s="31"/>
      <c r="U61" s="31"/>
      <c r="V61" s="32"/>
      <c r="W61" s="9" t="s">
        <v>27</v>
      </c>
      <c r="X61" s="20"/>
      <c r="Y61" s="20">
        <f>IFERROR(SUM(Y56:Y59),"0")</f>
        <v>0</v>
      </c>
    </row>
    <row r="62" spans="1:25" x14ac:dyDescent="0.25">
      <c r="A62" t="s">
        <v>125</v>
      </c>
    </row>
    <row r="63" spans="1:25" x14ac:dyDescent="0.25">
      <c r="A63" s="2" t="s">
        <v>126</v>
      </c>
      <c r="B63" s="2" t="s">
        <v>127</v>
      </c>
      <c r="C63" s="3">
        <v>4301060455</v>
      </c>
      <c r="D63" s="25">
        <v>4680115881532</v>
      </c>
      <c r="E63" s="26"/>
      <c r="F63" s="4">
        <v>1.3</v>
      </c>
      <c r="G63" s="5">
        <v>6</v>
      </c>
      <c r="H63" s="4">
        <v>7.8</v>
      </c>
      <c r="I63" s="4">
        <v>8.2100000000000009</v>
      </c>
      <c r="J63" s="5">
        <v>64</v>
      </c>
      <c r="K63" s="5" t="s">
        <v>60</v>
      </c>
      <c r="L63" s="5" t="s">
        <v>61</v>
      </c>
      <c r="M63" s="6" t="s">
        <v>41</v>
      </c>
      <c r="N63" s="6"/>
      <c r="O63" s="5">
        <v>30</v>
      </c>
      <c r="P63" s="22" t="s">
        <v>128</v>
      </c>
      <c r="Q63" s="23"/>
      <c r="R63" s="23"/>
      <c r="S63" s="23"/>
      <c r="T63" s="24"/>
      <c r="U63" s="7"/>
      <c r="V63" s="7"/>
      <c r="W63" s="8" t="s">
        <v>27</v>
      </c>
      <c r="X63" s="58"/>
      <c r="Y63" s="19">
        <f>IFERROR(IF(X63="",0,CEILING((X63/$H63),1)*$H63),"")</f>
        <v>0</v>
      </c>
    </row>
    <row r="64" spans="1:25" x14ac:dyDescent="0.25">
      <c r="A64" s="2" t="s">
        <v>129</v>
      </c>
      <c r="B64" s="2" t="s">
        <v>130</v>
      </c>
      <c r="C64" s="3">
        <v>4301060351</v>
      </c>
      <c r="D64" s="25">
        <v>4680115881464</v>
      </c>
      <c r="E64" s="26"/>
      <c r="F64" s="4">
        <v>0.4</v>
      </c>
      <c r="G64" s="5">
        <v>6</v>
      </c>
      <c r="H64" s="4">
        <v>2.4</v>
      </c>
      <c r="I64" s="4">
        <v>2.59</v>
      </c>
      <c r="J64" s="5">
        <v>132</v>
      </c>
      <c r="K64" s="5" t="s">
        <v>66</v>
      </c>
      <c r="L64" s="5" t="s">
        <v>67</v>
      </c>
      <c r="M64" s="6" t="s">
        <v>34</v>
      </c>
      <c r="N64" s="6"/>
      <c r="O64" s="5">
        <v>30</v>
      </c>
      <c r="P64" s="22" t="s">
        <v>131</v>
      </c>
      <c r="Q64" s="23"/>
      <c r="R64" s="23"/>
      <c r="S64" s="23"/>
      <c r="T64" s="24"/>
      <c r="U64" s="7"/>
      <c r="V64" s="7"/>
      <c r="W64" s="8" t="s">
        <v>27</v>
      </c>
      <c r="X64" s="58"/>
      <c r="Y64" s="19">
        <f>IFERROR(IF(X64="",0,CEILING((X64/$H64),1)*$H64),"")</f>
        <v>0</v>
      </c>
    </row>
    <row r="65" spans="1:25" x14ac:dyDescent="0.25">
      <c r="A65" s="27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9"/>
      <c r="P65" s="30" t="s">
        <v>28</v>
      </c>
      <c r="Q65" s="31"/>
      <c r="R65" s="31"/>
      <c r="S65" s="31"/>
      <c r="T65" s="31"/>
      <c r="U65" s="31"/>
      <c r="V65" s="32"/>
      <c r="W65" s="9" t="s">
        <v>29</v>
      </c>
      <c r="X65" s="20"/>
      <c r="Y65" s="20">
        <f>IFERROR(Y63/H63,"0")+IFERROR(Y64/H64,"0")</f>
        <v>0</v>
      </c>
    </row>
    <row r="66" spans="1:25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  <c r="P66" s="30" t="s">
        <v>28</v>
      </c>
      <c r="Q66" s="31"/>
      <c r="R66" s="31"/>
      <c r="S66" s="31"/>
      <c r="T66" s="31"/>
      <c r="U66" s="31"/>
      <c r="V66" s="32"/>
      <c r="W66" s="9" t="s">
        <v>27</v>
      </c>
      <c r="X66" s="20"/>
      <c r="Y66" s="20">
        <f>IFERROR(SUM(Y63:Y64),"0")</f>
        <v>0</v>
      </c>
    </row>
    <row r="67" spans="1:25" x14ac:dyDescent="0.25">
      <c r="A67" t="s">
        <v>132</v>
      </c>
    </row>
    <row r="68" spans="1:25" x14ac:dyDescent="0.25">
      <c r="A68" t="s">
        <v>57</v>
      </c>
    </row>
    <row r="69" spans="1:25" x14ac:dyDescent="0.25">
      <c r="A69" s="2" t="s">
        <v>133</v>
      </c>
      <c r="B69" s="2" t="s">
        <v>134</v>
      </c>
      <c r="C69" s="3">
        <v>4301011468</v>
      </c>
      <c r="D69" s="25">
        <v>4680115881327</v>
      </c>
      <c r="E69" s="26"/>
      <c r="F69" s="4">
        <v>1.35</v>
      </c>
      <c r="G69" s="5">
        <v>8</v>
      </c>
      <c r="H69" s="4">
        <v>10.8</v>
      </c>
      <c r="I69" s="4">
        <v>11.21</v>
      </c>
      <c r="J69" s="5">
        <v>64</v>
      </c>
      <c r="K69" s="5" t="s">
        <v>60</v>
      </c>
      <c r="L69" s="5" t="s">
        <v>61</v>
      </c>
      <c r="M69" s="6" t="s">
        <v>41</v>
      </c>
      <c r="N69" s="6"/>
      <c r="O69" s="5">
        <v>50</v>
      </c>
      <c r="P69" s="22" t="s">
        <v>135</v>
      </c>
      <c r="Q69" s="23"/>
      <c r="R69" s="23"/>
      <c r="S69" s="23"/>
      <c r="T69" s="24"/>
      <c r="U69" s="7"/>
      <c r="V69" s="7"/>
      <c r="W69" s="8" t="s">
        <v>27</v>
      </c>
      <c r="X69" s="58"/>
      <c r="Y69" s="19">
        <f>IFERROR(IF(X69="",0,CEILING((X69/$H69),1)*$H69),"")</f>
        <v>0</v>
      </c>
    </row>
    <row r="70" spans="1:25" x14ac:dyDescent="0.25">
      <c r="A70" s="2" t="s">
        <v>136</v>
      </c>
      <c r="B70" s="2" t="s">
        <v>137</v>
      </c>
      <c r="C70" s="3">
        <v>4301011476</v>
      </c>
      <c r="D70" s="25">
        <v>4680115881518</v>
      </c>
      <c r="E70" s="26"/>
      <c r="F70" s="4">
        <v>0.4</v>
      </c>
      <c r="G70" s="5">
        <v>10</v>
      </c>
      <c r="H70" s="4">
        <v>4</v>
      </c>
      <c r="I70" s="4">
        <v>4.1900000000000004</v>
      </c>
      <c r="J70" s="5">
        <v>132</v>
      </c>
      <c r="K70" s="5" t="s">
        <v>66</v>
      </c>
      <c r="L70" s="5"/>
      <c r="M70" s="6" t="s">
        <v>34</v>
      </c>
      <c r="N70" s="6"/>
      <c r="O70" s="5">
        <v>50</v>
      </c>
      <c r="P70" s="22" t="s">
        <v>138</v>
      </c>
      <c r="Q70" s="23"/>
      <c r="R70" s="23"/>
      <c r="S70" s="23"/>
      <c r="T70" s="24"/>
      <c r="U70" s="7"/>
      <c r="V70" s="7"/>
      <c r="W70" s="8" t="s">
        <v>27</v>
      </c>
      <c r="X70" s="58"/>
      <c r="Y70" s="19">
        <f>IFERROR(IF(X70="",0,CEILING((X70/$H70),1)*$H70),"")</f>
        <v>0</v>
      </c>
    </row>
    <row r="71" spans="1:25" x14ac:dyDescent="0.25">
      <c r="A71" s="2" t="s">
        <v>139</v>
      </c>
      <c r="B71" s="2" t="s">
        <v>140</v>
      </c>
      <c r="C71" s="3">
        <v>4301011443</v>
      </c>
      <c r="D71" s="25">
        <v>4680115881303</v>
      </c>
      <c r="E71" s="26"/>
      <c r="F71" s="4">
        <v>0.45</v>
      </c>
      <c r="G71" s="5">
        <v>10</v>
      </c>
      <c r="H71" s="4">
        <v>4.5</v>
      </c>
      <c r="I71" s="4">
        <v>4.6900000000000004</v>
      </c>
      <c r="J71" s="5">
        <v>132</v>
      </c>
      <c r="K71" s="5" t="s">
        <v>66</v>
      </c>
      <c r="L71" s="5" t="s">
        <v>67</v>
      </c>
      <c r="M71" s="6" t="s">
        <v>41</v>
      </c>
      <c r="N71" s="6"/>
      <c r="O71" s="5">
        <v>50</v>
      </c>
      <c r="P71" s="22" t="s">
        <v>141</v>
      </c>
      <c r="Q71" s="23"/>
      <c r="R71" s="23"/>
      <c r="S71" s="23"/>
      <c r="T71" s="24"/>
      <c r="U71" s="7"/>
      <c r="V71" s="7"/>
      <c r="W71" s="8" t="s">
        <v>27</v>
      </c>
      <c r="X71" s="58"/>
      <c r="Y71" s="19">
        <f>IFERROR(IF(X71="",0,CEILING((X71/$H71),1)*$H71),"")</f>
        <v>0</v>
      </c>
    </row>
    <row r="72" spans="1:25" x14ac:dyDescent="0.25">
      <c r="A72" s="27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9"/>
      <c r="P72" s="30" t="s">
        <v>28</v>
      </c>
      <c r="Q72" s="31"/>
      <c r="R72" s="31"/>
      <c r="S72" s="31"/>
      <c r="T72" s="31"/>
      <c r="U72" s="31"/>
      <c r="V72" s="32"/>
      <c r="W72" s="9" t="s">
        <v>29</v>
      </c>
      <c r="X72" s="20"/>
      <c r="Y72" s="20">
        <f>IFERROR(Y69/H69,"0")+IFERROR(Y70/H70,"0")+IFERROR(Y71/H71,"0")</f>
        <v>0</v>
      </c>
    </row>
    <row r="73" spans="1:25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9"/>
      <c r="P73" s="30" t="s">
        <v>28</v>
      </c>
      <c r="Q73" s="31"/>
      <c r="R73" s="31"/>
      <c r="S73" s="31"/>
      <c r="T73" s="31"/>
      <c r="U73" s="31"/>
      <c r="V73" s="32"/>
      <c r="W73" s="9" t="s">
        <v>27</v>
      </c>
      <c r="X73" s="20"/>
      <c r="Y73" s="20">
        <f>IFERROR(SUM(Y69:Y71),"0")</f>
        <v>0</v>
      </c>
    </row>
    <row r="74" spans="1:25" x14ac:dyDescent="0.25">
      <c r="A74" t="s">
        <v>30</v>
      </c>
    </row>
    <row r="75" spans="1:25" x14ac:dyDescent="0.25">
      <c r="A75" s="2" t="s">
        <v>142</v>
      </c>
      <c r="B75" s="2" t="s">
        <v>143</v>
      </c>
      <c r="C75" s="3">
        <v>4301051712</v>
      </c>
      <c r="D75" s="25">
        <v>4607091386967</v>
      </c>
      <c r="E75" s="26"/>
      <c r="F75" s="4">
        <v>1.35</v>
      </c>
      <c r="G75" s="5">
        <v>6</v>
      </c>
      <c r="H75" s="4">
        <v>8.1</v>
      </c>
      <c r="I75" s="4">
        <v>8.5939999999999994</v>
      </c>
      <c r="J75" s="5">
        <v>64</v>
      </c>
      <c r="K75" s="5" t="s">
        <v>60</v>
      </c>
      <c r="L75" s="5" t="s">
        <v>61</v>
      </c>
      <c r="M75" s="6" t="s">
        <v>41</v>
      </c>
      <c r="N75" s="6"/>
      <c r="O75" s="5">
        <v>45</v>
      </c>
      <c r="P75" s="22" t="s">
        <v>144</v>
      </c>
      <c r="Q75" s="23"/>
      <c r="R75" s="23"/>
      <c r="S75" s="23"/>
      <c r="T75" s="24"/>
      <c r="U75" s="7"/>
      <c r="V75" s="7"/>
      <c r="W75" s="8" t="s">
        <v>27</v>
      </c>
      <c r="X75" s="58"/>
      <c r="Y75" s="19">
        <f>IFERROR(IF(X75="",0,CEILING((X75/$H75),1)*$H75),"")</f>
        <v>0</v>
      </c>
    </row>
    <row r="76" spans="1:25" x14ac:dyDescent="0.25">
      <c r="A76" s="2" t="s">
        <v>145</v>
      </c>
      <c r="B76" s="2" t="s">
        <v>146</v>
      </c>
      <c r="C76" s="3">
        <v>4301051788</v>
      </c>
      <c r="D76" s="25">
        <v>4680115884953</v>
      </c>
      <c r="E76" s="26"/>
      <c r="F76" s="4">
        <v>0.37</v>
      </c>
      <c r="G76" s="5">
        <v>6</v>
      </c>
      <c r="H76" s="4">
        <v>2.2200000000000002</v>
      </c>
      <c r="I76" s="4">
        <v>2.472</v>
      </c>
      <c r="J76" s="5">
        <v>182</v>
      </c>
      <c r="K76" s="5" t="s">
        <v>33</v>
      </c>
      <c r="L76" s="5"/>
      <c r="M76" s="6" t="s">
        <v>34</v>
      </c>
      <c r="N76" s="6"/>
      <c r="O76" s="5">
        <v>45</v>
      </c>
      <c r="P76" s="22" t="s">
        <v>147</v>
      </c>
      <c r="Q76" s="23"/>
      <c r="R76" s="23"/>
      <c r="S76" s="23"/>
      <c r="T76" s="24"/>
      <c r="U76" s="7"/>
      <c r="V76" s="7"/>
      <c r="W76" s="8" t="s">
        <v>27</v>
      </c>
      <c r="X76" s="58"/>
      <c r="Y76" s="19">
        <f>IFERROR(IF(X76="",0,CEILING((X76/$H76),1)*$H76),"")</f>
        <v>0</v>
      </c>
    </row>
    <row r="77" spans="1:25" x14ac:dyDescent="0.25">
      <c r="A77" s="2" t="s">
        <v>148</v>
      </c>
      <c r="B77" s="2" t="s">
        <v>149</v>
      </c>
      <c r="C77" s="3">
        <v>4301051718</v>
      </c>
      <c r="D77" s="25">
        <v>4607091385731</v>
      </c>
      <c r="E77" s="26"/>
      <c r="F77" s="4">
        <v>0.45</v>
      </c>
      <c r="G77" s="5">
        <v>6</v>
      </c>
      <c r="H77" s="4">
        <v>2.7</v>
      </c>
      <c r="I77" s="4">
        <v>2.952</v>
      </c>
      <c r="J77" s="5">
        <v>182</v>
      </c>
      <c r="K77" s="5" t="s">
        <v>33</v>
      </c>
      <c r="L77" s="5"/>
      <c r="M77" s="6" t="s">
        <v>41</v>
      </c>
      <c r="N77" s="6"/>
      <c r="O77" s="5">
        <v>45</v>
      </c>
      <c r="P77" s="22" t="s">
        <v>150</v>
      </c>
      <c r="Q77" s="23"/>
      <c r="R77" s="23"/>
      <c r="S77" s="23"/>
      <c r="T77" s="24"/>
      <c r="U77" s="7"/>
      <c r="V77" s="7"/>
      <c r="W77" s="8" t="s">
        <v>27</v>
      </c>
      <c r="X77" s="58"/>
      <c r="Y77" s="19">
        <f>IFERROR(IF(X77="",0,CEILING((X77/$H77),1)*$H77),"")</f>
        <v>0</v>
      </c>
    </row>
    <row r="78" spans="1:25" x14ac:dyDescent="0.25">
      <c r="A78" s="2" t="s">
        <v>151</v>
      </c>
      <c r="B78" s="2" t="s">
        <v>152</v>
      </c>
      <c r="C78" s="3">
        <v>4301051438</v>
      </c>
      <c r="D78" s="25">
        <v>4680115880894</v>
      </c>
      <c r="E78" s="26"/>
      <c r="F78" s="4">
        <v>0.33</v>
      </c>
      <c r="G78" s="5">
        <v>6</v>
      </c>
      <c r="H78" s="4">
        <v>1.98</v>
      </c>
      <c r="I78" s="4">
        <v>2.238</v>
      </c>
      <c r="J78" s="5">
        <v>182</v>
      </c>
      <c r="K78" s="5" t="s">
        <v>33</v>
      </c>
      <c r="L78" s="5" t="s">
        <v>45</v>
      </c>
      <c r="M78" s="6" t="s">
        <v>34</v>
      </c>
      <c r="N78" s="6"/>
      <c r="O78" s="5">
        <v>45</v>
      </c>
      <c r="P78" s="22" t="s">
        <v>153</v>
      </c>
      <c r="Q78" s="23"/>
      <c r="R78" s="23"/>
      <c r="S78" s="23"/>
      <c r="T78" s="24"/>
      <c r="U78" s="7"/>
      <c r="V78" s="7"/>
      <c r="W78" s="8" t="s">
        <v>27</v>
      </c>
      <c r="X78" s="58"/>
      <c r="Y78" s="19">
        <f>IFERROR(IF(X78="",0,CEILING((X78/$H78),1)*$H78),"")</f>
        <v>0</v>
      </c>
    </row>
    <row r="79" spans="1:25" x14ac:dyDescent="0.25">
      <c r="A79" s="27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9"/>
      <c r="P79" s="30" t="s">
        <v>28</v>
      </c>
      <c r="Q79" s="31"/>
      <c r="R79" s="31"/>
      <c r="S79" s="31"/>
      <c r="T79" s="31"/>
      <c r="U79" s="31"/>
      <c r="V79" s="32"/>
      <c r="W79" s="9" t="s">
        <v>29</v>
      </c>
      <c r="X79" s="20"/>
      <c r="Y79" s="20">
        <f>IFERROR(Y75/H75,"0")+IFERROR(Y76/H76,"0")+IFERROR(Y77/H77,"0")+IFERROR(Y78/H78,"0")</f>
        <v>0</v>
      </c>
    </row>
    <row r="80" spans="1:25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9"/>
      <c r="P80" s="30" t="s">
        <v>28</v>
      </c>
      <c r="Q80" s="31"/>
      <c r="R80" s="31"/>
      <c r="S80" s="31"/>
      <c r="T80" s="31"/>
      <c r="U80" s="31"/>
      <c r="V80" s="32"/>
      <c r="W80" s="9" t="s">
        <v>27</v>
      </c>
      <c r="X80" s="20"/>
      <c r="Y80" s="20">
        <f>IFERROR(SUM(Y75:Y78),"0")</f>
        <v>0</v>
      </c>
    </row>
    <row r="81" spans="1:25" x14ac:dyDescent="0.25">
      <c r="A81" t="s">
        <v>154</v>
      </c>
    </row>
    <row r="82" spans="1:25" x14ac:dyDescent="0.25">
      <c r="A82" t="s">
        <v>57</v>
      </c>
    </row>
    <row r="83" spans="1:25" x14ac:dyDescent="0.25">
      <c r="A83" s="2" t="s">
        <v>155</v>
      </c>
      <c r="B83" s="2" t="s">
        <v>156</v>
      </c>
      <c r="C83" s="3">
        <v>4301011514</v>
      </c>
      <c r="D83" s="25">
        <v>4680115882133</v>
      </c>
      <c r="E83" s="26"/>
      <c r="F83" s="4">
        <v>1.35</v>
      </c>
      <c r="G83" s="5">
        <v>8</v>
      </c>
      <c r="H83" s="4">
        <v>10.8</v>
      </c>
      <c r="I83" s="4">
        <v>11.21</v>
      </c>
      <c r="J83" s="5">
        <v>64</v>
      </c>
      <c r="K83" s="5" t="s">
        <v>60</v>
      </c>
      <c r="L83" s="5" t="s">
        <v>61</v>
      </c>
      <c r="M83" s="6" t="s">
        <v>62</v>
      </c>
      <c r="N83" s="6"/>
      <c r="O83" s="5">
        <v>50</v>
      </c>
      <c r="P83" s="22" t="s">
        <v>157</v>
      </c>
      <c r="Q83" s="23"/>
      <c r="R83" s="23"/>
      <c r="S83" s="23"/>
      <c r="T83" s="24"/>
      <c r="U83" s="7"/>
      <c r="V83" s="7"/>
      <c r="W83" s="8" t="s">
        <v>27</v>
      </c>
      <c r="X83" s="58"/>
      <c r="Y83" s="19">
        <f>IFERROR(IF(X83="",0,CEILING((X83/$H83),1)*$H83),"")</f>
        <v>0</v>
      </c>
    </row>
    <row r="84" spans="1:25" x14ac:dyDescent="0.25">
      <c r="A84" s="2" t="s">
        <v>158</v>
      </c>
      <c r="B84" s="2" t="s">
        <v>159</v>
      </c>
      <c r="C84" s="3">
        <v>4301011417</v>
      </c>
      <c r="D84" s="25">
        <v>4680115880269</v>
      </c>
      <c r="E84" s="26"/>
      <c r="F84" s="4">
        <v>0.375</v>
      </c>
      <c r="G84" s="5">
        <v>10</v>
      </c>
      <c r="H84" s="4">
        <v>3.75</v>
      </c>
      <c r="I84" s="4">
        <v>3.94</v>
      </c>
      <c r="J84" s="5">
        <v>132</v>
      </c>
      <c r="K84" s="5" t="s">
        <v>66</v>
      </c>
      <c r="L84" s="5" t="s">
        <v>67</v>
      </c>
      <c r="M84" s="6" t="s">
        <v>34</v>
      </c>
      <c r="N84" s="6"/>
      <c r="O84" s="5">
        <v>50</v>
      </c>
      <c r="P84" s="22" t="s">
        <v>160</v>
      </c>
      <c r="Q84" s="23"/>
      <c r="R84" s="23"/>
      <c r="S84" s="23"/>
      <c r="T84" s="24"/>
      <c r="U84" s="7"/>
      <c r="V84" s="7"/>
      <c r="W84" s="8" t="s">
        <v>27</v>
      </c>
      <c r="X84" s="58"/>
      <c r="Y84" s="19">
        <f>IFERROR(IF(X84="",0,CEILING((X84/$H84),1)*$H84),"")</f>
        <v>0</v>
      </c>
    </row>
    <row r="85" spans="1:25" x14ac:dyDescent="0.25">
      <c r="A85" s="2" t="s">
        <v>161</v>
      </c>
      <c r="B85" s="2" t="s">
        <v>162</v>
      </c>
      <c r="C85" s="3">
        <v>4301011415</v>
      </c>
      <c r="D85" s="25">
        <v>4680115880429</v>
      </c>
      <c r="E85" s="26"/>
      <c r="F85" s="4">
        <v>0.45</v>
      </c>
      <c r="G85" s="5">
        <v>10</v>
      </c>
      <c r="H85" s="4">
        <v>4.5</v>
      </c>
      <c r="I85" s="4">
        <v>4.6900000000000004</v>
      </c>
      <c r="J85" s="5">
        <v>132</v>
      </c>
      <c r="K85" s="5" t="s">
        <v>66</v>
      </c>
      <c r="L85" s="5" t="s">
        <v>67</v>
      </c>
      <c r="M85" s="6" t="s">
        <v>34</v>
      </c>
      <c r="N85" s="6"/>
      <c r="O85" s="5">
        <v>50</v>
      </c>
      <c r="P85" s="22" t="s">
        <v>163</v>
      </c>
      <c r="Q85" s="23"/>
      <c r="R85" s="23"/>
      <c r="S85" s="23"/>
      <c r="T85" s="24"/>
      <c r="U85" s="7"/>
      <c r="V85" s="7"/>
      <c r="W85" s="8" t="s">
        <v>27</v>
      </c>
      <c r="X85" s="58"/>
      <c r="Y85" s="19">
        <f>IFERROR(IF(X85="",0,CEILING((X85/$H85),1)*$H85),"")</f>
        <v>0</v>
      </c>
    </row>
    <row r="86" spans="1:25" x14ac:dyDescent="0.25">
      <c r="A86" s="2" t="s">
        <v>164</v>
      </c>
      <c r="B86" s="2" t="s">
        <v>165</v>
      </c>
      <c r="C86" s="3">
        <v>4301011462</v>
      </c>
      <c r="D86" s="25">
        <v>4680115881457</v>
      </c>
      <c r="E86" s="26"/>
      <c r="F86" s="4">
        <v>0.75</v>
      </c>
      <c r="G86" s="5">
        <v>6</v>
      </c>
      <c r="H86" s="4">
        <v>4.5</v>
      </c>
      <c r="I86" s="4">
        <v>4.6900000000000004</v>
      </c>
      <c r="J86" s="5">
        <v>132</v>
      </c>
      <c r="K86" s="5" t="s">
        <v>66</v>
      </c>
      <c r="L86" s="5"/>
      <c r="M86" s="6" t="s">
        <v>34</v>
      </c>
      <c r="N86" s="6"/>
      <c r="O86" s="5">
        <v>50</v>
      </c>
      <c r="P86" s="22" t="s">
        <v>166</v>
      </c>
      <c r="Q86" s="23"/>
      <c r="R86" s="23"/>
      <c r="S86" s="23"/>
      <c r="T86" s="24"/>
      <c r="U86" s="7"/>
      <c r="V86" s="7"/>
      <c r="W86" s="8" t="s">
        <v>27</v>
      </c>
      <c r="X86" s="58"/>
      <c r="Y86" s="19">
        <f>IFERROR(IF(X86="",0,CEILING((X86/$H86),1)*$H86),"")</f>
        <v>0</v>
      </c>
    </row>
    <row r="87" spans="1:25" x14ac:dyDescent="0.25">
      <c r="A87" s="27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9"/>
      <c r="P87" s="30" t="s">
        <v>28</v>
      </c>
      <c r="Q87" s="31"/>
      <c r="R87" s="31"/>
      <c r="S87" s="31"/>
      <c r="T87" s="31"/>
      <c r="U87" s="31"/>
      <c r="V87" s="32"/>
      <c r="W87" s="9" t="s">
        <v>29</v>
      </c>
      <c r="X87" s="20"/>
      <c r="Y87" s="20">
        <f>IFERROR(Y83/H83,"0")+IFERROR(Y84/H84,"0")+IFERROR(Y85/H85,"0")+IFERROR(Y86/H86,"0")</f>
        <v>0</v>
      </c>
    </row>
    <row r="88" spans="1:25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9"/>
      <c r="P88" s="30" t="s">
        <v>28</v>
      </c>
      <c r="Q88" s="31"/>
      <c r="R88" s="31"/>
      <c r="S88" s="31"/>
      <c r="T88" s="31"/>
      <c r="U88" s="31"/>
      <c r="V88" s="32"/>
      <c r="W88" s="9" t="s">
        <v>27</v>
      </c>
      <c r="X88" s="20"/>
      <c r="Y88" s="20">
        <f>IFERROR(SUM(Y83:Y86),"0")</f>
        <v>0</v>
      </c>
    </row>
    <row r="89" spans="1:25" x14ac:dyDescent="0.25">
      <c r="A89" t="s">
        <v>94</v>
      </c>
    </row>
    <row r="90" spans="1:25" x14ac:dyDescent="0.25">
      <c r="A90" s="2" t="s">
        <v>167</v>
      </c>
      <c r="B90" s="2" t="s">
        <v>168</v>
      </c>
      <c r="C90" s="3">
        <v>4301020345</v>
      </c>
      <c r="D90" s="25">
        <v>4680115881488</v>
      </c>
      <c r="E90" s="26"/>
      <c r="F90" s="4">
        <v>1.35</v>
      </c>
      <c r="G90" s="5">
        <v>8</v>
      </c>
      <c r="H90" s="4">
        <v>10.8</v>
      </c>
      <c r="I90" s="4">
        <v>11.21</v>
      </c>
      <c r="J90" s="5">
        <v>64</v>
      </c>
      <c r="K90" s="5" t="s">
        <v>60</v>
      </c>
      <c r="L90" s="5"/>
      <c r="M90" s="6" t="s">
        <v>62</v>
      </c>
      <c r="N90" s="6"/>
      <c r="O90" s="5">
        <v>55</v>
      </c>
      <c r="P90" s="22" t="s">
        <v>169</v>
      </c>
      <c r="Q90" s="23"/>
      <c r="R90" s="23"/>
      <c r="S90" s="23"/>
      <c r="T90" s="24"/>
      <c r="U90" s="7"/>
      <c r="V90" s="7"/>
      <c r="W90" s="8" t="s">
        <v>27</v>
      </c>
      <c r="X90" s="58"/>
      <c r="Y90" s="19">
        <f>IFERROR(IF(X90="",0,CEILING((X90/$H90),1)*$H90),"")</f>
        <v>0</v>
      </c>
    </row>
    <row r="91" spans="1:25" x14ac:dyDescent="0.25">
      <c r="A91" s="2" t="s">
        <v>170</v>
      </c>
      <c r="B91" s="2" t="s">
        <v>171</v>
      </c>
      <c r="C91" s="3">
        <v>4301020346</v>
      </c>
      <c r="D91" s="25">
        <v>4680115882775</v>
      </c>
      <c r="E91" s="26"/>
      <c r="F91" s="4">
        <v>0.3</v>
      </c>
      <c r="G91" s="5">
        <v>8</v>
      </c>
      <c r="H91" s="4">
        <v>2.4</v>
      </c>
      <c r="I91" s="4">
        <v>2.5</v>
      </c>
      <c r="J91" s="5">
        <v>234</v>
      </c>
      <c r="K91" s="5" t="s">
        <v>24</v>
      </c>
      <c r="L91" s="5"/>
      <c r="M91" s="6" t="s">
        <v>62</v>
      </c>
      <c r="N91" s="6"/>
      <c r="O91" s="5">
        <v>55</v>
      </c>
      <c r="P91" s="22" t="s">
        <v>172</v>
      </c>
      <c r="Q91" s="23"/>
      <c r="R91" s="23"/>
      <c r="S91" s="23"/>
      <c r="T91" s="24"/>
      <c r="U91" s="7"/>
      <c r="V91" s="7"/>
      <c r="W91" s="8" t="s">
        <v>27</v>
      </c>
      <c r="X91" s="58"/>
      <c r="Y91" s="19">
        <f>IFERROR(IF(X91="",0,CEILING((X91/$H91),1)*$H91),"")</f>
        <v>0</v>
      </c>
    </row>
    <row r="92" spans="1:25" x14ac:dyDescent="0.25">
      <c r="A92" s="2" t="s">
        <v>173</v>
      </c>
      <c r="B92" s="2" t="s">
        <v>174</v>
      </c>
      <c r="C92" s="3">
        <v>4301020344</v>
      </c>
      <c r="D92" s="25">
        <v>4680115880658</v>
      </c>
      <c r="E92" s="26"/>
      <c r="F92" s="4">
        <v>0.4</v>
      </c>
      <c r="G92" s="5">
        <v>6</v>
      </c>
      <c r="H92" s="4">
        <v>2.4</v>
      </c>
      <c r="I92" s="4">
        <v>2.58</v>
      </c>
      <c r="J92" s="5">
        <v>182</v>
      </c>
      <c r="K92" s="5" t="s">
        <v>33</v>
      </c>
      <c r="L92" s="5"/>
      <c r="M92" s="6" t="s">
        <v>62</v>
      </c>
      <c r="N92" s="6"/>
      <c r="O92" s="5">
        <v>55</v>
      </c>
      <c r="P92" s="22" t="s">
        <v>175</v>
      </c>
      <c r="Q92" s="23"/>
      <c r="R92" s="23"/>
      <c r="S92" s="23"/>
      <c r="T92" s="24"/>
      <c r="U92" s="7"/>
      <c r="V92" s="7"/>
      <c r="W92" s="8" t="s">
        <v>27</v>
      </c>
      <c r="X92" s="58"/>
      <c r="Y92" s="19">
        <f>IFERROR(IF(X92="",0,CEILING((X92/$H92),1)*$H92),"")</f>
        <v>0</v>
      </c>
    </row>
    <row r="93" spans="1:25" x14ac:dyDescent="0.25">
      <c r="A93" s="27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9"/>
      <c r="P93" s="30" t="s">
        <v>28</v>
      </c>
      <c r="Q93" s="31"/>
      <c r="R93" s="31"/>
      <c r="S93" s="31"/>
      <c r="T93" s="31"/>
      <c r="U93" s="31"/>
      <c r="V93" s="32"/>
      <c r="W93" s="9" t="s">
        <v>29</v>
      </c>
      <c r="X93" s="20"/>
      <c r="Y93" s="20">
        <f>IFERROR(Y90/H90,"0")+IFERROR(Y91/H91,"0")+IFERROR(Y92/H92,"0")</f>
        <v>0</v>
      </c>
    </row>
    <row r="94" spans="1:25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9"/>
      <c r="P94" s="30" t="s">
        <v>28</v>
      </c>
      <c r="Q94" s="31"/>
      <c r="R94" s="31"/>
      <c r="S94" s="31"/>
      <c r="T94" s="31"/>
      <c r="U94" s="31"/>
      <c r="V94" s="32"/>
      <c r="W94" s="9" t="s">
        <v>27</v>
      </c>
      <c r="X94" s="20"/>
      <c r="Y94" s="20">
        <f>IFERROR(SUM(Y90:Y92),"0")</f>
        <v>0</v>
      </c>
    </row>
    <row r="95" spans="1:25" x14ac:dyDescent="0.25">
      <c r="A95" t="s">
        <v>30</v>
      </c>
    </row>
    <row r="96" spans="1:25" x14ac:dyDescent="0.25">
      <c r="A96" s="2" t="s">
        <v>176</v>
      </c>
      <c r="B96" s="2" t="s">
        <v>177</v>
      </c>
      <c r="C96" s="3">
        <v>4301051724</v>
      </c>
      <c r="D96" s="25">
        <v>4607091385168</v>
      </c>
      <c r="E96" s="26"/>
      <c r="F96" s="4">
        <v>1.35</v>
      </c>
      <c r="G96" s="5">
        <v>6</v>
      </c>
      <c r="H96" s="4">
        <v>8.1</v>
      </c>
      <c r="I96" s="4">
        <v>8.5879999999999992</v>
      </c>
      <c r="J96" s="5">
        <v>64</v>
      </c>
      <c r="K96" s="5" t="s">
        <v>60</v>
      </c>
      <c r="L96" s="5" t="s">
        <v>61</v>
      </c>
      <c r="M96" s="6" t="s">
        <v>41</v>
      </c>
      <c r="N96" s="6"/>
      <c r="O96" s="5">
        <v>45</v>
      </c>
      <c r="P96" s="22" t="s">
        <v>178</v>
      </c>
      <c r="Q96" s="23"/>
      <c r="R96" s="23"/>
      <c r="S96" s="23"/>
      <c r="T96" s="24"/>
      <c r="U96" s="7"/>
      <c r="V96" s="7"/>
      <c r="W96" s="8" t="s">
        <v>27</v>
      </c>
      <c r="X96" s="58"/>
      <c r="Y96" s="19">
        <f>IFERROR(IF(X96="",0,CEILING((X96/$H96),1)*$H96),"")</f>
        <v>0</v>
      </c>
    </row>
    <row r="97" spans="1:25" x14ac:dyDescent="0.25">
      <c r="A97" s="2" t="s">
        <v>179</v>
      </c>
      <c r="B97" s="2" t="s">
        <v>180</v>
      </c>
      <c r="C97" s="3">
        <v>4301051730</v>
      </c>
      <c r="D97" s="25">
        <v>4607091383256</v>
      </c>
      <c r="E97" s="26"/>
      <c r="F97" s="4">
        <v>0.33</v>
      </c>
      <c r="G97" s="5">
        <v>6</v>
      </c>
      <c r="H97" s="4">
        <v>1.98</v>
      </c>
      <c r="I97" s="4">
        <v>2.226</v>
      </c>
      <c r="J97" s="5">
        <v>182</v>
      </c>
      <c r="K97" s="5" t="s">
        <v>33</v>
      </c>
      <c r="L97" s="5" t="s">
        <v>45</v>
      </c>
      <c r="M97" s="6" t="s">
        <v>41</v>
      </c>
      <c r="N97" s="6"/>
      <c r="O97" s="5">
        <v>45</v>
      </c>
      <c r="P97" s="22" t="s">
        <v>181</v>
      </c>
      <c r="Q97" s="23"/>
      <c r="R97" s="23"/>
      <c r="S97" s="23"/>
      <c r="T97" s="24"/>
      <c r="U97" s="7"/>
      <c r="V97" s="7"/>
      <c r="W97" s="8" t="s">
        <v>27</v>
      </c>
      <c r="X97" s="58"/>
      <c r="Y97" s="19">
        <f>IFERROR(IF(X97="",0,CEILING((X97/$H97),1)*$H97),"")</f>
        <v>0</v>
      </c>
    </row>
    <row r="98" spans="1:25" x14ac:dyDescent="0.25">
      <c r="A98" s="2" t="s">
        <v>182</v>
      </c>
      <c r="B98" s="2" t="s">
        <v>183</v>
      </c>
      <c r="C98" s="3">
        <v>4301051721</v>
      </c>
      <c r="D98" s="25">
        <v>4607091385748</v>
      </c>
      <c r="E98" s="26"/>
      <c r="F98" s="4">
        <v>0.45</v>
      </c>
      <c r="G98" s="5">
        <v>6</v>
      </c>
      <c r="H98" s="4">
        <v>2.7</v>
      </c>
      <c r="I98" s="4">
        <v>2.952</v>
      </c>
      <c r="J98" s="5">
        <v>182</v>
      </c>
      <c r="K98" s="5" t="s">
        <v>33</v>
      </c>
      <c r="L98" s="5" t="s">
        <v>45</v>
      </c>
      <c r="M98" s="6" t="s">
        <v>41</v>
      </c>
      <c r="N98" s="6"/>
      <c r="O98" s="5">
        <v>45</v>
      </c>
      <c r="P98" s="22" t="s">
        <v>184</v>
      </c>
      <c r="Q98" s="23"/>
      <c r="R98" s="23"/>
      <c r="S98" s="23"/>
      <c r="T98" s="24"/>
      <c r="U98" s="7"/>
      <c r="V98" s="7"/>
      <c r="W98" s="8" t="s">
        <v>27</v>
      </c>
      <c r="X98" s="58"/>
      <c r="Y98" s="19">
        <f>IFERROR(IF(X98="",0,CEILING((X98/$H98),1)*$H98),"")</f>
        <v>0</v>
      </c>
    </row>
    <row r="99" spans="1:25" x14ac:dyDescent="0.25">
      <c r="A99" s="2" t="s">
        <v>185</v>
      </c>
      <c r="B99" s="2" t="s">
        <v>186</v>
      </c>
      <c r="C99" s="3">
        <v>4301051740</v>
      </c>
      <c r="D99" s="25">
        <v>4680115884533</v>
      </c>
      <c r="E99" s="26"/>
      <c r="F99" s="4">
        <v>0.3</v>
      </c>
      <c r="G99" s="5">
        <v>6</v>
      </c>
      <c r="H99" s="4">
        <v>1.8</v>
      </c>
      <c r="I99" s="4">
        <v>1.98</v>
      </c>
      <c r="J99" s="5">
        <v>182</v>
      </c>
      <c r="K99" s="5" t="s">
        <v>33</v>
      </c>
      <c r="L99" s="5" t="s">
        <v>45</v>
      </c>
      <c r="M99" s="6" t="s">
        <v>34</v>
      </c>
      <c r="N99" s="6"/>
      <c r="O99" s="5">
        <v>45</v>
      </c>
      <c r="P99" s="22" t="s">
        <v>187</v>
      </c>
      <c r="Q99" s="23"/>
      <c r="R99" s="23"/>
      <c r="S99" s="23"/>
      <c r="T99" s="24"/>
      <c r="U99" s="7"/>
      <c r="V99" s="7"/>
      <c r="W99" s="8" t="s">
        <v>27</v>
      </c>
      <c r="X99" s="58"/>
      <c r="Y99" s="19">
        <f>IFERROR(IF(X99="",0,CEILING((X99/$H99),1)*$H99),"")</f>
        <v>0</v>
      </c>
    </row>
    <row r="100" spans="1:25" x14ac:dyDescent="0.25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9"/>
      <c r="P100" s="30" t="s">
        <v>28</v>
      </c>
      <c r="Q100" s="31"/>
      <c r="R100" s="31"/>
      <c r="S100" s="31"/>
      <c r="T100" s="31"/>
      <c r="U100" s="31"/>
      <c r="V100" s="32"/>
      <c r="W100" s="9" t="s">
        <v>29</v>
      </c>
      <c r="X100" s="20"/>
      <c r="Y100" s="20">
        <f>IFERROR(Y96/H96,"0")+IFERROR(Y97/H97,"0")+IFERROR(Y98/H98,"0")+IFERROR(Y99/H99,"0")</f>
        <v>0</v>
      </c>
    </row>
    <row r="101" spans="1:25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9"/>
      <c r="P101" s="30" t="s">
        <v>28</v>
      </c>
      <c r="Q101" s="31"/>
      <c r="R101" s="31"/>
      <c r="S101" s="31"/>
      <c r="T101" s="31"/>
      <c r="U101" s="31"/>
      <c r="V101" s="32"/>
      <c r="W101" s="9" t="s">
        <v>27</v>
      </c>
      <c r="X101" s="20"/>
      <c r="Y101" s="20">
        <f>IFERROR(SUM(Y96:Y99),"0")</f>
        <v>0</v>
      </c>
    </row>
    <row r="102" spans="1:25" x14ac:dyDescent="0.25">
      <c r="A102" t="s">
        <v>125</v>
      </c>
    </row>
    <row r="103" spans="1:25" x14ac:dyDescent="0.25">
      <c r="A103" s="2" t="s">
        <v>188</v>
      </c>
      <c r="B103" s="2" t="s">
        <v>189</v>
      </c>
      <c r="C103" s="3">
        <v>4301060317</v>
      </c>
      <c r="D103" s="25">
        <v>4680115880238</v>
      </c>
      <c r="E103" s="26"/>
      <c r="F103" s="4">
        <v>0.33</v>
      </c>
      <c r="G103" s="5">
        <v>6</v>
      </c>
      <c r="H103" s="4">
        <v>1.98</v>
      </c>
      <c r="I103" s="4">
        <v>2.238</v>
      </c>
      <c r="J103" s="5">
        <v>182</v>
      </c>
      <c r="K103" s="5" t="s">
        <v>33</v>
      </c>
      <c r="L103" s="5" t="s">
        <v>45</v>
      </c>
      <c r="M103" s="6" t="s">
        <v>34</v>
      </c>
      <c r="N103" s="6"/>
      <c r="O103" s="5">
        <v>40</v>
      </c>
      <c r="P103" s="22" t="s">
        <v>190</v>
      </c>
      <c r="Q103" s="23"/>
      <c r="R103" s="23"/>
      <c r="S103" s="23"/>
      <c r="T103" s="24"/>
      <c r="U103" s="7"/>
      <c r="V103" s="7"/>
      <c r="W103" s="8" t="s">
        <v>27</v>
      </c>
      <c r="X103" s="58"/>
      <c r="Y103" s="19">
        <f>IFERROR(IF(X103="",0,CEILING((X103/$H103),1)*$H103),"")</f>
        <v>0</v>
      </c>
    </row>
    <row r="104" spans="1:25" x14ac:dyDescent="0.25">
      <c r="A104" s="27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9"/>
      <c r="P104" s="30" t="s">
        <v>28</v>
      </c>
      <c r="Q104" s="31"/>
      <c r="R104" s="31"/>
      <c r="S104" s="31"/>
      <c r="T104" s="31"/>
      <c r="U104" s="31"/>
      <c r="V104" s="32"/>
      <c r="W104" s="9" t="s">
        <v>29</v>
      </c>
      <c r="X104" s="20"/>
      <c r="Y104" s="20">
        <f>IFERROR(Y103/H103,"0")</f>
        <v>0</v>
      </c>
    </row>
    <row r="105" spans="1:25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9"/>
      <c r="P105" s="30" t="s">
        <v>28</v>
      </c>
      <c r="Q105" s="31"/>
      <c r="R105" s="31"/>
      <c r="S105" s="31"/>
      <c r="T105" s="31"/>
      <c r="U105" s="31"/>
      <c r="V105" s="32"/>
      <c r="W105" s="9" t="s">
        <v>27</v>
      </c>
      <c r="X105" s="20"/>
      <c r="Y105" s="20">
        <f>IFERROR(SUM(Y103:Y103),"0")</f>
        <v>0</v>
      </c>
    </row>
    <row r="106" spans="1:25" x14ac:dyDescent="0.25">
      <c r="A106" t="s">
        <v>191</v>
      </c>
    </row>
    <row r="107" spans="1:25" x14ac:dyDescent="0.25">
      <c r="A107" t="s">
        <v>57</v>
      </c>
    </row>
    <row r="108" spans="1:25" x14ac:dyDescent="0.25">
      <c r="A108" s="2" t="s">
        <v>192</v>
      </c>
      <c r="B108" s="2" t="s">
        <v>193</v>
      </c>
      <c r="C108" s="3">
        <v>4301011562</v>
      </c>
      <c r="D108" s="25">
        <v>4680115882577</v>
      </c>
      <c r="E108" s="26"/>
      <c r="F108" s="4">
        <v>0.4</v>
      </c>
      <c r="G108" s="5">
        <v>8</v>
      </c>
      <c r="H108" s="4">
        <v>3.2</v>
      </c>
      <c r="I108" s="4">
        <v>3.38</v>
      </c>
      <c r="J108" s="5">
        <v>182</v>
      </c>
      <c r="K108" s="5" t="s">
        <v>33</v>
      </c>
      <c r="L108" s="5" t="s">
        <v>45</v>
      </c>
      <c r="M108" s="6" t="s">
        <v>53</v>
      </c>
      <c r="N108" s="6"/>
      <c r="O108" s="5">
        <v>90</v>
      </c>
      <c r="P108" s="22" t="s">
        <v>194</v>
      </c>
      <c r="Q108" s="23"/>
      <c r="R108" s="23"/>
      <c r="S108" s="23"/>
      <c r="T108" s="24"/>
      <c r="U108" s="7"/>
      <c r="V108" s="7"/>
      <c r="W108" s="8" t="s">
        <v>27</v>
      </c>
      <c r="X108" s="58"/>
      <c r="Y108" s="19">
        <f>IFERROR(IF(X108="",0,CEILING((X108/$H108),1)*$H108),"")</f>
        <v>0</v>
      </c>
    </row>
    <row r="109" spans="1:25" x14ac:dyDescent="0.25">
      <c r="A109" s="2" t="s">
        <v>192</v>
      </c>
      <c r="B109" s="2" t="s">
        <v>195</v>
      </c>
      <c r="C109" s="3">
        <v>4301011564</v>
      </c>
      <c r="D109" s="25">
        <v>4680115882577</v>
      </c>
      <c r="E109" s="26"/>
      <c r="F109" s="4">
        <v>0.4</v>
      </c>
      <c r="G109" s="5">
        <v>8</v>
      </c>
      <c r="H109" s="4">
        <v>3.2</v>
      </c>
      <c r="I109" s="4">
        <v>3.38</v>
      </c>
      <c r="J109" s="5">
        <v>182</v>
      </c>
      <c r="K109" s="5" t="s">
        <v>33</v>
      </c>
      <c r="L109" s="5" t="s">
        <v>45</v>
      </c>
      <c r="M109" s="6" t="s">
        <v>53</v>
      </c>
      <c r="N109" s="6"/>
      <c r="O109" s="5">
        <v>90</v>
      </c>
      <c r="P109" s="22" t="s">
        <v>196</v>
      </c>
      <c r="Q109" s="23"/>
      <c r="R109" s="23"/>
      <c r="S109" s="23"/>
      <c r="T109" s="24"/>
      <c r="U109" s="7"/>
      <c r="V109" s="7"/>
      <c r="W109" s="8" t="s">
        <v>27</v>
      </c>
      <c r="X109" s="58"/>
      <c r="Y109" s="19">
        <f>IFERROR(IF(X109="",0,CEILING((X109/$H109),1)*$H109),"")</f>
        <v>0</v>
      </c>
    </row>
    <row r="110" spans="1:25" x14ac:dyDescent="0.25">
      <c r="A110" s="27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9"/>
      <c r="P110" s="30" t="s">
        <v>28</v>
      </c>
      <c r="Q110" s="31"/>
      <c r="R110" s="31"/>
      <c r="S110" s="31"/>
      <c r="T110" s="31"/>
      <c r="U110" s="31"/>
      <c r="V110" s="32"/>
      <c r="W110" s="9" t="s">
        <v>29</v>
      </c>
      <c r="X110" s="20"/>
      <c r="Y110" s="20">
        <f>IFERROR(Y108/H108,"0")+IFERROR(Y109/H109,"0")</f>
        <v>0</v>
      </c>
    </row>
    <row r="111" spans="1:25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9"/>
      <c r="P111" s="30" t="s">
        <v>28</v>
      </c>
      <c r="Q111" s="31"/>
      <c r="R111" s="31"/>
      <c r="S111" s="31"/>
      <c r="T111" s="31"/>
      <c r="U111" s="31"/>
      <c r="V111" s="32"/>
      <c r="W111" s="9" t="s">
        <v>27</v>
      </c>
      <c r="X111" s="20"/>
      <c r="Y111" s="20">
        <f>IFERROR(SUM(Y108:Y109),"0")</f>
        <v>0</v>
      </c>
    </row>
    <row r="112" spans="1:25" x14ac:dyDescent="0.25">
      <c r="A112" t="s">
        <v>21</v>
      </c>
    </row>
    <row r="113" spans="1:25" x14ac:dyDescent="0.25">
      <c r="A113" s="2" t="s">
        <v>197</v>
      </c>
      <c r="B113" s="2" t="s">
        <v>198</v>
      </c>
      <c r="C113" s="3">
        <v>4301031235</v>
      </c>
      <c r="D113" s="25">
        <v>4680115883444</v>
      </c>
      <c r="E113" s="26"/>
      <c r="F113" s="4">
        <v>0.35</v>
      </c>
      <c r="G113" s="5">
        <v>8</v>
      </c>
      <c r="H113" s="4">
        <v>2.8</v>
      </c>
      <c r="I113" s="4">
        <v>3.0680000000000001</v>
      </c>
      <c r="J113" s="5">
        <v>182</v>
      </c>
      <c r="K113" s="5" t="s">
        <v>33</v>
      </c>
      <c r="L113" s="5" t="s">
        <v>45</v>
      </c>
      <c r="M113" s="6" t="s">
        <v>53</v>
      </c>
      <c r="N113" s="6"/>
      <c r="O113" s="5">
        <v>90</v>
      </c>
      <c r="P113" s="22" t="s">
        <v>199</v>
      </c>
      <c r="Q113" s="23"/>
      <c r="R113" s="23"/>
      <c r="S113" s="23"/>
      <c r="T113" s="24"/>
      <c r="U113" s="7"/>
      <c r="V113" s="7"/>
      <c r="W113" s="8" t="s">
        <v>27</v>
      </c>
      <c r="X113" s="58"/>
      <c r="Y113" s="19">
        <f>IFERROR(IF(X113="",0,CEILING((X113/$H113),1)*$H113),"")</f>
        <v>0</v>
      </c>
    </row>
    <row r="114" spans="1:25" x14ac:dyDescent="0.25">
      <c r="A114" s="2" t="s">
        <v>197</v>
      </c>
      <c r="B114" s="2" t="s">
        <v>200</v>
      </c>
      <c r="C114" s="3">
        <v>4301031234</v>
      </c>
      <c r="D114" s="25">
        <v>4680115883444</v>
      </c>
      <c r="E114" s="26"/>
      <c r="F114" s="4">
        <v>0.35</v>
      </c>
      <c r="G114" s="5">
        <v>8</v>
      </c>
      <c r="H114" s="4">
        <v>2.8</v>
      </c>
      <c r="I114" s="4">
        <v>3.0680000000000001</v>
      </c>
      <c r="J114" s="5">
        <v>182</v>
      </c>
      <c r="K114" s="5" t="s">
        <v>33</v>
      </c>
      <c r="L114" s="5" t="s">
        <v>45</v>
      </c>
      <c r="M114" s="6" t="s">
        <v>53</v>
      </c>
      <c r="N114" s="6"/>
      <c r="O114" s="5">
        <v>90</v>
      </c>
      <c r="P114" s="22" t="s">
        <v>199</v>
      </c>
      <c r="Q114" s="23"/>
      <c r="R114" s="23"/>
      <c r="S114" s="23"/>
      <c r="T114" s="24"/>
      <c r="U114" s="7"/>
      <c r="V114" s="7"/>
      <c r="W114" s="8" t="s">
        <v>27</v>
      </c>
      <c r="X114" s="58"/>
      <c r="Y114" s="19">
        <f>IFERROR(IF(X114="",0,CEILING((X114/$H114),1)*$H114),"")</f>
        <v>0</v>
      </c>
    </row>
    <row r="115" spans="1:25" x14ac:dyDescent="0.25">
      <c r="A115" s="27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9"/>
      <c r="P115" s="30" t="s">
        <v>28</v>
      </c>
      <c r="Q115" s="31"/>
      <c r="R115" s="31"/>
      <c r="S115" s="31"/>
      <c r="T115" s="31"/>
      <c r="U115" s="31"/>
      <c r="V115" s="32"/>
      <c r="W115" s="9" t="s">
        <v>29</v>
      </c>
      <c r="X115" s="20"/>
      <c r="Y115" s="20">
        <f>IFERROR(Y113/H113,"0")+IFERROR(Y114/H114,"0")</f>
        <v>0</v>
      </c>
    </row>
    <row r="116" spans="1:25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9"/>
      <c r="P116" s="30" t="s">
        <v>28</v>
      </c>
      <c r="Q116" s="31"/>
      <c r="R116" s="31"/>
      <c r="S116" s="31"/>
      <c r="T116" s="31"/>
      <c r="U116" s="31"/>
      <c r="V116" s="32"/>
      <c r="W116" s="9" t="s">
        <v>27</v>
      </c>
      <c r="X116" s="20"/>
      <c r="Y116" s="20">
        <f>IFERROR(SUM(Y113:Y114),"0")</f>
        <v>0</v>
      </c>
    </row>
    <row r="117" spans="1:25" x14ac:dyDescent="0.25">
      <c r="A117" t="s">
        <v>30</v>
      </c>
    </row>
    <row r="118" spans="1:25" x14ac:dyDescent="0.25">
      <c r="A118" s="2" t="s">
        <v>201</v>
      </c>
      <c r="B118" s="2" t="s">
        <v>202</v>
      </c>
      <c r="C118" s="3">
        <v>4301051477</v>
      </c>
      <c r="D118" s="25">
        <v>4680115882584</v>
      </c>
      <c r="E118" s="26"/>
      <c r="F118" s="4">
        <v>0.33</v>
      </c>
      <c r="G118" s="5">
        <v>8</v>
      </c>
      <c r="H118" s="4">
        <v>2.64</v>
      </c>
      <c r="I118" s="4">
        <v>2.9079999999999999</v>
      </c>
      <c r="J118" s="5">
        <v>182</v>
      </c>
      <c r="K118" s="5" t="s">
        <v>33</v>
      </c>
      <c r="L118" s="5"/>
      <c r="M118" s="6" t="s">
        <v>53</v>
      </c>
      <c r="N118" s="6"/>
      <c r="O118" s="5">
        <v>60</v>
      </c>
      <c r="P118" s="22" t="s">
        <v>203</v>
      </c>
      <c r="Q118" s="23"/>
      <c r="R118" s="23"/>
      <c r="S118" s="23"/>
      <c r="T118" s="24"/>
      <c r="U118" s="7"/>
      <c r="V118" s="7"/>
      <c r="W118" s="8" t="s">
        <v>27</v>
      </c>
      <c r="X118" s="58"/>
      <c r="Y118" s="19">
        <f>IFERROR(IF(X118="",0,CEILING((X118/$H118),1)*$H118),"")</f>
        <v>0</v>
      </c>
    </row>
    <row r="119" spans="1:25" x14ac:dyDescent="0.25">
      <c r="A119" s="2" t="s">
        <v>201</v>
      </c>
      <c r="B119" s="2" t="s">
        <v>204</v>
      </c>
      <c r="C119" s="3">
        <v>4301051476</v>
      </c>
      <c r="D119" s="25">
        <v>4680115882584</v>
      </c>
      <c r="E119" s="26"/>
      <c r="F119" s="4">
        <v>0.33</v>
      </c>
      <c r="G119" s="5">
        <v>8</v>
      </c>
      <c r="H119" s="4">
        <v>2.64</v>
      </c>
      <c r="I119" s="4">
        <v>2.9079999999999999</v>
      </c>
      <c r="J119" s="5">
        <v>182</v>
      </c>
      <c r="K119" s="5" t="s">
        <v>33</v>
      </c>
      <c r="L119" s="5" t="s">
        <v>45</v>
      </c>
      <c r="M119" s="6" t="s">
        <v>53</v>
      </c>
      <c r="N119" s="6"/>
      <c r="O119" s="5">
        <v>60</v>
      </c>
      <c r="P119" s="22" t="s">
        <v>205</v>
      </c>
      <c r="Q119" s="23"/>
      <c r="R119" s="23"/>
      <c r="S119" s="23"/>
      <c r="T119" s="24"/>
      <c r="U119" s="7"/>
      <c r="V119" s="7"/>
      <c r="W119" s="8" t="s">
        <v>27</v>
      </c>
      <c r="X119" s="58"/>
      <c r="Y119" s="19">
        <f>IFERROR(IF(X119="",0,CEILING((X119/$H119),1)*$H119),"")</f>
        <v>0</v>
      </c>
    </row>
    <row r="120" spans="1:25" x14ac:dyDescent="0.25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9"/>
      <c r="P120" s="30" t="s">
        <v>28</v>
      </c>
      <c r="Q120" s="31"/>
      <c r="R120" s="31"/>
      <c r="S120" s="31"/>
      <c r="T120" s="31"/>
      <c r="U120" s="31"/>
      <c r="V120" s="32"/>
      <c r="W120" s="9" t="s">
        <v>29</v>
      </c>
      <c r="X120" s="20"/>
      <c r="Y120" s="20">
        <f>IFERROR(Y118/H118,"0")+IFERROR(Y119/H119,"0")</f>
        <v>0</v>
      </c>
    </row>
    <row r="121" spans="1:25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9"/>
      <c r="P121" s="30" t="s">
        <v>28</v>
      </c>
      <c r="Q121" s="31"/>
      <c r="R121" s="31"/>
      <c r="S121" s="31"/>
      <c r="T121" s="31"/>
      <c r="U121" s="31"/>
      <c r="V121" s="32"/>
      <c r="W121" s="9" t="s">
        <v>27</v>
      </c>
      <c r="X121" s="20"/>
      <c r="Y121" s="20">
        <f>IFERROR(SUM(Y118:Y119),"0")</f>
        <v>0</v>
      </c>
    </row>
    <row r="122" spans="1:25" x14ac:dyDescent="0.25">
      <c r="A122" t="s">
        <v>55</v>
      </c>
    </row>
    <row r="123" spans="1:25" x14ac:dyDescent="0.25">
      <c r="A123" t="s">
        <v>57</v>
      </c>
    </row>
    <row r="124" spans="1:25" x14ac:dyDescent="0.25">
      <c r="A124" s="2" t="s">
        <v>206</v>
      </c>
      <c r="B124" s="2" t="s">
        <v>207</v>
      </c>
      <c r="C124" s="3">
        <v>4301012244</v>
      </c>
      <c r="D124" s="25">
        <v>4680115887374</v>
      </c>
      <c r="E124" s="26"/>
      <c r="F124" s="4">
        <v>1.6</v>
      </c>
      <c r="G124" s="5">
        <v>8</v>
      </c>
      <c r="H124" s="4">
        <v>12.8</v>
      </c>
      <c r="I124" s="4">
        <v>13.21</v>
      </c>
      <c r="J124" s="5">
        <v>64</v>
      </c>
      <c r="K124" s="5" t="s">
        <v>60</v>
      </c>
      <c r="L124" s="5"/>
      <c r="M124" s="6" t="s">
        <v>62</v>
      </c>
      <c r="N124" s="6"/>
      <c r="O124" s="5">
        <v>55</v>
      </c>
      <c r="P124" s="22" t="s">
        <v>208</v>
      </c>
      <c r="Q124" s="23"/>
      <c r="R124" s="23"/>
      <c r="S124" s="23"/>
      <c r="T124" s="24"/>
      <c r="U124" s="7"/>
      <c r="V124" s="7"/>
      <c r="W124" s="8" t="s">
        <v>27</v>
      </c>
      <c r="X124" s="58"/>
      <c r="Y124" s="19">
        <f>IFERROR(IF(X124="",0,CEILING((X124/$H124),1)*$H124),"")</f>
        <v>0</v>
      </c>
    </row>
    <row r="125" spans="1:25" x14ac:dyDescent="0.25">
      <c r="A125" s="2" t="s">
        <v>209</v>
      </c>
      <c r="B125" s="2" t="s">
        <v>210</v>
      </c>
      <c r="C125" s="3">
        <v>4301011705</v>
      </c>
      <c r="D125" s="25">
        <v>4607091384604</v>
      </c>
      <c r="E125" s="26"/>
      <c r="F125" s="4">
        <v>0.4</v>
      </c>
      <c r="G125" s="5">
        <v>10</v>
      </c>
      <c r="H125" s="4">
        <v>4</v>
      </c>
      <c r="I125" s="4">
        <v>4.1900000000000004</v>
      </c>
      <c r="J125" s="5">
        <v>132</v>
      </c>
      <c r="K125" s="5" t="s">
        <v>66</v>
      </c>
      <c r="L125" s="5" t="s">
        <v>67</v>
      </c>
      <c r="M125" s="6" t="s">
        <v>62</v>
      </c>
      <c r="N125" s="6"/>
      <c r="O125" s="5">
        <v>50</v>
      </c>
      <c r="P125" s="22" t="s">
        <v>211</v>
      </c>
      <c r="Q125" s="23"/>
      <c r="R125" s="23"/>
      <c r="S125" s="23"/>
      <c r="T125" s="24"/>
      <c r="U125" s="7"/>
      <c r="V125" s="7"/>
      <c r="W125" s="8" t="s">
        <v>27</v>
      </c>
      <c r="X125" s="58"/>
      <c r="Y125" s="19">
        <f>IFERROR(IF(X125="",0,CEILING((X125/$H125),1)*$H125),"")</f>
        <v>0</v>
      </c>
    </row>
    <row r="126" spans="1:25" x14ac:dyDescent="0.25">
      <c r="A126" s="2" t="s">
        <v>212</v>
      </c>
      <c r="B126" s="2" t="s">
        <v>213</v>
      </c>
      <c r="C126" s="3">
        <v>4301012179</v>
      </c>
      <c r="D126" s="25">
        <v>4680115886810</v>
      </c>
      <c r="E126" s="26"/>
      <c r="F126" s="4">
        <v>0.3</v>
      </c>
      <c r="G126" s="5">
        <v>10</v>
      </c>
      <c r="H126" s="4">
        <v>3</v>
      </c>
      <c r="I126" s="4">
        <v>3.18</v>
      </c>
      <c r="J126" s="5">
        <v>182</v>
      </c>
      <c r="K126" s="5" t="s">
        <v>33</v>
      </c>
      <c r="L126" s="5"/>
      <c r="M126" s="6" t="s">
        <v>62</v>
      </c>
      <c r="N126" s="6"/>
      <c r="O126" s="5">
        <v>55</v>
      </c>
      <c r="P126" s="22" t="s">
        <v>214</v>
      </c>
      <c r="Q126" s="23"/>
      <c r="R126" s="23"/>
      <c r="S126" s="23"/>
      <c r="T126" s="24"/>
      <c r="U126" s="7"/>
      <c r="V126" s="7"/>
      <c r="W126" s="8" t="s">
        <v>27</v>
      </c>
      <c r="X126" s="58"/>
      <c r="Y126" s="19">
        <f>IFERROR(IF(X126="",0,CEILING((X126/$H126),1)*$H126),"")</f>
        <v>0</v>
      </c>
    </row>
    <row r="127" spans="1:25" x14ac:dyDescent="0.25">
      <c r="A127" s="27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9"/>
      <c r="P127" s="30" t="s">
        <v>28</v>
      </c>
      <c r="Q127" s="31"/>
      <c r="R127" s="31"/>
      <c r="S127" s="31"/>
      <c r="T127" s="31"/>
      <c r="U127" s="31"/>
      <c r="V127" s="32"/>
      <c r="W127" s="9" t="s">
        <v>29</v>
      </c>
      <c r="X127" s="20"/>
      <c r="Y127" s="20">
        <f>IFERROR(Y124/H124,"0")+IFERROR(Y125/H125,"0")+IFERROR(Y126/H126,"0")</f>
        <v>0</v>
      </c>
    </row>
    <row r="128" spans="1:25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9"/>
      <c r="P128" s="30" t="s">
        <v>28</v>
      </c>
      <c r="Q128" s="31"/>
      <c r="R128" s="31"/>
      <c r="S128" s="31"/>
      <c r="T128" s="31"/>
      <c r="U128" s="31"/>
      <c r="V128" s="32"/>
      <c r="W128" s="9" t="s">
        <v>27</v>
      </c>
      <c r="X128" s="20"/>
      <c r="Y128" s="20">
        <f>IFERROR(SUM(Y124:Y126),"0")</f>
        <v>0</v>
      </c>
    </row>
    <row r="129" spans="1:25" x14ac:dyDescent="0.25">
      <c r="A129" t="s">
        <v>21</v>
      </c>
    </row>
    <row r="130" spans="1:25" x14ac:dyDescent="0.25">
      <c r="A130" s="2" t="s">
        <v>215</v>
      </c>
      <c r="B130" s="2" t="s">
        <v>216</v>
      </c>
      <c r="C130" s="3">
        <v>4301030895</v>
      </c>
      <c r="D130" s="25">
        <v>4607091387667</v>
      </c>
      <c r="E130" s="26"/>
      <c r="F130" s="4">
        <v>0.9</v>
      </c>
      <c r="G130" s="5">
        <v>10</v>
      </c>
      <c r="H130" s="4">
        <v>9</v>
      </c>
      <c r="I130" s="4">
        <v>9.56</v>
      </c>
      <c r="J130" s="5">
        <v>64</v>
      </c>
      <c r="K130" s="5" t="s">
        <v>60</v>
      </c>
      <c r="L130" s="5" t="s">
        <v>61</v>
      </c>
      <c r="M130" s="6" t="s">
        <v>62</v>
      </c>
      <c r="N130" s="6"/>
      <c r="O130" s="5">
        <v>40</v>
      </c>
      <c r="P130" s="22" t="s">
        <v>217</v>
      </c>
      <c r="Q130" s="23"/>
      <c r="R130" s="23"/>
      <c r="S130" s="23"/>
      <c r="T130" s="24"/>
      <c r="U130" s="7"/>
      <c r="V130" s="7"/>
      <c r="W130" s="8" t="s">
        <v>27</v>
      </c>
      <c r="X130" s="58"/>
      <c r="Y130" s="19">
        <f>IFERROR(IF(X130="",0,CEILING((X130/$H130),1)*$H130),"")</f>
        <v>0</v>
      </c>
    </row>
    <row r="131" spans="1:25" x14ac:dyDescent="0.25">
      <c r="A131" s="2" t="s">
        <v>218</v>
      </c>
      <c r="B131" s="2" t="s">
        <v>219</v>
      </c>
      <c r="C131" s="3">
        <v>4301030961</v>
      </c>
      <c r="D131" s="25">
        <v>4607091387636</v>
      </c>
      <c r="E131" s="26"/>
      <c r="F131" s="4">
        <v>0.7</v>
      </c>
      <c r="G131" s="5">
        <v>6</v>
      </c>
      <c r="H131" s="4">
        <v>4.2</v>
      </c>
      <c r="I131" s="4">
        <v>4.47</v>
      </c>
      <c r="J131" s="5">
        <v>182</v>
      </c>
      <c r="K131" s="5" t="s">
        <v>33</v>
      </c>
      <c r="L131" s="5"/>
      <c r="M131" s="6" t="s">
        <v>25</v>
      </c>
      <c r="N131" s="6"/>
      <c r="O131" s="5">
        <v>40</v>
      </c>
      <c r="P131" s="22" t="s">
        <v>220</v>
      </c>
      <c r="Q131" s="23"/>
      <c r="R131" s="23"/>
      <c r="S131" s="23"/>
      <c r="T131" s="24"/>
      <c r="U131" s="7"/>
      <c r="V131" s="7"/>
      <c r="W131" s="8" t="s">
        <v>27</v>
      </c>
      <c r="X131" s="58"/>
      <c r="Y131" s="19">
        <f>IFERROR(IF(X131="",0,CEILING((X131/$H131),1)*$H131),"")</f>
        <v>0</v>
      </c>
    </row>
    <row r="132" spans="1:25" x14ac:dyDescent="0.25">
      <c r="A132" s="2" t="s">
        <v>221</v>
      </c>
      <c r="B132" s="2" t="s">
        <v>222</v>
      </c>
      <c r="C132" s="3">
        <v>4301030963</v>
      </c>
      <c r="D132" s="25">
        <v>4607091382426</v>
      </c>
      <c r="E132" s="26"/>
      <c r="F132" s="4">
        <v>0.9</v>
      </c>
      <c r="G132" s="5">
        <v>10</v>
      </c>
      <c r="H132" s="4">
        <v>9</v>
      </c>
      <c r="I132" s="4">
        <v>9.56</v>
      </c>
      <c r="J132" s="5">
        <v>64</v>
      </c>
      <c r="K132" s="5" t="s">
        <v>60</v>
      </c>
      <c r="L132" s="5" t="s">
        <v>61</v>
      </c>
      <c r="M132" s="6" t="s">
        <v>25</v>
      </c>
      <c r="N132" s="6"/>
      <c r="O132" s="5">
        <v>40</v>
      </c>
      <c r="P132" s="22" t="s">
        <v>223</v>
      </c>
      <c r="Q132" s="23"/>
      <c r="R132" s="23"/>
      <c r="S132" s="23"/>
      <c r="T132" s="24"/>
      <c r="U132" s="7"/>
      <c r="V132" s="7"/>
      <c r="W132" s="8" t="s">
        <v>27</v>
      </c>
      <c r="X132" s="58"/>
      <c r="Y132" s="19">
        <f>IFERROR(IF(X132="",0,CEILING((X132/$H132),1)*$H132),"")</f>
        <v>0</v>
      </c>
    </row>
    <row r="133" spans="1:25" x14ac:dyDescent="0.25">
      <c r="A133" s="27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9"/>
      <c r="P133" s="30" t="s">
        <v>28</v>
      </c>
      <c r="Q133" s="31"/>
      <c r="R133" s="31"/>
      <c r="S133" s="31"/>
      <c r="T133" s="31"/>
      <c r="U133" s="31"/>
      <c r="V133" s="32"/>
      <c r="W133" s="9" t="s">
        <v>29</v>
      </c>
      <c r="X133" s="20"/>
      <c r="Y133" s="20">
        <f>IFERROR(Y130/H130,"0")+IFERROR(Y131/H131,"0")+IFERROR(Y132/H132,"0")</f>
        <v>0</v>
      </c>
    </row>
    <row r="134" spans="1:25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9"/>
      <c r="P134" s="30" t="s">
        <v>28</v>
      </c>
      <c r="Q134" s="31"/>
      <c r="R134" s="31"/>
      <c r="S134" s="31"/>
      <c r="T134" s="31"/>
      <c r="U134" s="31"/>
      <c r="V134" s="32"/>
      <c r="W134" s="9" t="s">
        <v>27</v>
      </c>
      <c r="X134" s="20"/>
      <c r="Y134" s="20">
        <f>IFERROR(SUM(Y130:Y132),"0")</f>
        <v>0</v>
      </c>
    </row>
    <row r="135" spans="1:25" x14ac:dyDescent="0.25">
      <c r="A135" t="s">
        <v>30</v>
      </c>
    </row>
    <row r="136" spans="1:25" x14ac:dyDescent="0.25">
      <c r="A136" s="2" t="s">
        <v>224</v>
      </c>
      <c r="B136" s="2" t="s">
        <v>225</v>
      </c>
      <c r="C136" s="3">
        <v>4301052064</v>
      </c>
      <c r="D136" s="25">
        <v>4680115887459</v>
      </c>
      <c r="E136" s="26"/>
      <c r="F136" s="4">
        <v>0.3</v>
      </c>
      <c r="G136" s="5">
        <v>6</v>
      </c>
      <c r="H136" s="4">
        <v>1.8</v>
      </c>
      <c r="I136" s="4">
        <v>2.0579999999999998</v>
      </c>
      <c r="J136" s="5">
        <v>182</v>
      </c>
      <c r="K136" s="5" t="s">
        <v>33</v>
      </c>
      <c r="L136" s="5"/>
      <c r="M136" s="6" t="s">
        <v>34</v>
      </c>
      <c r="N136" s="6"/>
      <c r="O136" s="5">
        <v>45</v>
      </c>
      <c r="P136" s="33" t="s">
        <v>226</v>
      </c>
      <c r="Q136" s="23"/>
      <c r="R136" s="23"/>
      <c r="S136" s="23"/>
      <c r="T136" s="24"/>
      <c r="U136" s="7"/>
      <c r="V136" s="7"/>
      <c r="W136" s="8" t="s">
        <v>27</v>
      </c>
      <c r="X136" s="58"/>
      <c r="Y136" s="19">
        <f>IFERROR(IF(X136="",0,CEILING((X136/$H136),1)*$H136),"")</f>
        <v>0</v>
      </c>
    </row>
    <row r="137" spans="1:25" x14ac:dyDescent="0.25">
      <c r="A137" s="27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9"/>
      <c r="P137" s="30" t="s">
        <v>28</v>
      </c>
      <c r="Q137" s="31"/>
      <c r="R137" s="31"/>
      <c r="S137" s="31"/>
      <c r="T137" s="31"/>
      <c r="U137" s="31"/>
      <c r="V137" s="32"/>
      <c r="W137" s="9" t="s">
        <v>29</v>
      </c>
      <c r="X137" s="20"/>
      <c r="Y137" s="20">
        <f>IFERROR(Y136/H136,"0")</f>
        <v>0</v>
      </c>
    </row>
    <row r="138" spans="1:25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9"/>
      <c r="P138" s="30" t="s">
        <v>28</v>
      </c>
      <c r="Q138" s="31"/>
      <c r="R138" s="31"/>
      <c r="S138" s="31"/>
      <c r="T138" s="31"/>
      <c r="U138" s="31"/>
      <c r="V138" s="32"/>
      <c r="W138" s="9" t="s">
        <v>27</v>
      </c>
      <c r="X138" s="20"/>
      <c r="Y138" s="20">
        <f>IFERROR(SUM(Y136:Y136),"0")</f>
        <v>0</v>
      </c>
    </row>
    <row r="139" spans="1:25" x14ac:dyDescent="0.25">
      <c r="A139" t="s">
        <v>227</v>
      </c>
    </row>
    <row r="140" spans="1:25" x14ac:dyDescent="0.25">
      <c r="A140" t="s">
        <v>228</v>
      </c>
    </row>
    <row r="141" spans="1:25" x14ac:dyDescent="0.25">
      <c r="A141" t="s">
        <v>94</v>
      </c>
    </row>
    <row r="142" spans="1:25" x14ac:dyDescent="0.25">
      <c r="A142" s="2" t="s">
        <v>229</v>
      </c>
      <c r="B142" s="2" t="s">
        <v>230</v>
      </c>
      <c r="C142" s="3">
        <v>4301020323</v>
      </c>
      <c r="D142" s="25">
        <v>4680115886223</v>
      </c>
      <c r="E142" s="26"/>
      <c r="F142" s="4">
        <v>0.33</v>
      </c>
      <c r="G142" s="5">
        <v>6</v>
      </c>
      <c r="H142" s="4">
        <v>1.98</v>
      </c>
      <c r="I142" s="4">
        <v>2.08</v>
      </c>
      <c r="J142" s="5">
        <v>234</v>
      </c>
      <c r="K142" s="5" t="s">
        <v>24</v>
      </c>
      <c r="L142" s="5"/>
      <c r="M142" s="6" t="s">
        <v>25</v>
      </c>
      <c r="N142" s="6"/>
      <c r="O142" s="5">
        <v>40</v>
      </c>
      <c r="P142" s="22" t="s">
        <v>231</v>
      </c>
      <c r="Q142" s="23"/>
      <c r="R142" s="23"/>
      <c r="S142" s="23"/>
      <c r="T142" s="24"/>
      <c r="U142" s="7"/>
      <c r="V142" s="7"/>
      <c r="W142" s="8" t="s">
        <v>27</v>
      </c>
      <c r="X142" s="58"/>
      <c r="Y142" s="19">
        <f>IFERROR(IF(X142="",0,CEILING((X142/$H142),1)*$H142),"")</f>
        <v>0</v>
      </c>
    </row>
    <row r="143" spans="1:25" x14ac:dyDescent="0.25">
      <c r="A143" s="27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9"/>
      <c r="P143" s="30" t="s">
        <v>28</v>
      </c>
      <c r="Q143" s="31"/>
      <c r="R143" s="31"/>
      <c r="S143" s="31"/>
      <c r="T143" s="31"/>
      <c r="U143" s="31"/>
      <c r="V143" s="32"/>
      <c r="W143" s="9" t="s">
        <v>29</v>
      </c>
      <c r="X143" s="20"/>
      <c r="Y143" s="20">
        <f>IFERROR(Y142/H142,"0")</f>
        <v>0</v>
      </c>
    </row>
    <row r="144" spans="1:25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9"/>
      <c r="P144" s="30" t="s">
        <v>28</v>
      </c>
      <c r="Q144" s="31"/>
      <c r="R144" s="31"/>
      <c r="S144" s="31"/>
      <c r="T144" s="31"/>
      <c r="U144" s="31"/>
      <c r="V144" s="32"/>
      <c r="W144" s="9" t="s">
        <v>27</v>
      </c>
      <c r="X144" s="20"/>
      <c r="Y144" s="20">
        <f>IFERROR(SUM(Y142:Y142),"0")</f>
        <v>0</v>
      </c>
    </row>
    <row r="145" spans="1:25" x14ac:dyDescent="0.25">
      <c r="A145" t="s">
        <v>21</v>
      </c>
    </row>
    <row r="146" spans="1:25" x14ac:dyDescent="0.25">
      <c r="A146" s="2" t="s">
        <v>232</v>
      </c>
      <c r="B146" s="2" t="s">
        <v>233</v>
      </c>
      <c r="C146" s="3">
        <v>4301031443</v>
      </c>
      <c r="D146" s="25">
        <v>4680115887213</v>
      </c>
      <c r="E146" s="26"/>
      <c r="F146" s="4">
        <v>0.3</v>
      </c>
      <c r="G146" s="5">
        <v>6</v>
      </c>
      <c r="H146" s="4">
        <v>1.8</v>
      </c>
      <c r="I146" s="4">
        <v>1.9</v>
      </c>
      <c r="J146" s="5">
        <v>234</v>
      </c>
      <c r="K146" s="5" t="s">
        <v>24</v>
      </c>
      <c r="L146" s="5"/>
      <c r="M146" s="6" t="s">
        <v>25</v>
      </c>
      <c r="N146" s="6"/>
      <c r="O146" s="5">
        <v>45</v>
      </c>
      <c r="P146" s="33" t="s">
        <v>234</v>
      </c>
      <c r="Q146" s="23"/>
      <c r="R146" s="23"/>
      <c r="S146" s="23"/>
      <c r="T146" s="24"/>
      <c r="U146" s="7"/>
      <c r="V146" s="7"/>
      <c r="W146" s="8" t="s">
        <v>27</v>
      </c>
      <c r="X146" s="58"/>
      <c r="Y146" s="19">
        <f t="shared" ref="Y146:Y155" si="1">IFERROR(IF(X146="",0,CEILING((X146/$H146),1)*$H146),"")</f>
        <v>0</v>
      </c>
    </row>
    <row r="147" spans="1:25" x14ac:dyDescent="0.25">
      <c r="A147" s="2" t="s">
        <v>235</v>
      </c>
      <c r="B147" s="2" t="s">
        <v>236</v>
      </c>
      <c r="C147" s="3">
        <v>4301031191</v>
      </c>
      <c r="D147" s="25">
        <v>4680115880993</v>
      </c>
      <c r="E147" s="26"/>
      <c r="F147" s="4">
        <v>0.7</v>
      </c>
      <c r="G147" s="5">
        <v>6</v>
      </c>
      <c r="H147" s="4">
        <v>4.2</v>
      </c>
      <c r="I147" s="4">
        <v>4.45</v>
      </c>
      <c r="J147" s="5">
        <v>132</v>
      </c>
      <c r="K147" s="5" t="s">
        <v>66</v>
      </c>
      <c r="L147" s="5" t="s">
        <v>67</v>
      </c>
      <c r="M147" s="6" t="s">
        <v>25</v>
      </c>
      <c r="N147" s="6"/>
      <c r="O147" s="5">
        <v>40</v>
      </c>
      <c r="P147" s="22" t="s">
        <v>237</v>
      </c>
      <c r="Q147" s="23"/>
      <c r="R147" s="23"/>
      <c r="S147" s="23"/>
      <c r="T147" s="24"/>
      <c r="U147" s="7"/>
      <c r="V147" s="7"/>
      <c r="W147" s="8" t="s">
        <v>27</v>
      </c>
      <c r="X147" s="58"/>
      <c r="Y147" s="19">
        <f t="shared" si="1"/>
        <v>0</v>
      </c>
    </row>
    <row r="148" spans="1:25" x14ac:dyDescent="0.25">
      <c r="A148" s="2" t="s">
        <v>238</v>
      </c>
      <c r="B148" s="2" t="s">
        <v>239</v>
      </c>
      <c r="C148" s="3">
        <v>4301031204</v>
      </c>
      <c r="D148" s="25">
        <v>4680115881761</v>
      </c>
      <c r="E148" s="26"/>
      <c r="F148" s="4">
        <v>0.7</v>
      </c>
      <c r="G148" s="5">
        <v>6</v>
      </c>
      <c r="H148" s="4">
        <v>4.2</v>
      </c>
      <c r="I148" s="4">
        <v>4.45</v>
      </c>
      <c r="J148" s="5">
        <v>132</v>
      </c>
      <c r="K148" s="5" t="s">
        <v>66</v>
      </c>
      <c r="L148" s="5"/>
      <c r="M148" s="6" t="s">
        <v>25</v>
      </c>
      <c r="N148" s="6"/>
      <c r="O148" s="5">
        <v>40</v>
      </c>
      <c r="P148" s="22" t="s">
        <v>240</v>
      </c>
      <c r="Q148" s="23"/>
      <c r="R148" s="23"/>
      <c r="S148" s="23"/>
      <c r="T148" s="24"/>
      <c r="U148" s="7"/>
      <c r="V148" s="7"/>
      <c r="W148" s="8" t="s">
        <v>27</v>
      </c>
      <c r="X148" s="58"/>
      <c r="Y148" s="19">
        <f t="shared" si="1"/>
        <v>0</v>
      </c>
    </row>
    <row r="149" spans="1:25" x14ac:dyDescent="0.25">
      <c r="A149" s="2" t="s">
        <v>241</v>
      </c>
      <c r="B149" s="2" t="s">
        <v>242</v>
      </c>
      <c r="C149" s="3">
        <v>4301031201</v>
      </c>
      <c r="D149" s="25">
        <v>4680115881563</v>
      </c>
      <c r="E149" s="26"/>
      <c r="F149" s="4">
        <v>0.7</v>
      </c>
      <c r="G149" s="5">
        <v>6</v>
      </c>
      <c r="H149" s="4">
        <v>4.2</v>
      </c>
      <c r="I149" s="4">
        <v>4.3899999999999997</v>
      </c>
      <c r="J149" s="5">
        <v>132</v>
      </c>
      <c r="K149" s="5" t="s">
        <v>66</v>
      </c>
      <c r="L149" s="5" t="s">
        <v>67</v>
      </c>
      <c r="M149" s="6" t="s">
        <v>25</v>
      </c>
      <c r="N149" s="6"/>
      <c r="O149" s="5">
        <v>40</v>
      </c>
      <c r="P149" s="22" t="s">
        <v>243</v>
      </c>
      <c r="Q149" s="23"/>
      <c r="R149" s="23"/>
      <c r="S149" s="23"/>
      <c r="T149" s="24"/>
      <c r="U149" s="7"/>
      <c r="V149" s="7"/>
      <c r="W149" s="8" t="s">
        <v>27</v>
      </c>
      <c r="X149" s="58"/>
      <c r="Y149" s="19">
        <f t="shared" si="1"/>
        <v>0</v>
      </c>
    </row>
    <row r="150" spans="1:25" x14ac:dyDescent="0.25">
      <c r="A150" s="2" t="s">
        <v>244</v>
      </c>
      <c r="B150" s="2" t="s">
        <v>245</v>
      </c>
      <c r="C150" s="3">
        <v>4301031199</v>
      </c>
      <c r="D150" s="25">
        <v>4680115880986</v>
      </c>
      <c r="E150" s="26"/>
      <c r="F150" s="4">
        <v>0.35</v>
      </c>
      <c r="G150" s="5">
        <v>6</v>
      </c>
      <c r="H150" s="4">
        <v>2.1</v>
      </c>
      <c r="I150" s="4">
        <v>2.23</v>
      </c>
      <c r="J150" s="5">
        <v>234</v>
      </c>
      <c r="K150" s="5" t="s">
        <v>24</v>
      </c>
      <c r="L150" s="5" t="s">
        <v>246</v>
      </c>
      <c r="M150" s="6" t="s">
        <v>25</v>
      </c>
      <c r="N150" s="6"/>
      <c r="O150" s="5">
        <v>40</v>
      </c>
      <c r="P150" s="22" t="s">
        <v>247</v>
      </c>
      <c r="Q150" s="23"/>
      <c r="R150" s="23"/>
      <c r="S150" s="23"/>
      <c r="T150" s="24"/>
      <c r="U150" s="7"/>
      <c r="V150" s="7"/>
      <c r="W150" s="8" t="s">
        <v>27</v>
      </c>
      <c r="X150" s="58"/>
      <c r="Y150" s="19">
        <f t="shared" si="1"/>
        <v>0</v>
      </c>
    </row>
    <row r="151" spans="1:25" x14ac:dyDescent="0.25">
      <c r="A151" s="2" t="s">
        <v>248</v>
      </c>
      <c r="B151" s="2" t="s">
        <v>249</v>
      </c>
      <c r="C151" s="3">
        <v>4301031205</v>
      </c>
      <c r="D151" s="25">
        <v>4680115881785</v>
      </c>
      <c r="E151" s="26"/>
      <c r="F151" s="4">
        <v>0.35</v>
      </c>
      <c r="G151" s="5">
        <v>6</v>
      </c>
      <c r="H151" s="4">
        <v>2.1</v>
      </c>
      <c r="I151" s="4">
        <v>2.23</v>
      </c>
      <c r="J151" s="5">
        <v>234</v>
      </c>
      <c r="K151" s="5" t="s">
        <v>24</v>
      </c>
      <c r="L151" s="5" t="s">
        <v>246</v>
      </c>
      <c r="M151" s="6" t="s">
        <v>25</v>
      </c>
      <c r="N151" s="6"/>
      <c r="O151" s="5">
        <v>40</v>
      </c>
      <c r="P151" s="22" t="s">
        <v>250</v>
      </c>
      <c r="Q151" s="23"/>
      <c r="R151" s="23"/>
      <c r="S151" s="23"/>
      <c r="T151" s="24"/>
      <c r="U151" s="7"/>
      <c r="V151" s="7"/>
      <c r="W151" s="8" t="s">
        <v>27</v>
      </c>
      <c r="X151" s="58"/>
      <c r="Y151" s="19">
        <f t="shared" si="1"/>
        <v>0</v>
      </c>
    </row>
    <row r="152" spans="1:25" x14ac:dyDescent="0.25">
      <c r="A152" s="2" t="s">
        <v>251</v>
      </c>
      <c r="B152" s="2" t="s">
        <v>252</v>
      </c>
      <c r="C152" s="3">
        <v>4301031399</v>
      </c>
      <c r="D152" s="25">
        <v>4680115886537</v>
      </c>
      <c r="E152" s="26"/>
      <c r="F152" s="4">
        <v>0.3</v>
      </c>
      <c r="G152" s="5">
        <v>6</v>
      </c>
      <c r="H152" s="4">
        <v>1.8</v>
      </c>
      <c r="I152" s="4">
        <v>1.93</v>
      </c>
      <c r="J152" s="5">
        <v>234</v>
      </c>
      <c r="K152" s="5" t="s">
        <v>24</v>
      </c>
      <c r="L152" s="5"/>
      <c r="M152" s="6" t="s">
        <v>25</v>
      </c>
      <c r="N152" s="6"/>
      <c r="O152" s="5">
        <v>40</v>
      </c>
      <c r="P152" s="22" t="s">
        <v>253</v>
      </c>
      <c r="Q152" s="23"/>
      <c r="R152" s="23"/>
      <c r="S152" s="23"/>
      <c r="T152" s="24"/>
      <c r="U152" s="7"/>
      <c r="V152" s="7"/>
      <c r="W152" s="8" t="s">
        <v>27</v>
      </c>
      <c r="X152" s="58"/>
      <c r="Y152" s="19">
        <f t="shared" si="1"/>
        <v>0</v>
      </c>
    </row>
    <row r="153" spans="1:25" x14ac:dyDescent="0.25">
      <c r="A153" s="2" t="s">
        <v>254</v>
      </c>
      <c r="B153" s="2" t="s">
        <v>255</v>
      </c>
      <c r="C153" s="3">
        <v>4301031202</v>
      </c>
      <c r="D153" s="25">
        <v>4680115881679</v>
      </c>
      <c r="E153" s="26"/>
      <c r="F153" s="4">
        <v>0.35</v>
      </c>
      <c r="G153" s="5">
        <v>6</v>
      </c>
      <c r="H153" s="4">
        <v>2.1</v>
      </c>
      <c r="I153" s="4">
        <v>2.2000000000000002</v>
      </c>
      <c r="J153" s="5">
        <v>234</v>
      </c>
      <c r="K153" s="5" t="s">
        <v>24</v>
      </c>
      <c r="L153" s="5" t="s">
        <v>246</v>
      </c>
      <c r="M153" s="6" t="s">
        <v>25</v>
      </c>
      <c r="N153" s="6"/>
      <c r="O153" s="5">
        <v>40</v>
      </c>
      <c r="P153" s="22" t="s">
        <v>256</v>
      </c>
      <c r="Q153" s="23"/>
      <c r="R153" s="23"/>
      <c r="S153" s="23"/>
      <c r="T153" s="24"/>
      <c r="U153" s="7"/>
      <c r="V153" s="7"/>
      <c r="W153" s="8" t="s">
        <v>27</v>
      </c>
      <c r="X153" s="58"/>
      <c r="Y153" s="19">
        <f t="shared" si="1"/>
        <v>0</v>
      </c>
    </row>
    <row r="154" spans="1:25" x14ac:dyDescent="0.25">
      <c r="A154" s="2" t="s">
        <v>257</v>
      </c>
      <c r="B154" s="2" t="s">
        <v>258</v>
      </c>
      <c r="C154" s="3">
        <v>4301031158</v>
      </c>
      <c r="D154" s="25">
        <v>4680115880191</v>
      </c>
      <c r="E154" s="26"/>
      <c r="F154" s="4">
        <v>0.4</v>
      </c>
      <c r="G154" s="5">
        <v>6</v>
      </c>
      <c r="H154" s="4">
        <v>2.4</v>
      </c>
      <c r="I154" s="4">
        <v>2.58</v>
      </c>
      <c r="J154" s="5">
        <v>182</v>
      </c>
      <c r="K154" s="5" t="s">
        <v>33</v>
      </c>
      <c r="L154" s="5"/>
      <c r="M154" s="6" t="s">
        <v>25</v>
      </c>
      <c r="N154" s="6"/>
      <c r="O154" s="5">
        <v>40</v>
      </c>
      <c r="P154" s="22" t="s">
        <v>259</v>
      </c>
      <c r="Q154" s="23"/>
      <c r="R154" s="23"/>
      <c r="S154" s="23"/>
      <c r="T154" s="24"/>
      <c r="U154" s="7"/>
      <c r="V154" s="7"/>
      <c r="W154" s="8" t="s">
        <v>27</v>
      </c>
      <c r="X154" s="58"/>
      <c r="Y154" s="19">
        <f t="shared" si="1"/>
        <v>0</v>
      </c>
    </row>
    <row r="155" spans="1:25" x14ac:dyDescent="0.25">
      <c r="A155" s="2" t="s">
        <v>260</v>
      </c>
      <c r="B155" s="2" t="s">
        <v>261</v>
      </c>
      <c r="C155" s="3">
        <v>4301031245</v>
      </c>
      <c r="D155" s="25">
        <v>4680115883963</v>
      </c>
      <c r="E155" s="26"/>
      <c r="F155" s="4">
        <v>0.28000000000000003</v>
      </c>
      <c r="G155" s="5">
        <v>6</v>
      </c>
      <c r="H155" s="4">
        <v>1.68</v>
      </c>
      <c r="I155" s="4">
        <v>1.78</v>
      </c>
      <c r="J155" s="5">
        <v>234</v>
      </c>
      <c r="K155" s="5" t="s">
        <v>24</v>
      </c>
      <c r="L155" s="5"/>
      <c r="M155" s="6" t="s">
        <v>25</v>
      </c>
      <c r="N155" s="6"/>
      <c r="O155" s="5">
        <v>40</v>
      </c>
      <c r="P155" s="22" t="s">
        <v>262</v>
      </c>
      <c r="Q155" s="23"/>
      <c r="R155" s="23"/>
      <c r="S155" s="23"/>
      <c r="T155" s="24"/>
      <c r="U155" s="7"/>
      <c r="V155" s="7"/>
      <c r="W155" s="8" t="s">
        <v>27</v>
      </c>
      <c r="X155" s="58"/>
      <c r="Y155" s="19">
        <f t="shared" si="1"/>
        <v>0</v>
      </c>
    </row>
    <row r="156" spans="1:25" x14ac:dyDescent="0.25">
      <c r="A156" s="27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9"/>
      <c r="P156" s="30" t="s">
        <v>28</v>
      </c>
      <c r="Q156" s="31"/>
      <c r="R156" s="31"/>
      <c r="S156" s="31"/>
      <c r="T156" s="31"/>
      <c r="U156" s="31"/>
      <c r="V156" s="32"/>
      <c r="W156" s="9" t="s">
        <v>29</v>
      </c>
      <c r="X156" s="20"/>
      <c r="Y156" s="20">
        <f>IFERROR(Y146/H146,"0")+IFERROR(Y147/H147,"0")+IFERROR(Y148/H148,"0")+IFERROR(Y149/H149,"0")+IFERROR(Y150/H150,"0")+IFERROR(Y151/H151,"0")+IFERROR(Y152/H152,"0")+IFERROR(Y153/H153,"0")+IFERROR(Y154/H154,"0")+IFERROR(Y155/H155,"0")</f>
        <v>0</v>
      </c>
    </row>
    <row r="157" spans="1:25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9"/>
      <c r="P157" s="30" t="s">
        <v>28</v>
      </c>
      <c r="Q157" s="31"/>
      <c r="R157" s="31"/>
      <c r="S157" s="31"/>
      <c r="T157" s="31"/>
      <c r="U157" s="31"/>
      <c r="V157" s="32"/>
      <c r="W157" s="9" t="s">
        <v>27</v>
      </c>
      <c r="X157" s="20"/>
      <c r="Y157" s="20">
        <f>IFERROR(SUM(Y146:Y155),"0")</f>
        <v>0</v>
      </c>
    </row>
    <row r="158" spans="1:25" x14ac:dyDescent="0.25">
      <c r="A158" t="s">
        <v>50</v>
      </c>
    </row>
    <row r="159" spans="1:25" x14ac:dyDescent="0.25">
      <c r="A159" s="2" t="s">
        <v>263</v>
      </c>
      <c r="B159" s="2" t="s">
        <v>264</v>
      </c>
      <c r="C159" s="3">
        <v>4301032053</v>
      </c>
      <c r="D159" s="25">
        <v>4680115886780</v>
      </c>
      <c r="E159" s="26"/>
      <c r="F159" s="4">
        <v>7.0000000000000007E-2</v>
      </c>
      <c r="G159" s="5">
        <v>18</v>
      </c>
      <c r="H159" s="4">
        <v>1.26</v>
      </c>
      <c r="I159" s="4">
        <v>1.45</v>
      </c>
      <c r="J159" s="5">
        <v>216</v>
      </c>
      <c r="K159" s="5" t="s">
        <v>265</v>
      </c>
      <c r="L159" s="5"/>
      <c r="M159" s="6" t="s">
        <v>266</v>
      </c>
      <c r="N159" s="6"/>
      <c r="O159" s="5">
        <v>60</v>
      </c>
      <c r="P159" s="22" t="s">
        <v>267</v>
      </c>
      <c r="Q159" s="23"/>
      <c r="R159" s="23"/>
      <c r="S159" s="23"/>
      <c r="T159" s="24"/>
      <c r="U159" s="7"/>
      <c r="V159" s="7"/>
      <c r="W159" s="8" t="s">
        <v>27</v>
      </c>
      <c r="X159" s="58"/>
      <c r="Y159" s="19">
        <f>IFERROR(IF(X159="",0,CEILING((X159/$H159),1)*$H159),"")</f>
        <v>0</v>
      </c>
    </row>
    <row r="160" spans="1:25" x14ac:dyDescent="0.25">
      <c r="A160" s="2" t="s">
        <v>268</v>
      </c>
      <c r="B160" s="2" t="s">
        <v>269</v>
      </c>
      <c r="C160" s="3">
        <v>4301032051</v>
      </c>
      <c r="D160" s="25">
        <v>4680115886742</v>
      </c>
      <c r="E160" s="26"/>
      <c r="F160" s="4">
        <v>7.0000000000000007E-2</v>
      </c>
      <c r="G160" s="5">
        <v>18</v>
      </c>
      <c r="H160" s="4">
        <v>1.26</v>
      </c>
      <c r="I160" s="4">
        <v>1.45</v>
      </c>
      <c r="J160" s="5">
        <v>216</v>
      </c>
      <c r="K160" s="5" t="s">
        <v>265</v>
      </c>
      <c r="L160" s="5"/>
      <c r="M160" s="6" t="s">
        <v>266</v>
      </c>
      <c r="N160" s="6"/>
      <c r="O160" s="5">
        <v>90</v>
      </c>
      <c r="P160" s="22" t="s">
        <v>270</v>
      </c>
      <c r="Q160" s="23"/>
      <c r="R160" s="23"/>
      <c r="S160" s="23"/>
      <c r="T160" s="24"/>
      <c r="U160" s="7"/>
      <c r="V160" s="7"/>
      <c r="W160" s="8" t="s">
        <v>27</v>
      </c>
      <c r="X160" s="58"/>
      <c r="Y160" s="19">
        <f>IFERROR(IF(X160="",0,CEILING((X160/$H160),1)*$H160),"")</f>
        <v>0</v>
      </c>
    </row>
    <row r="161" spans="1:25" x14ac:dyDescent="0.25">
      <c r="A161" s="2" t="s">
        <v>271</v>
      </c>
      <c r="B161" s="2" t="s">
        <v>272</v>
      </c>
      <c r="C161" s="3">
        <v>4301032052</v>
      </c>
      <c r="D161" s="25">
        <v>4680115886766</v>
      </c>
      <c r="E161" s="26"/>
      <c r="F161" s="4">
        <v>7.0000000000000007E-2</v>
      </c>
      <c r="G161" s="5">
        <v>18</v>
      </c>
      <c r="H161" s="4">
        <v>1.26</v>
      </c>
      <c r="I161" s="4">
        <v>1.45</v>
      </c>
      <c r="J161" s="5">
        <v>216</v>
      </c>
      <c r="K161" s="5" t="s">
        <v>265</v>
      </c>
      <c r="L161" s="5"/>
      <c r="M161" s="6" t="s">
        <v>266</v>
      </c>
      <c r="N161" s="6"/>
      <c r="O161" s="5">
        <v>90</v>
      </c>
      <c r="P161" s="22" t="s">
        <v>273</v>
      </c>
      <c r="Q161" s="23"/>
      <c r="R161" s="23"/>
      <c r="S161" s="23"/>
      <c r="T161" s="24"/>
      <c r="U161" s="7"/>
      <c r="V161" s="7"/>
      <c r="W161" s="8" t="s">
        <v>27</v>
      </c>
      <c r="X161" s="58"/>
      <c r="Y161" s="19">
        <f>IFERROR(IF(X161="",0,CEILING((X161/$H161),1)*$H161),"")</f>
        <v>0</v>
      </c>
    </row>
    <row r="162" spans="1:25" x14ac:dyDescent="0.25">
      <c r="A162" s="27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9"/>
      <c r="P162" s="30" t="s">
        <v>28</v>
      </c>
      <c r="Q162" s="31"/>
      <c r="R162" s="31"/>
      <c r="S162" s="31"/>
      <c r="T162" s="31"/>
      <c r="U162" s="31"/>
      <c r="V162" s="32"/>
      <c r="W162" s="9" t="s">
        <v>29</v>
      </c>
      <c r="X162" s="20"/>
      <c r="Y162" s="20">
        <f>IFERROR(Y159/H159,"0")+IFERROR(Y160/H160,"0")+IFERROR(Y161/H161,"0")</f>
        <v>0</v>
      </c>
    </row>
    <row r="163" spans="1:25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9"/>
      <c r="P163" s="30" t="s">
        <v>28</v>
      </c>
      <c r="Q163" s="31"/>
      <c r="R163" s="31"/>
      <c r="S163" s="31"/>
      <c r="T163" s="31"/>
      <c r="U163" s="31"/>
      <c r="V163" s="32"/>
      <c r="W163" s="9" t="s">
        <v>27</v>
      </c>
      <c r="X163" s="20"/>
      <c r="Y163" s="20">
        <f>IFERROR(SUM(Y159:Y161),"0")</f>
        <v>0</v>
      </c>
    </row>
    <row r="164" spans="1:25" x14ac:dyDescent="0.25">
      <c r="A164" t="s">
        <v>274</v>
      </c>
    </row>
    <row r="165" spans="1:25" x14ac:dyDescent="0.25">
      <c r="A165" s="2" t="s">
        <v>275</v>
      </c>
      <c r="B165" s="2" t="s">
        <v>276</v>
      </c>
      <c r="C165" s="3">
        <v>4301170013</v>
      </c>
      <c r="D165" s="25">
        <v>4680115886797</v>
      </c>
      <c r="E165" s="26"/>
      <c r="F165" s="4">
        <v>7.0000000000000007E-2</v>
      </c>
      <c r="G165" s="5">
        <v>18</v>
      </c>
      <c r="H165" s="4">
        <v>1.26</v>
      </c>
      <c r="I165" s="4">
        <v>1.45</v>
      </c>
      <c r="J165" s="5">
        <v>216</v>
      </c>
      <c r="K165" s="5" t="s">
        <v>265</v>
      </c>
      <c r="L165" s="5"/>
      <c r="M165" s="6" t="s">
        <v>266</v>
      </c>
      <c r="N165" s="6"/>
      <c r="O165" s="5">
        <v>90</v>
      </c>
      <c r="P165" s="22" t="s">
        <v>277</v>
      </c>
      <c r="Q165" s="23"/>
      <c r="R165" s="23"/>
      <c r="S165" s="23"/>
      <c r="T165" s="24"/>
      <c r="U165" s="7"/>
      <c r="V165" s="7"/>
      <c r="W165" s="8" t="s">
        <v>27</v>
      </c>
      <c r="X165" s="58"/>
      <c r="Y165" s="19">
        <f>IFERROR(IF(X165="",0,CEILING((X165/$H165),1)*$H165),"")</f>
        <v>0</v>
      </c>
    </row>
    <row r="166" spans="1:25" x14ac:dyDescent="0.25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9"/>
      <c r="P166" s="30" t="s">
        <v>28</v>
      </c>
      <c r="Q166" s="31"/>
      <c r="R166" s="31"/>
      <c r="S166" s="31"/>
      <c r="T166" s="31"/>
      <c r="U166" s="31"/>
      <c r="V166" s="32"/>
      <c r="W166" s="9" t="s">
        <v>29</v>
      </c>
      <c r="X166" s="20"/>
      <c r="Y166" s="20">
        <f>IFERROR(Y165/H165,"0")</f>
        <v>0</v>
      </c>
    </row>
    <row r="167" spans="1:25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9"/>
      <c r="P167" s="30" t="s">
        <v>28</v>
      </c>
      <c r="Q167" s="31"/>
      <c r="R167" s="31"/>
      <c r="S167" s="31"/>
      <c r="T167" s="31"/>
      <c r="U167" s="31"/>
      <c r="V167" s="32"/>
      <c r="W167" s="9" t="s">
        <v>27</v>
      </c>
      <c r="X167" s="20"/>
      <c r="Y167" s="20">
        <f>IFERROR(SUM(Y165:Y165),"0")</f>
        <v>0</v>
      </c>
    </row>
    <row r="168" spans="1:25" x14ac:dyDescent="0.25">
      <c r="A168" t="s">
        <v>278</v>
      </c>
    </row>
    <row r="169" spans="1:25" x14ac:dyDescent="0.25">
      <c r="A169" t="s">
        <v>57</v>
      </c>
    </row>
    <row r="170" spans="1:25" x14ac:dyDescent="0.25">
      <c r="A170" s="2" t="s">
        <v>279</v>
      </c>
      <c r="B170" s="2" t="s">
        <v>280</v>
      </c>
      <c r="C170" s="3">
        <v>4301011450</v>
      </c>
      <c r="D170" s="25">
        <v>4680115881402</v>
      </c>
      <c r="E170" s="26"/>
      <c r="F170" s="4">
        <v>1.35</v>
      </c>
      <c r="G170" s="5">
        <v>8</v>
      </c>
      <c r="H170" s="4">
        <v>10.8</v>
      </c>
      <c r="I170" s="4">
        <v>11.21</v>
      </c>
      <c r="J170" s="5">
        <v>64</v>
      </c>
      <c r="K170" s="5" t="s">
        <v>60</v>
      </c>
      <c r="L170" s="5"/>
      <c r="M170" s="6" t="s">
        <v>62</v>
      </c>
      <c r="N170" s="6"/>
      <c r="O170" s="5">
        <v>55</v>
      </c>
      <c r="P170" s="22" t="s">
        <v>281</v>
      </c>
      <c r="Q170" s="23"/>
      <c r="R170" s="23"/>
      <c r="S170" s="23"/>
      <c r="T170" s="24"/>
      <c r="U170" s="7"/>
      <c r="V170" s="7"/>
      <c r="W170" s="8" t="s">
        <v>27</v>
      </c>
      <c r="X170" s="58"/>
      <c r="Y170" s="19">
        <f>IFERROR(IF(X170="",0,CEILING((X170/$H170),1)*$H170),"")</f>
        <v>0</v>
      </c>
    </row>
    <row r="171" spans="1:25" x14ac:dyDescent="0.25">
      <c r="A171" s="2" t="s">
        <v>282</v>
      </c>
      <c r="B171" s="2" t="s">
        <v>283</v>
      </c>
      <c r="C171" s="3">
        <v>4301011768</v>
      </c>
      <c r="D171" s="25">
        <v>4680115881396</v>
      </c>
      <c r="E171" s="26"/>
      <c r="F171" s="4">
        <v>0.45</v>
      </c>
      <c r="G171" s="5">
        <v>6</v>
      </c>
      <c r="H171" s="4">
        <v>2.7</v>
      </c>
      <c r="I171" s="4">
        <v>2.88</v>
      </c>
      <c r="J171" s="5">
        <v>182</v>
      </c>
      <c r="K171" s="5" t="s">
        <v>33</v>
      </c>
      <c r="L171" s="5" t="s">
        <v>45</v>
      </c>
      <c r="M171" s="6" t="s">
        <v>62</v>
      </c>
      <c r="N171" s="6"/>
      <c r="O171" s="5">
        <v>55</v>
      </c>
      <c r="P171" s="22" t="s">
        <v>284</v>
      </c>
      <c r="Q171" s="23"/>
      <c r="R171" s="23"/>
      <c r="S171" s="23"/>
      <c r="T171" s="24"/>
      <c r="U171" s="7"/>
      <c r="V171" s="7"/>
      <c r="W171" s="8" t="s">
        <v>27</v>
      </c>
      <c r="X171" s="58"/>
      <c r="Y171" s="19">
        <f>IFERROR(IF(X171="",0,CEILING((X171/$H171),1)*$H171),"")</f>
        <v>0</v>
      </c>
    </row>
    <row r="172" spans="1:25" x14ac:dyDescent="0.25">
      <c r="A172" s="27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9"/>
      <c r="P172" s="30" t="s">
        <v>28</v>
      </c>
      <c r="Q172" s="31"/>
      <c r="R172" s="31"/>
      <c r="S172" s="31"/>
      <c r="T172" s="31"/>
      <c r="U172" s="31"/>
      <c r="V172" s="32"/>
      <c r="W172" s="9" t="s">
        <v>29</v>
      </c>
      <c r="X172" s="20"/>
      <c r="Y172" s="20">
        <f>IFERROR(Y170/H170,"0")+IFERROR(Y171/H171,"0")</f>
        <v>0</v>
      </c>
    </row>
    <row r="173" spans="1:2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9"/>
      <c r="P173" s="30" t="s">
        <v>28</v>
      </c>
      <c r="Q173" s="31"/>
      <c r="R173" s="31"/>
      <c r="S173" s="31"/>
      <c r="T173" s="31"/>
      <c r="U173" s="31"/>
      <c r="V173" s="32"/>
      <c r="W173" s="9" t="s">
        <v>27</v>
      </c>
      <c r="X173" s="20"/>
      <c r="Y173" s="20">
        <f>IFERROR(SUM(Y170:Y171),"0")</f>
        <v>0</v>
      </c>
    </row>
    <row r="174" spans="1:25" x14ac:dyDescent="0.25">
      <c r="A174" t="s">
        <v>94</v>
      </c>
    </row>
    <row r="175" spans="1:25" x14ac:dyDescent="0.25">
      <c r="A175" s="2" t="s">
        <v>285</v>
      </c>
      <c r="B175" s="2" t="s">
        <v>286</v>
      </c>
      <c r="C175" s="3">
        <v>4301020261</v>
      </c>
      <c r="D175" s="25">
        <v>4680115882935</v>
      </c>
      <c r="E175" s="26"/>
      <c r="F175" s="4">
        <v>1.35</v>
      </c>
      <c r="G175" s="5">
        <v>8</v>
      </c>
      <c r="H175" s="4">
        <v>10.8</v>
      </c>
      <c r="I175" s="4">
        <v>11.21</v>
      </c>
      <c r="J175" s="5">
        <v>64</v>
      </c>
      <c r="K175" s="5" t="s">
        <v>60</v>
      </c>
      <c r="L175" s="5"/>
      <c r="M175" s="6" t="s">
        <v>62</v>
      </c>
      <c r="N175" s="6"/>
      <c r="O175" s="5">
        <v>50</v>
      </c>
      <c r="P175" s="22" t="s">
        <v>287</v>
      </c>
      <c r="Q175" s="23"/>
      <c r="R175" s="23"/>
      <c r="S175" s="23"/>
      <c r="T175" s="24"/>
      <c r="U175" s="7"/>
      <c r="V175" s="7"/>
      <c r="W175" s="8" t="s">
        <v>27</v>
      </c>
      <c r="X175" s="58"/>
      <c r="Y175" s="19">
        <f>IFERROR(IF(X175="",0,CEILING((X175/$H175),1)*$H175),"")</f>
        <v>0</v>
      </c>
    </row>
    <row r="176" spans="1:25" x14ac:dyDescent="0.25">
      <c r="A176" s="2" t="s">
        <v>288</v>
      </c>
      <c r="B176" s="2" t="s">
        <v>289</v>
      </c>
      <c r="C176" s="3">
        <v>4301020220</v>
      </c>
      <c r="D176" s="25">
        <v>4680115880764</v>
      </c>
      <c r="E176" s="26"/>
      <c r="F176" s="4">
        <v>0.35</v>
      </c>
      <c r="G176" s="5">
        <v>6</v>
      </c>
      <c r="H176" s="4">
        <v>2.1</v>
      </c>
      <c r="I176" s="4">
        <v>2.2799999999999998</v>
      </c>
      <c r="J176" s="5">
        <v>182</v>
      </c>
      <c r="K176" s="5" t="s">
        <v>33</v>
      </c>
      <c r="L176" s="5"/>
      <c r="M176" s="6" t="s">
        <v>62</v>
      </c>
      <c r="N176" s="6"/>
      <c r="O176" s="5">
        <v>50</v>
      </c>
      <c r="P176" s="22" t="s">
        <v>290</v>
      </c>
      <c r="Q176" s="23"/>
      <c r="R176" s="23"/>
      <c r="S176" s="23"/>
      <c r="T176" s="24"/>
      <c r="U176" s="7"/>
      <c r="V176" s="7"/>
      <c r="W176" s="8" t="s">
        <v>27</v>
      </c>
      <c r="X176" s="58"/>
      <c r="Y176" s="19">
        <f>IFERROR(IF(X176="",0,CEILING((X176/$H176),1)*$H176),"")</f>
        <v>0</v>
      </c>
    </row>
    <row r="177" spans="1:25" x14ac:dyDescent="0.25">
      <c r="A177" s="27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9"/>
      <c r="P177" s="30" t="s">
        <v>28</v>
      </c>
      <c r="Q177" s="31"/>
      <c r="R177" s="31"/>
      <c r="S177" s="31"/>
      <c r="T177" s="31"/>
      <c r="U177" s="31"/>
      <c r="V177" s="32"/>
      <c r="W177" s="9" t="s">
        <v>29</v>
      </c>
      <c r="X177" s="20"/>
      <c r="Y177" s="20">
        <f>IFERROR(Y175/H175,"0")+IFERROR(Y176/H176,"0")</f>
        <v>0</v>
      </c>
    </row>
    <row r="178" spans="1:2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9"/>
      <c r="P178" s="30" t="s">
        <v>28</v>
      </c>
      <c r="Q178" s="31"/>
      <c r="R178" s="31"/>
      <c r="S178" s="31"/>
      <c r="T178" s="31"/>
      <c r="U178" s="31"/>
      <c r="V178" s="32"/>
      <c r="W178" s="9" t="s">
        <v>27</v>
      </c>
      <c r="X178" s="20"/>
      <c r="Y178" s="20">
        <f>IFERROR(SUM(Y175:Y176),"0")</f>
        <v>0</v>
      </c>
    </row>
    <row r="179" spans="1:25" x14ac:dyDescent="0.25">
      <c r="A179" t="s">
        <v>21</v>
      </c>
    </row>
    <row r="180" spans="1:25" x14ac:dyDescent="0.25">
      <c r="A180" s="2" t="s">
        <v>291</v>
      </c>
      <c r="B180" s="2" t="s">
        <v>292</v>
      </c>
      <c r="C180" s="3">
        <v>4301031224</v>
      </c>
      <c r="D180" s="25">
        <v>4680115882683</v>
      </c>
      <c r="E180" s="26"/>
      <c r="F180" s="4">
        <v>0.9</v>
      </c>
      <c r="G180" s="5">
        <v>6</v>
      </c>
      <c r="H180" s="4">
        <v>5.4</v>
      </c>
      <c r="I180" s="4">
        <v>5.59</v>
      </c>
      <c r="J180" s="5">
        <v>132</v>
      </c>
      <c r="K180" s="5" t="s">
        <v>66</v>
      </c>
      <c r="L180" s="5" t="s">
        <v>67</v>
      </c>
      <c r="M180" s="6" t="s">
        <v>25</v>
      </c>
      <c r="N180" s="6"/>
      <c r="O180" s="5">
        <v>40</v>
      </c>
      <c r="P180" s="22" t="s">
        <v>293</v>
      </c>
      <c r="Q180" s="23"/>
      <c r="R180" s="23"/>
      <c r="S180" s="23"/>
      <c r="T180" s="24"/>
      <c r="U180" s="7"/>
      <c r="V180" s="7"/>
      <c r="W180" s="8" t="s">
        <v>27</v>
      </c>
      <c r="X180" s="58"/>
      <c r="Y180" s="19">
        <f t="shared" ref="Y180:Y187" si="2">IFERROR(IF(X180="",0,CEILING((X180/$H180),1)*$H180),"")</f>
        <v>0</v>
      </c>
    </row>
    <row r="181" spans="1:25" x14ac:dyDescent="0.25">
      <c r="A181" s="2" t="s">
        <v>294</v>
      </c>
      <c r="B181" s="2" t="s">
        <v>295</v>
      </c>
      <c r="C181" s="3">
        <v>4301031230</v>
      </c>
      <c r="D181" s="25">
        <v>4680115882690</v>
      </c>
      <c r="E181" s="26"/>
      <c r="F181" s="4">
        <v>0.9</v>
      </c>
      <c r="G181" s="5">
        <v>6</v>
      </c>
      <c r="H181" s="4">
        <v>5.4</v>
      </c>
      <c r="I181" s="4">
        <v>5.59</v>
      </c>
      <c r="J181" s="5">
        <v>132</v>
      </c>
      <c r="K181" s="5" t="s">
        <v>66</v>
      </c>
      <c r="L181" s="5" t="s">
        <v>67</v>
      </c>
      <c r="M181" s="6" t="s">
        <v>25</v>
      </c>
      <c r="N181" s="6"/>
      <c r="O181" s="5">
        <v>40</v>
      </c>
      <c r="P181" s="22" t="s">
        <v>296</v>
      </c>
      <c r="Q181" s="23"/>
      <c r="R181" s="23"/>
      <c r="S181" s="23"/>
      <c r="T181" s="24"/>
      <c r="U181" s="7"/>
      <c r="V181" s="7"/>
      <c r="W181" s="8" t="s">
        <v>27</v>
      </c>
      <c r="X181" s="58"/>
      <c r="Y181" s="19">
        <f t="shared" si="2"/>
        <v>0</v>
      </c>
    </row>
    <row r="182" spans="1:25" x14ac:dyDescent="0.25">
      <c r="A182" s="2" t="s">
        <v>297</v>
      </c>
      <c r="B182" s="2" t="s">
        <v>298</v>
      </c>
      <c r="C182" s="3">
        <v>4301031220</v>
      </c>
      <c r="D182" s="25">
        <v>4680115882669</v>
      </c>
      <c r="E182" s="26"/>
      <c r="F182" s="4">
        <v>0.9</v>
      </c>
      <c r="G182" s="5">
        <v>6</v>
      </c>
      <c r="H182" s="4">
        <v>5.4</v>
      </c>
      <c r="I182" s="4">
        <v>5.59</v>
      </c>
      <c r="J182" s="5">
        <v>132</v>
      </c>
      <c r="K182" s="5" t="s">
        <v>66</v>
      </c>
      <c r="L182" s="5" t="s">
        <v>67</v>
      </c>
      <c r="M182" s="6" t="s">
        <v>25</v>
      </c>
      <c r="N182" s="6"/>
      <c r="O182" s="5">
        <v>40</v>
      </c>
      <c r="P182" s="22" t="s">
        <v>299</v>
      </c>
      <c r="Q182" s="23"/>
      <c r="R182" s="23"/>
      <c r="S182" s="23"/>
      <c r="T182" s="24"/>
      <c r="U182" s="7"/>
      <c r="V182" s="7"/>
      <c r="W182" s="8" t="s">
        <v>27</v>
      </c>
      <c r="X182" s="58"/>
      <c r="Y182" s="19">
        <f t="shared" si="2"/>
        <v>0</v>
      </c>
    </row>
    <row r="183" spans="1:25" x14ac:dyDescent="0.25">
      <c r="A183" s="2" t="s">
        <v>300</v>
      </c>
      <c r="B183" s="2" t="s">
        <v>301</v>
      </c>
      <c r="C183" s="3">
        <v>4301031221</v>
      </c>
      <c r="D183" s="25">
        <v>4680115882676</v>
      </c>
      <c r="E183" s="26"/>
      <c r="F183" s="4">
        <v>0.9</v>
      </c>
      <c r="G183" s="5">
        <v>6</v>
      </c>
      <c r="H183" s="4">
        <v>5.4</v>
      </c>
      <c r="I183" s="4">
        <v>5.59</v>
      </c>
      <c r="J183" s="5">
        <v>132</v>
      </c>
      <c r="K183" s="5" t="s">
        <v>66</v>
      </c>
      <c r="L183" s="5" t="s">
        <v>67</v>
      </c>
      <c r="M183" s="6" t="s">
        <v>25</v>
      </c>
      <c r="N183" s="6"/>
      <c r="O183" s="5">
        <v>40</v>
      </c>
      <c r="P183" s="22" t="s">
        <v>302</v>
      </c>
      <c r="Q183" s="23"/>
      <c r="R183" s="23"/>
      <c r="S183" s="23"/>
      <c r="T183" s="24"/>
      <c r="U183" s="7"/>
      <c r="V183" s="7"/>
      <c r="W183" s="8" t="s">
        <v>27</v>
      </c>
      <c r="X183" s="58"/>
      <c r="Y183" s="19">
        <f t="shared" si="2"/>
        <v>0</v>
      </c>
    </row>
    <row r="184" spans="1:25" x14ac:dyDescent="0.25">
      <c r="A184" s="2" t="s">
        <v>303</v>
      </c>
      <c r="B184" s="2" t="s">
        <v>304</v>
      </c>
      <c r="C184" s="3">
        <v>4301031223</v>
      </c>
      <c r="D184" s="25">
        <v>4680115884014</v>
      </c>
      <c r="E184" s="26"/>
      <c r="F184" s="4">
        <v>0.3</v>
      </c>
      <c r="G184" s="5">
        <v>6</v>
      </c>
      <c r="H184" s="4">
        <v>1.8</v>
      </c>
      <c r="I184" s="4">
        <v>1.93</v>
      </c>
      <c r="J184" s="5">
        <v>234</v>
      </c>
      <c r="K184" s="5" t="s">
        <v>24</v>
      </c>
      <c r="L184" s="5" t="s">
        <v>246</v>
      </c>
      <c r="M184" s="6" t="s">
        <v>25</v>
      </c>
      <c r="N184" s="6"/>
      <c r="O184" s="5">
        <v>40</v>
      </c>
      <c r="P184" s="22" t="s">
        <v>305</v>
      </c>
      <c r="Q184" s="23"/>
      <c r="R184" s="23"/>
      <c r="S184" s="23"/>
      <c r="T184" s="24"/>
      <c r="U184" s="7"/>
      <c r="V184" s="7"/>
      <c r="W184" s="8" t="s">
        <v>27</v>
      </c>
      <c r="X184" s="58"/>
      <c r="Y184" s="19">
        <f t="shared" si="2"/>
        <v>0</v>
      </c>
    </row>
    <row r="185" spans="1:25" x14ac:dyDescent="0.25">
      <c r="A185" s="2" t="s">
        <v>306</v>
      </c>
      <c r="B185" s="2" t="s">
        <v>307</v>
      </c>
      <c r="C185" s="3">
        <v>4301031222</v>
      </c>
      <c r="D185" s="25">
        <v>4680115884007</v>
      </c>
      <c r="E185" s="26"/>
      <c r="F185" s="4">
        <v>0.3</v>
      </c>
      <c r="G185" s="5">
        <v>6</v>
      </c>
      <c r="H185" s="4">
        <v>1.8</v>
      </c>
      <c r="I185" s="4">
        <v>1.9</v>
      </c>
      <c r="J185" s="5">
        <v>234</v>
      </c>
      <c r="K185" s="5" t="s">
        <v>24</v>
      </c>
      <c r="L185" s="5" t="s">
        <v>246</v>
      </c>
      <c r="M185" s="6" t="s">
        <v>25</v>
      </c>
      <c r="N185" s="6"/>
      <c r="O185" s="5">
        <v>40</v>
      </c>
      <c r="P185" s="22" t="s">
        <v>308</v>
      </c>
      <c r="Q185" s="23"/>
      <c r="R185" s="23"/>
      <c r="S185" s="23"/>
      <c r="T185" s="24"/>
      <c r="U185" s="7"/>
      <c r="V185" s="7"/>
      <c r="W185" s="8" t="s">
        <v>27</v>
      </c>
      <c r="X185" s="58"/>
      <c r="Y185" s="19">
        <f t="shared" si="2"/>
        <v>0</v>
      </c>
    </row>
    <row r="186" spans="1:25" x14ac:dyDescent="0.25">
      <c r="A186" s="2" t="s">
        <v>309</v>
      </c>
      <c r="B186" s="2" t="s">
        <v>310</v>
      </c>
      <c r="C186" s="3">
        <v>4301031229</v>
      </c>
      <c r="D186" s="25">
        <v>4680115884038</v>
      </c>
      <c r="E186" s="26"/>
      <c r="F186" s="4">
        <v>0.3</v>
      </c>
      <c r="G186" s="5">
        <v>6</v>
      </c>
      <c r="H186" s="4">
        <v>1.8</v>
      </c>
      <c r="I186" s="4">
        <v>1.9</v>
      </c>
      <c r="J186" s="5">
        <v>234</v>
      </c>
      <c r="K186" s="5" t="s">
        <v>24</v>
      </c>
      <c r="L186" s="5"/>
      <c r="M186" s="6" t="s">
        <v>25</v>
      </c>
      <c r="N186" s="6"/>
      <c r="O186" s="5">
        <v>40</v>
      </c>
      <c r="P186" s="22" t="s">
        <v>311</v>
      </c>
      <c r="Q186" s="23"/>
      <c r="R186" s="23"/>
      <c r="S186" s="23"/>
      <c r="T186" s="24"/>
      <c r="U186" s="7"/>
      <c r="V186" s="7"/>
      <c r="W186" s="8" t="s">
        <v>27</v>
      </c>
      <c r="X186" s="58"/>
      <c r="Y186" s="19">
        <f t="shared" si="2"/>
        <v>0</v>
      </c>
    </row>
    <row r="187" spans="1:25" x14ac:dyDescent="0.25">
      <c r="A187" s="2" t="s">
        <v>312</v>
      </c>
      <c r="B187" s="2" t="s">
        <v>313</v>
      </c>
      <c r="C187" s="3">
        <v>4301031225</v>
      </c>
      <c r="D187" s="25">
        <v>4680115884021</v>
      </c>
      <c r="E187" s="26"/>
      <c r="F187" s="4">
        <v>0.3</v>
      </c>
      <c r="G187" s="5">
        <v>6</v>
      </c>
      <c r="H187" s="4">
        <v>1.8</v>
      </c>
      <c r="I187" s="4">
        <v>1.9</v>
      </c>
      <c r="J187" s="5">
        <v>234</v>
      </c>
      <c r="K187" s="5" t="s">
        <v>24</v>
      </c>
      <c r="L187" s="5" t="s">
        <v>246</v>
      </c>
      <c r="M187" s="6" t="s">
        <v>25</v>
      </c>
      <c r="N187" s="6"/>
      <c r="O187" s="5">
        <v>40</v>
      </c>
      <c r="P187" s="22" t="s">
        <v>314</v>
      </c>
      <c r="Q187" s="23"/>
      <c r="R187" s="23"/>
      <c r="S187" s="23"/>
      <c r="T187" s="24"/>
      <c r="U187" s="7"/>
      <c r="V187" s="7"/>
      <c r="W187" s="8" t="s">
        <v>27</v>
      </c>
      <c r="X187" s="58"/>
      <c r="Y187" s="19">
        <f t="shared" si="2"/>
        <v>0</v>
      </c>
    </row>
    <row r="188" spans="1:25" x14ac:dyDescent="0.25">
      <c r="A188" s="27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9"/>
      <c r="P188" s="30" t="s">
        <v>28</v>
      </c>
      <c r="Q188" s="31"/>
      <c r="R188" s="31"/>
      <c r="S188" s="31"/>
      <c r="T188" s="31"/>
      <c r="U188" s="31"/>
      <c r="V188" s="32"/>
      <c r="W188" s="9" t="s">
        <v>29</v>
      </c>
      <c r="X188" s="20"/>
      <c r="Y188" s="20">
        <f>IFERROR(Y180/H180,"0")+IFERROR(Y181/H181,"0")+IFERROR(Y182/H182,"0")+IFERROR(Y183/H183,"0")+IFERROR(Y184/H184,"0")+IFERROR(Y185/H185,"0")+IFERROR(Y186/H186,"0")+IFERROR(Y187/H187,"0")</f>
        <v>0</v>
      </c>
    </row>
    <row r="189" spans="1:2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9"/>
      <c r="P189" s="30" t="s">
        <v>28</v>
      </c>
      <c r="Q189" s="31"/>
      <c r="R189" s="31"/>
      <c r="S189" s="31"/>
      <c r="T189" s="31"/>
      <c r="U189" s="31"/>
      <c r="V189" s="32"/>
      <c r="W189" s="9" t="s">
        <v>27</v>
      </c>
      <c r="X189" s="20"/>
      <c r="Y189" s="20">
        <f>IFERROR(SUM(Y180:Y187),"0")</f>
        <v>0</v>
      </c>
    </row>
    <row r="190" spans="1:25" x14ac:dyDescent="0.25">
      <c r="A190" t="s">
        <v>30</v>
      </c>
    </row>
    <row r="191" spans="1:25" x14ac:dyDescent="0.25">
      <c r="A191" s="2" t="s">
        <v>315</v>
      </c>
      <c r="B191" s="2" t="s">
        <v>316</v>
      </c>
      <c r="C191" s="3">
        <v>4301051408</v>
      </c>
      <c r="D191" s="25">
        <v>4680115881594</v>
      </c>
      <c r="E191" s="26"/>
      <c r="F191" s="4">
        <v>1.35</v>
      </c>
      <c r="G191" s="5">
        <v>6</v>
      </c>
      <c r="H191" s="4">
        <v>8.1</v>
      </c>
      <c r="I191" s="4">
        <v>8.5939999999999994</v>
      </c>
      <c r="J191" s="5">
        <v>64</v>
      </c>
      <c r="K191" s="5" t="s">
        <v>60</v>
      </c>
      <c r="L191" s="5"/>
      <c r="M191" s="6" t="s">
        <v>34</v>
      </c>
      <c r="N191" s="6"/>
      <c r="O191" s="5">
        <v>40</v>
      </c>
      <c r="P191" s="22" t="s">
        <v>317</v>
      </c>
      <c r="Q191" s="23"/>
      <c r="R191" s="23"/>
      <c r="S191" s="23"/>
      <c r="T191" s="24"/>
      <c r="U191" s="7"/>
      <c r="V191" s="7"/>
      <c r="W191" s="8" t="s">
        <v>27</v>
      </c>
      <c r="X191" s="58"/>
      <c r="Y191" s="19">
        <f t="shared" ref="Y191:Y199" si="3">IFERROR(IF(X191="",0,CEILING((X191/$H191),1)*$H191),"")</f>
        <v>0</v>
      </c>
    </row>
    <row r="192" spans="1:25" x14ac:dyDescent="0.25">
      <c r="A192" s="2" t="s">
        <v>318</v>
      </c>
      <c r="B192" s="2" t="s">
        <v>319</v>
      </c>
      <c r="C192" s="3">
        <v>4301051411</v>
      </c>
      <c r="D192" s="25">
        <v>4680115881617</v>
      </c>
      <c r="E192" s="26"/>
      <c r="F192" s="4">
        <v>1.35</v>
      </c>
      <c r="G192" s="5">
        <v>6</v>
      </c>
      <c r="H192" s="4">
        <v>8.1</v>
      </c>
      <c r="I192" s="4">
        <v>8.5760000000000005</v>
      </c>
      <c r="J192" s="5">
        <v>64</v>
      </c>
      <c r="K192" s="5" t="s">
        <v>60</v>
      </c>
      <c r="L192" s="5"/>
      <c r="M192" s="6" t="s">
        <v>34</v>
      </c>
      <c r="N192" s="6"/>
      <c r="O192" s="5">
        <v>40</v>
      </c>
      <c r="P192" s="22" t="s">
        <v>320</v>
      </c>
      <c r="Q192" s="23"/>
      <c r="R192" s="23"/>
      <c r="S192" s="23"/>
      <c r="T192" s="24"/>
      <c r="U192" s="7"/>
      <c r="V192" s="7"/>
      <c r="W192" s="8" t="s">
        <v>27</v>
      </c>
      <c r="X192" s="58"/>
      <c r="Y192" s="19">
        <f t="shared" si="3"/>
        <v>0</v>
      </c>
    </row>
    <row r="193" spans="1:25" x14ac:dyDescent="0.25">
      <c r="A193" s="2" t="s">
        <v>321</v>
      </c>
      <c r="B193" s="2" t="s">
        <v>322</v>
      </c>
      <c r="C193" s="3">
        <v>4301051656</v>
      </c>
      <c r="D193" s="25">
        <v>4680115880573</v>
      </c>
      <c r="E193" s="26"/>
      <c r="F193" s="4">
        <v>1.45</v>
      </c>
      <c r="G193" s="5">
        <v>6</v>
      </c>
      <c r="H193" s="4">
        <v>8.6999999999999993</v>
      </c>
      <c r="I193" s="4">
        <v>9.1940000000000008</v>
      </c>
      <c r="J193" s="5">
        <v>64</v>
      </c>
      <c r="K193" s="5" t="s">
        <v>60</v>
      </c>
      <c r="L193" s="5" t="s">
        <v>61</v>
      </c>
      <c r="M193" s="6" t="s">
        <v>34</v>
      </c>
      <c r="N193" s="6"/>
      <c r="O193" s="5">
        <v>45</v>
      </c>
      <c r="P193" s="22" t="s">
        <v>323</v>
      </c>
      <c r="Q193" s="23"/>
      <c r="R193" s="23"/>
      <c r="S193" s="23"/>
      <c r="T193" s="24"/>
      <c r="U193" s="7"/>
      <c r="V193" s="7"/>
      <c r="W193" s="8" t="s">
        <v>27</v>
      </c>
      <c r="X193" s="58"/>
      <c r="Y193" s="19">
        <f t="shared" si="3"/>
        <v>0</v>
      </c>
    </row>
    <row r="194" spans="1:25" x14ac:dyDescent="0.25">
      <c r="A194" s="2" t="s">
        <v>324</v>
      </c>
      <c r="B194" s="2" t="s">
        <v>325</v>
      </c>
      <c r="C194" s="3">
        <v>4301051407</v>
      </c>
      <c r="D194" s="25">
        <v>4680115882195</v>
      </c>
      <c r="E194" s="26"/>
      <c r="F194" s="4">
        <v>0.4</v>
      </c>
      <c r="G194" s="5">
        <v>6</v>
      </c>
      <c r="H194" s="4">
        <v>2.4</v>
      </c>
      <c r="I194" s="4">
        <v>2.67</v>
      </c>
      <c r="J194" s="5">
        <v>182</v>
      </c>
      <c r="K194" s="5" t="s">
        <v>33</v>
      </c>
      <c r="L194" s="5" t="s">
        <v>45</v>
      </c>
      <c r="M194" s="6" t="s">
        <v>34</v>
      </c>
      <c r="N194" s="6"/>
      <c r="O194" s="5">
        <v>40</v>
      </c>
      <c r="P194" s="22" t="s">
        <v>326</v>
      </c>
      <c r="Q194" s="23"/>
      <c r="R194" s="23"/>
      <c r="S194" s="23"/>
      <c r="T194" s="24"/>
      <c r="U194" s="7"/>
      <c r="V194" s="7"/>
      <c r="W194" s="8" t="s">
        <v>27</v>
      </c>
      <c r="X194" s="58"/>
      <c r="Y194" s="19">
        <f t="shared" si="3"/>
        <v>0</v>
      </c>
    </row>
    <row r="195" spans="1:25" x14ac:dyDescent="0.25">
      <c r="A195" s="2" t="s">
        <v>327</v>
      </c>
      <c r="B195" s="2" t="s">
        <v>328</v>
      </c>
      <c r="C195" s="3">
        <v>4301051752</v>
      </c>
      <c r="D195" s="25">
        <v>4680115882607</v>
      </c>
      <c r="E195" s="26"/>
      <c r="F195" s="4">
        <v>0.3</v>
      </c>
      <c r="G195" s="5">
        <v>6</v>
      </c>
      <c r="H195" s="4">
        <v>1.8</v>
      </c>
      <c r="I195" s="4">
        <v>2.052</v>
      </c>
      <c r="J195" s="5">
        <v>182</v>
      </c>
      <c r="K195" s="5" t="s">
        <v>33</v>
      </c>
      <c r="L195" s="5" t="s">
        <v>45</v>
      </c>
      <c r="M195" s="6" t="s">
        <v>41</v>
      </c>
      <c r="N195" s="6"/>
      <c r="O195" s="5">
        <v>45</v>
      </c>
      <c r="P195" s="22" t="s">
        <v>329</v>
      </c>
      <c r="Q195" s="23"/>
      <c r="R195" s="23"/>
      <c r="S195" s="23"/>
      <c r="T195" s="24"/>
      <c r="U195" s="7"/>
      <c r="V195" s="7"/>
      <c r="W195" s="8" t="s">
        <v>27</v>
      </c>
      <c r="X195" s="58"/>
      <c r="Y195" s="19">
        <f t="shared" si="3"/>
        <v>0</v>
      </c>
    </row>
    <row r="196" spans="1:25" x14ac:dyDescent="0.25">
      <c r="A196" s="2" t="s">
        <v>330</v>
      </c>
      <c r="B196" s="2" t="s">
        <v>331</v>
      </c>
      <c r="C196" s="3">
        <v>4301051666</v>
      </c>
      <c r="D196" s="25">
        <v>4680115880092</v>
      </c>
      <c r="E196" s="26"/>
      <c r="F196" s="4">
        <v>0.4</v>
      </c>
      <c r="G196" s="5">
        <v>6</v>
      </c>
      <c r="H196" s="4">
        <v>2.4</v>
      </c>
      <c r="I196" s="4">
        <v>2.6520000000000001</v>
      </c>
      <c r="J196" s="5">
        <v>182</v>
      </c>
      <c r="K196" s="5" t="s">
        <v>33</v>
      </c>
      <c r="L196" s="5" t="s">
        <v>45</v>
      </c>
      <c r="M196" s="6" t="s">
        <v>34</v>
      </c>
      <c r="N196" s="6"/>
      <c r="O196" s="5">
        <v>45</v>
      </c>
      <c r="P196" s="22" t="s">
        <v>332</v>
      </c>
      <c r="Q196" s="23"/>
      <c r="R196" s="23"/>
      <c r="S196" s="23"/>
      <c r="T196" s="24"/>
      <c r="U196" s="7"/>
      <c r="V196" s="7"/>
      <c r="W196" s="8" t="s">
        <v>27</v>
      </c>
      <c r="X196" s="58"/>
      <c r="Y196" s="19">
        <f t="shared" si="3"/>
        <v>0</v>
      </c>
    </row>
    <row r="197" spans="1:25" x14ac:dyDescent="0.25">
      <c r="A197" s="2" t="s">
        <v>333</v>
      </c>
      <c r="B197" s="2" t="s">
        <v>334</v>
      </c>
      <c r="C197" s="3">
        <v>4301051668</v>
      </c>
      <c r="D197" s="25">
        <v>4680115880221</v>
      </c>
      <c r="E197" s="26"/>
      <c r="F197" s="4">
        <v>0.4</v>
      </c>
      <c r="G197" s="5">
        <v>6</v>
      </c>
      <c r="H197" s="4">
        <v>2.4</v>
      </c>
      <c r="I197" s="4">
        <v>2.6520000000000001</v>
      </c>
      <c r="J197" s="5">
        <v>182</v>
      </c>
      <c r="K197" s="5" t="s">
        <v>33</v>
      </c>
      <c r="L197" s="5" t="s">
        <v>45</v>
      </c>
      <c r="M197" s="6" t="s">
        <v>34</v>
      </c>
      <c r="N197" s="6"/>
      <c r="O197" s="5">
        <v>45</v>
      </c>
      <c r="P197" s="22" t="s">
        <v>335</v>
      </c>
      <c r="Q197" s="23"/>
      <c r="R197" s="23"/>
      <c r="S197" s="23"/>
      <c r="T197" s="24"/>
      <c r="U197" s="7"/>
      <c r="V197" s="7"/>
      <c r="W197" s="8" t="s">
        <v>27</v>
      </c>
      <c r="X197" s="58"/>
      <c r="Y197" s="19">
        <f t="shared" si="3"/>
        <v>0</v>
      </c>
    </row>
    <row r="198" spans="1:25" x14ac:dyDescent="0.25">
      <c r="A198" s="2" t="s">
        <v>336</v>
      </c>
      <c r="B198" s="2" t="s">
        <v>337</v>
      </c>
      <c r="C198" s="3">
        <v>4301051945</v>
      </c>
      <c r="D198" s="25">
        <v>4680115880504</v>
      </c>
      <c r="E198" s="26"/>
      <c r="F198" s="4">
        <v>0.4</v>
      </c>
      <c r="G198" s="5">
        <v>6</v>
      </c>
      <c r="H198" s="4">
        <v>2.4</v>
      </c>
      <c r="I198" s="4">
        <v>2.6520000000000001</v>
      </c>
      <c r="J198" s="5">
        <v>182</v>
      </c>
      <c r="K198" s="5" t="s">
        <v>33</v>
      </c>
      <c r="L198" s="5" t="s">
        <v>45</v>
      </c>
      <c r="M198" s="6" t="s">
        <v>41</v>
      </c>
      <c r="N198" s="6"/>
      <c r="O198" s="5">
        <v>40</v>
      </c>
      <c r="P198" s="22" t="s">
        <v>338</v>
      </c>
      <c r="Q198" s="23"/>
      <c r="R198" s="23"/>
      <c r="S198" s="23"/>
      <c r="T198" s="24"/>
      <c r="U198" s="7"/>
      <c r="V198" s="7"/>
      <c r="W198" s="8" t="s">
        <v>27</v>
      </c>
      <c r="X198" s="58"/>
      <c r="Y198" s="19">
        <f t="shared" si="3"/>
        <v>0</v>
      </c>
    </row>
    <row r="199" spans="1:25" x14ac:dyDescent="0.25">
      <c r="A199" s="2" t="s">
        <v>339</v>
      </c>
      <c r="B199" s="2" t="s">
        <v>340</v>
      </c>
      <c r="C199" s="3">
        <v>4301051410</v>
      </c>
      <c r="D199" s="25">
        <v>4680115882164</v>
      </c>
      <c r="E199" s="26"/>
      <c r="F199" s="4">
        <v>0.4</v>
      </c>
      <c r="G199" s="5">
        <v>6</v>
      </c>
      <c r="H199" s="4">
        <v>2.4</v>
      </c>
      <c r="I199" s="4">
        <v>2.6579999999999999</v>
      </c>
      <c r="J199" s="5">
        <v>182</v>
      </c>
      <c r="K199" s="5" t="s">
        <v>33</v>
      </c>
      <c r="L199" s="5" t="s">
        <v>45</v>
      </c>
      <c r="M199" s="6" t="s">
        <v>34</v>
      </c>
      <c r="N199" s="6"/>
      <c r="O199" s="5">
        <v>40</v>
      </c>
      <c r="P199" s="22" t="s">
        <v>341</v>
      </c>
      <c r="Q199" s="23"/>
      <c r="R199" s="23"/>
      <c r="S199" s="23"/>
      <c r="T199" s="24"/>
      <c r="U199" s="7"/>
      <c r="V199" s="7"/>
      <c r="W199" s="8" t="s">
        <v>27</v>
      </c>
      <c r="X199" s="58"/>
      <c r="Y199" s="19">
        <f t="shared" si="3"/>
        <v>0</v>
      </c>
    </row>
    <row r="200" spans="1:25" x14ac:dyDescent="0.25">
      <c r="A200" s="27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9"/>
      <c r="P200" s="30" t="s">
        <v>28</v>
      </c>
      <c r="Q200" s="31"/>
      <c r="R200" s="31"/>
      <c r="S200" s="31"/>
      <c r="T200" s="31"/>
      <c r="U200" s="31"/>
      <c r="V200" s="32"/>
      <c r="W200" s="9" t="s">
        <v>29</v>
      </c>
      <c r="X200" s="20"/>
      <c r="Y200" s="20">
        <f>IFERROR(Y191/H191,"0")+IFERROR(Y192/H192,"0")+IFERROR(Y193/H193,"0")+IFERROR(Y194/H194,"0")+IFERROR(Y195/H195,"0")+IFERROR(Y196/H196,"0")+IFERROR(Y197/H197,"0")+IFERROR(Y198/H198,"0")+IFERROR(Y199/H199,"0")</f>
        <v>0</v>
      </c>
    </row>
    <row r="201" spans="1:2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9"/>
      <c r="P201" s="30" t="s">
        <v>28</v>
      </c>
      <c r="Q201" s="31"/>
      <c r="R201" s="31"/>
      <c r="S201" s="31"/>
      <c r="T201" s="31"/>
      <c r="U201" s="31"/>
      <c r="V201" s="32"/>
      <c r="W201" s="9" t="s">
        <v>27</v>
      </c>
      <c r="X201" s="20"/>
      <c r="Y201" s="20">
        <f>IFERROR(SUM(Y191:Y199),"0")</f>
        <v>0</v>
      </c>
    </row>
    <row r="202" spans="1:25" x14ac:dyDescent="0.25">
      <c r="A202" t="s">
        <v>125</v>
      </c>
    </row>
    <row r="203" spans="1:25" x14ac:dyDescent="0.25">
      <c r="A203" s="2" t="s">
        <v>342</v>
      </c>
      <c r="B203" s="2" t="s">
        <v>343</v>
      </c>
      <c r="C203" s="3">
        <v>4301060463</v>
      </c>
      <c r="D203" s="25">
        <v>4680115880818</v>
      </c>
      <c r="E203" s="26"/>
      <c r="F203" s="4">
        <v>0.4</v>
      </c>
      <c r="G203" s="5">
        <v>6</v>
      </c>
      <c r="H203" s="4">
        <v>2.4</v>
      </c>
      <c r="I203" s="4">
        <v>2.6520000000000001</v>
      </c>
      <c r="J203" s="5">
        <v>182</v>
      </c>
      <c r="K203" s="5" t="s">
        <v>33</v>
      </c>
      <c r="L203" s="5" t="s">
        <v>45</v>
      </c>
      <c r="M203" s="6" t="s">
        <v>41</v>
      </c>
      <c r="N203" s="6"/>
      <c r="O203" s="5">
        <v>40</v>
      </c>
      <c r="P203" s="22" t="s">
        <v>344</v>
      </c>
      <c r="Q203" s="23"/>
      <c r="R203" s="23"/>
      <c r="S203" s="23"/>
      <c r="T203" s="24"/>
      <c r="U203" s="7"/>
      <c r="V203" s="7"/>
      <c r="W203" s="8" t="s">
        <v>27</v>
      </c>
      <c r="X203" s="58"/>
      <c r="Y203" s="19">
        <f>IFERROR(IF(X203="",0,CEILING((X203/$H203),1)*$H203),"")</f>
        <v>0</v>
      </c>
    </row>
    <row r="204" spans="1:25" x14ac:dyDescent="0.25">
      <c r="A204" s="2" t="s">
        <v>345</v>
      </c>
      <c r="B204" s="2" t="s">
        <v>346</v>
      </c>
      <c r="C204" s="3">
        <v>4301060389</v>
      </c>
      <c r="D204" s="25">
        <v>4680115880801</v>
      </c>
      <c r="E204" s="26"/>
      <c r="F204" s="4">
        <v>0.4</v>
      </c>
      <c r="G204" s="5">
        <v>6</v>
      </c>
      <c r="H204" s="4">
        <v>2.4</v>
      </c>
      <c r="I204" s="4">
        <v>2.6520000000000001</v>
      </c>
      <c r="J204" s="5">
        <v>182</v>
      </c>
      <c r="K204" s="5" t="s">
        <v>33</v>
      </c>
      <c r="L204" s="5"/>
      <c r="M204" s="6" t="s">
        <v>34</v>
      </c>
      <c r="N204" s="6"/>
      <c r="O204" s="5">
        <v>40</v>
      </c>
      <c r="P204" s="22" t="s">
        <v>347</v>
      </c>
      <c r="Q204" s="23"/>
      <c r="R204" s="23"/>
      <c r="S204" s="23"/>
      <c r="T204" s="24"/>
      <c r="U204" s="7"/>
      <c r="V204" s="7"/>
      <c r="W204" s="8" t="s">
        <v>27</v>
      </c>
      <c r="X204" s="58"/>
      <c r="Y204" s="19">
        <f>IFERROR(IF(X204="",0,CEILING((X204/$H204),1)*$H204),"")</f>
        <v>0</v>
      </c>
    </row>
    <row r="205" spans="1:25" x14ac:dyDescent="0.25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9"/>
      <c r="P205" s="30" t="s">
        <v>28</v>
      </c>
      <c r="Q205" s="31"/>
      <c r="R205" s="31"/>
      <c r="S205" s="31"/>
      <c r="T205" s="31"/>
      <c r="U205" s="31"/>
      <c r="V205" s="32"/>
      <c r="W205" s="9" t="s">
        <v>29</v>
      </c>
      <c r="X205" s="20"/>
      <c r="Y205" s="20">
        <f>IFERROR(Y203/H203,"0")+IFERROR(Y204/H204,"0")</f>
        <v>0</v>
      </c>
    </row>
    <row r="206" spans="1:2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9"/>
      <c r="P206" s="30" t="s">
        <v>28</v>
      </c>
      <c r="Q206" s="31"/>
      <c r="R206" s="31"/>
      <c r="S206" s="31"/>
      <c r="T206" s="31"/>
      <c r="U206" s="31"/>
      <c r="V206" s="32"/>
      <c r="W206" s="9" t="s">
        <v>27</v>
      </c>
      <c r="X206" s="20"/>
      <c r="Y206" s="20">
        <f>IFERROR(SUM(Y203:Y204),"0")</f>
        <v>0</v>
      </c>
    </row>
    <row r="207" spans="1:25" x14ac:dyDescent="0.25">
      <c r="A207" t="s">
        <v>348</v>
      </c>
    </row>
    <row r="208" spans="1:25" x14ac:dyDescent="0.25">
      <c r="A208" t="s">
        <v>57</v>
      </c>
    </row>
    <row r="209" spans="1:25" x14ac:dyDescent="0.25">
      <c r="A209" s="2" t="s">
        <v>349</v>
      </c>
      <c r="B209" s="2" t="s">
        <v>350</v>
      </c>
      <c r="C209" s="3">
        <v>4301011826</v>
      </c>
      <c r="D209" s="25">
        <v>4680115884137</v>
      </c>
      <c r="E209" s="26"/>
      <c r="F209" s="4">
        <v>1.45</v>
      </c>
      <c r="G209" s="5">
        <v>8</v>
      </c>
      <c r="H209" s="4">
        <v>11.6</v>
      </c>
      <c r="I209" s="4">
        <v>12.01</v>
      </c>
      <c r="J209" s="5">
        <v>64</v>
      </c>
      <c r="K209" s="5" t="s">
        <v>60</v>
      </c>
      <c r="L209" s="5"/>
      <c r="M209" s="6" t="s">
        <v>62</v>
      </c>
      <c r="N209" s="6"/>
      <c r="O209" s="5">
        <v>55</v>
      </c>
      <c r="P209" s="22" t="s">
        <v>351</v>
      </c>
      <c r="Q209" s="23"/>
      <c r="R209" s="23"/>
      <c r="S209" s="23"/>
      <c r="T209" s="24"/>
      <c r="U209" s="7"/>
      <c r="V209" s="7"/>
      <c r="W209" s="8" t="s">
        <v>27</v>
      </c>
      <c r="X209" s="58"/>
      <c r="Y209" s="19">
        <f t="shared" ref="Y209:Y218" si="4">IFERROR(IF(X209="",0,CEILING((X209/$H209),1)*$H209),"")</f>
        <v>0</v>
      </c>
    </row>
    <row r="210" spans="1:25" x14ac:dyDescent="0.25">
      <c r="A210" s="2" t="s">
        <v>352</v>
      </c>
      <c r="B210" s="2" t="s">
        <v>353</v>
      </c>
      <c r="C210" s="3">
        <v>4301011724</v>
      </c>
      <c r="D210" s="25">
        <v>4680115884236</v>
      </c>
      <c r="E210" s="26"/>
      <c r="F210" s="4">
        <v>1.45</v>
      </c>
      <c r="G210" s="5">
        <v>8</v>
      </c>
      <c r="H210" s="4">
        <v>11.6</v>
      </c>
      <c r="I210" s="4">
        <v>12.01</v>
      </c>
      <c r="J210" s="5">
        <v>64</v>
      </c>
      <c r="K210" s="5" t="s">
        <v>60</v>
      </c>
      <c r="L210" s="5"/>
      <c r="M210" s="6" t="s">
        <v>62</v>
      </c>
      <c r="N210" s="6"/>
      <c r="O210" s="5">
        <v>55</v>
      </c>
      <c r="P210" s="22" t="s">
        <v>354</v>
      </c>
      <c r="Q210" s="23"/>
      <c r="R210" s="23"/>
      <c r="S210" s="23"/>
      <c r="T210" s="24"/>
      <c r="U210" s="7"/>
      <c r="V210" s="7"/>
      <c r="W210" s="8" t="s">
        <v>27</v>
      </c>
      <c r="X210" s="58"/>
      <c r="Y210" s="19">
        <f t="shared" si="4"/>
        <v>0</v>
      </c>
    </row>
    <row r="211" spans="1:25" x14ac:dyDescent="0.25">
      <c r="A211" s="2" t="s">
        <v>355</v>
      </c>
      <c r="B211" s="2" t="s">
        <v>356</v>
      </c>
      <c r="C211" s="3">
        <v>4301011721</v>
      </c>
      <c r="D211" s="25">
        <v>4680115884175</v>
      </c>
      <c r="E211" s="26"/>
      <c r="F211" s="4">
        <v>1.45</v>
      </c>
      <c r="G211" s="5">
        <v>8</v>
      </c>
      <c r="H211" s="4">
        <v>11.6</v>
      </c>
      <c r="I211" s="4">
        <v>12.01</v>
      </c>
      <c r="J211" s="5">
        <v>64</v>
      </c>
      <c r="K211" s="5" t="s">
        <v>60</v>
      </c>
      <c r="L211" s="5"/>
      <c r="M211" s="6" t="s">
        <v>62</v>
      </c>
      <c r="N211" s="6"/>
      <c r="O211" s="5">
        <v>55</v>
      </c>
      <c r="P211" s="22" t="s">
        <v>357</v>
      </c>
      <c r="Q211" s="23"/>
      <c r="R211" s="23"/>
      <c r="S211" s="23"/>
      <c r="T211" s="24"/>
      <c r="U211" s="7"/>
      <c r="V211" s="7"/>
      <c r="W211" s="8" t="s">
        <v>27</v>
      </c>
      <c r="X211" s="58"/>
      <c r="Y211" s="19">
        <f t="shared" si="4"/>
        <v>0</v>
      </c>
    </row>
    <row r="212" spans="1:25" x14ac:dyDescent="0.25">
      <c r="A212" s="2" t="s">
        <v>358</v>
      </c>
      <c r="B212" s="2" t="s">
        <v>359</v>
      </c>
      <c r="C212" s="3">
        <v>4301011824</v>
      </c>
      <c r="D212" s="25">
        <v>4680115884144</v>
      </c>
      <c r="E212" s="26"/>
      <c r="F212" s="4">
        <v>0.4</v>
      </c>
      <c r="G212" s="5">
        <v>10</v>
      </c>
      <c r="H212" s="4">
        <v>4</v>
      </c>
      <c r="I212" s="4">
        <v>4.1900000000000004</v>
      </c>
      <c r="J212" s="5">
        <v>132</v>
      </c>
      <c r="K212" s="5" t="s">
        <v>66</v>
      </c>
      <c r="L212" s="5" t="s">
        <v>67</v>
      </c>
      <c r="M212" s="6" t="s">
        <v>62</v>
      </c>
      <c r="N212" s="6"/>
      <c r="O212" s="5">
        <v>55</v>
      </c>
      <c r="P212" s="22" t="s">
        <v>360</v>
      </c>
      <c r="Q212" s="23"/>
      <c r="R212" s="23"/>
      <c r="S212" s="23"/>
      <c r="T212" s="24"/>
      <c r="U212" s="7"/>
      <c r="V212" s="7"/>
      <c r="W212" s="8" t="s">
        <v>27</v>
      </c>
      <c r="X212" s="58"/>
      <c r="Y212" s="19">
        <f t="shared" si="4"/>
        <v>0</v>
      </c>
    </row>
    <row r="213" spans="1:25" x14ac:dyDescent="0.25">
      <c r="A213" s="2" t="s">
        <v>358</v>
      </c>
      <c r="B213" s="2" t="s">
        <v>361</v>
      </c>
      <c r="C213" s="3">
        <v>4301012196</v>
      </c>
      <c r="D213" s="25">
        <v>4680115884144</v>
      </c>
      <c r="E213" s="26"/>
      <c r="F213" s="4">
        <v>0.4</v>
      </c>
      <c r="G213" s="5">
        <v>10</v>
      </c>
      <c r="H213" s="4">
        <v>4</v>
      </c>
      <c r="I213" s="4">
        <v>4.1900000000000004</v>
      </c>
      <c r="J213" s="5">
        <v>132</v>
      </c>
      <c r="K213" s="5" t="s">
        <v>66</v>
      </c>
      <c r="L213" s="5"/>
      <c r="M213" s="6" t="s">
        <v>62</v>
      </c>
      <c r="N213" s="6"/>
      <c r="O213" s="5">
        <v>55</v>
      </c>
      <c r="P213" s="22" t="s">
        <v>362</v>
      </c>
      <c r="Q213" s="23"/>
      <c r="R213" s="23"/>
      <c r="S213" s="23"/>
      <c r="T213" s="24"/>
      <c r="U213" s="7"/>
      <c r="V213" s="7"/>
      <c r="W213" s="8" t="s">
        <v>27</v>
      </c>
      <c r="X213" s="58"/>
      <c r="Y213" s="19">
        <f t="shared" si="4"/>
        <v>0</v>
      </c>
    </row>
    <row r="214" spans="1:25" x14ac:dyDescent="0.25">
      <c r="A214" s="2" t="s">
        <v>363</v>
      </c>
      <c r="B214" s="2" t="s">
        <v>364</v>
      </c>
      <c r="C214" s="3">
        <v>4301012149</v>
      </c>
      <c r="D214" s="25">
        <v>4680115886551</v>
      </c>
      <c r="E214" s="26"/>
      <c r="F214" s="4">
        <v>0.4</v>
      </c>
      <c r="G214" s="5">
        <v>10</v>
      </c>
      <c r="H214" s="4">
        <v>4</v>
      </c>
      <c r="I214" s="4">
        <v>4.1900000000000004</v>
      </c>
      <c r="J214" s="5">
        <v>132</v>
      </c>
      <c r="K214" s="5" t="s">
        <v>66</v>
      </c>
      <c r="L214" s="5"/>
      <c r="M214" s="6" t="s">
        <v>62</v>
      </c>
      <c r="N214" s="6"/>
      <c r="O214" s="5">
        <v>55</v>
      </c>
      <c r="P214" s="22" t="s">
        <v>365</v>
      </c>
      <c r="Q214" s="23"/>
      <c r="R214" s="23"/>
      <c r="S214" s="23"/>
      <c r="T214" s="24"/>
      <c r="U214" s="7"/>
      <c r="V214" s="7"/>
      <c r="W214" s="8" t="s">
        <v>27</v>
      </c>
      <c r="X214" s="58"/>
      <c r="Y214" s="19">
        <f t="shared" si="4"/>
        <v>0</v>
      </c>
    </row>
    <row r="215" spans="1:25" x14ac:dyDescent="0.25">
      <c r="A215" s="2" t="s">
        <v>366</v>
      </c>
      <c r="B215" s="2" t="s">
        <v>367</v>
      </c>
      <c r="C215" s="3">
        <v>4301011726</v>
      </c>
      <c r="D215" s="25">
        <v>4680115884182</v>
      </c>
      <c r="E215" s="26"/>
      <c r="F215" s="4">
        <v>0.37</v>
      </c>
      <c r="G215" s="5">
        <v>10</v>
      </c>
      <c r="H215" s="4">
        <v>3.7</v>
      </c>
      <c r="I215" s="4">
        <v>3.89</v>
      </c>
      <c r="J215" s="5">
        <v>132</v>
      </c>
      <c r="K215" s="5" t="s">
        <v>66</v>
      </c>
      <c r="L215" s="5"/>
      <c r="M215" s="6" t="s">
        <v>62</v>
      </c>
      <c r="N215" s="6"/>
      <c r="O215" s="5">
        <v>55</v>
      </c>
      <c r="P215" s="22" t="s">
        <v>368</v>
      </c>
      <c r="Q215" s="23"/>
      <c r="R215" s="23"/>
      <c r="S215" s="23"/>
      <c r="T215" s="24"/>
      <c r="U215" s="7"/>
      <c r="V215" s="7"/>
      <c r="W215" s="8" t="s">
        <v>27</v>
      </c>
      <c r="X215" s="58"/>
      <c r="Y215" s="19">
        <f t="shared" si="4"/>
        <v>0</v>
      </c>
    </row>
    <row r="216" spans="1:25" x14ac:dyDescent="0.25">
      <c r="A216" s="2" t="s">
        <v>369</v>
      </c>
      <c r="B216" s="2" t="s">
        <v>370</v>
      </c>
      <c r="C216" s="3">
        <v>4301012228</v>
      </c>
      <c r="D216" s="25">
        <v>4680115887282</v>
      </c>
      <c r="E216" s="26"/>
      <c r="F216" s="4">
        <v>0.4</v>
      </c>
      <c r="G216" s="5">
        <v>6</v>
      </c>
      <c r="H216" s="4">
        <v>2.4</v>
      </c>
      <c r="I216" s="4">
        <v>2.58</v>
      </c>
      <c r="J216" s="5">
        <v>182</v>
      </c>
      <c r="K216" s="5" t="s">
        <v>33</v>
      </c>
      <c r="L216" s="5"/>
      <c r="M216" s="6" t="s">
        <v>62</v>
      </c>
      <c r="N216" s="6"/>
      <c r="O216" s="5">
        <v>55</v>
      </c>
      <c r="P216" s="22" t="s">
        <v>371</v>
      </c>
      <c r="Q216" s="23"/>
      <c r="R216" s="23"/>
      <c r="S216" s="23"/>
      <c r="T216" s="24"/>
      <c r="U216" s="7"/>
      <c r="V216" s="7"/>
      <c r="W216" s="8" t="s">
        <v>27</v>
      </c>
      <c r="X216" s="58"/>
      <c r="Y216" s="19">
        <f t="shared" si="4"/>
        <v>0</v>
      </c>
    </row>
    <row r="217" spans="1:25" x14ac:dyDescent="0.25">
      <c r="A217" s="2" t="s">
        <v>372</v>
      </c>
      <c r="B217" s="2" t="s">
        <v>373</v>
      </c>
      <c r="C217" s="3">
        <v>4301011722</v>
      </c>
      <c r="D217" s="25">
        <v>4680115884205</v>
      </c>
      <c r="E217" s="26"/>
      <c r="F217" s="4">
        <v>0.4</v>
      </c>
      <c r="G217" s="5">
        <v>10</v>
      </c>
      <c r="H217" s="4">
        <v>4</v>
      </c>
      <c r="I217" s="4">
        <v>4.1900000000000004</v>
      </c>
      <c r="J217" s="5">
        <v>132</v>
      </c>
      <c r="K217" s="5" t="s">
        <v>66</v>
      </c>
      <c r="L217" s="5" t="s">
        <v>67</v>
      </c>
      <c r="M217" s="6" t="s">
        <v>62</v>
      </c>
      <c r="N217" s="6"/>
      <c r="O217" s="5">
        <v>55</v>
      </c>
      <c r="P217" s="22" t="s">
        <v>374</v>
      </c>
      <c r="Q217" s="23"/>
      <c r="R217" s="23"/>
      <c r="S217" s="23"/>
      <c r="T217" s="24"/>
      <c r="U217" s="7"/>
      <c r="V217" s="7"/>
      <c r="W217" s="8" t="s">
        <v>27</v>
      </c>
      <c r="X217" s="58"/>
      <c r="Y217" s="19">
        <f t="shared" si="4"/>
        <v>0</v>
      </c>
    </row>
    <row r="218" spans="1:25" x14ac:dyDescent="0.25">
      <c r="A218" s="2" t="s">
        <v>372</v>
      </c>
      <c r="B218" s="2" t="s">
        <v>375</v>
      </c>
      <c r="C218" s="3">
        <v>4301012195</v>
      </c>
      <c r="D218" s="25">
        <v>4680115884205</v>
      </c>
      <c r="E218" s="26"/>
      <c r="F218" s="4">
        <v>0.4</v>
      </c>
      <c r="G218" s="5">
        <v>10</v>
      </c>
      <c r="H218" s="4">
        <v>4</v>
      </c>
      <c r="I218" s="4">
        <v>4.1900000000000004</v>
      </c>
      <c r="J218" s="5">
        <v>132</v>
      </c>
      <c r="K218" s="5" t="s">
        <v>66</v>
      </c>
      <c r="L218" s="5"/>
      <c r="M218" s="6" t="s">
        <v>62</v>
      </c>
      <c r="N218" s="6"/>
      <c r="O218" s="5">
        <v>55</v>
      </c>
      <c r="P218" s="22" t="s">
        <v>376</v>
      </c>
      <c r="Q218" s="23"/>
      <c r="R218" s="23"/>
      <c r="S218" s="23"/>
      <c r="T218" s="24"/>
      <c r="U218" s="7"/>
      <c r="V218" s="7"/>
      <c r="W218" s="8" t="s">
        <v>27</v>
      </c>
      <c r="X218" s="58"/>
      <c r="Y218" s="19">
        <f t="shared" si="4"/>
        <v>0</v>
      </c>
    </row>
    <row r="219" spans="1:25" x14ac:dyDescent="0.25">
      <c r="A219" s="27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9"/>
      <c r="P219" s="30" t="s">
        <v>28</v>
      </c>
      <c r="Q219" s="31"/>
      <c r="R219" s="31"/>
      <c r="S219" s="31"/>
      <c r="T219" s="31"/>
      <c r="U219" s="31"/>
      <c r="V219" s="32"/>
      <c r="W219" s="9" t="s">
        <v>29</v>
      </c>
      <c r="X219" s="20"/>
      <c r="Y219" s="20">
        <f>IFERROR(Y209/H209,"0")+IFERROR(Y210/H210,"0")+IFERROR(Y211/H211,"0")+IFERROR(Y212/H212,"0")+IFERROR(Y213/H213,"0")+IFERROR(Y214/H214,"0")+IFERROR(Y215/H215,"0")+IFERROR(Y216/H216,"0")+IFERROR(Y217/H217,"0")+IFERROR(Y218/H218,"0")</f>
        <v>0</v>
      </c>
    </row>
    <row r="220" spans="1:2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9"/>
      <c r="P220" s="30" t="s">
        <v>28</v>
      </c>
      <c r="Q220" s="31"/>
      <c r="R220" s="31"/>
      <c r="S220" s="31"/>
      <c r="T220" s="31"/>
      <c r="U220" s="31"/>
      <c r="V220" s="32"/>
      <c r="W220" s="9" t="s">
        <v>27</v>
      </c>
      <c r="X220" s="20"/>
      <c r="Y220" s="20">
        <f>IFERROR(SUM(Y209:Y218),"0")</f>
        <v>0</v>
      </c>
    </row>
    <row r="221" spans="1:25" x14ac:dyDescent="0.25">
      <c r="A221" t="s">
        <v>94</v>
      </c>
    </row>
    <row r="222" spans="1:25" x14ac:dyDescent="0.25">
      <c r="A222" s="2" t="s">
        <v>377</v>
      </c>
      <c r="B222" s="2" t="s">
        <v>378</v>
      </c>
      <c r="C222" s="3">
        <v>4301020377</v>
      </c>
      <c r="D222" s="25">
        <v>4680115885981</v>
      </c>
      <c r="E222" s="26"/>
      <c r="F222" s="4">
        <v>0.33</v>
      </c>
      <c r="G222" s="5">
        <v>6</v>
      </c>
      <c r="H222" s="4">
        <v>1.98</v>
      </c>
      <c r="I222" s="4">
        <v>2.08</v>
      </c>
      <c r="J222" s="5">
        <v>234</v>
      </c>
      <c r="K222" s="5" t="s">
        <v>24</v>
      </c>
      <c r="L222" s="5"/>
      <c r="M222" s="6" t="s">
        <v>34</v>
      </c>
      <c r="N222" s="6"/>
      <c r="O222" s="5">
        <v>50</v>
      </c>
      <c r="P222" s="22" t="s">
        <v>379</v>
      </c>
      <c r="Q222" s="23"/>
      <c r="R222" s="23"/>
      <c r="S222" s="23"/>
      <c r="T222" s="24"/>
      <c r="U222" s="7"/>
      <c r="V222" s="7"/>
      <c r="W222" s="8" t="s">
        <v>27</v>
      </c>
      <c r="X222" s="58"/>
      <c r="Y222" s="19">
        <f>IFERROR(IF(X222="",0,CEILING((X222/$H222),1)*$H222),"")</f>
        <v>0</v>
      </c>
    </row>
    <row r="223" spans="1:25" x14ac:dyDescent="0.25">
      <c r="A223" s="27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9"/>
      <c r="P223" s="30" t="s">
        <v>28</v>
      </c>
      <c r="Q223" s="31"/>
      <c r="R223" s="31"/>
      <c r="S223" s="31"/>
      <c r="T223" s="31"/>
      <c r="U223" s="31"/>
      <c r="V223" s="32"/>
      <c r="W223" s="9" t="s">
        <v>29</v>
      </c>
      <c r="X223" s="20"/>
      <c r="Y223" s="20">
        <f>IFERROR(Y222/H222,"0")</f>
        <v>0</v>
      </c>
    </row>
    <row r="224" spans="1:2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9"/>
      <c r="P224" s="30" t="s">
        <v>28</v>
      </c>
      <c r="Q224" s="31"/>
      <c r="R224" s="31"/>
      <c r="S224" s="31"/>
      <c r="T224" s="31"/>
      <c r="U224" s="31"/>
      <c r="V224" s="32"/>
      <c r="W224" s="9" t="s">
        <v>27</v>
      </c>
      <c r="X224" s="20"/>
      <c r="Y224" s="20">
        <f>IFERROR(SUM(Y222:Y222),"0")</f>
        <v>0</v>
      </c>
    </row>
    <row r="225" spans="1:25" x14ac:dyDescent="0.25">
      <c r="A225" t="s">
        <v>380</v>
      </c>
    </row>
    <row r="226" spans="1:25" x14ac:dyDescent="0.25">
      <c r="A226" s="2" t="s">
        <v>381</v>
      </c>
      <c r="B226" s="2" t="s">
        <v>382</v>
      </c>
      <c r="C226" s="3">
        <v>4301040362</v>
      </c>
      <c r="D226" s="25">
        <v>4680115886803</v>
      </c>
      <c r="E226" s="26"/>
      <c r="F226" s="4">
        <v>0.12</v>
      </c>
      <c r="G226" s="5">
        <v>15</v>
      </c>
      <c r="H226" s="4">
        <v>1.8</v>
      </c>
      <c r="I226" s="4">
        <v>1.9750000000000001</v>
      </c>
      <c r="J226" s="5">
        <v>216</v>
      </c>
      <c r="K226" s="5" t="s">
        <v>265</v>
      </c>
      <c r="L226" s="5"/>
      <c r="M226" s="6" t="s">
        <v>266</v>
      </c>
      <c r="N226" s="6"/>
      <c r="O226" s="5">
        <v>45</v>
      </c>
      <c r="P226" s="22" t="s">
        <v>383</v>
      </c>
      <c r="Q226" s="23"/>
      <c r="R226" s="23"/>
      <c r="S226" s="23"/>
      <c r="T226" s="24"/>
      <c r="U226" s="7"/>
      <c r="V226" s="7"/>
      <c r="W226" s="8" t="s">
        <v>27</v>
      </c>
      <c r="X226" s="58"/>
      <c r="Y226" s="19">
        <f>IFERROR(IF(X226="",0,CEILING((X226/$H226),1)*$H226),"")</f>
        <v>0</v>
      </c>
    </row>
    <row r="227" spans="1:25" x14ac:dyDescent="0.25">
      <c r="A227" s="27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9"/>
      <c r="P227" s="30" t="s">
        <v>28</v>
      </c>
      <c r="Q227" s="31"/>
      <c r="R227" s="31"/>
      <c r="S227" s="31"/>
      <c r="T227" s="31"/>
      <c r="U227" s="31"/>
      <c r="V227" s="32"/>
      <c r="W227" s="9" t="s">
        <v>29</v>
      </c>
      <c r="X227" s="20"/>
      <c r="Y227" s="20">
        <f>IFERROR(Y226/H226,"0")</f>
        <v>0</v>
      </c>
    </row>
    <row r="228" spans="1:2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9"/>
      <c r="P228" s="30" t="s">
        <v>28</v>
      </c>
      <c r="Q228" s="31"/>
      <c r="R228" s="31"/>
      <c r="S228" s="31"/>
      <c r="T228" s="31"/>
      <c r="U228" s="31"/>
      <c r="V228" s="32"/>
      <c r="W228" s="9" t="s">
        <v>27</v>
      </c>
      <c r="X228" s="20"/>
      <c r="Y228" s="20">
        <f>IFERROR(SUM(Y226:Y226),"0")</f>
        <v>0</v>
      </c>
    </row>
    <row r="229" spans="1:25" x14ac:dyDescent="0.25">
      <c r="A229" t="s">
        <v>384</v>
      </c>
    </row>
    <row r="230" spans="1:25" x14ac:dyDescent="0.25">
      <c r="A230" s="2" t="s">
        <v>385</v>
      </c>
      <c r="B230" s="2" t="s">
        <v>386</v>
      </c>
      <c r="C230" s="3">
        <v>4301041004</v>
      </c>
      <c r="D230" s="25">
        <v>4680115886704</v>
      </c>
      <c r="E230" s="26"/>
      <c r="F230" s="4">
        <v>5.5E-2</v>
      </c>
      <c r="G230" s="5">
        <v>18</v>
      </c>
      <c r="H230" s="4">
        <v>0.99</v>
      </c>
      <c r="I230" s="4">
        <v>1.18</v>
      </c>
      <c r="J230" s="5">
        <v>216</v>
      </c>
      <c r="K230" s="5" t="s">
        <v>265</v>
      </c>
      <c r="L230" s="5"/>
      <c r="M230" s="6" t="s">
        <v>266</v>
      </c>
      <c r="N230" s="6"/>
      <c r="O230" s="5">
        <v>90</v>
      </c>
      <c r="P230" s="22" t="s">
        <v>387</v>
      </c>
      <c r="Q230" s="23"/>
      <c r="R230" s="23"/>
      <c r="S230" s="23"/>
      <c r="T230" s="24"/>
      <c r="U230" s="7"/>
      <c r="V230" s="7"/>
      <c r="W230" s="8" t="s">
        <v>27</v>
      </c>
      <c r="X230" s="58"/>
      <c r="Y230" s="19">
        <f>IFERROR(IF(X230="",0,CEILING((X230/$H230),1)*$H230),"")</f>
        <v>0</v>
      </c>
    </row>
    <row r="231" spans="1:25" x14ac:dyDescent="0.25">
      <c r="A231" s="2" t="s">
        <v>388</v>
      </c>
      <c r="B231" s="2" t="s">
        <v>389</v>
      </c>
      <c r="C231" s="3">
        <v>4301041008</v>
      </c>
      <c r="D231" s="25">
        <v>4680115886681</v>
      </c>
      <c r="E231" s="26"/>
      <c r="F231" s="4">
        <v>0.12</v>
      </c>
      <c r="G231" s="5">
        <v>15</v>
      </c>
      <c r="H231" s="4">
        <v>1.8</v>
      </c>
      <c r="I231" s="4">
        <v>1.9750000000000001</v>
      </c>
      <c r="J231" s="5">
        <v>216</v>
      </c>
      <c r="K231" s="5" t="s">
        <v>265</v>
      </c>
      <c r="L231" s="5"/>
      <c r="M231" s="6" t="s">
        <v>266</v>
      </c>
      <c r="N231" s="6"/>
      <c r="O231" s="5">
        <v>90</v>
      </c>
      <c r="P231" s="22" t="s">
        <v>390</v>
      </c>
      <c r="Q231" s="23"/>
      <c r="R231" s="23"/>
      <c r="S231" s="23"/>
      <c r="T231" s="24"/>
      <c r="U231" s="7"/>
      <c r="V231" s="7"/>
      <c r="W231" s="8" t="s">
        <v>27</v>
      </c>
      <c r="X231" s="58"/>
      <c r="Y231" s="19">
        <f>IFERROR(IF(X231="",0,CEILING((X231/$H231),1)*$H231),"")</f>
        <v>0</v>
      </c>
    </row>
    <row r="232" spans="1:25" x14ac:dyDescent="0.25">
      <c r="A232" s="2" t="s">
        <v>391</v>
      </c>
      <c r="B232" s="2" t="s">
        <v>392</v>
      </c>
      <c r="C232" s="3">
        <v>4301041007</v>
      </c>
      <c r="D232" s="25">
        <v>4680115886735</v>
      </c>
      <c r="E232" s="26"/>
      <c r="F232" s="4">
        <v>0.05</v>
      </c>
      <c r="G232" s="5">
        <v>18</v>
      </c>
      <c r="H232" s="4">
        <v>0.9</v>
      </c>
      <c r="I232" s="4">
        <v>1.0900000000000001</v>
      </c>
      <c r="J232" s="5">
        <v>216</v>
      </c>
      <c r="K232" s="5" t="s">
        <v>265</v>
      </c>
      <c r="L232" s="5"/>
      <c r="M232" s="6" t="s">
        <v>266</v>
      </c>
      <c r="N232" s="6"/>
      <c r="O232" s="5">
        <v>90</v>
      </c>
      <c r="P232" s="22" t="s">
        <v>393</v>
      </c>
      <c r="Q232" s="23"/>
      <c r="R232" s="23"/>
      <c r="S232" s="23"/>
      <c r="T232" s="24"/>
      <c r="U232" s="7"/>
      <c r="V232" s="7"/>
      <c r="W232" s="8" t="s">
        <v>27</v>
      </c>
      <c r="X232" s="58"/>
      <c r="Y232" s="19">
        <f>IFERROR(IF(X232="",0,CEILING((X232/$H232),1)*$H232),"")</f>
        <v>0</v>
      </c>
    </row>
    <row r="233" spans="1:25" x14ac:dyDescent="0.25">
      <c r="A233" s="2" t="s">
        <v>394</v>
      </c>
      <c r="B233" s="2" t="s">
        <v>395</v>
      </c>
      <c r="C233" s="3">
        <v>4301041006</v>
      </c>
      <c r="D233" s="25">
        <v>4680115886728</v>
      </c>
      <c r="E233" s="26"/>
      <c r="F233" s="4">
        <v>5.5E-2</v>
      </c>
      <c r="G233" s="5">
        <v>18</v>
      </c>
      <c r="H233" s="4">
        <v>0.99</v>
      </c>
      <c r="I233" s="4">
        <v>1.18</v>
      </c>
      <c r="J233" s="5">
        <v>216</v>
      </c>
      <c r="K233" s="5" t="s">
        <v>265</v>
      </c>
      <c r="L233" s="5"/>
      <c r="M233" s="6" t="s">
        <v>266</v>
      </c>
      <c r="N233" s="6"/>
      <c r="O233" s="5">
        <v>90</v>
      </c>
      <c r="P233" s="22" t="s">
        <v>396</v>
      </c>
      <c r="Q233" s="23"/>
      <c r="R233" s="23"/>
      <c r="S233" s="23"/>
      <c r="T233" s="24"/>
      <c r="U233" s="7"/>
      <c r="V233" s="7"/>
      <c r="W233" s="8" t="s">
        <v>27</v>
      </c>
      <c r="X233" s="58"/>
      <c r="Y233" s="19">
        <f>IFERROR(IF(X233="",0,CEILING((X233/$H233),1)*$H233),"")</f>
        <v>0</v>
      </c>
    </row>
    <row r="234" spans="1:25" x14ac:dyDescent="0.25">
      <c r="A234" s="2" t="s">
        <v>397</v>
      </c>
      <c r="B234" s="2" t="s">
        <v>398</v>
      </c>
      <c r="C234" s="3">
        <v>4301041005</v>
      </c>
      <c r="D234" s="25">
        <v>4680115886711</v>
      </c>
      <c r="E234" s="26"/>
      <c r="F234" s="4">
        <v>5.5E-2</v>
      </c>
      <c r="G234" s="5">
        <v>18</v>
      </c>
      <c r="H234" s="4">
        <v>0.99</v>
      </c>
      <c r="I234" s="4">
        <v>1.18</v>
      </c>
      <c r="J234" s="5">
        <v>216</v>
      </c>
      <c r="K234" s="5" t="s">
        <v>265</v>
      </c>
      <c r="L234" s="5"/>
      <c r="M234" s="6" t="s">
        <v>266</v>
      </c>
      <c r="N234" s="6"/>
      <c r="O234" s="5">
        <v>90</v>
      </c>
      <c r="P234" s="22" t="s">
        <v>399</v>
      </c>
      <c r="Q234" s="23"/>
      <c r="R234" s="23"/>
      <c r="S234" s="23"/>
      <c r="T234" s="24"/>
      <c r="U234" s="7"/>
      <c r="V234" s="7"/>
      <c r="W234" s="8" t="s">
        <v>27</v>
      </c>
      <c r="X234" s="58"/>
      <c r="Y234" s="19">
        <f>IFERROR(IF(X234="",0,CEILING((X234/$H234),1)*$H234),"")</f>
        <v>0</v>
      </c>
    </row>
    <row r="235" spans="1:25" x14ac:dyDescent="0.25">
      <c r="A235" s="27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9"/>
      <c r="P235" s="30" t="s">
        <v>28</v>
      </c>
      <c r="Q235" s="31"/>
      <c r="R235" s="31"/>
      <c r="S235" s="31"/>
      <c r="T235" s="31"/>
      <c r="U235" s="31"/>
      <c r="V235" s="32"/>
      <c r="W235" s="9" t="s">
        <v>29</v>
      </c>
      <c r="X235" s="20"/>
      <c r="Y235" s="20">
        <f>IFERROR(Y230/H230,"0")+IFERROR(Y231/H231,"0")+IFERROR(Y232/H232,"0")+IFERROR(Y233/H233,"0")+IFERROR(Y234/H234,"0")</f>
        <v>0</v>
      </c>
    </row>
    <row r="236" spans="1:2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9"/>
      <c r="P236" s="30" t="s">
        <v>28</v>
      </c>
      <c r="Q236" s="31"/>
      <c r="R236" s="31"/>
      <c r="S236" s="31"/>
      <c r="T236" s="31"/>
      <c r="U236" s="31"/>
      <c r="V236" s="32"/>
      <c r="W236" s="9" t="s">
        <v>27</v>
      </c>
      <c r="X236" s="20"/>
      <c r="Y236" s="20">
        <f>IFERROR(SUM(Y230:Y234),"0")</f>
        <v>0</v>
      </c>
    </row>
    <row r="237" spans="1:25" x14ac:dyDescent="0.25">
      <c r="A237" t="s">
        <v>400</v>
      </c>
    </row>
    <row r="238" spans="1:25" x14ac:dyDescent="0.25">
      <c r="A238" t="s">
        <v>57</v>
      </c>
    </row>
    <row r="239" spans="1:25" x14ac:dyDescent="0.25">
      <c r="A239" s="2" t="s">
        <v>401</v>
      </c>
      <c r="B239" s="2" t="s">
        <v>402</v>
      </c>
      <c r="C239" s="3">
        <v>4301011855</v>
      </c>
      <c r="D239" s="25">
        <v>4680115885837</v>
      </c>
      <c r="E239" s="26"/>
      <c r="F239" s="4">
        <v>1.35</v>
      </c>
      <c r="G239" s="5">
        <v>8</v>
      </c>
      <c r="H239" s="4">
        <v>10.8</v>
      </c>
      <c r="I239" s="4">
        <v>11.21</v>
      </c>
      <c r="J239" s="5">
        <v>64</v>
      </c>
      <c r="K239" s="5" t="s">
        <v>60</v>
      </c>
      <c r="L239" s="5" t="s">
        <v>61</v>
      </c>
      <c r="M239" s="6" t="s">
        <v>62</v>
      </c>
      <c r="N239" s="6"/>
      <c r="O239" s="5">
        <v>55</v>
      </c>
      <c r="P239" s="22" t="s">
        <v>403</v>
      </c>
      <c r="Q239" s="23"/>
      <c r="R239" s="23"/>
      <c r="S239" s="23"/>
      <c r="T239" s="24"/>
      <c r="U239" s="7"/>
      <c r="V239" s="7"/>
      <c r="W239" s="8" t="s">
        <v>27</v>
      </c>
      <c r="X239" s="58"/>
      <c r="Y239" s="19">
        <f>IFERROR(IF(X239="",0,CEILING((X239/$H239),1)*$H239),"")</f>
        <v>0</v>
      </c>
    </row>
    <row r="240" spans="1:25" x14ac:dyDescent="0.25">
      <c r="A240" s="2" t="s">
        <v>404</v>
      </c>
      <c r="B240" s="2" t="s">
        <v>405</v>
      </c>
      <c r="C240" s="3">
        <v>4301011853</v>
      </c>
      <c r="D240" s="25">
        <v>4680115885851</v>
      </c>
      <c r="E240" s="26"/>
      <c r="F240" s="4">
        <v>1.35</v>
      </c>
      <c r="G240" s="5">
        <v>8</v>
      </c>
      <c r="H240" s="4">
        <v>10.8</v>
      </c>
      <c r="I240" s="4">
        <v>11.21</v>
      </c>
      <c r="J240" s="5">
        <v>64</v>
      </c>
      <c r="K240" s="5" t="s">
        <v>60</v>
      </c>
      <c r="L240" s="5"/>
      <c r="M240" s="6" t="s">
        <v>62</v>
      </c>
      <c r="N240" s="6"/>
      <c r="O240" s="5">
        <v>55</v>
      </c>
      <c r="P240" s="22" t="s">
        <v>406</v>
      </c>
      <c r="Q240" s="23"/>
      <c r="R240" s="23"/>
      <c r="S240" s="23"/>
      <c r="T240" s="24"/>
      <c r="U240" s="7"/>
      <c r="V240" s="7"/>
      <c r="W240" s="8" t="s">
        <v>27</v>
      </c>
      <c r="X240" s="58"/>
      <c r="Y240" s="19">
        <f>IFERROR(IF(X240="",0,CEILING((X240/$H240),1)*$H240),"")</f>
        <v>0</v>
      </c>
    </row>
    <row r="241" spans="1:25" x14ac:dyDescent="0.25">
      <c r="A241" s="2" t="s">
        <v>407</v>
      </c>
      <c r="B241" s="2" t="s">
        <v>408</v>
      </c>
      <c r="C241" s="3">
        <v>4301011850</v>
      </c>
      <c r="D241" s="25">
        <v>4680115885806</v>
      </c>
      <c r="E241" s="26"/>
      <c r="F241" s="4">
        <v>1.35</v>
      </c>
      <c r="G241" s="5">
        <v>8</v>
      </c>
      <c r="H241" s="4">
        <v>10.8</v>
      </c>
      <c r="I241" s="4">
        <v>11.21</v>
      </c>
      <c r="J241" s="5">
        <v>64</v>
      </c>
      <c r="K241" s="5" t="s">
        <v>60</v>
      </c>
      <c r="L241" s="5" t="s">
        <v>61</v>
      </c>
      <c r="M241" s="6" t="s">
        <v>62</v>
      </c>
      <c r="N241" s="6"/>
      <c r="O241" s="5">
        <v>55</v>
      </c>
      <c r="P241" s="22" t="s">
        <v>409</v>
      </c>
      <c r="Q241" s="23"/>
      <c r="R241" s="23"/>
      <c r="S241" s="23"/>
      <c r="T241" s="24"/>
      <c r="U241" s="7"/>
      <c r="V241" s="7"/>
      <c r="W241" s="8" t="s">
        <v>27</v>
      </c>
      <c r="X241" s="58"/>
      <c r="Y241" s="19">
        <f>IFERROR(IF(X241="",0,CEILING((X241/$H241),1)*$H241),"")</f>
        <v>0</v>
      </c>
    </row>
    <row r="242" spans="1:25" x14ac:dyDescent="0.25">
      <c r="A242" s="2" t="s">
        <v>410</v>
      </c>
      <c r="B242" s="2" t="s">
        <v>411</v>
      </c>
      <c r="C242" s="3">
        <v>4301011852</v>
      </c>
      <c r="D242" s="25">
        <v>4680115885844</v>
      </c>
      <c r="E242" s="26"/>
      <c r="F242" s="4">
        <v>0.4</v>
      </c>
      <c r="G242" s="5">
        <v>10</v>
      </c>
      <c r="H242" s="4">
        <v>4</v>
      </c>
      <c r="I242" s="4">
        <v>4.1900000000000004</v>
      </c>
      <c r="J242" s="5">
        <v>132</v>
      </c>
      <c r="K242" s="5" t="s">
        <v>66</v>
      </c>
      <c r="L242" s="5"/>
      <c r="M242" s="6" t="s">
        <v>62</v>
      </c>
      <c r="N242" s="6"/>
      <c r="O242" s="5">
        <v>55</v>
      </c>
      <c r="P242" s="22" t="s">
        <v>412</v>
      </c>
      <c r="Q242" s="23"/>
      <c r="R242" s="23"/>
      <c r="S242" s="23"/>
      <c r="T242" s="24"/>
      <c r="U242" s="7"/>
      <c r="V242" s="7"/>
      <c r="W242" s="8" t="s">
        <v>27</v>
      </c>
      <c r="X242" s="58"/>
      <c r="Y242" s="19">
        <f>IFERROR(IF(X242="",0,CEILING((X242/$H242),1)*$H242),"")</f>
        <v>0</v>
      </c>
    </row>
    <row r="243" spans="1:25" x14ac:dyDescent="0.25">
      <c r="A243" s="2" t="s">
        <v>413</v>
      </c>
      <c r="B243" s="2" t="s">
        <v>414</v>
      </c>
      <c r="C243" s="3">
        <v>4301011851</v>
      </c>
      <c r="D243" s="25">
        <v>4680115885820</v>
      </c>
      <c r="E243" s="26"/>
      <c r="F243" s="4">
        <v>0.4</v>
      </c>
      <c r="G243" s="5">
        <v>10</v>
      </c>
      <c r="H243" s="4">
        <v>4</v>
      </c>
      <c r="I243" s="4">
        <v>4.1900000000000004</v>
      </c>
      <c r="J243" s="5">
        <v>132</v>
      </c>
      <c r="K243" s="5" t="s">
        <v>66</v>
      </c>
      <c r="L243" s="5" t="s">
        <v>67</v>
      </c>
      <c r="M243" s="6" t="s">
        <v>62</v>
      </c>
      <c r="N243" s="6"/>
      <c r="O243" s="5">
        <v>55</v>
      </c>
      <c r="P243" s="22" t="s">
        <v>415</v>
      </c>
      <c r="Q243" s="23"/>
      <c r="R243" s="23"/>
      <c r="S243" s="23"/>
      <c r="T243" s="24"/>
      <c r="U243" s="7"/>
      <c r="V243" s="7"/>
      <c r="W243" s="8" t="s">
        <v>27</v>
      </c>
      <c r="X243" s="58"/>
      <c r="Y243" s="19">
        <f>IFERROR(IF(X243="",0,CEILING((X243/$H243),1)*$H243),"")</f>
        <v>0</v>
      </c>
    </row>
    <row r="244" spans="1:25" x14ac:dyDescent="0.25">
      <c r="A244" s="27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9"/>
      <c r="P244" s="30" t="s">
        <v>28</v>
      </c>
      <c r="Q244" s="31"/>
      <c r="R244" s="31"/>
      <c r="S244" s="31"/>
      <c r="T244" s="31"/>
      <c r="U244" s="31"/>
      <c r="V244" s="32"/>
      <c r="W244" s="9" t="s">
        <v>29</v>
      </c>
      <c r="X244" s="20"/>
      <c r="Y244" s="20">
        <f>IFERROR(Y239/H239,"0")+IFERROR(Y240/H240,"0")+IFERROR(Y241/H241,"0")+IFERROR(Y242/H242,"0")+IFERROR(Y243/H243,"0")</f>
        <v>0</v>
      </c>
    </row>
    <row r="245" spans="1:2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9"/>
      <c r="P245" s="30" t="s">
        <v>28</v>
      </c>
      <c r="Q245" s="31"/>
      <c r="R245" s="31"/>
      <c r="S245" s="31"/>
      <c r="T245" s="31"/>
      <c r="U245" s="31"/>
      <c r="V245" s="32"/>
      <c r="W245" s="9" t="s">
        <v>27</v>
      </c>
      <c r="X245" s="20"/>
      <c r="Y245" s="20">
        <f>IFERROR(SUM(Y239:Y243),"0")</f>
        <v>0</v>
      </c>
    </row>
    <row r="246" spans="1:25" x14ac:dyDescent="0.25">
      <c r="A246" t="s">
        <v>416</v>
      </c>
    </row>
    <row r="247" spans="1:25" x14ac:dyDescent="0.25">
      <c r="A247" t="s">
        <v>57</v>
      </c>
    </row>
    <row r="248" spans="1:25" x14ac:dyDescent="0.25">
      <c r="A248" s="2" t="s">
        <v>417</v>
      </c>
      <c r="B248" s="2" t="s">
        <v>418</v>
      </c>
      <c r="C248" s="3">
        <v>4301011223</v>
      </c>
      <c r="D248" s="25">
        <v>4607091383423</v>
      </c>
      <c r="E248" s="26"/>
      <c r="F248" s="4">
        <v>1.35</v>
      </c>
      <c r="G248" s="5">
        <v>8</v>
      </c>
      <c r="H248" s="4">
        <v>10.8</v>
      </c>
      <c r="I248" s="4">
        <v>11.305999999999999</v>
      </c>
      <c r="J248" s="5">
        <v>64</v>
      </c>
      <c r="K248" s="5" t="s">
        <v>60</v>
      </c>
      <c r="L248" s="5"/>
      <c r="M248" s="6" t="s">
        <v>34</v>
      </c>
      <c r="N248" s="6"/>
      <c r="O248" s="5">
        <v>35</v>
      </c>
      <c r="P248" s="22" t="s">
        <v>419</v>
      </c>
      <c r="Q248" s="23"/>
      <c r="R248" s="23"/>
      <c r="S248" s="23"/>
      <c r="T248" s="24"/>
      <c r="U248" s="7"/>
      <c r="V248" s="7"/>
      <c r="W248" s="8" t="s">
        <v>27</v>
      </c>
      <c r="X248" s="58"/>
      <c r="Y248" s="19">
        <f>IFERROR(IF(X248="",0,CEILING((X248/$H248),1)*$H248),"")</f>
        <v>0</v>
      </c>
    </row>
    <row r="249" spans="1:25" x14ac:dyDescent="0.25">
      <c r="A249" s="2" t="s">
        <v>420</v>
      </c>
      <c r="B249" s="2" t="s">
        <v>421</v>
      </c>
      <c r="C249" s="3">
        <v>4301012199</v>
      </c>
      <c r="D249" s="25">
        <v>4680115886957</v>
      </c>
      <c r="E249" s="26"/>
      <c r="F249" s="4">
        <v>1.35</v>
      </c>
      <c r="G249" s="5">
        <v>8</v>
      </c>
      <c r="H249" s="4">
        <v>10.8</v>
      </c>
      <c r="I249" s="4">
        <v>11.21</v>
      </c>
      <c r="J249" s="5">
        <v>64</v>
      </c>
      <c r="K249" s="5" t="s">
        <v>60</v>
      </c>
      <c r="L249" s="5"/>
      <c r="M249" s="6" t="s">
        <v>34</v>
      </c>
      <c r="N249" s="6"/>
      <c r="O249" s="5">
        <v>30</v>
      </c>
      <c r="P249" s="22" t="s">
        <v>422</v>
      </c>
      <c r="Q249" s="23"/>
      <c r="R249" s="23"/>
      <c r="S249" s="23"/>
      <c r="T249" s="24"/>
      <c r="U249" s="7"/>
      <c r="V249" s="7"/>
      <c r="W249" s="8" t="s">
        <v>27</v>
      </c>
      <c r="X249" s="58"/>
      <c r="Y249" s="19">
        <f>IFERROR(IF(X249="",0,CEILING((X249/$H249),1)*$H249),"")</f>
        <v>0</v>
      </c>
    </row>
    <row r="250" spans="1:25" x14ac:dyDescent="0.25">
      <c r="A250" s="2" t="s">
        <v>423</v>
      </c>
      <c r="B250" s="2" t="s">
        <v>424</v>
      </c>
      <c r="C250" s="3">
        <v>4301012098</v>
      </c>
      <c r="D250" s="25">
        <v>4680115885660</v>
      </c>
      <c r="E250" s="26"/>
      <c r="F250" s="4">
        <v>1.35</v>
      </c>
      <c r="G250" s="5">
        <v>8</v>
      </c>
      <c r="H250" s="4">
        <v>10.8</v>
      </c>
      <c r="I250" s="4">
        <v>11.21</v>
      </c>
      <c r="J250" s="5">
        <v>64</v>
      </c>
      <c r="K250" s="5" t="s">
        <v>60</v>
      </c>
      <c r="L250" s="5"/>
      <c r="M250" s="6" t="s">
        <v>34</v>
      </c>
      <c r="N250" s="6"/>
      <c r="O250" s="5">
        <v>35</v>
      </c>
      <c r="P250" s="22" t="s">
        <v>425</v>
      </c>
      <c r="Q250" s="23"/>
      <c r="R250" s="23"/>
      <c r="S250" s="23"/>
      <c r="T250" s="24"/>
      <c r="U250" s="7"/>
      <c r="V250" s="7"/>
      <c r="W250" s="8" t="s">
        <v>27</v>
      </c>
      <c r="X250" s="58"/>
      <c r="Y250" s="19">
        <f>IFERROR(IF(X250="",0,CEILING((X250/$H250),1)*$H250),"")</f>
        <v>0</v>
      </c>
    </row>
    <row r="251" spans="1:25" x14ac:dyDescent="0.25">
      <c r="A251" s="2" t="s">
        <v>426</v>
      </c>
      <c r="B251" s="2" t="s">
        <v>427</v>
      </c>
      <c r="C251" s="3">
        <v>4301012176</v>
      </c>
      <c r="D251" s="25">
        <v>4680115886773</v>
      </c>
      <c r="E251" s="26"/>
      <c r="F251" s="4">
        <v>0.9</v>
      </c>
      <c r="G251" s="5">
        <v>10</v>
      </c>
      <c r="H251" s="4">
        <v>9</v>
      </c>
      <c r="I251" s="4">
        <v>9.41</v>
      </c>
      <c r="J251" s="5">
        <v>64</v>
      </c>
      <c r="K251" s="5" t="s">
        <v>60</v>
      </c>
      <c r="L251" s="5"/>
      <c r="M251" s="6" t="s">
        <v>62</v>
      </c>
      <c r="N251" s="6"/>
      <c r="O251" s="5">
        <v>31</v>
      </c>
      <c r="P251" s="22" t="s">
        <v>428</v>
      </c>
      <c r="Q251" s="23"/>
      <c r="R251" s="23"/>
      <c r="S251" s="23"/>
      <c r="T251" s="24"/>
      <c r="U251" s="7"/>
      <c r="V251" s="7"/>
      <c r="W251" s="8" t="s">
        <v>27</v>
      </c>
      <c r="X251" s="58"/>
      <c r="Y251" s="19">
        <f>IFERROR(IF(X251="",0,CEILING((X251/$H251),1)*$H251),"")</f>
        <v>0</v>
      </c>
    </row>
    <row r="252" spans="1:25" x14ac:dyDescent="0.25">
      <c r="A252" s="27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9"/>
      <c r="P252" s="30" t="s">
        <v>28</v>
      </c>
      <c r="Q252" s="31"/>
      <c r="R252" s="31"/>
      <c r="S252" s="31"/>
      <c r="T252" s="31"/>
      <c r="U252" s="31"/>
      <c r="V252" s="32"/>
      <c r="W252" s="9" t="s">
        <v>29</v>
      </c>
      <c r="X252" s="20"/>
      <c r="Y252" s="20">
        <f>IFERROR(Y248/H248,"0")+IFERROR(Y249/H249,"0")+IFERROR(Y250/H250,"0")+IFERROR(Y251/H251,"0")</f>
        <v>0</v>
      </c>
    </row>
    <row r="253" spans="1:2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9"/>
      <c r="P253" s="30" t="s">
        <v>28</v>
      </c>
      <c r="Q253" s="31"/>
      <c r="R253" s="31"/>
      <c r="S253" s="31"/>
      <c r="T253" s="31"/>
      <c r="U253" s="31"/>
      <c r="V253" s="32"/>
      <c r="W253" s="9" t="s">
        <v>27</v>
      </c>
      <c r="X253" s="20"/>
      <c r="Y253" s="20">
        <f>IFERROR(SUM(Y248:Y251),"0")</f>
        <v>0</v>
      </c>
    </row>
    <row r="254" spans="1:25" x14ac:dyDescent="0.25">
      <c r="A254" t="s">
        <v>429</v>
      </c>
    </row>
    <row r="255" spans="1:25" x14ac:dyDescent="0.25">
      <c r="A255" t="s">
        <v>30</v>
      </c>
    </row>
    <row r="256" spans="1:25" x14ac:dyDescent="0.25">
      <c r="A256" s="2" t="s">
        <v>430</v>
      </c>
      <c r="B256" s="2" t="s">
        <v>431</v>
      </c>
      <c r="C256" s="3">
        <v>4301051893</v>
      </c>
      <c r="D256" s="25">
        <v>4680115886186</v>
      </c>
      <c r="E256" s="26"/>
      <c r="F256" s="4">
        <v>0.3</v>
      </c>
      <c r="G256" s="5">
        <v>6</v>
      </c>
      <c r="H256" s="4">
        <v>1.8</v>
      </c>
      <c r="I256" s="4">
        <v>1.98</v>
      </c>
      <c r="J256" s="5">
        <v>182</v>
      </c>
      <c r="K256" s="5" t="s">
        <v>33</v>
      </c>
      <c r="L256" s="5"/>
      <c r="M256" s="6" t="s">
        <v>34</v>
      </c>
      <c r="N256" s="6"/>
      <c r="O256" s="5">
        <v>45</v>
      </c>
      <c r="P256" s="22" t="s">
        <v>432</v>
      </c>
      <c r="Q256" s="23"/>
      <c r="R256" s="23"/>
      <c r="S256" s="23"/>
      <c r="T256" s="24"/>
      <c r="U256" s="7"/>
      <c r="V256" s="7"/>
      <c r="W256" s="8" t="s">
        <v>27</v>
      </c>
      <c r="X256" s="58"/>
      <c r="Y256" s="19">
        <f>IFERROR(IF(X256="",0,CEILING((X256/$H256),1)*$H256),"")</f>
        <v>0</v>
      </c>
    </row>
    <row r="257" spans="1:25" x14ac:dyDescent="0.25">
      <c r="A257" s="2" t="s">
        <v>433</v>
      </c>
      <c r="B257" s="2" t="s">
        <v>434</v>
      </c>
      <c r="C257" s="3">
        <v>4301051795</v>
      </c>
      <c r="D257" s="25">
        <v>4680115881228</v>
      </c>
      <c r="E257" s="26"/>
      <c r="F257" s="4">
        <v>0.4</v>
      </c>
      <c r="G257" s="5">
        <v>6</v>
      </c>
      <c r="H257" s="4">
        <v>2.4</v>
      </c>
      <c r="I257" s="4">
        <v>2.6520000000000001</v>
      </c>
      <c r="J257" s="5">
        <v>182</v>
      </c>
      <c r="K257" s="5" t="s">
        <v>33</v>
      </c>
      <c r="L257" s="5"/>
      <c r="M257" s="6" t="s">
        <v>41</v>
      </c>
      <c r="N257" s="6"/>
      <c r="O257" s="5">
        <v>40</v>
      </c>
      <c r="P257" s="22" t="s">
        <v>435</v>
      </c>
      <c r="Q257" s="23"/>
      <c r="R257" s="23"/>
      <c r="S257" s="23"/>
      <c r="T257" s="24"/>
      <c r="U257" s="7"/>
      <c r="V257" s="7"/>
      <c r="W257" s="8" t="s">
        <v>27</v>
      </c>
      <c r="X257" s="58"/>
      <c r="Y257" s="19">
        <f>IFERROR(IF(X257="",0,CEILING((X257/$H257),1)*$H257),"")</f>
        <v>0</v>
      </c>
    </row>
    <row r="258" spans="1:25" x14ac:dyDescent="0.25">
      <c r="A258" s="2" t="s">
        <v>436</v>
      </c>
      <c r="B258" s="2" t="s">
        <v>437</v>
      </c>
      <c r="C258" s="3">
        <v>4301051388</v>
      </c>
      <c r="D258" s="25">
        <v>4680115881211</v>
      </c>
      <c r="E258" s="26"/>
      <c r="F258" s="4">
        <v>0.4</v>
      </c>
      <c r="G258" s="5">
        <v>6</v>
      </c>
      <c r="H258" s="4">
        <v>2.4</v>
      </c>
      <c r="I258" s="4">
        <v>2.58</v>
      </c>
      <c r="J258" s="5">
        <v>182</v>
      </c>
      <c r="K258" s="5" t="s">
        <v>33</v>
      </c>
      <c r="L258" s="5" t="s">
        <v>45</v>
      </c>
      <c r="M258" s="6" t="s">
        <v>34</v>
      </c>
      <c r="N258" s="6"/>
      <c r="O258" s="5">
        <v>45</v>
      </c>
      <c r="P258" s="22" t="s">
        <v>438</v>
      </c>
      <c r="Q258" s="23"/>
      <c r="R258" s="23"/>
      <c r="S258" s="23"/>
      <c r="T258" s="24"/>
      <c r="U258" s="7"/>
      <c r="V258" s="7"/>
      <c r="W258" s="8" t="s">
        <v>27</v>
      </c>
      <c r="X258" s="58"/>
      <c r="Y258" s="19">
        <f>IFERROR(IF(X258="",0,CEILING((X258/$H258),1)*$H258),"")</f>
        <v>0</v>
      </c>
    </row>
    <row r="259" spans="1:25" x14ac:dyDescent="0.25">
      <c r="A259" s="27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9"/>
      <c r="P259" s="30" t="s">
        <v>28</v>
      </c>
      <c r="Q259" s="31"/>
      <c r="R259" s="31"/>
      <c r="S259" s="31"/>
      <c r="T259" s="31"/>
      <c r="U259" s="31"/>
      <c r="V259" s="32"/>
      <c r="W259" s="9" t="s">
        <v>29</v>
      </c>
      <c r="X259" s="20"/>
      <c r="Y259" s="20">
        <f>IFERROR(Y256/H256,"0")+IFERROR(Y257/H257,"0")+IFERROR(Y258/H258,"0")</f>
        <v>0</v>
      </c>
    </row>
    <row r="260" spans="1:2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9"/>
      <c r="P260" s="30" t="s">
        <v>28</v>
      </c>
      <c r="Q260" s="31"/>
      <c r="R260" s="31"/>
      <c r="S260" s="31"/>
      <c r="T260" s="31"/>
      <c r="U260" s="31"/>
      <c r="V260" s="32"/>
      <c r="W260" s="9" t="s">
        <v>27</v>
      </c>
      <c r="X260" s="20"/>
      <c r="Y260" s="20">
        <f>IFERROR(SUM(Y256:Y258),"0")</f>
        <v>0</v>
      </c>
    </row>
    <row r="261" spans="1:25" x14ac:dyDescent="0.25">
      <c r="A261" t="s">
        <v>439</v>
      </c>
    </row>
    <row r="262" spans="1:25" x14ac:dyDescent="0.25">
      <c r="A262" t="s">
        <v>21</v>
      </c>
    </row>
    <row r="263" spans="1:25" x14ac:dyDescent="0.25">
      <c r="A263" s="2" t="s">
        <v>440</v>
      </c>
      <c r="B263" s="2" t="s">
        <v>441</v>
      </c>
      <c r="C263" s="3">
        <v>4301031307</v>
      </c>
      <c r="D263" s="25">
        <v>4680115880344</v>
      </c>
      <c r="E263" s="26"/>
      <c r="F263" s="4">
        <v>0.28000000000000003</v>
      </c>
      <c r="G263" s="5">
        <v>6</v>
      </c>
      <c r="H263" s="4">
        <v>1.68</v>
      </c>
      <c r="I263" s="4">
        <v>1.78</v>
      </c>
      <c r="J263" s="5">
        <v>234</v>
      </c>
      <c r="K263" s="5" t="s">
        <v>24</v>
      </c>
      <c r="L263" s="5"/>
      <c r="M263" s="6" t="s">
        <v>25</v>
      </c>
      <c r="N263" s="6"/>
      <c r="O263" s="5">
        <v>40</v>
      </c>
      <c r="P263" s="22" t="s">
        <v>442</v>
      </c>
      <c r="Q263" s="23"/>
      <c r="R263" s="23"/>
      <c r="S263" s="23"/>
      <c r="T263" s="24"/>
      <c r="U263" s="7"/>
      <c r="V263" s="7"/>
      <c r="W263" s="8" t="s">
        <v>27</v>
      </c>
      <c r="X263" s="58"/>
      <c r="Y263" s="19">
        <f>IFERROR(IF(X263="",0,CEILING((X263/$H263),1)*$H263),"")</f>
        <v>0</v>
      </c>
    </row>
    <row r="264" spans="1:25" x14ac:dyDescent="0.25">
      <c r="A264" s="2" t="s">
        <v>443</v>
      </c>
      <c r="B264" s="2" t="s">
        <v>444</v>
      </c>
      <c r="C264" s="3">
        <v>4301031429</v>
      </c>
      <c r="D264" s="25">
        <v>4680115886919</v>
      </c>
      <c r="E264" s="26"/>
      <c r="F264" s="4">
        <v>0.4</v>
      </c>
      <c r="G264" s="5">
        <v>6</v>
      </c>
      <c r="H264" s="4">
        <v>2.4</v>
      </c>
      <c r="I264" s="4">
        <v>2.58</v>
      </c>
      <c r="J264" s="5">
        <v>182</v>
      </c>
      <c r="K264" s="5" t="s">
        <v>33</v>
      </c>
      <c r="L264" s="5"/>
      <c r="M264" s="6" t="s">
        <v>25</v>
      </c>
      <c r="N264" s="6"/>
      <c r="O264" s="5">
        <v>40</v>
      </c>
      <c r="P264" s="22" t="s">
        <v>445</v>
      </c>
      <c r="Q264" s="23"/>
      <c r="R264" s="23"/>
      <c r="S264" s="23"/>
      <c r="T264" s="24"/>
      <c r="U264" s="7"/>
      <c r="V264" s="7"/>
      <c r="W264" s="8" t="s">
        <v>27</v>
      </c>
      <c r="X264" s="58"/>
      <c r="Y264" s="19">
        <f>IFERROR(IF(X264="",0,CEILING((X264/$H264),1)*$H264),"")</f>
        <v>0</v>
      </c>
    </row>
    <row r="265" spans="1:25" x14ac:dyDescent="0.25">
      <c r="A265" s="27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9"/>
      <c r="P265" s="30" t="s">
        <v>28</v>
      </c>
      <c r="Q265" s="31"/>
      <c r="R265" s="31"/>
      <c r="S265" s="31"/>
      <c r="T265" s="31"/>
      <c r="U265" s="31"/>
      <c r="V265" s="32"/>
      <c r="W265" s="9" t="s">
        <v>29</v>
      </c>
      <c r="X265" s="20"/>
      <c r="Y265" s="20">
        <f>IFERROR(Y263/H263,"0")+IFERROR(Y264/H264,"0")</f>
        <v>0</v>
      </c>
    </row>
    <row r="266" spans="1:2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9"/>
      <c r="P266" s="30" t="s">
        <v>28</v>
      </c>
      <c r="Q266" s="31"/>
      <c r="R266" s="31"/>
      <c r="S266" s="31"/>
      <c r="T266" s="31"/>
      <c r="U266" s="31"/>
      <c r="V266" s="32"/>
      <c r="W266" s="9" t="s">
        <v>27</v>
      </c>
      <c r="X266" s="20"/>
      <c r="Y266" s="20">
        <f>IFERROR(SUM(Y263:Y264),"0")</f>
        <v>0</v>
      </c>
    </row>
    <row r="267" spans="1:25" x14ac:dyDescent="0.25">
      <c r="A267" t="s">
        <v>30</v>
      </c>
    </row>
    <row r="268" spans="1:25" x14ac:dyDescent="0.25">
      <c r="A268" s="2" t="s">
        <v>446</v>
      </c>
      <c r="B268" s="2" t="s">
        <v>447</v>
      </c>
      <c r="C268" s="3">
        <v>4301052057</v>
      </c>
      <c r="D268" s="25">
        <v>4680115887114</v>
      </c>
      <c r="E268" s="26"/>
      <c r="F268" s="4">
        <v>0.55000000000000004</v>
      </c>
      <c r="G268" s="5">
        <v>6</v>
      </c>
      <c r="H268" s="4">
        <v>3.3</v>
      </c>
      <c r="I268" s="4">
        <v>3.49</v>
      </c>
      <c r="J268" s="5">
        <v>132</v>
      </c>
      <c r="K268" s="5" t="s">
        <v>66</v>
      </c>
      <c r="L268" s="5"/>
      <c r="M268" s="6" t="s">
        <v>34</v>
      </c>
      <c r="N268" s="6"/>
      <c r="O268" s="5">
        <v>45</v>
      </c>
      <c r="P268" s="33" t="s">
        <v>448</v>
      </c>
      <c r="Q268" s="23"/>
      <c r="R268" s="23"/>
      <c r="S268" s="23"/>
      <c r="T268" s="24"/>
      <c r="U268" s="7"/>
      <c r="V268" s="7"/>
      <c r="W268" s="8" t="s">
        <v>27</v>
      </c>
      <c r="X268" s="58"/>
      <c r="Y268" s="19">
        <f>IFERROR(IF(X268="",0,CEILING((X268/$H268),1)*$H268),"")</f>
        <v>0</v>
      </c>
    </row>
    <row r="269" spans="1:25" x14ac:dyDescent="0.25">
      <c r="A269" s="2" t="s">
        <v>449</v>
      </c>
      <c r="B269" s="2" t="s">
        <v>450</v>
      </c>
      <c r="C269" s="3">
        <v>4301051782</v>
      </c>
      <c r="D269" s="25">
        <v>4680115884618</v>
      </c>
      <c r="E269" s="26"/>
      <c r="F269" s="4">
        <v>0.6</v>
      </c>
      <c r="G269" s="5">
        <v>6</v>
      </c>
      <c r="H269" s="4">
        <v>3.6</v>
      </c>
      <c r="I269" s="4">
        <v>3.79</v>
      </c>
      <c r="J269" s="5">
        <v>132</v>
      </c>
      <c r="K269" s="5" t="s">
        <v>66</v>
      </c>
      <c r="L269" s="5" t="s">
        <v>67</v>
      </c>
      <c r="M269" s="6" t="s">
        <v>34</v>
      </c>
      <c r="N269" s="6"/>
      <c r="O269" s="5">
        <v>45</v>
      </c>
      <c r="P269" s="22" t="s">
        <v>451</v>
      </c>
      <c r="Q269" s="23"/>
      <c r="R269" s="23"/>
      <c r="S269" s="23"/>
      <c r="T269" s="24"/>
      <c r="U269" s="7"/>
      <c r="V269" s="7"/>
      <c r="W269" s="8" t="s">
        <v>27</v>
      </c>
      <c r="X269" s="58"/>
      <c r="Y269" s="19">
        <f>IFERROR(IF(X269="",0,CEILING((X269/$H269),1)*$H269),"")</f>
        <v>0</v>
      </c>
    </row>
    <row r="270" spans="1:25" x14ac:dyDescent="0.25">
      <c r="A270" s="27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9"/>
      <c r="P270" s="30" t="s">
        <v>28</v>
      </c>
      <c r="Q270" s="31"/>
      <c r="R270" s="31"/>
      <c r="S270" s="31"/>
      <c r="T270" s="31"/>
      <c r="U270" s="31"/>
      <c r="V270" s="32"/>
      <c r="W270" s="9" t="s">
        <v>29</v>
      </c>
      <c r="X270" s="20"/>
      <c r="Y270" s="20">
        <f>IFERROR(Y268/H268,"0")+IFERROR(Y269/H269,"0")</f>
        <v>0</v>
      </c>
    </row>
    <row r="271" spans="1:2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9"/>
      <c r="P271" s="30" t="s">
        <v>28</v>
      </c>
      <c r="Q271" s="31"/>
      <c r="R271" s="31"/>
      <c r="S271" s="31"/>
      <c r="T271" s="31"/>
      <c r="U271" s="31"/>
      <c r="V271" s="32"/>
      <c r="W271" s="9" t="s">
        <v>27</v>
      </c>
      <c r="X271" s="20"/>
      <c r="Y271" s="20">
        <f>IFERROR(SUM(Y268:Y269),"0")</f>
        <v>0</v>
      </c>
    </row>
    <row r="272" spans="1:25" x14ac:dyDescent="0.25">
      <c r="A272" t="s">
        <v>452</v>
      </c>
    </row>
    <row r="273" spans="1:25" x14ac:dyDescent="0.25">
      <c r="A273" t="s">
        <v>57</v>
      </c>
    </row>
    <row r="274" spans="1:25" x14ac:dyDescent="0.25">
      <c r="A274" s="2" t="s">
        <v>453</v>
      </c>
      <c r="B274" s="2" t="s">
        <v>454</v>
      </c>
      <c r="C274" s="3">
        <v>4301012126</v>
      </c>
      <c r="D274" s="25">
        <v>4607091386004</v>
      </c>
      <c r="E274" s="26"/>
      <c r="F274" s="4">
        <v>1.35</v>
      </c>
      <c r="G274" s="5">
        <v>8</v>
      </c>
      <c r="H274" s="4">
        <v>10.8</v>
      </c>
      <c r="I274" s="4">
        <v>11.21</v>
      </c>
      <c r="J274" s="5">
        <v>64</v>
      </c>
      <c r="K274" s="5" t="s">
        <v>60</v>
      </c>
      <c r="L274" s="5"/>
      <c r="M274" s="6" t="s">
        <v>62</v>
      </c>
      <c r="N274" s="6"/>
      <c r="O274" s="5">
        <v>55</v>
      </c>
      <c r="P274" s="22" t="s">
        <v>455</v>
      </c>
      <c r="Q274" s="23"/>
      <c r="R274" s="23"/>
      <c r="S274" s="23"/>
      <c r="T274" s="24"/>
      <c r="U274" s="7"/>
      <c r="V274" s="7"/>
      <c r="W274" s="8" t="s">
        <v>27</v>
      </c>
      <c r="X274" s="58"/>
      <c r="Y274" s="19">
        <f t="shared" ref="Y274:Y279" si="5">IFERROR(IF(X274="",0,CEILING((X274/$H274),1)*$H274),"")</f>
        <v>0</v>
      </c>
    </row>
    <row r="275" spans="1:25" x14ac:dyDescent="0.25">
      <c r="A275" s="2" t="s">
        <v>456</v>
      </c>
      <c r="B275" s="2" t="s">
        <v>457</v>
      </c>
      <c r="C275" s="3">
        <v>4301012024</v>
      </c>
      <c r="D275" s="25">
        <v>4680115885615</v>
      </c>
      <c r="E275" s="26"/>
      <c r="F275" s="4">
        <v>1.35</v>
      </c>
      <c r="G275" s="5">
        <v>8</v>
      </c>
      <c r="H275" s="4">
        <v>10.8</v>
      </c>
      <c r="I275" s="4">
        <v>11.21</v>
      </c>
      <c r="J275" s="5">
        <v>64</v>
      </c>
      <c r="K275" s="5" t="s">
        <v>60</v>
      </c>
      <c r="L275" s="5" t="s">
        <v>61</v>
      </c>
      <c r="M275" s="6" t="s">
        <v>34</v>
      </c>
      <c r="N275" s="6"/>
      <c r="O275" s="5">
        <v>55</v>
      </c>
      <c r="P275" s="22" t="s">
        <v>458</v>
      </c>
      <c r="Q275" s="23"/>
      <c r="R275" s="23"/>
      <c r="S275" s="23"/>
      <c r="T275" s="24"/>
      <c r="U275" s="7"/>
      <c r="V275" s="7"/>
      <c r="W275" s="8" t="s">
        <v>27</v>
      </c>
      <c r="X275" s="58"/>
      <c r="Y275" s="19">
        <f t="shared" si="5"/>
        <v>0</v>
      </c>
    </row>
    <row r="276" spans="1:25" x14ac:dyDescent="0.25">
      <c r="A276" s="2" t="s">
        <v>459</v>
      </c>
      <c r="B276" s="2" t="s">
        <v>460</v>
      </c>
      <c r="C276" s="3">
        <v>4301011858</v>
      </c>
      <c r="D276" s="25">
        <v>4680115885646</v>
      </c>
      <c r="E276" s="26"/>
      <c r="F276" s="4">
        <v>1.35</v>
      </c>
      <c r="G276" s="5">
        <v>8</v>
      </c>
      <c r="H276" s="4">
        <v>10.8</v>
      </c>
      <c r="I276" s="4">
        <v>11.21</v>
      </c>
      <c r="J276" s="5">
        <v>64</v>
      </c>
      <c r="K276" s="5" t="s">
        <v>60</v>
      </c>
      <c r="L276" s="5" t="s">
        <v>61</v>
      </c>
      <c r="M276" s="6" t="s">
        <v>62</v>
      </c>
      <c r="N276" s="6"/>
      <c r="O276" s="5">
        <v>55</v>
      </c>
      <c r="P276" s="22" t="s">
        <v>461</v>
      </c>
      <c r="Q276" s="23"/>
      <c r="R276" s="23"/>
      <c r="S276" s="23"/>
      <c r="T276" s="24"/>
      <c r="U276" s="7"/>
      <c r="V276" s="7"/>
      <c r="W276" s="8" t="s">
        <v>27</v>
      </c>
      <c r="X276" s="58"/>
      <c r="Y276" s="19">
        <f t="shared" si="5"/>
        <v>0</v>
      </c>
    </row>
    <row r="277" spans="1:25" x14ac:dyDescent="0.25">
      <c r="A277" s="2" t="s">
        <v>462</v>
      </c>
      <c r="B277" s="2" t="s">
        <v>463</v>
      </c>
      <c r="C277" s="3">
        <v>4301012016</v>
      </c>
      <c r="D277" s="25">
        <v>4680115885554</v>
      </c>
      <c r="E277" s="26"/>
      <c r="F277" s="4">
        <v>1.35</v>
      </c>
      <c r="G277" s="5">
        <v>8</v>
      </c>
      <c r="H277" s="4">
        <v>10.8</v>
      </c>
      <c r="I277" s="4">
        <v>11.21</v>
      </c>
      <c r="J277" s="5">
        <v>64</v>
      </c>
      <c r="K277" s="5" t="s">
        <v>60</v>
      </c>
      <c r="L277" s="5"/>
      <c r="M277" s="6" t="s">
        <v>34</v>
      </c>
      <c r="N277" s="6"/>
      <c r="O277" s="5">
        <v>55</v>
      </c>
      <c r="P277" s="22" t="s">
        <v>464</v>
      </c>
      <c r="Q277" s="23"/>
      <c r="R277" s="23"/>
      <c r="S277" s="23"/>
      <c r="T277" s="24"/>
      <c r="U277" s="7"/>
      <c r="V277" s="7"/>
      <c r="W277" s="8" t="s">
        <v>27</v>
      </c>
      <c r="X277" s="58"/>
      <c r="Y277" s="19">
        <f t="shared" si="5"/>
        <v>0</v>
      </c>
    </row>
    <row r="278" spans="1:25" x14ac:dyDescent="0.25">
      <c r="A278" s="2" t="s">
        <v>465</v>
      </c>
      <c r="B278" s="2" t="s">
        <v>466</v>
      </c>
      <c r="C278" s="3">
        <v>4301011857</v>
      </c>
      <c r="D278" s="25">
        <v>4680115885622</v>
      </c>
      <c r="E278" s="26"/>
      <c r="F278" s="4">
        <v>0.4</v>
      </c>
      <c r="G278" s="5">
        <v>10</v>
      </c>
      <c r="H278" s="4">
        <v>4</v>
      </c>
      <c r="I278" s="4">
        <v>4.1900000000000004</v>
      </c>
      <c r="J278" s="5">
        <v>132</v>
      </c>
      <c r="K278" s="5" t="s">
        <v>66</v>
      </c>
      <c r="L278" s="5" t="s">
        <v>67</v>
      </c>
      <c r="M278" s="6" t="s">
        <v>62</v>
      </c>
      <c r="N278" s="6"/>
      <c r="O278" s="5">
        <v>55</v>
      </c>
      <c r="P278" s="22" t="s">
        <v>467</v>
      </c>
      <c r="Q278" s="23"/>
      <c r="R278" s="23"/>
      <c r="S278" s="23"/>
      <c r="T278" s="24"/>
      <c r="U278" s="7"/>
      <c r="V278" s="7"/>
      <c r="W278" s="8" t="s">
        <v>27</v>
      </c>
      <c r="X278" s="58"/>
      <c r="Y278" s="19">
        <f t="shared" si="5"/>
        <v>0</v>
      </c>
    </row>
    <row r="279" spans="1:25" x14ac:dyDescent="0.25">
      <c r="A279" s="2" t="s">
        <v>468</v>
      </c>
      <c r="B279" s="2" t="s">
        <v>469</v>
      </c>
      <c r="C279" s="3">
        <v>4301011859</v>
      </c>
      <c r="D279" s="25">
        <v>4680115885608</v>
      </c>
      <c r="E279" s="26"/>
      <c r="F279" s="4">
        <v>0.4</v>
      </c>
      <c r="G279" s="5">
        <v>10</v>
      </c>
      <c r="H279" s="4">
        <v>4</v>
      </c>
      <c r="I279" s="4">
        <v>4.1900000000000004</v>
      </c>
      <c r="J279" s="5">
        <v>132</v>
      </c>
      <c r="K279" s="5" t="s">
        <v>66</v>
      </c>
      <c r="L279" s="5" t="s">
        <v>67</v>
      </c>
      <c r="M279" s="6" t="s">
        <v>62</v>
      </c>
      <c r="N279" s="6"/>
      <c r="O279" s="5">
        <v>55</v>
      </c>
      <c r="P279" s="22" t="s">
        <v>470</v>
      </c>
      <c r="Q279" s="23"/>
      <c r="R279" s="23"/>
      <c r="S279" s="23"/>
      <c r="T279" s="24"/>
      <c r="U279" s="7"/>
      <c r="V279" s="7"/>
      <c r="W279" s="8" t="s">
        <v>27</v>
      </c>
      <c r="X279" s="58"/>
      <c r="Y279" s="19">
        <f t="shared" si="5"/>
        <v>0</v>
      </c>
    </row>
    <row r="280" spans="1:25" x14ac:dyDescent="0.25">
      <c r="A280" s="27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9"/>
      <c r="P280" s="30" t="s">
        <v>28</v>
      </c>
      <c r="Q280" s="31"/>
      <c r="R280" s="31"/>
      <c r="S280" s="31"/>
      <c r="T280" s="31"/>
      <c r="U280" s="31"/>
      <c r="V280" s="32"/>
      <c r="W280" s="9" t="s">
        <v>29</v>
      </c>
      <c r="X280" s="20"/>
      <c r="Y280" s="20">
        <f>IFERROR(Y274/H274,"0")+IFERROR(Y275/H275,"0")+IFERROR(Y276/H276,"0")+IFERROR(Y277/H277,"0")+IFERROR(Y278/H278,"0")+IFERROR(Y279/H279,"0")</f>
        <v>0</v>
      </c>
    </row>
    <row r="281" spans="1:2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9"/>
      <c r="P281" s="30" t="s">
        <v>28</v>
      </c>
      <c r="Q281" s="31"/>
      <c r="R281" s="31"/>
      <c r="S281" s="31"/>
      <c r="T281" s="31"/>
      <c r="U281" s="31"/>
      <c r="V281" s="32"/>
      <c r="W281" s="9" t="s">
        <v>27</v>
      </c>
      <c r="X281" s="20"/>
      <c r="Y281" s="20">
        <f>IFERROR(SUM(Y274:Y279),"0")</f>
        <v>0</v>
      </c>
    </row>
    <row r="282" spans="1:25" x14ac:dyDescent="0.25">
      <c r="A282" t="s">
        <v>21</v>
      </c>
    </row>
    <row r="283" spans="1:25" x14ac:dyDescent="0.25">
      <c r="A283" s="2" t="s">
        <v>471</v>
      </c>
      <c r="B283" s="2" t="s">
        <v>472</v>
      </c>
      <c r="C283" s="3">
        <v>4301030878</v>
      </c>
      <c r="D283" s="25">
        <v>4607091387193</v>
      </c>
      <c r="E283" s="26"/>
      <c r="F283" s="4">
        <v>0.7</v>
      </c>
      <c r="G283" s="5">
        <v>6</v>
      </c>
      <c r="H283" s="4">
        <v>4.2</v>
      </c>
      <c r="I283" s="4">
        <v>4.45</v>
      </c>
      <c r="J283" s="5">
        <v>132</v>
      </c>
      <c r="K283" s="5" t="s">
        <v>66</v>
      </c>
      <c r="L283" s="5" t="s">
        <v>67</v>
      </c>
      <c r="M283" s="6" t="s">
        <v>25</v>
      </c>
      <c r="N283" s="6"/>
      <c r="O283" s="5">
        <v>35</v>
      </c>
      <c r="P283" s="22" t="s">
        <v>473</v>
      </c>
      <c r="Q283" s="23"/>
      <c r="R283" s="23"/>
      <c r="S283" s="23"/>
      <c r="T283" s="24"/>
      <c r="U283" s="7"/>
      <c r="V283" s="7"/>
      <c r="W283" s="8" t="s">
        <v>27</v>
      </c>
      <c r="X283" s="58"/>
      <c r="Y283" s="19">
        <f t="shared" ref="Y283:Y289" si="6">IFERROR(IF(X283="",0,CEILING((X283/$H283),1)*$H283),"")</f>
        <v>0</v>
      </c>
    </row>
    <row r="284" spans="1:25" x14ac:dyDescent="0.25">
      <c r="A284" s="2" t="s">
        <v>474</v>
      </c>
      <c r="B284" s="2" t="s">
        <v>475</v>
      </c>
      <c r="C284" s="3">
        <v>4301031153</v>
      </c>
      <c r="D284" s="25">
        <v>4607091387230</v>
      </c>
      <c r="E284" s="26"/>
      <c r="F284" s="4">
        <v>0.7</v>
      </c>
      <c r="G284" s="5">
        <v>6</v>
      </c>
      <c r="H284" s="4">
        <v>4.2</v>
      </c>
      <c r="I284" s="4">
        <v>4.45</v>
      </c>
      <c r="J284" s="5">
        <v>132</v>
      </c>
      <c r="K284" s="5" t="s">
        <v>66</v>
      </c>
      <c r="L284" s="5" t="s">
        <v>67</v>
      </c>
      <c r="M284" s="6" t="s">
        <v>25</v>
      </c>
      <c r="N284" s="6"/>
      <c r="O284" s="5">
        <v>40</v>
      </c>
      <c r="P284" s="22" t="s">
        <v>476</v>
      </c>
      <c r="Q284" s="23"/>
      <c r="R284" s="23"/>
      <c r="S284" s="23"/>
      <c r="T284" s="24"/>
      <c r="U284" s="7"/>
      <c r="V284" s="7"/>
      <c r="W284" s="8" t="s">
        <v>27</v>
      </c>
      <c r="X284" s="58"/>
      <c r="Y284" s="19">
        <f t="shared" si="6"/>
        <v>0</v>
      </c>
    </row>
    <row r="285" spans="1:25" x14ac:dyDescent="0.25">
      <c r="A285" s="2" t="s">
        <v>477</v>
      </c>
      <c r="B285" s="2" t="s">
        <v>478</v>
      </c>
      <c r="C285" s="3">
        <v>4301031154</v>
      </c>
      <c r="D285" s="25">
        <v>4607091387292</v>
      </c>
      <c r="E285" s="26"/>
      <c r="F285" s="4">
        <v>0.73</v>
      </c>
      <c r="G285" s="5">
        <v>6</v>
      </c>
      <c r="H285" s="4">
        <v>4.38</v>
      </c>
      <c r="I285" s="4">
        <v>4.63</v>
      </c>
      <c r="J285" s="5">
        <v>132</v>
      </c>
      <c r="K285" s="5" t="s">
        <v>66</v>
      </c>
      <c r="L285" s="5"/>
      <c r="M285" s="6" t="s">
        <v>25</v>
      </c>
      <c r="N285" s="6"/>
      <c r="O285" s="5">
        <v>45</v>
      </c>
      <c r="P285" s="22" t="s">
        <v>479</v>
      </c>
      <c r="Q285" s="23"/>
      <c r="R285" s="23"/>
      <c r="S285" s="23"/>
      <c r="T285" s="24"/>
      <c r="U285" s="7"/>
      <c r="V285" s="7"/>
      <c r="W285" s="8" t="s">
        <v>27</v>
      </c>
      <c r="X285" s="58"/>
      <c r="Y285" s="19">
        <f t="shared" si="6"/>
        <v>0</v>
      </c>
    </row>
    <row r="286" spans="1:25" x14ac:dyDescent="0.25">
      <c r="A286" s="2" t="s">
        <v>480</v>
      </c>
      <c r="B286" s="2" t="s">
        <v>481</v>
      </c>
      <c r="C286" s="3">
        <v>4301031152</v>
      </c>
      <c r="D286" s="25">
        <v>4607091387285</v>
      </c>
      <c r="E286" s="26"/>
      <c r="F286" s="4">
        <v>0.35</v>
      </c>
      <c r="G286" s="5">
        <v>6</v>
      </c>
      <c r="H286" s="4">
        <v>2.1</v>
      </c>
      <c r="I286" s="4">
        <v>2.23</v>
      </c>
      <c r="J286" s="5">
        <v>234</v>
      </c>
      <c r="K286" s="5" t="s">
        <v>24</v>
      </c>
      <c r="L286" s="5" t="s">
        <v>246</v>
      </c>
      <c r="M286" s="6" t="s">
        <v>25</v>
      </c>
      <c r="N286" s="6"/>
      <c r="O286" s="5">
        <v>40</v>
      </c>
      <c r="P286" s="22" t="s">
        <v>482</v>
      </c>
      <c r="Q286" s="23"/>
      <c r="R286" s="23"/>
      <c r="S286" s="23"/>
      <c r="T286" s="24"/>
      <c r="U286" s="7"/>
      <c r="V286" s="7"/>
      <c r="W286" s="8" t="s">
        <v>27</v>
      </c>
      <c r="X286" s="58"/>
      <c r="Y286" s="19">
        <f t="shared" si="6"/>
        <v>0</v>
      </c>
    </row>
    <row r="287" spans="1:25" x14ac:dyDescent="0.25">
      <c r="A287" s="2" t="s">
        <v>483</v>
      </c>
      <c r="B287" s="2" t="s">
        <v>484</v>
      </c>
      <c r="C287" s="3">
        <v>4301031305</v>
      </c>
      <c r="D287" s="25">
        <v>4607091389845</v>
      </c>
      <c r="E287" s="26"/>
      <c r="F287" s="4">
        <v>0.35</v>
      </c>
      <c r="G287" s="5">
        <v>6</v>
      </c>
      <c r="H287" s="4">
        <v>2.1</v>
      </c>
      <c r="I287" s="4">
        <v>2.2000000000000002</v>
      </c>
      <c r="J287" s="5">
        <v>234</v>
      </c>
      <c r="K287" s="5" t="s">
        <v>24</v>
      </c>
      <c r="L287" s="5" t="s">
        <v>246</v>
      </c>
      <c r="M287" s="6" t="s">
        <v>25</v>
      </c>
      <c r="N287" s="6"/>
      <c r="O287" s="5">
        <v>40</v>
      </c>
      <c r="P287" s="22" t="s">
        <v>485</v>
      </c>
      <c r="Q287" s="23"/>
      <c r="R287" s="23"/>
      <c r="S287" s="23"/>
      <c r="T287" s="24"/>
      <c r="U287" s="7"/>
      <c r="V287" s="7"/>
      <c r="W287" s="8" t="s">
        <v>27</v>
      </c>
      <c r="X287" s="58"/>
      <c r="Y287" s="19">
        <f t="shared" si="6"/>
        <v>0</v>
      </c>
    </row>
    <row r="288" spans="1:25" x14ac:dyDescent="0.25">
      <c r="A288" s="2" t="s">
        <v>486</v>
      </c>
      <c r="B288" s="2" t="s">
        <v>487</v>
      </c>
      <c r="C288" s="3">
        <v>4301031306</v>
      </c>
      <c r="D288" s="25">
        <v>4680115882881</v>
      </c>
      <c r="E288" s="26"/>
      <c r="F288" s="4">
        <v>0.28000000000000003</v>
      </c>
      <c r="G288" s="5">
        <v>6</v>
      </c>
      <c r="H288" s="4">
        <v>1.68</v>
      </c>
      <c r="I288" s="4">
        <v>1.81</v>
      </c>
      <c r="J288" s="5">
        <v>234</v>
      </c>
      <c r="K288" s="5" t="s">
        <v>24</v>
      </c>
      <c r="L288" s="5"/>
      <c r="M288" s="6" t="s">
        <v>25</v>
      </c>
      <c r="N288" s="6"/>
      <c r="O288" s="5">
        <v>40</v>
      </c>
      <c r="P288" s="22" t="s">
        <v>488</v>
      </c>
      <c r="Q288" s="23"/>
      <c r="R288" s="23"/>
      <c r="S288" s="23"/>
      <c r="T288" s="24"/>
      <c r="U288" s="7"/>
      <c r="V288" s="7"/>
      <c r="W288" s="8" t="s">
        <v>27</v>
      </c>
      <c r="X288" s="58"/>
      <c r="Y288" s="19">
        <f t="shared" si="6"/>
        <v>0</v>
      </c>
    </row>
    <row r="289" spans="1:25" x14ac:dyDescent="0.25">
      <c r="A289" s="2" t="s">
        <v>489</v>
      </c>
      <c r="B289" s="2" t="s">
        <v>490</v>
      </c>
      <c r="C289" s="3">
        <v>4301031066</v>
      </c>
      <c r="D289" s="25">
        <v>4607091383836</v>
      </c>
      <c r="E289" s="26"/>
      <c r="F289" s="4">
        <v>0.3</v>
      </c>
      <c r="G289" s="5">
        <v>6</v>
      </c>
      <c r="H289" s="4">
        <v>1.8</v>
      </c>
      <c r="I289" s="4">
        <v>2.028</v>
      </c>
      <c r="J289" s="5">
        <v>182</v>
      </c>
      <c r="K289" s="5" t="s">
        <v>33</v>
      </c>
      <c r="L289" s="5" t="s">
        <v>45</v>
      </c>
      <c r="M289" s="6" t="s">
        <v>25</v>
      </c>
      <c r="N289" s="6"/>
      <c r="O289" s="5">
        <v>40</v>
      </c>
      <c r="P289" s="22" t="s">
        <v>491</v>
      </c>
      <c r="Q289" s="23"/>
      <c r="R289" s="23"/>
      <c r="S289" s="23"/>
      <c r="T289" s="24"/>
      <c r="U289" s="7"/>
      <c r="V289" s="7"/>
      <c r="W289" s="8" t="s">
        <v>27</v>
      </c>
      <c r="X289" s="58"/>
      <c r="Y289" s="19">
        <f t="shared" si="6"/>
        <v>0</v>
      </c>
    </row>
    <row r="290" spans="1:25" x14ac:dyDescent="0.25">
      <c r="A290" s="27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9"/>
      <c r="P290" s="30" t="s">
        <v>28</v>
      </c>
      <c r="Q290" s="31"/>
      <c r="R290" s="31"/>
      <c r="S290" s="31"/>
      <c r="T290" s="31"/>
      <c r="U290" s="31"/>
      <c r="V290" s="32"/>
      <c r="W290" s="9" t="s">
        <v>29</v>
      </c>
      <c r="X290" s="20"/>
      <c r="Y290" s="20">
        <f>IFERROR(Y283/H283,"0")+IFERROR(Y284/H284,"0")+IFERROR(Y285/H285,"0")+IFERROR(Y286/H286,"0")+IFERROR(Y287/H287,"0")+IFERROR(Y288/H288,"0")+IFERROR(Y289/H289,"0")</f>
        <v>0</v>
      </c>
    </row>
    <row r="291" spans="1:2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9"/>
      <c r="P291" s="30" t="s">
        <v>28</v>
      </c>
      <c r="Q291" s="31"/>
      <c r="R291" s="31"/>
      <c r="S291" s="31"/>
      <c r="T291" s="31"/>
      <c r="U291" s="31"/>
      <c r="V291" s="32"/>
      <c r="W291" s="9" t="s">
        <v>27</v>
      </c>
      <c r="X291" s="20"/>
      <c r="Y291" s="20">
        <f>IFERROR(SUM(Y283:Y289),"0")</f>
        <v>0</v>
      </c>
    </row>
    <row r="292" spans="1:25" x14ac:dyDescent="0.25">
      <c r="A292" t="s">
        <v>30</v>
      </c>
    </row>
    <row r="293" spans="1:25" x14ac:dyDescent="0.25">
      <c r="A293" s="2" t="s">
        <v>492</v>
      </c>
      <c r="B293" s="2" t="s">
        <v>493</v>
      </c>
      <c r="C293" s="3">
        <v>4301051100</v>
      </c>
      <c r="D293" s="25">
        <v>4607091387766</v>
      </c>
      <c r="E293" s="26"/>
      <c r="F293" s="4">
        <v>1.3</v>
      </c>
      <c r="G293" s="5">
        <v>6</v>
      </c>
      <c r="H293" s="4">
        <v>7.8</v>
      </c>
      <c r="I293" s="4">
        <v>8.2880000000000003</v>
      </c>
      <c r="J293" s="5">
        <v>64</v>
      </c>
      <c r="K293" s="5" t="s">
        <v>60</v>
      </c>
      <c r="L293" s="5" t="s">
        <v>61</v>
      </c>
      <c r="M293" s="6" t="s">
        <v>34</v>
      </c>
      <c r="N293" s="6"/>
      <c r="O293" s="5">
        <v>40</v>
      </c>
      <c r="P293" s="22" t="s">
        <v>494</v>
      </c>
      <c r="Q293" s="23"/>
      <c r="R293" s="23"/>
      <c r="S293" s="23"/>
      <c r="T293" s="24"/>
      <c r="U293" s="7"/>
      <c r="V293" s="7"/>
      <c r="W293" s="8" t="s">
        <v>27</v>
      </c>
      <c r="X293" s="58"/>
      <c r="Y293" s="19">
        <f>IFERROR(IF(X293="",0,CEILING((X293/$H293),1)*$H293),"")</f>
        <v>0</v>
      </c>
    </row>
    <row r="294" spans="1:25" x14ac:dyDescent="0.25">
      <c r="A294" s="2" t="s">
        <v>495</v>
      </c>
      <c r="B294" s="2" t="s">
        <v>496</v>
      </c>
      <c r="C294" s="3">
        <v>4301051818</v>
      </c>
      <c r="D294" s="25">
        <v>4607091387957</v>
      </c>
      <c r="E294" s="26"/>
      <c r="F294" s="4">
        <v>1.3</v>
      </c>
      <c r="G294" s="5">
        <v>6</v>
      </c>
      <c r="H294" s="4">
        <v>7.8</v>
      </c>
      <c r="I294" s="4">
        <v>8.2940000000000005</v>
      </c>
      <c r="J294" s="5">
        <v>64</v>
      </c>
      <c r="K294" s="5" t="s">
        <v>60</v>
      </c>
      <c r="L294" s="5"/>
      <c r="M294" s="6" t="s">
        <v>34</v>
      </c>
      <c r="N294" s="6"/>
      <c r="O294" s="5">
        <v>40</v>
      </c>
      <c r="P294" s="22" t="s">
        <v>497</v>
      </c>
      <c r="Q294" s="23"/>
      <c r="R294" s="23"/>
      <c r="S294" s="23"/>
      <c r="T294" s="24"/>
      <c r="U294" s="7"/>
      <c r="V294" s="7"/>
      <c r="W294" s="8" t="s">
        <v>27</v>
      </c>
      <c r="X294" s="58"/>
      <c r="Y294" s="19">
        <f>IFERROR(IF(X294="",0,CEILING((X294/$H294),1)*$H294),"")</f>
        <v>0</v>
      </c>
    </row>
    <row r="295" spans="1:25" x14ac:dyDescent="0.25">
      <c r="A295" s="2" t="s">
        <v>498</v>
      </c>
      <c r="B295" s="2" t="s">
        <v>499</v>
      </c>
      <c r="C295" s="3">
        <v>4301051819</v>
      </c>
      <c r="D295" s="25">
        <v>4607091387964</v>
      </c>
      <c r="E295" s="26"/>
      <c r="F295" s="4">
        <v>1.35</v>
      </c>
      <c r="G295" s="5">
        <v>6</v>
      </c>
      <c r="H295" s="4">
        <v>8.1</v>
      </c>
      <c r="I295" s="4">
        <v>8.5760000000000005</v>
      </c>
      <c r="J295" s="5">
        <v>64</v>
      </c>
      <c r="K295" s="5" t="s">
        <v>60</v>
      </c>
      <c r="L295" s="5"/>
      <c r="M295" s="6" t="s">
        <v>34</v>
      </c>
      <c r="N295" s="6"/>
      <c r="O295" s="5">
        <v>40</v>
      </c>
      <c r="P295" s="22" t="s">
        <v>500</v>
      </c>
      <c r="Q295" s="23"/>
      <c r="R295" s="23"/>
      <c r="S295" s="23"/>
      <c r="T295" s="24"/>
      <c r="U295" s="7"/>
      <c r="V295" s="7"/>
      <c r="W295" s="8" t="s">
        <v>27</v>
      </c>
      <c r="X295" s="58"/>
      <c r="Y295" s="19">
        <f>IFERROR(IF(X295="",0,CEILING((X295/$H295),1)*$H295),"")</f>
        <v>0</v>
      </c>
    </row>
    <row r="296" spans="1:25" x14ac:dyDescent="0.25">
      <c r="A296" s="2" t="s">
        <v>501</v>
      </c>
      <c r="B296" s="2" t="s">
        <v>502</v>
      </c>
      <c r="C296" s="3">
        <v>4301051734</v>
      </c>
      <c r="D296" s="25">
        <v>4680115884588</v>
      </c>
      <c r="E296" s="26"/>
      <c r="F296" s="4">
        <v>0.5</v>
      </c>
      <c r="G296" s="5">
        <v>6</v>
      </c>
      <c r="H296" s="4">
        <v>3</v>
      </c>
      <c r="I296" s="4">
        <v>3.246</v>
      </c>
      <c r="J296" s="5">
        <v>182</v>
      </c>
      <c r="K296" s="5" t="s">
        <v>33</v>
      </c>
      <c r="L296" s="5" t="s">
        <v>45</v>
      </c>
      <c r="M296" s="6" t="s">
        <v>34</v>
      </c>
      <c r="N296" s="6"/>
      <c r="O296" s="5">
        <v>40</v>
      </c>
      <c r="P296" s="22" t="s">
        <v>503</v>
      </c>
      <c r="Q296" s="23"/>
      <c r="R296" s="23"/>
      <c r="S296" s="23"/>
      <c r="T296" s="24"/>
      <c r="U296" s="7"/>
      <c r="V296" s="7"/>
      <c r="W296" s="8" t="s">
        <v>27</v>
      </c>
      <c r="X296" s="58"/>
      <c r="Y296" s="19">
        <f>IFERROR(IF(X296="",0,CEILING((X296/$H296),1)*$H296),"")</f>
        <v>0</v>
      </c>
    </row>
    <row r="297" spans="1:25" x14ac:dyDescent="0.25">
      <c r="A297" s="27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9"/>
      <c r="P297" s="30" t="s">
        <v>28</v>
      </c>
      <c r="Q297" s="31"/>
      <c r="R297" s="31"/>
      <c r="S297" s="31"/>
      <c r="T297" s="31"/>
      <c r="U297" s="31"/>
      <c r="V297" s="32"/>
      <c r="W297" s="9" t="s">
        <v>29</v>
      </c>
      <c r="X297" s="20"/>
      <c r="Y297" s="20">
        <f>IFERROR(Y293/H293,"0")+IFERROR(Y294/H294,"0")+IFERROR(Y295/H295,"0")+IFERROR(Y296/H296,"0")</f>
        <v>0</v>
      </c>
    </row>
    <row r="298" spans="1:2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9"/>
      <c r="P298" s="30" t="s">
        <v>28</v>
      </c>
      <c r="Q298" s="31"/>
      <c r="R298" s="31"/>
      <c r="S298" s="31"/>
      <c r="T298" s="31"/>
      <c r="U298" s="31"/>
      <c r="V298" s="32"/>
      <c r="W298" s="9" t="s">
        <v>27</v>
      </c>
      <c r="X298" s="20"/>
      <c r="Y298" s="20">
        <f>IFERROR(SUM(Y293:Y296),"0")</f>
        <v>0</v>
      </c>
    </row>
    <row r="299" spans="1:25" x14ac:dyDescent="0.25">
      <c r="A299" t="s">
        <v>125</v>
      </c>
    </row>
    <row r="300" spans="1:25" x14ac:dyDescent="0.25">
      <c r="A300" s="2" t="s">
        <v>504</v>
      </c>
      <c r="B300" s="2" t="s">
        <v>505</v>
      </c>
      <c r="C300" s="3">
        <v>4301060387</v>
      </c>
      <c r="D300" s="25">
        <v>4607091380880</v>
      </c>
      <c r="E300" s="26"/>
      <c r="F300" s="4">
        <v>1.4</v>
      </c>
      <c r="G300" s="5">
        <v>6</v>
      </c>
      <c r="H300" s="4">
        <v>8.4</v>
      </c>
      <c r="I300" s="4">
        <v>8.8940000000000001</v>
      </c>
      <c r="J300" s="5">
        <v>64</v>
      </c>
      <c r="K300" s="5" t="s">
        <v>60</v>
      </c>
      <c r="L300" s="5" t="s">
        <v>61</v>
      </c>
      <c r="M300" s="6" t="s">
        <v>34</v>
      </c>
      <c r="N300" s="6"/>
      <c r="O300" s="5">
        <v>30</v>
      </c>
      <c r="P300" s="22" t="s">
        <v>506</v>
      </c>
      <c r="Q300" s="23"/>
      <c r="R300" s="23"/>
      <c r="S300" s="23"/>
      <c r="T300" s="24"/>
      <c r="U300" s="7"/>
      <c r="V300" s="7"/>
      <c r="W300" s="8" t="s">
        <v>27</v>
      </c>
      <c r="X300" s="58"/>
      <c r="Y300" s="19">
        <f>IFERROR(IF(X300="",0,CEILING((X300/$H300),1)*$H300),"")</f>
        <v>0</v>
      </c>
    </row>
    <row r="301" spans="1:25" x14ac:dyDescent="0.25">
      <c r="A301" s="2" t="s">
        <v>507</v>
      </c>
      <c r="B301" s="2" t="s">
        <v>508</v>
      </c>
      <c r="C301" s="3">
        <v>4301060406</v>
      </c>
      <c r="D301" s="25">
        <v>4607091384482</v>
      </c>
      <c r="E301" s="26"/>
      <c r="F301" s="4">
        <v>1.3</v>
      </c>
      <c r="G301" s="5">
        <v>6</v>
      </c>
      <c r="H301" s="4">
        <v>7.8</v>
      </c>
      <c r="I301" s="4">
        <v>8.2940000000000005</v>
      </c>
      <c r="J301" s="5">
        <v>64</v>
      </c>
      <c r="K301" s="5" t="s">
        <v>60</v>
      </c>
      <c r="L301" s="5" t="s">
        <v>61</v>
      </c>
      <c r="M301" s="6" t="s">
        <v>34</v>
      </c>
      <c r="N301" s="6"/>
      <c r="O301" s="5">
        <v>30</v>
      </c>
      <c r="P301" s="22" t="s">
        <v>509</v>
      </c>
      <c r="Q301" s="23"/>
      <c r="R301" s="23"/>
      <c r="S301" s="23"/>
      <c r="T301" s="24"/>
      <c r="U301" s="7"/>
      <c r="V301" s="7"/>
      <c r="W301" s="8" t="s">
        <v>27</v>
      </c>
      <c r="X301" s="58"/>
      <c r="Y301" s="19">
        <f>IFERROR(IF(X301="",0,CEILING((X301/$H301),1)*$H301),"")</f>
        <v>0</v>
      </c>
    </row>
    <row r="302" spans="1:25" x14ac:dyDescent="0.25">
      <c r="A302" s="2" t="s">
        <v>510</v>
      </c>
      <c r="B302" s="2" t="s">
        <v>511</v>
      </c>
      <c r="C302" s="3">
        <v>4301060484</v>
      </c>
      <c r="D302" s="25">
        <v>4607091380897</v>
      </c>
      <c r="E302" s="26"/>
      <c r="F302" s="4">
        <v>1.4</v>
      </c>
      <c r="G302" s="5">
        <v>6</v>
      </c>
      <c r="H302" s="4">
        <v>8.4</v>
      </c>
      <c r="I302" s="4">
        <v>8.8940000000000001</v>
      </c>
      <c r="J302" s="5">
        <v>64</v>
      </c>
      <c r="K302" s="5" t="s">
        <v>60</v>
      </c>
      <c r="L302" s="5" t="s">
        <v>61</v>
      </c>
      <c r="M302" s="6" t="s">
        <v>41</v>
      </c>
      <c r="N302" s="6"/>
      <c r="O302" s="5">
        <v>30</v>
      </c>
      <c r="P302" s="22" t="s">
        <v>512</v>
      </c>
      <c r="Q302" s="23"/>
      <c r="R302" s="23"/>
      <c r="S302" s="23"/>
      <c r="T302" s="24"/>
      <c r="U302" s="7"/>
      <c r="V302" s="7"/>
      <c r="W302" s="8" t="s">
        <v>27</v>
      </c>
      <c r="X302" s="58"/>
      <c r="Y302" s="19">
        <f>IFERROR(IF(X302="",0,CEILING((X302/$H302),1)*$H302),"")</f>
        <v>0</v>
      </c>
    </row>
    <row r="303" spans="1:25" x14ac:dyDescent="0.25">
      <c r="A303" s="27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9"/>
      <c r="P303" s="30" t="s">
        <v>28</v>
      </c>
      <c r="Q303" s="31"/>
      <c r="R303" s="31"/>
      <c r="S303" s="31"/>
      <c r="T303" s="31"/>
      <c r="U303" s="31"/>
      <c r="V303" s="32"/>
      <c r="W303" s="9" t="s">
        <v>29</v>
      </c>
      <c r="X303" s="20"/>
      <c r="Y303" s="20">
        <f>IFERROR(Y300/H300,"0")+IFERROR(Y301/H301,"0")+IFERROR(Y302/H302,"0")</f>
        <v>0</v>
      </c>
    </row>
    <row r="304" spans="1:2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9"/>
      <c r="P304" s="30" t="s">
        <v>28</v>
      </c>
      <c r="Q304" s="31"/>
      <c r="R304" s="31"/>
      <c r="S304" s="31"/>
      <c r="T304" s="31"/>
      <c r="U304" s="31"/>
      <c r="V304" s="32"/>
      <c r="W304" s="9" t="s">
        <v>27</v>
      </c>
      <c r="X304" s="20"/>
      <c r="Y304" s="20">
        <f>IFERROR(SUM(Y300:Y302),"0")</f>
        <v>0</v>
      </c>
    </row>
    <row r="305" spans="1:25" x14ac:dyDescent="0.25">
      <c r="A305" t="s">
        <v>50</v>
      </c>
    </row>
    <row r="306" spans="1:25" x14ac:dyDescent="0.25">
      <c r="A306" s="2" t="s">
        <v>513</v>
      </c>
      <c r="B306" s="2" t="s">
        <v>514</v>
      </c>
      <c r="C306" s="3">
        <v>4301030235</v>
      </c>
      <c r="D306" s="25">
        <v>4607091388381</v>
      </c>
      <c r="E306" s="26"/>
      <c r="F306" s="4">
        <v>0.38</v>
      </c>
      <c r="G306" s="5">
        <v>8</v>
      </c>
      <c r="H306" s="4">
        <v>3.04</v>
      </c>
      <c r="I306" s="4">
        <v>3.31</v>
      </c>
      <c r="J306" s="5">
        <v>132</v>
      </c>
      <c r="K306" s="5" t="s">
        <v>66</v>
      </c>
      <c r="L306" s="5"/>
      <c r="M306" s="6" t="s">
        <v>53</v>
      </c>
      <c r="N306" s="6"/>
      <c r="O306" s="5">
        <v>180</v>
      </c>
      <c r="P306" s="22" t="s">
        <v>515</v>
      </c>
      <c r="Q306" s="23"/>
      <c r="R306" s="23"/>
      <c r="S306" s="23"/>
      <c r="T306" s="24"/>
      <c r="U306" s="7"/>
      <c r="V306" s="7"/>
      <c r="W306" s="8" t="s">
        <v>27</v>
      </c>
      <c r="X306" s="58"/>
      <c r="Y306" s="19">
        <f>IFERROR(IF(X306="",0,CEILING((X306/$H306),1)*$H306),"")</f>
        <v>0</v>
      </c>
    </row>
    <row r="307" spans="1:25" x14ac:dyDescent="0.25">
      <c r="A307" s="2" t="s">
        <v>516</v>
      </c>
      <c r="B307" s="2" t="s">
        <v>517</v>
      </c>
      <c r="C307" s="3">
        <v>4301030232</v>
      </c>
      <c r="D307" s="25">
        <v>4607091388374</v>
      </c>
      <c r="E307" s="26"/>
      <c r="F307" s="4">
        <v>0.38</v>
      </c>
      <c r="G307" s="5">
        <v>8</v>
      </c>
      <c r="H307" s="4">
        <v>3.04</v>
      </c>
      <c r="I307" s="4">
        <v>3.27</v>
      </c>
      <c r="J307" s="5">
        <v>132</v>
      </c>
      <c r="K307" s="5" t="s">
        <v>66</v>
      </c>
      <c r="L307" s="5"/>
      <c r="M307" s="6" t="s">
        <v>53</v>
      </c>
      <c r="N307" s="6"/>
      <c r="O307" s="5">
        <v>180</v>
      </c>
      <c r="P307" s="33" t="s">
        <v>518</v>
      </c>
      <c r="Q307" s="23"/>
      <c r="R307" s="23"/>
      <c r="S307" s="23"/>
      <c r="T307" s="24"/>
      <c r="U307" s="7"/>
      <c r="V307" s="7"/>
      <c r="W307" s="8" t="s">
        <v>27</v>
      </c>
      <c r="X307" s="58"/>
      <c r="Y307" s="19">
        <f>IFERROR(IF(X307="",0,CEILING((X307/$H307),1)*$H307),"")</f>
        <v>0</v>
      </c>
    </row>
    <row r="308" spans="1:25" x14ac:dyDescent="0.25">
      <c r="A308" s="2" t="s">
        <v>519</v>
      </c>
      <c r="B308" s="2" t="s">
        <v>520</v>
      </c>
      <c r="C308" s="3">
        <v>4301032015</v>
      </c>
      <c r="D308" s="25">
        <v>4607091383102</v>
      </c>
      <c r="E308" s="26"/>
      <c r="F308" s="4">
        <v>0.17</v>
      </c>
      <c r="G308" s="5">
        <v>15</v>
      </c>
      <c r="H308" s="4">
        <v>2.5499999999999998</v>
      </c>
      <c r="I308" s="4">
        <v>2.9550000000000001</v>
      </c>
      <c r="J308" s="5">
        <v>182</v>
      </c>
      <c r="K308" s="5" t="s">
        <v>33</v>
      </c>
      <c r="L308" s="5"/>
      <c r="M308" s="6" t="s">
        <v>53</v>
      </c>
      <c r="N308" s="6"/>
      <c r="O308" s="5">
        <v>180</v>
      </c>
      <c r="P308" s="22" t="s">
        <v>521</v>
      </c>
      <c r="Q308" s="23"/>
      <c r="R308" s="23"/>
      <c r="S308" s="23"/>
      <c r="T308" s="24"/>
      <c r="U308" s="7"/>
      <c r="V308" s="7"/>
      <c r="W308" s="8" t="s">
        <v>27</v>
      </c>
      <c r="X308" s="58"/>
      <c r="Y308" s="19">
        <f>IFERROR(IF(X308="",0,CEILING((X308/$H308),1)*$H308),"")</f>
        <v>0</v>
      </c>
    </row>
    <row r="309" spans="1:25" x14ac:dyDescent="0.25">
      <c r="A309" s="2" t="s">
        <v>522</v>
      </c>
      <c r="B309" s="2" t="s">
        <v>523</v>
      </c>
      <c r="C309" s="3">
        <v>4301030233</v>
      </c>
      <c r="D309" s="25">
        <v>4607091388404</v>
      </c>
      <c r="E309" s="26"/>
      <c r="F309" s="4">
        <v>0.17</v>
      </c>
      <c r="G309" s="5">
        <v>15</v>
      </c>
      <c r="H309" s="4">
        <v>2.5499999999999998</v>
      </c>
      <c r="I309" s="4">
        <v>2.88</v>
      </c>
      <c r="J309" s="5">
        <v>182</v>
      </c>
      <c r="K309" s="5" t="s">
        <v>33</v>
      </c>
      <c r="L309" s="5" t="s">
        <v>45</v>
      </c>
      <c r="M309" s="6" t="s">
        <v>53</v>
      </c>
      <c r="N309" s="6"/>
      <c r="O309" s="5">
        <v>180</v>
      </c>
      <c r="P309" s="22" t="s">
        <v>524</v>
      </c>
      <c r="Q309" s="23"/>
      <c r="R309" s="23"/>
      <c r="S309" s="23"/>
      <c r="T309" s="24"/>
      <c r="U309" s="7"/>
      <c r="V309" s="7"/>
      <c r="W309" s="8" t="s">
        <v>27</v>
      </c>
      <c r="X309" s="58"/>
      <c r="Y309" s="19">
        <f>IFERROR(IF(X309="",0,CEILING((X309/$H309),1)*$H309),"")</f>
        <v>0</v>
      </c>
    </row>
    <row r="310" spans="1:25" x14ac:dyDescent="0.25">
      <c r="A310" s="27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9"/>
      <c r="P310" s="30" t="s">
        <v>28</v>
      </c>
      <c r="Q310" s="31"/>
      <c r="R310" s="31"/>
      <c r="S310" s="31"/>
      <c r="T310" s="31"/>
      <c r="U310" s="31"/>
      <c r="V310" s="32"/>
      <c r="W310" s="9" t="s">
        <v>29</v>
      </c>
      <c r="X310" s="20"/>
      <c r="Y310" s="20">
        <f>IFERROR(Y306/H306,"0")+IFERROR(Y307/H307,"0")+IFERROR(Y308/H308,"0")+IFERROR(Y309/H309,"0")</f>
        <v>0</v>
      </c>
    </row>
    <row r="311" spans="1:25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9"/>
      <c r="P311" s="30" t="s">
        <v>28</v>
      </c>
      <c r="Q311" s="31"/>
      <c r="R311" s="31"/>
      <c r="S311" s="31"/>
      <c r="T311" s="31"/>
      <c r="U311" s="31"/>
      <c r="V311" s="32"/>
      <c r="W311" s="9" t="s">
        <v>27</v>
      </c>
      <c r="X311" s="20"/>
      <c r="Y311" s="20">
        <f>IFERROR(SUM(Y306:Y309),"0")</f>
        <v>0</v>
      </c>
    </row>
    <row r="312" spans="1:25" x14ac:dyDescent="0.25">
      <c r="A312" t="s">
        <v>525</v>
      </c>
    </row>
    <row r="313" spans="1:25" x14ac:dyDescent="0.25">
      <c r="A313" s="2" t="s">
        <v>526</v>
      </c>
      <c r="B313" s="2" t="s">
        <v>527</v>
      </c>
      <c r="C313" s="3">
        <v>4301180007</v>
      </c>
      <c r="D313" s="25">
        <v>4680115881808</v>
      </c>
      <c r="E313" s="26"/>
      <c r="F313" s="4">
        <v>0.1</v>
      </c>
      <c r="G313" s="5">
        <v>20</v>
      </c>
      <c r="H313" s="4">
        <v>2</v>
      </c>
      <c r="I313" s="4">
        <v>2.2400000000000002</v>
      </c>
      <c r="J313" s="5">
        <v>238</v>
      </c>
      <c r="K313" s="5" t="s">
        <v>33</v>
      </c>
      <c r="L313" s="5"/>
      <c r="M313" s="6" t="s">
        <v>528</v>
      </c>
      <c r="N313" s="6"/>
      <c r="O313" s="5">
        <v>730</v>
      </c>
      <c r="P313" s="22" t="s">
        <v>529</v>
      </c>
      <c r="Q313" s="23"/>
      <c r="R313" s="23"/>
      <c r="S313" s="23"/>
      <c r="T313" s="24"/>
      <c r="U313" s="7"/>
      <c r="V313" s="7"/>
      <c r="W313" s="8" t="s">
        <v>27</v>
      </c>
      <c r="X313" s="58"/>
      <c r="Y313" s="19">
        <f>IFERROR(IF(X313="",0,CEILING((X313/$H313),1)*$H313),"")</f>
        <v>0</v>
      </c>
    </row>
    <row r="314" spans="1:25" x14ac:dyDescent="0.25">
      <c r="A314" s="2" t="s">
        <v>530</v>
      </c>
      <c r="B314" s="2" t="s">
        <v>531</v>
      </c>
      <c r="C314" s="3">
        <v>4301180006</v>
      </c>
      <c r="D314" s="25">
        <v>4680115881822</v>
      </c>
      <c r="E314" s="26"/>
      <c r="F314" s="4">
        <v>0.1</v>
      </c>
      <c r="G314" s="5">
        <v>20</v>
      </c>
      <c r="H314" s="4">
        <v>2</v>
      </c>
      <c r="I314" s="4">
        <v>2.2400000000000002</v>
      </c>
      <c r="J314" s="5">
        <v>238</v>
      </c>
      <c r="K314" s="5" t="s">
        <v>33</v>
      </c>
      <c r="L314" s="5"/>
      <c r="M314" s="6" t="s">
        <v>528</v>
      </c>
      <c r="N314" s="6"/>
      <c r="O314" s="5">
        <v>730</v>
      </c>
      <c r="P314" s="22" t="s">
        <v>532</v>
      </c>
      <c r="Q314" s="23"/>
      <c r="R314" s="23"/>
      <c r="S314" s="23"/>
      <c r="T314" s="24"/>
      <c r="U314" s="7"/>
      <c r="V314" s="7"/>
      <c r="W314" s="8" t="s">
        <v>27</v>
      </c>
      <c r="X314" s="58"/>
      <c r="Y314" s="19">
        <f>IFERROR(IF(X314="",0,CEILING((X314/$H314),1)*$H314),"")</f>
        <v>0</v>
      </c>
    </row>
    <row r="315" spans="1:25" x14ac:dyDescent="0.25">
      <c r="A315" s="2" t="s">
        <v>533</v>
      </c>
      <c r="B315" s="2" t="s">
        <v>534</v>
      </c>
      <c r="C315" s="3">
        <v>4301180001</v>
      </c>
      <c r="D315" s="25">
        <v>4680115880016</v>
      </c>
      <c r="E315" s="26"/>
      <c r="F315" s="4">
        <v>0.1</v>
      </c>
      <c r="G315" s="5">
        <v>20</v>
      </c>
      <c r="H315" s="4">
        <v>2</v>
      </c>
      <c r="I315" s="4">
        <v>2.2400000000000002</v>
      </c>
      <c r="J315" s="5">
        <v>238</v>
      </c>
      <c r="K315" s="5" t="s">
        <v>33</v>
      </c>
      <c r="L315" s="5"/>
      <c r="M315" s="6" t="s">
        <v>528</v>
      </c>
      <c r="N315" s="6"/>
      <c r="O315" s="5">
        <v>730</v>
      </c>
      <c r="P315" s="22" t="s">
        <v>535</v>
      </c>
      <c r="Q315" s="23"/>
      <c r="R315" s="23"/>
      <c r="S315" s="23"/>
      <c r="T315" s="24"/>
      <c r="U315" s="7"/>
      <c r="V315" s="7"/>
      <c r="W315" s="8" t="s">
        <v>27</v>
      </c>
      <c r="X315" s="58"/>
      <c r="Y315" s="19">
        <f>IFERROR(IF(X315="",0,CEILING((X315/$H315),1)*$H315),"")</f>
        <v>0</v>
      </c>
    </row>
    <row r="316" spans="1:25" x14ac:dyDescent="0.25">
      <c r="A316" s="27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9"/>
      <c r="P316" s="30" t="s">
        <v>28</v>
      </c>
      <c r="Q316" s="31"/>
      <c r="R316" s="31"/>
      <c r="S316" s="31"/>
      <c r="T316" s="31"/>
      <c r="U316" s="31"/>
      <c r="V316" s="32"/>
      <c r="W316" s="9" t="s">
        <v>29</v>
      </c>
      <c r="X316" s="20"/>
      <c r="Y316" s="20">
        <f>IFERROR(Y313/H313,"0")+IFERROR(Y314/H314,"0")+IFERROR(Y315/H315,"0")</f>
        <v>0</v>
      </c>
    </row>
    <row r="317" spans="1:25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9"/>
      <c r="P317" s="30" t="s">
        <v>28</v>
      </c>
      <c r="Q317" s="31"/>
      <c r="R317" s="31"/>
      <c r="S317" s="31"/>
      <c r="T317" s="31"/>
      <c r="U317" s="31"/>
      <c r="V317" s="32"/>
      <c r="W317" s="9" t="s">
        <v>27</v>
      </c>
      <c r="X317" s="20"/>
      <c r="Y317" s="20">
        <f>IFERROR(SUM(Y313:Y315),"0")</f>
        <v>0</v>
      </c>
    </row>
    <row r="318" spans="1:25" x14ac:dyDescent="0.25">
      <c r="A318" t="s">
        <v>536</v>
      </c>
    </row>
    <row r="319" spans="1:25" x14ac:dyDescent="0.25">
      <c r="A319" t="s">
        <v>30</v>
      </c>
    </row>
    <row r="320" spans="1:25" x14ac:dyDescent="0.25">
      <c r="A320" s="2" t="s">
        <v>537</v>
      </c>
      <c r="B320" s="2" t="s">
        <v>538</v>
      </c>
      <c r="C320" s="3">
        <v>4301051489</v>
      </c>
      <c r="D320" s="25">
        <v>4607091387919</v>
      </c>
      <c r="E320" s="26"/>
      <c r="F320" s="4">
        <v>1.35</v>
      </c>
      <c r="G320" s="5">
        <v>6</v>
      </c>
      <c r="H320" s="4">
        <v>8.1</v>
      </c>
      <c r="I320" s="4">
        <v>8.5939999999999994</v>
      </c>
      <c r="J320" s="5">
        <v>64</v>
      </c>
      <c r="K320" s="5" t="s">
        <v>60</v>
      </c>
      <c r="L320" s="5" t="s">
        <v>61</v>
      </c>
      <c r="M320" s="6" t="s">
        <v>41</v>
      </c>
      <c r="N320" s="6"/>
      <c r="O320" s="5">
        <v>45</v>
      </c>
      <c r="P320" s="22" t="s">
        <v>539</v>
      </c>
      <c r="Q320" s="23"/>
      <c r="R320" s="23"/>
      <c r="S320" s="23"/>
      <c r="T320" s="24"/>
      <c r="U320" s="7"/>
      <c r="V320" s="7"/>
      <c r="W320" s="8" t="s">
        <v>27</v>
      </c>
      <c r="X320" s="58"/>
      <c r="Y320" s="19">
        <f>IFERROR(IF(X320="",0,CEILING((X320/$H320),1)*$H320),"")</f>
        <v>0</v>
      </c>
    </row>
    <row r="321" spans="1:25" x14ac:dyDescent="0.25">
      <c r="A321" s="2" t="s">
        <v>540</v>
      </c>
      <c r="B321" s="2" t="s">
        <v>541</v>
      </c>
      <c r="C321" s="3">
        <v>4301051461</v>
      </c>
      <c r="D321" s="25">
        <v>4680115883604</v>
      </c>
      <c r="E321" s="26"/>
      <c r="F321" s="4">
        <v>0.35</v>
      </c>
      <c r="G321" s="5">
        <v>6</v>
      </c>
      <c r="H321" s="4">
        <v>2.1</v>
      </c>
      <c r="I321" s="4">
        <v>2.3519999999999999</v>
      </c>
      <c r="J321" s="5">
        <v>182</v>
      </c>
      <c r="K321" s="5" t="s">
        <v>33</v>
      </c>
      <c r="L321" s="5" t="s">
        <v>45</v>
      </c>
      <c r="M321" s="6" t="s">
        <v>34</v>
      </c>
      <c r="N321" s="6"/>
      <c r="O321" s="5">
        <v>45</v>
      </c>
      <c r="P321" s="22" t="s">
        <v>542</v>
      </c>
      <c r="Q321" s="23"/>
      <c r="R321" s="23"/>
      <c r="S321" s="23"/>
      <c r="T321" s="24"/>
      <c r="U321" s="7"/>
      <c r="V321" s="7"/>
      <c r="W321" s="8" t="s">
        <v>27</v>
      </c>
      <c r="X321" s="58"/>
      <c r="Y321" s="19">
        <f>IFERROR(IF(X321="",0,CEILING((X321/$H321),1)*$H321),"")</f>
        <v>0</v>
      </c>
    </row>
    <row r="322" spans="1:25" x14ac:dyDescent="0.25">
      <c r="A322" s="2" t="s">
        <v>543</v>
      </c>
      <c r="B322" s="2" t="s">
        <v>544</v>
      </c>
      <c r="C322" s="3">
        <v>4301051864</v>
      </c>
      <c r="D322" s="25">
        <v>4680115883567</v>
      </c>
      <c r="E322" s="26"/>
      <c r="F322" s="4">
        <v>0.35</v>
      </c>
      <c r="G322" s="5">
        <v>6</v>
      </c>
      <c r="H322" s="4">
        <v>2.1</v>
      </c>
      <c r="I322" s="4">
        <v>2.34</v>
      </c>
      <c r="J322" s="5">
        <v>182</v>
      </c>
      <c r="K322" s="5" t="s">
        <v>33</v>
      </c>
      <c r="L322" s="5" t="s">
        <v>45</v>
      </c>
      <c r="M322" s="6" t="s">
        <v>41</v>
      </c>
      <c r="N322" s="6"/>
      <c r="O322" s="5">
        <v>40</v>
      </c>
      <c r="P322" s="22" t="s">
        <v>545</v>
      </c>
      <c r="Q322" s="23"/>
      <c r="R322" s="23"/>
      <c r="S322" s="23"/>
      <c r="T322" s="24"/>
      <c r="U322" s="7"/>
      <c r="V322" s="7"/>
      <c r="W322" s="8" t="s">
        <v>27</v>
      </c>
      <c r="X322" s="58"/>
      <c r="Y322" s="19">
        <f>IFERROR(IF(X322="",0,CEILING((X322/$H322),1)*$H322),"")</f>
        <v>0</v>
      </c>
    </row>
    <row r="323" spans="1:25" x14ac:dyDescent="0.25">
      <c r="A323" s="27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9"/>
      <c r="P323" s="30" t="s">
        <v>28</v>
      </c>
      <c r="Q323" s="31"/>
      <c r="R323" s="31"/>
      <c r="S323" s="31"/>
      <c r="T323" s="31"/>
      <c r="U323" s="31"/>
      <c r="V323" s="32"/>
      <c r="W323" s="9" t="s">
        <v>29</v>
      </c>
      <c r="X323" s="20"/>
      <c r="Y323" s="20">
        <f>IFERROR(Y320/H320,"0")+IFERROR(Y321/H321,"0")+IFERROR(Y322/H322,"0")</f>
        <v>0</v>
      </c>
    </row>
    <row r="324" spans="1:25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9"/>
      <c r="P324" s="30" t="s">
        <v>28</v>
      </c>
      <c r="Q324" s="31"/>
      <c r="R324" s="31"/>
      <c r="S324" s="31"/>
      <c r="T324" s="31"/>
      <c r="U324" s="31"/>
      <c r="V324" s="32"/>
      <c r="W324" s="9" t="s">
        <v>27</v>
      </c>
      <c r="X324" s="20"/>
      <c r="Y324" s="20">
        <f>IFERROR(SUM(Y320:Y322),"0")</f>
        <v>0</v>
      </c>
    </row>
    <row r="325" spans="1:25" x14ac:dyDescent="0.25">
      <c r="A325" t="s">
        <v>546</v>
      </c>
    </row>
    <row r="326" spans="1:25" x14ac:dyDescent="0.25">
      <c r="A326" t="s">
        <v>547</v>
      </c>
    </row>
    <row r="327" spans="1:25" x14ac:dyDescent="0.25">
      <c r="A327" t="s">
        <v>57</v>
      </c>
    </row>
    <row r="328" spans="1:25" x14ac:dyDescent="0.25">
      <c r="A328" s="2" t="s">
        <v>548</v>
      </c>
      <c r="B328" s="2" t="s">
        <v>549</v>
      </c>
      <c r="C328" s="3">
        <v>4301011869</v>
      </c>
      <c r="D328" s="25">
        <v>4680115884847</v>
      </c>
      <c r="E328" s="26"/>
      <c r="F328" s="4">
        <v>2.5</v>
      </c>
      <c r="G328" s="5">
        <v>6</v>
      </c>
      <c r="H328" s="4">
        <v>15</v>
      </c>
      <c r="I328" s="4">
        <v>15.47</v>
      </c>
      <c r="J328" s="5">
        <v>48</v>
      </c>
      <c r="K328" s="5" t="s">
        <v>60</v>
      </c>
      <c r="L328" s="5"/>
      <c r="M328" s="6" t="s">
        <v>25</v>
      </c>
      <c r="N328" s="6"/>
      <c r="O328" s="5">
        <v>60</v>
      </c>
      <c r="P328" s="22" t="s">
        <v>550</v>
      </c>
      <c r="Q328" s="23"/>
      <c r="R328" s="23"/>
      <c r="S328" s="23"/>
      <c r="T328" s="24"/>
      <c r="U328" s="7"/>
      <c r="V328" s="7"/>
      <c r="W328" s="8" t="s">
        <v>27</v>
      </c>
      <c r="X328" s="58"/>
      <c r="Y328" s="19">
        <f t="shared" ref="Y328:Y334" si="7">IFERROR(IF(X328="",0,CEILING((X328/$H328),1)*$H328),"")</f>
        <v>0</v>
      </c>
    </row>
    <row r="329" spans="1:25" x14ac:dyDescent="0.25">
      <c r="A329" s="2" t="s">
        <v>551</v>
      </c>
      <c r="B329" s="2" t="s">
        <v>552</v>
      </c>
      <c r="C329" s="3">
        <v>4301011870</v>
      </c>
      <c r="D329" s="25">
        <v>4680115884854</v>
      </c>
      <c r="E329" s="26"/>
      <c r="F329" s="4">
        <v>2.5</v>
      </c>
      <c r="G329" s="5">
        <v>6</v>
      </c>
      <c r="H329" s="4">
        <v>15</v>
      </c>
      <c r="I329" s="4">
        <v>15.47</v>
      </c>
      <c r="J329" s="5">
        <v>48</v>
      </c>
      <c r="K329" s="5" t="s">
        <v>60</v>
      </c>
      <c r="L329" s="5"/>
      <c r="M329" s="6" t="s">
        <v>25</v>
      </c>
      <c r="N329" s="6"/>
      <c r="O329" s="5">
        <v>60</v>
      </c>
      <c r="P329" s="22" t="s">
        <v>553</v>
      </c>
      <c r="Q329" s="23"/>
      <c r="R329" s="23"/>
      <c r="S329" s="23"/>
      <c r="T329" s="24"/>
      <c r="U329" s="7"/>
      <c r="V329" s="7"/>
      <c r="W329" s="8" t="s">
        <v>27</v>
      </c>
      <c r="X329" s="58"/>
      <c r="Y329" s="19">
        <f t="shared" si="7"/>
        <v>0</v>
      </c>
    </row>
    <row r="330" spans="1:25" x14ac:dyDescent="0.25">
      <c r="A330" s="2" t="s">
        <v>554</v>
      </c>
      <c r="B330" s="2" t="s">
        <v>555</v>
      </c>
      <c r="C330" s="3">
        <v>4301011867</v>
      </c>
      <c r="D330" s="25">
        <v>4680115884830</v>
      </c>
      <c r="E330" s="26"/>
      <c r="F330" s="4">
        <v>2.5</v>
      </c>
      <c r="G330" s="5">
        <v>6</v>
      </c>
      <c r="H330" s="4">
        <v>15</v>
      </c>
      <c r="I330" s="4">
        <v>15.47</v>
      </c>
      <c r="J330" s="5">
        <v>48</v>
      </c>
      <c r="K330" s="5" t="s">
        <v>60</v>
      </c>
      <c r="L330" s="5"/>
      <c r="M330" s="6" t="s">
        <v>25</v>
      </c>
      <c r="N330" s="6"/>
      <c r="O330" s="5">
        <v>60</v>
      </c>
      <c r="P330" s="22" t="s">
        <v>556</v>
      </c>
      <c r="Q330" s="23"/>
      <c r="R330" s="23"/>
      <c r="S330" s="23"/>
      <c r="T330" s="24"/>
      <c r="U330" s="7"/>
      <c r="V330" s="7"/>
      <c r="W330" s="8" t="s">
        <v>27</v>
      </c>
      <c r="X330" s="58"/>
      <c r="Y330" s="19">
        <f t="shared" si="7"/>
        <v>0</v>
      </c>
    </row>
    <row r="331" spans="1:25" x14ac:dyDescent="0.25">
      <c r="A331" s="2" t="s">
        <v>557</v>
      </c>
      <c r="B331" s="2" t="s">
        <v>558</v>
      </c>
      <c r="C331" s="3">
        <v>4301012215</v>
      </c>
      <c r="D331" s="25">
        <v>4680115887046</v>
      </c>
      <c r="E331" s="26"/>
      <c r="F331" s="4">
        <v>2.5</v>
      </c>
      <c r="G331" s="5">
        <v>6</v>
      </c>
      <c r="H331" s="4">
        <v>15</v>
      </c>
      <c r="I331" s="4">
        <v>15.47</v>
      </c>
      <c r="J331" s="5">
        <v>48</v>
      </c>
      <c r="K331" s="5" t="s">
        <v>60</v>
      </c>
      <c r="L331" s="5"/>
      <c r="M331" s="6" t="s">
        <v>41</v>
      </c>
      <c r="N331" s="6"/>
      <c r="O331" s="5">
        <v>60</v>
      </c>
      <c r="P331" s="33" t="s">
        <v>559</v>
      </c>
      <c r="Q331" s="23"/>
      <c r="R331" s="23"/>
      <c r="S331" s="23"/>
      <c r="T331" s="24"/>
      <c r="U331" s="7"/>
      <c r="V331" s="7"/>
      <c r="W331" s="8" t="s">
        <v>27</v>
      </c>
      <c r="X331" s="58"/>
      <c r="Y331" s="19">
        <f t="shared" si="7"/>
        <v>0</v>
      </c>
    </row>
    <row r="332" spans="1:25" x14ac:dyDescent="0.25">
      <c r="A332" s="2" t="s">
        <v>560</v>
      </c>
      <c r="B332" s="2" t="s">
        <v>561</v>
      </c>
      <c r="C332" s="3">
        <v>4301011433</v>
      </c>
      <c r="D332" s="25">
        <v>4680115882638</v>
      </c>
      <c r="E332" s="26"/>
      <c r="F332" s="4">
        <v>0.4</v>
      </c>
      <c r="G332" s="5">
        <v>10</v>
      </c>
      <c r="H332" s="4">
        <v>4</v>
      </c>
      <c r="I332" s="4">
        <v>4.1900000000000004</v>
      </c>
      <c r="J332" s="5">
        <v>132</v>
      </c>
      <c r="K332" s="5" t="s">
        <v>66</v>
      </c>
      <c r="L332" s="5"/>
      <c r="M332" s="6" t="s">
        <v>62</v>
      </c>
      <c r="N332" s="6"/>
      <c r="O332" s="5">
        <v>90</v>
      </c>
      <c r="P332" s="22" t="s">
        <v>562</v>
      </c>
      <c r="Q332" s="23"/>
      <c r="R332" s="23"/>
      <c r="S332" s="23"/>
      <c r="T332" s="24"/>
      <c r="U332" s="7"/>
      <c r="V332" s="7"/>
      <c r="W332" s="8" t="s">
        <v>27</v>
      </c>
      <c r="X332" s="58"/>
      <c r="Y332" s="19">
        <f t="shared" si="7"/>
        <v>0</v>
      </c>
    </row>
    <row r="333" spans="1:25" x14ac:dyDescent="0.25">
      <c r="A333" s="2" t="s">
        <v>563</v>
      </c>
      <c r="B333" s="2" t="s">
        <v>564</v>
      </c>
      <c r="C333" s="3">
        <v>4301011952</v>
      </c>
      <c r="D333" s="25">
        <v>4680115884922</v>
      </c>
      <c r="E333" s="26"/>
      <c r="F333" s="4">
        <v>0.5</v>
      </c>
      <c r="G333" s="5">
        <v>10</v>
      </c>
      <c r="H333" s="4">
        <v>5</v>
      </c>
      <c r="I333" s="4">
        <v>5.19</v>
      </c>
      <c r="J333" s="5">
        <v>132</v>
      </c>
      <c r="K333" s="5" t="s">
        <v>66</v>
      </c>
      <c r="L333" s="5"/>
      <c r="M333" s="6" t="s">
        <v>25</v>
      </c>
      <c r="N333" s="6"/>
      <c r="O333" s="5">
        <v>60</v>
      </c>
      <c r="P333" s="22" t="s">
        <v>565</v>
      </c>
      <c r="Q333" s="23"/>
      <c r="R333" s="23"/>
      <c r="S333" s="23"/>
      <c r="T333" s="24"/>
      <c r="U333" s="7"/>
      <c r="V333" s="7"/>
      <c r="W333" s="8" t="s">
        <v>27</v>
      </c>
      <c r="X333" s="58"/>
      <c r="Y333" s="19">
        <f t="shared" si="7"/>
        <v>0</v>
      </c>
    </row>
    <row r="334" spans="1:25" x14ac:dyDescent="0.25">
      <c r="A334" s="2" t="s">
        <v>566</v>
      </c>
      <c r="B334" s="2" t="s">
        <v>567</v>
      </c>
      <c r="C334" s="3">
        <v>4301011868</v>
      </c>
      <c r="D334" s="25">
        <v>4680115884861</v>
      </c>
      <c r="E334" s="26"/>
      <c r="F334" s="4">
        <v>0.5</v>
      </c>
      <c r="G334" s="5">
        <v>10</v>
      </c>
      <c r="H334" s="4">
        <v>5</v>
      </c>
      <c r="I334" s="4">
        <v>5.19</v>
      </c>
      <c r="J334" s="5">
        <v>132</v>
      </c>
      <c r="K334" s="5" t="s">
        <v>66</v>
      </c>
      <c r="L334" s="5" t="s">
        <v>67</v>
      </c>
      <c r="M334" s="6" t="s">
        <v>25</v>
      </c>
      <c r="N334" s="6"/>
      <c r="O334" s="5">
        <v>60</v>
      </c>
      <c r="P334" s="22" t="s">
        <v>568</v>
      </c>
      <c r="Q334" s="23"/>
      <c r="R334" s="23"/>
      <c r="S334" s="23"/>
      <c r="T334" s="24"/>
      <c r="U334" s="7"/>
      <c r="V334" s="7"/>
      <c r="W334" s="8" t="s">
        <v>27</v>
      </c>
      <c r="X334" s="58"/>
      <c r="Y334" s="19">
        <f t="shared" si="7"/>
        <v>0</v>
      </c>
    </row>
    <row r="335" spans="1:25" x14ac:dyDescent="0.25">
      <c r="A335" s="27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9"/>
      <c r="P335" s="30" t="s">
        <v>28</v>
      </c>
      <c r="Q335" s="31"/>
      <c r="R335" s="31"/>
      <c r="S335" s="31"/>
      <c r="T335" s="31"/>
      <c r="U335" s="31"/>
      <c r="V335" s="32"/>
      <c r="W335" s="9" t="s">
        <v>29</v>
      </c>
      <c r="X335" s="20"/>
      <c r="Y335" s="20">
        <f>IFERROR(Y328/H328,"0")+IFERROR(Y329/H329,"0")+IFERROR(Y330/H330,"0")+IFERROR(Y331/H331,"0")+IFERROR(Y332/H332,"0")+IFERROR(Y333/H333,"0")+IFERROR(Y334/H334,"0")</f>
        <v>0</v>
      </c>
    </row>
    <row r="336" spans="1:25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9"/>
      <c r="P336" s="30" t="s">
        <v>28</v>
      </c>
      <c r="Q336" s="31"/>
      <c r="R336" s="31"/>
      <c r="S336" s="31"/>
      <c r="T336" s="31"/>
      <c r="U336" s="31"/>
      <c r="V336" s="32"/>
      <c r="W336" s="9" t="s">
        <v>27</v>
      </c>
      <c r="X336" s="20"/>
      <c r="Y336" s="20">
        <f>IFERROR(SUM(Y328:Y334),"0")</f>
        <v>0</v>
      </c>
    </row>
    <row r="337" spans="1:25" x14ac:dyDescent="0.25">
      <c r="A337" t="s">
        <v>94</v>
      </c>
    </row>
    <row r="338" spans="1:25" x14ac:dyDescent="0.25">
      <c r="A338" s="2" t="s">
        <v>569</v>
      </c>
      <c r="B338" s="2" t="s">
        <v>570</v>
      </c>
      <c r="C338" s="3">
        <v>4301020178</v>
      </c>
      <c r="D338" s="25">
        <v>4607091383980</v>
      </c>
      <c r="E338" s="26"/>
      <c r="F338" s="4">
        <v>2.5</v>
      </c>
      <c r="G338" s="5">
        <v>6</v>
      </c>
      <c r="H338" s="4">
        <v>15</v>
      </c>
      <c r="I338" s="4">
        <v>15.47</v>
      </c>
      <c r="J338" s="5">
        <v>48</v>
      </c>
      <c r="K338" s="5" t="s">
        <v>60</v>
      </c>
      <c r="L338" s="5"/>
      <c r="M338" s="6" t="s">
        <v>62</v>
      </c>
      <c r="N338" s="6"/>
      <c r="O338" s="5">
        <v>50</v>
      </c>
      <c r="P338" s="22" t="s">
        <v>571</v>
      </c>
      <c r="Q338" s="23"/>
      <c r="R338" s="23"/>
      <c r="S338" s="23"/>
      <c r="T338" s="24"/>
      <c r="U338" s="7"/>
      <c r="V338" s="7"/>
      <c r="W338" s="8" t="s">
        <v>27</v>
      </c>
      <c r="X338" s="58"/>
      <c r="Y338" s="19">
        <f>IFERROR(IF(X338="",0,CEILING((X338/$H338),1)*$H338),"")</f>
        <v>0</v>
      </c>
    </row>
    <row r="339" spans="1:25" x14ac:dyDescent="0.25">
      <c r="A339" s="2" t="s">
        <v>572</v>
      </c>
      <c r="B339" s="2" t="s">
        <v>573</v>
      </c>
      <c r="C339" s="3">
        <v>4301020179</v>
      </c>
      <c r="D339" s="25">
        <v>4607091384178</v>
      </c>
      <c r="E339" s="26"/>
      <c r="F339" s="4">
        <v>0.4</v>
      </c>
      <c r="G339" s="5">
        <v>10</v>
      </c>
      <c r="H339" s="4">
        <v>4</v>
      </c>
      <c r="I339" s="4">
        <v>4.1900000000000004</v>
      </c>
      <c r="J339" s="5">
        <v>132</v>
      </c>
      <c r="K339" s="5" t="s">
        <v>66</v>
      </c>
      <c r="L339" s="5"/>
      <c r="M339" s="6" t="s">
        <v>62</v>
      </c>
      <c r="N339" s="6"/>
      <c r="O339" s="5">
        <v>50</v>
      </c>
      <c r="P339" s="22" t="s">
        <v>574</v>
      </c>
      <c r="Q339" s="23"/>
      <c r="R339" s="23"/>
      <c r="S339" s="23"/>
      <c r="T339" s="24"/>
      <c r="U339" s="7"/>
      <c r="V339" s="7"/>
      <c r="W339" s="8" t="s">
        <v>27</v>
      </c>
      <c r="X339" s="58"/>
      <c r="Y339" s="19">
        <f>IFERROR(IF(X339="",0,CEILING((X339/$H339),1)*$H339),"")</f>
        <v>0</v>
      </c>
    </row>
    <row r="340" spans="1:25" x14ac:dyDescent="0.25">
      <c r="A340" s="27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9"/>
      <c r="P340" s="30" t="s">
        <v>28</v>
      </c>
      <c r="Q340" s="31"/>
      <c r="R340" s="31"/>
      <c r="S340" s="31"/>
      <c r="T340" s="31"/>
      <c r="U340" s="31"/>
      <c r="V340" s="32"/>
      <c r="W340" s="9" t="s">
        <v>29</v>
      </c>
      <c r="X340" s="20"/>
      <c r="Y340" s="20">
        <f>IFERROR(Y338/H338,"0")+IFERROR(Y339/H339,"0")</f>
        <v>0</v>
      </c>
    </row>
    <row r="341" spans="1:25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9"/>
      <c r="P341" s="30" t="s">
        <v>28</v>
      </c>
      <c r="Q341" s="31"/>
      <c r="R341" s="31"/>
      <c r="S341" s="31"/>
      <c r="T341" s="31"/>
      <c r="U341" s="31"/>
      <c r="V341" s="32"/>
      <c r="W341" s="9" t="s">
        <v>27</v>
      </c>
      <c r="X341" s="20"/>
      <c r="Y341" s="20">
        <f>IFERROR(SUM(Y338:Y339),"0")</f>
        <v>0</v>
      </c>
    </row>
    <row r="342" spans="1:25" x14ac:dyDescent="0.25">
      <c r="A342" t="s">
        <v>30</v>
      </c>
    </row>
    <row r="343" spans="1:25" x14ac:dyDescent="0.25">
      <c r="A343" s="2" t="s">
        <v>575</v>
      </c>
      <c r="B343" s="2" t="s">
        <v>576</v>
      </c>
      <c r="C343" s="3">
        <v>4301051903</v>
      </c>
      <c r="D343" s="25">
        <v>4607091383928</v>
      </c>
      <c r="E343" s="26"/>
      <c r="F343" s="4">
        <v>1.5</v>
      </c>
      <c r="G343" s="5">
        <v>6</v>
      </c>
      <c r="H343" s="4">
        <v>9</v>
      </c>
      <c r="I343" s="4">
        <v>9.5</v>
      </c>
      <c r="J343" s="5">
        <v>64</v>
      </c>
      <c r="K343" s="5" t="s">
        <v>60</v>
      </c>
      <c r="L343" s="5" t="s">
        <v>61</v>
      </c>
      <c r="M343" s="6" t="s">
        <v>34</v>
      </c>
      <c r="N343" s="6"/>
      <c r="O343" s="5">
        <v>40</v>
      </c>
      <c r="P343" s="22" t="s">
        <v>577</v>
      </c>
      <c r="Q343" s="23"/>
      <c r="R343" s="23"/>
      <c r="S343" s="23"/>
      <c r="T343" s="24"/>
      <c r="U343" s="7"/>
      <c r="V343" s="7"/>
      <c r="W343" s="8" t="s">
        <v>27</v>
      </c>
      <c r="X343" s="58"/>
      <c r="Y343" s="19">
        <f>IFERROR(IF(X343="",0,CEILING((X343/$H343),1)*$H343),"")</f>
        <v>0</v>
      </c>
    </row>
    <row r="344" spans="1:25" x14ac:dyDescent="0.25">
      <c r="A344" s="2" t="s">
        <v>578</v>
      </c>
      <c r="B344" s="2" t="s">
        <v>579</v>
      </c>
      <c r="C344" s="3">
        <v>4301051897</v>
      </c>
      <c r="D344" s="25">
        <v>4607091384260</v>
      </c>
      <c r="E344" s="26"/>
      <c r="F344" s="4">
        <v>1.5</v>
      </c>
      <c r="G344" s="5">
        <v>6</v>
      </c>
      <c r="H344" s="4">
        <v>9</v>
      </c>
      <c r="I344" s="4">
        <v>9.4939999999999998</v>
      </c>
      <c r="J344" s="5">
        <v>64</v>
      </c>
      <c r="K344" s="5" t="s">
        <v>60</v>
      </c>
      <c r="L344" s="5" t="s">
        <v>61</v>
      </c>
      <c r="M344" s="6" t="s">
        <v>34</v>
      </c>
      <c r="N344" s="6"/>
      <c r="O344" s="5">
        <v>40</v>
      </c>
      <c r="P344" s="22" t="s">
        <v>580</v>
      </c>
      <c r="Q344" s="23"/>
      <c r="R344" s="23"/>
      <c r="S344" s="23"/>
      <c r="T344" s="24"/>
      <c r="U344" s="7"/>
      <c r="V344" s="7"/>
      <c r="W344" s="8" t="s">
        <v>27</v>
      </c>
      <c r="X344" s="58"/>
      <c r="Y344" s="19">
        <f>IFERROR(IF(X344="",0,CEILING((X344/$H344),1)*$H344),"")</f>
        <v>0</v>
      </c>
    </row>
    <row r="345" spans="1:25" x14ac:dyDescent="0.25">
      <c r="A345" s="27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9"/>
      <c r="P345" s="30" t="s">
        <v>28</v>
      </c>
      <c r="Q345" s="31"/>
      <c r="R345" s="31"/>
      <c r="S345" s="31"/>
      <c r="T345" s="31"/>
      <c r="U345" s="31"/>
      <c r="V345" s="32"/>
      <c r="W345" s="9" t="s">
        <v>29</v>
      </c>
      <c r="X345" s="20"/>
      <c r="Y345" s="20">
        <f>IFERROR(Y343/H343,"0")+IFERROR(Y344/H344,"0")</f>
        <v>0</v>
      </c>
    </row>
    <row r="346" spans="1:25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9"/>
      <c r="P346" s="30" t="s">
        <v>28</v>
      </c>
      <c r="Q346" s="31"/>
      <c r="R346" s="31"/>
      <c r="S346" s="31"/>
      <c r="T346" s="31"/>
      <c r="U346" s="31"/>
      <c r="V346" s="32"/>
      <c r="W346" s="9" t="s">
        <v>27</v>
      </c>
      <c r="X346" s="20"/>
      <c r="Y346" s="20">
        <f>IFERROR(SUM(Y343:Y344),"0")</f>
        <v>0</v>
      </c>
    </row>
    <row r="347" spans="1:25" x14ac:dyDescent="0.25">
      <c r="A347" t="s">
        <v>125</v>
      </c>
    </row>
    <row r="348" spans="1:25" x14ac:dyDescent="0.25">
      <c r="A348" s="2" t="s">
        <v>581</v>
      </c>
      <c r="B348" s="2" t="s">
        <v>582</v>
      </c>
      <c r="C348" s="3">
        <v>4301060524</v>
      </c>
      <c r="D348" s="25">
        <v>4607091384673</v>
      </c>
      <c r="E348" s="26"/>
      <c r="F348" s="4">
        <v>1.5</v>
      </c>
      <c r="G348" s="5">
        <v>6</v>
      </c>
      <c r="H348" s="4">
        <v>9</v>
      </c>
      <c r="I348" s="4">
        <v>9.4939999999999998</v>
      </c>
      <c r="J348" s="5">
        <v>64</v>
      </c>
      <c r="K348" s="5" t="s">
        <v>60</v>
      </c>
      <c r="L348" s="5"/>
      <c r="M348" s="6" t="s">
        <v>34</v>
      </c>
      <c r="N348" s="6"/>
      <c r="O348" s="5">
        <v>40</v>
      </c>
      <c r="P348" s="22" t="s">
        <v>583</v>
      </c>
      <c r="Q348" s="23"/>
      <c r="R348" s="23"/>
      <c r="S348" s="23"/>
      <c r="T348" s="24"/>
      <c r="U348" s="7"/>
      <c r="V348" s="7"/>
      <c r="W348" s="8" t="s">
        <v>27</v>
      </c>
      <c r="X348" s="58"/>
      <c r="Y348" s="19">
        <f>IFERROR(IF(X348="",0,CEILING((X348/$H348),1)*$H348),"")</f>
        <v>0</v>
      </c>
    </row>
    <row r="349" spans="1:25" x14ac:dyDescent="0.25">
      <c r="A349" s="2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9"/>
      <c r="P349" s="30" t="s">
        <v>28</v>
      </c>
      <c r="Q349" s="31"/>
      <c r="R349" s="31"/>
      <c r="S349" s="31"/>
      <c r="T349" s="31"/>
      <c r="U349" s="31"/>
      <c r="V349" s="32"/>
      <c r="W349" s="9" t="s">
        <v>29</v>
      </c>
      <c r="X349" s="20"/>
      <c r="Y349" s="20">
        <f>IFERROR(Y348/H348,"0")</f>
        <v>0</v>
      </c>
    </row>
    <row r="350" spans="1:25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9"/>
      <c r="P350" s="30" t="s">
        <v>28</v>
      </c>
      <c r="Q350" s="31"/>
      <c r="R350" s="31"/>
      <c r="S350" s="31"/>
      <c r="T350" s="31"/>
      <c r="U350" s="31"/>
      <c r="V350" s="32"/>
      <c r="W350" s="9" t="s">
        <v>27</v>
      </c>
      <c r="X350" s="20"/>
      <c r="Y350" s="20">
        <f>IFERROR(SUM(Y348:Y348),"0")</f>
        <v>0</v>
      </c>
    </row>
    <row r="351" spans="1:25" x14ac:dyDescent="0.25">
      <c r="A351" t="s">
        <v>584</v>
      </c>
    </row>
    <row r="352" spans="1:25" x14ac:dyDescent="0.25">
      <c r="A352" t="s">
        <v>57</v>
      </c>
    </row>
    <row r="353" spans="1:25" x14ac:dyDescent="0.25">
      <c r="A353" s="2" t="s">
        <v>585</v>
      </c>
      <c r="B353" s="2" t="s">
        <v>586</v>
      </c>
      <c r="C353" s="3">
        <v>4301011875</v>
      </c>
      <c r="D353" s="25">
        <v>4680115884885</v>
      </c>
      <c r="E353" s="26"/>
      <c r="F353" s="4">
        <v>0.8</v>
      </c>
      <c r="G353" s="5">
        <v>15</v>
      </c>
      <c r="H353" s="4">
        <v>12</v>
      </c>
      <c r="I353" s="4">
        <v>12.41</v>
      </c>
      <c r="J353" s="5">
        <v>64</v>
      </c>
      <c r="K353" s="5" t="s">
        <v>60</v>
      </c>
      <c r="L353" s="5" t="s">
        <v>61</v>
      </c>
      <c r="M353" s="6" t="s">
        <v>25</v>
      </c>
      <c r="N353" s="6"/>
      <c r="O353" s="5">
        <v>60</v>
      </c>
      <c r="P353" s="22" t="s">
        <v>587</v>
      </c>
      <c r="Q353" s="23"/>
      <c r="R353" s="23"/>
      <c r="S353" s="23"/>
      <c r="T353" s="24"/>
      <c r="U353" s="7"/>
      <c r="V353" s="7"/>
      <c r="W353" s="8" t="s">
        <v>27</v>
      </c>
      <c r="X353" s="58"/>
      <c r="Y353" s="19">
        <f>IFERROR(IF(X353="",0,CEILING((X353/$H353),1)*$H353),"")</f>
        <v>0</v>
      </c>
    </row>
    <row r="354" spans="1:25" x14ac:dyDescent="0.25">
      <c r="A354" s="2" t="s">
        <v>588</v>
      </c>
      <c r="B354" s="2" t="s">
        <v>589</v>
      </c>
      <c r="C354" s="3">
        <v>4301011871</v>
      </c>
      <c r="D354" s="25">
        <v>4680115884908</v>
      </c>
      <c r="E354" s="26"/>
      <c r="F354" s="4">
        <v>0.4</v>
      </c>
      <c r="G354" s="5">
        <v>10</v>
      </c>
      <c r="H354" s="4">
        <v>4</v>
      </c>
      <c r="I354" s="4">
        <v>4.1900000000000004</v>
      </c>
      <c r="J354" s="5">
        <v>132</v>
      </c>
      <c r="K354" s="5" t="s">
        <v>66</v>
      </c>
      <c r="L354" s="5" t="s">
        <v>67</v>
      </c>
      <c r="M354" s="6" t="s">
        <v>25</v>
      </c>
      <c r="N354" s="6"/>
      <c r="O354" s="5">
        <v>60</v>
      </c>
      <c r="P354" s="22" t="s">
        <v>590</v>
      </c>
      <c r="Q354" s="23"/>
      <c r="R354" s="23"/>
      <c r="S354" s="23"/>
      <c r="T354" s="24"/>
      <c r="U354" s="7"/>
      <c r="V354" s="7"/>
      <c r="W354" s="8" t="s">
        <v>27</v>
      </c>
      <c r="X354" s="58"/>
      <c r="Y354" s="19">
        <f>IFERROR(IF(X354="",0,CEILING((X354/$H354),1)*$H354),"")</f>
        <v>0</v>
      </c>
    </row>
    <row r="355" spans="1:25" x14ac:dyDescent="0.25">
      <c r="A355" s="27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9"/>
      <c r="P355" s="30" t="s">
        <v>28</v>
      </c>
      <c r="Q355" s="31"/>
      <c r="R355" s="31"/>
      <c r="S355" s="31"/>
      <c r="T355" s="31"/>
      <c r="U355" s="31"/>
      <c r="V355" s="32"/>
      <c r="W355" s="9" t="s">
        <v>29</v>
      </c>
      <c r="X355" s="20"/>
      <c r="Y355" s="20">
        <f>IFERROR(Y353/H353,"0")+IFERROR(Y354/H354,"0")</f>
        <v>0</v>
      </c>
    </row>
    <row r="356" spans="1:25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9"/>
      <c r="P356" s="30" t="s">
        <v>28</v>
      </c>
      <c r="Q356" s="31"/>
      <c r="R356" s="31"/>
      <c r="S356" s="31"/>
      <c r="T356" s="31"/>
      <c r="U356" s="31"/>
      <c r="V356" s="32"/>
      <c r="W356" s="9" t="s">
        <v>27</v>
      </c>
      <c r="X356" s="20"/>
      <c r="Y356" s="20">
        <f>IFERROR(SUM(Y353:Y354),"0")</f>
        <v>0</v>
      </c>
    </row>
    <row r="357" spans="1:25" x14ac:dyDescent="0.25">
      <c r="A357" t="s">
        <v>21</v>
      </c>
    </row>
    <row r="358" spans="1:25" x14ac:dyDescent="0.25">
      <c r="A358" s="2" t="s">
        <v>591</v>
      </c>
      <c r="B358" s="2" t="s">
        <v>592</v>
      </c>
      <c r="C358" s="3">
        <v>4301031303</v>
      </c>
      <c r="D358" s="25">
        <v>4607091384802</v>
      </c>
      <c r="E358" s="26"/>
      <c r="F358" s="4">
        <v>0.73</v>
      </c>
      <c r="G358" s="5">
        <v>6</v>
      </c>
      <c r="H358" s="4">
        <v>4.38</v>
      </c>
      <c r="I358" s="4">
        <v>4.63</v>
      </c>
      <c r="J358" s="5">
        <v>132</v>
      </c>
      <c r="K358" s="5" t="s">
        <v>66</v>
      </c>
      <c r="L358" s="5" t="s">
        <v>67</v>
      </c>
      <c r="M358" s="6" t="s">
        <v>25</v>
      </c>
      <c r="N358" s="6"/>
      <c r="O358" s="5">
        <v>35</v>
      </c>
      <c r="P358" s="22" t="s">
        <v>593</v>
      </c>
      <c r="Q358" s="23"/>
      <c r="R358" s="23"/>
      <c r="S358" s="23"/>
      <c r="T358" s="24"/>
      <c r="U358" s="7"/>
      <c r="V358" s="7"/>
      <c r="W358" s="8" t="s">
        <v>27</v>
      </c>
      <c r="X358" s="58"/>
      <c r="Y358" s="19">
        <f>IFERROR(IF(X358="",0,CEILING((X358/$H358),1)*$H358),"")</f>
        <v>0</v>
      </c>
    </row>
    <row r="359" spans="1:25" x14ac:dyDescent="0.25">
      <c r="A359" s="2" t="s">
        <v>591</v>
      </c>
      <c r="B359" s="2" t="s">
        <v>594</v>
      </c>
      <c r="C359" s="3">
        <v>4301031457</v>
      </c>
      <c r="D359" s="25">
        <v>4607091384802</v>
      </c>
      <c r="E359" s="26"/>
      <c r="F359" s="4">
        <v>0.7</v>
      </c>
      <c r="G359" s="5">
        <v>6</v>
      </c>
      <c r="H359" s="4">
        <v>4.2</v>
      </c>
      <c r="I359" s="4">
        <v>4.45</v>
      </c>
      <c r="J359" s="5">
        <v>132</v>
      </c>
      <c r="K359" s="5" t="s">
        <v>66</v>
      </c>
      <c r="L359" s="5"/>
      <c r="M359" s="6" t="s">
        <v>25</v>
      </c>
      <c r="N359" s="6"/>
      <c r="O359" s="5">
        <v>50</v>
      </c>
      <c r="P359" s="22" t="s">
        <v>595</v>
      </c>
      <c r="Q359" s="23"/>
      <c r="R359" s="23"/>
      <c r="S359" s="23"/>
      <c r="T359" s="24"/>
      <c r="U359" s="7"/>
      <c r="V359" s="7"/>
      <c r="W359" s="8" t="s">
        <v>27</v>
      </c>
      <c r="X359" s="58"/>
      <c r="Y359" s="19">
        <f>IFERROR(IF(X359="",0,CEILING((X359/$H359),1)*$H359),"")</f>
        <v>0</v>
      </c>
    </row>
    <row r="360" spans="1:25" x14ac:dyDescent="0.25">
      <c r="A360" s="27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9"/>
      <c r="P360" s="30" t="s">
        <v>28</v>
      </c>
      <c r="Q360" s="31"/>
      <c r="R360" s="31"/>
      <c r="S360" s="31"/>
      <c r="T360" s="31"/>
      <c r="U360" s="31"/>
      <c r="V360" s="32"/>
      <c r="W360" s="9" t="s">
        <v>29</v>
      </c>
      <c r="X360" s="20"/>
      <c r="Y360" s="20">
        <f>IFERROR(Y358/H358,"0")+IFERROR(Y359/H359,"0")</f>
        <v>0</v>
      </c>
    </row>
    <row r="361" spans="1:25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9"/>
      <c r="P361" s="30" t="s">
        <v>28</v>
      </c>
      <c r="Q361" s="31"/>
      <c r="R361" s="31"/>
      <c r="S361" s="31"/>
      <c r="T361" s="31"/>
      <c r="U361" s="31"/>
      <c r="V361" s="32"/>
      <c r="W361" s="9" t="s">
        <v>27</v>
      </c>
      <c r="X361" s="20"/>
      <c r="Y361" s="20">
        <f>IFERROR(SUM(Y358:Y359),"0")</f>
        <v>0</v>
      </c>
    </row>
    <row r="362" spans="1:25" x14ac:dyDescent="0.25">
      <c r="A362" t="s">
        <v>30</v>
      </c>
    </row>
    <row r="363" spans="1:25" x14ac:dyDescent="0.25">
      <c r="A363" s="2" t="s">
        <v>596</v>
      </c>
      <c r="B363" s="2" t="s">
        <v>597</v>
      </c>
      <c r="C363" s="3">
        <v>4301051899</v>
      </c>
      <c r="D363" s="25">
        <v>4607091384246</v>
      </c>
      <c r="E363" s="26"/>
      <c r="F363" s="4">
        <v>1.5</v>
      </c>
      <c r="G363" s="5">
        <v>6</v>
      </c>
      <c r="H363" s="4">
        <v>9</v>
      </c>
      <c r="I363" s="4">
        <v>9.4939999999999998</v>
      </c>
      <c r="J363" s="5">
        <v>64</v>
      </c>
      <c r="K363" s="5" t="s">
        <v>60</v>
      </c>
      <c r="L363" s="5" t="s">
        <v>61</v>
      </c>
      <c r="M363" s="6" t="s">
        <v>34</v>
      </c>
      <c r="N363" s="6"/>
      <c r="O363" s="5">
        <v>40</v>
      </c>
      <c r="P363" s="22" t="s">
        <v>598</v>
      </c>
      <c r="Q363" s="23"/>
      <c r="R363" s="23"/>
      <c r="S363" s="23"/>
      <c r="T363" s="24"/>
      <c r="U363" s="7"/>
      <c r="V363" s="7"/>
      <c r="W363" s="8" t="s">
        <v>27</v>
      </c>
      <c r="X363" s="58"/>
      <c r="Y363" s="19">
        <f>IFERROR(IF(X363="",0,CEILING((X363/$H363),1)*$H363),"")</f>
        <v>0</v>
      </c>
    </row>
    <row r="364" spans="1:25" x14ac:dyDescent="0.25">
      <c r="A364" s="2" t="s">
        <v>599</v>
      </c>
      <c r="B364" s="2" t="s">
        <v>600</v>
      </c>
      <c r="C364" s="3">
        <v>4301051660</v>
      </c>
      <c r="D364" s="25">
        <v>4607091384253</v>
      </c>
      <c r="E364" s="26"/>
      <c r="F364" s="4">
        <v>0.4</v>
      </c>
      <c r="G364" s="5">
        <v>6</v>
      </c>
      <c r="H364" s="4">
        <v>2.4</v>
      </c>
      <c r="I364" s="4">
        <v>2.6640000000000001</v>
      </c>
      <c r="J364" s="5">
        <v>182</v>
      </c>
      <c r="K364" s="5" t="s">
        <v>33</v>
      </c>
      <c r="L364" s="5" t="s">
        <v>45</v>
      </c>
      <c r="M364" s="6" t="s">
        <v>34</v>
      </c>
      <c r="N364" s="6"/>
      <c r="O364" s="5">
        <v>40</v>
      </c>
      <c r="P364" s="22" t="s">
        <v>601</v>
      </c>
      <c r="Q364" s="23"/>
      <c r="R364" s="23"/>
      <c r="S364" s="23"/>
      <c r="T364" s="24"/>
      <c r="U364" s="7"/>
      <c r="V364" s="7"/>
      <c r="W364" s="8" t="s">
        <v>27</v>
      </c>
      <c r="X364" s="58"/>
      <c r="Y364" s="19">
        <f>IFERROR(IF(X364="",0,CEILING((X364/$H364),1)*$H364),"")</f>
        <v>0</v>
      </c>
    </row>
    <row r="365" spans="1:25" x14ac:dyDescent="0.25">
      <c r="A365" s="27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9"/>
      <c r="P365" s="30" t="s">
        <v>28</v>
      </c>
      <c r="Q365" s="31"/>
      <c r="R365" s="31"/>
      <c r="S365" s="31"/>
      <c r="T365" s="31"/>
      <c r="U365" s="31"/>
      <c r="V365" s="32"/>
      <c r="W365" s="9" t="s">
        <v>29</v>
      </c>
      <c r="X365" s="20"/>
      <c r="Y365" s="20">
        <f>IFERROR(Y363/H363,"0")+IFERROR(Y364/H364,"0")</f>
        <v>0</v>
      </c>
    </row>
    <row r="366" spans="1:25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9"/>
      <c r="P366" s="30" t="s">
        <v>28</v>
      </c>
      <c r="Q366" s="31"/>
      <c r="R366" s="31"/>
      <c r="S366" s="31"/>
      <c r="T366" s="31"/>
      <c r="U366" s="31"/>
      <c r="V366" s="32"/>
      <c r="W366" s="9" t="s">
        <v>27</v>
      </c>
      <c r="X366" s="20"/>
      <c r="Y366" s="20">
        <f>IFERROR(SUM(Y363:Y364),"0")</f>
        <v>0</v>
      </c>
    </row>
    <row r="367" spans="1:25" x14ac:dyDescent="0.25">
      <c r="A367" t="s">
        <v>602</v>
      </c>
    </row>
    <row r="368" spans="1:25" x14ac:dyDescent="0.25">
      <c r="A368" t="s">
        <v>603</v>
      </c>
    </row>
    <row r="369" spans="1:25" x14ac:dyDescent="0.25">
      <c r="A369" t="s">
        <v>21</v>
      </c>
    </row>
    <row r="370" spans="1:25" x14ac:dyDescent="0.25">
      <c r="A370" s="2" t="s">
        <v>604</v>
      </c>
      <c r="B370" s="2" t="s">
        <v>605</v>
      </c>
      <c r="C370" s="3">
        <v>4301031405</v>
      </c>
      <c r="D370" s="25">
        <v>4680115886100</v>
      </c>
      <c r="E370" s="26"/>
      <c r="F370" s="4">
        <v>0.9</v>
      </c>
      <c r="G370" s="5">
        <v>6</v>
      </c>
      <c r="H370" s="4">
        <v>5.4</v>
      </c>
      <c r="I370" s="4">
        <v>5.59</v>
      </c>
      <c r="J370" s="5">
        <v>132</v>
      </c>
      <c r="K370" s="5" t="s">
        <v>66</v>
      </c>
      <c r="L370" s="5" t="s">
        <v>67</v>
      </c>
      <c r="M370" s="6" t="s">
        <v>25</v>
      </c>
      <c r="N370" s="6"/>
      <c r="O370" s="5">
        <v>50</v>
      </c>
      <c r="P370" s="22" t="s">
        <v>606</v>
      </c>
      <c r="Q370" s="23"/>
      <c r="R370" s="23"/>
      <c r="S370" s="23"/>
      <c r="T370" s="24"/>
      <c r="U370" s="7"/>
      <c r="V370" s="7"/>
      <c r="W370" s="8" t="s">
        <v>27</v>
      </c>
      <c r="X370" s="58"/>
      <c r="Y370" s="19">
        <f t="shared" ref="Y370:Y378" si="8">IFERROR(IF(X370="",0,CEILING((X370/$H370),1)*$H370),"")</f>
        <v>0</v>
      </c>
    </row>
    <row r="371" spans="1:25" x14ac:dyDescent="0.25">
      <c r="A371" s="2" t="s">
        <v>607</v>
      </c>
      <c r="B371" s="2" t="s">
        <v>608</v>
      </c>
      <c r="C371" s="3">
        <v>4301031406</v>
      </c>
      <c r="D371" s="25">
        <v>4680115886117</v>
      </c>
      <c r="E371" s="26"/>
      <c r="F371" s="4">
        <v>0.9</v>
      </c>
      <c r="G371" s="5">
        <v>6</v>
      </c>
      <c r="H371" s="4">
        <v>5.4</v>
      </c>
      <c r="I371" s="4">
        <v>5.59</v>
      </c>
      <c r="J371" s="5">
        <v>132</v>
      </c>
      <c r="K371" s="5" t="s">
        <v>66</v>
      </c>
      <c r="L371" s="5"/>
      <c r="M371" s="6" t="s">
        <v>25</v>
      </c>
      <c r="N371" s="6"/>
      <c r="O371" s="5">
        <v>50</v>
      </c>
      <c r="P371" s="22" t="s">
        <v>609</v>
      </c>
      <c r="Q371" s="23"/>
      <c r="R371" s="23"/>
      <c r="S371" s="23"/>
      <c r="T371" s="24"/>
      <c r="U371" s="7"/>
      <c r="V371" s="7"/>
      <c r="W371" s="8" t="s">
        <v>27</v>
      </c>
      <c r="X371" s="58"/>
      <c r="Y371" s="19">
        <f t="shared" si="8"/>
        <v>0</v>
      </c>
    </row>
    <row r="372" spans="1:25" x14ac:dyDescent="0.25">
      <c r="A372" s="2" t="s">
        <v>610</v>
      </c>
      <c r="B372" s="2" t="s">
        <v>611</v>
      </c>
      <c r="C372" s="3">
        <v>4301031402</v>
      </c>
      <c r="D372" s="25">
        <v>4680115886124</v>
      </c>
      <c r="E372" s="26"/>
      <c r="F372" s="4">
        <v>0.9</v>
      </c>
      <c r="G372" s="5">
        <v>6</v>
      </c>
      <c r="H372" s="4">
        <v>5.4</v>
      </c>
      <c r="I372" s="4">
        <v>5.59</v>
      </c>
      <c r="J372" s="5">
        <v>132</v>
      </c>
      <c r="K372" s="5" t="s">
        <v>66</v>
      </c>
      <c r="L372" s="5" t="s">
        <v>67</v>
      </c>
      <c r="M372" s="6" t="s">
        <v>25</v>
      </c>
      <c r="N372" s="6"/>
      <c r="O372" s="5">
        <v>50</v>
      </c>
      <c r="P372" s="22" t="s">
        <v>612</v>
      </c>
      <c r="Q372" s="23"/>
      <c r="R372" s="23"/>
      <c r="S372" s="23"/>
      <c r="T372" s="24"/>
      <c r="U372" s="7"/>
      <c r="V372" s="7"/>
      <c r="W372" s="8" t="s">
        <v>27</v>
      </c>
      <c r="X372" s="58"/>
      <c r="Y372" s="19">
        <f t="shared" si="8"/>
        <v>0</v>
      </c>
    </row>
    <row r="373" spans="1:25" x14ac:dyDescent="0.25">
      <c r="A373" s="2" t="s">
        <v>613</v>
      </c>
      <c r="B373" s="2" t="s">
        <v>614</v>
      </c>
      <c r="C373" s="3">
        <v>4301031366</v>
      </c>
      <c r="D373" s="25">
        <v>4680115883147</v>
      </c>
      <c r="E373" s="26"/>
      <c r="F373" s="4">
        <v>0.28000000000000003</v>
      </c>
      <c r="G373" s="5">
        <v>6</v>
      </c>
      <c r="H373" s="4">
        <v>1.68</v>
      </c>
      <c r="I373" s="4">
        <v>1.81</v>
      </c>
      <c r="J373" s="5">
        <v>234</v>
      </c>
      <c r="K373" s="5" t="s">
        <v>24</v>
      </c>
      <c r="L373" s="5"/>
      <c r="M373" s="6" t="s">
        <v>25</v>
      </c>
      <c r="N373" s="6"/>
      <c r="O373" s="5">
        <v>50</v>
      </c>
      <c r="P373" s="22" t="s">
        <v>615</v>
      </c>
      <c r="Q373" s="23"/>
      <c r="R373" s="23"/>
      <c r="S373" s="23"/>
      <c r="T373" s="24"/>
      <c r="U373" s="7"/>
      <c r="V373" s="7"/>
      <c r="W373" s="8" t="s">
        <v>27</v>
      </c>
      <c r="X373" s="58"/>
      <c r="Y373" s="19">
        <f t="shared" si="8"/>
        <v>0</v>
      </c>
    </row>
    <row r="374" spans="1:25" x14ac:dyDescent="0.25">
      <c r="A374" s="2" t="s">
        <v>616</v>
      </c>
      <c r="B374" s="2" t="s">
        <v>617</v>
      </c>
      <c r="C374" s="3">
        <v>4301031362</v>
      </c>
      <c r="D374" s="25">
        <v>4607091384338</v>
      </c>
      <c r="E374" s="26"/>
      <c r="F374" s="4">
        <v>0.35</v>
      </c>
      <c r="G374" s="5">
        <v>6</v>
      </c>
      <c r="H374" s="4">
        <v>2.1</v>
      </c>
      <c r="I374" s="4">
        <v>2.23</v>
      </c>
      <c r="J374" s="5">
        <v>234</v>
      </c>
      <c r="K374" s="5" t="s">
        <v>24</v>
      </c>
      <c r="L374" s="5"/>
      <c r="M374" s="6" t="s">
        <v>25</v>
      </c>
      <c r="N374" s="6"/>
      <c r="O374" s="5">
        <v>50</v>
      </c>
      <c r="P374" s="22" t="s">
        <v>618</v>
      </c>
      <c r="Q374" s="23"/>
      <c r="R374" s="23"/>
      <c r="S374" s="23"/>
      <c r="T374" s="24"/>
      <c r="U374" s="7"/>
      <c r="V374" s="7"/>
      <c r="W374" s="8" t="s">
        <v>27</v>
      </c>
      <c r="X374" s="58"/>
      <c r="Y374" s="19">
        <f t="shared" si="8"/>
        <v>0</v>
      </c>
    </row>
    <row r="375" spans="1:25" x14ac:dyDescent="0.25">
      <c r="A375" s="2" t="s">
        <v>619</v>
      </c>
      <c r="B375" s="2" t="s">
        <v>620</v>
      </c>
      <c r="C375" s="3">
        <v>4301031361</v>
      </c>
      <c r="D375" s="25">
        <v>4607091389524</v>
      </c>
      <c r="E375" s="26"/>
      <c r="F375" s="4">
        <v>0.35</v>
      </c>
      <c r="G375" s="5">
        <v>6</v>
      </c>
      <c r="H375" s="4">
        <v>2.1</v>
      </c>
      <c r="I375" s="4">
        <v>2.23</v>
      </c>
      <c r="J375" s="5">
        <v>234</v>
      </c>
      <c r="K375" s="5" t="s">
        <v>24</v>
      </c>
      <c r="L375" s="5"/>
      <c r="M375" s="6" t="s">
        <v>25</v>
      </c>
      <c r="N375" s="6"/>
      <c r="O375" s="5">
        <v>50</v>
      </c>
      <c r="P375" s="22" t="s">
        <v>621</v>
      </c>
      <c r="Q375" s="23"/>
      <c r="R375" s="23"/>
      <c r="S375" s="23"/>
      <c r="T375" s="24"/>
      <c r="U375" s="7"/>
      <c r="V375" s="7"/>
      <c r="W375" s="8" t="s">
        <v>27</v>
      </c>
      <c r="X375" s="58"/>
      <c r="Y375" s="19">
        <f t="shared" si="8"/>
        <v>0</v>
      </c>
    </row>
    <row r="376" spans="1:25" x14ac:dyDescent="0.25">
      <c r="A376" s="2" t="s">
        <v>622</v>
      </c>
      <c r="B376" s="2" t="s">
        <v>623</v>
      </c>
      <c r="C376" s="3">
        <v>4301031364</v>
      </c>
      <c r="D376" s="25">
        <v>4680115883161</v>
      </c>
      <c r="E376" s="26"/>
      <c r="F376" s="4">
        <v>0.28000000000000003</v>
      </c>
      <c r="G376" s="5">
        <v>6</v>
      </c>
      <c r="H376" s="4">
        <v>1.68</v>
      </c>
      <c r="I376" s="4">
        <v>1.81</v>
      </c>
      <c r="J376" s="5">
        <v>234</v>
      </c>
      <c r="K376" s="5" t="s">
        <v>24</v>
      </c>
      <c r="L376" s="5"/>
      <c r="M376" s="6" t="s">
        <v>25</v>
      </c>
      <c r="N376" s="6"/>
      <c r="O376" s="5">
        <v>50</v>
      </c>
      <c r="P376" s="22" t="s">
        <v>624</v>
      </c>
      <c r="Q376" s="23"/>
      <c r="R376" s="23"/>
      <c r="S376" s="23"/>
      <c r="T376" s="24"/>
      <c r="U376" s="7"/>
      <c r="V376" s="7"/>
      <c r="W376" s="8" t="s">
        <v>27</v>
      </c>
      <c r="X376" s="58"/>
      <c r="Y376" s="19">
        <f t="shared" si="8"/>
        <v>0</v>
      </c>
    </row>
    <row r="377" spans="1:25" x14ac:dyDescent="0.25">
      <c r="A377" s="2" t="s">
        <v>625</v>
      </c>
      <c r="B377" s="2" t="s">
        <v>626</v>
      </c>
      <c r="C377" s="3">
        <v>4301031358</v>
      </c>
      <c r="D377" s="25">
        <v>4607091389531</v>
      </c>
      <c r="E377" s="26"/>
      <c r="F377" s="4">
        <v>0.35</v>
      </c>
      <c r="G377" s="5">
        <v>6</v>
      </c>
      <c r="H377" s="4">
        <v>2.1</v>
      </c>
      <c r="I377" s="4">
        <v>2.23</v>
      </c>
      <c r="J377" s="5">
        <v>234</v>
      </c>
      <c r="K377" s="5" t="s">
        <v>24</v>
      </c>
      <c r="L377" s="5"/>
      <c r="M377" s="6" t="s">
        <v>25</v>
      </c>
      <c r="N377" s="6"/>
      <c r="O377" s="5">
        <v>50</v>
      </c>
      <c r="P377" s="22" t="s">
        <v>627</v>
      </c>
      <c r="Q377" s="23"/>
      <c r="R377" s="23"/>
      <c r="S377" s="23"/>
      <c r="T377" s="24"/>
      <c r="U377" s="7"/>
      <c r="V377" s="7"/>
      <c r="W377" s="8" t="s">
        <v>27</v>
      </c>
      <c r="X377" s="58"/>
      <c r="Y377" s="19">
        <f t="shared" si="8"/>
        <v>0</v>
      </c>
    </row>
    <row r="378" spans="1:25" x14ac:dyDescent="0.25">
      <c r="A378" s="2" t="s">
        <v>628</v>
      </c>
      <c r="B378" s="2" t="s">
        <v>629</v>
      </c>
      <c r="C378" s="3">
        <v>4301031360</v>
      </c>
      <c r="D378" s="25">
        <v>4607091384345</v>
      </c>
      <c r="E378" s="26"/>
      <c r="F378" s="4">
        <v>0.35</v>
      </c>
      <c r="G378" s="5">
        <v>6</v>
      </c>
      <c r="H378" s="4">
        <v>2.1</v>
      </c>
      <c r="I378" s="4">
        <v>2.23</v>
      </c>
      <c r="J378" s="5">
        <v>234</v>
      </c>
      <c r="K378" s="5" t="s">
        <v>24</v>
      </c>
      <c r="L378" s="5"/>
      <c r="M378" s="6" t="s">
        <v>25</v>
      </c>
      <c r="N378" s="6"/>
      <c r="O378" s="5">
        <v>50</v>
      </c>
      <c r="P378" s="22" t="s">
        <v>630</v>
      </c>
      <c r="Q378" s="23"/>
      <c r="R378" s="23"/>
      <c r="S378" s="23"/>
      <c r="T378" s="24"/>
      <c r="U378" s="7"/>
      <c r="V378" s="7"/>
      <c r="W378" s="8" t="s">
        <v>27</v>
      </c>
      <c r="X378" s="58"/>
      <c r="Y378" s="19">
        <f t="shared" si="8"/>
        <v>0</v>
      </c>
    </row>
    <row r="379" spans="1:25" x14ac:dyDescent="0.25">
      <c r="A379" s="27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9"/>
      <c r="P379" s="30" t="s">
        <v>28</v>
      </c>
      <c r="Q379" s="31"/>
      <c r="R379" s="31"/>
      <c r="S379" s="31"/>
      <c r="T379" s="31"/>
      <c r="U379" s="31"/>
      <c r="V379" s="32"/>
      <c r="W379" s="9" t="s">
        <v>29</v>
      </c>
      <c r="X379" s="20"/>
      <c r="Y379" s="20">
        <f>IFERROR(Y370/H370,"0")+IFERROR(Y371/H371,"0")+IFERROR(Y372/H372,"0")+IFERROR(Y373/H373,"0")+IFERROR(Y374/H374,"0")+IFERROR(Y375/H375,"0")+IFERROR(Y376/H376,"0")+IFERROR(Y377/H377,"0")+IFERROR(Y378/H378,"0")</f>
        <v>0</v>
      </c>
    </row>
    <row r="380" spans="1:25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9"/>
      <c r="P380" s="30" t="s">
        <v>28</v>
      </c>
      <c r="Q380" s="31"/>
      <c r="R380" s="31"/>
      <c r="S380" s="31"/>
      <c r="T380" s="31"/>
      <c r="U380" s="31"/>
      <c r="V380" s="32"/>
      <c r="W380" s="9" t="s">
        <v>27</v>
      </c>
      <c r="X380" s="20"/>
      <c r="Y380" s="20">
        <f>IFERROR(SUM(Y370:Y378),"0")</f>
        <v>0</v>
      </c>
    </row>
    <row r="381" spans="1:25" x14ac:dyDescent="0.25">
      <c r="A381" t="s">
        <v>30</v>
      </c>
    </row>
    <row r="382" spans="1:25" x14ac:dyDescent="0.25">
      <c r="A382" s="2" t="s">
        <v>631</v>
      </c>
      <c r="B382" s="2" t="s">
        <v>632</v>
      </c>
      <c r="C382" s="3">
        <v>4301051284</v>
      </c>
      <c r="D382" s="25">
        <v>4607091384352</v>
      </c>
      <c r="E382" s="26"/>
      <c r="F382" s="4">
        <v>0.6</v>
      </c>
      <c r="G382" s="5">
        <v>4</v>
      </c>
      <c r="H382" s="4">
        <v>2.4</v>
      </c>
      <c r="I382" s="4">
        <v>2.6259999999999999</v>
      </c>
      <c r="J382" s="5">
        <v>132</v>
      </c>
      <c r="K382" s="5" t="s">
        <v>66</v>
      </c>
      <c r="L382" s="5" t="s">
        <v>67</v>
      </c>
      <c r="M382" s="6" t="s">
        <v>34</v>
      </c>
      <c r="N382" s="6"/>
      <c r="O382" s="5">
        <v>45</v>
      </c>
      <c r="P382" s="22" t="s">
        <v>633</v>
      </c>
      <c r="Q382" s="23"/>
      <c r="R382" s="23"/>
      <c r="S382" s="23"/>
      <c r="T382" s="24"/>
      <c r="U382" s="7"/>
      <c r="V382" s="7"/>
      <c r="W382" s="8" t="s">
        <v>27</v>
      </c>
      <c r="X382" s="58"/>
      <c r="Y382" s="19">
        <f>IFERROR(IF(X382="",0,CEILING((X382/$H382),1)*$H382),"")</f>
        <v>0</v>
      </c>
    </row>
    <row r="383" spans="1:25" x14ac:dyDescent="0.25">
      <c r="A383" s="2" t="s">
        <v>634</v>
      </c>
      <c r="B383" s="2" t="s">
        <v>635</v>
      </c>
      <c r="C383" s="3">
        <v>4301051431</v>
      </c>
      <c r="D383" s="25">
        <v>4607091389654</v>
      </c>
      <c r="E383" s="26"/>
      <c r="F383" s="4">
        <v>0.33</v>
      </c>
      <c r="G383" s="5">
        <v>6</v>
      </c>
      <c r="H383" s="4">
        <v>1.98</v>
      </c>
      <c r="I383" s="4">
        <v>2.238</v>
      </c>
      <c r="J383" s="5">
        <v>182</v>
      </c>
      <c r="K383" s="5" t="s">
        <v>33</v>
      </c>
      <c r="L383" s="5" t="s">
        <v>45</v>
      </c>
      <c r="M383" s="6" t="s">
        <v>34</v>
      </c>
      <c r="N383" s="6"/>
      <c r="O383" s="5">
        <v>45</v>
      </c>
      <c r="P383" s="22" t="s">
        <v>636</v>
      </c>
      <c r="Q383" s="23"/>
      <c r="R383" s="23"/>
      <c r="S383" s="23"/>
      <c r="T383" s="24"/>
      <c r="U383" s="7"/>
      <c r="V383" s="7"/>
      <c r="W383" s="8" t="s">
        <v>27</v>
      </c>
      <c r="X383" s="58"/>
      <c r="Y383" s="19">
        <f>IFERROR(IF(X383="",0,CEILING((X383/$H383),1)*$H383),"")</f>
        <v>0</v>
      </c>
    </row>
    <row r="384" spans="1:25" x14ac:dyDescent="0.25">
      <c r="A384" s="27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9"/>
      <c r="P384" s="30" t="s">
        <v>28</v>
      </c>
      <c r="Q384" s="31"/>
      <c r="R384" s="31"/>
      <c r="S384" s="31"/>
      <c r="T384" s="31"/>
      <c r="U384" s="31"/>
      <c r="V384" s="32"/>
      <c r="W384" s="9" t="s">
        <v>29</v>
      </c>
      <c r="X384" s="20"/>
      <c r="Y384" s="20">
        <f>IFERROR(Y382/H382,"0")+IFERROR(Y383/H383,"0")</f>
        <v>0</v>
      </c>
    </row>
    <row r="385" spans="1:25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9"/>
      <c r="P385" s="30" t="s">
        <v>28</v>
      </c>
      <c r="Q385" s="31"/>
      <c r="R385" s="31"/>
      <c r="S385" s="31"/>
      <c r="T385" s="31"/>
      <c r="U385" s="31"/>
      <c r="V385" s="32"/>
      <c r="W385" s="9" t="s">
        <v>27</v>
      </c>
      <c r="X385" s="20"/>
      <c r="Y385" s="20">
        <f>IFERROR(SUM(Y382:Y383),"0")</f>
        <v>0</v>
      </c>
    </row>
    <row r="386" spans="1:25" x14ac:dyDescent="0.25">
      <c r="A386" t="s">
        <v>637</v>
      </c>
    </row>
    <row r="387" spans="1:25" x14ac:dyDescent="0.25">
      <c r="A387" t="s">
        <v>94</v>
      </c>
    </row>
    <row r="388" spans="1:25" x14ac:dyDescent="0.25">
      <c r="A388" s="2" t="s">
        <v>638</v>
      </c>
      <c r="B388" s="2" t="s">
        <v>639</v>
      </c>
      <c r="C388" s="3">
        <v>4301020319</v>
      </c>
      <c r="D388" s="25">
        <v>4680115885240</v>
      </c>
      <c r="E388" s="26"/>
      <c r="F388" s="4">
        <v>0.35</v>
      </c>
      <c r="G388" s="5">
        <v>6</v>
      </c>
      <c r="H388" s="4">
        <v>2.1</v>
      </c>
      <c r="I388" s="4">
        <v>2.31</v>
      </c>
      <c r="J388" s="5">
        <v>182</v>
      </c>
      <c r="K388" s="5" t="s">
        <v>33</v>
      </c>
      <c r="L388" s="5"/>
      <c r="M388" s="6" t="s">
        <v>25</v>
      </c>
      <c r="N388" s="6"/>
      <c r="O388" s="5">
        <v>40</v>
      </c>
      <c r="P388" s="22" t="s">
        <v>640</v>
      </c>
      <c r="Q388" s="23"/>
      <c r="R388" s="23"/>
      <c r="S388" s="23"/>
      <c r="T388" s="24"/>
      <c r="U388" s="7"/>
      <c r="V388" s="7"/>
      <c r="W388" s="8" t="s">
        <v>27</v>
      </c>
      <c r="X388" s="58"/>
      <c r="Y388" s="19">
        <f>IFERROR(IF(X388="",0,CEILING((X388/$H388),1)*$H388),"")</f>
        <v>0</v>
      </c>
    </row>
    <row r="389" spans="1:25" x14ac:dyDescent="0.25">
      <c r="A389" s="27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9"/>
      <c r="P389" s="30" t="s">
        <v>28</v>
      </c>
      <c r="Q389" s="31"/>
      <c r="R389" s="31"/>
      <c r="S389" s="31"/>
      <c r="T389" s="31"/>
      <c r="U389" s="31"/>
      <c r="V389" s="32"/>
      <c r="W389" s="9" t="s">
        <v>29</v>
      </c>
      <c r="X389" s="20"/>
      <c r="Y389" s="20">
        <f>IFERROR(Y388/H388,"0")</f>
        <v>0</v>
      </c>
    </row>
    <row r="390" spans="1:25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9"/>
      <c r="P390" s="30" t="s">
        <v>28</v>
      </c>
      <c r="Q390" s="31"/>
      <c r="R390" s="31"/>
      <c r="S390" s="31"/>
      <c r="T390" s="31"/>
      <c r="U390" s="31"/>
      <c r="V390" s="32"/>
      <c r="W390" s="9" t="s">
        <v>27</v>
      </c>
      <c r="X390" s="20"/>
      <c r="Y390" s="20">
        <f>IFERROR(SUM(Y388:Y388),"0")</f>
        <v>0</v>
      </c>
    </row>
    <row r="391" spans="1:25" x14ac:dyDescent="0.25">
      <c r="A391" t="s">
        <v>21</v>
      </c>
    </row>
    <row r="392" spans="1:25" x14ac:dyDescent="0.25">
      <c r="A392" s="2" t="s">
        <v>641</v>
      </c>
      <c r="B392" s="2" t="s">
        <v>642</v>
      </c>
      <c r="C392" s="3">
        <v>4301031403</v>
      </c>
      <c r="D392" s="25">
        <v>4680115886094</v>
      </c>
      <c r="E392" s="26"/>
      <c r="F392" s="4">
        <v>0.9</v>
      </c>
      <c r="G392" s="5">
        <v>6</v>
      </c>
      <c r="H392" s="4">
        <v>5.4</v>
      </c>
      <c r="I392" s="4">
        <v>5.59</v>
      </c>
      <c r="J392" s="5">
        <v>132</v>
      </c>
      <c r="K392" s="5" t="s">
        <v>66</v>
      </c>
      <c r="L392" s="5" t="s">
        <v>67</v>
      </c>
      <c r="M392" s="6" t="s">
        <v>62</v>
      </c>
      <c r="N392" s="6"/>
      <c r="O392" s="5">
        <v>50</v>
      </c>
      <c r="P392" s="22" t="s">
        <v>643</v>
      </c>
      <c r="Q392" s="23"/>
      <c r="R392" s="23"/>
      <c r="S392" s="23"/>
      <c r="T392" s="24"/>
      <c r="U392" s="7"/>
      <c r="V392" s="7"/>
      <c r="W392" s="8" t="s">
        <v>27</v>
      </c>
      <c r="X392" s="58"/>
      <c r="Y392" s="19">
        <f>IFERROR(IF(X392="",0,CEILING((X392/$H392),1)*$H392),"")</f>
        <v>0</v>
      </c>
    </row>
    <row r="393" spans="1:25" x14ac:dyDescent="0.25">
      <c r="A393" s="2" t="s">
        <v>644</v>
      </c>
      <c r="B393" s="2" t="s">
        <v>645</v>
      </c>
      <c r="C393" s="3">
        <v>4301031363</v>
      </c>
      <c r="D393" s="25">
        <v>4607091389425</v>
      </c>
      <c r="E393" s="26"/>
      <c r="F393" s="4">
        <v>0.35</v>
      </c>
      <c r="G393" s="5">
        <v>6</v>
      </c>
      <c r="H393" s="4">
        <v>2.1</v>
      </c>
      <c r="I393" s="4">
        <v>2.23</v>
      </c>
      <c r="J393" s="5">
        <v>234</v>
      </c>
      <c r="K393" s="5" t="s">
        <v>24</v>
      </c>
      <c r="L393" s="5"/>
      <c r="M393" s="6" t="s">
        <v>25</v>
      </c>
      <c r="N393" s="6"/>
      <c r="O393" s="5">
        <v>50</v>
      </c>
      <c r="P393" s="22" t="s">
        <v>646</v>
      </c>
      <c r="Q393" s="23"/>
      <c r="R393" s="23"/>
      <c r="S393" s="23"/>
      <c r="T393" s="24"/>
      <c r="U393" s="7"/>
      <c r="V393" s="7"/>
      <c r="W393" s="8" t="s">
        <v>27</v>
      </c>
      <c r="X393" s="58"/>
      <c r="Y393" s="19">
        <f>IFERROR(IF(X393="",0,CEILING((X393/$H393),1)*$H393),"")</f>
        <v>0</v>
      </c>
    </row>
    <row r="394" spans="1:25" x14ac:dyDescent="0.25">
      <c r="A394" s="2" t="s">
        <v>647</v>
      </c>
      <c r="B394" s="2" t="s">
        <v>648</v>
      </c>
      <c r="C394" s="3">
        <v>4301031373</v>
      </c>
      <c r="D394" s="25">
        <v>4680115880771</v>
      </c>
      <c r="E394" s="26"/>
      <c r="F394" s="4">
        <v>0.28000000000000003</v>
      </c>
      <c r="G394" s="5">
        <v>6</v>
      </c>
      <c r="H394" s="4">
        <v>1.68</v>
      </c>
      <c r="I394" s="4">
        <v>1.81</v>
      </c>
      <c r="J394" s="5">
        <v>234</v>
      </c>
      <c r="K394" s="5" t="s">
        <v>24</v>
      </c>
      <c r="L394" s="5"/>
      <c r="M394" s="6" t="s">
        <v>25</v>
      </c>
      <c r="N394" s="6"/>
      <c r="O394" s="5">
        <v>50</v>
      </c>
      <c r="P394" s="22" t="s">
        <v>649</v>
      </c>
      <c r="Q394" s="23"/>
      <c r="R394" s="23"/>
      <c r="S394" s="23"/>
      <c r="T394" s="24"/>
      <c r="U394" s="7"/>
      <c r="V394" s="7"/>
      <c r="W394" s="8" t="s">
        <v>27</v>
      </c>
      <c r="X394" s="58"/>
      <c r="Y394" s="19">
        <f>IFERROR(IF(X394="",0,CEILING((X394/$H394),1)*$H394),"")</f>
        <v>0</v>
      </c>
    </row>
    <row r="395" spans="1:25" x14ac:dyDescent="0.25">
      <c r="A395" s="2" t="s">
        <v>650</v>
      </c>
      <c r="B395" s="2" t="s">
        <v>651</v>
      </c>
      <c r="C395" s="3">
        <v>4301031359</v>
      </c>
      <c r="D395" s="25">
        <v>4607091389500</v>
      </c>
      <c r="E395" s="26"/>
      <c r="F395" s="4">
        <v>0.35</v>
      </c>
      <c r="G395" s="5">
        <v>6</v>
      </c>
      <c r="H395" s="4">
        <v>2.1</v>
      </c>
      <c r="I395" s="4">
        <v>2.23</v>
      </c>
      <c r="J395" s="5">
        <v>234</v>
      </c>
      <c r="K395" s="5" t="s">
        <v>24</v>
      </c>
      <c r="L395" s="5"/>
      <c r="M395" s="6" t="s">
        <v>25</v>
      </c>
      <c r="N395" s="6"/>
      <c r="O395" s="5">
        <v>50</v>
      </c>
      <c r="P395" s="22" t="s">
        <v>652</v>
      </c>
      <c r="Q395" s="23"/>
      <c r="R395" s="23"/>
      <c r="S395" s="23"/>
      <c r="T395" s="24"/>
      <c r="U395" s="7"/>
      <c r="V395" s="7"/>
      <c r="W395" s="8" t="s">
        <v>27</v>
      </c>
      <c r="X395" s="58"/>
      <c r="Y395" s="19">
        <f>IFERROR(IF(X395="",0,CEILING((X395/$H395),1)*$H395),"")</f>
        <v>0</v>
      </c>
    </row>
    <row r="396" spans="1:25" x14ac:dyDescent="0.25">
      <c r="A396" s="27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9"/>
      <c r="P396" s="30" t="s">
        <v>28</v>
      </c>
      <c r="Q396" s="31"/>
      <c r="R396" s="31"/>
      <c r="S396" s="31"/>
      <c r="T396" s="31"/>
      <c r="U396" s="31"/>
      <c r="V396" s="32"/>
      <c r="W396" s="9" t="s">
        <v>29</v>
      </c>
      <c r="X396" s="20"/>
      <c r="Y396" s="20">
        <f>IFERROR(Y392/H392,"0")+IFERROR(Y393/H393,"0")+IFERROR(Y394/H394,"0")+IFERROR(Y395/H395,"0")</f>
        <v>0</v>
      </c>
    </row>
    <row r="397" spans="1:25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9"/>
      <c r="P397" s="30" t="s">
        <v>28</v>
      </c>
      <c r="Q397" s="31"/>
      <c r="R397" s="31"/>
      <c r="S397" s="31"/>
      <c r="T397" s="31"/>
      <c r="U397" s="31"/>
      <c r="V397" s="32"/>
      <c r="W397" s="9" t="s">
        <v>27</v>
      </c>
      <c r="X397" s="20"/>
      <c r="Y397" s="20">
        <f>IFERROR(SUM(Y392:Y395),"0")</f>
        <v>0</v>
      </c>
    </row>
    <row r="398" spans="1:25" x14ac:dyDescent="0.25">
      <c r="A398" t="s">
        <v>653</v>
      </c>
    </row>
    <row r="399" spans="1:25" x14ac:dyDescent="0.25">
      <c r="A399" t="s">
        <v>21</v>
      </c>
    </row>
    <row r="400" spans="1:25" x14ac:dyDescent="0.25">
      <c r="A400" s="2" t="s">
        <v>654</v>
      </c>
      <c r="B400" s="2" t="s">
        <v>655</v>
      </c>
      <c r="C400" s="3">
        <v>4301031347</v>
      </c>
      <c r="D400" s="25">
        <v>4680115885110</v>
      </c>
      <c r="E400" s="26"/>
      <c r="F400" s="4">
        <v>0.2</v>
      </c>
      <c r="G400" s="5">
        <v>6</v>
      </c>
      <c r="H400" s="4">
        <v>1.2</v>
      </c>
      <c r="I400" s="4">
        <v>2.1</v>
      </c>
      <c r="J400" s="5">
        <v>182</v>
      </c>
      <c r="K400" s="5" t="s">
        <v>33</v>
      </c>
      <c r="L400" s="5"/>
      <c r="M400" s="6" t="s">
        <v>25</v>
      </c>
      <c r="N400" s="6"/>
      <c r="O400" s="5">
        <v>50</v>
      </c>
      <c r="P400" s="22" t="s">
        <v>656</v>
      </c>
      <c r="Q400" s="23"/>
      <c r="R400" s="23"/>
      <c r="S400" s="23"/>
      <c r="T400" s="24"/>
      <c r="U400" s="7"/>
      <c r="V400" s="7"/>
      <c r="W400" s="8" t="s">
        <v>27</v>
      </c>
      <c r="X400" s="58"/>
      <c r="Y400" s="19">
        <f>IFERROR(IF(X400="",0,CEILING((X400/$H400),1)*$H400),"")</f>
        <v>0</v>
      </c>
    </row>
    <row r="401" spans="1:25" x14ac:dyDescent="0.25">
      <c r="A401" s="27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9"/>
      <c r="P401" s="30" t="s">
        <v>28</v>
      </c>
      <c r="Q401" s="31"/>
      <c r="R401" s="31"/>
      <c r="S401" s="31"/>
      <c r="T401" s="31"/>
      <c r="U401" s="31"/>
      <c r="V401" s="32"/>
      <c r="W401" s="9" t="s">
        <v>29</v>
      </c>
      <c r="X401" s="20"/>
      <c r="Y401" s="20">
        <f>IFERROR(Y400/H400,"0")</f>
        <v>0</v>
      </c>
    </row>
    <row r="402" spans="1:25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9"/>
      <c r="P402" s="30" t="s">
        <v>28</v>
      </c>
      <c r="Q402" s="31"/>
      <c r="R402" s="31"/>
      <c r="S402" s="31"/>
      <c r="T402" s="31"/>
      <c r="U402" s="31"/>
      <c r="V402" s="32"/>
      <c r="W402" s="9" t="s">
        <v>27</v>
      </c>
      <c r="X402" s="20"/>
      <c r="Y402" s="20">
        <f>IFERROR(SUM(Y400:Y400),"0")</f>
        <v>0</v>
      </c>
    </row>
    <row r="403" spans="1:25" x14ac:dyDescent="0.25">
      <c r="A403" t="s">
        <v>657</v>
      </c>
    </row>
    <row r="404" spans="1:25" x14ac:dyDescent="0.25">
      <c r="A404" t="s">
        <v>657</v>
      </c>
    </row>
    <row r="405" spans="1:25" x14ac:dyDescent="0.25">
      <c r="A405" t="s">
        <v>57</v>
      </c>
    </row>
    <row r="406" spans="1:25" x14ac:dyDescent="0.25">
      <c r="A406" s="2" t="s">
        <v>658</v>
      </c>
      <c r="B406" s="2" t="s">
        <v>659</v>
      </c>
      <c r="C406" s="3">
        <v>4301011795</v>
      </c>
      <c r="D406" s="25">
        <v>4607091389067</v>
      </c>
      <c r="E406" s="26"/>
      <c r="F406" s="4">
        <v>0.88</v>
      </c>
      <c r="G406" s="5">
        <v>6</v>
      </c>
      <c r="H406" s="4">
        <v>5.28</v>
      </c>
      <c r="I406" s="4">
        <v>5.63</v>
      </c>
      <c r="J406" s="5">
        <v>104</v>
      </c>
      <c r="K406" s="5" t="s">
        <v>60</v>
      </c>
      <c r="L406" s="5" t="s">
        <v>61</v>
      </c>
      <c r="M406" s="6" t="s">
        <v>62</v>
      </c>
      <c r="N406" s="6"/>
      <c r="O406" s="5">
        <v>60</v>
      </c>
      <c r="P406" s="22" t="s">
        <v>660</v>
      </c>
      <c r="Q406" s="23"/>
      <c r="R406" s="23"/>
      <c r="S406" s="23"/>
      <c r="T406" s="24"/>
      <c r="U406" s="7"/>
      <c r="V406" s="7"/>
      <c r="W406" s="8" t="s">
        <v>27</v>
      </c>
      <c r="X406" s="58"/>
      <c r="Y406" s="19">
        <f t="shared" ref="Y406:Y416" si="9">IFERROR(IF(X406="",0,CEILING((X406/$H406),1)*$H406),"")</f>
        <v>0</v>
      </c>
    </row>
    <row r="407" spans="1:25" x14ac:dyDescent="0.25">
      <c r="A407" s="2" t="s">
        <v>661</v>
      </c>
      <c r="B407" s="2" t="s">
        <v>662</v>
      </c>
      <c r="C407" s="3">
        <v>4301011961</v>
      </c>
      <c r="D407" s="25">
        <v>4680115885271</v>
      </c>
      <c r="E407" s="26"/>
      <c r="F407" s="4">
        <v>0.88</v>
      </c>
      <c r="G407" s="5">
        <v>6</v>
      </c>
      <c r="H407" s="4">
        <v>5.28</v>
      </c>
      <c r="I407" s="4">
        <v>5.63</v>
      </c>
      <c r="J407" s="5">
        <v>104</v>
      </c>
      <c r="K407" s="5" t="s">
        <v>60</v>
      </c>
      <c r="L407" s="5" t="s">
        <v>61</v>
      </c>
      <c r="M407" s="6" t="s">
        <v>62</v>
      </c>
      <c r="N407" s="6"/>
      <c r="O407" s="5">
        <v>60</v>
      </c>
      <c r="P407" s="22" t="s">
        <v>663</v>
      </c>
      <c r="Q407" s="23"/>
      <c r="R407" s="23"/>
      <c r="S407" s="23"/>
      <c r="T407" s="24"/>
      <c r="U407" s="7"/>
      <c r="V407" s="7"/>
      <c r="W407" s="8" t="s">
        <v>27</v>
      </c>
      <c r="X407" s="58"/>
      <c r="Y407" s="19">
        <f t="shared" si="9"/>
        <v>0</v>
      </c>
    </row>
    <row r="408" spans="1:25" x14ac:dyDescent="0.25">
      <c r="A408" s="2" t="s">
        <v>664</v>
      </c>
      <c r="B408" s="2" t="s">
        <v>665</v>
      </c>
      <c r="C408" s="3">
        <v>4301011376</v>
      </c>
      <c r="D408" s="25">
        <v>4680115885226</v>
      </c>
      <c r="E408" s="26"/>
      <c r="F408" s="4">
        <v>0.88</v>
      </c>
      <c r="G408" s="5">
        <v>6</v>
      </c>
      <c r="H408" s="4">
        <v>5.28</v>
      </c>
      <c r="I408" s="4">
        <v>5.63</v>
      </c>
      <c r="J408" s="5">
        <v>104</v>
      </c>
      <c r="K408" s="5" t="s">
        <v>60</v>
      </c>
      <c r="L408" s="5" t="s">
        <v>61</v>
      </c>
      <c r="M408" s="6" t="s">
        <v>34</v>
      </c>
      <c r="N408" s="6"/>
      <c r="O408" s="5">
        <v>60</v>
      </c>
      <c r="P408" s="22" t="s">
        <v>666</v>
      </c>
      <c r="Q408" s="23"/>
      <c r="R408" s="23"/>
      <c r="S408" s="23"/>
      <c r="T408" s="24"/>
      <c r="U408" s="7"/>
      <c r="V408" s="7"/>
      <c r="W408" s="8" t="s">
        <v>27</v>
      </c>
      <c r="X408" s="58"/>
      <c r="Y408" s="19">
        <f t="shared" si="9"/>
        <v>0</v>
      </c>
    </row>
    <row r="409" spans="1:25" x14ac:dyDescent="0.25">
      <c r="A409" s="2" t="s">
        <v>667</v>
      </c>
      <c r="B409" s="2" t="s">
        <v>668</v>
      </c>
      <c r="C409" s="3">
        <v>4301012145</v>
      </c>
      <c r="D409" s="25">
        <v>4607091383522</v>
      </c>
      <c r="E409" s="26"/>
      <c r="F409" s="4">
        <v>0.88</v>
      </c>
      <c r="G409" s="5">
        <v>6</v>
      </c>
      <c r="H409" s="4">
        <v>5.28</v>
      </c>
      <c r="I409" s="4">
        <v>5.63</v>
      </c>
      <c r="J409" s="5">
        <v>104</v>
      </c>
      <c r="K409" s="5" t="s">
        <v>60</v>
      </c>
      <c r="L409" s="5"/>
      <c r="M409" s="6" t="s">
        <v>62</v>
      </c>
      <c r="N409" s="6"/>
      <c r="O409" s="5">
        <v>60</v>
      </c>
      <c r="P409" s="22" t="s">
        <v>669</v>
      </c>
      <c r="Q409" s="23"/>
      <c r="R409" s="23"/>
      <c r="S409" s="23"/>
      <c r="T409" s="24"/>
      <c r="U409" s="7"/>
      <c r="V409" s="7"/>
      <c r="W409" s="8" t="s">
        <v>27</v>
      </c>
      <c r="X409" s="58"/>
      <c r="Y409" s="19">
        <f t="shared" si="9"/>
        <v>0</v>
      </c>
    </row>
    <row r="410" spans="1:25" x14ac:dyDescent="0.25">
      <c r="A410" s="2" t="s">
        <v>670</v>
      </c>
      <c r="B410" s="2" t="s">
        <v>671</v>
      </c>
      <c r="C410" s="3">
        <v>4301011774</v>
      </c>
      <c r="D410" s="25">
        <v>4680115884502</v>
      </c>
      <c r="E410" s="26"/>
      <c r="F410" s="4">
        <v>0.88</v>
      </c>
      <c r="G410" s="5">
        <v>6</v>
      </c>
      <c r="H410" s="4">
        <v>5.28</v>
      </c>
      <c r="I410" s="4">
        <v>5.63</v>
      </c>
      <c r="J410" s="5">
        <v>104</v>
      </c>
      <c r="K410" s="5" t="s">
        <v>60</v>
      </c>
      <c r="L410" s="5"/>
      <c r="M410" s="6" t="s">
        <v>62</v>
      </c>
      <c r="N410" s="6"/>
      <c r="O410" s="5">
        <v>60</v>
      </c>
      <c r="P410" s="22" t="s">
        <v>672</v>
      </c>
      <c r="Q410" s="23"/>
      <c r="R410" s="23"/>
      <c r="S410" s="23"/>
      <c r="T410" s="24"/>
      <c r="U410" s="7"/>
      <c r="V410" s="7"/>
      <c r="W410" s="8" t="s">
        <v>27</v>
      </c>
      <c r="X410" s="58"/>
      <c r="Y410" s="19">
        <f t="shared" si="9"/>
        <v>0</v>
      </c>
    </row>
    <row r="411" spans="1:25" x14ac:dyDescent="0.25">
      <c r="A411" s="2" t="s">
        <v>673</v>
      </c>
      <c r="B411" s="2" t="s">
        <v>674</v>
      </c>
      <c r="C411" s="3">
        <v>4301011771</v>
      </c>
      <c r="D411" s="25">
        <v>4607091389104</v>
      </c>
      <c r="E411" s="26"/>
      <c r="F411" s="4">
        <v>0.88</v>
      </c>
      <c r="G411" s="5">
        <v>6</v>
      </c>
      <c r="H411" s="4">
        <v>5.28</v>
      </c>
      <c r="I411" s="4">
        <v>5.63</v>
      </c>
      <c r="J411" s="5">
        <v>104</v>
      </c>
      <c r="K411" s="5" t="s">
        <v>60</v>
      </c>
      <c r="L411" s="5" t="s">
        <v>61</v>
      </c>
      <c r="M411" s="6" t="s">
        <v>62</v>
      </c>
      <c r="N411" s="6"/>
      <c r="O411" s="5">
        <v>60</v>
      </c>
      <c r="P411" s="22" t="s">
        <v>675</v>
      </c>
      <c r="Q411" s="23"/>
      <c r="R411" s="23"/>
      <c r="S411" s="23"/>
      <c r="T411" s="24"/>
      <c r="U411" s="7"/>
      <c r="V411" s="7"/>
      <c r="W411" s="8" t="s">
        <v>27</v>
      </c>
      <c r="X411" s="58"/>
      <c r="Y411" s="19">
        <f t="shared" si="9"/>
        <v>0</v>
      </c>
    </row>
    <row r="412" spans="1:25" x14ac:dyDescent="0.25">
      <c r="A412" s="2" t="s">
        <v>676</v>
      </c>
      <c r="B412" s="2" t="s">
        <v>677</v>
      </c>
      <c r="C412" s="3">
        <v>4301012125</v>
      </c>
      <c r="D412" s="25">
        <v>4680115886391</v>
      </c>
      <c r="E412" s="26"/>
      <c r="F412" s="4">
        <v>0.4</v>
      </c>
      <c r="G412" s="5">
        <v>6</v>
      </c>
      <c r="H412" s="4">
        <v>2.4</v>
      </c>
      <c r="I412" s="4">
        <v>2.58</v>
      </c>
      <c r="J412" s="5">
        <v>182</v>
      </c>
      <c r="K412" s="5" t="s">
        <v>33</v>
      </c>
      <c r="L412" s="5"/>
      <c r="M412" s="6" t="s">
        <v>34</v>
      </c>
      <c r="N412" s="6"/>
      <c r="O412" s="5">
        <v>60</v>
      </c>
      <c r="P412" s="22" t="s">
        <v>678</v>
      </c>
      <c r="Q412" s="23"/>
      <c r="R412" s="23"/>
      <c r="S412" s="23"/>
      <c r="T412" s="24"/>
      <c r="U412" s="7"/>
      <c r="V412" s="7"/>
      <c r="W412" s="8" t="s">
        <v>27</v>
      </c>
      <c r="X412" s="58"/>
      <c r="Y412" s="19">
        <f t="shared" si="9"/>
        <v>0</v>
      </c>
    </row>
    <row r="413" spans="1:25" x14ac:dyDescent="0.25">
      <c r="A413" s="2" t="s">
        <v>679</v>
      </c>
      <c r="B413" s="2" t="s">
        <v>680</v>
      </c>
      <c r="C413" s="3">
        <v>4301012035</v>
      </c>
      <c r="D413" s="25">
        <v>4680115880603</v>
      </c>
      <c r="E413" s="26"/>
      <c r="F413" s="4">
        <v>0.6</v>
      </c>
      <c r="G413" s="5">
        <v>8</v>
      </c>
      <c r="H413" s="4">
        <v>4.8</v>
      </c>
      <c r="I413" s="4">
        <v>6.91</v>
      </c>
      <c r="J413" s="5">
        <v>132</v>
      </c>
      <c r="K413" s="5" t="s">
        <v>66</v>
      </c>
      <c r="L413" s="5"/>
      <c r="M413" s="6" t="s">
        <v>62</v>
      </c>
      <c r="N413" s="6"/>
      <c r="O413" s="5">
        <v>60</v>
      </c>
      <c r="P413" s="22" t="s">
        <v>681</v>
      </c>
      <c r="Q413" s="23"/>
      <c r="R413" s="23"/>
      <c r="S413" s="23"/>
      <c r="T413" s="24"/>
      <c r="U413" s="7"/>
      <c r="V413" s="7"/>
      <c r="W413" s="8" t="s">
        <v>27</v>
      </c>
      <c r="X413" s="58"/>
      <c r="Y413" s="19">
        <f t="shared" si="9"/>
        <v>0</v>
      </c>
    </row>
    <row r="414" spans="1:25" x14ac:dyDescent="0.25">
      <c r="A414" s="2" t="s">
        <v>682</v>
      </c>
      <c r="B414" s="2" t="s">
        <v>683</v>
      </c>
      <c r="C414" s="3">
        <v>4301012036</v>
      </c>
      <c r="D414" s="25">
        <v>4680115882782</v>
      </c>
      <c r="E414" s="26"/>
      <c r="F414" s="4">
        <v>0.6</v>
      </c>
      <c r="G414" s="5">
        <v>8</v>
      </c>
      <c r="H414" s="4">
        <v>4.8</v>
      </c>
      <c r="I414" s="4">
        <v>6.96</v>
      </c>
      <c r="J414" s="5">
        <v>120</v>
      </c>
      <c r="K414" s="5" t="s">
        <v>66</v>
      </c>
      <c r="L414" s="5"/>
      <c r="M414" s="6" t="s">
        <v>62</v>
      </c>
      <c r="N414" s="6"/>
      <c r="O414" s="5">
        <v>60</v>
      </c>
      <c r="P414" s="22" t="s">
        <v>684</v>
      </c>
      <c r="Q414" s="23"/>
      <c r="R414" s="23"/>
      <c r="S414" s="23"/>
      <c r="T414" s="24"/>
      <c r="U414" s="7"/>
      <c r="V414" s="7"/>
      <c r="W414" s="8" t="s">
        <v>27</v>
      </c>
      <c r="X414" s="58"/>
      <c r="Y414" s="19">
        <f t="shared" si="9"/>
        <v>0</v>
      </c>
    </row>
    <row r="415" spans="1:25" x14ac:dyDescent="0.25">
      <c r="A415" s="2" t="s">
        <v>685</v>
      </c>
      <c r="B415" s="2" t="s">
        <v>686</v>
      </c>
      <c r="C415" s="3">
        <v>4301012050</v>
      </c>
      <c r="D415" s="25">
        <v>4680115885479</v>
      </c>
      <c r="E415" s="26"/>
      <c r="F415" s="4">
        <v>0.4</v>
      </c>
      <c r="G415" s="5">
        <v>6</v>
      </c>
      <c r="H415" s="4">
        <v>2.4</v>
      </c>
      <c r="I415" s="4">
        <v>2.58</v>
      </c>
      <c r="J415" s="5">
        <v>182</v>
      </c>
      <c r="K415" s="5" t="s">
        <v>33</v>
      </c>
      <c r="L415" s="5"/>
      <c r="M415" s="6" t="s">
        <v>62</v>
      </c>
      <c r="N415" s="6"/>
      <c r="O415" s="5">
        <v>60</v>
      </c>
      <c r="P415" s="22" t="s">
        <v>687</v>
      </c>
      <c r="Q415" s="23"/>
      <c r="R415" s="23"/>
      <c r="S415" s="23"/>
      <c r="T415" s="24"/>
      <c r="U415" s="7"/>
      <c r="V415" s="7"/>
      <c r="W415" s="8" t="s">
        <v>27</v>
      </c>
      <c r="X415" s="58"/>
      <c r="Y415" s="19">
        <f t="shared" si="9"/>
        <v>0</v>
      </c>
    </row>
    <row r="416" spans="1:25" x14ac:dyDescent="0.25">
      <c r="A416" s="2" t="s">
        <v>688</v>
      </c>
      <c r="B416" s="2" t="s">
        <v>689</v>
      </c>
      <c r="C416" s="3">
        <v>4301012034</v>
      </c>
      <c r="D416" s="25">
        <v>4607091389982</v>
      </c>
      <c r="E416" s="26"/>
      <c r="F416" s="4">
        <v>0.6</v>
      </c>
      <c r="G416" s="5">
        <v>8</v>
      </c>
      <c r="H416" s="4">
        <v>4.8</v>
      </c>
      <c r="I416" s="4">
        <v>6.91</v>
      </c>
      <c r="J416" s="5">
        <v>132</v>
      </c>
      <c r="K416" s="5" t="s">
        <v>66</v>
      </c>
      <c r="L416" s="5"/>
      <c r="M416" s="6" t="s">
        <v>62</v>
      </c>
      <c r="N416" s="6"/>
      <c r="O416" s="5">
        <v>60</v>
      </c>
      <c r="P416" s="22" t="s">
        <v>690</v>
      </c>
      <c r="Q416" s="23"/>
      <c r="R416" s="23"/>
      <c r="S416" s="23"/>
      <c r="T416" s="24"/>
      <c r="U416" s="7"/>
      <c r="V416" s="7"/>
      <c r="W416" s="8" t="s">
        <v>27</v>
      </c>
      <c r="X416" s="58"/>
      <c r="Y416" s="19">
        <f t="shared" si="9"/>
        <v>0</v>
      </c>
    </row>
    <row r="417" spans="1:25" x14ac:dyDescent="0.25">
      <c r="A417" s="27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9"/>
      <c r="P417" s="30" t="s">
        <v>28</v>
      </c>
      <c r="Q417" s="31"/>
      <c r="R417" s="31"/>
      <c r="S417" s="31"/>
      <c r="T417" s="31"/>
      <c r="U417" s="31"/>
      <c r="V417" s="32"/>
      <c r="W417" s="9" t="s">
        <v>29</v>
      </c>
      <c r="X417" s="20"/>
      <c r="Y417" s="20">
        <f>IFERROR(Y406/H406,"0")+IFERROR(Y407/H407,"0")+IFERROR(Y408/H408,"0")+IFERROR(Y409/H409,"0")+IFERROR(Y410/H410,"0")+IFERROR(Y411/H411,"0")+IFERROR(Y412/H412,"0")+IFERROR(Y413/H413,"0")+IFERROR(Y414/H414,"0")+IFERROR(Y415/H415,"0")+IFERROR(Y416/H416,"0")</f>
        <v>0</v>
      </c>
    </row>
    <row r="418" spans="1:25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9"/>
      <c r="P418" s="30" t="s">
        <v>28</v>
      </c>
      <c r="Q418" s="31"/>
      <c r="R418" s="31"/>
      <c r="S418" s="31"/>
      <c r="T418" s="31"/>
      <c r="U418" s="31"/>
      <c r="V418" s="32"/>
      <c r="W418" s="9" t="s">
        <v>27</v>
      </c>
      <c r="X418" s="20"/>
      <c r="Y418" s="20">
        <f>IFERROR(SUM(Y406:Y416),"0")</f>
        <v>0</v>
      </c>
    </row>
    <row r="419" spans="1:25" x14ac:dyDescent="0.25">
      <c r="A419" t="s">
        <v>94</v>
      </c>
    </row>
    <row r="420" spans="1:25" x14ac:dyDescent="0.25">
      <c r="A420" s="2" t="s">
        <v>691</v>
      </c>
      <c r="B420" s="2" t="s">
        <v>692</v>
      </c>
      <c r="C420" s="3">
        <v>4301020334</v>
      </c>
      <c r="D420" s="25">
        <v>4607091388930</v>
      </c>
      <c r="E420" s="26"/>
      <c r="F420" s="4">
        <v>0.88</v>
      </c>
      <c r="G420" s="5">
        <v>6</v>
      </c>
      <c r="H420" s="4">
        <v>5.28</v>
      </c>
      <c r="I420" s="4">
        <v>5.63</v>
      </c>
      <c r="J420" s="5">
        <v>104</v>
      </c>
      <c r="K420" s="5" t="s">
        <v>60</v>
      </c>
      <c r="L420" s="5" t="s">
        <v>61</v>
      </c>
      <c r="M420" s="6" t="s">
        <v>34</v>
      </c>
      <c r="N420" s="6"/>
      <c r="O420" s="5">
        <v>70</v>
      </c>
      <c r="P420" s="22" t="s">
        <v>693</v>
      </c>
      <c r="Q420" s="23"/>
      <c r="R420" s="23"/>
      <c r="S420" s="23"/>
      <c r="T420" s="24"/>
      <c r="U420" s="7"/>
      <c r="V420" s="7"/>
      <c r="W420" s="8" t="s">
        <v>27</v>
      </c>
      <c r="X420" s="58"/>
      <c r="Y420" s="19">
        <f>IFERROR(IF(X420="",0,CEILING((X420/$H420),1)*$H420),"")</f>
        <v>0</v>
      </c>
    </row>
    <row r="421" spans="1:25" x14ac:dyDescent="0.25">
      <c r="A421" s="2" t="s">
        <v>694</v>
      </c>
      <c r="B421" s="2" t="s">
        <v>695</v>
      </c>
      <c r="C421" s="3">
        <v>4301020384</v>
      </c>
      <c r="D421" s="25">
        <v>4680115886407</v>
      </c>
      <c r="E421" s="26"/>
      <c r="F421" s="4">
        <v>0.4</v>
      </c>
      <c r="G421" s="5">
        <v>6</v>
      </c>
      <c r="H421" s="4">
        <v>2.4</v>
      </c>
      <c r="I421" s="4">
        <v>2.58</v>
      </c>
      <c r="J421" s="5">
        <v>182</v>
      </c>
      <c r="K421" s="5" t="s">
        <v>33</v>
      </c>
      <c r="L421" s="5"/>
      <c r="M421" s="6" t="s">
        <v>34</v>
      </c>
      <c r="N421" s="6"/>
      <c r="O421" s="5">
        <v>70</v>
      </c>
      <c r="P421" s="22" t="s">
        <v>696</v>
      </c>
      <c r="Q421" s="23"/>
      <c r="R421" s="23"/>
      <c r="S421" s="23"/>
      <c r="T421" s="24"/>
      <c r="U421" s="7"/>
      <c r="V421" s="7"/>
      <c r="W421" s="8" t="s">
        <v>27</v>
      </c>
      <c r="X421" s="58"/>
      <c r="Y421" s="19">
        <f>IFERROR(IF(X421="",0,CEILING((X421/$H421),1)*$H421),"")</f>
        <v>0</v>
      </c>
    </row>
    <row r="422" spans="1:25" x14ac:dyDescent="0.25">
      <c r="A422" s="2" t="s">
        <v>697</v>
      </c>
      <c r="B422" s="2" t="s">
        <v>698</v>
      </c>
      <c r="C422" s="3">
        <v>4301020385</v>
      </c>
      <c r="D422" s="25">
        <v>4680115880054</v>
      </c>
      <c r="E422" s="26"/>
      <c r="F422" s="4">
        <v>0.6</v>
      </c>
      <c r="G422" s="5">
        <v>8</v>
      </c>
      <c r="H422" s="4">
        <v>4.8</v>
      </c>
      <c r="I422" s="4">
        <v>6.91</v>
      </c>
      <c r="J422" s="5">
        <v>132</v>
      </c>
      <c r="K422" s="5" t="s">
        <v>66</v>
      </c>
      <c r="L422" s="5"/>
      <c r="M422" s="6" t="s">
        <v>62</v>
      </c>
      <c r="N422" s="6"/>
      <c r="O422" s="5">
        <v>70</v>
      </c>
      <c r="P422" s="22" t="s">
        <v>699</v>
      </c>
      <c r="Q422" s="23"/>
      <c r="R422" s="23"/>
      <c r="S422" s="23"/>
      <c r="T422" s="24"/>
      <c r="U422" s="7"/>
      <c r="V422" s="7"/>
      <c r="W422" s="8" t="s">
        <v>27</v>
      </c>
      <c r="X422" s="58"/>
      <c r="Y422" s="19">
        <f>IFERROR(IF(X422="",0,CEILING((X422/$H422),1)*$H422),"")</f>
        <v>0</v>
      </c>
    </row>
    <row r="423" spans="1:25" x14ac:dyDescent="0.25">
      <c r="A423" s="27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9"/>
      <c r="P423" s="30" t="s">
        <v>28</v>
      </c>
      <c r="Q423" s="31"/>
      <c r="R423" s="31"/>
      <c r="S423" s="31"/>
      <c r="T423" s="31"/>
      <c r="U423" s="31"/>
      <c r="V423" s="32"/>
      <c r="W423" s="9" t="s">
        <v>29</v>
      </c>
      <c r="X423" s="20"/>
      <c r="Y423" s="20">
        <f>IFERROR(Y420/H420,"0")+IFERROR(Y421/H421,"0")+IFERROR(Y422/H422,"0")</f>
        <v>0</v>
      </c>
    </row>
    <row r="424" spans="1:25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9"/>
      <c r="P424" s="30" t="s">
        <v>28</v>
      </c>
      <c r="Q424" s="31"/>
      <c r="R424" s="31"/>
      <c r="S424" s="31"/>
      <c r="T424" s="31"/>
      <c r="U424" s="31"/>
      <c r="V424" s="32"/>
      <c r="W424" s="9" t="s">
        <v>27</v>
      </c>
      <c r="X424" s="20"/>
      <c r="Y424" s="20">
        <f>IFERROR(SUM(Y420:Y422),"0")</f>
        <v>0</v>
      </c>
    </row>
    <row r="425" spans="1:25" x14ac:dyDescent="0.25">
      <c r="A425" t="s">
        <v>21</v>
      </c>
    </row>
    <row r="426" spans="1:25" x14ac:dyDescent="0.25">
      <c r="A426" s="2" t="s">
        <v>700</v>
      </c>
      <c r="B426" s="2" t="s">
        <v>701</v>
      </c>
      <c r="C426" s="3">
        <v>4301031349</v>
      </c>
      <c r="D426" s="25">
        <v>4680115883116</v>
      </c>
      <c r="E426" s="26"/>
      <c r="F426" s="4">
        <v>0.88</v>
      </c>
      <c r="G426" s="5">
        <v>6</v>
      </c>
      <c r="H426" s="4">
        <v>5.28</v>
      </c>
      <c r="I426" s="4">
        <v>5.63</v>
      </c>
      <c r="J426" s="5">
        <v>104</v>
      </c>
      <c r="K426" s="5" t="s">
        <v>60</v>
      </c>
      <c r="L426" s="5" t="s">
        <v>61</v>
      </c>
      <c r="M426" s="6" t="s">
        <v>62</v>
      </c>
      <c r="N426" s="6"/>
      <c r="O426" s="5">
        <v>70</v>
      </c>
      <c r="P426" s="22" t="s">
        <v>702</v>
      </c>
      <c r="Q426" s="23"/>
      <c r="R426" s="23"/>
      <c r="S426" s="23"/>
      <c r="T426" s="24"/>
      <c r="U426" s="7"/>
      <c r="V426" s="7"/>
      <c r="W426" s="8" t="s">
        <v>27</v>
      </c>
      <c r="X426" s="58"/>
      <c r="Y426" s="19">
        <f t="shared" ref="Y426:Y431" si="10">IFERROR(IF(X426="",0,CEILING((X426/$H426),1)*$H426),"")</f>
        <v>0</v>
      </c>
    </row>
    <row r="427" spans="1:25" x14ac:dyDescent="0.25">
      <c r="A427" s="2" t="s">
        <v>703</v>
      </c>
      <c r="B427" s="2" t="s">
        <v>704</v>
      </c>
      <c r="C427" s="3">
        <v>4301031350</v>
      </c>
      <c r="D427" s="25">
        <v>4680115883093</v>
      </c>
      <c r="E427" s="26"/>
      <c r="F427" s="4">
        <v>0.88</v>
      </c>
      <c r="G427" s="5">
        <v>6</v>
      </c>
      <c r="H427" s="4">
        <v>5.28</v>
      </c>
      <c r="I427" s="4">
        <v>5.63</v>
      </c>
      <c r="J427" s="5">
        <v>104</v>
      </c>
      <c r="K427" s="5" t="s">
        <v>60</v>
      </c>
      <c r="L427" s="5" t="s">
        <v>61</v>
      </c>
      <c r="M427" s="6" t="s">
        <v>25</v>
      </c>
      <c r="N427" s="6"/>
      <c r="O427" s="5">
        <v>70</v>
      </c>
      <c r="P427" s="22" t="s">
        <v>705</v>
      </c>
      <c r="Q427" s="23"/>
      <c r="R427" s="23"/>
      <c r="S427" s="23"/>
      <c r="T427" s="24"/>
      <c r="U427" s="7"/>
      <c r="V427" s="7"/>
      <c r="W427" s="8" t="s">
        <v>27</v>
      </c>
      <c r="X427" s="58"/>
      <c r="Y427" s="19">
        <f t="shared" si="10"/>
        <v>0</v>
      </c>
    </row>
    <row r="428" spans="1:25" x14ac:dyDescent="0.25">
      <c r="A428" s="2" t="s">
        <v>706</v>
      </c>
      <c r="B428" s="2" t="s">
        <v>707</v>
      </c>
      <c r="C428" s="3">
        <v>4301031353</v>
      </c>
      <c r="D428" s="25">
        <v>4680115883109</v>
      </c>
      <c r="E428" s="26"/>
      <c r="F428" s="4">
        <v>0.88</v>
      </c>
      <c r="G428" s="5">
        <v>6</v>
      </c>
      <c r="H428" s="4">
        <v>5.28</v>
      </c>
      <c r="I428" s="4">
        <v>5.63</v>
      </c>
      <c r="J428" s="5">
        <v>104</v>
      </c>
      <c r="K428" s="5" t="s">
        <v>60</v>
      </c>
      <c r="L428" s="5" t="s">
        <v>61</v>
      </c>
      <c r="M428" s="6" t="s">
        <v>25</v>
      </c>
      <c r="N428" s="6"/>
      <c r="O428" s="5">
        <v>70</v>
      </c>
      <c r="P428" s="22" t="s">
        <v>708</v>
      </c>
      <c r="Q428" s="23"/>
      <c r="R428" s="23"/>
      <c r="S428" s="23"/>
      <c r="T428" s="24"/>
      <c r="U428" s="7"/>
      <c r="V428" s="7"/>
      <c r="W428" s="8" t="s">
        <v>27</v>
      </c>
      <c r="X428" s="58"/>
      <c r="Y428" s="19">
        <f t="shared" si="10"/>
        <v>0</v>
      </c>
    </row>
    <row r="429" spans="1:25" x14ac:dyDescent="0.25">
      <c r="A429" s="2" t="s">
        <v>709</v>
      </c>
      <c r="B429" s="2" t="s">
        <v>710</v>
      </c>
      <c r="C429" s="3">
        <v>4301031419</v>
      </c>
      <c r="D429" s="25">
        <v>4680115882072</v>
      </c>
      <c r="E429" s="26"/>
      <c r="F429" s="4">
        <v>0.6</v>
      </c>
      <c r="G429" s="5">
        <v>8</v>
      </c>
      <c r="H429" s="4">
        <v>4.8</v>
      </c>
      <c r="I429" s="4">
        <v>6.91</v>
      </c>
      <c r="J429" s="5">
        <v>132</v>
      </c>
      <c r="K429" s="5" t="s">
        <v>66</v>
      </c>
      <c r="L429" s="5"/>
      <c r="M429" s="6" t="s">
        <v>62</v>
      </c>
      <c r="N429" s="6"/>
      <c r="O429" s="5">
        <v>70</v>
      </c>
      <c r="P429" s="22" t="s">
        <v>711</v>
      </c>
      <c r="Q429" s="23"/>
      <c r="R429" s="23"/>
      <c r="S429" s="23"/>
      <c r="T429" s="24"/>
      <c r="U429" s="7"/>
      <c r="V429" s="7"/>
      <c r="W429" s="8" t="s">
        <v>27</v>
      </c>
      <c r="X429" s="58"/>
      <c r="Y429" s="19">
        <f t="shared" si="10"/>
        <v>0</v>
      </c>
    </row>
    <row r="430" spans="1:25" x14ac:dyDescent="0.25">
      <c r="A430" s="2" t="s">
        <v>712</v>
      </c>
      <c r="B430" s="2" t="s">
        <v>713</v>
      </c>
      <c r="C430" s="3">
        <v>4301031418</v>
      </c>
      <c r="D430" s="25">
        <v>4680115882102</v>
      </c>
      <c r="E430" s="26"/>
      <c r="F430" s="4">
        <v>0.6</v>
      </c>
      <c r="G430" s="5">
        <v>8</v>
      </c>
      <c r="H430" s="4">
        <v>4.8</v>
      </c>
      <c r="I430" s="4">
        <v>6.67</v>
      </c>
      <c r="J430" s="5">
        <v>132</v>
      </c>
      <c r="K430" s="5" t="s">
        <v>66</v>
      </c>
      <c r="L430" s="5"/>
      <c r="M430" s="6" t="s">
        <v>25</v>
      </c>
      <c r="N430" s="6"/>
      <c r="O430" s="5">
        <v>70</v>
      </c>
      <c r="P430" s="22" t="s">
        <v>714</v>
      </c>
      <c r="Q430" s="23"/>
      <c r="R430" s="23"/>
      <c r="S430" s="23"/>
      <c r="T430" s="24"/>
      <c r="U430" s="7"/>
      <c r="V430" s="7"/>
      <c r="W430" s="8" t="s">
        <v>27</v>
      </c>
      <c r="X430" s="58"/>
      <c r="Y430" s="19">
        <f t="shared" si="10"/>
        <v>0</v>
      </c>
    </row>
    <row r="431" spans="1:25" x14ac:dyDescent="0.25">
      <c r="A431" s="2" t="s">
        <v>715</v>
      </c>
      <c r="B431" s="2" t="s">
        <v>716</v>
      </c>
      <c r="C431" s="3">
        <v>4301031417</v>
      </c>
      <c r="D431" s="25">
        <v>4680115882096</v>
      </c>
      <c r="E431" s="26"/>
      <c r="F431" s="4">
        <v>0.6</v>
      </c>
      <c r="G431" s="5">
        <v>8</v>
      </c>
      <c r="H431" s="4">
        <v>4.8</v>
      </c>
      <c r="I431" s="4">
        <v>6.67</v>
      </c>
      <c r="J431" s="5">
        <v>132</v>
      </c>
      <c r="K431" s="5" t="s">
        <v>66</v>
      </c>
      <c r="L431" s="5"/>
      <c r="M431" s="6" t="s">
        <v>25</v>
      </c>
      <c r="N431" s="6"/>
      <c r="O431" s="5">
        <v>70</v>
      </c>
      <c r="P431" s="22" t="s">
        <v>717</v>
      </c>
      <c r="Q431" s="23"/>
      <c r="R431" s="23"/>
      <c r="S431" s="23"/>
      <c r="T431" s="24"/>
      <c r="U431" s="7"/>
      <c r="V431" s="7"/>
      <c r="W431" s="8" t="s">
        <v>27</v>
      </c>
      <c r="X431" s="58"/>
      <c r="Y431" s="19">
        <f t="shared" si="10"/>
        <v>0</v>
      </c>
    </row>
    <row r="432" spans="1:25" x14ac:dyDescent="0.25">
      <c r="A432" s="27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9"/>
      <c r="P432" s="30" t="s">
        <v>28</v>
      </c>
      <c r="Q432" s="31"/>
      <c r="R432" s="31"/>
      <c r="S432" s="31"/>
      <c r="T432" s="31"/>
      <c r="U432" s="31"/>
      <c r="V432" s="32"/>
      <c r="W432" s="9" t="s">
        <v>29</v>
      </c>
      <c r="X432" s="20"/>
      <c r="Y432" s="20">
        <f>IFERROR(Y426/H426,"0")+IFERROR(Y427/H427,"0")+IFERROR(Y428/H428,"0")+IFERROR(Y429/H429,"0")+IFERROR(Y430/H430,"0")+IFERROR(Y431/H431,"0")</f>
        <v>0</v>
      </c>
    </row>
    <row r="433" spans="1:25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9"/>
      <c r="P433" s="30" t="s">
        <v>28</v>
      </c>
      <c r="Q433" s="31"/>
      <c r="R433" s="31"/>
      <c r="S433" s="31"/>
      <c r="T433" s="31"/>
      <c r="U433" s="31"/>
      <c r="V433" s="32"/>
      <c r="W433" s="9" t="s">
        <v>27</v>
      </c>
      <c r="X433" s="20"/>
      <c r="Y433" s="20">
        <f>IFERROR(SUM(Y426:Y431),"0")</f>
        <v>0</v>
      </c>
    </row>
    <row r="434" spans="1:25" x14ac:dyDescent="0.25">
      <c r="A434" t="s">
        <v>30</v>
      </c>
    </row>
    <row r="435" spans="1:25" x14ac:dyDescent="0.25">
      <c r="A435" s="2" t="s">
        <v>718</v>
      </c>
      <c r="B435" s="2" t="s">
        <v>719</v>
      </c>
      <c r="C435" s="3">
        <v>4301051232</v>
      </c>
      <c r="D435" s="25">
        <v>4607091383409</v>
      </c>
      <c r="E435" s="26"/>
      <c r="F435" s="4">
        <v>1.3</v>
      </c>
      <c r="G435" s="5">
        <v>6</v>
      </c>
      <c r="H435" s="4">
        <v>7.8</v>
      </c>
      <c r="I435" s="4">
        <v>8.2759999999999998</v>
      </c>
      <c r="J435" s="5">
        <v>64</v>
      </c>
      <c r="K435" s="5" t="s">
        <v>60</v>
      </c>
      <c r="L435" s="5"/>
      <c r="M435" s="6" t="s">
        <v>34</v>
      </c>
      <c r="N435" s="6"/>
      <c r="O435" s="5">
        <v>45</v>
      </c>
      <c r="P435" s="22" t="s">
        <v>720</v>
      </c>
      <c r="Q435" s="23"/>
      <c r="R435" s="23"/>
      <c r="S435" s="23"/>
      <c r="T435" s="24"/>
      <c r="U435" s="7"/>
      <c r="V435" s="7"/>
      <c r="W435" s="8" t="s">
        <v>27</v>
      </c>
      <c r="X435" s="58"/>
      <c r="Y435" s="19">
        <f>IFERROR(IF(X435="",0,CEILING((X435/$H435),1)*$H435),"")</f>
        <v>0</v>
      </c>
    </row>
    <row r="436" spans="1:25" x14ac:dyDescent="0.25">
      <c r="A436" s="2" t="s">
        <v>721</v>
      </c>
      <c r="B436" s="2" t="s">
        <v>722</v>
      </c>
      <c r="C436" s="3">
        <v>4301051233</v>
      </c>
      <c r="D436" s="25">
        <v>4607091383416</v>
      </c>
      <c r="E436" s="26"/>
      <c r="F436" s="4">
        <v>1.3</v>
      </c>
      <c r="G436" s="5">
        <v>6</v>
      </c>
      <c r="H436" s="4">
        <v>7.8</v>
      </c>
      <c r="I436" s="4">
        <v>8.2759999999999998</v>
      </c>
      <c r="J436" s="5">
        <v>64</v>
      </c>
      <c r="K436" s="5" t="s">
        <v>60</v>
      </c>
      <c r="L436" s="5"/>
      <c r="M436" s="6" t="s">
        <v>34</v>
      </c>
      <c r="N436" s="6"/>
      <c r="O436" s="5">
        <v>45</v>
      </c>
      <c r="P436" s="22" t="s">
        <v>723</v>
      </c>
      <c r="Q436" s="23"/>
      <c r="R436" s="23"/>
      <c r="S436" s="23"/>
      <c r="T436" s="24"/>
      <c r="U436" s="7"/>
      <c r="V436" s="7"/>
      <c r="W436" s="8" t="s">
        <v>27</v>
      </c>
      <c r="X436" s="58"/>
      <c r="Y436" s="19">
        <f>IFERROR(IF(X436="",0,CEILING((X436/$H436),1)*$H436),"")</f>
        <v>0</v>
      </c>
    </row>
    <row r="437" spans="1:25" x14ac:dyDescent="0.25">
      <c r="A437" s="2" t="s">
        <v>724</v>
      </c>
      <c r="B437" s="2" t="s">
        <v>725</v>
      </c>
      <c r="C437" s="3">
        <v>4301051064</v>
      </c>
      <c r="D437" s="25">
        <v>4680115883536</v>
      </c>
      <c r="E437" s="26"/>
      <c r="F437" s="4">
        <v>0.3</v>
      </c>
      <c r="G437" s="5">
        <v>6</v>
      </c>
      <c r="H437" s="4">
        <v>1.8</v>
      </c>
      <c r="I437" s="4">
        <v>2.0459999999999998</v>
      </c>
      <c r="J437" s="5">
        <v>182</v>
      </c>
      <c r="K437" s="5" t="s">
        <v>33</v>
      </c>
      <c r="L437" s="5"/>
      <c r="M437" s="6" t="s">
        <v>34</v>
      </c>
      <c r="N437" s="6"/>
      <c r="O437" s="5">
        <v>45</v>
      </c>
      <c r="P437" s="22" t="s">
        <v>726</v>
      </c>
      <c r="Q437" s="23"/>
      <c r="R437" s="23"/>
      <c r="S437" s="23"/>
      <c r="T437" s="24"/>
      <c r="U437" s="7"/>
      <c r="V437" s="7"/>
      <c r="W437" s="8" t="s">
        <v>27</v>
      </c>
      <c r="X437" s="58"/>
      <c r="Y437" s="19">
        <f>IFERROR(IF(X437="",0,CEILING((X437/$H437),1)*$H437),"")</f>
        <v>0</v>
      </c>
    </row>
    <row r="438" spans="1:25" x14ac:dyDescent="0.25">
      <c r="A438" s="27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9"/>
      <c r="P438" s="30" t="s">
        <v>28</v>
      </c>
      <c r="Q438" s="31"/>
      <c r="R438" s="31"/>
      <c r="S438" s="31"/>
      <c r="T438" s="31"/>
      <c r="U438" s="31"/>
      <c r="V438" s="32"/>
      <c r="W438" s="9" t="s">
        <v>29</v>
      </c>
      <c r="X438" s="20"/>
      <c r="Y438" s="20">
        <f>IFERROR(Y435/H435,"0")+IFERROR(Y436/H436,"0")+IFERROR(Y437/H437,"0")</f>
        <v>0</v>
      </c>
    </row>
    <row r="439" spans="1:25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9"/>
      <c r="P439" s="30" t="s">
        <v>28</v>
      </c>
      <c r="Q439" s="31"/>
      <c r="R439" s="31"/>
      <c r="S439" s="31"/>
      <c r="T439" s="31"/>
      <c r="U439" s="31"/>
      <c r="V439" s="32"/>
      <c r="W439" s="9" t="s">
        <v>27</v>
      </c>
      <c r="X439" s="20"/>
      <c r="Y439" s="20">
        <f>IFERROR(SUM(Y435:Y437),"0")</f>
        <v>0</v>
      </c>
    </row>
    <row r="440" spans="1:25" x14ac:dyDescent="0.25">
      <c r="A440" t="s">
        <v>727</v>
      </c>
    </row>
    <row r="441" spans="1:25" x14ac:dyDescent="0.25">
      <c r="A441" t="s">
        <v>727</v>
      </c>
    </row>
    <row r="442" spans="1:25" x14ac:dyDescent="0.25">
      <c r="A442" t="s">
        <v>57</v>
      </c>
    </row>
    <row r="443" spans="1:25" x14ac:dyDescent="0.25">
      <c r="A443" s="2" t="s">
        <v>728</v>
      </c>
      <c r="B443" s="2" t="s">
        <v>729</v>
      </c>
      <c r="C443" s="3">
        <v>4301011763</v>
      </c>
      <c r="D443" s="25">
        <v>4640242181011</v>
      </c>
      <c r="E443" s="26"/>
      <c r="F443" s="4">
        <v>1.35</v>
      </c>
      <c r="G443" s="5">
        <v>8</v>
      </c>
      <c r="H443" s="4">
        <v>10.8</v>
      </c>
      <c r="I443" s="4">
        <v>11.21</v>
      </c>
      <c r="J443" s="5">
        <v>64</v>
      </c>
      <c r="K443" s="5" t="s">
        <v>60</v>
      </c>
      <c r="L443" s="5"/>
      <c r="M443" s="6" t="s">
        <v>34</v>
      </c>
      <c r="N443" s="6"/>
      <c r="O443" s="5">
        <v>55</v>
      </c>
      <c r="P443" s="22" t="s">
        <v>730</v>
      </c>
      <c r="Q443" s="23"/>
      <c r="R443" s="23"/>
      <c r="S443" s="23"/>
      <c r="T443" s="24"/>
      <c r="U443" s="7"/>
      <c r="V443" s="7"/>
      <c r="W443" s="8" t="s">
        <v>27</v>
      </c>
      <c r="X443" s="58"/>
      <c r="Y443" s="19">
        <f>IFERROR(IF(X443="",0,CEILING((X443/$H443),1)*$H443),"")</f>
        <v>0</v>
      </c>
    </row>
    <row r="444" spans="1:25" x14ac:dyDescent="0.25">
      <c r="A444" s="2" t="s">
        <v>731</v>
      </c>
      <c r="B444" s="2" t="s">
        <v>732</v>
      </c>
      <c r="C444" s="3">
        <v>4301011585</v>
      </c>
      <c r="D444" s="25">
        <v>4640242180441</v>
      </c>
      <c r="E444" s="26"/>
      <c r="F444" s="4">
        <v>1.5</v>
      </c>
      <c r="G444" s="5">
        <v>8</v>
      </c>
      <c r="H444" s="4">
        <v>12</v>
      </c>
      <c r="I444" s="4">
        <v>12.41</v>
      </c>
      <c r="J444" s="5">
        <v>64</v>
      </c>
      <c r="K444" s="5" t="s">
        <v>60</v>
      </c>
      <c r="L444" s="5"/>
      <c r="M444" s="6" t="s">
        <v>62</v>
      </c>
      <c r="N444" s="6"/>
      <c r="O444" s="5">
        <v>50</v>
      </c>
      <c r="P444" s="22" t="s">
        <v>733</v>
      </c>
      <c r="Q444" s="23"/>
      <c r="R444" s="23"/>
      <c r="S444" s="23"/>
      <c r="T444" s="24"/>
      <c r="U444" s="7"/>
      <c r="V444" s="7"/>
      <c r="W444" s="8" t="s">
        <v>27</v>
      </c>
      <c r="X444" s="58"/>
      <c r="Y444" s="19">
        <f>IFERROR(IF(X444="",0,CEILING((X444/$H444),1)*$H444),"")</f>
        <v>0</v>
      </c>
    </row>
    <row r="445" spans="1:25" x14ac:dyDescent="0.25">
      <c r="A445" s="2" t="s">
        <v>734</v>
      </c>
      <c r="B445" s="2" t="s">
        <v>735</v>
      </c>
      <c r="C445" s="3">
        <v>4301011584</v>
      </c>
      <c r="D445" s="25">
        <v>4640242180564</v>
      </c>
      <c r="E445" s="26"/>
      <c r="F445" s="4">
        <v>1.5</v>
      </c>
      <c r="G445" s="5">
        <v>8</v>
      </c>
      <c r="H445" s="4">
        <v>12</v>
      </c>
      <c r="I445" s="4">
        <v>12.41</v>
      </c>
      <c r="J445" s="5">
        <v>64</v>
      </c>
      <c r="K445" s="5" t="s">
        <v>60</v>
      </c>
      <c r="L445" s="5" t="s">
        <v>61</v>
      </c>
      <c r="M445" s="6" t="s">
        <v>62</v>
      </c>
      <c r="N445" s="6"/>
      <c r="O445" s="5">
        <v>50</v>
      </c>
      <c r="P445" s="22" t="s">
        <v>736</v>
      </c>
      <c r="Q445" s="23"/>
      <c r="R445" s="23"/>
      <c r="S445" s="23"/>
      <c r="T445" s="24"/>
      <c r="U445" s="7"/>
      <c r="V445" s="7"/>
      <c r="W445" s="8" t="s">
        <v>27</v>
      </c>
      <c r="X445" s="58"/>
      <c r="Y445" s="19">
        <f>IFERROR(IF(X445="",0,CEILING((X445/$H445),1)*$H445),"")</f>
        <v>0</v>
      </c>
    </row>
    <row r="446" spans="1:25" x14ac:dyDescent="0.25">
      <c r="A446" s="2" t="s">
        <v>737</v>
      </c>
      <c r="B446" s="2" t="s">
        <v>738</v>
      </c>
      <c r="C446" s="3">
        <v>4301011764</v>
      </c>
      <c r="D446" s="25">
        <v>4640242181189</v>
      </c>
      <c r="E446" s="26"/>
      <c r="F446" s="4">
        <v>0.4</v>
      </c>
      <c r="G446" s="5">
        <v>10</v>
      </c>
      <c r="H446" s="4">
        <v>4</v>
      </c>
      <c r="I446" s="4">
        <v>4.1900000000000004</v>
      </c>
      <c r="J446" s="5">
        <v>132</v>
      </c>
      <c r="K446" s="5" t="s">
        <v>66</v>
      </c>
      <c r="L446" s="5"/>
      <c r="M446" s="6" t="s">
        <v>34</v>
      </c>
      <c r="N446" s="6"/>
      <c r="O446" s="5">
        <v>55</v>
      </c>
      <c r="P446" s="22" t="s">
        <v>739</v>
      </c>
      <c r="Q446" s="23"/>
      <c r="R446" s="23"/>
      <c r="S446" s="23"/>
      <c r="T446" s="24"/>
      <c r="U446" s="7"/>
      <c r="V446" s="7"/>
      <c r="W446" s="8" t="s">
        <v>27</v>
      </c>
      <c r="X446" s="58"/>
      <c r="Y446" s="19">
        <f>IFERROR(IF(X446="",0,CEILING((X446/$H446),1)*$H446),"")</f>
        <v>0</v>
      </c>
    </row>
    <row r="447" spans="1:25" x14ac:dyDescent="0.25">
      <c r="A447" s="27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9"/>
      <c r="P447" s="30" t="s">
        <v>28</v>
      </c>
      <c r="Q447" s="31"/>
      <c r="R447" s="31"/>
      <c r="S447" s="31"/>
      <c r="T447" s="31"/>
      <c r="U447" s="31"/>
      <c r="V447" s="32"/>
      <c r="W447" s="9" t="s">
        <v>29</v>
      </c>
      <c r="X447" s="20"/>
      <c r="Y447" s="20">
        <f>IFERROR(Y443/H443,"0")+IFERROR(Y444/H444,"0")+IFERROR(Y445/H445,"0")+IFERROR(Y446/H446,"0")</f>
        <v>0</v>
      </c>
    </row>
    <row r="448" spans="1:25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9"/>
      <c r="P448" s="30" t="s">
        <v>28</v>
      </c>
      <c r="Q448" s="31"/>
      <c r="R448" s="31"/>
      <c r="S448" s="31"/>
      <c r="T448" s="31"/>
      <c r="U448" s="31"/>
      <c r="V448" s="32"/>
      <c r="W448" s="9" t="s">
        <v>27</v>
      </c>
      <c r="X448" s="20"/>
      <c r="Y448" s="20">
        <f>IFERROR(SUM(Y443:Y446),"0")</f>
        <v>0</v>
      </c>
    </row>
    <row r="449" spans="1:25" x14ac:dyDescent="0.25">
      <c r="A449" t="s">
        <v>94</v>
      </c>
    </row>
    <row r="450" spans="1:25" x14ac:dyDescent="0.25">
      <c r="A450" s="2" t="s">
        <v>740</v>
      </c>
      <c r="B450" s="2" t="s">
        <v>741</v>
      </c>
      <c r="C450" s="3">
        <v>4301020400</v>
      </c>
      <c r="D450" s="25">
        <v>4640242180519</v>
      </c>
      <c r="E450" s="26"/>
      <c r="F450" s="4">
        <v>1.5</v>
      </c>
      <c r="G450" s="5">
        <v>8</v>
      </c>
      <c r="H450" s="4">
        <v>12</v>
      </c>
      <c r="I450" s="4">
        <v>12.41</v>
      </c>
      <c r="J450" s="5">
        <v>64</v>
      </c>
      <c r="K450" s="5" t="s">
        <v>60</v>
      </c>
      <c r="L450" s="5"/>
      <c r="M450" s="6" t="s">
        <v>62</v>
      </c>
      <c r="N450" s="6"/>
      <c r="O450" s="5">
        <v>50</v>
      </c>
      <c r="P450" s="22" t="s">
        <v>742</v>
      </c>
      <c r="Q450" s="23"/>
      <c r="R450" s="23"/>
      <c r="S450" s="23"/>
      <c r="T450" s="24"/>
      <c r="U450" s="7"/>
      <c r="V450" s="7"/>
      <c r="W450" s="8" t="s">
        <v>27</v>
      </c>
      <c r="X450" s="58"/>
      <c r="Y450" s="19">
        <f>IFERROR(IF(X450="",0,CEILING((X450/$H450),1)*$H450),"")</f>
        <v>0</v>
      </c>
    </row>
    <row r="451" spans="1:25" x14ac:dyDescent="0.25">
      <c r="A451" s="2" t="s">
        <v>743</v>
      </c>
      <c r="B451" s="2" t="s">
        <v>744</v>
      </c>
      <c r="C451" s="3">
        <v>4301020260</v>
      </c>
      <c r="D451" s="25">
        <v>4640242180526</v>
      </c>
      <c r="E451" s="26"/>
      <c r="F451" s="4">
        <v>1.8</v>
      </c>
      <c r="G451" s="5">
        <v>6</v>
      </c>
      <c r="H451" s="4">
        <v>10.8</v>
      </c>
      <c r="I451" s="4">
        <v>11.21</v>
      </c>
      <c r="J451" s="5">
        <v>64</v>
      </c>
      <c r="K451" s="5" t="s">
        <v>60</v>
      </c>
      <c r="L451" s="5"/>
      <c r="M451" s="6" t="s">
        <v>62</v>
      </c>
      <c r="N451" s="6"/>
      <c r="O451" s="5">
        <v>50</v>
      </c>
      <c r="P451" s="22" t="s">
        <v>745</v>
      </c>
      <c r="Q451" s="23"/>
      <c r="R451" s="23"/>
      <c r="S451" s="23"/>
      <c r="T451" s="24"/>
      <c r="U451" s="7"/>
      <c r="V451" s="7"/>
      <c r="W451" s="8" t="s">
        <v>27</v>
      </c>
      <c r="X451" s="58"/>
      <c r="Y451" s="19">
        <f>IFERROR(IF(X451="",0,CEILING((X451/$H451),1)*$H451),"")</f>
        <v>0</v>
      </c>
    </row>
    <row r="452" spans="1:25" x14ac:dyDescent="0.25">
      <c r="A452" s="2" t="s">
        <v>746</v>
      </c>
      <c r="B452" s="2" t="s">
        <v>747</v>
      </c>
      <c r="C452" s="3">
        <v>4301020295</v>
      </c>
      <c r="D452" s="25">
        <v>4640242181363</v>
      </c>
      <c r="E452" s="26"/>
      <c r="F452" s="4">
        <v>0.4</v>
      </c>
      <c r="G452" s="5">
        <v>10</v>
      </c>
      <c r="H452" s="4">
        <v>4</v>
      </c>
      <c r="I452" s="4">
        <v>4.1900000000000004</v>
      </c>
      <c r="J452" s="5">
        <v>132</v>
      </c>
      <c r="K452" s="5" t="s">
        <v>66</v>
      </c>
      <c r="L452" s="5"/>
      <c r="M452" s="6" t="s">
        <v>62</v>
      </c>
      <c r="N452" s="6"/>
      <c r="O452" s="5">
        <v>50</v>
      </c>
      <c r="P452" s="22" t="s">
        <v>748</v>
      </c>
      <c r="Q452" s="23"/>
      <c r="R452" s="23"/>
      <c r="S452" s="23"/>
      <c r="T452" s="24"/>
      <c r="U452" s="7"/>
      <c r="V452" s="7"/>
      <c r="W452" s="8" t="s">
        <v>27</v>
      </c>
      <c r="X452" s="58"/>
      <c r="Y452" s="19">
        <f>IFERROR(IF(X452="",0,CEILING((X452/$H452),1)*$H452),"")</f>
        <v>0</v>
      </c>
    </row>
    <row r="453" spans="1:25" x14ac:dyDescent="0.25">
      <c r="A453" s="27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9"/>
      <c r="P453" s="30" t="s">
        <v>28</v>
      </c>
      <c r="Q453" s="31"/>
      <c r="R453" s="31"/>
      <c r="S453" s="31"/>
      <c r="T453" s="31"/>
      <c r="U453" s="31"/>
      <c r="V453" s="32"/>
      <c r="W453" s="9" t="s">
        <v>29</v>
      </c>
      <c r="X453" s="20"/>
      <c r="Y453" s="20">
        <f>IFERROR(Y450/H450,"0")+IFERROR(Y451/H451,"0")+IFERROR(Y452/H452,"0")</f>
        <v>0</v>
      </c>
    </row>
    <row r="454" spans="1:25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9"/>
      <c r="P454" s="30" t="s">
        <v>28</v>
      </c>
      <c r="Q454" s="31"/>
      <c r="R454" s="31"/>
      <c r="S454" s="31"/>
      <c r="T454" s="31"/>
      <c r="U454" s="31"/>
      <c r="V454" s="32"/>
      <c r="W454" s="9" t="s">
        <v>27</v>
      </c>
      <c r="X454" s="20"/>
      <c r="Y454" s="20">
        <f>IFERROR(SUM(Y450:Y452),"0")</f>
        <v>0</v>
      </c>
    </row>
    <row r="455" spans="1:25" x14ac:dyDescent="0.25">
      <c r="A455" t="s">
        <v>21</v>
      </c>
    </row>
    <row r="456" spans="1:25" x14ac:dyDescent="0.25">
      <c r="A456" s="2" t="s">
        <v>749</v>
      </c>
      <c r="B456" s="2" t="s">
        <v>750</v>
      </c>
      <c r="C456" s="3">
        <v>4301031280</v>
      </c>
      <c r="D456" s="25">
        <v>4640242180816</v>
      </c>
      <c r="E456" s="26"/>
      <c r="F456" s="4">
        <v>0.7</v>
      </c>
      <c r="G456" s="5">
        <v>6</v>
      </c>
      <c r="H456" s="4">
        <v>4.2</v>
      </c>
      <c r="I456" s="4">
        <v>4.45</v>
      </c>
      <c r="J456" s="5">
        <v>132</v>
      </c>
      <c r="K456" s="5" t="s">
        <v>66</v>
      </c>
      <c r="L456" s="5" t="s">
        <v>67</v>
      </c>
      <c r="M456" s="6" t="s">
        <v>25</v>
      </c>
      <c r="N456" s="6"/>
      <c r="O456" s="5">
        <v>40</v>
      </c>
      <c r="P456" s="22" t="s">
        <v>751</v>
      </c>
      <c r="Q456" s="23"/>
      <c r="R456" s="23"/>
      <c r="S456" s="23"/>
      <c r="T456" s="24"/>
      <c r="U456" s="7"/>
      <c r="V456" s="7"/>
      <c r="W456" s="8" t="s">
        <v>27</v>
      </c>
      <c r="X456" s="58"/>
      <c r="Y456" s="19">
        <f>IFERROR(IF(X456="",0,CEILING((X456/$H456),1)*$H456),"")</f>
        <v>0</v>
      </c>
    </row>
    <row r="457" spans="1:25" x14ac:dyDescent="0.25">
      <c r="A457" s="2" t="s">
        <v>752</v>
      </c>
      <c r="B457" s="2" t="s">
        <v>753</v>
      </c>
      <c r="C457" s="3">
        <v>4301031244</v>
      </c>
      <c r="D457" s="25">
        <v>4640242180595</v>
      </c>
      <c r="E457" s="26"/>
      <c r="F457" s="4">
        <v>0.7</v>
      </c>
      <c r="G457" s="5">
        <v>6</v>
      </c>
      <c r="H457" s="4">
        <v>4.2</v>
      </c>
      <c r="I457" s="4">
        <v>4.45</v>
      </c>
      <c r="J457" s="5">
        <v>132</v>
      </c>
      <c r="K457" s="5" t="s">
        <v>66</v>
      </c>
      <c r="L457" s="5" t="s">
        <v>67</v>
      </c>
      <c r="M457" s="6" t="s">
        <v>25</v>
      </c>
      <c r="N457" s="6"/>
      <c r="O457" s="5">
        <v>40</v>
      </c>
      <c r="P457" s="22" t="s">
        <v>754</v>
      </c>
      <c r="Q457" s="23"/>
      <c r="R457" s="23"/>
      <c r="S457" s="23"/>
      <c r="T457" s="24"/>
      <c r="U457" s="7"/>
      <c r="V457" s="7"/>
      <c r="W457" s="8" t="s">
        <v>27</v>
      </c>
      <c r="X457" s="58"/>
      <c r="Y457" s="19">
        <f>IFERROR(IF(X457="",0,CEILING((X457/$H457),1)*$H457),"")</f>
        <v>0</v>
      </c>
    </row>
    <row r="458" spans="1:25" x14ac:dyDescent="0.25">
      <c r="A458" s="27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9"/>
      <c r="P458" s="30" t="s">
        <v>28</v>
      </c>
      <c r="Q458" s="31"/>
      <c r="R458" s="31"/>
      <c r="S458" s="31"/>
      <c r="T458" s="31"/>
      <c r="U458" s="31"/>
      <c r="V458" s="32"/>
      <c r="W458" s="9" t="s">
        <v>29</v>
      </c>
      <c r="X458" s="20"/>
      <c r="Y458" s="20">
        <f>IFERROR(Y456/H456,"0")+IFERROR(Y457/H457,"0")</f>
        <v>0</v>
      </c>
    </row>
    <row r="459" spans="1:25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9"/>
      <c r="P459" s="30" t="s">
        <v>28</v>
      </c>
      <c r="Q459" s="31"/>
      <c r="R459" s="31"/>
      <c r="S459" s="31"/>
      <c r="T459" s="31"/>
      <c r="U459" s="31"/>
      <c r="V459" s="32"/>
      <c r="W459" s="9" t="s">
        <v>27</v>
      </c>
      <c r="X459" s="20"/>
      <c r="Y459" s="20">
        <f>IFERROR(SUM(Y456:Y457),"0")</f>
        <v>0</v>
      </c>
    </row>
    <row r="460" spans="1:25" x14ac:dyDescent="0.25">
      <c r="A460" t="s">
        <v>30</v>
      </c>
    </row>
    <row r="461" spans="1:25" x14ac:dyDescent="0.25">
      <c r="A461" s="2" t="s">
        <v>755</v>
      </c>
      <c r="B461" s="2" t="s">
        <v>756</v>
      </c>
      <c r="C461" s="3">
        <v>4301052046</v>
      </c>
      <c r="D461" s="25">
        <v>4640242180533</v>
      </c>
      <c r="E461" s="26"/>
      <c r="F461" s="4">
        <v>1.5</v>
      </c>
      <c r="G461" s="5">
        <v>6</v>
      </c>
      <c r="H461" s="4">
        <v>9</v>
      </c>
      <c r="I461" s="4">
        <v>9.4939999999999998</v>
      </c>
      <c r="J461" s="5">
        <v>64</v>
      </c>
      <c r="K461" s="5" t="s">
        <v>60</v>
      </c>
      <c r="L461" s="5" t="s">
        <v>61</v>
      </c>
      <c r="M461" s="6" t="s">
        <v>41</v>
      </c>
      <c r="N461" s="6"/>
      <c r="O461" s="5">
        <v>45</v>
      </c>
      <c r="P461" s="22" t="s">
        <v>757</v>
      </c>
      <c r="Q461" s="23"/>
      <c r="R461" s="23"/>
      <c r="S461" s="23"/>
      <c r="T461" s="24"/>
      <c r="U461" s="7"/>
      <c r="V461" s="7"/>
      <c r="W461" s="8" t="s">
        <v>27</v>
      </c>
      <c r="X461" s="58"/>
      <c r="Y461" s="19">
        <f>IFERROR(IF(X461="",0,CEILING((X461/$H461),1)*$H461),"")</f>
        <v>0</v>
      </c>
    </row>
    <row r="462" spans="1:25" x14ac:dyDescent="0.25">
      <c r="A462" s="27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9"/>
      <c r="P462" s="30" t="s">
        <v>28</v>
      </c>
      <c r="Q462" s="31"/>
      <c r="R462" s="31"/>
      <c r="S462" s="31"/>
      <c r="T462" s="31"/>
      <c r="U462" s="31"/>
      <c r="V462" s="32"/>
      <c r="W462" s="9" t="s">
        <v>29</v>
      </c>
      <c r="X462" s="20"/>
      <c r="Y462" s="20">
        <f>IFERROR(Y461/H461,"0")</f>
        <v>0</v>
      </c>
    </row>
    <row r="463" spans="1:25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9"/>
      <c r="P463" s="30" t="s">
        <v>28</v>
      </c>
      <c r="Q463" s="31"/>
      <c r="R463" s="31"/>
      <c r="S463" s="31"/>
      <c r="T463" s="31"/>
      <c r="U463" s="31"/>
      <c r="V463" s="32"/>
      <c r="W463" s="9" t="s">
        <v>27</v>
      </c>
      <c r="X463" s="20"/>
      <c r="Y463" s="20">
        <f>IFERROR(SUM(Y461:Y461),"0")</f>
        <v>0</v>
      </c>
    </row>
    <row r="464" spans="1:25" x14ac:dyDescent="0.25">
      <c r="A464" t="s">
        <v>125</v>
      </c>
    </row>
    <row r="465" spans="1:25" x14ac:dyDescent="0.25">
      <c r="A465" s="2" t="s">
        <v>758</v>
      </c>
      <c r="B465" s="2" t="s">
        <v>759</v>
      </c>
      <c r="C465" s="3">
        <v>4301060491</v>
      </c>
      <c r="D465" s="25">
        <v>4640242180120</v>
      </c>
      <c r="E465" s="26"/>
      <c r="F465" s="4">
        <v>1.5</v>
      </c>
      <c r="G465" s="5">
        <v>6</v>
      </c>
      <c r="H465" s="4">
        <v>9</v>
      </c>
      <c r="I465" s="4">
        <v>9.41</v>
      </c>
      <c r="J465" s="5">
        <v>64</v>
      </c>
      <c r="K465" s="5" t="s">
        <v>60</v>
      </c>
      <c r="L465" s="5"/>
      <c r="M465" s="6" t="s">
        <v>34</v>
      </c>
      <c r="N465" s="6"/>
      <c r="O465" s="5">
        <v>40</v>
      </c>
      <c r="P465" s="22" t="s">
        <v>760</v>
      </c>
      <c r="Q465" s="23"/>
      <c r="R465" s="23"/>
      <c r="S465" s="23"/>
      <c r="T465" s="24"/>
      <c r="U465" s="7"/>
      <c r="V465" s="7"/>
      <c r="W465" s="8" t="s">
        <v>27</v>
      </c>
      <c r="X465" s="58"/>
      <c r="Y465" s="19">
        <f>IFERROR(IF(X465="",0,CEILING((X465/$H465),1)*$H465),"")</f>
        <v>0</v>
      </c>
    </row>
    <row r="466" spans="1:25" x14ac:dyDescent="0.25">
      <c r="A466" s="2" t="s">
        <v>761</v>
      </c>
      <c r="B466" s="2" t="s">
        <v>762</v>
      </c>
      <c r="C466" s="3">
        <v>4301060493</v>
      </c>
      <c r="D466" s="25">
        <v>4640242180137</v>
      </c>
      <c r="E466" s="26"/>
      <c r="F466" s="4">
        <v>1.5</v>
      </c>
      <c r="G466" s="5">
        <v>6</v>
      </c>
      <c r="H466" s="4">
        <v>9</v>
      </c>
      <c r="I466" s="4">
        <v>9.41</v>
      </c>
      <c r="J466" s="5">
        <v>64</v>
      </c>
      <c r="K466" s="5" t="s">
        <v>60</v>
      </c>
      <c r="L466" s="5"/>
      <c r="M466" s="6" t="s">
        <v>34</v>
      </c>
      <c r="N466" s="6"/>
      <c r="O466" s="5">
        <v>40</v>
      </c>
      <c r="P466" s="22" t="s">
        <v>763</v>
      </c>
      <c r="Q466" s="23"/>
      <c r="R466" s="23"/>
      <c r="S466" s="23"/>
      <c r="T466" s="24"/>
      <c r="U466" s="7"/>
      <c r="V466" s="7"/>
      <c r="W466" s="8" t="s">
        <v>27</v>
      </c>
      <c r="X466" s="58"/>
      <c r="Y466" s="19">
        <f>IFERROR(IF(X466="",0,CEILING((X466/$H466),1)*$H466),"")</f>
        <v>0</v>
      </c>
    </row>
    <row r="467" spans="1:25" x14ac:dyDescent="0.25">
      <c r="A467" s="27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9"/>
      <c r="P467" s="30" t="s">
        <v>28</v>
      </c>
      <c r="Q467" s="31"/>
      <c r="R467" s="31"/>
      <c r="S467" s="31"/>
      <c r="T467" s="31"/>
      <c r="U467" s="31"/>
      <c r="V467" s="32"/>
      <c r="W467" s="9" t="s">
        <v>29</v>
      </c>
      <c r="X467" s="20"/>
      <c r="Y467" s="20">
        <f>IFERROR(Y465/H465,"0")+IFERROR(Y466/H466,"0")</f>
        <v>0</v>
      </c>
    </row>
    <row r="468" spans="1:25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9"/>
      <c r="P468" s="30" t="s">
        <v>28</v>
      </c>
      <c r="Q468" s="31"/>
      <c r="R468" s="31"/>
      <c r="S468" s="31"/>
      <c r="T468" s="31"/>
      <c r="U468" s="31"/>
      <c r="V468" s="32"/>
      <c r="W468" s="9" t="s">
        <v>27</v>
      </c>
      <c r="X468" s="20"/>
      <c r="Y468" s="20">
        <f>IFERROR(SUM(Y465:Y466),"0")</f>
        <v>0</v>
      </c>
    </row>
    <row r="469" spans="1:25" x14ac:dyDescent="0.25">
      <c r="A469" t="s">
        <v>764</v>
      </c>
    </row>
    <row r="470" spans="1:25" x14ac:dyDescent="0.25">
      <c r="A470" t="s">
        <v>94</v>
      </c>
    </row>
    <row r="471" spans="1:25" x14ac:dyDescent="0.25">
      <c r="A471" s="2" t="s">
        <v>765</v>
      </c>
      <c r="B471" s="2" t="s">
        <v>766</v>
      </c>
      <c r="C471" s="3">
        <v>4301020314</v>
      </c>
      <c r="D471" s="25">
        <v>4640242180090</v>
      </c>
      <c r="E471" s="26"/>
      <c r="F471" s="4">
        <v>1.5</v>
      </c>
      <c r="G471" s="5">
        <v>8</v>
      </c>
      <c r="H471" s="4">
        <v>12</v>
      </c>
      <c r="I471" s="4">
        <v>12.41</v>
      </c>
      <c r="J471" s="5">
        <v>64</v>
      </c>
      <c r="K471" s="5" t="s">
        <v>60</v>
      </c>
      <c r="L471" s="5"/>
      <c r="M471" s="6" t="s">
        <v>62</v>
      </c>
      <c r="N471" s="6"/>
      <c r="O471" s="5">
        <v>50</v>
      </c>
      <c r="P471" s="22" t="s">
        <v>767</v>
      </c>
      <c r="Q471" s="23"/>
      <c r="R471" s="23"/>
      <c r="S471" s="23"/>
      <c r="T471" s="24"/>
      <c r="U471" s="7"/>
      <c r="V471" s="7"/>
      <c r="W471" s="8" t="s">
        <v>27</v>
      </c>
      <c r="X471" s="58"/>
      <c r="Y471" s="19">
        <f>IFERROR(IF(X471="",0,CEILING((X471/$H471),1)*$H471),"")</f>
        <v>0</v>
      </c>
    </row>
    <row r="472" spans="1:25" x14ac:dyDescent="0.25">
      <c r="A472" s="27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9"/>
      <c r="P472" s="30" t="s">
        <v>28</v>
      </c>
      <c r="Q472" s="31"/>
      <c r="R472" s="31"/>
      <c r="S472" s="31"/>
      <c r="T472" s="31"/>
      <c r="U472" s="31"/>
      <c r="V472" s="32"/>
      <c r="W472" s="9" t="s">
        <v>29</v>
      </c>
      <c r="X472" s="20"/>
      <c r="Y472" s="20">
        <f>IFERROR(Y471/H471,"0")</f>
        <v>0</v>
      </c>
    </row>
    <row r="473" spans="1:25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9"/>
      <c r="P473" s="30" t="s">
        <v>28</v>
      </c>
      <c r="Q473" s="31"/>
      <c r="R473" s="31"/>
      <c r="S473" s="31"/>
      <c r="T473" s="31"/>
      <c r="U473" s="31"/>
      <c r="V473" s="32"/>
      <c r="W473" s="9" t="s">
        <v>27</v>
      </c>
      <c r="X473" s="20"/>
      <c r="Y473" s="20">
        <f>IFERROR(SUM(Y471:Y471),"0")</f>
        <v>0</v>
      </c>
    </row>
    <row r="474" spans="1:25" x14ac:dyDescent="0.25">
      <c r="A474" s="52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51"/>
      <c r="P474" s="42" t="s">
        <v>768</v>
      </c>
      <c r="Q474" s="43"/>
      <c r="R474" s="43"/>
      <c r="S474" s="43"/>
      <c r="T474" s="43"/>
      <c r="U474" s="43"/>
      <c r="V474" s="44"/>
      <c r="W474" s="9" t="s">
        <v>27</v>
      </c>
      <c r="X474" s="20"/>
      <c r="Y474" s="20">
        <f>IFERROR(Y8+Y16+Y20+Y28+Y32+Y42+Y48+Y54+Y61+Y66+Y73+Y80+Y88+Y94+Y101+Y105+Y111+Y116+Y121+Y128+Y134+Y138+Y144+Y157+Y163+Y167+Y173+Y178+Y189+Y201+Y206+Y220+Y224+Y228+Y236+Y245+Y253+Y260+Y266+Y271+Y281+Y291+Y298+Y304+Y311+Y317+Y324+Y336+Y341+Y346+Y350+Y356+Y361+Y366+Y380+Y385+Y390+Y397+Y402+Y418+Y424+Y433+Y439+Y448+Y454+Y459+Y463+Y468+Y473,"0")</f>
        <v>0</v>
      </c>
    </row>
    <row r="475" spans="1:25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51"/>
      <c r="P475" s="42" t="s">
        <v>769</v>
      </c>
      <c r="Q475" s="43"/>
      <c r="R475" s="43"/>
      <c r="S475" s="43"/>
      <c r="T475" s="43"/>
      <c r="U475" s="43"/>
      <c r="V475" s="44"/>
      <c r="W475" s="9" t="s">
        <v>27</v>
      </c>
      <c r="X475" s="20"/>
      <c r="Y475" s="20">
        <f>Y6/H6*I6+Y10/H10*I10+Y11/H11*I11+Y12/H12*I12+Y13/H13*I13+Y14/H14*I14+Y18/H18*I18+Y24/H24*I24+Y25/H25*I25+Y26/H26*I26+Y30/H30*I30+Y35/H35*I35+Y36/H36*I36+Y37/H37*I37+Y38/H38*I38+Y39/H39*I39+Y40/H40*I40+Y44/H44*I44+Y45/H45*I45+Y46/H46*I46+Y50/H50*I50+Y51/H51*I51+Y52/H52*I52+Y56/H56*I56+Y57/H57*I57+Y58/H58*I58+Y59/H59*I59+Y63/H63*I63+Y64/H64*I64+Y69/H69*I69+Y70/H70*I70+Y71/H71*I71+Y75/H75*I75+Y76/H76*I76+Y77/H77*I77+Y78/H78*I78+Y83/H83*I83+Y84/H84*I84+Y85/H85*I85+Y86/H86*I86+Y90/H90*I90+Y91/H91*I91+Y92/H92*I92+Y96/H96*I96+Y97/H97*I97+Y98/H98*I98+Y99/H99*I99+Y103/H103*I103+Y108/H108*I108+Y109/H109*I109+Y113/H113*I113+Y114/H114*I114+Y118/H118*I118+Y119/H119*I119+Y124/H124*I124+Y125/H125*I125+Y126/H126*I126+Y130/H130*I130+Y131/H131*I131+Y132/H132*I132+Y136/H136*I136+Y142/H142*I142+Y146/H146*I146+Y147/H147*I147+Y148/H148*I148+Y149/H149*I149+Y150/H150*I150+Y151/H151*I151+Y152/H152*I152+Y153/H153*I153+Y154/H154*I154+Y155/H155*I155+Y159/H159*I159+Y160/H160*I160+Y161/H161*I161+Y165/H165*I165+Y170/H170*I170+Y171/H171*I171+Y175/H175*I175+Y176/H176*I176+Y180/H180*I180+Y181/H181*I181+Y182/H182*I182+Y183/H183*I183+Y184/H184*I184+Y185/H185*I185+Y186/H186*I186+Y187/H187*I187+Y191/H191*I191+Y192/H192*I192+Y193/H193*I193+Y194/H194*I194+Y195/H195*I195+Y196/H196*I196+Y197/H197*I197+Y198/H198*I198+Y199/H199*I199+Y203/H203*I203+Y204/H204*I204+Y209/H209*I209+Y210/H210*I210+Y211/H211*I211+Y212/H212*I212+Y213/H213*I213+Y214/H214*I214+Y215/H215*I215+Y216/H216*I216+Y217/H217*I217+Y218/H218*I218+Y222/H222*I222+Y226/H226*I226+Y230/H230*I230+Y231/H231*I231+Y232/H232*I232+Y233/H233*I233+Y234/H234*I234+Y239/H239*I239+Y240/H240*I240+Y241/H241*I241+Y242/H242*I242+Y243/H243*I243+Y248/H248*I248+Y249/H249*I249+Y250/H250*I250+Y251/H251*I251+Y256/H256*I256+Y257/H257*I257+Y258/H258*I258+Y263/H263*I263+Y264/H264*I264+Y268/H268*I268+Y269/H269*I269+Y274/H274*I274+Y275/H275*I275+Y276/H276*I276+Y277/H277*I277+Y278/H278*I278+Y279/H279*I279+Y283/H283*I283+Y284/H284*I284+Y285/H285*I285+Y286/H286*I286+Y287/H287*I287+Y288/H288*I288+Y289/H289*I289+Y293/H293*I293+Y294/H294*I294+Y295/H295*I295+Y296/H296*I296+Y300/H300*I300+Y301/H301*I301+Y302/H302*I302+Y306/H306*I306+Y307/H307*I307+Y308/H308*I308+Y309/H309*I309+Y313/H313*I313+Y314/H314*I314+Y315/H315*I315+Y320/H320*I320+Y321/H321*I321+Y322/H322*I322+Y328/H328*I328+Y329/H329*I329+Y330/H330*I330+Y331/H331*I331+Y332/H332*I332+Y333/H333*I333+Y334/H334*I334+Y338/H338*I338+Y339/H339*I339+Y343/H343*I343+Y344/H344*I344+Y348/H348*I348+Y353/H353*I353+Y354/H354*I354+Y358/H358*I358+Y359/H359*I359+Y363/H363*I363+Y364/H364*I364+Y370/H370*I370+Y371/H371*I371+Y372/H372*I372+Y373/H373*I373+Y374/H374*I374+Y375/H375*I375+Y376/H376*I376+Y377/H377*I377+Y378/H378*I378+Y382/H382*I382+Y383/H383*I383+Y388/H388*I388+Y392/H392*I392+Y393/H393*I393+Y394/H394*I394+Y395/H395*I395+Y400/H400*I400+Y406/H406*I406+Y407/H407*I407+Y408/H408*I408+Y409/H409*I409+Y410/H410*I410+Y411/H411*I411+Y412/H412*I412+Y413/H413*I413+Y414/H414*I414+Y415/H415*I415+Y416/H416*I416+Y420/H420*I420+Y421/H421*I421+Y422/H422*I422+Y426/H426*I426+Y427/H427*I427+Y428/H428*I428+Y429/H429*I429+Y430/H430*I430+Y431/H431*I431+Y435/H435*I435+Y436/H436*I436+Y437/H437*I437+Y443/H443*I443+Y444/H444*I444+Y445/H445*I445+Y446/H446*I446+Y450/H450*I450+Y451/H451*I451+Y452/H452*I452+Y456/H456*I456+Y457/H457*I457+Y461/H461*I461+Y465/H465*I465+Y466/H466*I466+Y471/H471*I471</f>
        <v>0</v>
      </c>
    </row>
    <row r="476" spans="1:25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51"/>
      <c r="P476" s="42" t="s">
        <v>770</v>
      </c>
      <c r="Q476" s="43"/>
      <c r="R476" s="43"/>
      <c r="S476" s="43"/>
      <c r="T476" s="43"/>
      <c r="U476" s="43"/>
      <c r="V476" s="44"/>
      <c r="W476" s="9" t="s">
        <v>771</v>
      </c>
      <c r="X476" s="21"/>
      <c r="Y476" s="21">
        <f>ROUNDUP(Y6/H6/J6+Y10/H10/J10+Y11/H11/J11+Y12/H12/J12+Y13/H13/J13+Y14/H14/J14+Y18/H18/J18+Y24/H24/J24+Y25/H25/J25+Y26/H26/J26+Y30/H30/J30+Y35/H35/J35+Y36/H36/J36+Y37/H37/J37+Y38/H38/J38+Y39/H39/J39+Y40/H40/J40+Y44/H44/J44+Y45/H45/J45+Y46/H46/J46+Y50/H50/J50+Y51/H51/J51+Y52/H52/J52+Y56/H56/J56+Y57/H57/J57+Y58/H58/J58+Y59/H59/J59+Y63/H63/J63+Y64/H64/J64+Y69/H69/J69+Y70/H70/J70+Y71/H71/J71+Y75/H75/J75+Y76/H76/J76+Y77/H77/J77+Y78/H78/J78+Y83/H83/J83+Y84/H84/J84+Y85/H85/J85+Y86/H86/J86+Y90/H90/J90+Y91/H91/J91+Y92/H92/J92+Y96/H96/J96+Y97/H97/J97+Y98/H98/J98+Y99/H99/J99+Y103/H103/J103+Y108/H108/J108+Y109/H109/J109+Y113/H113/J113+Y114/H114/J114+Y118/H118/J118+Y119/H119/J119+Y124/H124/J124+Y125/H125/J125+Y126/H126/J126+Y130/H130/J130+Y131/H131/J131+Y132/H132/J132+Y136/H136/J136+Y142/H142/J142+Y146/H146/J146+Y147/H147/J147+Y148/H148/J148+Y149/H149/J149+Y150/H150/J150+Y151/H151/J151+Y152/H152/J152+Y153/H153/J153+Y154/H154/J154+Y155/H155/J155+Y159/H159/J159+Y160/H160/J160+Y161/H161/J161+Y165/H165/J165+Y170/H170/J170+Y171/H171/J171+Y175/H175/J175+Y176/H176/J176+Y180/H180/J180+Y181/H181/J181+Y182/H182/J182+Y183/H183/J183+Y184/H184/J184+Y185/H185/J185+Y186/H186/J186+Y187/H187/J187+Y191/H191/J191+Y192/H192/J192+Y193/H193/J193+Y194/H194/J194+Y195/H195/J195+Y196/H196/J196+Y197/H197/J197+Y198/H198/J198+Y199/H199/J199+Y203/H203/J203+Y204/H204/J204+Y209/H209/J209+Y210/H210/J210+Y211/H211/J211+Y212/H212/J212+Y213/H213/J213+Y214/H214/J214+Y215/H215/J215+Y216/H216/J216+Y217/H217/J217+Y218/H218/J218+Y222/H222/J222+Y226/H226/J226+Y230/H230/J230+Y231/H231/J231+Y232/H232/J232+Y233/H233/J233+Y234/H234/J234+Y239/H239/J239+Y240/H240/J240+Y241/H241/J241+Y242/H242/J242+Y243/H243/J243+Y248/H248/J248+Y249/H249/J249+Y250/H250/J250+Y251/H251/J251+Y256/H256/J256+Y257/H257/J257+Y258/H258/J258+Y263/H263/J263+Y264/H264/J264+Y268/H268/J268+Y269/H269/J269+Y274/H274/J274+Y275/H275/J275+Y276/H276/J276+Y277/H277/J277+Y278/H278/J278+Y279/H279/J279+Y283/H283/J283+Y284/H284/J284+Y285/H285/J285+Y286/H286/J286+Y287/H287/J287+Y288/H288/J288+Y289/H289/J289+Y293/H293/J293+Y294/H294/J294+Y295/H295/J295+Y296/H296/J296+Y300/H300/J300+Y301/H301/J301+Y302/H302/J302+Y306/H306/J306+Y307/H307/J307+Y308/H308/J308+Y309/H309/J309+Y313/H313/J313+Y314/H314/J314+Y315/H315/J315+Y320/H320/J320+Y321/H321/J321+Y322/H322/J322+Y328/H328/J328+Y329/H329/J329+Y330/H330/J330+Y331/H331/J331+Y332/H332/J332+Y333/H333/J333+Y334/H334/J334+Y338/H338/J338+Y339/H339/J339+Y343/H343/J343+Y344/H344/J344+Y348/H348/J348+Y353/H353/J353+Y354/H354/J354+Y358/H358/J358+Y359/H359/J359+Y363/H363/J363+Y364/H364/J364+Y370/H370/J370+Y371/H371/J371+Y372/H372/J372+Y373/H373/J373+Y374/H374/J374+Y375/H375/J375+Y376/H376/J376+Y377/H377/J377+Y378/H378/J378+Y382/H382/J382+Y383/H383/J383+Y388/H388/J388+Y392/H392/J392+Y393/H393/J393+Y394/H394/J394+Y395/H395/J395+Y400/H400/J400+Y406/H406/J406+Y407/H407/J407+Y408/H408/J408+Y409/H409/J409+Y410/H410/J410+Y411/H411/J411+Y412/H412/J412+Y413/H413/J413+Y414/H414/J414+Y415/H415/J415+Y416/H416/J416+Y420/H420/J420+Y421/H421/J421+Y422/H422/J422+Y426/H426/J426+Y427/H427/J427+Y428/H428/J428+Y429/H429/J429+Y430/H430/J430+Y431/H431/J431+Y435/H435/J435+Y436/H436/J436+Y437/H437/J437+Y443/H443/J443+Y444/H444/J444+Y445/H445/J445+Y446/H446/J446+Y450/H450/J450+Y451/H451/J451+Y452/H452/J452+Y456/H456/J456+Y457/H457/J457+Y461/H461/J461+Y465/H465/J465+Y466/H466/J466+Y471/H471/J471,0)</f>
        <v>0</v>
      </c>
    </row>
    <row r="477" spans="1:25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51"/>
      <c r="P477" s="42" t="s">
        <v>772</v>
      </c>
      <c r="Q477" s="43"/>
      <c r="R477" s="43"/>
      <c r="S477" s="43"/>
      <c r="T477" s="43"/>
      <c r="U477" s="43"/>
      <c r="V477" s="44"/>
      <c r="W477" s="9" t="s">
        <v>27</v>
      </c>
      <c r="X477" s="20"/>
      <c r="Y477" s="20">
        <f>Y475+Y476*25</f>
        <v>0</v>
      </c>
    </row>
    <row r="478" spans="1:25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51"/>
      <c r="P478" s="42" t="s">
        <v>773</v>
      </c>
      <c r="Q478" s="43"/>
      <c r="R478" s="43"/>
      <c r="S478" s="43"/>
      <c r="T478" s="43"/>
      <c r="U478" s="43"/>
      <c r="V478" s="44"/>
      <c r="W478" s="9" t="s">
        <v>771</v>
      </c>
      <c r="X478" s="20"/>
      <c r="Y478" s="20">
        <f>IFERROR(Y7+Y15+Y19+Y27+Y31+Y41+Y47+Y53+Y60+Y65+Y72+Y79+Y87+Y93+Y100+Y104+Y110+Y115+Y120+Y127+Y133+Y137+Y143+Y156+Y162+Y166+Y172+Y177+Y188+Y200+Y205+Y219+Y223+Y227+Y235+Y244+Y252+Y259+Y265+Y270+Y280+Y290+Y297+Y303+Y310+Y316+Y323+Y335+Y340+Y345+Y349+Y355+Y360+Y365+Y379+Y384+Y389+Y396+Y401+Y417+Y423+Y432+Y438+Y447+Y453+Y458+Y462+Y467+Y472,"0")</f>
        <v>0</v>
      </c>
    </row>
    <row r="479" spans="1:25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51"/>
      <c r="P479" s="42" t="s">
        <v>774</v>
      </c>
      <c r="Q479" s="43"/>
      <c r="R479" s="43"/>
      <c r="S479" s="43"/>
      <c r="T479" s="43"/>
      <c r="U479" s="43"/>
      <c r="V479" s="44"/>
      <c r="W479" s="10" t="s">
        <v>775</v>
      </c>
      <c r="X479" s="59"/>
      <c r="Y479" s="9"/>
    </row>
    <row r="480" spans="1:25" ht="15.75" customHeight="1" thickBot="1" x14ac:dyDescent="0.3"/>
    <row r="481" spans="1:25" ht="27" customHeight="1" thickTop="1" thickBot="1" x14ac:dyDescent="0.3">
      <c r="A481" s="15" t="s">
        <v>776</v>
      </c>
      <c r="B481" s="16" t="s">
        <v>20</v>
      </c>
      <c r="C481" s="36" t="s">
        <v>55</v>
      </c>
      <c r="D481" s="38"/>
      <c r="E481" s="38"/>
      <c r="F481" s="38"/>
      <c r="G481" s="38"/>
      <c r="H481" s="39"/>
      <c r="I481" s="36" t="s">
        <v>227</v>
      </c>
      <c r="J481" s="38"/>
      <c r="K481" s="38"/>
      <c r="L481" s="38"/>
      <c r="M481" s="38"/>
      <c r="N481" s="38"/>
      <c r="O481" s="38"/>
      <c r="P481" s="38"/>
      <c r="Q481" s="38"/>
      <c r="R481" s="39"/>
      <c r="S481" s="36" t="s">
        <v>546</v>
      </c>
      <c r="T481" s="39"/>
      <c r="U481" s="36" t="s">
        <v>602</v>
      </c>
      <c r="V481" s="38"/>
      <c r="W481" s="39"/>
    </row>
    <row r="482" spans="1:25" ht="16.5" customHeight="1" thickTop="1" thickBot="1" x14ac:dyDescent="0.3">
      <c r="A482" s="40" t="s">
        <v>777</v>
      </c>
      <c r="B482" s="36" t="s">
        <v>20</v>
      </c>
      <c r="C482" s="36" t="s">
        <v>56</v>
      </c>
      <c r="D482" s="36" t="s">
        <v>75</v>
      </c>
      <c r="E482" s="36" t="s">
        <v>132</v>
      </c>
      <c r="F482" s="36" t="s">
        <v>154</v>
      </c>
      <c r="G482" s="36" t="s">
        <v>191</v>
      </c>
      <c r="H482" s="36" t="s">
        <v>55</v>
      </c>
      <c r="I482" s="36" t="s">
        <v>228</v>
      </c>
      <c r="J482" s="36" t="s">
        <v>278</v>
      </c>
      <c r="K482" s="36" t="s">
        <v>348</v>
      </c>
      <c r="L482" s="36" t="s">
        <v>400</v>
      </c>
      <c r="M482" s="36" t="s">
        <v>416</v>
      </c>
      <c r="N482" s="17"/>
      <c r="O482" s="36" t="s">
        <v>429</v>
      </c>
      <c r="P482" s="36" t="s">
        <v>439</v>
      </c>
      <c r="Q482" s="36" t="s">
        <v>452</v>
      </c>
      <c r="R482" s="36" t="s">
        <v>536</v>
      </c>
      <c r="S482" s="36" t="s">
        <v>547</v>
      </c>
      <c r="T482" s="36" t="s">
        <v>584</v>
      </c>
      <c r="U482" s="36" t="s">
        <v>603</v>
      </c>
      <c r="V482" s="36" t="s">
        <v>637</v>
      </c>
      <c r="W482" s="36" t="s">
        <v>653</v>
      </c>
      <c r="X482" s="60"/>
      <c r="Y482" s="36" t="s">
        <v>727</v>
      </c>
    </row>
    <row r="483" spans="1:25" ht="16.5" customHeight="1" thickTop="1" thickBot="1" x14ac:dyDescent="0.3">
      <c r="A483" s="41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17"/>
      <c r="O483" s="37"/>
      <c r="P483" s="37"/>
      <c r="Q483" s="37"/>
      <c r="R483" s="37"/>
      <c r="S483" s="37"/>
      <c r="T483" s="37"/>
      <c r="U483" s="37"/>
      <c r="V483" s="37"/>
      <c r="W483" s="37"/>
      <c r="X483" s="61"/>
      <c r="Y483" s="37"/>
    </row>
    <row r="484" spans="1:25" ht="18" customHeight="1" thickTop="1" thickBot="1" x14ac:dyDescent="0.3">
      <c r="A484" s="15" t="s">
        <v>778</v>
      </c>
      <c r="B484" s="18">
        <v>0</v>
      </c>
      <c r="C484" s="18">
        <v>0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7"/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/>
      <c r="Y484" s="18">
        <v>0</v>
      </c>
    </row>
  </sheetData>
  <mergeCells count="727">
    <mergeCell ref="P60:V60"/>
    <mergeCell ref="A252:O253"/>
    <mergeCell ref="P345:V345"/>
    <mergeCell ref="P53:V53"/>
    <mergeCell ref="D176:E176"/>
    <mergeCell ref="P280:V280"/>
    <mergeCell ref="P340:V340"/>
    <mergeCell ref="D26:E26"/>
    <mergeCell ref="P322:T322"/>
    <mergeCell ref="D328:E328"/>
    <mergeCell ref="D1:E2"/>
    <mergeCell ref="D234:E234"/>
    <mergeCell ref="P186:T186"/>
    <mergeCell ref="A172:O173"/>
    <mergeCell ref="P200:V200"/>
    <mergeCell ref="Y1:Y2"/>
    <mergeCell ref="P394:T394"/>
    <mergeCell ref="P356:V356"/>
    <mergeCell ref="D315:E315"/>
    <mergeCell ref="A244:O245"/>
    <mergeCell ref="D339:E339"/>
    <mergeCell ref="P108:T108"/>
    <mergeCell ref="D277:E277"/>
    <mergeCell ref="U1:V1"/>
    <mergeCell ref="P344:T344"/>
    <mergeCell ref="X1:X2"/>
    <mergeCell ref="D392:E392"/>
    <mergeCell ref="D91:E91"/>
    <mergeCell ref="P275:T275"/>
    <mergeCell ref="D147:E147"/>
    <mergeCell ref="D218:E218"/>
    <mergeCell ref="P212:T212"/>
    <mergeCell ref="D155:E155"/>
    <mergeCell ref="P339:T339"/>
    <mergeCell ref="D320:E320"/>
    <mergeCell ref="P277:T277"/>
    <mergeCell ref="A133:O134"/>
    <mergeCell ref="P184:T184"/>
    <mergeCell ref="P118:T118"/>
    <mergeCell ref="A235:O236"/>
    <mergeCell ref="P276:T276"/>
    <mergeCell ref="D86:E86"/>
    <mergeCell ref="P65:V65"/>
    <mergeCell ref="D180:E180"/>
    <mergeCell ref="A110:O111"/>
    <mergeCell ref="P278:T278"/>
    <mergeCell ref="P7:V7"/>
    <mergeCell ref="D38:E38"/>
    <mergeCell ref="P144:V144"/>
    <mergeCell ref="M482:M483"/>
    <mergeCell ref="O482:O483"/>
    <mergeCell ref="D233:E233"/>
    <mergeCell ref="D154:E154"/>
    <mergeCell ref="D452:E452"/>
    <mergeCell ref="P116:V116"/>
    <mergeCell ref="P56:T56"/>
    <mergeCell ref="A15:O16"/>
    <mergeCell ref="N1:N2"/>
    <mergeCell ref="P354:T354"/>
    <mergeCell ref="D226:E226"/>
    <mergeCell ref="P183:T183"/>
    <mergeCell ref="F1:F2"/>
    <mergeCell ref="P420:T420"/>
    <mergeCell ref="U481:W481"/>
    <mergeCell ref="P365:V365"/>
    <mergeCell ref="D175:E175"/>
    <mergeCell ref="P27:V27"/>
    <mergeCell ref="P69:T69"/>
    <mergeCell ref="P44:T44"/>
    <mergeCell ref="D275:E275"/>
    <mergeCell ref="D250:E250"/>
    <mergeCell ref="P431:T431"/>
    <mergeCell ref="L482:L483"/>
    <mergeCell ref="P477:V477"/>
    <mergeCell ref="D436:E436"/>
    <mergeCell ref="P355:V355"/>
    <mergeCell ref="P392:T392"/>
    <mergeCell ref="P121:V121"/>
    <mergeCell ref="D231:E231"/>
    <mergeCell ref="P479:V479"/>
    <mergeCell ref="P335:V335"/>
    <mergeCell ref="P223:V223"/>
    <mergeCell ref="P428:T428"/>
    <mergeCell ref="P349:V349"/>
    <mergeCell ref="P128:V128"/>
    <mergeCell ref="P51:T51"/>
    <mergeCell ref="D414:E414"/>
    <mergeCell ref="D159:E159"/>
    <mergeCell ref="P170:T170"/>
    <mergeCell ref="D376:E376"/>
    <mergeCell ref="P453:V453"/>
    <mergeCell ref="A310:O311"/>
    <mergeCell ref="D149:E149"/>
    <mergeCell ref="P59:T59"/>
    <mergeCell ref="P390:V390"/>
    <mergeCell ref="P301:T301"/>
    <mergeCell ref="D307:E307"/>
    <mergeCell ref="D136:E136"/>
    <mergeCell ref="D378:E378"/>
    <mergeCell ref="D263:E263"/>
    <mergeCell ref="P130:T130"/>
    <mergeCell ref="A120:O121"/>
    <mergeCell ref="P165:T165"/>
    <mergeCell ref="D13:E13"/>
    <mergeCell ref="P328:T328"/>
    <mergeCell ref="A41:O42"/>
    <mergeCell ref="D421:E421"/>
    <mergeCell ref="P353:T353"/>
    <mergeCell ref="P182:T182"/>
    <mergeCell ref="P331:T331"/>
    <mergeCell ref="P38:T38"/>
    <mergeCell ref="A355:O356"/>
    <mergeCell ref="D212:E212"/>
    <mergeCell ref="D388:E388"/>
    <mergeCell ref="A7:O8"/>
    <mergeCell ref="P119:T119"/>
    <mergeCell ref="P175:T175"/>
    <mergeCell ref="D18:E18"/>
    <mergeCell ref="D289:E289"/>
    <mergeCell ref="P333:T333"/>
    <mergeCell ref="D83:E83"/>
    <mergeCell ref="P360:V360"/>
    <mergeCell ref="P189:V189"/>
    <mergeCell ref="D294:E294"/>
    <mergeCell ref="P348:T348"/>
    <mergeCell ref="D85:E85"/>
    <mergeCell ref="P476:V476"/>
    <mergeCell ref="A87:O88"/>
    <mergeCell ref="P270:V270"/>
    <mergeCell ref="P463:V463"/>
    <mergeCell ref="A323:O324"/>
    <mergeCell ref="M1:M2"/>
    <mergeCell ref="O1:O2"/>
    <mergeCell ref="C482:C483"/>
    <mergeCell ref="P320:T320"/>
    <mergeCell ref="P115:V115"/>
    <mergeCell ref="E482:E483"/>
    <mergeCell ref="P478:V478"/>
    <mergeCell ref="P414:T414"/>
    <mergeCell ref="P86:T86"/>
    <mergeCell ref="P173:V173"/>
    <mergeCell ref="P180:T180"/>
    <mergeCell ref="P271:V271"/>
    <mergeCell ref="D161:E161"/>
    <mergeCell ref="A297:O298"/>
    <mergeCell ref="P338:T338"/>
    <mergeCell ref="P336:V336"/>
    <mergeCell ref="P265:V265"/>
    <mergeCell ref="D210:E210"/>
    <mergeCell ref="D148:E148"/>
    <mergeCell ref="X482:X483"/>
    <mergeCell ref="P458:V458"/>
    <mergeCell ref="P87:V87"/>
    <mergeCell ref="P385:V385"/>
    <mergeCell ref="P252:V252"/>
    <mergeCell ref="P323:V323"/>
    <mergeCell ref="D302:E302"/>
    <mergeCell ref="D373:E373"/>
    <mergeCell ref="P185:T185"/>
    <mergeCell ref="P31:V31"/>
    <mergeCell ref="P160:T160"/>
    <mergeCell ref="P231:T231"/>
    <mergeCell ref="P98:T98"/>
    <mergeCell ref="P25:T25"/>
    <mergeCell ref="A19:O20"/>
    <mergeCell ref="D6:E6"/>
    <mergeCell ref="D431:E431"/>
    <mergeCell ref="P285:T285"/>
    <mergeCell ref="P279:T279"/>
    <mergeCell ref="P18:T18"/>
    <mergeCell ref="A384:O385"/>
    <mergeCell ref="D241:E241"/>
    <mergeCell ref="P198:T198"/>
    <mergeCell ref="Y482:Y483"/>
    <mergeCell ref="P30:T30"/>
    <mergeCell ref="A396:O397"/>
    <mergeCell ref="D209:E209"/>
    <mergeCell ref="P393:T393"/>
    <mergeCell ref="D445:E445"/>
    <mergeCell ref="P45:T45"/>
    <mergeCell ref="D184:E184"/>
    <mergeCell ref="P343:T343"/>
    <mergeCell ref="A162:O163"/>
    <mergeCell ref="D420:E420"/>
    <mergeCell ref="D276:E276"/>
    <mergeCell ref="P330:T330"/>
    <mergeCell ref="A227:O228"/>
    <mergeCell ref="D211:E211"/>
    <mergeCell ref="A447:O448"/>
    <mergeCell ref="P109:T109"/>
    <mergeCell ref="D186:E186"/>
    <mergeCell ref="P96:T96"/>
    <mergeCell ref="A462:O463"/>
    <mergeCell ref="P332:T332"/>
    <mergeCell ref="D278:E278"/>
    <mergeCell ref="P307:T307"/>
    <mergeCell ref="D215:E215"/>
    <mergeCell ref="F482:F483"/>
    <mergeCell ref="D240:E240"/>
    <mergeCell ref="D191:E191"/>
    <mergeCell ref="P446:T446"/>
    <mergeCell ref="P148:T148"/>
    <mergeCell ref="P104:V104"/>
    <mergeCell ref="P77:T77"/>
    <mergeCell ref="D283:E283"/>
    <mergeCell ref="D69:E69"/>
    <mergeCell ref="D354:E354"/>
    <mergeCell ref="P389:V389"/>
    <mergeCell ref="P383:T383"/>
    <mergeCell ref="P397:V397"/>
    <mergeCell ref="P105:V105"/>
    <mergeCell ref="P366:V366"/>
    <mergeCell ref="P341:V341"/>
    <mergeCell ref="D443:E443"/>
    <mergeCell ref="P114:T114"/>
    <mergeCell ref="P224:V224"/>
    <mergeCell ref="P100:V100"/>
    <mergeCell ref="D197:E197"/>
    <mergeCell ref="D70:E70"/>
    <mergeCell ref="P91:T91"/>
    <mergeCell ref="P85:T85"/>
    <mergeCell ref="P482:P483"/>
    <mergeCell ref="I481:R481"/>
    <mergeCell ref="D430:E430"/>
    <mergeCell ref="P28:V28"/>
    <mergeCell ref="P15:V15"/>
    <mergeCell ref="D196:E196"/>
    <mergeCell ref="D301:E301"/>
    <mergeCell ref="P209:T209"/>
    <mergeCell ref="D130:E130"/>
    <mergeCell ref="P445:T445"/>
    <mergeCell ref="D288:E288"/>
    <mergeCell ref="P159:T159"/>
    <mergeCell ref="P79:V79"/>
    <mergeCell ref="P146:T146"/>
    <mergeCell ref="P444:T444"/>
    <mergeCell ref="P382:T382"/>
    <mergeCell ref="P211:T211"/>
    <mergeCell ref="P90:T90"/>
    <mergeCell ref="P161:T161"/>
    <mergeCell ref="D482:D483"/>
    <mergeCell ref="D465:E465"/>
    <mergeCell ref="P210:T210"/>
    <mergeCell ref="D183:E183"/>
    <mergeCell ref="D348:E348"/>
    <mergeCell ref="P258:T258"/>
    <mergeCell ref="D170:E170"/>
    <mergeCell ref="P329:T329"/>
    <mergeCell ref="P6:T6"/>
    <mergeCell ref="D412:E412"/>
    <mergeCell ref="P24:T24"/>
    <mergeCell ref="P220:V220"/>
    <mergeCell ref="P241:T241"/>
    <mergeCell ref="P64:T64"/>
    <mergeCell ref="P157:V157"/>
    <mergeCell ref="A156:O157"/>
    <mergeCell ref="A65:O66"/>
    <mergeCell ref="P41:V41"/>
    <mergeCell ref="G1:G2"/>
    <mergeCell ref="D64:E64"/>
    <mergeCell ref="P54:V54"/>
    <mergeCell ref="P16:V16"/>
    <mergeCell ref="P47:V47"/>
    <mergeCell ref="D370:E370"/>
    <mergeCell ref="D199:E199"/>
    <mergeCell ref="P263:T263"/>
    <mergeCell ref="P92:T92"/>
    <mergeCell ref="P456:T456"/>
    <mergeCell ref="D377:E377"/>
    <mergeCell ref="P471:T471"/>
    <mergeCell ref="A219:O220"/>
    <mergeCell ref="P302:T302"/>
    <mergeCell ref="P240:T240"/>
    <mergeCell ref="P178:V178"/>
    <mergeCell ref="D446:E446"/>
    <mergeCell ref="P46:T46"/>
    <mergeCell ref="P101:V101"/>
    <mergeCell ref="D249:E249"/>
    <mergeCell ref="P467:V467"/>
    <mergeCell ref="D165:E165"/>
    <mergeCell ref="A205:O206"/>
    <mergeCell ref="P75:T75"/>
    <mergeCell ref="A270:O271"/>
    <mergeCell ref="D257:E257"/>
    <mergeCell ref="P236:V236"/>
    <mergeCell ref="P350:V350"/>
    <mergeCell ref="P196:T196"/>
    <mergeCell ref="H1:H2"/>
    <mergeCell ref="P372:T372"/>
    <mergeCell ref="P443:T443"/>
    <mergeCell ref="D182:E182"/>
    <mergeCell ref="P259:V259"/>
    <mergeCell ref="P88:V88"/>
    <mergeCell ref="D411:E411"/>
    <mergeCell ref="P11:T11"/>
    <mergeCell ref="P309:T309"/>
    <mergeCell ref="D59:E59"/>
    <mergeCell ref="P374:T374"/>
    <mergeCell ref="A280:O281"/>
    <mergeCell ref="D96:E96"/>
    <mergeCell ref="D332:E332"/>
    <mergeCell ref="P125:T125"/>
    <mergeCell ref="P438:V438"/>
    <mergeCell ref="D46:E46"/>
    <mergeCell ref="D40:E40"/>
    <mergeCell ref="Q482:Q483"/>
    <mergeCell ref="P217:T217"/>
    <mergeCell ref="S482:S483"/>
    <mergeCell ref="D331:E331"/>
    <mergeCell ref="P288:T288"/>
    <mergeCell ref="D269:E269"/>
    <mergeCell ref="D160:E160"/>
    <mergeCell ref="D98:E98"/>
    <mergeCell ref="P232:T232"/>
    <mergeCell ref="A349:O350"/>
    <mergeCell ref="D35:E35"/>
    <mergeCell ref="P461:T461"/>
    <mergeCell ref="D333:E333"/>
    <mergeCell ref="P439:V439"/>
    <mergeCell ref="A438:O439"/>
    <mergeCell ref="P191:T191"/>
    <mergeCell ref="R482:R483"/>
    <mergeCell ref="P297:V297"/>
    <mergeCell ref="P291:V291"/>
    <mergeCell ref="P364:T364"/>
    <mergeCell ref="P42:V42"/>
    <mergeCell ref="P228:V228"/>
    <mergeCell ref="D45:E45"/>
    <mergeCell ref="P99:T99"/>
    <mergeCell ref="P222:T222"/>
    <mergeCell ref="A72:O73"/>
    <mergeCell ref="D330:E330"/>
    <mergeCell ref="P213:T213"/>
    <mergeCell ref="D461:E461"/>
    <mergeCell ref="A137:O138"/>
    <mergeCell ref="P359:T359"/>
    <mergeCell ref="D109:E109"/>
    <mergeCell ref="P430:T430"/>
    <mergeCell ref="A115:O116"/>
    <mergeCell ref="P283:T283"/>
    <mergeCell ref="P156:V156"/>
    <mergeCell ref="P134:V134"/>
    <mergeCell ref="P205:V205"/>
    <mergeCell ref="D25:E25"/>
    <mergeCell ref="A474:O479"/>
    <mergeCell ref="P304:V304"/>
    <mergeCell ref="P133:V133"/>
    <mergeCell ref="P298:V298"/>
    <mergeCell ref="P371:T371"/>
    <mergeCell ref="D406:E406"/>
    <mergeCell ref="D58:E58"/>
    <mergeCell ref="D114:E114"/>
    <mergeCell ref="P71:T71"/>
    <mergeCell ref="P435:T435"/>
    <mergeCell ref="P433:V433"/>
    <mergeCell ref="D185:E185"/>
    <mergeCell ref="A188:O189"/>
    <mergeCell ref="D52:E52"/>
    <mergeCell ref="P110:V110"/>
    <mergeCell ref="D408:E408"/>
    <mergeCell ref="P306:T306"/>
    <mergeCell ref="P195:T195"/>
    <mergeCell ref="D383:E383"/>
    <mergeCell ref="A423:O424"/>
    <mergeCell ref="P293:T293"/>
    <mergeCell ref="D279:E279"/>
    <mergeCell ref="D103:E103"/>
    <mergeCell ref="G482:G483"/>
    <mergeCell ref="P358:T358"/>
    <mergeCell ref="I482:I483"/>
    <mergeCell ref="D230:E230"/>
    <mergeCell ref="P187:T187"/>
    <mergeCell ref="D30:E30"/>
    <mergeCell ref="D24:E24"/>
    <mergeCell ref="D217:E217"/>
    <mergeCell ref="D322:E322"/>
    <mergeCell ref="D393:E393"/>
    <mergeCell ref="P295:T295"/>
    <mergeCell ref="P124:T124"/>
    <mergeCell ref="P422:T422"/>
    <mergeCell ref="D428:E428"/>
    <mergeCell ref="P251:T251"/>
    <mergeCell ref="D232:E232"/>
    <mergeCell ref="D203:E203"/>
    <mergeCell ref="P409:T409"/>
    <mergeCell ref="P303:V303"/>
    <mergeCell ref="P468:V468"/>
    <mergeCell ref="P269:T269"/>
    <mergeCell ref="P120:V120"/>
    <mergeCell ref="P418:V418"/>
    <mergeCell ref="A417:O418"/>
    <mergeCell ref="D471:E471"/>
    <mergeCell ref="P58:T58"/>
    <mergeCell ref="P227:V227"/>
    <mergeCell ref="P294:T294"/>
    <mergeCell ref="D264:E264"/>
    <mergeCell ref="P147:T147"/>
    <mergeCell ref="D451:E451"/>
    <mergeCell ref="P408:T408"/>
    <mergeCell ref="D329:E329"/>
    <mergeCell ref="P35:T35"/>
    <mergeCell ref="P10:T10"/>
    <mergeCell ref="P308:T308"/>
    <mergeCell ref="A127:O128"/>
    <mergeCell ref="P310:V310"/>
    <mergeCell ref="P377:T377"/>
    <mergeCell ref="D358:E358"/>
    <mergeCell ref="D187:E187"/>
    <mergeCell ref="A259:O260"/>
    <mergeCell ref="P203:T203"/>
    <mergeCell ref="D146:E146"/>
    <mergeCell ref="D75:E75"/>
    <mergeCell ref="P256:T256"/>
    <mergeCell ref="D444:E444"/>
    <mergeCell ref="P194:T194"/>
    <mergeCell ref="P423:V423"/>
    <mergeCell ref="D382:E382"/>
    <mergeCell ref="A53:O54"/>
    <mergeCell ref="P417:V417"/>
    <mergeCell ref="D90:E90"/>
    <mergeCell ref="D400:E400"/>
    <mergeCell ref="P411:T411"/>
    <mergeCell ref="D248:E248"/>
    <mergeCell ref="D77:E77"/>
    <mergeCell ref="D375:E375"/>
    <mergeCell ref="D204:E204"/>
    <mergeCell ref="P281:V281"/>
    <mergeCell ref="P216:T216"/>
    <mergeCell ref="P314:T314"/>
    <mergeCell ref="D124:E124"/>
    <mergeCell ref="D422:E422"/>
    <mergeCell ref="P402:V402"/>
    <mergeCell ref="P396:V396"/>
    <mergeCell ref="P48:V48"/>
    <mergeCell ref="H482:H483"/>
    <mergeCell ref="P346:V346"/>
    <mergeCell ref="J482:J483"/>
    <mergeCell ref="D321:E321"/>
    <mergeCell ref="D150:E150"/>
    <mergeCell ref="K1:K2"/>
    <mergeCell ref="P284:T284"/>
    <mergeCell ref="A1:A2"/>
    <mergeCell ref="C1:C2"/>
    <mergeCell ref="P415:T415"/>
    <mergeCell ref="A472:O473"/>
    <mergeCell ref="D214:E214"/>
    <mergeCell ref="D152:E152"/>
    <mergeCell ref="D450:E450"/>
    <mergeCell ref="P50:T50"/>
    <mergeCell ref="P181:T181"/>
    <mergeCell ref="P37:T37"/>
    <mergeCell ref="D151:E151"/>
    <mergeCell ref="D293:E293"/>
    <mergeCell ref="D97:E97"/>
    <mergeCell ref="P400:T400"/>
    <mergeCell ref="P151:T151"/>
    <mergeCell ref="P126:T126"/>
    <mergeCell ref="D132:E132"/>
    <mergeCell ref="D10:E10"/>
    <mergeCell ref="D308:E308"/>
    <mergeCell ref="D295:E295"/>
    <mergeCell ref="D99:E99"/>
    <mergeCell ref="P39:T39"/>
    <mergeCell ref="P264:T264"/>
    <mergeCell ref="P153:T153"/>
    <mergeCell ref="P395:T395"/>
    <mergeCell ref="D372:E372"/>
    <mergeCell ref="P103:T103"/>
    <mergeCell ref="P167:V167"/>
    <mergeCell ref="P230:T230"/>
    <mergeCell ref="A27:O28"/>
    <mergeCell ref="D374:E374"/>
    <mergeCell ref="P111:V111"/>
    <mergeCell ref="D216:E216"/>
    <mergeCell ref="P296:T296"/>
    <mergeCell ref="D435:E435"/>
    <mergeCell ref="D239:E239"/>
    <mergeCell ref="P20:V20"/>
    <mergeCell ref="P462:V462"/>
    <mergeCell ref="D306:E306"/>
    <mergeCell ref="K482:K483"/>
    <mergeCell ref="D437:E437"/>
    <mergeCell ref="P401:V401"/>
    <mergeCell ref="P451:T451"/>
    <mergeCell ref="P426:T426"/>
    <mergeCell ref="P473:V473"/>
    <mergeCell ref="P475:V475"/>
    <mergeCell ref="P406:T406"/>
    <mergeCell ref="P248:T248"/>
    <mergeCell ref="P52:T52"/>
    <mergeCell ref="A340:O341"/>
    <mergeCell ref="A467:O468"/>
    <mergeCell ref="D153:E153"/>
    <mergeCell ref="P188:V188"/>
    <mergeCell ref="P66:V66"/>
    <mergeCell ref="P424:V424"/>
    <mergeCell ref="P36:T36"/>
    <mergeCell ref="P334:T334"/>
    <mergeCell ref="P465:T465"/>
    <mergeCell ref="I1:I2"/>
    <mergeCell ref="D125:E125"/>
    <mergeCell ref="A303:O304"/>
    <mergeCell ref="D119:E119"/>
    <mergeCell ref="A401:O402"/>
    <mergeCell ref="P454:V454"/>
    <mergeCell ref="D56:E56"/>
    <mergeCell ref="P162:V162"/>
    <mergeCell ref="P260:V260"/>
    <mergeCell ref="P447:V447"/>
    <mergeCell ref="P287:T287"/>
    <mergeCell ref="D314:E314"/>
    <mergeCell ref="P289:T289"/>
    <mergeCell ref="P290:V290"/>
    <mergeCell ref="D36:E36"/>
    <mergeCell ref="D334:E334"/>
    <mergeCell ref="P94:V94"/>
    <mergeCell ref="D11:E11"/>
    <mergeCell ref="D309:E309"/>
    <mergeCell ref="P192:T192"/>
    <mergeCell ref="D251:E251"/>
    <mergeCell ref="P450:T450"/>
    <mergeCell ref="P472:V472"/>
    <mergeCell ref="P266:V266"/>
    <mergeCell ref="J1:J2"/>
    <mergeCell ref="L1:L2"/>
    <mergeCell ref="B482:B483"/>
    <mergeCell ref="P32:V32"/>
    <mergeCell ref="P474:V474"/>
    <mergeCell ref="P410:T410"/>
    <mergeCell ref="P239:T239"/>
    <mergeCell ref="P176:T176"/>
    <mergeCell ref="A100:O101"/>
    <mergeCell ref="P412:T412"/>
    <mergeCell ref="D84:E84"/>
    <mergeCell ref="P268:T268"/>
    <mergeCell ref="P97:T97"/>
    <mergeCell ref="P1:T2"/>
    <mergeCell ref="P113:T113"/>
    <mergeCell ref="P234:T234"/>
    <mergeCell ref="D313:E313"/>
    <mergeCell ref="D142:E142"/>
    <mergeCell ref="D213:E213"/>
    <mergeCell ref="P171:T171"/>
    <mergeCell ref="W482:W483"/>
    <mergeCell ref="P253:V253"/>
    <mergeCell ref="P19:V19"/>
    <mergeCell ref="P317:V317"/>
    <mergeCell ref="D300:E300"/>
    <mergeCell ref="P257:T257"/>
    <mergeCell ref="D371:E371"/>
    <mergeCell ref="D427:E427"/>
    <mergeCell ref="D256:E256"/>
    <mergeCell ref="D194:E194"/>
    <mergeCell ref="D364:E364"/>
    <mergeCell ref="P321:T321"/>
    <mergeCell ref="D193:E193"/>
    <mergeCell ref="P172:V172"/>
    <mergeCell ref="P150:T150"/>
    <mergeCell ref="D429:E429"/>
    <mergeCell ref="D258:E258"/>
    <mergeCell ref="D285:E285"/>
    <mergeCell ref="D131:E131"/>
    <mergeCell ref="D71:E71"/>
    <mergeCell ref="P214:T214"/>
    <mergeCell ref="A453:O454"/>
    <mergeCell ref="D195:E195"/>
    <mergeCell ref="P152:T152"/>
    <mergeCell ref="A432:O433"/>
    <mergeCell ref="P93:V93"/>
    <mergeCell ref="D198:E198"/>
    <mergeCell ref="D268:E268"/>
    <mergeCell ref="P206:V206"/>
    <mergeCell ref="P177:V177"/>
    <mergeCell ref="D243:E243"/>
    <mergeCell ref="V482:V483"/>
    <mergeCell ref="D12:E12"/>
    <mergeCell ref="D416:E416"/>
    <mergeCell ref="P155:T155"/>
    <mergeCell ref="P324:V324"/>
    <mergeCell ref="A223:O224"/>
    <mergeCell ref="P226:T226"/>
    <mergeCell ref="A79:O80"/>
    <mergeCell ref="D76:E76"/>
    <mergeCell ref="D39:E39"/>
    <mergeCell ref="D14:E14"/>
    <mergeCell ref="D51:E51"/>
    <mergeCell ref="D287:E287"/>
    <mergeCell ref="P437:T437"/>
    <mergeCell ref="P26:T26"/>
    <mergeCell ref="A389:O390"/>
    <mergeCell ref="D63:E63"/>
    <mergeCell ref="P311:V311"/>
    <mergeCell ref="P76:T76"/>
    <mergeCell ref="P378:T378"/>
    <mergeCell ref="D426:E426"/>
    <mergeCell ref="D286:E286"/>
    <mergeCell ref="D413:E413"/>
    <mergeCell ref="A143:O144"/>
    <mergeCell ref="P13:T13"/>
    <mergeCell ref="P84:T84"/>
    <mergeCell ref="P249:T249"/>
    <mergeCell ref="P78:T78"/>
    <mergeCell ref="D363:E363"/>
    <mergeCell ref="D192:E192"/>
    <mergeCell ref="D284:E284"/>
    <mergeCell ref="P313:T313"/>
    <mergeCell ref="P142:T142"/>
    <mergeCell ref="P235:V235"/>
    <mergeCell ref="P250:T250"/>
    <mergeCell ref="P315:T315"/>
    <mergeCell ref="P166:V166"/>
    <mergeCell ref="W1:W2"/>
    <mergeCell ref="P80:V80"/>
    <mergeCell ref="P245:V245"/>
    <mergeCell ref="P316:V316"/>
    <mergeCell ref="P201:V201"/>
    <mergeCell ref="A290:O291"/>
    <mergeCell ref="A360:O361"/>
    <mergeCell ref="P218:T218"/>
    <mergeCell ref="P138:V138"/>
    <mergeCell ref="D126:E126"/>
    <mergeCell ref="A104:O105"/>
    <mergeCell ref="D113:E113"/>
    <mergeCell ref="D274:E274"/>
    <mergeCell ref="D78:E78"/>
    <mergeCell ref="P243:T243"/>
    <mergeCell ref="P132:T132"/>
    <mergeCell ref="A93:O94"/>
    <mergeCell ref="A31:O32"/>
    <mergeCell ref="D338:E338"/>
    <mergeCell ref="A316:O317"/>
    <mergeCell ref="D359:E359"/>
    <mergeCell ref="P242:T242"/>
    <mergeCell ref="D353:E353"/>
    <mergeCell ref="A166:O167"/>
    <mergeCell ref="T482:T483"/>
    <mergeCell ref="P427:T427"/>
    <mergeCell ref="D181:E181"/>
    <mergeCell ref="D37:E37"/>
    <mergeCell ref="D395:E395"/>
    <mergeCell ref="P143:V143"/>
    <mergeCell ref="D466:E466"/>
    <mergeCell ref="P379:V379"/>
    <mergeCell ref="C481:H481"/>
    <mergeCell ref="P193:T193"/>
    <mergeCell ref="P131:T131"/>
    <mergeCell ref="P429:T429"/>
    <mergeCell ref="A177:O178"/>
    <mergeCell ref="A482:A483"/>
    <mergeCell ref="P457:T457"/>
    <mergeCell ref="S481:T481"/>
    <mergeCell ref="A458:O459"/>
    <mergeCell ref="P380:V380"/>
    <mergeCell ref="A379:O380"/>
    <mergeCell ref="P466:T466"/>
    <mergeCell ref="U482:U483"/>
    <mergeCell ref="P459:V459"/>
    <mergeCell ref="P413:T413"/>
    <mergeCell ref="P407:T407"/>
    <mergeCell ref="P12:T12"/>
    <mergeCell ref="A335:O336"/>
    <mergeCell ref="P376:T376"/>
    <mergeCell ref="P370:T370"/>
    <mergeCell ref="P199:T199"/>
    <mergeCell ref="A365:O366"/>
    <mergeCell ref="P149:T149"/>
    <mergeCell ref="P416:T416"/>
    <mergeCell ref="P384:V384"/>
    <mergeCell ref="P136:T136"/>
    <mergeCell ref="P61:V61"/>
    <mergeCell ref="D57:E57"/>
    <mergeCell ref="A60:O61"/>
    <mergeCell ref="P14:T14"/>
    <mergeCell ref="P163:V163"/>
    <mergeCell ref="P274:T274"/>
    <mergeCell ref="P361:V361"/>
    <mergeCell ref="A47:O48"/>
    <mergeCell ref="B1:B2"/>
    <mergeCell ref="P127:V127"/>
    <mergeCell ref="D242:E242"/>
    <mergeCell ref="P219:V219"/>
    <mergeCell ref="P388:T388"/>
    <mergeCell ref="P8:V8"/>
    <mergeCell ref="P244:V244"/>
    <mergeCell ref="P73:V73"/>
    <mergeCell ref="P373:T373"/>
    <mergeCell ref="P72:V72"/>
    <mergeCell ref="P137:V137"/>
    <mergeCell ref="P375:T375"/>
    <mergeCell ref="D296:E296"/>
    <mergeCell ref="P204:T204"/>
    <mergeCell ref="D222:E222"/>
    <mergeCell ref="A200:O201"/>
    <mergeCell ref="P70:T70"/>
    <mergeCell ref="P197:T197"/>
    <mergeCell ref="A265:O266"/>
    <mergeCell ref="D118:E118"/>
    <mergeCell ref="P233:T233"/>
    <mergeCell ref="D108:E108"/>
    <mergeCell ref="P40:T40"/>
    <mergeCell ref="P363:T363"/>
    <mergeCell ref="D344:E344"/>
    <mergeCell ref="P83:T83"/>
    <mergeCell ref="P154:T154"/>
    <mergeCell ref="P63:T63"/>
    <mergeCell ref="D457:E457"/>
    <mergeCell ref="D44:E44"/>
    <mergeCell ref="P57:T57"/>
    <mergeCell ref="P421:T421"/>
    <mergeCell ref="D171:E171"/>
    <mergeCell ref="A345:O346"/>
    <mergeCell ref="P215:T215"/>
    <mergeCell ref="D407:E407"/>
    <mergeCell ref="P286:T286"/>
    <mergeCell ref="D456:E456"/>
    <mergeCell ref="D394:E394"/>
    <mergeCell ref="D410:E410"/>
    <mergeCell ref="P448:V448"/>
    <mergeCell ref="P436:T436"/>
    <mergeCell ref="P432:V432"/>
    <mergeCell ref="D415:E415"/>
    <mergeCell ref="P452:T452"/>
    <mergeCell ref="P300:T300"/>
    <mergeCell ref="D50:E50"/>
    <mergeCell ref="D92:E92"/>
    <mergeCell ref="D409:E409"/>
    <mergeCell ref="D343:E34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GrossWeightTotalR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2025-11-17T06:37:47Z</dcterms:modified>
</cp:coreProperties>
</file>