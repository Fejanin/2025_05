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9B821323-7C2D-431C-9EE0-6518464F943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87" i="2" l="1"/>
  <c r="H183" i="1"/>
  <c r="F183" i="1"/>
  <c r="E183" i="1"/>
  <c r="G182" i="1"/>
  <c r="A182" i="1"/>
  <c r="G181" i="1"/>
  <c r="A181" i="1"/>
  <c r="G180" i="1"/>
  <c r="A180" i="1"/>
  <c r="A179" i="1"/>
  <c r="A178" i="1"/>
  <c r="G177" i="1"/>
  <c r="A177" i="1"/>
  <c r="G176" i="1"/>
  <c r="A176" i="1"/>
  <c r="G175" i="1"/>
  <c r="A175" i="1"/>
  <c r="A174" i="1"/>
  <c r="G173" i="1"/>
  <c r="A173" i="1"/>
  <c r="A172" i="1"/>
  <c r="G171" i="1"/>
  <c r="A171" i="1"/>
  <c r="G170" i="1"/>
  <c r="A170" i="1"/>
  <c r="G169" i="1"/>
  <c r="A169" i="1"/>
  <c r="G168" i="1"/>
  <c r="A168" i="1"/>
  <c r="A167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83" i="1" s="1"/>
  <c r="A11" i="1"/>
</calcChain>
</file>

<file path=xl/sharedStrings.xml><?xml version="1.0" encoding="utf-8"?>
<sst xmlns="http://schemas.openxmlformats.org/spreadsheetml/2006/main" count="443" uniqueCount="260">
  <si>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</si>
  <si>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</si>
  <si>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</si>
  <si>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</si>
  <si>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</si>
  <si>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</si>
  <si>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</si>
  <si>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</si>
  <si>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</si>
  <si>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</si>
  <si>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</si>
  <si>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</si>
  <si>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</si>
  <si>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</si>
  <si>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</si>
  <si>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</si>
  <si>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</si>
  <si>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</si>
  <si>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</si>
  <si>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</si>
  <si>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</si>
  <si>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</si>
  <si>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</si>
  <si>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</si>
  <si>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</si>
  <si>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</si>
  <si>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</si>
  <si>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</si>
  <si>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</si>
  <si>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</si>
  <si>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</si>
  <si>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</si>
  <si>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</si>
  <si>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</si>
  <si>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</si>
  <si>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</si>
  <si>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</si>
  <si>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</si>
  <si>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</si>
  <si>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</si>
  <si>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</si>
  <si>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</si>
  <si>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</si>
  <si>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</si>
  <si>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</si>
  <si>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</si>
  <si>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</si>
  <si>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</si>
  <si>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</si>
  <si>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</si>
  <si>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</si>
  <si>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</si>
  <si>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</si>
  <si>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</si>
  <si>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</si>
  <si>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</si>
  <si>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</si>
  <si>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</si>
  <si>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</si>
  <si>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</si>
  <si>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</si>
  <si>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</si>
  <si>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</si>
  <si>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</si>
  <si>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</si>
  <si>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</si>
  <si>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</si>
  <si>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</si>
  <si>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</si>
  <si>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</si>
  <si>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</si>
  <si>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</si>
  <si>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</si>
  <si>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</si>
  <si>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МЯСНЫЕ С ГОВЯД.ПМ сос п/о мгс 0.4кг_50с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</si>
  <si>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</si>
  <si>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</si>
  <si>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</si>
  <si>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</si>
  <si>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</si>
  <si>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</si>
  <si>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</si>
  <si>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</si>
  <si>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</si>
  <si>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</si>
  <si>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</si>
  <si>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</si>
  <si>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</si>
  <si>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</si>
  <si>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</si>
  <si>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</si>
  <si>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</si>
  <si>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</si>
  <si>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</si>
  <si>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</si>
  <si>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</si>
  <si>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</si>
  <si>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</si>
  <si>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</si>
  <si>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</si>
  <si>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</si>
  <si>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</si>
  <si>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</si>
  <si>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</si>
  <si>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</si>
  <si>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</si>
  <si>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</si>
  <si>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</si>
  <si>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</si>
  <si>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</si>
  <si>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</si>
  <si>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</si>
  <si>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</si>
  <si>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</si>
  <si>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</si>
  <si>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</si>
  <si>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</si>
  <si>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</si>
  <si>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</si>
  <si>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</si>
  <si>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</si>
  <si>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</si>
  <si>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</si>
  <si>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</si>
  <si>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</si>
  <si>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</si>
  <si>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</si>
  <si>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</si>
  <si>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</si>
  <si>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</si>
  <si>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</si>
  <si>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</si>
  <si>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</si>
  <si>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</si>
  <si>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</si>
  <si>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</si>
  <si>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</si>
  <si>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</si>
  <si>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</si>
  <si>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</si>
  <si>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</si>
  <si>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</si>
  <si>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</si>
  <si>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</si>
  <si>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</si>
  <si>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</si>
  <si>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</si>
  <si>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</si>
  <si>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</si>
  <si>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</si>
  <si>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</si>
  <si>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</si>
  <si>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1/120_60с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</si>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</sst>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07"/>
  <sheetViews>
    <sheetView tabSelected="1" zoomScale="87" zoomScaleNormal="87" workbookViewId="0">
      <pane ySplit="9" topLeftCell="A180" activePane="bottomLeft" state="frozen"/>
      <selection pane="bottomLeft" activeCell="E190" sqref="E190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45966</v>
      </c>
      <c r="E3" s="7" t="s">
        <v>3</v>
      </c>
      <c r="F3" s="97"/>
      <c r="G3" s="101">
        <v>45969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RIGHT(D11:D182,4)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RIGHT(D12:D183,4)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RIGHT(D13:D184,4)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RIGHT(D14:D183,4)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RIGHT(D15:D184,4)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RIGHT(D16:D185,4)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RIGHT(D17:D185,4)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 t="shared" ref="A18:A25" si="0">RIGHT(D18:D185,4)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 t="shared" si="0"/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 t="shared" si="0"/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 t="shared" si="0"/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 t="shared" si="0"/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 t="shared" si="0"/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 t="shared" si="0"/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 t="shared" si="0"/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RIGHT(D26:D196,4)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RIGHT(D27:D196,4)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RIGHT(D28:D197,4)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 t="shared" ref="A29:A35" si="1">RIGHT(D29:D200,4)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 t="shared" si="1"/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 t="shared" si="1"/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 t="shared" si="1"/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 t="shared" si="1"/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 t="shared" si="1"/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 t="shared" si="1"/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RIGHT(D36:D203,4)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RIGHT(D37:D204,4)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RIGHT(D38:D204,4)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RIGHT(D39:D206,4)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RIGHT(D40:D204,4)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RIGHT(D41:D205,4)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RIGHT(D42:D208,4)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RIGHT(D43:D210,4)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RIGHT(D44:D211,4)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RIGHT(D45:D210,4)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RIGHT(D46:D211,4)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RIGHT(D47:D209,4)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RIGHT(D48:D208,4)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RIGHT(D49:D211,4)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RIGHT(D50:D212,4)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RIGHT(D51:D215,4)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 t="shared" ref="A52:A57" si="2">RIGHT(D52:D220,4)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 t="shared" si="2"/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 t="shared" si="2"/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 t="shared" si="2"/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 t="shared" si="2"/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 t="shared" si="2"/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RIGHT(D58:D223,4)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RIGHT(D59:D224,4)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RIGHT(D60:D222,4)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RIGHT(D61:D223,4)</f>
        <v>7077</v>
      </c>
      <c r="B61" s="70" t="s">
        <v>74</v>
      </c>
      <c r="C61" s="33" t="s">
        <v>27</v>
      </c>
      <c r="D61" s="28">
        <v>1001025507077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RIGHT(D62:D223,4)</f>
        <v>7080</v>
      </c>
      <c r="B62" s="45" t="s">
        <v>75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RIGHT(D63:D224,4)</f>
        <v>6762</v>
      </c>
      <c r="B63" s="45" t="s">
        <v>76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RIGHT(D64:D224,4)</f>
        <v>5820</v>
      </c>
      <c r="B64" s="45" t="s">
        <v>77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RIGHT(D65:D225,4)</f>
        <v>7082</v>
      </c>
      <c r="B65" s="45" t="s">
        <v>78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RIGHT(D66:D226,4)</f>
        <v>6764</v>
      </c>
      <c r="B66" s="45" t="s">
        <v>79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RIGHT(D67:D228,4)</f>
        <v>6761</v>
      </c>
      <c r="B67" s="45" t="s">
        <v>80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RIGHT(D68:D229,4)</f>
        <v>6767</v>
      </c>
      <c r="B68" s="45" t="s">
        <v>81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RIGHT(D69:D229,4)</f>
        <v>6765</v>
      </c>
      <c r="B69" s="45" t="s">
        <v>82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RIGHT(D70:D230,4)</f>
        <v>6909</v>
      </c>
      <c r="B70" s="45" t="s">
        <v>83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RIGHT(D71:D231,4)</f>
        <v>7284</v>
      </c>
      <c r="B71" s="45" t="s">
        <v>84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RIGHT(D72:D231,4)</f>
        <v>7250</v>
      </c>
      <c r="B72" s="45" t="s">
        <v>85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RIGHT(D73:D231,4)</f>
        <v>6987</v>
      </c>
      <c r="B73" s="45" t="s">
        <v>86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RIGHT(D74:D229,4)</f>
        <v>7066</v>
      </c>
      <c r="B74" s="45" t="s">
        <v>87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RIGHT(D75:D230,4)</f>
        <v>6837</v>
      </c>
      <c r="B75" s="45" t="s">
        <v>88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RIGHT(D76:D231,4)</f>
        <v>7271</v>
      </c>
      <c r="B76" s="45" t="s">
        <v>89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RIGHT(D77:D231,4)</f>
        <v>7244</v>
      </c>
      <c r="B77" s="45" t="s">
        <v>90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RIGHT(D78:D232,4)</f>
        <v>6661</v>
      </c>
      <c r="B78" s="27" t="s">
        <v>91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RIGHT(D79:D233,4)</f>
        <v>6713</v>
      </c>
      <c r="B79" s="27" t="s">
        <v>92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RIGHT(D80:D229,4)</f>
        <v/>
      </c>
      <c r="B80" s="74" t="s">
        <v>93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RIGHT(D81:D230,4)</f>
        <v>5698</v>
      </c>
      <c r="B81" s="46" t="s">
        <v>94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RIGHT(D82:D233,4)</f>
        <v>6528</v>
      </c>
      <c r="B82" s="46" t="s">
        <v>95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RIGHT(D83:D234,4)</f>
        <v>7059</v>
      </c>
      <c r="B83" s="46" t="s">
        <v>96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RIGHT(D84:D234,4)</f>
        <v>6609</v>
      </c>
      <c r="B84" s="46" t="s">
        <v>97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RIGHT(D85:D235,4)</f>
        <v>7001</v>
      </c>
      <c r="B85" s="46" t="s">
        <v>98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RIGHT(D86:D235,4)</f>
        <v>6527</v>
      </c>
      <c r="B86" s="46" t="s">
        <v>99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RIGHT(D87:D236,4)</f>
        <v/>
      </c>
      <c r="B87" s="74" t="s">
        <v>100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RIGHT(D88:D237,4)</f>
        <v>7232</v>
      </c>
      <c r="B88" s="27" t="s">
        <v>101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RIGHT(D89:D238,4)</f>
        <v>7332</v>
      </c>
      <c r="B89" s="27" t="s">
        <v>102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RIGHT(D90:D238,4)</f>
        <v>6785</v>
      </c>
      <c r="B90" s="27" t="s">
        <v>103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RIGHT(D91:D239,4)</f>
        <v>7149</v>
      </c>
      <c r="B91" s="96" t="s">
        <v>104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RIGHT(D92:D239,4)</f>
        <v>6786</v>
      </c>
      <c r="B92" s="27" t="s">
        <v>105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RIGHT(D93:D240,4)</f>
        <v>4903</v>
      </c>
      <c r="B93" s="27" t="s">
        <v>106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RIGHT(D94:D240,4)</f>
        <v>7131</v>
      </c>
      <c r="B94" s="27" t="s">
        <v>107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RIGHT(D95:D238,4)</f>
        <v>7241</v>
      </c>
      <c r="B95" s="27" t="s">
        <v>108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RIGHT(D96:D241,4)</f>
        <v/>
      </c>
      <c r="B96" s="74" t="s">
        <v>109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RIGHT(D97:D242,4)</f>
        <v>7154</v>
      </c>
      <c r="B97" s="27" t="s">
        <v>110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RIGHT(D98:D244,4)</f>
        <v>6793</v>
      </c>
      <c r="B98" s="27" t="s">
        <v>111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RIGHT(D99:D245,4)</f>
        <v>6795</v>
      </c>
      <c r="B99" s="27" t="s">
        <v>112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RIGHT(D100:D245,4)</f>
        <v>6807</v>
      </c>
      <c r="B100" s="27" t="s">
        <v>113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RIGHT(D101:D245,4)</f>
        <v>7236</v>
      </c>
      <c r="B101" s="27" t="s">
        <v>114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RIGHT(D102:D246,4)</f>
        <v>7333</v>
      </c>
      <c r="B102" s="27" t="s">
        <v>115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RIGHT(D103:D247,4)</f>
        <v>6787</v>
      </c>
      <c r="B103" s="27" t="s">
        <v>116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RIGHT(D104:D248,4)</f>
        <v>6788</v>
      </c>
      <c r="B104" s="27" t="s">
        <v>117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RIGHT(D105:D249,4)</f>
        <v>7157</v>
      </c>
      <c r="B105" s="27" t="s">
        <v>118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RIGHT(D106:D249,4)</f>
        <v>6790</v>
      </c>
      <c r="B106" s="27" t="s">
        <v>119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RIGHT(D107:D248,4)</f>
        <v>7169</v>
      </c>
      <c r="B107" s="64" t="s">
        <v>120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RIGHT(D108:D249,4)</f>
        <v>6791</v>
      </c>
      <c r="B108" s="64" t="s">
        <v>121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RIGHT(D109:D250,4)</f>
        <v>7166</v>
      </c>
      <c r="B109" s="64" t="s">
        <v>122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RIGHT(D110:D251,4)</f>
        <v>6459</v>
      </c>
      <c r="B110" s="64" t="s">
        <v>123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RIGHT(D111:D252,4)</f>
        <v>6586</v>
      </c>
      <c r="B111" s="64" t="s">
        <v>124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RIGHT(D112:D250,4)</f>
        <v>6228</v>
      </c>
      <c r="B112" s="64" t="s">
        <v>125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RIGHT(D113:D251,4)</f>
        <v>7087</v>
      </c>
      <c r="B113" s="64" t="s">
        <v>126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RIGHT(D114:D250,4)</f>
        <v>5544</v>
      </c>
      <c r="B114" s="27" t="s">
        <v>127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 t="shared" ref="A115:A120" si="3">RIGHT(D115:D252,4)</f>
        <v>6697</v>
      </c>
      <c r="B115" s="27" t="s">
        <v>128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 t="shared" si="3"/>
        <v/>
      </c>
      <c r="B116" s="74" t="s">
        <v>129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 t="shared" si="3"/>
        <v>5706</v>
      </c>
      <c r="B117" s="27" t="s">
        <v>130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 t="shared" si="3"/>
        <v>6454</v>
      </c>
      <c r="B118" s="27" t="s">
        <v>131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 t="shared" si="3"/>
        <v>6222</v>
      </c>
      <c r="B119" s="27" t="s">
        <v>132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 t="shared" si="3"/>
        <v>5931</v>
      </c>
      <c r="B120" s="27" t="s">
        <v>133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RIGHT(D121:D259,4)</f>
        <v>5708</v>
      </c>
      <c r="B121" s="27" t="s">
        <v>134</v>
      </c>
      <c r="C121" s="30" t="s">
        <v>23</v>
      </c>
      <c r="D121" s="28">
        <v>1001063145708</v>
      </c>
      <c r="E121" s="24"/>
      <c r="F121" s="23">
        <v>0.51249999999999996</v>
      </c>
      <c r="G121" s="23">
        <f>E121*1</f>
        <v>0</v>
      </c>
      <c r="H121" s="14">
        <v>4.0999999999999996</v>
      </c>
      <c r="I121" s="14">
        <v>120</v>
      </c>
      <c r="J121" s="39"/>
    </row>
    <row r="122" spans="1:10" ht="16.5" customHeight="1" x14ac:dyDescent="0.25">
      <c r="A122" s="93" t="str">
        <f>RIGHT(D122:D260,4)</f>
        <v>1146</v>
      </c>
      <c r="B122" s="27" t="s">
        <v>135</v>
      </c>
      <c r="C122" s="30" t="s">
        <v>23</v>
      </c>
      <c r="D122" s="28">
        <v>1001061971146</v>
      </c>
      <c r="E122" s="24"/>
      <c r="F122" s="23"/>
      <c r="G122" s="23">
        <f>E122</f>
        <v>0</v>
      </c>
      <c r="H122" s="14"/>
      <c r="I122" s="14"/>
      <c r="J122" s="39"/>
    </row>
    <row r="123" spans="1:10" ht="16.5" customHeight="1" x14ac:dyDescent="0.25">
      <c r="A123" s="93" t="str">
        <f>RIGHT(D123:D261,4)</f>
        <v>7150</v>
      </c>
      <c r="B123" s="27" t="s">
        <v>136</v>
      </c>
      <c r="C123" s="30" t="s">
        <v>23</v>
      </c>
      <c r="D123" s="28">
        <v>1001063237150</v>
      </c>
      <c r="E123" s="24"/>
      <c r="F123" s="23"/>
      <c r="G123" s="23">
        <f>E123</f>
        <v>0</v>
      </c>
      <c r="H123" s="14"/>
      <c r="I123" s="14"/>
      <c r="J123" s="39"/>
    </row>
    <row r="124" spans="1:10" ht="16.5" customHeight="1" x14ac:dyDescent="0.25">
      <c r="A124" s="93" t="str">
        <f>RIGHT(D124:D260,4)</f>
        <v>6834</v>
      </c>
      <c r="B124" s="27" t="s">
        <v>137</v>
      </c>
      <c r="C124" s="33" t="s">
        <v>27</v>
      </c>
      <c r="D124" s="28">
        <v>1001203146834</v>
      </c>
      <c r="E124" s="24"/>
      <c r="F124" s="23"/>
      <c r="G124" s="23">
        <f>E124*0.1</f>
        <v>0</v>
      </c>
      <c r="H124" s="14"/>
      <c r="I124" s="14"/>
      <c r="J124" s="39"/>
    </row>
    <row r="125" spans="1:10" ht="16.5" customHeight="1" x14ac:dyDescent="0.25">
      <c r="A125" s="93" t="str">
        <f>RIGHT(D125:D261,4)</f>
        <v>6448</v>
      </c>
      <c r="B125" s="27" t="s">
        <v>138</v>
      </c>
      <c r="C125" s="33" t="s">
        <v>27</v>
      </c>
      <c r="D125" s="28">
        <v>1001234146448</v>
      </c>
      <c r="E125" s="24"/>
      <c r="F125" s="23">
        <v>0.1</v>
      </c>
      <c r="G125" s="23">
        <f>F125*E125</f>
        <v>0</v>
      </c>
      <c r="H125" s="14"/>
      <c r="I125" s="14"/>
      <c r="J125" s="39"/>
    </row>
    <row r="126" spans="1:10" ht="16.5" customHeight="1" x14ac:dyDescent="0.25">
      <c r="A126" s="93" t="str">
        <f>RIGHT(D126:D262,4)</f>
        <v>6221</v>
      </c>
      <c r="B126" s="27" t="s">
        <v>139</v>
      </c>
      <c r="C126" s="33" t="s">
        <v>27</v>
      </c>
      <c r="D126" s="28">
        <v>1001205376221</v>
      </c>
      <c r="E126" s="24"/>
      <c r="F126" s="23">
        <v>0.09</v>
      </c>
      <c r="G126" s="23">
        <f>F126*E126</f>
        <v>0</v>
      </c>
      <c r="H126" s="14"/>
      <c r="I126" s="14"/>
      <c r="J126" s="39"/>
    </row>
    <row r="127" spans="1:10" ht="16.5" customHeight="1" x14ac:dyDescent="0.25">
      <c r="A127" s="93" t="str">
        <f>RIGHT(D127:D262,4)</f>
        <v>5679</v>
      </c>
      <c r="B127" s="27" t="s">
        <v>140</v>
      </c>
      <c r="C127" s="33" t="s">
        <v>27</v>
      </c>
      <c r="D127" s="28">
        <v>1001190765679</v>
      </c>
      <c r="E127" s="24"/>
      <c r="F127" s="23">
        <v>0.15</v>
      </c>
      <c r="G127" s="23">
        <f>F127*E127</f>
        <v>0</v>
      </c>
      <c r="H127" s="14"/>
      <c r="I127" s="14"/>
      <c r="J127" s="39"/>
    </row>
    <row r="128" spans="1:10" ht="16.5" customHeight="1" x14ac:dyDescent="0.25">
      <c r="A128" s="93" t="str">
        <f>RIGHT(D128:D264,4)</f>
        <v>4993</v>
      </c>
      <c r="B128" s="27" t="s">
        <v>141</v>
      </c>
      <c r="C128" s="33" t="s">
        <v>27</v>
      </c>
      <c r="D128" s="28">
        <v>1001060764993</v>
      </c>
      <c r="E128" s="24"/>
      <c r="F128" s="23">
        <v>0.25</v>
      </c>
      <c r="G128" s="23">
        <f>E128*0.25</f>
        <v>0</v>
      </c>
      <c r="H128" s="14">
        <v>2</v>
      </c>
      <c r="I128" s="14">
        <v>120</v>
      </c>
      <c r="J128" s="39"/>
    </row>
    <row r="129" spans="1:10" ht="16.5" customHeight="1" x14ac:dyDescent="0.25">
      <c r="A129" s="93" t="str">
        <f>RIGHT(D129:D265,4)</f>
        <v>3986</v>
      </c>
      <c r="B129" s="27" t="s">
        <v>142</v>
      </c>
      <c r="C129" s="33" t="s">
        <v>27</v>
      </c>
      <c r="D129" s="28">
        <v>1001061973986</v>
      </c>
      <c r="E129" s="24"/>
      <c r="F129" s="23">
        <v>0.25</v>
      </c>
      <c r="G129" s="23">
        <f>E129*0.25</f>
        <v>0</v>
      </c>
      <c r="H129" s="14"/>
      <c r="I129" s="14"/>
      <c r="J129" s="39"/>
    </row>
    <row r="130" spans="1:10" ht="16.5" customHeight="1" x14ac:dyDescent="0.25">
      <c r="A130" s="93" t="str">
        <f>RIGHT(D130:D265,4)</f>
        <v>7105</v>
      </c>
      <c r="B130" s="27" t="s">
        <v>143</v>
      </c>
      <c r="C130" s="33" t="s">
        <v>27</v>
      </c>
      <c r="D130" s="28">
        <v>1001203207105</v>
      </c>
      <c r="E130" s="24"/>
      <c r="F130" s="23">
        <v>0.09</v>
      </c>
      <c r="G130" s="23">
        <f t="shared" ref="G130:G138" si="4">F130*E130</f>
        <v>0</v>
      </c>
      <c r="H130" s="14"/>
      <c r="I130" s="14"/>
      <c r="J130" s="39"/>
    </row>
    <row r="131" spans="1:10" ht="16.5" customHeight="1" x14ac:dyDescent="0.25">
      <c r="A131" s="93" t="str">
        <f>RIGHT(D131:D266,4)</f>
        <v>7106</v>
      </c>
      <c r="B131" s="27" t="s">
        <v>144</v>
      </c>
      <c r="C131" s="33" t="s">
        <v>27</v>
      </c>
      <c r="D131" s="28">
        <v>1001205447106</v>
      </c>
      <c r="E131" s="24"/>
      <c r="F131" s="23">
        <v>0.09</v>
      </c>
      <c r="G131" s="23">
        <f t="shared" si="4"/>
        <v>0</v>
      </c>
      <c r="H131" s="14"/>
      <c r="I131" s="14"/>
      <c r="J131" s="39"/>
    </row>
    <row r="132" spans="1:10" ht="16.5" customHeight="1" x14ac:dyDescent="0.25">
      <c r="A132" s="93" t="str">
        <f>RIGHT(D132:D267,4)</f>
        <v>7107</v>
      </c>
      <c r="B132" s="27" t="s">
        <v>145</v>
      </c>
      <c r="C132" s="33" t="s">
        <v>27</v>
      </c>
      <c r="D132" s="28">
        <v>1001205467107</v>
      </c>
      <c r="E132" s="24"/>
      <c r="F132" s="23">
        <v>0.09</v>
      </c>
      <c r="G132" s="23">
        <f t="shared" si="4"/>
        <v>0</v>
      </c>
      <c r="H132" s="14"/>
      <c r="I132" s="14"/>
      <c r="J132" s="39"/>
    </row>
    <row r="133" spans="1:10" ht="16.5" customHeight="1" x14ac:dyDescent="0.25">
      <c r="A133" s="93" t="str">
        <f>RIGHT(D133:D268,4)</f>
        <v>7147</v>
      </c>
      <c r="B133" s="27" t="s">
        <v>146</v>
      </c>
      <c r="C133" s="33" t="s">
        <v>27</v>
      </c>
      <c r="D133" s="28">
        <v>1001063237147</v>
      </c>
      <c r="E133" s="24"/>
      <c r="F133" s="23">
        <v>0.22</v>
      </c>
      <c r="G133" s="23">
        <f t="shared" si="4"/>
        <v>0</v>
      </c>
      <c r="H133" s="14"/>
      <c r="I133" s="14"/>
      <c r="J133" s="39"/>
    </row>
    <row r="134" spans="1:10" ht="16.5" customHeight="1" x14ac:dyDescent="0.25">
      <c r="A134" s="93" t="str">
        <f>RIGHT(D134:D269,4)</f>
        <v>7229</v>
      </c>
      <c r="B134" s="27" t="s">
        <v>147</v>
      </c>
      <c r="C134" s="33" t="s">
        <v>27</v>
      </c>
      <c r="D134" s="28">
        <v>1001063237229</v>
      </c>
      <c r="E134" s="24"/>
      <c r="F134" s="23">
        <v>0.18</v>
      </c>
      <c r="G134" s="23">
        <f t="shared" si="4"/>
        <v>0</v>
      </c>
      <c r="H134" s="14"/>
      <c r="I134" s="14"/>
      <c r="J134" s="39"/>
    </row>
    <row r="135" spans="1:10" ht="16.5" customHeight="1" x14ac:dyDescent="0.25">
      <c r="A135" s="93" t="str">
        <f>RIGHT(D135:D269,4)</f>
        <v>7225</v>
      </c>
      <c r="B135" s="27" t="s">
        <v>148</v>
      </c>
      <c r="C135" s="33" t="s">
        <v>27</v>
      </c>
      <c r="D135" s="28">
        <v>1001066537225</v>
      </c>
      <c r="E135" s="24"/>
      <c r="F135" s="23">
        <v>0.18</v>
      </c>
      <c r="G135" s="23">
        <f t="shared" si="4"/>
        <v>0</v>
      </c>
      <c r="H135" s="14"/>
      <c r="I135" s="14"/>
      <c r="J135" s="39"/>
    </row>
    <row r="136" spans="1:10" ht="16.5" customHeight="1" x14ac:dyDescent="0.25">
      <c r="A136" s="93" t="str">
        <f>RIGHT(D136:D270,4)</f>
        <v>7227</v>
      </c>
      <c r="B136" s="27" t="s">
        <v>149</v>
      </c>
      <c r="C136" s="33" t="s">
        <v>27</v>
      </c>
      <c r="D136" s="28">
        <v>1001063097227</v>
      </c>
      <c r="E136" s="24"/>
      <c r="F136" s="23">
        <v>0.18</v>
      </c>
      <c r="G136" s="23">
        <f t="shared" si="4"/>
        <v>0</v>
      </c>
      <c r="H136" s="14"/>
      <c r="I136" s="14"/>
      <c r="J136" s="39"/>
    </row>
    <row r="137" spans="1:10" ht="16.5" customHeight="1" x14ac:dyDescent="0.25">
      <c r="A137" s="93" t="str">
        <f>RIGHT(D137:D271,4)</f>
        <v>7226</v>
      </c>
      <c r="B137" s="27" t="s">
        <v>150</v>
      </c>
      <c r="C137" s="33" t="s">
        <v>27</v>
      </c>
      <c r="D137" s="28">
        <v>1001066527226</v>
      </c>
      <c r="E137" s="24"/>
      <c r="F137" s="23">
        <v>0.18</v>
      </c>
      <c r="G137" s="23">
        <f t="shared" si="4"/>
        <v>0</v>
      </c>
      <c r="H137" s="14"/>
      <c r="I137" s="14"/>
      <c r="J137" s="39"/>
    </row>
    <row r="138" spans="1:10" ht="16.5" customHeight="1" x14ac:dyDescent="0.25">
      <c r="A138" s="93" t="str">
        <f>RIGHT(D138:D265,4)</f>
        <v>3684</v>
      </c>
      <c r="B138" s="27" t="s">
        <v>151</v>
      </c>
      <c r="C138" s="33" t="s">
        <v>27</v>
      </c>
      <c r="D138" s="28">
        <v>1001062353684</v>
      </c>
      <c r="E138" s="24"/>
      <c r="F138" s="23">
        <v>0.25</v>
      </c>
      <c r="G138" s="23">
        <f t="shared" si="4"/>
        <v>0</v>
      </c>
      <c r="H138" s="14"/>
      <c r="I138" s="14"/>
      <c r="J138" s="39"/>
    </row>
    <row r="139" spans="1:10" ht="16.5" customHeight="1" x14ac:dyDescent="0.25">
      <c r="A139" s="93" t="str">
        <f>RIGHT(D139:D265,4)</f>
        <v>5682</v>
      </c>
      <c r="B139" s="27" t="s">
        <v>152</v>
      </c>
      <c r="C139" s="33" t="s">
        <v>27</v>
      </c>
      <c r="D139" s="28">
        <v>1001193115682</v>
      </c>
      <c r="E139" s="24"/>
      <c r="F139" s="23">
        <v>0.12</v>
      </c>
      <c r="G139" s="23">
        <f>E139*0.12</f>
        <v>0</v>
      </c>
      <c r="H139" s="14">
        <v>0.96</v>
      </c>
      <c r="I139" s="14">
        <v>60</v>
      </c>
      <c r="J139" s="39"/>
    </row>
    <row r="140" spans="1:10" ht="16.5" customHeight="1" x14ac:dyDescent="0.25">
      <c r="A140" s="93" t="str">
        <f>RIGHT(D140:D268,4)</f>
        <v>4117</v>
      </c>
      <c r="B140" s="27" t="s">
        <v>153</v>
      </c>
      <c r="C140" s="30" t="s">
        <v>23</v>
      </c>
      <c r="D140" s="28">
        <v>1001062504117</v>
      </c>
      <c r="E140" s="24"/>
      <c r="F140" s="23">
        <v>0.48749999999999999</v>
      </c>
      <c r="G140" s="23">
        <f>E140*1</f>
        <v>0</v>
      </c>
      <c r="H140" s="14">
        <v>3.9</v>
      </c>
      <c r="I140" s="14">
        <v>120</v>
      </c>
      <c r="J140" s="39"/>
    </row>
    <row r="141" spans="1:10" ht="16.5" customHeight="1" x14ac:dyDescent="0.25">
      <c r="A141" s="93" t="str">
        <f>RIGHT(D141:D269,4)</f>
        <v>3680</v>
      </c>
      <c r="B141" s="27" t="s">
        <v>154</v>
      </c>
      <c r="C141" s="30" t="s">
        <v>23</v>
      </c>
      <c r="D141" s="28">
        <v>1001062353680</v>
      </c>
      <c r="E141" s="24"/>
      <c r="F141" s="23"/>
      <c r="G141" s="23">
        <f>E141</f>
        <v>0</v>
      </c>
      <c r="H141" s="14"/>
      <c r="I141" s="14"/>
      <c r="J141" s="39"/>
    </row>
    <row r="142" spans="1:10" ht="16.5" customHeight="1" x14ac:dyDescent="0.25">
      <c r="A142" s="93" t="str">
        <f>RIGHT(D142:D269,4)</f>
        <v>5483</v>
      </c>
      <c r="B142" s="27" t="s">
        <v>155</v>
      </c>
      <c r="C142" s="33" t="s">
        <v>27</v>
      </c>
      <c r="D142" s="28">
        <v>1001062505483</v>
      </c>
      <c r="E142" s="24"/>
      <c r="F142" s="23">
        <v>0.25</v>
      </c>
      <c r="G142" s="23">
        <f>E142*0.25</f>
        <v>0</v>
      </c>
      <c r="H142" s="14">
        <v>2</v>
      </c>
      <c r="I142" s="14">
        <v>120</v>
      </c>
      <c r="J142" s="39"/>
    </row>
    <row r="143" spans="1:10" ht="16.5" customHeight="1" thickBot="1" x14ac:dyDescent="0.3">
      <c r="A143" s="93" t="str">
        <f>RIGHT(D143:D270,4)</f>
        <v>6453</v>
      </c>
      <c r="B143" s="27" t="s">
        <v>156</v>
      </c>
      <c r="C143" s="33" t="s">
        <v>27</v>
      </c>
      <c r="D143" s="28">
        <v>1001202506453</v>
      </c>
      <c r="E143" s="24"/>
      <c r="F143" s="23">
        <v>0.1</v>
      </c>
      <c r="G143" s="23">
        <f>E143*0.1</f>
        <v>0</v>
      </c>
      <c r="H143" s="14">
        <v>0.8</v>
      </c>
      <c r="I143" s="14">
        <v>60</v>
      </c>
      <c r="J143" s="39"/>
    </row>
    <row r="144" spans="1:10" ht="16.5" customHeight="1" thickTop="1" thickBot="1" x14ac:dyDescent="0.3">
      <c r="A144" s="93" t="str">
        <f>RIGHT(D144:D271,4)</f>
        <v/>
      </c>
      <c r="B144" s="74" t="s">
        <v>157</v>
      </c>
      <c r="C144" s="74"/>
      <c r="D144" s="74"/>
      <c r="E144" s="74"/>
      <c r="F144" s="73"/>
      <c r="G144" s="74"/>
      <c r="H144" s="74"/>
      <c r="I144" s="74"/>
      <c r="J144" s="75"/>
    </row>
    <row r="145" spans="1:10" ht="16.5" customHeight="1" thickTop="1" x14ac:dyDescent="0.25">
      <c r="A145" s="93" t="str">
        <f>RIGHT(D145:D275,4)</f>
        <v>6470</v>
      </c>
      <c r="B145" s="29" t="s">
        <v>158</v>
      </c>
      <c r="C145" s="32" t="s">
        <v>23</v>
      </c>
      <c r="D145" s="80">
        <v>1001092436470</v>
      </c>
      <c r="E145" s="24"/>
      <c r="F145" s="23"/>
      <c r="G145" s="23">
        <f>E145*1</f>
        <v>0</v>
      </c>
      <c r="H145" s="14"/>
      <c r="I145" s="14"/>
      <c r="J145" s="39"/>
    </row>
    <row r="146" spans="1:10" ht="16.5" customHeight="1" x14ac:dyDescent="0.25">
      <c r="A146" s="93" t="str">
        <f>RIGHT(D146:D276,4)</f>
        <v>6495</v>
      </c>
      <c r="B146" s="29" t="s">
        <v>159</v>
      </c>
      <c r="C146" s="32" t="s">
        <v>27</v>
      </c>
      <c r="D146" s="80">
        <v>1001092436495</v>
      </c>
      <c r="E146" s="24"/>
      <c r="F146" s="23">
        <v>0.3</v>
      </c>
      <c r="G146" s="23">
        <f>F146*E146</f>
        <v>0</v>
      </c>
      <c r="H146" s="14"/>
      <c r="I146" s="14"/>
      <c r="J146" s="39"/>
    </row>
    <row r="147" spans="1:10" ht="16.5" customHeight="1" x14ac:dyDescent="0.25">
      <c r="A147" s="93" t="str">
        <f>RIGHT(D147:D277,4)</f>
        <v>7235</v>
      </c>
      <c r="B147" s="29" t="s">
        <v>160</v>
      </c>
      <c r="C147" s="32" t="s">
        <v>27</v>
      </c>
      <c r="D147" s="80">
        <v>1001095227235</v>
      </c>
      <c r="E147" s="24"/>
      <c r="F147" s="23">
        <v>0.35</v>
      </c>
      <c r="G147" s="23">
        <f>F147*E147</f>
        <v>0</v>
      </c>
      <c r="H147" s="14"/>
      <c r="I147" s="14"/>
      <c r="J147" s="39"/>
    </row>
    <row r="148" spans="1:10" ht="16.5" customHeight="1" x14ac:dyDescent="0.25">
      <c r="A148" s="93" t="str">
        <f>RIGHT(D148:D278,4)</f>
        <v>6411</v>
      </c>
      <c r="B148" s="29" t="s">
        <v>161</v>
      </c>
      <c r="C148" s="32" t="s">
        <v>27</v>
      </c>
      <c r="D148" s="80">
        <v>1001093316411</v>
      </c>
      <c r="E148" s="24"/>
      <c r="F148" s="23">
        <v>0.3</v>
      </c>
      <c r="G148" s="23">
        <f>F148*E148</f>
        <v>0</v>
      </c>
      <c r="H148" s="14"/>
      <c r="I148" s="14"/>
      <c r="J148" s="39"/>
    </row>
    <row r="149" spans="1:10" ht="16.5" customHeight="1" x14ac:dyDescent="0.25">
      <c r="A149" s="93" t="str">
        <f>RIGHT(D149:D276,4)</f>
        <v>6866</v>
      </c>
      <c r="B149" s="29" t="s">
        <v>162</v>
      </c>
      <c r="C149" s="32" t="s">
        <v>23</v>
      </c>
      <c r="D149" s="80">
        <v>1001095716866</v>
      </c>
      <c r="E149" s="24"/>
      <c r="F149" s="23"/>
      <c r="G149" s="23">
        <f>E149*1</f>
        <v>0</v>
      </c>
      <c r="H149" s="14"/>
      <c r="I149" s="14"/>
      <c r="J149" s="39"/>
    </row>
    <row r="150" spans="1:10" ht="16.5" customHeight="1" x14ac:dyDescent="0.25">
      <c r="A150" s="93" t="str">
        <f>RIGHT(D150:D273,4)</f>
        <v>3215</v>
      </c>
      <c r="B150" s="27" t="s">
        <v>163</v>
      </c>
      <c r="C150" s="37" t="s">
        <v>27</v>
      </c>
      <c r="D150" s="51">
        <v>1001094053215</v>
      </c>
      <c r="E150" s="24"/>
      <c r="F150" s="23">
        <v>0.4</v>
      </c>
      <c r="G150" s="23">
        <f>E150*0.4</f>
        <v>0</v>
      </c>
      <c r="H150" s="14">
        <v>3.2</v>
      </c>
      <c r="I150" s="14">
        <v>60</v>
      </c>
      <c r="J150" s="39"/>
    </row>
    <row r="151" spans="1:10" ht="16.5" customHeight="1" thickBot="1" x14ac:dyDescent="0.3">
      <c r="A151" s="93" t="str">
        <f>RIGHT(D151:D274,4)</f>
        <v>7245</v>
      </c>
      <c r="B151" s="27" t="s">
        <v>164</v>
      </c>
      <c r="C151" s="37" t="s">
        <v>27</v>
      </c>
      <c r="D151" s="51">
        <v>1001092687245</v>
      </c>
      <c r="E151" s="24"/>
      <c r="F151" s="23">
        <v>0.4</v>
      </c>
      <c r="G151" s="23">
        <f>E151*0.4</f>
        <v>0</v>
      </c>
      <c r="H151" s="14"/>
      <c r="I151" s="14"/>
      <c r="J151" s="39"/>
    </row>
    <row r="152" spans="1:10" ht="16.5" customHeight="1" thickTop="1" thickBot="1" x14ac:dyDescent="0.3">
      <c r="A152" s="93" t="str">
        <f>RIGHT(D152:D276,4)</f>
        <v/>
      </c>
      <c r="B152" s="74" t="s">
        <v>165</v>
      </c>
      <c r="C152" s="74"/>
      <c r="D152" s="74"/>
      <c r="E152" s="74"/>
      <c r="F152" s="73"/>
      <c r="G152" s="74"/>
      <c r="H152" s="74"/>
      <c r="I152" s="74"/>
      <c r="J152" s="75"/>
    </row>
    <row r="153" spans="1:10" ht="16.5" customHeight="1" thickTop="1" x14ac:dyDescent="0.25">
      <c r="A153" s="93" t="str">
        <f>RIGHT(D153:D279,4)</f>
        <v>7090</v>
      </c>
      <c r="B153" s="47" t="s">
        <v>166</v>
      </c>
      <c r="C153" s="35" t="s">
        <v>27</v>
      </c>
      <c r="D153" s="28">
        <v>1001084217090</v>
      </c>
      <c r="E153" s="24"/>
      <c r="F153" s="23">
        <v>0.3</v>
      </c>
      <c r="G153" s="23">
        <f>E153*F153</f>
        <v>0</v>
      </c>
      <c r="H153" s="14"/>
      <c r="I153" s="14">
        <v>50</v>
      </c>
      <c r="J153" s="39"/>
    </row>
    <row r="154" spans="1:10" ht="16.5" customHeight="1" x14ac:dyDescent="0.25">
      <c r="A154" s="93" t="str">
        <f>RIGHT(D154:D280,4)</f>
        <v>4691</v>
      </c>
      <c r="B154" s="47" t="s">
        <v>167</v>
      </c>
      <c r="C154" s="35" t="s">
        <v>27</v>
      </c>
      <c r="D154" s="28">
        <v>1001083424691</v>
      </c>
      <c r="E154" s="24"/>
      <c r="F154" s="23">
        <v>0.3</v>
      </c>
      <c r="G154" s="23">
        <f t="shared" ref="G154:G160" si="5">F154*E154</f>
        <v>0</v>
      </c>
      <c r="H154" s="14"/>
      <c r="I154" s="14"/>
      <c r="J154" s="92"/>
    </row>
    <row r="155" spans="1:10" ht="16.5" customHeight="1" x14ac:dyDescent="0.25">
      <c r="A155" s="93" t="str">
        <f>RIGHT(D155:D281,4)</f>
        <v>7187</v>
      </c>
      <c r="B155" s="47" t="s">
        <v>168</v>
      </c>
      <c r="C155" s="35" t="s">
        <v>27</v>
      </c>
      <c r="D155" s="28">
        <v>1001085637187</v>
      </c>
      <c r="E155" s="24"/>
      <c r="F155" s="23">
        <v>0.3</v>
      </c>
      <c r="G155" s="23">
        <f t="shared" si="5"/>
        <v>0</v>
      </c>
      <c r="H155" s="14"/>
      <c r="I155" s="14"/>
      <c r="J155" s="92"/>
    </row>
    <row r="156" spans="1:10" ht="16.5" customHeight="1" x14ac:dyDescent="0.25">
      <c r="A156" s="93" t="str">
        <f>RIGHT(D156:D282,4)</f>
        <v>6201</v>
      </c>
      <c r="B156" s="47" t="s">
        <v>169</v>
      </c>
      <c r="C156" s="35" t="s">
        <v>27</v>
      </c>
      <c r="D156" s="28">
        <v>1001225636201</v>
      </c>
      <c r="E156" s="24"/>
      <c r="F156" s="23">
        <v>0.15</v>
      </c>
      <c r="G156" s="23">
        <f t="shared" si="5"/>
        <v>0</v>
      </c>
      <c r="H156" s="14"/>
      <c r="I156" s="14"/>
      <c r="J156" s="92"/>
    </row>
    <row r="157" spans="1:10" ht="16.5" customHeight="1" x14ac:dyDescent="0.25">
      <c r="A157" s="93" t="str">
        <f>RIGHT(D157:D282,4)</f>
        <v>6842</v>
      </c>
      <c r="B157" s="47" t="s">
        <v>170</v>
      </c>
      <c r="C157" s="35" t="s">
        <v>27</v>
      </c>
      <c r="D157" s="28">
        <v>1001080216842</v>
      </c>
      <c r="E157" s="24"/>
      <c r="F157" s="23">
        <v>0.3</v>
      </c>
      <c r="G157" s="23">
        <f t="shared" si="5"/>
        <v>0</v>
      </c>
      <c r="H157" s="14"/>
      <c r="I157" s="14"/>
      <c r="J157" s="92"/>
    </row>
    <row r="158" spans="1:10" ht="16.5" customHeight="1" x14ac:dyDescent="0.25">
      <c r="A158" s="93" t="str">
        <f>RIGHT(D158:D282,4)</f>
        <v>6492</v>
      </c>
      <c r="B158" s="47" t="s">
        <v>171</v>
      </c>
      <c r="C158" s="35" t="s">
        <v>27</v>
      </c>
      <c r="D158" s="28">
        <v>1001084226492</v>
      </c>
      <c r="E158" s="24"/>
      <c r="F158" s="23">
        <v>0.3</v>
      </c>
      <c r="G158" s="23">
        <f t="shared" si="5"/>
        <v>0</v>
      </c>
      <c r="H158" s="14"/>
      <c r="I158" s="14"/>
      <c r="J158" s="92"/>
    </row>
    <row r="159" spans="1:10" ht="16.5" customHeight="1" x14ac:dyDescent="0.25">
      <c r="A159" s="93" t="str">
        <f>RIGHT(D159:D280,4)</f>
        <v>6279</v>
      </c>
      <c r="B159" s="47" t="s">
        <v>172</v>
      </c>
      <c r="C159" s="35" t="s">
        <v>27</v>
      </c>
      <c r="D159" s="28">
        <v>1001220286279</v>
      </c>
      <c r="E159" s="24"/>
      <c r="F159" s="23">
        <v>0.15</v>
      </c>
      <c r="G159" s="23">
        <f t="shared" si="5"/>
        <v>0</v>
      </c>
      <c r="H159" s="14"/>
      <c r="I159" s="14"/>
      <c r="J159" s="92"/>
    </row>
    <row r="160" spans="1:10" ht="16.5" customHeight="1" x14ac:dyDescent="0.25">
      <c r="A160" s="93" t="str">
        <f>RIGHT(D160:D281,4)</f>
        <v>4786</v>
      </c>
      <c r="B160" s="47" t="s">
        <v>173</v>
      </c>
      <c r="C160" s="35" t="s">
        <v>27</v>
      </c>
      <c r="D160" s="28">
        <v>1001053944786</v>
      </c>
      <c r="E160" s="24"/>
      <c r="F160" s="23">
        <v>7.0000000000000007E-2</v>
      </c>
      <c r="G160" s="23">
        <f t="shared" si="5"/>
        <v>0</v>
      </c>
      <c r="H160" s="14"/>
      <c r="I160" s="14"/>
      <c r="J160" s="92"/>
    </row>
    <row r="161" spans="1:11" ht="16.5" customHeight="1" x14ac:dyDescent="0.25">
      <c r="A161" s="93" t="str">
        <f>RIGHT(D161:D282,4)</f>
        <v>7052</v>
      </c>
      <c r="B161" s="47" t="s">
        <v>174</v>
      </c>
      <c r="C161" s="35" t="s">
        <v>23</v>
      </c>
      <c r="D161" s="28">
        <v>1001204447052</v>
      </c>
      <c r="E161" s="24"/>
      <c r="F161" s="23">
        <v>1</v>
      </c>
      <c r="G161" s="23">
        <f>E161</f>
        <v>0</v>
      </c>
      <c r="H161" s="14"/>
      <c r="I161" s="14"/>
      <c r="J161" s="92"/>
    </row>
    <row r="162" spans="1:11" ht="16.5" customHeight="1" x14ac:dyDescent="0.25">
      <c r="A162" s="93" t="str">
        <f>RIGHT(D162:D282,4)</f>
        <v>7053</v>
      </c>
      <c r="B162" s="47" t="s">
        <v>175</v>
      </c>
      <c r="C162" s="35" t="s">
        <v>23</v>
      </c>
      <c r="D162" s="28">
        <v>1001223297053</v>
      </c>
      <c r="E162" s="24"/>
      <c r="F162" s="23">
        <v>1</v>
      </c>
      <c r="G162" s="23">
        <f>E162</f>
        <v>0</v>
      </c>
      <c r="H162" s="14"/>
      <c r="I162" s="14"/>
      <c r="J162" s="92"/>
    </row>
    <row r="163" spans="1:11" ht="16.5" customHeight="1" x14ac:dyDescent="0.25">
      <c r="A163" s="93" t="str">
        <f>RIGHT(D163:D282,4)</f>
        <v>7092</v>
      </c>
      <c r="B163" s="27" t="s">
        <v>176</v>
      </c>
      <c r="C163" s="33" t="s">
        <v>27</v>
      </c>
      <c r="D163" s="28">
        <v>1001223297092</v>
      </c>
      <c r="E163" s="24"/>
      <c r="F163" s="23">
        <v>0.14000000000000001</v>
      </c>
      <c r="G163" s="23">
        <f>F163*E163</f>
        <v>0</v>
      </c>
      <c r="H163" s="14"/>
      <c r="I163" s="14"/>
      <c r="J163" s="39"/>
    </row>
    <row r="164" spans="1:11" ht="16.5" customHeight="1" x14ac:dyDescent="0.25">
      <c r="A164" s="93" t="str">
        <f>RIGHT(D164:D283,4)</f>
        <v>7103</v>
      </c>
      <c r="B164" s="27" t="s">
        <v>177</v>
      </c>
      <c r="C164" s="33" t="s">
        <v>27</v>
      </c>
      <c r="D164" s="28">
        <v>1001223297103</v>
      </c>
      <c r="E164" s="24"/>
      <c r="F164" s="23">
        <v>0.18</v>
      </c>
      <c r="G164" s="23">
        <f>F164*E164</f>
        <v>0</v>
      </c>
      <c r="H164" s="14"/>
      <c r="I164" s="14"/>
      <c r="J164" s="92"/>
    </row>
    <row r="165" spans="1:11" ht="16.5" customHeight="1" thickBot="1" x14ac:dyDescent="0.3">
      <c r="A165" s="93" t="str">
        <f>RIGHT(D165:D280,4)</f>
        <v>6919</v>
      </c>
      <c r="B165" s="47" t="s">
        <v>178</v>
      </c>
      <c r="C165" s="35" t="s">
        <v>27</v>
      </c>
      <c r="D165" s="28">
        <v>1001223296919</v>
      </c>
      <c r="E165" s="24"/>
      <c r="F165" s="23"/>
      <c r="G165" s="23">
        <f>E165*0.18</f>
        <v>0</v>
      </c>
      <c r="H165" s="14"/>
      <c r="I165" s="14"/>
      <c r="J165" s="92"/>
    </row>
    <row r="166" spans="1:11" ht="16.5" customHeight="1" thickTop="1" thickBot="1" x14ac:dyDescent="0.3">
      <c r="A166" s="93" t="str">
        <f>RIGHT(D166:D281,4)</f>
        <v/>
      </c>
      <c r="B166" s="74" t="s">
        <v>179</v>
      </c>
      <c r="C166" s="74"/>
      <c r="D166" s="74"/>
      <c r="E166" s="74"/>
      <c r="F166" s="73"/>
      <c r="G166" s="74"/>
      <c r="H166" s="74"/>
      <c r="I166" s="74"/>
      <c r="J166" s="75"/>
    </row>
    <row r="167" spans="1:11" ht="16.5" customHeight="1" thickTop="1" thickBot="1" x14ac:dyDescent="0.3">
      <c r="A167" s="93" t="str">
        <f>RIGHT(D167:D284,4)</f>
        <v/>
      </c>
      <c r="B167" s="74" t="s">
        <v>180</v>
      </c>
      <c r="C167" s="74"/>
      <c r="D167" s="74"/>
      <c r="E167" s="74"/>
      <c r="F167" s="73"/>
      <c r="G167" s="74"/>
      <c r="H167" s="74"/>
      <c r="I167" s="74"/>
      <c r="J167" s="75"/>
    </row>
    <row r="168" spans="1:11" ht="16.5" customHeight="1" thickTop="1" x14ac:dyDescent="0.25">
      <c r="A168" s="93" t="str">
        <f>RIGHT(D168:D285,4)</f>
        <v>6314</v>
      </c>
      <c r="B168" s="47" t="s">
        <v>181</v>
      </c>
      <c r="C168" s="33" t="s">
        <v>27</v>
      </c>
      <c r="D168" s="28">
        <v>1002112606314</v>
      </c>
      <c r="E168" s="24"/>
      <c r="F168" s="23">
        <v>0.5</v>
      </c>
      <c r="G168" s="23">
        <f>E168*0.5</f>
        <v>0</v>
      </c>
      <c r="H168" s="14">
        <v>8</v>
      </c>
      <c r="I168" s="72">
        <v>120</v>
      </c>
      <c r="J168" s="39"/>
    </row>
    <row r="169" spans="1:11" ht="16.5" customHeight="1" x14ac:dyDescent="0.25">
      <c r="A169" s="93" t="str">
        <f>RIGHT(D169:D286,4)</f>
        <v>6155</v>
      </c>
      <c r="B169" s="47" t="s">
        <v>182</v>
      </c>
      <c r="C169" s="33" t="s">
        <v>27</v>
      </c>
      <c r="D169" s="28">
        <v>1002115036155</v>
      </c>
      <c r="E169" s="24"/>
      <c r="F169" s="23"/>
      <c r="G169" s="23">
        <f>E169*0.45</f>
        <v>0</v>
      </c>
      <c r="H169" s="14"/>
      <c r="I169" s="72"/>
      <c r="J169" s="39"/>
    </row>
    <row r="170" spans="1:11" ht="16.5" customHeight="1" x14ac:dyDescent="0.25">
      <c r="A170" s="93" t="str">
        <f>RIGHT(D170:D287,4)</f>
        <v>6157</v>
      </c>
      <c r="B170" s="47" t="s">
        <v>183</v>
      </c>
      <c r="C170" s="33" t="s">
        <v>27</v>
      </c>
      <c r="D170" s="28">
        <v>1002115056157</v>
      </c>
      <c r="E170" s="24"/>
      <c r="F170" s="23"/>
      <c r="G170" s="23">
        <f>E170*0.45</f>
        <v>0</v>
      </c>
      <c r="H170" s="14"/>
      <c r="I170" s="72"/>
      <c r="J170" s="39"/>
    </row>
    <row r="171" spans="1:11" ht="16.5" customHeight="1" thickBot="1" x14ac:dyDescent="0.3">
      <c r="A171" s="93" t="str">
        <f t="shared" ref="A171:A182" si="6">RIGHT(D171:D286,4)</f>
        <v>6313</v>
      </c>
      <c r="B171" s="47" t="s">
        <v>184</v>
      </c>
      <c r="C171" s="36" t="s">
        <v>27</v>
      </c>
      <c r="D171" s="28">
        <v>1002112606313</v>
      </c>
      <c r="E171" s="24"/>
      <c r="F171" s="23">
        <v>0.9</v>
      </c>
      <c r="G171" s="23">
        <f>E171*0.9</f>
        <v>0</v>
      </c>
      <c r="H171" s="14">
        <v>9</v>
      </c>
      <c r="I171" s="72">
        <v>120</v>
      </c>
      <c r="J171" s="39"/>
    </row>
    <row r="172" spans="1:11" ht="16.5" customHeight="1" thickTop="1" thickBot="1" x14ac:dyDescent="0.3">
      <c r="A172" s="93" t="str">
        <f t="shared" si="6"/>
        <v/>
      </c>
      <c r="B172" s="74" t="s">
        <v>185</v>
      </c>
      <c r="C172" s="74"/>
      <c r="D172" s="74"/>
      <c r="E172" s="74"/>
      <c r="F172" s="73"/>
      <c r="G172" s="74"/>
      <c r="H172" s="74"/>
      <c r="I172" s="74"/>
      <c r="J172" s="75"/>
    </row>
    <row r="173" spans="1:11" ht="16.5" customHeight="1" thickTop="1" thickBot="1" x14ac:dyDescent="0.3">
      <c r="A173" s="93" t="str">
        <f t="shared" si="6"/>
        <v>4945</v>
      </c>
      <c r="B173" s="47" t="s">
        <v>186</v>
      </c>
      <c r="C173" s="36" t="s">
        <v>27</v>
      </c>
      <c r="D173" s="28">
        <v>1002151784945</v>
      </c>
      <c r="E173" s="24"/>
      <c r="F173" s="23">
        <v>0.5</v>
      </c>
      <c r="G173" s="23">
        <f>E173*0.5</f>
        <v>0</v>
      </c>
      <c r="H173" s="14">
        <v>8</v>
      </c>
      <c r="I173" s="72">
        <v>120</v>
      </c>
      <c r="J173" s="39"/>
    </row>
    <row r="174" spans="1:11" ht="16.5" customHeight="1" thickTop="1" thickBot="1" x14ac:dyDescent="0.3">
      <c r="A174" s="93" t="str">
        <f t="shared" si="6"/>
        <v/>
      </c>
      <c r="B174" s="74" t="s">
        <v>187</v>
      </c>
      <c r="C174" s="74"/>
      <c r="D174" s="74"/>
      <c r="E174" s="74"/>
      <c r="F174" s="73"/>
      <c r="G174" s="74"/>
      <c r="H174" s="74"/>
      <c r="I174" s="74"/>
      <c r="J174" s="75"/>
    </row>
    <row r="175" spans="1:11" s="88" customFormat="1" ht="16.5" customHeight="1" thickTop="1" thickBot="1" x14ac:dyDescent="0.3">
      <c r="A175" s="93" t="str">
        <f t="shared" si="6"/>
        <v>4956</v>
      </c>
      <c r="B175" s="89" t="s">
        <v>188</v>
      </c>
      <c r="C175" s="90" t="s">
        <v>27</v>
      </c>
      <c r="D175" s="83">
        <v>1002133974956</v>
      </c>
      <c r="E175" s="84"/>
      <c r="F175" s="85">
        <v>0.42</v>
      </c>
      <c r="G175" s="85">
        <f>E175*0.42</f>
        <v>0</v>
      </c>
      <c r="H175" s="86">
        <v>4.2</v>
      </c>
      <c r="I175" s="91">
        <v>120</v>
      </c>
      <c r="J175" s="86"/>
      <c r="K175" s="87"/>
    </row>
    <row r="176" spans="1:11" ht="16.5" customHeight="1" thickTop="1" x14ac:dyDescent="0.25">
      <c r="A176" s="93" t="str">
        <f t="shared" si="6"/>
        <v>1762</v>
      </c>
      <c r="B176" s="47" t="s">
        <v>189</v>
      </c>
      <c r="C176" s="33" t="s">
        <v>27</v>
      </c>
      <c r="D176" s="28">
        <v>1002131151762</v>
      </c>
      <c r="E176" s="24"/>
      <c r="F176" s="23">
        <v>0.42</v>
      </c>
      <c r="G176" s="23">
        <f>E176*0.42</f>
        <v>0</v>
      </c>
      <c r="H176" s="14">
        <v>4.2</v>
      </c>
      <c r="I176" s="72">
        <v>120</v>
      </c>
      <c r="J176" s="39"/>
    </row>
    <row r="177" spans="1:10" ht="16.5" customHeight="1" thickBot="1" x14ac:dyDescent="0.3">
      <c r="A177" s="93" t="str">
        <f t="shared" si="6"/>
        <v>1764</v>
      </c>
      <c r="B177" s="47" t="s">
        <v>190</v>
      </c>
      <c r="C177" s="36" t="s">
        <v>27</v>
      </c>
      <c r="D177" s="28">
        <v>1002131181764</v>
      </c>
      <c r="E177" s="24"/>
      <c r="F177" s="23">
        <v>0.42</v>
      </c>
      <c r="G177" s="23">
        <f>E177*0.42</f>
        <v>0</v>
      </c>
      <c r="H177" s="14">
        <v>4.2</v>
      </c>
      <c r="I177" s="72">
        <v>120</v>
      </c>
      <c r="J177" s="39"/>
    </row>
    <row r="178" spans="1:10" ht="16.5" customHeight="1" thickTop="1" thickBot="1" x14ac:dyDescent="0.3">
      <c r="A178" s="93" t="str">
        <f t="shared" si="6"/>
        <v/>
      </c>
      <c r="B178" s="74" t="s">
        <v>191</v>
      </c>
      <c r="C178" s="74"/>
      <c r="D178" s="74"/>
      <c r="E178" s="74"/>
      <c r="F178" s="73"/>
      <c r="G178" s="74"/>
      <c r="H178" s="74"/>
      <c r="I178" s="74"/>
      <c r="J178" s="75"/>
    </row>
    <row r="179" spans="1:10" ht="16.5" customHeight="1" thickTop="1" thickBot="1" x14ac:dyDescent="0.3">
      <c r="A179" s="93" t="str">
        <f t="shared" si="6"/>
        <v/>
      </c>
      <c r="B179" s="74" t="s">
        <v>192</v>
      </c>
      <c r="C179" s="74"/>
      <c r="D179" s="74"/>
      <c r="E179" s="74"/>
      <c r="F179" s="73"/>
      <c r="G179" s="74"/>
      <c r="H179" s="74"/>
      <c r="I179" s="74"/>
      <c r="J179" s="75"/>
    </row>
    <row r="180" spans="1:10" ht="16.5" customHeight="1" thickTop="1" thickBot="1" x14ac:dyDescent="0.3">
      <c r="A180" s="93" t="str">
        <f t="shared" si="6"/>
        <v>6004</v>
      </c>
      <c r="B180" s="47" t="s">
        <v>193</v>
      </c>
      <c r="C180" s="36" t="s">
        <v>27</v>
      </c>
      <c r="D180" s="68" t="s">
        <v>194</v>
      </c>
      <c r="E180" s="24"/>
      <c r="F180" s="23">
        <v>1</v>
      </c>
      <c r="G180" s="23">
        <f>E180*1</f>
        <v>0</v>
      </c>
      <c r="H180" s="14">
        <v>8</v>
      </c>
      <c r="I180" s="72">
        <v>120</v>
      </c>
      <c r="J180" s="39"/>
    </row>
    <row r="181" spans="1:10" ht="15.75" customHeight="1" thickTop="1" x14ac:dyDescent="0.25">
      <c r="A181" s="93" t="str">
        <f t="shared" si="6"/>
        <v>5417</v>
      </c>
      <c r="B181" s="47" t="s">
        <v>195</v>
      </c>
      <c r="C181" s="30" t="s">
        <v>23</v>
      </c>
      <c r="D181" s="68" t="s">
        <v>196</v>
      </c>
      <c r="E181" s="24"/>
      <c r="F181" s="23">
        <v>2</v>
      </c>
      <c r="G181" s="23">
        <f>E181*1</f>
        <v>0</v>
      </c>
      <c r="H181" s="14">
        <v>6</v>
      </c>
      <c r="I181" s="72">
        <v>90</v>
      </c>
      <c r="J181" s="39"/>
    </row>
    <row r="182" spans="1:10" ht="15.75" customHeight="1" thickBot="1" x14ac:dyDescent="0.3">
      <c r="A182" s="93" t="str">
        <f t="shared" si="6"/>
        <v>6019</v>
      </c>
      <c r="B182" s="47" t="s">
        <v>197</v>
      </c>
      <c r="C182" s="36" t="s">
        <v>27</v>
      </c>
      <c r="D182" s="69" t="s">
        <v>198</v>
      </c>
      <c r="E182" s="24"/>
      <c r="F182" s="23">
        <v>1</v>
      </c>
      <c r="G182" s="23">
        <f>E182*1</f>
        <v>0</v>
      </c>
      <c r="H182" s="14">
        <v>12</v>
      </c>
      <c r="I182" s="72">
        <v>120</v>
      </c>
      <c r="J182" s="39"/>
    </row>
    <row r="183" spans="1:10" ht="16.5" customHeight="1" thickTop="1" thickBot="1" x14ac:dyDescent="0.3">
      <c r="A183" s="77"/>
      <c r="B183" s="77" t="s">
        <v>199</v>
      </c>
      <c r="C183" s="16"/>
      <c r="D183" s="48"/>
      <c r="E183" s="17">
        <f>SUM(E5:E182)</f>
        <v>0</v>
      </c>
      <c r="F183" s="17">
        <f>SUM(F10:F182)</f>
        <v>46.96333333333331</v>
      </c>
      <c r="G183" s="17">
        <f>SUM(G11:G182)</f>
        <v>0</v>
      </c>
      <c r="H183" s="17">
        <f>SUM(H10:H179)</f>
        <v>128.91</v>
      </c>
      <c r="I183" s="17"/>
      <c r="J183" s="17"/>
    </row>
    <row r="184" spans="1:10" ht="15.75" customHeight="1" thickTop="1" x14ac:dyDescent="0.25">
      <c r="B184" s="53"/>
      <c r="C184" s="18"/>
      <c r="D184" s="52"/>
      <c r="F184" s="19"/>
      <c r="G184" s="19"/>
      <c r="H184" s="20"/>
      <c r="I184" s="20"/>
      <c r="J184" s="21"/>
    </row>
    <row r="185" spans="1:10" x14ac:dyDescent="0.25">
      <c r="B185" s="53"/>
      <c r="C185" s="18"/>
      <c r="D185" s="52"/>
      <c r="F185" s="19"/>
      <c r="G185" s="19"/>
      <c r="H185" s="20"/>
      <c r="I185" s="20"/>
      <c r="J185" s="21"/>
    </row>
    <row r="186" spans="1:10" x14ac:dyDescent="0.25">
      <c r="B186" s="53"/>
      <c r="C186" s="18"/>
      <c r="D186" s="52"/>
      <c r="F186" s="19"/>
      <c r="G186" s="19"/>
      <c r="H186" s="20"/>
      <c r="I186" s="20"/>
      <c r="J186" s="21"/>
    </row>
    <row r="187" spans="1:10" x14ac:dyDescent="0.25">
      <c r="B187" s="53"/>
      <c r="C187" s="18"/>
      <c r="D187" s="52"/>
      <c r="F187" s="19"/>
      <c r="G187" s="19"/>
      <c r="H187" s="20"/>
      <c r="I187" s="20"/>
      <c r="J187" s="21"/>
    </row>
    <row r="188" spans="1:10" x14ac:dyDescent="0.25">
      <c r="B188" s="53"/>
      <c r="C188" s="18"/>
      <c r="D188" s="52"/>
      <c r="F188" s="19"/>
      <c r="G188" s="19"/>
      <c r="H188" s="20"/>
      <c r="I188" s="20"/>
      <c r="J188" s="21"/>
    </row>
    <row r="189" spans="1:10" x14ac:dyDescent="0.25">
      <c r="B189" s="53"/>
      <c r="C189" s="18"/>
      <c r="D189" s="52"/>
      <c r="F189" s="19"/>
      <c r="G189" s="19"/>
      <c r="H189" s="20"/>
      <c r="I189" s="20"/>
      <c r="J189" s="21"/>
    </row>
    <row r="190" spans="1:10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0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0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</sheetData>
  <autoFilter ref="A9:J183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76" xr:uid="{00000000-0002-0000-0000-000000000000}">
      <formula1>40</formula1>
    </dataValidation>
    <dataValidation type="textLength" operator="equal" showInputMessage="1" showErrorMessage="1" sqref="D180:D182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163</v>
      </c>
    </row>
    <row r="2" spans="2:3" x14ac:dyDescent="0.25">
      <c r="B2" s="58" t="s">
        <v>200</v>
      </c>
      <c r="C2" s="81"/>
    </row>
    <row r="3" spans="2:3" x14ac:dyDescent="0.25">
      <c r="B3" s="27" t="s">
        <v>201</v>
      </c>
      <c r="C3" s="63"/>
    </row>
    <row r="4" spans="2:3" x14ac:dyDescent="0.25">
      <c r="B4" s="44" t="s">
        <v>202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153</v>
      </c>
      <c r="C6" s="61"/>
    </row>
    <row r="7" spans="2:3" x14ac:dyDescent="0.25">
      <c r="B7" s="71" t="s">
        <v>203</v>
      </c>
      <c r="C7" s="81"/>
    </row>
    <row r="8" spans="2:3" x14ac:dyDescent="0.25">
      <c r="B8" s="27" t="s">
        <v>37</v>
      </c>
    </row>
    <row r="9" spans="2:3" x14ac:dyDescent="0.25">
      <c r="B9" s="79" t="s">
        <v>204</v>
      </c>
      <c r="C9" s="81"/>
    </row>
    <row r="10" spans="2:3" x14ac:dyDescent="0.25">
      <c r="B10" s="29" t="s">
        <v>205</v>
      </c>
    </row>
    <row r="11" spans="2:3" x14ac:dyDescent="0.25">
      <c r="B11" s="27" t="s">
        <v>42</v>
      </c>
    </row>
    <row r="12" spans="2:3" x14ac:dyDescent="0.25">
      <c r="B12" s="27" t="s">
        <v>141</v>
      </c>
    </row>
    <row r="13" spans="2:3" x14ac:dyDescent="0.25">
      <c r="B13" s="27" t="s">
        <v>206</v>
      </c>
    </row>
    <row r="14" spans="2:3" x14ac:dyDescent="0.25">
      <c r="B14" s="27" t="s">
        <v>207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208</v>
      </c>
    </row>
    <row r="18" spans="2:3" x14ac:dyDescent="0.25">
      <c r="B18" s="27" t="s">
        <v>209</v>
      </c>
      <c r="C18" s="62"/>
    </row>
    <row r="19" spans="2:3" x14ac:dyDescent="0.25">
      <c r="B19" s="58" t="s">
        <v>210</v>
      </c>
      <c r="C19" s="61"/>
    </row>
    <row r="20" spans="2:3" x14ac:dyDescent="0.25">
      <c r="B20" s="70" t="s">
        <v>155</v>
      </c>
    </row>
    <row r="21" spans="2:3" x14ac:dyDescent="0.25">
      <c r="B21" s="58" t="s">
        <v>211</v>
      </c>
      <c r="C21" s="81"/>
    </row>
    <row r="22" spans="2:3" x14ac:dyDescent="0.25">
      <c r="B22" s="67" t="s">
        <v>212</v>
      </c>
      <c r="C22" s="61"/>
    </row>
    <row r="23" spans="2:3" x14ac:dyDescent="0.25">
      <c r="B23" s="27" t="s">
        <v>127</v>
      </c>
    </row>
    <row r="24" spans="2:3" x14ac:dyDescent="0.25">
      <c r="B24" s="27" t="s">
        <v>152</v>
      </c>
    </row>
    <row r="25" spans="2:3" x14ac:dyDescent="0.25">
      <c r="B25" s="27" t="s">
        <v>130</v>
      </c>
    </row>
    <row r="26" spans="2:3" x14ac:dyDescent="0.25">
      <c r="B26" s="27" t="s">
        <v>134</v>
      </c>
    </row>
    <row r="27" spans="2:3" x14ac:dyDescent="0.25">
      <c r="B27" s="70" t="s">
        <v>213</v>
      </c>
    </row>
    <row r="28" spans="2:3" x14ac:dyDescent="0.25">
      <c r="B28" s="78" t="s">
        <v>77</v>
      </c>
      <c r="C28" s="61"/>
    </row>
    <row r="29" spans="2:3" x14ac:dyDescent="0.25">
      <c r="B29" s="45" t="s">
        <v>214</v>
      </c>
    </row>
    <row r="30" spans="2:3" x14ac:dyDescent="0.25">
      <c r="B30" s="70" t="s">
        <v>49</v>
      </c>
    </row>
    <row r="31" spans="2:3" x14ac:dyDescent="0.25">
      <c r="B31" s="66" t="s">
        <v>215</v>
      </c>
      <c r="C31" s="61"/>
    </row>
    <row r="32" spans="2:3" x14ac:dyDescent="0.25">
      <c r="B32" s="79" t="s">
        <v>216</v>
      </c>
      <c r="C32" s="81"/>
    </row>
    <row r="33" spans="2:3" x14ac:dyDescent="0.25">
      <c r="B33" s="79" t="s">
        <v>217</v>
      </c>
      <c r="C33" s="61"/>
    </row>
    <row r="34" spans="2:3" x14ac:dyDescent="0.25">
      <c r="B34" s="66" t="s">
        <v>218</v>
      </c>
      <c r="C34" s="61"/>
    </row>
    <row r="35" spans="2:3" x14ac:dyDescent="0.25">
      <c r="B35" s="27" t="s">
        <v>219</v>
      </c>
    </row>
    <row r="36" spans="2:3" x14ac:dyDescent="0.25">
      <c r="B36" s="27" t="s">
        <v>220</v>
      </c>
    </row>
    <row r="37" spans="2:3" x14ac:dyDescent="0.25">
      <c r="B37" s="79" t="s">
        <v>172</v>
      </c>
      <c r="C37" s="81"/>
    </row>
    <row r="38" spans="2:3" x14ac:dyDescent="0.25">
      <c r="B38" s="66" t="s">
        <v>221</v>
      </c>
      <c r="C38" s="61"/>
    </row>
    <row r="39" spans="2:3" x14ac:dyDescent="0.25">
      <c r="B39" s="27" t="s">
        <v>222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223</v>
      </c>
    </row>
    <row r="45" spans="2:3" x14ac:dyDescent="0.25">
      <c r="B45" s="27" t="s">
        <v>224</v>
      </c>
    </row>
    <row r="46" spans="2:3" x14ac:dyDescent="0.25">
      <c r="B46" s="66" t="s">
        <v>225</v>
      </c>
      <c r="C46" s="61"/>
    </row>
    <row r="47" spans="2:3" x14ac:dyDescent="0.25">
      <c r="B47" s="27" t="s">
        <v>226</v>
      </c>
    </row>
    <row r="48" spans="2:3" x14ac:dyDescent="0.25">
      <c r="B48" s="66" t="s">
        <v>227</v>
      </c>
      <c r="C48" s="61"/>
    </row>
    <row r="49" spans="2:3" x14ac:dyDescent="0.25">
      <c r="B49" s="66" t="s">
        <v>228</v>
      </c>
      <c r="C49" s="61"/>
    </row>
    <row r="50" spans="2:3" x14ac:dyDescent="0.25">
      <c r="B50" s="66" t="s">
        <v>229</v>
      </c>
      <c r="C50" s="61"/>
    </row>
    <row r="51" spans="2:3" x14ac:dyDescent="0.25">
      <c r="B51" s="27" t="s">
        <v>92</v>
      </c>
      <c r="C51" s="61"/>
    </row>
    <row r="52" spans="2:3" x14ac:dyDescent="0.25">
      <c r="B52" s="79" t="s">
        <v>230</v>
      </c>
      <c r="C52" s="61"/>
    </row>
    <row r="53" spans="2:3" x14ac:dyDescent="0.25">
      <c r="B53" s="79" t="s">
        <v>231</v>
      </c>
      <c r="C53" s="61"/>
    </row>
    <row r="54" spans="2:3" x14ac:dyDescent="0.25">
      <c r="B54" s="79" t="s">
        <v>138</v>
      </c>
      <c r="C54" s="61"/>
    </row>
    <row r="55" spans="2:3" x14ac:dyDescent="0.25">
      <c r="B55" s="79" t="s">
        <v>232</v>
      </c>
      <c r="C55" s="81"/>
    </row>
    <row r="56" spans="2:3" x14ac:dyDescent="0.25">
      <c r="B56" s="70" t="s">
        <v>156</v>
      </c>
    </row>
    <row r="57" spans="2:3" x14ac:dyDescent="0.25">
      <c r="B57" s="27" t="s">
        <v>131</v>
      </c>
    </row>
    <row r="58" spans="2:3" x14ac:dyDescent="0.25">
      <c r="B58" s="79" t="s">
        <v>233</v>
      </c>
      <c r="C58" s="61"/>
    </row>
    <row r="59" spans="2:3" x14ac:dyDescent="0.25">
      <c r="B59" s="79" t="s">
        <v>234</v>
      </c>
      <c r="C59" s="61"/>
    </row>
    <row r="60" spans="2:3" x14ac:dyDescent="0.25">
      <c r="B60" s="79" t="s">
        <v>235</v>
      </c>
      <c r="C60" s="81"/>
    </row>
    <row r="61" spans="2:3" x14ac:dyDescent="0.25">
      <c r="B61" s="27" t="s">
        <v>128</v>
      </c>
    </row>
    <row r="62" spans="2:3" x14ac:dyDescent="0.25">
      <c r="B62" s="66" t="s">
        <v>236</v>
      </c>
      <c r="C62" s="61"/>
    </row>
    <row r="63" spans="2:3" x14ac:dyDescent="0.25">
      <c r="B63" s="79" t="s">
        <v>237</v>
      </c>
      <c r="C63" s="81"/>
    </row>
    <row r="64" spans="2:3" x14ac:dyDescent="0.25">
      <c r="B64" s="55" t="s">
        <v>99</v>
      </c>
    </row>
    <row r="65" spans="2:3" x14ac:dyDescent="0.25">
      <c r="B65" s="55" t="s">
        <v>238</v>
      </c>
      <c r="C65" s="61"/>
    </row>
    <row r="66" spans="2:3" x14ac:dyDescent="0.25">
      <c r="B66" s="55" t="s">
        <v>239</v>
      </c>
      <c r="C66" s="61"/>
    </row>
    <row r="67" spans="2:3" x14ac:dyDescent="0.25">
      <c r="B67" s="79" t="s">
        <v>240</v>
      </c>
      <c r="C67" s="61"/>
    </row>
    <row r="68" spans="2:3" x14ac:dyDescent="0.25">
      <c r="B68" s="79" t="s">
        <v>241</v>
      </c>
      <c r="C68" s="61"/>
    </row>
    <row r="69" spans="2:3" x14ac:dyDescent="0.25">
      <c r="B69" s="79" t="s">
        <v>242</v>
      </c>
      <c r="C69" s="61"/>
    </row>
    <row r="70" spans="2:3" x14ac:dyDescent="0.25">
      <c r="B70" s="79" t="s">
        <v>243</v>
      </c>
      <c r="C70" s="61"/>
    </row>
    <row r="71" spans="2:3" x14ac:dyDescent="0.25">
      <c r="B71" s="79" t="s">
        <v>244</v>
      </c>
      <c r="C71" s="61"/>
    </row>
    <row r="72" spans="2:3" x14ac:dyDescent="0.25">
      <c r="B72" s="79" t="s">
        <v>245</v>
      </c>
      <c r="C72" s="81"/>
    </row>
    <row r="73" spans="2:3" x14ac:dyDescent="0.25">
      <c r="B73" s="79" t="s">
        <v>246</v>
      </c>
      <c r="C73" s="81"/>
    </row>
    <row r="74" spans="2:3" x14ac:dyDescent="0.25">
      <c r="B74" s="79" t="s">
        <v>247</v>
      </c>
      <c r="C74" s="81"/>
    </row>
    <row r="75" spans="2:3" x14ac:dyDescent="0.25">
      <c r="B75" s="79" t="s">
        <v>248</v>
      </c>
      <c r="C75" s="81"/>
    </row>
    <row r="76" spans="2:3" x14ac:dyDescent="0.25">
      <c r="B76" s="60" t="s">
        <v>249</v>
      </c>
      <c r="C76" s="61"/>
    </row>
    <row r="77" spans="2:3" x14ac:dyDescent="0.25">
      <c r="B77" s="60" t="s">
        <v>250</v>
      </c>
      <c r="C77" s="61"/>
    </row>
    <row r="78" spans="2:3" x14ac:dyDescent="0.25">
      <c r="B78" s="60" t="s">
        <v>251</v>
      </c>
      <c r="C78" s="61"/>
    </row>
    <row r="79" spans="2:3" x14ac:dyDescent="0.25">
      <c r="B79" s="60" t="s">
        <v>252</v>
      </c>
      <c r="C79" s="61"/>
    </row>
    <row r="80" spans="2:3" x14ac:dyDescent="0.25">
      <c r="B80" s="60" t="s">
        <v>253</v>
      </c>
      <c r="C80" s="61"/>
    </row>
    <row r="81" spans="2:4" x14ac:dyDescent="0.25">
      <c r="B81" s="60" t="s">
        <v>254</v>
      </c>
      <c r="C81" s="61"/>
    </row>
    <row r="82" spans="2:4" x14ac:dyDescent="0.25">
      <c r="B82" s="60" t="s">
        <v>255</v>
      </c>
      <c r="C82" s="61"/>
    </row>
    <row r="83" spans="2:4" x14ac:dyDescent="0.25">
      <c r="B83" s="60" t="s">
        <v>256</v>
      </c>
      <c r="C83" s="61"/>
    </row>
    <row r="84" spans="2:4" x14ac:dyDescent="0.25">
      <c r="B84" s="60" t="s">
        <v>257</v>
      </c>
      <c r="C84" s="61"/>
    </row>
    <row r="85" spans="2:4" x14ac:dyDescent="0.25">
      <c r="B85" s="60" t="s">
        <v>258</v>
      </c>
      <c r="C85" s="61"/>
    </row>
    <row r="86" spans="2:4" x14ac:dyDescent="0.25">
      <c r="B86" s="67" t="s">
        <v>259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2025-11-03T12:09:19Z</dcterms:modified>
</cp:coreProperties>
</file>