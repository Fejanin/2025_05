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чистый бланк\"/>
    </mc:Choice>
  </mc:AlternateContent>
  <xr:revisionPtr revIDLastSave="0" documentId="13_ncr:1_{AD5116AA-3D85-4C03-82CE-318A60D9C2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G124" i="1"/>
  <c r="A124" i="1"/>
  <c r="A125" i="1"/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<sst xmlns="http://schemas.openxmlformats.org/spreadsheetml/2006/main" count="447" uniqueCount="262">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</sst>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J193" sqref="J19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45966</v>
      </c>
      <c r="E3" s="7" t="s">
        <v>3</v>
      </c>
      <c r="F3" s="97"/>
      <c r="G3" s="101">
        <v>45969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>RIGHT(D18:D187,4)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>RIGHT(D19:D188,4)</f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>RIGHT(D20:D189,4)</f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>RIGHT(D21:D190,4)</f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>RIGHT(D22:D191,4)</f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>RIGHT(D23:D192,4)</f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>RIGHT(D24:D193,4)</f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>RIGHT(D25:D194,4)</f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>RIGHT(D29:D202,4)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>RIGHT(D30:D203,4)</f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>RIGHT(D31:D204,4)</f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>RIGHT(D32:D205,4)</f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>RIGHT(D33:D206,4)</f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>RIGHT(D34:D207,4)</f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>RIGHT(D35:D208,4)</f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/>
      <c r="F40" s="23">
        <v>0.4</v>
      </c>
      <c r="G40" s="23">
        <f>E40*0.4</f>
        <v>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>RIGHT(D53:D223,4)</f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>RIGHT(D54:D224,4)</f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>RIGHT(D55:D225,4)</f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>RIGHT(D56:D226,4)</f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>RIGHT(D57:D227,4)</f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>RIGHT(D115:D254,4)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>RIGHT(D116:D255,4)</f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>RIGHT(D117:D256,4)</f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>RIGHT(D118:D257,4)</f>
        <v>6454</v>
      </c>
      <c r="B118" s="27" t="s">
        <v>131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>RIGHT(D119:D258,4)</f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>RIGHT(D120:D259,4)</f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 t="shared" ref="A124:A125" si="0">RIGHT(D124:D264,4)</f>
        <v>6832</v>
      </c>
      <c r="B124" s="27" t="s">
        <v>260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 t="shared" si="0"/>
        <v>7299</v>
      </c>
      <c r="B125" s="27" t="s">
        <v>261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137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138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139</v>
      </c>
      <c r="C128" s="33" t="s">
        <v>27</v>
      </c>
      <c r="D128" s="28">
        <v>1001205376221</v>
      </c>
      <c r="E128" s="24"/>
      <c r="F128" s="23">
        <v>0.09</v>
      </c>
      <c r="G128" s="23">
        <f>F128*E128</f>
        <v>0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140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141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142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143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1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144</v>
      </c>
      <c r="C133" s="33" t="s">
        <v>27</v>
      </c>
      <c r="D133" s="28">
        <v>1001205447106</v>
      </c>
      <c r="E133" s="24"/>
      <c r="F133" s="23">
        <v>0.09</v>
      </c>
      <c r="G133" s="23">
        <f t="shared" si="1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145</v>
      </c>
      <c r="C134" s="33" t="s">
        <v>27</v>
      </c>
      <c r="D134" s="28">
        <v>1001205467107</v>
      </c>
      <c r="E134" s="24"/>
      <c r="F134" s="23">
        <v>0.09</v>
      </c>
      <c r="G134" s="23">
        <f t="shared" si="1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146</v>
      </c>
      <c r="C135" s="33" t="s">
        <v>27</v>
      </c>
      <c r="D135" s="28">
        <v>1001063237147</v>
      </c>
      <c r="E135" s="24"/>
      <c r="F135" s="23">
        <v>0.22</v>
      </c>
      <c r="G135" s="23">
        <f t="shared" si="1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147</v>
      </c>
      <c r="C136" s="33" t="s">
        <v>27</v>
      </c>
      <c r="D136" s="28">
        <v>1001063237229</v>
      </c>
      <c r="E136" s="24"/>
      <c r="F136" s="23">
        <v>0.18</v>
      </c>
      <c r="G136" s="23">
        <f t="shared" si="1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148</v>
      </c>
      <c r="C137" s="33" t="s">
        <v>27</v>
      </c>
      <c r="D137" s="28">
        <v>1001066537225</v>
      </c>
      <c r="E137" s="24"/>
      <c r="F137" s="23">
        <v>0.18</v>
      </c>
      <c r="G137" s="23">
        <f t="shared" si="1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149</v>
      </c>
      <c r="C138" s="33" t="s">
        <v>27</v>
      </c>
      <c r="D138" s="28">
        <v>1001063097227</v>
      </c>
      <c r="E138" s="24"/>
      <c r="F138" s="23">
        <v>0.18</v>
      </c>
      <c r="G138" s="23">
        <f t="shared" si="1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150</v>
      </c>
      <c r="C139" s="33" t="s">
        <v>27</v>
      </c>
      <c r="D139" s="28">
        <v>1001066527226</v>
      </c>
      <c r="E139" s="24"/>
      <c r="F139" s="23">
        <v>0.18</v>
      </c>
      <c r="G139" s="23">
        <f t="shared" si="1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151</v>
      </c>
      <c r="C140" s="33" t="s">
        <v>27</v>
      </c>
      <c r="D140" s="28">
        <v>1001062353684</v>
      </c>
      <c r="E140" s="24"/>
      <c r="F140" s="23">
        <v>0.25</v>
      </c>
      <c r="G140" s="23">
        <f t="shared" si="1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5682</v>
      </c>
      <c r="B141" s="27" t="s">
        <v>152</v>
      </c>
      <c r="C141" s="33" t="s">
        <v>27</v>
      </c>
      <c r="D141" s="28">
        <v>1001193115682</v>
      </c>
      <c r="E141" s="24"/>
      <c r="F141" s="23">
        <v>0.12</v>
      </c>
      <c r="G141" s="23">
        <f>E141*0.12</f>
        <v>0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153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154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155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156</v>
      </c>
      <c r="C145" s="33" t="s">
        <v>27</v>
      </c>
      <c r="D145" s="28">
        <v>1001202506453</v>
      </c>
      <c r="E145" s="24"/>
      <c r="F145" s="23">
        <v>0.1</v>
      </c>
      <c r="G145" s="23">
        <f>E145*0.1</f>
        <v>0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157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158</v>
      </c>
      <c r="C147" s="32" t="s">
        <v>23</v>
      </c>
      <c r="D147" s="80">
        <v>1001092436470</v>
      </c>
      <c r="E147" s="24"/>
      <c r="F147" s="23"/>
      <c r="G147" s="23">
        <f>E147*1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159</v>
      </c>
      <c r="C148" s="32" t="s">
        <v>27</v>
      </c>
      <c r="D148" s="80">
        <v>1001092436495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160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161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162</v>
      </c>
      <c r="C151" s="32" t="s">
        <v>23</v>
      </c>
      <c r="D151" s="80">
        <v>1001095716866</v>
      </c>
      <c r="E151" s="24"/>
      <c r="F151" s="23"/>
      <c r="G151" s="23">
        <f>E151*1</f>
        <v>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163</v>
      </c>
      <c r="C152" s="37" t="s">
        <v>27</v>
      </c>
      <c r="D152" s="51">
        <v>1001094053215</v>
      </c>
      <c r="E152" s="24"/>
      <c r="F152" s="23">
        <v>0.4</v>
      </c>
      <c r="G152" s="23">
        <f>E152*0.4</f>
        <v>0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164</v>
      </c>
      <c r="C153" s="37" t="s">
        <v>27</v>
      </c>
      <c r="D153" s="51">
        <v>1001092687245</v>
      </c>
      <c r="E153" s="24"/>
      <c r="F153" s="23">
        <v>0.4</v>
      </c>
      <c r="G153" s="23">
        <f>E153*0.4</f>
        <v>0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165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166</v>
      </c>
      <c r="C155" s="35" t="s">
        <v>27</v>
      </c>
      <c r="D155" s="28">
        <v>1001084217090</v>
      </c>
      <c r="E155" s="24"/>
      <c r="F155" s="23">
        <v>0.3</v>
      </c>
      <c r="G155" s="23">
        <f>E155*F155</f>
        <v>0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167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2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168</v>
      </c>
      <c r="C157" s="35" t="s">
        <v>27</v>
      </c>
      <c r="D157" s="28">
        <v>1001085637187</v>
      </c>
      <c r="E157" s="24"/>
      <c r="F157" s="23">
        <v>0.3</v>
      </c>
      <c r="G157" s="23">
        <f t="shared" si="2"/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169</v>
      </c>
      <c r="C158" s="35" t="s">
        <v>27</v>
      </c>
      <c r="D158" s="28">
        <v>1001225636201</v>
      </c>
      <c r="E158" s="24"/>
      <c r="F158" s="23">
        <v>0.15</v>
      </c>
      <c r="G158" s="23">
        <f t="shared" si="2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170</v>
      </c>
      <c r="C159" s="35" t="s">
        <v>27</v>
      </c>
      <c r="D159" s="28">
        <v>1001080216842</v>
      </c>
      <c r="E159" s="24"/>
      <c r="F159" s="23">
        <v>0.3</v>
      </c>
      <c r="G159" s="23">
        <f t="shared" si="2"/>
        <v>0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171</v>
      </c>
      <c r="C160" s="35" t="s">
        <v>27</v>
      </c>
      <c r="D160" s="28">
        <v>1001084226492</v>
      </c>
      <c r="E160" s="24"/>
      <c r="F160" s="23">
        <v>0.3</v>
      </c>
      <c r="G160" s="23">
        <f t="shared" si="2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172</v>
      </c>
      <c r="C161" s="35" t="s">
        <v>27</v>
      </c>
      <c r="D161" s="28">
        <v>1001220286279</v>
      </c>
      <c r="E161" s="24"/>
      <c r="F161" s="23">
        <v>0.15</v>
      </c>
      <c r="G161" s="23">
        <f t="shared" si="2"/>
        <v>0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173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2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174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175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176</v>
      </c>
      <c r="C165" s="33" t="s">
        <v>27</v>
      </c>
      <c r="D165" s="28">
        <v>1001223297092</v>
      </c>
      <c r="E165" s="24"/>
      <c r="F165" s="23">
        <v>0.14000000000000001</v>
      </c>
      <c r="G165" s="23">
        <f>F165*E165</f>
        <v>0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177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178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179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180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181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182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183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3">RIGHT(D173:D288,4)</f>
        <v>6313</v>
      </c>
      <c r="B173" s="47" t="s">
        <v>184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3"/>
        <v/>
      </c>
      <c r="B174" s="74" t="s">
        <v>185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3"/>
        <v>4945</v>
      </c>
      <c r="B175" s="47" t="s">
        <v>186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3"/>
        <v/>
      </c>
      <c r="B176" s="74" t="s">
        <v>187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3"/>
        <v>4956</v>
      </c>
      <c r="B177" s="89" t="s">
        <v>188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3"/>
        <v>1762</v>
      </c>
      <c r="B178" s="47" t="s">
        <v>189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3"/>
        <v>1764</v>
      </c>
      <c r="B179" s="47" t="s">
        <v>190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3"/>
        <v/>
      </c>
      <c r="B180" s="74" t="s">
        <v>191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3"/>
        <v/>
      </c>
      <c r="B181" s="74" t="s">
        <v>192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3"/>
        <v>6004</v>
      </c>
      <c r="B182" s="47" t="s">
        <v>193</v>
      </c>
      <c r="C182" s="36" t="s">
        <v>27</v>
      </c>
      <c r="D182" s="68" t="s">
        <v>194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3"/>
        <v>5417</v>
      </c>
      <c r="B183" s="47" t="s">
        <v>195</v>
      </c>
      <c r="C183" s="30" t="s">
        <v>23</v>
      </c>
      <c r="D183" s="68" t="s">
        <v>196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3"/>
        <v>6019</v>
      </c>
      <c r="B184" s="47" t="s">
        <v>197</v>
      </c>
      <c r="C184" s="36" t="s">
        <v>27</v>
      </c>
      <c r="D184" s="69" t="s">
        <v>198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199</v>
      </c>
      <c r="C185" s="16"/>
      <c r="D185" s="48"/>
      <c r="E185" s="17">
        <f>SUM(E5:E184)</f>
        <v>0</v>
      </c>
      <c r="F185" s="17">
        <f>SUM(F10:F184)</f>
        <v>46.96333333333331</v>
      </c>
      <c r="G185" s="17">
        <f>SUM(G11:G184)</f>
        <v>0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78" xr:uid="{00000000-0002-0000-0000-000000000000}">
      <formula1>40</formula1>
    </dataValidation>
    <dataValidation type="textLength" operator="equal" showInputMessage="1" showErrorMessage="1" sqref="D182:D184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2025-11-27T12:47:22Z</dcterms:modified>
</cp:coreProperties>
</file>