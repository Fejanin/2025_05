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F7F73B52-73AD-46DC-BFF8-76464C97D6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0" i="1" l="1"/>
  <c r="A100" i="1"/>
  <c r="G99" i="1"/>
  <c r="A99" i="1"/>
  <c r="G97" i="1" l="1"/>
  <c r="A97" i="1"/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98" i="1"/>
  <c r="A98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1" i="1" l="1"/>
</calcChain>
</file>

<file path=xl/sharedStrings.xml><?xml version="1.0" encoding="utf-8"?>
<sst xmlns="http://schemas.openxmlformats.org/spreadsheetml/2006/main" count="255" uniqueCount="145">
  <si>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</si>
  <si>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</si>
  <si>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</si>
  <si>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</si>
  <si>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</si>
  <si>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</si>
  <si>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</si>
  <si>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</si>
  <si>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</si>
  <si>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</si>
  <si>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</si>
  <si>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</si>
  <si>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</si>
  <si>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</si>
  <si>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</si>
  <si>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</si>
  <si>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</si>
  <si>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</si>
  <si>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</si>
  <si>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</si>
  <si>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</si>
  <si>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</si>
  <si>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</si>
  <si>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</si>
  <si>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</si>
  <si>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</si>
  <si>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</si>
  <si>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</si>
  <si>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</si>
  <si>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</si>
  <si>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</si>
  <si>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</si>
  <si>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</si>
  <si>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</si>
  <si>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</si>
  <si>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</si>
  <si>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</si>
  <si>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</si>
  <si>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</si>
  <si>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</si>
  <si>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</si>
  <si>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</si>
  <si>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</si>
  <si>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</si>
  <si>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</si>
  <si>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</si>
  <si>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</si>
  <si>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</si>
  <si>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</si>
  <si>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</si>
  <si>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</si>
  <si>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</si>
  <si>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</si>
  <si>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</si>
  <si>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</si>
  <si>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</si>
  <si>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</si>
  <si>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</si>
  <si>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</si>
  <si>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</si>
  <si>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</si>
  <si>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</si>
  <si>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</si>
  <si>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</si>
  <si>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</si>
  <si>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</si>
  <si>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</si>
  <si>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</si>
  <si>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</si>
  <si>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</si>
  <si>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</si>
  <si>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</si>
  <si>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</si>
  <si>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</si>
  <si>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</si>
  <si>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</si>
  <si>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</si>
  <si>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</si>
  <si>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</si>
  <si>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</si>
  <si>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</si>
  <si>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</si>
  <si>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</si>
  <si>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</si>
  <si>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</si>
  <si>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</si>
  <si>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</si>
  <si>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</si>
  <si>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</si>
  <si>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</si>
  <si>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</si>
  <si>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</si>
  <si>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</si>
  <si>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</si>
  <si>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</si>
  <si>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</si>
  <si>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</si>
  <si>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</si>
  <si>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</si>
  <si>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</si>
  <si>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</si>
  <si>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</si>
  <si>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</si>
  <si>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</si>
  <si>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</si>
  <si>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</si>
  <si>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</si>
  <si>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</si>
  <si>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</si>
  <si>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</si>
  <si>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</si>
  <si>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</si>
  <si>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</si>
  <si>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</si>
  <si>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</si>
  <si>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</si>
  <si>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</si>
  <si>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</si>
  <si>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</si>
  <si>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</si>
  <si>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</si>
  <si>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</si>
  <si>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</si>
  <si>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</si>
  <si>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</si>
  <si>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</si>
  <si>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</si>
  <si>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</si>
  <si>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</si>
  <si>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</si>
  <si>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</si>
  <si>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</si>
  <si>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</si>
  <si>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</si>
  <si>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</si>
  <si>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</si>
  <si>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</si>
  <si>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</si>
  <si>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</si>
  <si>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</si>
  <si>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</si>
  <si>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</si>
  <si>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</si>
  <si>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</si>
  <si>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САЛЯМИ МЕЛКОЗЕРНЕНАЯ с/к в/у 1/120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</si>
</sst>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46013</v>
      </c>
      <c r="E3" s="7" t="s">
        <v>3</v>
      </c>
      <c r="F3" s="83">
        <f>D3+3</f>
        <v>46016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39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139</v>
      </c>
      <c r="C26" s="73" t="s">
        <v>21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4">
        <v>7255</v>
      </c>
      <c r="B36" s="64" t="s">
        <v>140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3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ref="A40:A68" si="3">RIGHT(D40,4)</f>
        <v>6762</v>
      </c>
      <c r="B40" s="36" t="s">
        <v>52</v>
      </c>
      <c r="C40" s="73" t="s">
        <v>21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3"/>
        <v>6765</v>
      </c>
      <c r="B41" s="36" t="s">
        <v>53</v>
      </c>
      <c r="C41" s="73" t="s">
        <v>21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6759</v>
      </c>
      <c r="B42" s="36" t="s">
        <v>54</v>
      </c>
      <c r="C42" s="73" t="s">
        <v>21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6616</v>
      </c>
      <c r="B43" s="36" t="s">
        <v>55</v>
      </c>
      <c r="C43" s="73" t="s">
        <v>21</v>
      </c>
      <c r="D43" s="74">
        <v>1001024976616</v>
      </c>
      <c r="E43" s="24"/>
      <c r="F43" s="23">
        <v>0.3</v>
      </c>
      <c r="G43" s="23">
        <f t="shared" si="2"/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3"/>
        <v>7082</v>
      </c>
      <c r="B44" s="35" t="s">
        <v>56</v>
      </c>
      <c r="C44" s="73" t="s">
        <v>23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3"/>
        <v>6767</v>
      </c>
      <c r="B45" s="35" t="s">
        <v>57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3"/>
        <v>7070</v>
      </c>
      <c r="B46" s="35" t="s">
        <v>58</v>
      </c>
      <c r="C46" s="73" t="s">
        <v>23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3"/>
        <v>6661</v>
      </c>
      <c r="B47" s="53" t="s">
        <v>59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3"/>
        <v>6475</v>
      </c>
      <c r="B48" s="80" t="s">
        <v>60</v>
      </c>
      <c r="C48" s="73" t="s">
        <v>21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3"/>
        <v>6713</v>
      </c>
      <c r="B49" s="57" t="s">
        <v>61</v>
      </c>
      <c r="C49" s="54" t="s">
        <v>21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51</v>
      </c>
      <c r="C50" s="73" t="s">
        <v>21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3"/>
        <v>7284</v>
      </c>
      <c r="B51" s="82" t="s">
        <v>62</v>
      </c>
      <c r="C51" s="73" t="s">
        <v>21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63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64</v>
      </c>
      <c r="C53" s="54" t="s">
        <v>23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65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66</v>
      </c>
      <c r="C55" s="73" t="s">
        <v>21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67</v>
      </c>
      <c r="C56" s="73" t="s">
        <v>21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68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69</v>
      </c>
      <c r="C58" s="54" t="s">
        <v>21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70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71</v>
      </c>
      <c r="C60" s="54" t="s">
        <v>21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72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73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74</v>
      </c>
      <c r="C63" s="73" t="s">
        <v>37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75</v>
      </c>
      <c r="C64" s="73" t="s">
        <v>23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76</v>
      </c>
      <c r="C65" s="73" t="s">
        <v>23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77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78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79</v>
      </c>
      <c r="C68" s="73" t="s">
        <v>21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ref="A69:A102" si="5">RIGHT(D69,4)</f>
        <v>7232</v>
      </c>
      <c r="B69" s="51" t="s">
        <v>80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5"/>
        <v>7332</v>
      </c>
      <c r="B70" s="51" t="s">
        <v>81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5"/>
        <v>7241</v>
      </c>
      <c r="B71" s="51" t="s">
        <v>82</v>
      </c>
      <c r="C71" s="73" t="s">
        <v>21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5"/>
        <v>7154</v>
      </c>
      <c r="B72" s="51" t="s">
        <v>83</v>
      </c>
      <c r="C72" s="73" t="s">
        <v>21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5"/>
        <v>6787</v>
      </c>
      <c r="B73" s="53" t="s">
        <v>84</v>
      </c>
      <c r="C73" s="54" t="s">
        <v>21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5"/>
        <v>6697</v>
      </c>
      <c r="B74" s="51" t="s">
        <v>85</v>
      </c>
      <c r="C74" s="73" t="s">
        <v>21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5"/>
        <v>7237</v>
      </c>
      <c r="B75" s="51" t="s">
        <v>86</v>
      </c>
      <c r="C75" s="73" t="s">
        <v>21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5"/>
        <v>7236</v>
      </c>
      <c r="B76" s="53" t="s">
        <v>87</v>
      </c>
      <c r="C76" s="54" t="s">
        <v>21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7333</v>
      </c>
      <c r="B77" s="53" t="s">
        <v>88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5"/>
        <v>7169</v>
      </c>
      <c r="B78" s="58" t="s">
        <v>89</v>
      </c>
      <c r="C78" s="54" t="s">
        <v>32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5"/>
        <v>7166</v>
      </c>
      <c r="B79" s="45" t="s">
        <v>90</v>
      </c>
      <c r="C79" s="73" t="s">
        <v>23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5"/>
        <v>5544</v>
      </c>
      <c r="B80" s="80" t="s">
        <v>91</v>
      </c>
      <c r="C80" s="73" t="s">
        <v>23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5"/>
        <v>7133</v>
      </c>
      <c r="B81" s="80" t="s">
        <v>92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5"/>
        <v>6791</v>
      </c>
      <c r="B82" s="80" t="s">
        <v>93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6792</v>
      </c>
      <c r="B83" s="80" t="s">
        <v>94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95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96</v>
      </c>
      <c r="C85" s="73" t="s">
        <v>21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97</v>
      </c>
      <c r="C86" s="73" t="s">
        <v>23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98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99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100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101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102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103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104</v>
      </c>
      <c r="C93" s="65" t="s">
        <v>21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105</v>
      </c>
      <c r="C94" s="54" t="s">
        <v>21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106</v>
      </c>
      <c r="C95" s="73" t="s">
        <v>21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107</v>
      </c>
      <c r="C96" s="73" t="s">
        <v>32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141</v>
      </c>
      <c r="C97" s="73" t="s">
        <v>32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108</v>
      </c>
      <c r="C98" s="73" t="s">
        <v>23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142</v>
      </c>
      <c r="C99" s="73" t="s">
        <v>23</v>
      </c>
      <c r="D99" s="74">
        <v>1001065616832</v>
      </c>
      <c r="E99" s="24"/>
      <c r="F99" s="23"/>
      <c r="G99" s="23">
        <f t="shared" ref="G99:G100" si="6">E99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143</v>
      </c>
      <c r="C100" s="73" t="s">
        <v>23</v>
      </c>
      <c r="D100" s="74">
        <v>1001060677299</v>
      </c>
      <c r="E100" s="24"/>
      <c r="F100" s="23"/>
      <c r="G100" s="23">
        <f t="shared" si="6"/>
        <v>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109</v>
      </c>
      <c r="C101" s="73" t="s">
        <v>32</v>
      </c>
      <c r="D101" s="74">
        <v>1001060764993</v>
      </c>
      <c r="E101" s="24"/>
      <c r="F101" s="23">
        <v>0.25</v>
      </c>
      <c r="G101" s="23">
        <f t="shared" ref="G101:G110" si="7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110</v>
      </c>
      <c r="C102" s="73" t="s">
        <v>32</v>
      </c>
      <c r="D102" s="74">
        <v>1001063656967</v>
      </c>
      <c r="E102" s="24"/>
      <c r="F102" s="23">
        <v>0.25</v>
      </c>
      <c r="G102" s="23">
        <f t="shared" si="7"/>
        <v>0</v>
      </c>
      <c r="H102" s="14"/>
      <c r="I102" s="14"/>
      <c r="J102" s="29"/>
    </row>
    <row r="103" spans="1:10" ht="16.5" customHeight="1" x14ac:dyDescent="0.25">
      <c r="A103" s="60" t="str">
        <f t="shared" ref="A103:A130" si="8">RIGHT(D103,4)</f>
        <v>7382</v>
      </c>
      <c r="B103" s="80" t="s">
        <v>144</v>
      </c>
      <c r="C103" s="73" t="s">
        <v>21</v>
      </c>
      <c r="D103" s="74">
        <v>1001203117382</v>
      </c>
      <c r="E103" s="24"/>
      <c r="F103" s="23">
        <v>0.12</v>
      </c>
      <c r="G103" s="23">
        <f t="shared" si="7"/>
        <v>0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8"/>
        <v>7147</v>
      </c>
      <c r="B104" s="80" t="s">
        <v>111</v>
      </c>
      <c r="C104" s="73" t="s">
        <v>21</v>
      </c>
      <c r="D104" s="74">
        <v>1001063237147</v>
      </c>
      <c r="E104" s="24"/>
      <c r="F104" s="23">
        <v>0.22</v>
      </c>
      <c r="G104" s="23">
        <f t="shared" si="7"/>
        <v>0</v>
      </c>
      <c r="H104" s="14"/>
      <c r="I104" s="14"/>
      <c r="J104" s="29"/>
    </row>
    <row r="105" spans="1:10" ht="16.5" customHeight="1" x14ac:dyDescent="0.25">
      <c r="A105" s="60" t="str">
        <f t="shared" si="8"/>
        <v>7229</v>
      </c>
      <c r="B105" s="80" t="s">
        <v>112</v>
      </c>
      <c r="C105" s="73" t="s">
        <v>21</v>
      </c>
      <c r="D105" s="74">
        <v>1001063237229</v>
      </c>
      <c r="E105" s="24"/>
      <c r="F105" s="23">
        <v>0.18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7150</v>
      </c>
      <c r="B106" s="80" t="s">
        <v>113</v>
      </c>
      <c r="C106" s="73" t="s">
        <v>23</v>
      </c>
      <c r="D106" s="74">
        <v>1001063237150</v>
      </c>
      <c r="E106" s="24"/>
      <c r="F106" s="23">
        <v>1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7227</v>
      </c>
      <c r="B107" s="80" t="s">
        <v>114</v>
      </c>
      <c r="C107" s="73" t="s">
        <v>21</v>
      </c>
      <c r="D107" s="74">
        <v>1001063097227</v>
      </c>
      <c r="E107" s="24"/>
      <c r="F107" s="23">
        <v>0.18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7225</v>
      </c>
      <c r="B108" s="80" t="s">
        <v>115</v>
      </c>
      <c r="C108" s="73" t="s">
        <v>21</v>
      </c>
      <c r="D108" s="74">
        <v>1001066537225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7228</v>
      </c>
      <c r="B109" s="80" t="s">
        <v>116</v>
      </c>
      <c r="C109" s="73" t="s">
        <v>21</v>
      </c>
      <c r="D109" s="74">
        <v>1001066547228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6221</v>
      </c>
      <c r="B110" s="80" t="s">
        <v>117</v>
      </c>
      <c r="C110" s="73" t="s">
        <v>21</v>
      </c>
      <c r="D110" s="74">
        <v>1001205376221</v>
      </c>
      <c r="E110" s="24"/>
      <c r="F110" s="23">
        <v>0.09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4117</v>
      </c>
      <c r="B111" s="80" t="s">
        <v>118</v>
      </c>
      <c r="C111" s="73" t="s">
        <v>23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8"/>
        <v>5483</v>
      </c>
      <c r="B112" s="80" t="s">
        <v>119</v>
      </c>
      <c r="C112" s="73" t="s">
        <v>21</v>
      </c>
      <c r="D112" s="74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8"/>
        <v>6453</v>
      </c>
      <c r="B113" s="80" t="s">
        <v>120</v>
      </c>
      <c r="C113" s="73" t="s">
        <v>32</v>
      </c>
      <c r="D113" s="74">
        <v>1001202506453</v>
      </c>
      <c r="E113" s="24"/>
      <c r="F113" s="23">
        <v>0.1</v>
      </c>
      <c r="G113" s="23">
        <f>E113*F113</f>
        <v>0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8"/>
        <v>6228</v>
      </c>
      <c r="B114" s="80" t="s">
        <v>121</v>
      </c>
      <c r="C114" s="73" t="s">
        <v>32</v>
      </c>
      <c r="D114" s="74">
        <v>1001225416228</v>
      </c>
      <c r="E114" s="24"/>
      <c r="F114" s="23">
        <v>0.09</v>
      </c>
      <c r="G114" s="23">
        <f>E114*F114</f>
        <v>0</v>
      </c>
      <c r="H114" s="14"/>
      <c r="I114" s="14"/>
      <c r="J114" s="29"/>
    </row>
    <row r="115" spans="1:10" ht="16.5" customHeight="1" thickBot="1" x14ac:dyDescent="0.3">
      <c r="A115" s="60" t="str">
        <f t="shared" si="8"/>
        <v>3287</v>
      </c>
      <c r="B115" s="80" t="s">
        <v>122</v>
      </c>
      <c r="C115" s="73" t="s">
        <v>23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8"/>
        <v/>
      </c>
      <c r="B116" s="47" t="s">
        <v>123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8"/>
        <v>6866</v>
      </c>
      <c r="B117" s="77" t="s">
        <v>124</v>
      </c>
      <c r="C117" s="73" t="s">
        <v>37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8"/>
        <v>3215</v>
      </c>
      <c r="B118" s="80" t="s">
        <v>125</v>
      </c>
      <c r="C118" s="73" t="s">
        <v>32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8"/>
        <v>5452</v>
      </c>
      <c r="B119" s="51" t="s">
        <v>126</v>
      </c>
      <c r="C119" s="73" t="s">
        <v>23</v>
      </c>
      <c r="D119" s="42">
        <v>1001092485452</v>
      </c>
      <c r="E119" s="24"/>
      <c r="F119" s="23">
        <v>1.367</v>
      </c>
      <c r="G119" s="23">
        <f>E119</f>
        <v>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8"/>
        <v>5495</v>
      </c>
      <c r="B120" s="51" t="s">
        <v>127</v>
      </c>
      <c r="C120" s="73" t="s">
        <v>21</v>
      </c>
      <c r="D120" s="42">
        <v>1001093345495</v>
      </c>
      <c r="E120" s="24"/>
      <c r="F120" s="23">
        <v>0.4</v>
      </c>
      <c r="G120" s="23">
        <f>E120*F120</f>
        <v>0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8"/>
        <v>6495</v>
      </c>
      <c r="B121" s="51" t="s">
        <v>128</v>
      </c>
      <c r="C121" s="73" t="s">
        <v>21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8"/>
        <v/>
      </c>
      <c r="B122" s="47" t="s">
        <v>129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8"/>
        <v>6448</v>
      </c>
      <c r="B123" s="37" t="s">
        <v>130</v>
      </c>
      <c r="C123" s="73" t="s">
        <v>32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8"/>
        <v>6620</v>
      </c>
      <c r="B124" s="37" t="s">
        <v>131</v>
      </c>
      <c r="C124" s="73" t="s">
        <v>23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8"/>
        <v>6279</v>
      </c>
      <c r="B125" s="37" t="s">
        <v>132</v>
      </c>
      <c r="C125" s="73" t="s">
        <v>21</v>
      </c>
      <c r="D125" s="74">
        <v>1001220286279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6208</v>
      </c>
      <c r="B126" s="37" t="s">
        <v>133</v>
      </c>
      <c r="C126" s="73" t="s">
        <v>21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7090</v>
      </c>
      <c r="B127" s="37" t="s">
        <v>134</v>
      </c>
      <c r="C127" s="73" t="s">
        <v>32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8"/>
        <v>7187</v>
      </c>
      <c r="B128" s="37" t="s">
        <v>135</v>
      </c>
      <c r="C128" s="73" t="s">
        <v>32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8"/>
        <v>7103</v>
      </c>
      <c r="B129" s="59" t="s">
        <v>136</v>
      </c>
      <c r="C129" s="54" t="s">
        <v>32</v>
      </c>
      <c r="D129" s="55">
        <v>1001223297103</v>
      </c>
      <c r="E129" s="24"/>
      <c r="F129" s="75">
        <v>0.18</v>
      </c>
      <c r="G129" s="23">
        <f>E129*F129</f>
        <v>0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8"/>
        <v>6872</v>
      </c>
      <c r="B130" s="37" t="s">
        <v>137</v>
      </c>
      <c r="C130" s="73" t="s">
        <v>23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138</v>
      </c>
      <c r="C131" s="16"/>
      <c r="D131" s="38"/>
      <c r="E131" s="17">
        <f>SUM(E10:E130)</f>
        <v>0</v>
      </c>
      <c r="F131" s="17"/>
      <c r="G131" s="17">
        <f>SUM(G11:G130)</f>
        <v>0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2025-12-16T11:16:52Z</dcterms:modified>
</cp:coreProperties>
</file>