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КИ\ostankino_ki\NV\чистый бланк\"/>
    </mc:Choice>
  </mc:AlternateContent>
  <xr:revisionPtr revIDLastSave="0" documentId="13_ncr:1_{E2DDA4D6-A2FA-4DB9-A057-9A7BBBE17824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externalReferences>
    <externalReference r:id="rId3"/>
  </externalReferences>
  <definedNames>
    <definedName name="_xlnm._FilterDatabase" localSheetId="0" hidden="1">Бланк!$A$9:$J$153</definedName>
    <definedName name="кол_во_инд.__упак_к">Бланк!$AC$3:$AC$585</definedName>
    <definedName name="номин.вес_нетто__кг">Бланк!$W$3:$W$585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52" i="1" l="1"/>
  <c r="J151" i="1"/>
  <c r="J138" i="1"/>
  <c r="J137" i="1"/>
  <c r="J135" i="1"/>
  <c r="J128" i="1"/>
  <c r="J101" i="1"/>
  <c r="J95" i="1"/>
  <c r="J94" i="1"/>
  <c r="J93" i="1"/>
  <c r="J89" i="1"/>
  <c r="J84" i="1"/>
  <c r="J60" i="1"/>
  <c r="J29" i="1"/>
  <c r="J28" i="1"/>
  <c r="G128" i="1" l="1"/>
  <c r="G101" i="1"/>
  <c r="G152" i="1" l="1"/>
  <c r="G151" i="1"/>
  <c r="A152" i="1"/>
  <c r="A151" i="1"/>
  <c r="G94" i="1"/>
  <c r="A94" i="1"/>
  <c r="E153" i="1" l="1"/>
  <c r="G150" i="1"/>
  <c r="A150" i="1"/>
  <c r="G149" i="1"/>
  <c r="A149" i="1"/>
  <c r="G148" i="1"/>
  <c r="A148" i="1"/>
  <c r="G147" i="1"/>
  <c r="A147" i="1"/>
  <c r="G146" i="1"/>
  <c r="A146" i="1"/>
  <c r="G145" i="1"/>
  <c r="A145" i="1"/>
  <c r="G144" i="1"/>
  <c r="A144" i="1"/>
  <c r="G143" i="1"/>
  <c r="A143" i="1"/>
  <c r="G142" i="1"/>
  <c r="A142" i="1"/>
  <c r="G141" i="1"/>
  <c r="A141" i="1"/>
  <c r="G140" i="1"/>
  <c r="A140" i="1"/>
  <c r="G138" i="1"/>
  <c r="A138" i="1"/>
  <c r="G137" i="1"/>
  <c r="A137" i="1"/>
  <c r="G136" i="1"/>
  <c r="A136" i="1"/>
  <c r="G135" i="1"/>
  <c r="A135" i="1"/>
  <c r="G134" i="1"/>
  <c r="A134" i="1"/>
  <c r="G133" i="1"/>
  <c r="A133" i="1"/>
  <c r="G132" i="1"/>
  <c r="A132" i="1"/>
  <c r="G131" i="1"/>
  <c r="A131" i="1"/>
  <c r="G130" i="1"/>
  <c r="A130" i="1"/>
  <c r="G129" i="1"/>
  <c r="A129" i="1"/>
  <c r="A128" i="1"/>
  <c r="G127" i="1"/>
  <c r="A127" i="1"/>
  <c r="G125" i="1"/>
  <c r="A125" i="1"/>
  <c r="G124" i="1"/>
  <c r="A124" i="1"/>
  <c r="G123" i="1"/>
  <c r="A123" i="1"/>
  <c r="G122" i="1"/>
  <c r="A122" i="1"/>
  <c r="G121" i="1"/>
  <c r="A121" i="1"/>
  <c r="G120" i="1"/>
  <c r="A120" i="1"/>
  <c r="G119" i="1"/>
  <c r="A119" i="1"/>
  <c r="G118" i="1"/>
  <c r="A118" i="1"/>
  <c r="G117" i="1"/>
  <c r="A117" i="1"/>
  <c r="G116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9" i="1"/>
  <c r="A109" i="1"/>
  <c r="G108" i="1"/>
  <c r="A108" i="1"/>
  <c r="G107" i="1"/>
  <c r="A107" i="1"/>
  <c r="G106" i="1"/>
  <c r="A106" i="1"/>
  <c r="G105" i="1"/>
  <c r="A105" i="1"/>
  <c r="G104" i="1"/>
  <c r="A104" i="1"/>
  <c r="G103" i="1"/>
  <c r="A103" i="1"/>
  <c r="G102" i="1"/>
  <c r="A102" i="1"/>
  <c r="A101" i="1"/>
  <c r="G100" i="1"/>
  <c r="A100" i="1"/>
  <c r="G99" i="1"/>
  <c r="A99" i="1"/>
  <c r="G97" i="1"/>
  <c r="A97" i="1"/>
  <c r="G96" i="1"/>
  <c r="A96" i="1"/>
  <c r="G95" i="1"/>
  <c r="A95" i="1"/>
  <c r="G93" i="1"/>
  <c r="A93" i="1"/>
  <c r="G92" i="1"/>
  <c r="A92" i="1"/>
  <c r="G91" i="1"/>
  <c r="A91" i="1"/>
  <c r="G90" i="1"/>
  <c r="A90" i="1"/>
  <c r="G89" i="1"/>
  <c r="A89" i="1"/>
  <c r="G88" i="1"/>
  <c r="A88" i="1"/>
  <c r="G87" i="1"/>
  <c r="A87" i="1"/>
  <c r="G86" i="1"/>
  <c r="A86" i="1"/>
  <c r="G85" i="1"/>
  <c r="A85" i="1"/>
  <c r="G84" i="1"/>
  <c r="A84" i="1"/>
  <c r="G83" i="1"/>
  <c r="A83" i="1"/>
  <c r="G82" i="1"/>
  <c r="A82" i="1"/>
  <c r="G81" i="1"/>
  <c r="A81" i="1"/>
  <c r="G80" i="1"/>
  <c r="A80" i="1"/>
  <c r="G79" i="1"/>
  <c r="A79" i="1"/>
  <c r="G78" i="1"/>
  <c r="A78" i="1"/>
  <c r="G77" i="1"/>
  <c r="A77" i="1"/>
  <c r="G76" i="1"/>
  <c r="A76" i="1"/>
  <c r="G75" i="1"/>
  <c r="A75" i="1"/>
  <c r="G74" i="1"/>
  <c r="A74" i="1"/>
  <c r="G73" i="1"/>
  <c r="A73" i="1"/>
  <c r="G71" i="1"/>
  <c r="A71" i="1"/>
  <c r="G70" i="1"/>
  <c r="A70" i="1"/>
  <c r="G69" i="1"/>
  <c r="A69" i="1"/>
  <c r="G68" i="1"/>
  <c r="A68" i="1"/>
  <c r="G67" i="1"/>
  <c r="A67" i="1"/>
  <c r="G66" i="1"/>
  <c r="A66" i="1"/>
  <c r="G64" i="1"/>
  <c r="A64" i="1"/>
  <c r="G63" i="1"/>
  <c r="A63" i="1"/>
  <c r="G62" i="1"/>
  <c r="A62" i="1"/>
  <c r="G61" i="1"/>
  <c r="A61" i="1"/>
  <c r="G60" i="1"/>
  <c r="A60" i="1"/>
  <c r="G59" i="1"/>
  <c r="A59" i="1"/>
  <c r="G58" i="1"/>
  <c r="A58" i="1"/>
  <c r="G57" i="1"/>
  <c r="A57" i="1"/>
  <c r="G56" i="1"/>
  <c r="A56" i="1"/>
  <c r="G55" i="1"/>
  <c r="A55" i="1"/>
  <c r="G54" i="1"/>
  <c r="A54" i="1"/>
  <c r="G53" i="1"/>
  <c r="A53" i="1"/>
  <c r="G52" i="1"/>
  <c r="A52" i="1"/>
  <c r="G51" i="1"/>
  <c r="A51" i="1"/>
  <c r="G50" i="1"/>
  <c r="A50" i="1"/>
  <c r="G49" i="1"/>
  <c r="A49" i="1"/>
  <c r="G48" i="1"/>
  <c r="A48" i="1"/>
  <c r="G47" i="1"/>
  <c r="A47" i="1"/>
  <c r="G46" i="1"/>
  <c r="A46" i="1"/>
  <c r="G45" i="1"/>
  <c r="A45" i="1"/>
  <c r="G44" i="1"/>
  <c r="A44" i="1"/>
  <c r="G43" i="1"/>
  <c r="A43" i="1"/>
  <c r="G42" i="1"/>
  <c r="A42" i="1"/>
  <c r="G41" i="1"/>
  <c r="A41" i="1"/>
  <c r="G40" i="1"/>
  <c r="A40" i="1"/>
  <c r="G39" i="1"/>
  <c r="A39" i="1"/>
  <c r="G38" i="1"/>
  <c r="A38" i="1"/>
  <c r="G37" i="1"/>
  <c r="A37" i="1"/>
  <c r="G36" i="1"/>
  <c r="A36" i="1"/>
  <c r="G35" i="1"/>
  <c r="A35" i="1"/>
  <c r="G34" i="1"/>
  <c r="A34" i="1"/>
  <c r="G32" i="1"/>
  <c r="A32" i="1"/>
  <c r="G31" i="1"/>
  <c r="A31" i="1"/>
  <c r="G30" i="1"/>
  <c r="A30" i="1"/>
  <c r="G29" i="1"/>
  <c r="A29" i="1"/>
  <c r="G28" i="1"/>
  <c r="A28" i="1"/>
  <c r="G27" i="1"/>
  <c r="A27" i="1"/>
  <c r="G26" i="1"/>
  <c r="A26" i="1"/>
  <c r="G25" i="1"/>
  <c r="A25" i="1"/>
  <c r="G24" i="1"/>
  <c r="A24" i="1"/>
  <c r="G23" i="1"/>
  <c r="A23" i="1"/>
  <c r="G22" i="1"/>
  <c r="A22" i="1"/>
  <c r="G21" i="1"/>
  <c r="A21" i="1"/>
  <c r="G20" i="1"/>
  <c r="A20" i="1"/>
  <c r="G19" i="1"/>
  <c r="A19" i="1"/>
  <c r="G18" i="1"/>
  <c r="A18" i="1"/>
  <c r="G17" i="1"/>
  <c r="A17" i="1"/>
  <c r="G16" i="1"/>
  <c r="A16" i="1"/>
  <c r="G15" i="1"/>
  <c r="A15" i="1"/>
  <c r="G14" i="1"/>
  <c r="A14" i="1"/>
  <c r="G13" i="1"/>
  <c r="A13" i="1"/>
  <c r="G12" i="1"/>
  <c r="A12" i="1"/>
  <c r="G11" i="1"/>
  <c r="A11" i="1"/>
  <c r="G153" i="1" l="1"/>
  <c r="F3" i="1"/>
  <c r="K5" i="1" l="1"/>
  <c r="K6" i="1"/>
  <c r="K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2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13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18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23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51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59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9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</t>
        </r>
      </text>
    </comment>
    <comment ref="D98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 с 01.04.26</t>
        </r>
      </text>
    </comment>
    <comment ref="D126" authorId="0" shapeId="0" xr:uid="{00000000-0006-0000-0100-00000A000000}">
      <text>
        <r>
          <rPr>
            <sz val="14"/>
            <color indexed="81"/>
            <rFont val="Tahoma"/>
            <family val="2"/>
            <charset val="204"/>
          </rPr>
          <t>Ротация с кода 7082</t>
        </r>
      </text>
    </comment>
    <comment ref="D144" authorId="0" shapeId="0" xr:uid="{00000000-0006-0000-0100-00000B000000}">
      <text>
        <r>
          <rPr>
            <sz val="14"/>
            <color indexed="81"/>
            <rFont val="Tahoma"/>
            <family val="2"/>
            <charset val="204"/>
          </rPr>
          <t xml:space="preserve">Ротация кода 7257 </t>
        </r>
      </text>
    </comment>
    <comment ref="D149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1.11.25</t>
        </r>
      </text>
    </comment>
  </commentList>
</comments>
</file>

<file path=xl/sharedStrings.xml><?xml version="1.0" encoding="utf-8"?>
<sst xmlns="http://schemas.openxmlformats.org/spreadsheetml/2006/main" count="618" uniqueCount="223">
  <si>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</si>
  <si>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</si>
  <si>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</si>
  <si>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</si>
  <si>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</si>
  <si>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</si>
  <si>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</si>
  <si>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</si>
  <si>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</si>
  <si>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</si>
  <si>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</si>
  <si>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</si>
  <si>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</si>
  <si>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</si>
  <si>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</si>
  <si>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</si>
  <si>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</si>
  <si>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</si>
  <si>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</si>
  <si>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</si>
  <si>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</si>
  <si>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</si>
  <si>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</si>
  <si>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</si>
  <si>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</si>
  <si>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</si>
  <si>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</si>
  <si>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</si>
  <si>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</si>
  <si>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</si>
  <si>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</si>
  <si>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</si>
  <si>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</si>
  <si>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</si>
  <si>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</si>
  <si>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</si>
  <si>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</si>
  <si>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</si>
  <si>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</si>
  <si>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</si>
  <si>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</si>
  <si>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</si>
  <si>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</si>
  <si>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</si>
  <si>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</si>
  <si>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</si>
  <si>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</si>
  <si>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</si>
  <si>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</si>
  <si>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</si>
  <si>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</si>
  <si>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</si>
  <si>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</si>
  <si>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</si>
  <si>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</si>
  <si>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</si>
  <si>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</si>
  <si>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</si>
  <si>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</si>
  <si>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</si>
  <si>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</si>
  <si>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</si>
  <si>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</si>
  <si>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</si>
  <si>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</si>
  <si>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</si>
  <si>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</si>
  <si>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</si>
  <si>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</si>
  <si>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</si>
  <si>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</si>
  <si>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</si>
  <si>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</si>
  <si>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</si>
  <si>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</si>
  <si>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</si>
  <si>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</si>
  <si>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</si>
  <si>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</si>
  <si>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</si>
  <si>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</si>
  <si>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</si>
  <si>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</si>
  <si>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</si>
  <si>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</si>
  <si>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</si>
  <si>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</si>
  <si>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</si>
  <si>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</si>
  <si>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</si>
  <si>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</si>
  <si>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</si>
  <si>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</si>
  <si>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</si>
  <si>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</si>
  <si>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</si>
  <si>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</si>
  <si>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</si>
  <si>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</si>
  <si>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</si>
  <si>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</si>
  <si>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</si>
  <si>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ВСЕГО: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</si>
  <si>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</si>
  <si>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</si>
  <si>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</si>
  <si>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</si>
  <si>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</si>
  <si>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</si>
  <si>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</si>
  <si>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</si>
  <si>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</si>
  <si>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</si>
  <si>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</si>
  <si>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</si>
  <si>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</si>
  <si>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</si>
  <si>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</si>
  <si>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</si>
  <si>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</si>
  <si>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</si>
  <si>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</si>
  <si>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</si>
  <si>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СЕРВЕЛАТ ОРЕХОВЫЙ в/к в/у 0.31кг_209к</t>
  </si>
  <si>
    <t>ЧЕСНОЧНАЯ ПМ п/к в/у 0.35кг 8шт_50с</t>
  </si>
  <si>
    <t>Нарезка в/к колбас</t>
  </si>
  <si>
    <t>СЕРВЕЛАТ БАВАРСКИЙ в/к с/н в/у 1/100*10</t>
  </si>
  <si>
    <t>Нарезка копченостей</t>
  </si>
  <si>
    <t>СВИНИНА МАДЕРА с/к с/н в/у 1/100 10шт.</t>
  </si>
  <si>
    <t>БАЛЫК с/к с/н в/у 1/100 10шт. (7288)</t>
  </si>
  <si>
    <t>Нарезка с/к колбас</t>
  </si>
  <si>
    <t>АРОМАТНАЯ с/к с/н в/у 1/100 10шт.</t>
  </si>
  <si>
    <t>ПОСОЛЬСКАЯ ПМ с/к с/н в/у 1/100 10шт.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</si>
  <si>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</si>
  <si>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</si>
  <si>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</si>
  <si>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</si>
  <si>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</si>
  <si>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ПЕППЕРОНИ с/к с/н мгс 1*8_HRC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</si>
  <si>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</si>
  <si>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</si>
  <si>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</si>
  <si>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</si>
  <si>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</si>
  <si>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</si>
  <si>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</si>
  <si>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</si>
  <si>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</si>
  <si>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</si>
  <si>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</si>
  <si>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</si>
  <si>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</si>
  <si>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</si>
  <si>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</si>
  <si>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</si>
  <si>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БАВАРСКИЕ ПМ сос ц/о мгс 0.35кг 8шт.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</si>
  <si>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</si>
  <si>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</si>
  <si>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</si>
  <si>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</si>
  <si>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</si>
  <si>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</si>
  <si>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</si>
  <si>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</si>
  <si>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</si>
  <si>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</si>
  <si>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 xml:space="preserve">ЛП Донецк (ПРС) - 130438384 </t>
  </si>
  <si>
    <t>ЛП Луганск - 130438644</t>
  </si>
  <si>
    <t>260554517237 (с 31.05 по 30.06)</t>
  </si>
  <si>
    <t>ВЕТЧ.ИЗ ЛОПАТКИ Папа может п/о_HRC</t>
  </si>
  <si>
    <t>ВЕТЧ.МЯСНАЯ Папа может п/о 0.4кг</t>
  </si>
  <si>
    <t>БЕКОН Останкино с/к с/н в/у 1/180 10шт.</t>
  </si>
  <si>
    <t>БАЛЫК И ШЕЙКА с/в с/н мгс 1/90 10шт.</t>
  </si>
  <si>
    <t>СЕРВЕЛАТ КРЕМЛЕВСКИЙ в/к в/у 0.84кг</t>
  </si>
  <si>
    <t>ВЕНСКАЯ САЛЯМИ п/к в/у 0.840кг</t>
  </si>
  <si>
    <t>БАЛЫКОВАЯ Папа Может п/к в/у 0.31кг 8шт.</t>
  </si>
  <si>
    <t>ЭКСТРА Папа может с/к с/н в/у 1/100 14шт.</t>
  </si>
  <si>
    <t xml:space="preserve">Сардельки </t>
  </si>
  <si>
    <t>МЯСНЫЕ Папа может сар б/о мгс 1*3_Х5_45с</t>
  </si>
  <si>
    <t xml:space="preserve">Сосиски  </t>
  </si>
  <si>
    <t>МОЛОЧ.ПРЕМИУМ ПМ сос п/о мгс 1.5*4_50с</t>
  </si>
  <si>
    <t>ВЕНСКИЕ ПРЕМИУМ сос б/о мгс 0.3кг 6шт.</t>
  </si>
  <si>
    <t>ДЛЯ ДЕТЕЙ сос п/о мгс 0.33кг 8шт.</t>
  </si>
  <si>
    <t xml:space="preserve">ДЛЯ ДЕТЕЙ Папа может сос п/о мгс 0.264кг </t>
  </si>
  <si>
    <t>ДЛЯ ДЕТЕЙ Папа может сос п/о мгс 0.33кг</t>
  </si>
  <si>
    <t xml:space="preserve">БРЕСТСКИЕ сос п/о в/у 0.3кг 8шт. </t>
  </si>
  <si>
    <t>ЛП Донецк (ОПТЫ (МАЛАХУТИН)) - 130439106</t>
  </si>
  <si>
    <t>ЛП Донецк (МАСТЕРОВ) - 130439107</t>
  </si>
  <si>
    <t>ЭКСТРА Папа может вар п/о 0.4кг 8шт_195к</t>
  </si>
  <si>
    <t>САЛО СОЛЕНОЕ С ЧЕРНЫМ ПЕРЦЕМ мл/к в/у</t>
  </si>
  <si>
    <t>БАЛЫК с/к с/н в/у 1/100 10шт_Л11</t>
  </si>
  <si>
    <t>БРАУНШВЕЙГСКАЯ с/к с/н мгс 1/100_Л10</t>
  </si>
  <si>
    <t>ЭКСТРА Папа может с/к с/н в/у 1/100_Л10</t>
  </si>
  <si>
    <t xml:space="preserve">ЛП Луганск </t>
  </si>
  <si>
    <t>Луганск</t>
  </si>
  <si>
    <t>Грация</t>
  </si>
  <si>
    <t>АРОМАТНАЯ с/к с/н в/у 1/100 10шт_Л10 (7613)</t>
  </si>
  <si>
    <t>С ИНДЕЙКОЙ ПМ сос ц/о в/у 1/270 8шт.</t>
  </si>
  <si>
    <t>ВЕТЧ.МЯСНАЯ Папа может п/о 0.4кг 8шт.</t>
  </si>
  <si>
    <t>БЕКОН Останкино с/к с/н в/у 1/180_50с</t>
  </si>
  <si>
    <t>СЕРВЕЛАТ ШВЕЙЦАРСК.в/к с/н в/у 1/100_Л11</t>
  </si>
  <si>
    <t>ДЛЯ ДЕТЕЙ Папа может сос п/о мгс 0.264кг</t>
  </si>
  <si>
    <t>БАЛЫКОВАЯ ПМ п/к в/у 0.31кг 8шт_209к</t>
  </si>
  <si>
    <t xml:space="preserve">ВЕТЧ.ИЗ ЛОПАТКИ Папа может п/о_HRC </t>
  </si>
  <si>
    <t>РИЕТ МЯСНОЙ С ГРИБАМИ ПМ п/о 1/150</t>
  </si>
  <si>
    <t>БАЛЫК И ШЕЙКА с/в с/н мгс 1/90 8шт.</t>
  </si>
  <si>
    <t>СЕРВЕЛАТ КОПЧ.НА БУКЕ в/к в/у 0.35кг_50с</t>
  </si>
  <si>
    <t>ДОКТОРСКАЯ ПРЕМИУМ п/о(п)</t>
  </si>
  <si>
    <t>ЛЮБИТЕЛЬСКАЯ ОСТАНКИНСКАЯ вар ц/о в/у</t>
  </si>
  <si>
    <t>ТЕЛЯЧЬЯ ГОСТ Останкино вар н/о в/у</t>
  </si>
  <si>
    <t>КАРБОНAД ДОМАШНИЙ ПМ к/в кр/к в/у</t>
  </si>
  <si>
    <t>ВОСКРЕСЕНСКАЯ ВЯЛЕНАЯ в/к в/у срез 1/260</t>
  </si>
  <si>
    <t>НОВОМОСКОВСКАЯ в/к в/у срез 0.31кг</t>
  </si>
  <si>
    <t>КРАКОВСКАЯ ГОСТ Останкино п/к н/о мгс</t>
  </si>
  <si>
    <t>КРАКОВСКАЯ ГОСТ п/к н/о мгс 0.3кг</t>
  </si>
  <si>
    <t>КОНСЕРВЫ МЯС.ГОВЯДИНА ТУШ. В/С 338г_ЧЗ</t>
  </si>
  <si>
    <t>КОНСЕРВЫ МЯС.СВИНИНА ТУШ. В/С 325г_ЧЗ</t>
  </si>
  <si>
    <t>ЛИТОВСКАЯ с/к в/у</t>
  </si>
  <si>
    <t>ВЕТЧ.МРАМОРНАЯ в/у срез 0.3кг 6шт_62с</t>
  </si>
  <si>
    <t>СОЧНЫЙ ГРИЛЬ сос ц/о мгс 0.41кг_Даблпак</t>
  </si>
  <si>
    <t>ХОЧУ ВЕТЧ.ИЗ СВ.ОТРУБА мгс 1/100_45с_Л11</t>
  </si>
  <si>
    <t>ХОЧУ ВЕТЧ. МРАМОР. с/н мгс 1/100_45с_Л11</t>
  </si>
  <si>
    <t>ДОМАШНИЙ РЕЦЕПТ Коровино вар п/о_332к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</si>
</sst>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32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i/>
      <sz val="18"/>
      <color indexed="8"/>
      <name val="Calibri"/>
      <family val="2"/>
      <charset val="204"/>
      <scheme val="minor"/>
    </font>
    <font>
      <i/>
      <sz val="18"/>
      <color theme="1"/>
      <name val="Calibri"/>
      <family val="2"/>
      <scheme val="minor"/>
    </font>
    <font>
      <i/>
      <sz val="18"/>
      <name val="Calibri"/>
      <family val="2"/>
      <scheme val="minor"/>
    </font>
    <font>
      <b/>
      <i/>
      <sz val="18"/>
      <color indexed="8"/>
      <name val="Arial"/>
      <family val="2"/>
      <charset val="204"/>
    </font>
    <font>
      <b/>
      <sz val="18"/>
      <color theme="1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</fills>
  <borders count="18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39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0" fillId="0" borderId="0" xfId="0" applyFill="1"/>
    <xf numFmtId="0" fontId="6" fillId="0" borderId="0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4" fontId="0" fillId="0" borderId="0" xfId="0" applyNumberFormat="1" applyBorder="1" applyAlignment="1">
      <alignment horizontal="right"/>
    </xf>
    <xf numFmtId="0" fontId="6" fillId="0" borderId="0" xfId="0" applyFont="1" applyBorder="1" applyAlignment="1">
      <alignment horizontal="right"/>
    </xf>
    <xf numFmtId="2" fontId="6" fillId="0" borderId="0" xfId="0" applyNumberFormat="1" applyFont="1" applyBorder="1" applyAlignment="1">
      <alignment horizontal="right"/>
    </xf>
    <xf numFmtId="0" fontId="8" fillId="0" borderId="0" xfId="0" applyFont="1" applyFill="1" applyBorder="1" applyAlignment="1">
      <alignment vertical="center"/>
    </xf>
    <xf numFmtId="0" fontId="0" fillId="0" borderId="0" xfId="0" applyFill="1" applyBorder="1" applyAlignment="1">
      <alignment horizontal="right"/>
    </xf>
    <xf numFmtId="0" fontId="11" fillId="0" borderId="0" xfId="0" applyFont="1" applyFill="1" applyBorder="1" applyAlignment="1">
      <alignment horizontal="center" vertical="center"/>
    </xf>
    <xf numFmtId="1" fontId="8" fillId="0" borderId="0" xfId="0" applyNumberFormat="1" applyFont="1" applyFill="1" applyBorder="1" applyAlignment="1">
      <alignment horizontal="center" vertical="center"/>
    </xf>
    <xf numFmtId="2" fontId="6" fillId="0" borderId="0" xfId="0" applyNumberFormat="1" applyFont="1" applyFill="1" applyBorder="1" applyAlignment="1">
      <alignment horizontal="right"/>
    </xf>
    <xf numFmtId="0" fontId="20" fillId="0" borderId="8" xfId="0" applyFont="1" applyFill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0" fontId="20" fillId="8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horizontal="left" vertical="center"/>
    </xf>
    <xf numFmtId="0" fontId="20" fillId="0" borderId="8" xfId="0" applyNumberFormat="1" applyFont="1" applyFill="1" applyBorder="1" applyAlignment="1">
      <alignment horizontal="center" vertical="center"/>
    </xf>
    <xf numFmtId="1" fontId="20" fillId="0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left" vertical="center"/>
    </xf>
    <xf numFmtId="0" fontId="22" fillId="8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8" borderId="8" xfId="0" applyNumberFormat="1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9" borderId="8" xfId="0" applyNumberFormat="1" applyFont="1" applyFill="1" applyBorder="1" applyAlignment="1">
      <alignment horizontal="center" vertical="center"/>
    </xf>
    <xf numFmtId="0" fontId="25" fillId="9" borderId="8" xfId="0" applyFont="1" applyFill="1" applyBorder="1" applyAlignment="1">
      <alignment horizontal="center" vertical="center"/>
    </xf>
    <xf numFmtId="0" fontId="20" fillId="9" borderId="8" xfId="0" applyFont="1" applyFill="1" applyBorder="1" applyAlignment="1">
      <alignment horizontal="center" vertical="center"/>
    </xf>
    <xf numFmtId="2" fontId="20" fillId="9" borderId="8" xfId="4" applyNumberFormat="1" applyFont="1" applyFill="1" applyBorder="1" applyAlignment="1">
      <alignment horizontal="center" vertical="center"/>
    </xf>
    <xf numFmtId="0" fontId="21" fillId="0" borderId="8" xfId="0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1" fontId="20" fillId="0" borderId="8" xfId="0" applyNumberFormat="1" applyFont="1" applyFill="1" applyBorder="1" applyAlignment="1">
      <alignment horizontal="left" vertical="center"/>
    </xf>
    <xf numFmtId="0" fontId="22" fillId="0" borderId="8" xfId="0" applyFont="1" applyBorder="1" applyAlignment="1">
      <alignment horizontal="left" vertical="center"/>
    </xf>
    <xf numFmtId="0" fontId="20" fillId="9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left" vertical="center"/>
    </xf>
    <xf numFmtId="0" fontId="20" fillId="0" borderId="14" xfId="0" applyFont="1" applyBorder="1" applyAlignment="1">
      <alignment horizontal="left" vertical="center"/>
    </xf>
    <xf numFmtId="1" fontId="21" fillId="0" borderId="14" xfId="0" applyNumberFormat="1" applyFont="1" applyFill="1" applyBorder="1" applyAlignment="1">
      <alignment horizontal="center" vertical="center"/>
    </xf>
    <xf numFmtId="0" fontId="20" fillId="0" borderId="14" xfId="0" applyNumberFormat="1" applyFont="1" applyFill="1" applyBorder="1" applyAlignment="1">
      <alignment horizontal="center" vertical="center"/>
    </xf>
    <xf numFmtId="1" fontId="20" fillId="0" borderId="14" xfId="0" applyNumberFormat="1" applyFont="1" applyFill="1" applyBorder="1" applyAlignment="1">
      <alignment horizontal="center" vertical="center"/>
    </xf>
    <xf numFmtId="1" fontId="20" fillId="0" borderId="14" xfId="0" applyNumberFormat="1" applyFont="1" applyFill="1" applyBorder="1" applyAlignment="1">
      <alignment horizontal="left" vertical="center"/>
    </xf>
    <xf numFmtId="2" fontId="20" fillId="0" borderId="14" xfId="4" applyNumberFormat="1" applyFont="1" applyFill="1" applyBorder="1" applyAlignment="1">
      <alignment horizontal="center" vertical="center"/>
    </xf>
    <xf numFmtId="0" fontId="6" fillId="5" borderId="15" xfId="0" applyFont="1" applyFill="1" applyBorder="1" applyAlignment="1">
      <alignment horizontal="right"/>
    </xf>
    <xf numFmtId="0" fontId="0" fillId="0" borderId="7" xfId="0" applyBorder="1" applyAlignment="1">
      <alignment vertical="top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5" borderId="0" xfId="0" applyFill="1" applyBorder="1"/>
    <xf numFmtId="0" fontId="0" fillId="0" borderId="0" xfId="0" applyFill="1" applyBorder="1"/>
    <xf numFmtId="0" fontId="0" fillId="0" borderId="0" xfId="0" applyNumberFormat="1"/>
    <xf numFmtId="1" fontId="26" fillId="0" borderId="8" xfId="0" applyNumberFormat="1" applyFont="1" applyFill="1" applyBorder="1" applyAlignment="1">
      <alignment horizontal="center" vertical="center"/>
    </xf>
    <xf numFmtId="0" fontId="20" fillId="10" borderId="8" xfId="0" applyFont="1" applyFill="1" applyBorder="1" applyAlignment="1">
      <alignment horizontal="left" vertical="center"/>
    </xf>
    <xf numFmtId="1" fontId="21" fillId="9" borderId="8" xfId="0" applyNumberFormat="1" applyFont="1" applyFill="1" applyBorder="1" applyAlignment="1">
      <alignment horizontal="center" vertical="center"/>
    </xf>
    <xf numFmtId="0" fontId="27" fillId="9" borderId="8" xfId="0" applyFont="1" applyFill="1" applyBorder="1" applyAlignment="1">
      <alignment horizontal="center" vertical="center"/>
    </xf>
    <xf numFmtId="0" fontId="27" fillId="9" borderId="8" xfId="0" applyFont="1" applyFill="1" applyBorder="1" applyAlignment="1">
      <alignment horizontal="left" vertical="center"/>
    </xf>
    <xf numFmtId="0" fontId="22" fillId="9" borderId="8" xfId="0" applyFont="1" applyFill="1" applyBorder="1" applyAlignment="1">
      <alignment horizontal="center" vertical="center"/>
    </xf>
    <xf numFmtId="2" fontId="22" fillId="9" borderId="8" xfId="4" applyNumberFormat="1" applyFont="1" applyFill="1" applyBorder="1" applyAlignment="1">
      <alignment horizontal="center" vertical="center"/>
    </xf>
    <xf numFmtId="0" fontId="20" fillId="0" borderId="14" xfId="0" applyFont="1" applyFill="1" applyBorder="1" applyAlignment="1">
      <alignment horizontal="left" vertical="center"/>
    </xf>
    <xf numFmtId="0" fontId="28" fillId="9" borderId="8" xfId="0" applyFont="1" applyFill="1" applyBorder="1" applyAlignment="1">
      <alignment horizontal="center" vertical="center"/>
    </xf>
    <xf numFmtId="1" fontId="29" fillId="9" borderId="8" xfId="0" applyNumberFormat="1" applyFont="1" applyFill="1" applyBorder="1" applyAlignment="1">
      <alignment horizontal="center" vertical="center"/>
    </xf>
    <xf numFmtId="0" fontId="30" fillId="9" borderId="8" xfId="0" applyFont="1" applyFill="1" applyBorder="1" applyAlignment="1">
      <alignment horizontal="center" vertical="center"/>
    </xf>
    <xf numFmtId="0" fontId="30" fillId="9" borderId="8" xfId="0" applyFont="1" applyFill="1" applyBorder="1" applyAlignment="1">
      <alignment horizontal="left" vertical="center"/>
    </xf>
    <xf numFmtId="0" fontId="29" fillId="9" borderId="8" xfId="0" applyFont="1" applyFill="1" applyBorder="1" applyAlignment="1">
      <alignment horizontal="center" vertical="center"/>
    </xf>
    <xf numFmtId="2" fontId="29" fillId="9" borderId="8" xfId="4" applyNumberFormat="1" applyFont="1" applyFill="1" applyBorder="1" applyAlignment="1">
      <alignment horizontal="center" vertical="center"/>
    </xf>
    <xf numFmtId="0" fontId="27" fillId="0" borderId="8" xfId="0" applyFont="1" applyFill="1" applyBorder="1" applyAlignment="1">
      <alignment horizontal="left" vertical="center"/>
    </xf>
    <xf numFmtId="0" fontId="22" fillId="0" borderId="8" xfId="0" applyFont="1" applyFill="1" applyBorder="1" applyAlignment="1">
      <alignment horizontal="center" vertical="center"/>
    </xf>
    <xf numFmtId="0" fontId="20" fillId="0" borderId="14" xfId="0" applyFont="1" applyFill="1" applyBorder="1" applyAlignment="1">
      <alignment horizontal="center" vertical="center"/>
    </xf>
    <xf numFmtId="0" fontId="22" fillId="0" borderId="14" xfId="0" applyFont="1" applyBorder="1" applyAlignment="1">
      <alignment horizontal="center" vertical="center"/>
    </xf>
    <xf numFmtId="2" fontId="22" fillId="0" borderId="14" xfId="4" applyNumberFormat="1" applyFont="1" applyFill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0" fillId="0" borderId="0" xfId="0" applyNumberFormat="1" applyFill="1" applyBorder="1"/>
    <xf numFmtId="165" fontId="15" fillId="3" borderId="2" xfId="0" applyNumberFormat="1" applyFont="1" applyFill="1" applyBorder="1" applyAlignment="1">
      <alignment horizontal="center" vertical="center"/>
    </xf>
    <xf numFmtId="0" fontId="31" fillId="0" borderId="0" xfId="0" applyFont="1" applyAlignment="1">
      <alignment horizontal="center"/>
    </xf>
    <xf numFmtId="2" fontId="6" fillId="0" borderId="4" xfId="0" applyNumberFormat="1" applyFont="1" applyBorder="1" applyAlignment="1">
      <alignment horizontal="right"/>
    </xf>
    <xf numFmtId="0" fontId="8" fillId="0" borderId="0" xfId="0" applyFont="1" applyAlignment="1">
      <alignment horizontal="left" vertical="center"/>
    </xf>
    <xf numFmtId="0" fontId="11" fillId="0" borderId="17" xfId="0" applyFont="1" applyBorder="1" applyAlignment="1">
      <alignment horizontal="center" vertical="center"/>
    </xf>
    <xf numFmtId="49" fontId="8" fillId="0" borderId="0" xfId="0" applyNumberFormat="1" applyFont="1" applyAlignment="1">
      <alignment horizontal="left" vertical="center"/>
    </xf>
    <xf numFmtId="2" fontId="0" fillId="0" borderId="7" xfId="0" applyNumberFormat="1" applyBorder="1" applyAlignment="1">
      <alignment vertical="top"/>
    </xf>
    <xf numFmtId="0" fontId="6" fillId="0" borderId="16" xfId="0" applyFont="1" applyBorder="1" applyAlignment="1">
      <alignment horizontal="right"/>
    </xf>
    <xf numFmtId="1" fontId="8" fillId="5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" fontId="8" fillId="0" borderId="6" xfId="0" applyNumberFormat="1" applyFont="1" applyBorder="1" applyAlignment="1">
      <alignment horizontal="center" vertical="center"/>
    </xf>
    <xf numFmtId="0" fontId="0" fillId="5" borderId="8" xfId="0" applyFill="1" applyBorder="1" applyAlignment="1">
      <alignment horizontal="right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FF99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2025_05/&#1056;&#1040;&#1041;&#1054;&#1063;&#1048;&#1049;%20&#1057;&#1058;&#1054;&#1051;/&#1088;&#1072;&#1089;&#1095;&#1077;&#1090;&#1099;%20&#1054;&#1089;&#1090;&#1072;&#1085;&#1082;&#1080;&#1085;&#1086;%20&#1050;&#1048;/&#1047;&#1072;&#1082;&#1072;&#1079;%20&#1051;&#1055;_&#1076;&#1072;&#1090;&#1072;_&#1075;&#1086;&#1088;&#1086;&#1076;%20&#1096;&#1072;&#1073;&#1083;&#1086;&#108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"/>
      <sheetName val="Лист1"/>
    </sheetNames>
    <sheetDataSet>
      <sheetData sheetId="0" refreshError="1">
        <row r="1">
          <cell r="E1" t="str">
            <v>ООО "Логистический партнер"</v>
          </cell>
        </row>
        <row r="3">
          <cell r="E3" t="str">
            <v xml:space="preserve">Доставка: </v>
          </cell>
          <cell r="F3">
            <v>3</v>
          </cell>
        </row>
        <row r="6">
          <cell r="D6" t="str">
            <v xml:space="preserve">Москва :  </v>
          </cell>
        </row>
        <row r="7">
          <cell r="D7" t="str">
            <v>Тип заказа:</v>
          </cell>
          <cell r="E7" t="str">
            <v>ZOR</v>
          </cell>
        </row>
        <row r="9">
          <cell r="D9" t="str">
            <v>Код материала</v>
          </cell>
          <cell r="E9" t="str">
            <v>Заказ кг/шт</v>
          </cell>
          <cell r="F9" t="str">
            <v>Вес нетто,  кг</v>
          </cell>
          <cell r="G9" t="str">
            <v xml:space="preserve">Вес нетто,  кг </v>
          </cell>
          <cell r="H9" t="str">
            <v>Вес нетто короба,      кг</v>
          </cell>
          <cell r="I9" t="str">
            <v>Срок реализации, суток</v>
          </cell>
          <cell r="J9" t="str">
            <v>Примечание</v>
          </cell>
        </row>
        <row r="11">
          <cell r="D11">
            <v>1001010014561</v>
          </cell>
          <cell r="F11">
            <v>1.35</v>
          </cell>
          <cell r="G11">
            <v>0</v>
          </cell>
          <cell r="H11">
            <v>4.05</v>
          </cell>
          <cell r="I11">
            <v>60</v>
          </cell>
        </row>
        <row r="12">
          <cell r="D12">
            <v>1001010017536</v>
          </cell>
          <cell r="F12">
            <v>1.35</v>
          </cell>
          <cell r="G12">
            <v>0</v>
          </cell>
          <cell r="H12">
            <v>4.05</v>
          </cell>
          <cell r="I12">
            <v>60</v>
          </cell>
        </row>
        <row r="13">
          <cell r="D13">
            <v>1001012505851</v>
          </cell>
          <cell r="F13">
            <v>1.35</v>
          </cell>
          <cell r="G13">
            <v>0</v>
          </cell>
          <cell r="H13">
            <v>4.05</v>
          </cell>
          <cell r="I13">
            <v>60</v>
          </cell>
        </row>
        <row r="14">
          <cell r="D14">
            <v>1001012564813</v>
          </cell>
          <cell r="F14">
            <v>1.35</v>
          </cell>
          <cell r="G14">
            <v>0</v>
          </cell>
          <cell r="H14">
            <v>4.05</v>
          </cell>
          <cell r="I14">
            <v>60</v>
          </cell>
        </row>
        <row r="15">
          <cell r="D15">
            <v>1001012634574</v>
          </cell>
          <cell r="F15">
            <v>1.35</v>
          </cell>
          <cell r="G15">
            <v>0</v>
          </cell>
          <cell r="H15">
            <v>4.05</v>
          </cell>
          <cell r="I15">
            <v>60</v>
          </cell>
        </row>
        <row r="16">
          <cell r="D16">
            <v>1001012484063</v>
          </cell>
          <cell r="F16">
            <v>1.35</v>
          </cell>
          <cell r="G16">
            <v>0</v>
          </cell>
          <cell r="H16">
            <v>4.05</v>
          </cell>
          <cell r="I16">
            <v>60</v>
          </cell>
        </row>
        <row r="17">
          <cell r="D17">
            <v>1001012426220</v>
          </cell>
          <cell r="F17">
            <v>1.35</v>
          </cell>
          <cell r="G17">
            <v>0</v>
          </cell>
          <cell r="H17">
            <v>4.05</v>
          </cell>
          <cell r="I17">
            <v>60</v>
          </cell>
        </row>
        <row r="18">
          <cell r="D18">
            <v>1001012456498</v>
          </cell>
          <cell r="F18">
            <v>1</v>
          </cell>
          <cell r="G18">
            <v>0</v>
          </cell>
          <cell r="H18">
            <v>4</v>
          </cell>
          <cell r="I18">
            <v>60</v>
          </cell>
        </row>
        <row r="19">
          <cell r="D19">
            <v>1001015646861</v>
          </cell>
          <cell r="F19">
            <v>1.95</v>
          </cell>
          <cell r="G19">
            <v>0</v>
          </cell>
          <cell r="H19">
            <v>3.9</v>
          </cell>
          <cell r="I19">
            <v>60</v>
          </cell>
        </row>
        <row r="20">
          <cell r="D20">
            <v>1001015706862</v>
          </cell>
          <cell r="F20">
            <v>1.95</v>
          </cell>
          <cell r="G20">
            <v>0</v>
          </cell>
          <cell r="H20">
            <v>3.9</v>
          </cell>
          <cell r="I20">
            <v>60</v>
          </cell>
        </row>
        <row r="21">
          <cell r="D21">
            <v>1001010017539</v>
          </cell>
          <cell r="F21">
            <v>0.35</v>
          </cell>
          <cell r="G21">
            <v>0</v>
          </cell>
          <cell r="H21">
            <v>2.8</v>
          </cell>
          <cell r="I21">
            <v>60</v>
          </cell>
        </row>
        <row r="22">
          <cell r="D22">
            <v>1001012637334</v>
          </cell>
          <cell r="F22">
            <v>0.4</v>
          </cell>
          <cell r="G22">
            <v>0</v>
          </cell>
          <cell r="H22">
            <v>3.2</v>
          </cell>
          <cell r="I22">
            <v>60</v>
          </cell>
        </row>
        <row r="23">
          <cell r="D23">
            <v>1001010106325</v>
          </cell>
          <cell r="F23">
            <v>0.4</v>
          </cell>
          <cell r="G23">
            <v>0</v>
          </cell>
          <cell r="H23">
            <v>3.2</v>
          </cell>
          <cell r="I23">
            <v>60</v>
          </cell>
        </row>
        <row r="24">
          <cell r="D24">
            <v>1001010108014</v>
          </cell>
          <cell r="F24">
            <v>1.35</v>
          </cell>
          <cell r="G24">
            <v>0</v>
          </cell>
          <cell r="H24">
            <v>5.4</v>
          </cell>
          <cell r="I24">
            <v>60</v>
          </cell>
        </row>
        <row r="25">
          <cell r="D25">
            <v>1001012507632</v>
          </cell>
          <cell r="F25">
            <v>0.4</v>
          </cell>
          <cell r="G25">
            <v>0</v>
          </cell>
          <cell r="H25">
            <v>3.2</v>
          </cell>
          <cell r="I25">
            <v>60</v>
          </cell>
        </row>
        <row r="26">
          <cell r="D26">
            <v>1001012427523</v>
          </cell>
          <cell r="F26">
            <v>0.4</v>
          </cell>
          <cell r="G26">
            <v>0</v>
          </cell>
          <cell r="H26">
            <v>2.4</v>
          </cell>
          <cell r="I26">
            <v>60</v>
          </cell>
        </row>
        <row r="27">
          <cell r="D27">
            <v>1001012816340</v>
          </cell>
          <cell r="F27">
            <v>0.5</v>
          </cell>
          <cell r="G27">
            <v>0</v>
          </cell>
          <cell r="H27">
            <v>4</v>
          </cell>
          <cell r="I27">
            <v>60</v>
          </cell>
          <cell r="J27" t="str">
            <v>заблокирован</v>
          </cell>
        </row>
        <row r="28">
          <cell r="D28">
            <v>1001012816341</v>
          </cell>
          <cell r="F28">
            <v>0.5</v>
          </cell>
          <cell r="G28">
            <v>0</v>
          </cell>
          <cell r="H28">
            <v>4</v>
          </cell>
          <cell r="I28">
            <v>60</v>
          </cell>
          <cell r="J28" t="str">
            <v>заблокирован</v>
          </cell>
        </row>
        <row r="29">
          <cell r="D29">
            <v>1001012486333</v>
          </cell>
          <cell r="F29">
            <v>0.4</v>
          </cell>
          <cell r="G29">
            <v>0</v>
          </cell>
          <cell r="H29">
            <v>3.2</v>
          </cell>
          <cell r="I29">
            <v>60</v>
          </cell>
        </row>
        <row r="30">
          <cell r="D30">
            <v>1001012566392</v>
          </cell>
          <cell r="F30">
            <v>0.4</v>
          </cell>
          <cell r="G30">
            <v>0</v>
          </cell>
          <cell r="H30">
            <v>3.2</v>
          </cell>
          <cell r="I30">
            <v>60</v>
          </cell>
        </row>
        <row r="31">
          <cell r="D31">
            <v>1001016747343</v>
          </cell>
          <cell r="F31">
            <v>0.4</v>
          </cell>
          <cell r="G31">
            <v>0</v>
          </cell>
          <cell r="H31">
            <v>3.2</v>
          </cell>
          <cell r="I31">
            <v>60</v>
          </cell>
        </row>
        <row r="32">
          <cell r="D32">
            <v>1001015026797</v>
          </cell>
          <cell r="F32">
            <v>0.4</v>
          </cell>
          <cell r="G32">
            <v>0</v>
          </cell>
          <cell r="H32">
            <v>3.2</v>
          </cell>
          <cell r="I32">
            <v>60</v>
          </cell>
        </row>
        <row r="33">
          <cell r="D33">
            <v>1001013957231</v>
          </cell>
          <cell r="F33">
            <v>0.3</v>
          </cell>
          <cell r="G33">
            <v>0</v>
          </cell>
          <cell r="H33">
            <v>2.4</v>
          </cell>
          <cell r="I33">
            <v>60</v>
          </cell>
        </row>
        <row r="34">
          <cell r="D34">
            <v>1001017557514</v>
          </cell>
          <cell r="F34">
            <v>1.6</v>
          </cell>
          <cell r="G34">
            <v>0</v>
          </cell>
          <cell r="H34">
            <v>6.4</v>
          </cell>
          <cell r="I34">
            <v>30</v>
          </cell>
          <cell r="J34" t="str">
            <v>Новинка</v>
          </cell>
        </row>
        <row r="35">
          <cell r="D35">
            <v>1001017567518</v>
          </cell>
          <cell r="F35">
            <v>1.35</v>
          </cell>
          <cell r="G35">
            <v>0</v>
          </cell>
          <cell r="H35">
            <v>2.7</v>
          </cell>
          <cell r="I35">
            <v>30</v>
          </cell>
          <cell r="J35" t="str">
            <v>Новинка</v>
          </cell>
        </row>
        <row r="37">
          <cell r="D37">
            <v>1001023696767</v>
          </cell>
          <cell r="F37">
            <v>1.04</v>
          </cell>
          <cell r="G37">
            <v>0</v>
          </cell>
          <cell r="H37">
            <v>4.16</v>
          </cell>
          <cell r="I37">
            <v>45</v>
          </cell>
        </row>
        <row r="38">
          <cell r="D38">
            <v>1001020836761</v>
          </cell>
          <cell r="F38">
            <v>1</v>
          </cell>
          <cell r="G38">
            <v>0</v>
          </cell>
          <cell r="H38">
            <v>4</v>
          </cell>
          <cell r="I38">
            <v>30</v>
          </cell>
        </row>
        <row r="39">
          <cell r="D39">
            <v>1001020846764</v>
          </cell>
          <cell r="F39">
            <v>1</v>
          </cell>
          <cell r="G39">
            <v>0</v>
          </cell>
          <cell r="H39">
            <v>4</v>
          </cell>
          <cell r="I39">
            <v>45</v>
          </cell>
        </row>
        <row r="40">
          <cell r="D40">
            <v>1001022556254</v>
          </cell>
          <cell r="F40">
            <v>1.5</v>
          </cell>
          <cell r="G40">
            <v>0</v>
          </cell>
          <cell r="H40">
            <v>3</v>
          </cell>
          <cell r="I40">
            <v>45</v>
          </cell>
        </row>
        <row r="41">
          <cell r="D41">
            <v>1001022657075</v>
          </cell>
          <cell r="F41">
            <v>1.5</v>
          </cell>
          <cell r="G41">
            <v>0</v>
          </cell>
          <cell r="H41">
            <v>6</v>
          </cell>
          <cell r="I41">
            <v>50</v>
          </cell>
        </row>
        <row r="42">
          <cell r="D42">
            <v>1001022467083</v>
          </cell>
          <cell r="F42">
            <v>1.5</v>
          </cell>
          <cell r="G42">
            <v>0</v>
          </cell>
          <cell r="H42">
            <v>6</v>
          </cell>
          <cell r="I42">
            <v>50</v>
          </cell>
        </row>
        <row r="43">
          <cell r="D43">
            <v>1001024976829</v>
          </cell>
          <cell r="F43">
            <v>2.1</v>
          </cell>
          <cell r="G43">
            <v>0</v>
          </cell>
          <cell r="H43">
            <v>8.4</v>
          </cell>
          <cell r="I43">
            <v>45</v>
          </cell>
        </row>
        <row r="44">
          <cell r="D44">
            <v>1001022377070</v>
          </cell>
          <cell r="F44">
            <v>1.5</v>
          </cell>
          <cell r="G44">
            <v>0</v>
          </cell>
          <cell r="H44">
            <v>6</v>
          </cell>
          <cell r="I44">
            <v>50</v>
          </cell>
        </row>
        <row r="45">
          <cell r="D45">
            <v>1001022657076</v>
          </cell>
          <cell r="F45">
            <v>1.5</v>
          </cell>
          <cell r="G45">
            <v>0</v>
          </cell>
          <cell r="H45">
            <v>6</v>
          </cell>
          <cell r="I45">
            <v>50</v>
          </cell>
        </row>
        <row r="46">
          <cell r="D46">
            <v>1001025507271</v>
          </cell>
          <cell r="F46">
            <v>1.5</v>
          </cell>
          <cell r="G46">
            <v>0</v>
          </cell>
          <cell r="H46">
            <v>6</v>
          </cell>
          <cell r="I46">
            <v>50</v>
          </cell>
        </row>
        <row r="47">
          <cell r="D47">
            <v>1001022726303</v>
          </cell>
          <cell r="F47">
            <v>1.5</v>
          </cell>
          <cell r="G47">
            <v>0</v>
          </cell>
          <cell r="H47">
            <v>4.5</v>
          </cell>
          <cell r="I47">
            <v>45</v>
          </cell>
        </row>
        <row r="48">
          <cell r="D48">
            <v>1001022246661</v>
          </cell>
          <cell r="F48">
            <v>1.5</v>
          </cell>
          <cell r="G48">
            <v>0</v>
          </cell>
          <cell r="H48">
            <v>6</v>
          </cell>
          <cell r="I48">
            <v>45</v>
          </cell>
        </row>
        <row r="49">
          <cell r="D49">
            <v>1001020836759</v>
          </cell>
          <cell r="F49">
            <v>0.4</v>
          </cell>
          <cell r="G49">
            <v>0</v>
          </cell>
          <cell r="H49">
            <v>2.8</v>
          </cell>
          <cell r="I49">
            <v>30</v>
          </cell>
        </row>
        <row r="50">
          <cell r="D50">
            <v>1001020846762</v>
          </cell>
          <cell r="F50">
            <v>0.41</v>
          </cell>
          <cell r="G50">
            <v>0</v>
          </cell>
          <cell r="H50">
            <v>3.28</v>
          </cell>
          <cell r="I50">
            <v>45</v>
          </cell>
        </row>
        <row r="51">
          <cell r="D51">
            <v>1001023696765</v>
          </cell>
          <cell r="F51">
            <v>0.36</v>
          </cell>
          <cell r="G51">
            <v>0</v>
          </cell>
          <cell r="H51">
            <v>2.16</v>
          </cell>
          <cell r="I51">
            <v>45</v>
          </cell>
        </row>
        <row r="52">
          <cell r="D52">
            <v>1001022657074</v>
          </cell>
          <cell r="F52">
            <v>0.6</v>
          </cell>
          <cell r="G52">
            <v>0</v>
          </cell>
          <cell r="H52">
            <v>4.8</v>
          </cell>
          <cell r="I52">
            <v>50</v>
          </cell>
        </row>
        <row r="53">
          <cell r="D53">
            <v>1001020867123</v>
          </cell>
          <cell r="F53">
            <v>0.3</v>
          </cell>
          <cell r="G53">
            <v>0</v>
          </cell>
          <cell r="H53">
            <v>1.8</v>
          </cell>
          <cell r="I53">
            <v>45</v>
          </cell>
        </row>
        <row r="54">
          <cell r="D54">
            <v>1001022725819</v>
          </cell>
          <cell r="F54">
            <v>0.4</v>
          </cell>
          <cell r="G54">
            <v>0</v>
          </cell>
          <cell r="H54">
            <v>3.2</v>
          </cell>
          <cell r="I54">
            <v>45</v>
          </cell>
        </row>
        <row r="55">
          <cell r="D55">
            <v>1001025176475</v>
          </cell>
          <cell r="F55">
            <v>0.4</v>
          </cell>
          <cell r="G55">
            <v>0</v>
          </cell>
          <cell r="H55">
            <v>2.4</v>
          </cell>
          <cell r="I55">
            <v>45</v>
          </cell>
        </row>
        <row r="56">
          <cell r="D56">
            <v>1001025767284</v>
          </cell>
          <cell r="F56">
            <v>0.33</v>
          </cell>
          <cell r="G56">
            <v>0</v>
          </cell>
          <cell r="H56">
            <v>1.98</v>
          </cell>
          <cell r="I56">
            <v>30</v>
          </cell>
          <cell r="J56" t="str">
            <v>заблокирован</v>
          </cell>
        </row>
        <row r="57">
          <cell r="D57">
            <v>1001025767461</v>
          </cell>
          <cell r="F57">
            <v>0.33</v>
          </cell>
          <cell r="G57">
            <v>0</v>
          </cell>
          <cell r="H57">
            <v>1.98</v>
          </cell>
          <cell r="I57">
            <v>30</v>
          </cell>
        </row>
        <row r="58">
          <cell r="D58">
            <v>1001025767601</v>
          </cell>
          <cell r="F58">
            <v>0.26400000000000001</v>
          </cell>
          <cell r="G58">
            <v>0</v>
          </cell>
          <cell r="H58">
            <v>1.58</v>
          </cell>
          <cell r="I58">
            <v>30</v>
          </cell>
        </row>
        <row r="59">
          <cell r="D59">
            <v>1001026947371</v>
          </cell>
          <cell r="F59">
            <v>0.3</v>
          </cell>
          <cell r="G59">
            <v>0</v>
          </cell>
          <cell r="H59">
            <v>2.4</v>
          </cell>
          <cell r="I59">
            <v>45</v>
          </cell>
          <cell r="J59" t="str">
            <v>заблокирован</v>
          </cell>
        </row>
        <row r="60">
          <cell r="D60">
            <v>1001022556837</v>
          </cell>
          <cell r="F60">
            <v>0.4</v>
          </cell>
          <cell r="G60">
            <v>0</v>
          </cell>
          <cell r="H60">
            <v>2.4</v>
          </cell>
          <cell r="I60">
            <v>45</v>
          </cell>
        </row>
        <row r="61">
          <cell r="D61">
            <v>1001022467080</v>
          </cell>
          <cell r="F61">
            <v>0.41</v>
          </cell>
          <cell r="G61">
            <v>0</v>
          </cell>
          <cell r="H61">
            <v>4.0999999999999996</v>
          </cell>
          <cell r="I61">
            <v>50</v>
          </cell>
        </row>
        <row r="62">
          <cell r="D62">
            <v>1001020836724</v>
          </cell>
          <cell r="F62">
            <v>0.41</v>
          </cell>
          <cell r="G62">
            <v>0</v>
          </cell>
          <cell r="H62">
            <v>4.0999999999999996</v>
          </cell>
          <cell r="I62">
            <v>45</v>
          </cell>
        </row>
        <row r="63">
          <cell r="D63">
            <v>1001022377066</v>
          </cell>
          <cell r="F63">
            <v>0.41</v>
          </cell>
          <cell r="G63">
            <v>0</v>
          </cell>
          <cell r="H63">
            <v>4.0999999999999996</v>
          </cell>
          <cell r="I63">
            <v>50</v>
          </cell>
        </row>
        <row r="64">
          <cell r="D64">
            <v>1001022246713</v>
          </cell>
          <cell r="F64">
            <v>0.41</v>
          </cell>
          <cell r="G64">
            <v>0</v>
          </cell>
          <cell r="H64">
            <v>3.28</v>
          </cell>
          <cell r="I64">
            <v>45</v>
          </cell>
          <cell r="J64" t="str">
            <v>Закрытие кода, ротация на код 7490</v>
          </cell>
        </row>
        <row r="65">
          <cell r="D65">
            <v>1001027417490</v>
          </cell>
          <cell r="F65">
            <v>0.41</v>
          </cell>
          <cell r="G65">
            <v>0</v>
          </cell>
          <cell r="H65">
            <v>3.28</v>
          </cell>
          <cell r="I65">
            <v>45</v>
          </cell>
          <cell r="J65" t="str">
            <v>Ротация кода 6713</v>
          </cell>
        </row>
        <row r="66">
          <cell r="D66">
            <v>1001025507255</v>
          </cell>
          <cell r="F66">
            <v>0.4</v>
          </cell>
          <cell r="G66">
            <v>0</v>
          </cell>
          <cell r="H66">
            <v>2.4</v>
          </cell>
          <cell r="I66">
            <v>50</v>
          </cell>
        </row>
        <row r="67">
          <cell r="D67">
            <v>1001021966602</v>
          </cell>
          <cell r="F67">
            <v>0.35</v>
          </cell>
          <cell r="G67">
            <v>0</v>
          </cell>
          <cell r="H67">
            <v>2.8</v>
          </cell>
          <cell r="I67">
            <v>45</v>
          </cell>
        </row>
        <row r="68">
          <cell r="D68">
            <v>1001025027040</v>
          </cell>
          <cell r="F68">
            <v>0.27</v>
          </cell>
          <cell r="G68">
            <v>0</v>
          </cell>
          <cell r="H68">
            <v>2.16</v>
          </cell>
          <cell r="I68">
            <v>45</v>
          </cell>
        </row>
        <row r="69">
          <cell r="D69">
            <v>1001021007521</v>
          </cell>
          <cell r="F69">
            <v>0.5</v>
          </cell>
          <cell r="G69">
            <v>0</v>
          </cell>
          <cell r="H69">
            <v>5</v>
          </cell>
          <cell r="I69">
            <v>45</v>
          </cell>
          <cell r="J69" t="str">
            <v>Закрытие кода</v>
          </cell>
        </row>
        <row r="70">
          <cell r="D70">
            <v>1001022657073</v>
          </cell>
          <cell r="F70">
            <v>0.35</v>
          </cell>
          <cell r="G70">
            <v>0</v>
          </cell>
          <cell r="H70">
            <v>2.8</v>
          </cell>
          <cell r="I70">
            <v>50</v>
          </cell>
        </row>
        <row r="71">
          <cell r="D71">
            <v>1001022467276</v>
          </cell>
          <cell r="F71">
            <v>0.3</v>
          </cell>
          <cell r="G71">
            <v>0</v>
          </cell>
          <cell r="H71">
            <v>2.1</v>
          </cell>
          <cell r="I71">
            <v>50</v>
          </cell>
        </row>
        <row r="72">
          <cell r="D72">
            <v>1001024976616</v>
          </cell>
          <cell r="F72">
            <v>0.3</v>
          </cell>
          <cell r="G72">
            <v>0</v>
          </cell>
          <cell r="H72">
            <v>2.4</v>
          </cell>
          <cell r="I72">
            <v>45</v>
          </cell>
        </row>
        <row r="73">
          <cell r="D73">
            <v>1001025167044</v>
          </cell>
          <cell r="F73">
            <v>0.32</v>
          </cell>
          <cell r="G73">
            <v>0</v>
          </cell>
          <cell r="H73">
            <v>2.56</v>
          </cell>
          <cell r="I73">
            <v>45</v>
          </cell>
        </row>
        <row r="74">
          <cell r="D74">
            <v>1001027067385</v>
          </cell>
          <cell r="F74">
            <v>0.33</v>
          </cell>
          <cell r="G74">
            <v>0</v>
          </cell>
          <cell r="H74">
            <v>2.64</v>
          </cell>
          <cell r="I74">
            <v>45</v>
          </cell>
          <cell r="J74" t="str">
            <v>заблокирован</v>
          </cell>
        </row>
        <row r="75">
          <cell r="D75">
            <v>1001027247460</v>
          </cell>
          <cell r="F75">
            <v>0.33</v>
          </cell>
          <cell r="G75">
            <v>0</v>
          </cell>
          <cell r="H75">
            <v>2.64</v>
          </cell>
          <cell r="I75">
            <v>45</v>
          </cell>
          <cell r="J75" t="str">
            <v>заблокирован</v>
          </cell>
        </row>
        <row r="77">
          <cell r="D77">
            <v>1001031076527</v>
          </cell>
          <cell r="F77">
            <v>1</v>
          </cell>
          <cell r="G77">
            <v>0</v>
          </cell>
          <cell r="H77">
            <v>3</v>
          </cell>
          <cell r="I77">
            <v>45</v>
          </cell>
        </row>
        <row r="78">
          <cell r="D78">
            <v>1001032736550</v>
          </cell>
          <cell r="F78">
            <v>1</v>
          </cell>
          <cell r="G78">
            <v>0</v>
          </cell>
          <cell r="H78">
            <v>3</v>
          </cell>
          <cell r="I78">
            <v>45</v>
          </cell>
        </row>
        <row r="79">
          <cell r="D79">
            <v>1001032736549</v>
          </cell>
          <cell r="F79">
            <v>1</v>
          </cell>
          <cell r="G79">
            <v>0</v>
          </cell>
          <cell r="H79">
            <v>3</v>
          </cell>
          <cell r="I79">
            <v>45</v>
          </cell>
        </row>
        <row r="80">
          <cell r="D80">
            <v>1001035937001</v>
          </cell>
          <cell r="F80">
            <v>1</v>
          </cell>
          <cell r="G80">
            <v>0</v>
          </cell>
          <cell r="H80">
            <v>3</v>
          </cell>
          <cell r="I80">
            <v>45</v>
          </cell>
        </row>
        <row r="81">
          <cell r="D81">
            <v>1001033856608</v>
          </cell>
          <cell r="F81">
            <v>1</v>
          </cell>
          <cell r="G81">
            <v>0</v>
          </cell>
          <cell r="H81">
            <v>3</v>
          </cell>
          <cell r="I81">
            <v>45</v>
          </cell>
        </row>
        <row r="82">
          <cell r="D82">
            <v>1001035277059</v>
          </cell>
          <cell r="F82">
            <v>0.3</v>
          </cell>
          <cell r="G82">
            <v>0</v>
          </cell>
          <cell r="H82">
            <v>2.4</v>
          </cell>
          <cell r="I82">
            <v>60</v>
          </cell>
        </row>
        <row r="83">
          <cell r="D83">
            <v>1001033856609</v>
          </cell>
          <cell r="F83">
            <v>0.4</v>
          </cell>
          <cell r="G83">
            <v>0</v>
          </cell>
          <cell r="H83">
            <v>2.4</v>
          </cell>
          <cell r="I83">
            <v>45</v>
          </cell>
        </row>
        <row r="85">
          <cell r="D85">
            <v>1001303637564</v>
          </cell>
          <cell r="F85">
            <v>0.84</v>
          </cell>
          <cell r="G85">
            <v>0</v>
          </cell>
          <cell r="H85">
            <v>5.04</v>
          </cell>
          <cell r="I85">
            <v>45</v>
          </cell>
        </row>
        <row r="86">
          <cell r="D86">
            <v>1001300367133</v>
          </cell>
          <cell r="F86">
            <v>0.84</v>
          </cell>
          <cell r="G86">
            <v>0</v>
          </cell>
          <cell r="H86">
            <v>5.04</v>
          </cell>
          <cell r="I86">
            <v>45</v>
          </cell>
        </row>
        <row r="87">
          <cell r="D87">
            <v>1001300456946</v>
          </cell>
          <cell r="F87">
            <v>0.84</v>
          </cell>
          <cell r="G87">
            <v>0</v>
          </cell>
          <cell r="H87">
            <v>5.04</v>
          </cell>
          <cell r="I87">
            <v>45</v>
          </cell>
        </row>
        <row r="88">
          <cell r="D88">
            <v>1001300517132</v>
          </cell>
          <cell r="F88">
            <v>0.84</v>
          </cell>
          <cell r="G88">
            <v>0</v>
          </cell>
          <cell r="H88">
            <v>5.04</v>
          </cell>
          <cell r="I88">
            <v>45</v>
          </cell>
        </row>
        <row r="89">
          <cell r="D89">
            <v>1001051875544</v>
          </cell>
          <cell r="F89">
            <v>0.81</v>
          </cell>
          <cell r="G89">
            <v>0</v>
          </cell>
          <cell r="H89">
            <v>4.8600000000000003</v>
          </cell>
          <cell r="I89">
            <v>45</v>
          </cell>
        </row>
        <row r="90">
          <cell r="D90">
            <v>1001303637149</v>
          </cell>
          <cell r="F90">
            <v>0.84</v>
          </cell>
          <cell r="G90">
            <v>0</v>
          </cell>
          <cell r="H90">
            <v>5.04</v>
          </cell>
          <cell r="I90">
            <v>50</v>
          </cell>
        </row>
        <row r="91">
          <cell r="D91">
            <v>1001300387157</v>
          </cell>
          <cell r="F91">
            <v>0.63</v>
          </cell>
          <cell r="G91">
            <v>0</v>
          </cell>
          <cell r="H91">
            <v>5.04</v>
          </cell>
          <cell r="I91">
            <v>50</v>
          </cell>
        </row>
        <row r="92">
          <cell r="D92">
            <v>1001303987166</v>
          </cell>
          <cell r="F92">
            <v>0.7</v>
          </cell>
          <cell r="G92">
            <v>0</v>
          </cell>
          <cell r="H92">
            <v>5.6</v>
          </cell>
          <cell r="I92">
            <v>50</v>
          </cell>
        </row>
        <row r="93">
          <cell r="D93">
            <v>1001303637603</v>
          </cell>
          <cell r="F93">
            <v>0.33</v>
          </cell>
          <cell r="G93">
            <v>0</v>
          </cell>
          <cell r="H93">
            <v>2.64</v>
          </cell>
          <cell r="I93">
            <v>45</v>
          </cell>
        </row>
        <row r="94">
          <cell r="D94">
            <v>1001307357489</v>
          </cell>
          <cell r="F94">
            <v>0.28000000000000003</v>
          </cell>
          <cell r="G94">
            <v>0</v>
          </cell>
          <cell r="H94">
            <v>2.2400000000000002</v>
          </cell>
          <cell r="I94">
            <v>45</v>
          </cell>
          <cell r="J94" t="str">
            <v>Закрытие кода</v>
          </cell>
        </row>
        <row r="95">
          <cell r="D95">
            <v>1001300366807</v>
          </cell>
          <cell r="F95">
            <v>0.33</v>
          </cell>
          <cell r="G95">
            <v>0</v>
          </cell>
          <cell r="H95">
            <v>2.64</v>
          </cell>
          <cell r="I95">
            <v>45</v>
          </cell>
        </row>
        <row r="96">
          <cell r="D96">
            <v>1001300456787</v>
          </cell>
          <cell r="F96">
            <v>0.33</v>
          </cell>
          <cell r="G96">
            <v>0</v>
          </cell>
          <cell r="H96">
            <v>2.64</v>
          </cell>
          <cell r="I96">
            <v>45</v>
          </cell>
        </row>
        <row r="97">
          <cell r="D97">
            <v>1001301876697</v>
          </cell>
          <cell r="F97">
            <v>0.35</v>
          </cell>
          <cell r="G97">
            <v>0</v>
          </cell>
          <cell r="H97">
            <v>2.8</v>
          </cell>
          <cell r="I97">
            <v>45</v>
          </cell>
        </row>
        <row r="98">
          <cell r="D98">
            <v>1001303987169</v>
          </cell>
          <cell r="F98">
            <v>0.35</v>
          </cell>
          <cell r="G98">
            <v>0</v>
          </cell>
          <cell r="H98">
            <v>2.8</v>
          </cell>
          <cell r="I98">
            <v>50</v>
          </cell>
        </row>
        <row r="99">
          <cell r="D99">
            <v>1001303637233</v>
          </cell>
          <cell r="F99">
            <v>0.31</v>
          </cell>
          <cell r="G99">
            <v>0</v>
          </cell>
          <cell r="H99">
            <v>2.48</v>
          </cell>
          <cell r="I99">
            <v>45</v>
          </cell>
        </row>
        <row r="100">
          <cell r="D100">
            <v>1001304507236</v>
          </cell>
          <cell r="F100">
            <v>0.28000000000000003</v>
          </cell>
          <cell r="G100">
            <v>0</v>
          </cell>
          <cell r="H100">
            <v>2.2400000000000002</v>
          </cell>
          <cell r="I100">
            <v>45</v>
          </cell>
        </row>
        <row r="101">
          <cell r="D101">
            <v>1001302347177</v>
          </cell>
          <cell r="F101">
            <v>0.35</v>
          </cell>
          <cell r="G101">
            <v>0</v>
          </cell>
          <cell r="H101">
            <v>2.8</v>
          </cell>
          <cell r="I101">
            <v>50</v>
          </cell>
        </row>
        <row r="102">
          <cell r="D102">
            <v>1001302277232</v>
          </cell>
          <cell r="F102">
            <v>0.28000000000000003</v>
          </cell>
          <cell r="G102">
            <v>0</v>
          </cell>
          <cell r="H102">
            <v>2.2400000000000002</v>
          </cell>
          <cell r="I102">
            <v>50</v>
          </cell>
        </row>
        <row r="103">
          <cell r="D103">
            <v>1001304237156</v>
          </cell>
          <cell r="F103">
            <v>0.35</v>
          </cell>
          <cell r="G103">
            <v>0</v>
          </cell>
          <cell r="H103">
            <v>2.8</v>
          </cell>
          <cell r="I103">
            <v>50</v>
          </cell>
          <cell r="J103" t="str">
            <v>Новинка</v>
          </cell>
        </row>
        <row r="104">
          <cell r="D104">
            <v>1001307587710</v>
          </cell>
          <cell r="F104">
            <v>0.3</v>
          </cell>
          <cell r="G104">
            <v>0</v>
          </cell>
          <cell r="H104">
            <v>2.4</v>
          </cell>
          <cell r="I104">
            <v>45</v>
          </cell>
          <cell r="J104" t="str">
            <v>Новинка</v>
          </cell>
        </row>
        <row r="105">
          <cell r="D105">
            <v>1001307587562</v>
          </cell>
          <cell r="F105">
            <v>0.35</v>
          </cell>
          <cell r="G105">
            <v>0</v>
          </cell>
          <cell r="H105">
            <v>2.8</v>
          </cell>
          <cell r="I105">
            <v>45</v>
          </cell>
          <cell r="J105" t="str">
            <v>Новинка</v>
          </cell>
        </row>
        <row r="106">
          <cell r="D106">
            <v>1001307107516</v>
          </cell>
          <cell r="F106">
            <v>0.31</v>
          </cell>
          <cell r="G106">
            <v>0</v>
          </cell>
          <cell r="H106">
            <v>2.48</v>
          </cell>
          <cell r="I106">
            <v>45</v>
          </cell>
          <cell r="J106" t="str">
            <v>Новинка</v>
          </cell>
        </row>
        <row r="107">
          <cell r="D107">
            <v>1001307077513</v>
          </cell>
          <cell r="F107">
            <v>0.26</v>
          </cell>
          <cell r="G107">
            <v>0</v>
          </cell>
          <cell r="H107">
            <v>2.08</v>
          </cell>
          <cell r="I107">
            <v>45</v>
          </cell>
          <cell r="J107" t="str">
            <v>Новинка</v>
          </cell>
        </row>
        <row r="108">
          <cell r="D108">
            <v>1001300387154</v>
          </cell>
          <cell r="F108">
            <v>0.35</v>
          </cell>
          <cell r="G108">
            <v>0</v>
          </cell>
          <cell r="H108">
            <v>2.8</v>
          </cell>
          <cell r="I108">
            <v>50</v>
          </cell>
        </row>
        <row r="109">
          <cell r="D109">
            <v>1001305197238</v>
          </cell>
          <cell r="F109">
            <v>0.31</v>
          </cell>
          <cell r="G109">
            <v>0</v>
          </cell>
          <cell r="H109">
            <v>2.48</v>
          </cell>
          <cell r="I109">
            <v>45</v>
          </cell>
        </row>
        <row r="110">
          <cell r="D110">
            <v>1001304497237</v>
          </cell>
          <cell r="F110">
            <v>0.28000000000000003</v>
          </cell>
          <cell r="G110">
            <v>0</v>
          </cell>
          <cell r="H110">
            <v>2.2400000000000002</v>
          </cell>
          <cell r="I110">
            <v>45</v>
          </cell>
          <cell r="J110" t="str">
            <v>заблокирован</v>
          </cell>
        </row>
        <row r="111">
          <cell r="D111">
            <v>1001303107241</v>
          </cell>
          <cell r="F111">
            <v>0.28000000000000003</v>
          </cell>
          <cell r="G111">
            <v>0</v>
          </cell>
          <cell r="H111">
            <v>2.2400000000000002</v>
          </cell>
          <cell r="I111">
            <v>45</v>
          </cell>
        </row>
        <row r="112">
          <cell r="D112">
            <v>1001301777332</v>
          </cell>
          <cell r="F112">
            <v>0.28000000000000003</v>
          </cell>
          <cell r="G112">
            <v>0</v>
          </cell>
          <cell r="H112">
            <v>2.2400000000000002</v>
          </cell>
          <cell r="I112">
            <v>50</v>
          </cell>
          <cell r="J112" t="str">
            <v>Закрытие с 01.10.26</v>
          </cell>
        </row>
        <row r="113">
          <cell r="D113">
            <v>1001303987333</v>
          </cell>
          <cell r="F113">
            <v>0.28000000000000003</v>
          </cell>
          <cell r="G113">
            <v>0</v>
          </cell>
          <cell r="H113">
            <v>2.2400000000000002</v>
          </cell>
          <cell r="I113">
            <v>50</v>
          </cell>
          <cell r="J113" t="str">
            <v>Закрытие с 01.10.26</v>
          </cell>
        </row>
        <row r="114">
          <cell r="D114">
            <v>1001304197608</v>
          </cell>
          <cell r="F114">
            <v>0.1</v>
          </cell>
          <cell r="G114">
            <v>0</v>
          </cell>
          <cell r="H114">
            <v>1</v>
          </cell>
          <cell r="I114">
            <v>45</v>
          </cell>
        </row>
        <row r="115">
          <cell r="D115">
            <v>1001306717610</v>
          </cell>
          <cell r="F115">
            <v>0.1</v>
          </cell>
          <cell r="G115">
            <v>0</v>
          </cell>
          <cell r="H115">
            <v>1</v>
          </cell>
          <cell r="I115">
            <v>45</v>
          </cell>
          <cell r="J115" t="str">
            <v>Закрытие с 28.09.26</v>
          </cell>
        </row>
        <row r="117">
          <cell r="D117">
            <v>1001060720614</v>
          </cell>
          <cell r="F117">
            <v>0.52</v>
          </cell>
          <cell r="G117">
            <v>0</v>
          </cell>
          <cell r="H117">
            <v>3.64</v>
          </cell>
          <cell r="I117">
            <v>120</v>
          </cell>
        </row>
        <row r="118">
          <cell r="D118">
            <v>1001060763287</v>
          </cell>
          <cell r="F118">
            <v>0.48799999999999999</v>
          </cell>
          <cell r="G118">
            <v>0</v>
          </cell>
          <cell r="H118">
            <v>3.9</v>
          </cell>
          <cell r="I118">
            <v>120</v>
          </cell>
        </row>
        <row r="119">
          <cell r="D119">
            <v>1001063145708</v>
          </cell>
          <cell r="F119">
            <v>0.5</v>
          </cell>
          <cell r="G119">
            <v>0</v>
          </cell>
          <cell r="H119">
            <v>4</v>
          </cell>
          <cell r="I119">
            <v>120</v>
          </cell>
          <cell r="J119" t="str">
            <v>Закрытие с 01.10, ротация на код 7700</v>
          </cell>
        </row>
        <row r="120">
          <cell r="D120">
            <v>1001067977700</v>
          </cell>
          <cell r="F120">
            <v>0.44</v>
          </cell>
          <cell r="G120">
            <v>0</v>
          </cell>
          <cell r="H120">
            <v>3.52</v>
          </cell>
          <cell r="I120">
            <v>120</v>
          </cell>
          <cell r="J120" t="str">
            <v>Ротация кода 5708</v>
          </cell>
        </row>
        <row r="121">
          <cell r="D121">
            <v>1001062504117</v>
          </cell>
          <cell r="F121">
            <v>0.49399999999999999</v>
          </cell>
          <cell r="G121">
            <v>0</v>
          </cell>
          <cell r="H121">
            <v>3.95</v>
          </cell>
          <cell r="I121">
            <v>120</v>
          </cell>
        </row>
        <row r="122">
          <cell r="D122">
            <v>1001060727316</v>
          </cell>
          <cell r="F122">
            <v>0.54</v>
          </cell>
          <cell r="G122">
            <v>0</v>
          </cell>
          <cell r="H122">
            <v>3.78</v>
          </cell>
          <cell r="I122">
            <v>120</v>
          </cell>
        </row>
        <row r="123">
          <cell r="D123">
            <v>1001066567317</v>
          </cell>
          <cell r="F123">
            <v>0.54</v>
          </cell>
          <cell r="G123">
            <v>0</v>
          </cell>
          <cell r="H123">
            <v>3.78</v>
          </cell>
          <cell r="I123">
            <v>120</v>
          </cell>
        </row>
        <row r="124">
          <cell r="D124">
            <v>1001060717143</v>
          </cell>
          <cell r="F124">
            <v>0.22</v>
          </cell>
          <cell r="G124">
            <v>0</v>
          </cell>
          <cell r="H124">
            <v>1.76</v>
          </cell>
          <cell r="I124">
            <v>120</v>
          </cell>
        </row>
        <row r="125">
          <cell r="D125">
            <v>1001063237147</v>
          </cell>
          <cell r="F125">
            <v>0.22</v>
          </cell>
          <cell r="G125">
            <v>0</v>
          </cell>
          <cell r="H125">
            <v>1.76</v>
          </cell>
          <cell r="I125">
            <v>120</v>
          </cell>
          <cell r="J125" t="str">
            <v>Закрытие с 01.10.26</v>
          </cell>
        </row>
        <row r="126">
          <cell r="D126">
            <v>1001063097456</v>
          </cell>
          <cell r="F126">
            <v>0.15</v>
          </cell>
          <cell r="G126">
            <v>0</v>
          </cell>
          <cell r="H126">
            <v>1.8</v>
          </cell>
          <cell r="I126">
            <v>90</v>
          </cell>
        </row>
        <row r="127">
          <cell r="D127">
            <v>1001060727318</v>
          </cell>
          <cell r="F127">
            <v>0.27</v>
          </cell>
          <cell r="G127">
            <v>0</v>
          </cell>
          <cell r="H127">
            <v>2.16</v>
          </cell>
          <cell r="I127">
            <v>120</v>
          </cell>
        </row>
        <row r="128">
          <cell r="D128">
            <v>1001061973986</v>
          </cell>
          <cell r="F128">
            <v>0.25</v>
          </cell>
          <cell r="G128">
            <v>0</v>
          </cell>
          <cell r="H128">
            <v>2</v>
          </cell>
          <cell r="I128">
            <v>120</v>
          </cell>
        </row>
        <row r="129">
          <cell r="D129">
            <v>1001063217364</v>
          </cell>
          <cell r="F129">
            <v>0.22</v>
          </cell>
          <cell r="G129">
            <v>0</v>
          </cell>
          <cell r="H129">
            <v>1.76</v>
          </cell>
          <cell r="I129">
            <v>90</v>
          </cell>
        </row>
        <row r="130">
          <cell r="D130">
            <v>1001065467383</v>
          </cell>
          <cell r="F130">
            <v>0.22</v>
          </cell>
          <cell r="G130">
            <v>0</v>
          </cell>
          <cell r="H130">
            <v>1.76</v>
          </cell>
          <cell r="I130">
            <v>90</v>
          </cell>
        </row>
        <row r="131">
          <cell r="D131">
            <v>1001063656967</v>
          </cell>
          <cell r="F131">
            <v>0.25</v>
          </cell>
          <cell r="G131">
            <v>0</v>
          </cell>
          <cell r="H131">
            <v>2</v>
          </cell>
          <cell r="I131">
            <v>120</v>
          </cell>
        </row>
        <row r="132">
          <cell r="D132">
            <v>1001060764993</v>
          </cell>
          <cell r="F132">
            <v>0.25</v>
          </cell>
          <cell r="G132">
            <v>0</v>
          </cell>
          <cell r="H132">
            <v>2</v>
          </cell>
          <cell r="I132">
            <v>120</v>
          </cell>
        </row>
        <row r="133">
          <cell r="D133">
            <v>1001063106937</v>
          </cell>
          <cell r="F133">
            <v>0.25</v>
          </cell>
          <cell r="G133">
            <v>0</v>
          </cell>
          <cell r="H133">
            <v>2</v>
          </cell>
          <cell r="I133">
            <v>120</v>
          </cell>
        </row>
        <row r="134">
          <cell r="D134">
            <v>1001062505483</v>
          </cell>
          <cell r="F134">
            <v>0.25</v>
          </cell>
          <cell r="G134">
            <v>0</v>
          </cell>
          <cell r="H134">
            <v>2</v>
          </cell>
          <cell r="I134">
            <v>120</v>
          </cell>
        </row>
        <row r="135">
          <cell r="D135">
            <v>1001060755931</v>
          </cell>
          <cell r="F135">
            <v>0.22</v>
          </cell>
          <cell r="G135">
            <v>0</v>
          </cell>
          <cell r="H135">
            <v>1.76</v>
          </cell>
          <cell r="I135">
            <v>120</v>
          </cell>
        </row>
        <row r="136">
          <cell r="D136">
            <v>1001065616832</v>
          </cell>
          <cell r="F136">
            <v>0.215</v>
          </cell>
          <cell r="G136">
            <v>0</v>
          </cell>
          <cell r="H136">
            <v>2.15</v>
          </cell>
          <cell r="I136">
            <v>30</v>
          </cell>
        </row>
        <row r="137">
          <cell r="D137">
            <v>1001060677299</v>
          </cell>
          <cell r="F137">
            <v>0.215</v>
          </cell>
          <cell r="G137">
            <v>0</v>
          </cell>
          <cell r="H137">
            <v>2.15</v>
          </cell>
          <cell r="I137">
            <v>30</v>
          </cell>
        </row>
        <row r="138">
          <cell r="D138">
            <v>1001067017386</v>
          </cell>
          <cell r="F138">
            <v>0.15</v>
          </cell>
          <cell r="G138">
            <v>0</v>
          </cell>
          <cell r="H138">
            <v>1.35</v>
          </cell>
          <cell r="I138">
            <v>90</v>
          </cell>
        </row>
        <row r="139">
          <cell r="D139">
            <v>1001190765679</v>
          </cell>
          <cell r="F139">
            <v>0.15</v>
          </cell>
          <cell r="G139">
            <v>0</v>
          </cell>
          <cell r="H139">
            <v>1.2</v>
          </cell>
          <cell r="I139">
            <v>60</v>
          </cell>
        </row>
        <row r="140">
          <cell r="D140">
            <v>1001203117382</v>
          </cell>
          <cell r="F140">
            <v>0.12</v>
          </cell>
          <cell r="G140">
            <v>0</v>
          </cell>
          <cell r="H140">
            <v>0.96</v>
          </cell>
          <cell r="I140">
            <v>60</v>
          </cell>
        </row>
        <row r="141">
          <cell r="D141">
            <v>1001061977613</v>
          </cell>
          <cell r="F141">
            <v>0.1</v>
          </cell>
          <cell r="G141">
            <v>0</v>
          </cell>
          <cell r="H141">
            <v>1</v>
          </cell>
          <cell r="I141">
            <v>60</v>
          </cell>
        </row>
        <row r="142">
          <cell r="D142">
            <v>1001062507616</v>
          </cell>
          <cell r="F142">
            <v>0.1</v>
          </cell>
          <cell r="G142">
            <v>0</v>
          </cell>
          <cell r="H142">
            <v>1.4</v>
          </cell>
          <cell r="I142">
            <v>60</v>
          </cell>
        </row>
        <row r="143">
          <cell r="D143">
            <v>1001205376221</v>
          </cell>
          <cell r="F143">
            <v>0.09</v>
          </cell>
          <cell r="G143">
            <v>0</v>
          </cell>
          <cell r="H143">
            <v>0.9</v>
          </cell>
          <cell r="I143">
            <v>60</v>
          </cell>
        </row>
        <row r="144">
          <cell r="D144">
            <v>1001205386222</v>
          </cell>
          <cell r="F144">
            <v>0.09</v>
          </cell>
          <cell r="G144">
            <v>0</v>
          </cell>
          <cell r="H144">
            <v>0.9</v>
          </cell>
          <cell r="I144">
            <v>60</v>
          </cell>
        </row>
        <row r="145">
          <cell r="D145">
            <v>1001203146834</v>
          </cell>
          <cell r="F145">
            <v>0.1</v>
          </cell>
          <cell r="G145">
            <v>0</v>
          </cell>
          <cell r="H145">
            <v>1</v>
          </cell>
          <cell r="I145">
            <v>60</v>
          </cell>
          <cell r="J145" t="str">
            <v>Заблокирован</v>
          </cell>
        </row>
        <row r="146">
          <cell r="D146">
            <v>1001206356965</v>
          </cell>
          <cell r="F146">
            <v>7.0000000000000007E-2</v>
          </cell>
          <cell r="G146">
            <v>0</v>
          </cell>
          <cell r="H146">
            <v>0.98</v>
          </cell>
          <cell r="I146">
            <v>60</v>
          </cell>
          <cell r="J146" t="str">
            <v>Заблокирован</v>
          </cell>
        </row>
        <row r="147">
          <cell r="D147">
            <v>1001200756557</v>
          </cell>
          <cell r="F147">
            <v>0.1</v>
          </cell>
          <cell r="G147">
            <v>0</v>
          </cell>
          <cell r="H147">
            <v>1</v>
          </cell>
          <cell r="I147">
            <v>60</v>
          </cell>
          <cell r="J147" t="str">
            <v>Заблокирован</v>
          </cell>
        </row>
        <row r="148">
          <cell r="D148">
            <v>1001066607626</v>
          </cell>
          <cell r="F148">
            <v>0.1</v>
          </cell>
          <cell r="G148">
            <v>0</v>
          </cell>
          <cell r="H148">
            <v>1</v>
          </cell>
          <cell r="I148">
            <v>60</v>
          </cell>
        </row>
        <row r="150">
          <cell r="D150">
            <v>1001092436470</v>
          </cell>
          <cell r="F150">
            <v>1.2</v>
          </cell>
          <cell r="G150">
            <v>0</v>
          </cell>
          <cell r="H150">
            <v>4.8</v>
          </cell>
          <cell r="I150">
            <v>45</v>
          </cell>
          <cell r="J150" t="str">
            <v>Закрытие с 01.10, ротация на код 7726</v>
          </cell>
        </row>
        <row r="151">
          <cell r="D151">
            <v>1001092437726</v>
          </cell>
          <cell r="F151">
            <v>1.2</v>
          </cell>
          <cell r="G151">
            <v>0</v>
          </cell>
          <cell r="H151">
            <v>4.8</v>
          </cell>
          <cell r="I151">
            <v>62</v>
          </cell>
          <cell r="J151" t="str">
            <v>Ротация кода 6470</v>
          </cell>
        </row>
        <row r="152">
          <cell r="D152">
            <v>1001092436495</v>
          </cell>
          <cell r="F152">
            <v>0.3</v>
          </cell>
          <cell r="G152">
            <v>0</v>
          </cell>
          <cell r="H152">
            <v>1.8</v>
          </cell>
          <cell r="I152">
            <v>45</v>
          </cell>
          <cell r="J152" t="str">
            <v>Закрытие с 01.10, ротация на код 7725</v>
          </cell>
        </row>
        <row r="153">
          <cell r="D153">
            <v>1001092437725</v>
          </cell>
          <cell r="F153">
            <v>0.3</v>
          </cell>
          <cell r="G153">
            <v>0</v>
          </cell>
          <cell r="H153">
            <v>4.8</v>
          </cell>
          <cell r="I153">
            <v>62</v>
          </cell>
          <cell r="J153" t="str">
            <v>Ротация кода 6495</v>
          </cell>
        </row>
        <row r="154">
          <cell r="D154">
            <v>1001092485452</v>
          </cell>
          <cell r="F154">
            <v>1.35</v>
          </cell>
          <cell r="G154">
            <v>0</v>
          </cell>
          <cell r="H154">
            <v>4.05</v>
          </cell>
          <cell r="I154">
            <v>60</v>
          </cell>
        </row>
        <row r="155">
          <cell r="D155">
            <v>1001095716866</v>
          </cell>
          <cell r="F155">
            <v>1.5</v>
          </cell>
          <cell r="G155">
            <v>0</v>
          </cell>
          <cell r="H155">
            <v>6</v>
          </cell>
          <cell r="I155">
            <v>60</v>
          </cell>
        </row>
        <row r="156">
          <cell r="D156">
            <v>1001094966025</v>
          </cell>
          <cell r="F156">
            <v>3</v>
          </cell>
          <cell r="G156">
            <v>0</v>
          </cell>
          <cell r="H156">
            <v>6</v>
          </cell>
          <cell r="I156">
            <v>60</v>
          </cell>
        </row>
        <row r="157">
          <cell r="D157">
            <v>1001092674584</v>
          </cell>
          <cell r="F157">
            <v>2.5</v>
          </cell>
          <cell r="G157">
            <v>0</v>
          </cell>
          <cell r="H157">
            <v>7.5</v>
          </cell>
          <cell r="I157">
            <v>60</v>
          </cell>
        </row>
        <row r="158">
          <cell r="D158">
            <v>1001094053215</v>
          </cell>
          <cell r="F158">
            <v>0.4</v>
          </cell>
          <cell r="G158">
            <v>0</v>
          </cell>
          <cell r="H158">
            <v>3.2</v>
          </cell>
          <cell r="I158">
            <v>60</v>
          </cell>
        </row>
        <row r="159">
          <cell r="D159">
            <v>1001093345495</v>
          </cell>
          <cell r="F159">
            <v>0.4</v>
          </cell>
          <cell r="G159">
            <v>0</v>
          </cell>
          <cell r="H159">
            <v>2.4</v>
          </cell>
          <cell r="I159">
            <v>60</v>
          </cell>
        </row>
        <row r="160">
          <cell r="D160">
            <v>1001095027377</v>
          </cell>
          <cell r="F160">
            <v>0.3</v>
          </cell>
          <cell r="G160">
            <v>0</v>
          </cell>
          <cell r="H160">
            <v>1.8</v>
          </cell>
          <cell r="I160">
            <v>45</v>
          </cell>
        </row>
        <row r="161">
          <cell r="D161">
            <v>1001095226925</v>
          </cell>
          <cell r="F161">
            <v>0.6</v>
          </cell>
          <cell r="G161">
            <v>0</v>
          </cell>
          <cell r="H161">
            <v>4.8</v>
          </cell>
          <cell r="I161">
            <v>45</v>
          </cell>
          <cell r="J161" t="str">
            <v>Закрытие с 01.10, ротация на код 7723</v>
          </cell>
        </row>
        <row r="162">
          <cell r="D162">
            <v>1001095227723</v>
          </cell>
          <cell r="F162">
            <v>0.6</v>
          </cell>
          <cell r="G162">
            <v>0</v>
          </cell>
          <cell r="H162">
            <v>4.8</v>
          </cell>
          <cell r="I162">
            <v>62</v>
          </cell>
          <cell r="J162" t="str">
            <v>Ротация кода 6925</v>
          </cell>
        </row>
        <row r="163">
          <cell r="D163">
            <v>1001097747647</v>
          </cell>
          <cell r="F163">
            <v>0.1</v>
          </cell>
          <cell r="G163">
            <v>0</v>
          </cell>
          <cell r="H163">
            <v>0.8</v>
          </cell>
          <cell r="I163">
            <v>30</v>
          </cell>
          <cell r="J163" t="str">
            <v>Закрытие с 01.10, ротация на код 7730</v>
          </cell>
        </row>
        <row r="164">
          <cell r="D164">
            <v>1001097747730</v>
          </cell>
          <cell r="F164">
            <v>0.1</v>
          </cell>
          <cell r="G164">
            <v>0</v>
          </cell>
          <cell r="H164">
            <v>0.8</v>
          </cell>
          <cell r="I164">
            <v>62</v>
          </cell>
          <cell r="J164" t="str">
            <v>Ротация кода 7647</v>
          </cell>
        </row>
        <row r="165">
          <cell r="D165">
            <v>1001097767651</v>
          </cell>
          <cell r="F165">
            <v>0.1</v>
          </cell>
          <cell r="G165">
            <v>0</v>
          </cell>
          <cell r="H165">
            <v>0.8</v>
          </cell>
          <cell r="I165">
            <v>30</v>
          </cell>
          <cell r="J165" t="str">
            <v>Закрытие с 01.10, ротация на код 7731</v>
          </cell>
        </row>
        <row r="166">
          <cell r="D166">
            <v>1001097767731</v>
          </cell>
          <cell r="F166">
            <v>0.1</v>
          </cell>
          <cell r="G166">
            <v>0</v>
          </cell>
          <cell r="H166">
            <v>0.8</v>
          </cell>
          <cell r="I166">
            <v>62</v>
          </cell>
          <cell r="J166" t="str">
            <v>Ротация кода 7651</v>
          </cell>
        </row>
        <row r="168">
          <cell r="D168">
            <v>1001107397485</v>
          </cell>
          <cell r="F168">
            <v>0.15</v>
          </cell>
          <cell r="G168">
            <v>0</v>
          </cell>
          <cell r="H168">
            <v>2.25</v>
          </cell>
          <cell r="I168">
            <v>60</v>
          </cell>
        </row>
        <row r="170">
          <cell r="D170">
            <v>1001081596620</v>
          </cell>
          <cell r="F170">
            <v>1.05</v>
          </cell>
          <cell r="G170">
            <v>0</v>
          </cell>
          <cell r="H170">
            <v>3.15</v>
          </cell>
          <cell r="I170">
            <v>30</v>
          </cell>
        </row>
        <row r="171">
          <cell r="D171">
            <v>1001085637187</v>
          </cell>
          <cell r="F171">
            <v>0.3</v>
          </cell>
          <cell r="G171">
            <v>0</v>
          </cell>
          <cell r="H171">
            <v>1.8</v>
          </cell>
          <cell r="I171">
            <v>50</v>
          </cell>
        </row>
        <row r="172">
          <cell r="D172">
            <v>1001084856008</v>
          </cell>
          <cell r="F172">
            <v>0.3</v>
          </cell>
          <cell r="G172">
            <v>0</v>
          </cell>
          <cell r="H172">
            <v>1.8</v>
          </cell>
          <cell r="I172">
            <v>40</v>
          </cell>
        </row>
        <row r="173">
          <cell r="D173">
            <v>1001084217090</v>
          </cell>
          <cell r="F173">
            <v>0.3</v>
          </cell>
          <cell r="G173">
            <v>0</v>
          </cell>
          <cell r="H173">
            <v>1.8</v>
          </cell>
          <cell r="I173">
            <v>50</v>
          </cell>
        </row>
        <row r="174">
          <cell r="D174">
            <v>1001223297103</v>
          </cell>
          <cell r="F174">
            <v>0.18</v>
          </cell>
          <cell r="G174">
            <v>0</v>
          </cell>
          <cell r="H174">
            <v>1.8</v>
          </cell>
          <cell r="I174">
            <v>50</v>
          </cell>
        </row>
        <row r="175">
          <cell r="D175">
            <v>1001220286279</v>
          </cell>
          <cell r="F175">
            <v>0.15</v>
          </cell>
          <cell r="G175">
            <v>0</v>
          </cell>
          <cell r="H175">
            <v>1.2</v>
          </cell>
          <cell r="I175">
            <v>45</v>
          </cell>
        </row>
        <row r="176">
          <cell r="D176">
            <v>1001085476929</v>
          </cell>
          <cell r="F176">
            <v>1.375</v>
          </cell>
          <cell r="G176">
            <v>0</v>
          </cell>
          <cell r="H176">
            <v>5.5</v>
          </cell>
          <cell r="I176">
            <v>45</v>
          </cell>
          <cell r="J176" t="str">
            <v>Новинка</v>
          </cell>
        </row>
        <row r="177">
          <cell r="D177">
            <v>1001223297092</v>
          </cell>
          <cell r="F177">
            <v>0.14000000000000001</v>
          </cell>
          <cell r="G177">
            <v>0</v>
          </cell>
          <cell r="H177">
            <v>1.4</v>
          </cell>
          <cell r="I177">
            <v>50</v>
          </cell>
        </row>
        <row r="178">
          <cell r="D178">
            <v>1001234146448</v>
          </cell>
          <cell r="F178">
            <v>0.1</v>
          </cell>
          <cell r="G178">
            <v>0</v>
          </cell>
          <cell r="H178">
            <v>1</v>
          </cell>
          <cell r="I178">
            <v>45</v>
          </cell>
          <cell r="J178" t="str">
            <v>Закрытие с 01.10.26</v>
          </cell>
        </row>
        <row r="179">
          <cell r="D179">
            <v>1001225406754</v>
          </cell>
          <cell r="F179">
            <v>0.09</v>
          </cell>
          <cell r="G179">
            <v>0</v>
          </cell>
          <cell r="H179">
            <v>0.72</v>
          </cell>
          <cell r="I179">
            <v>60</v>
          </cell>
        </row>
        <row r="180">
          <cell r="D180">
            <v>1001220226208</v>
          </cell>
          <cell r="F180">
            <v>0.15</v>
          </cell>
          <cell r="G180">
            <v>0</v>
          </cell>
          <cell r="H180">
            <v>1.5</v>
          </cell>
          <cell r="I180">
            <v>45</v>
          </cell>
        </row>
        <row r="181">
          <cell r="D181">
            <v>1001225416228</v>
          </cell>
          <cell r="F181">
            <v>0.09</v>
          </cell>
          <cell r="G181">
            <v>0</v>
          </cell>
          <cell r="H181">
            <v>0.9</v>
          </cell>
          <cell r="I181">
            <v>45</v>
          </cell>
        </row>
        <row r="182">
          <cell r="D182">
            <v>1001453907612</v>
          </cell>
          <cell r="F182">
            <v>0.1</v>
          </cell>
          <cell r="G182">
            <v>0</v>
          </cell>
          <cell r="H182">
            <v>1</v>
          </cell>
          <cell r="I182">
            <v>60</v>
          </cell>
        </row>
        <row r="184">
          <cell r="D184">
            <v>1001122287344</v>
          </cell>
          <cell r="F184">
            <v>0.33800000000000002</v>
          </cell>
          <cell r="G184">
            <v>0</v>
          </cell>
          <cell r="J184" t="str">
            <v>Новинка</v>
          </cell>
        </row>
        <row r="185">
          <cell r="D185">
            <v>1001123677345</v>
          </cell>
          <cell r="F185">
            <v>0.32500000000000001</v>
          </cell>
          <cell r="G185">
            <v>0</v>
          </cell>
          <cell r="J185" t="str">
            <v>Новинка</v>
          </cell>
        </row>
        <row r="186">
          <cell r="E186">
            <v>0</v>
          </cell>
          <cell r="G186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673"/>
  <sheetViews>
    <sheetView tabSelected="1" zoomScale="85" zoomScaleNormal="85" workbookViewId="0">
      <pane ySplit="9" topLeftCell="A149" activePane="bottomLeft" state="frozen"/>
      <selection pane="bottomLeft" activeCell="L156" sqref="L156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style="97" customWidth="1"/>
    <col min="13" max="14" width="8.85546875" style="97" customWidth="1"/>
    <col min="15" max="67" width="8.85546875" style="97"/>
  </cols>
  <sheetData>
    <row r="1" spans="1:67" ht="27" customHeight="1" thickTop="1" thickBot="1" x14ac:dyDescent="0.4">
      <c r="C1" s="1" t="s">
        <v>0</v>
      </c>
      <c r="D1" s="124">
        <v>130438644</v>
      </c>
      <c r="E1" s="135" t="s">
        <v>193</v>
      </c>
      <c r="F1" s="136"/>
      <c r="G1" s="136"/>
      <c r="H1" s="136"/>
      <c r="I1" s="136"/>
      <c r="J1" s="137"/>
      <c r="K1" s="101">
        <v>130438384</v>
      </c>
      <c r="L1" s="97" t="s">
        <v>166</v>
      </c>
    </row>
    <row r="2" spans="1:67" ht="16.5" customHeight="1" thickTop="1" thickBot="1" x14ac:dyDescent="0.3">
      <c r="K2" s="101">
        <v>130438644</v>
      </c>
      <c r="L2" s="97" t="s">
        <v>167</v>
      </c>
    </row>
    <row r="3" spans="1:67" ht="19.5" customHeight="1" thickTop="1" thickBot="1" x14ac:dyDescent="0.3">
      <c r="B3" s="32"/>
      <c r="C3" s="7" t="s">
        <v>1</v>
      </c>
      <c r="D3" s="123">
        <v>46209</v>
      </c>
      <c r="E3" s="7" t="s">
        <v>2</v>
      </c>
      <c r="F3" s="123">
        <f>D3+3</f>
        <v>46212</v>
      </c>
      <c r="G3" s="138" t="s">
        <v>194</v>
      </c>
      <c r="H3" s="136"/>
      <c r="I3" s="136"/>
      <c r="J3" s="137"/>
      <c r="K3" s="101">
        <v>130439106</v>
      </c>
      <c r="L3" s="97" t="s">
        <v>186</v>
      </c>
    </row>
    <row r="4" spans="1:67" ht="15.75" customHeight="1" thickTop="1" x14ac:dyDescent="0.25">
      <c r="K4" s="122">
        <v>130439107</v>
      </c>
      <c r="L4" s="97" t="s">
        <v>187</v>
      </c>
      <c r="O4" s="97" t="s">
        <v>195</v>
      </c>
    </row>
    <row r="5" spans="1:67" x14ac:dyDescent="0.25">
      <c r="C5" s="7" t="s">
        <v>3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67" ht="15.75" customHeight="1" thickBot="1" x14ac:dyDescent="0.3">
      <c r="D6" s="39" t="s">
        <v>4</v>
      </c>
      <c r="E6" s="9"/>
      <c r="F6" s="10"/>
      <c r="G6" s="10"/>
      <c r="H6" s="22"/>
      <c r="I6" s="22"/>
      <c r="K6" s="27" t="str">
        <f t="shared" si="0"/>
        <v/>
      </c>
    </row>
    <row r="7" spans="1:67" ht="19.5" customHeight="1" thickTop="1" thickBot="1" x14ac:dyDescent="0.3">
      <c r="B7" s="33" t="s">
        <v>5</v>
      </c>
      <c r="D7" s="38" t="s">
        <v>6</v>
      </c>
      <c r="E7" s="11" t="s">
        <v>7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6" t="s">
        <v>8</v>
      </c>
      <c r="B9" s="44" t="s">
        <v>9</v>
      </c>
      <c r="C9" s="12" t="s">
        <v>10</v>
      </c>
      <c r="D9" s="34" t="s">
        <v>11</v>
      </c>
      <c r="E9" s="26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30" t="s">
        <v>17</v>
      </c>
      <c r="K9" s="2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  <c r="AB9" s="98"/>
      <c r="AC9" s="98"/>
      <c r="AD9" s="98"/>
      <c r="AE9" s="98"/>
      <c r="AF9" s="98"/>
      <c r="AG9" s="98"/>
      <c r="AH9" s="98"/>
      <c r="AI9" s="98"/>
      <c r="AJ9" s="98"/>
      <c r="AK9" s="98"/>
      <c r="AL9" s="98"/>
      <c r="AM9" s="98"/>
      <c r="AN9" s="98"/>
      <c r="AO9" s="98"/>
      <c r="AP9" s="98"/>
      <c r="AQ9" s="98"/>
      <c r="AR9" s="98"/>
      <c r="AS9" s="98"/>
      <c r="AT9" s="98"/>
      <c r="AU9" s="98"/>
      <c r="AV9" s="98"/>
      <c r="AW9" s="98"/>
      <c r="AX9" s="98"/>
      <c r="AY9" s="98"/>
      <c r="AZ9" s="98"/>
      <c r="BA9" s="98"/>
      <c r="BB9" s="98"/>
      <c r="BC9" s="98"/>
      <c r="BD9" s="98"/>
      <c r="BE9" s="98"/>
      <c r="BF9" s="98"/>
      <c r="BG9" s="98"/>
      <c r="BH9" s="98"/>
      <c r="BI9" s="98"/>
      <c r="BJ9" s="98"/>
      <c r="BK9" s="98"/>
      <c r="BL9" s="98"/>
      <c r="BM9" s="98"/>
      <c r="BN9" s="98"/>
      <c r="BO9" s="98"/>
    </row>
    <row r="10" spans="1:67" ht="16.5" customHeight="1" thickTop="1" thickBot="1" x14ac:dyDescent="0.3">
      <c r="A10" s="47"/>
      <c r="B10" s="42" t="s">
        <v>18</v>
      </c>
      <c r="C10" s="42"/>
      <c r="D10" s="42"/>
      <c r="E10" s="42"/>
      <c r="F10" s="41"/>
      <c r="G10" s="42"/>
      <c r="H10" s="42"/>
      <c r="I10" s="42"/>
      <c r="J10" s="43"/>
    </row>
    <row r="11" spans="1:67" s="15" customFormat="1" ht="16.5" customHeight="1" thickTop="1" x14ac:dyDescent="0.25">
      <c r="A11" s="134" t="str">
        <f>RIGHT(D11,4)</f>
        <v>7523</v>
      </c>
      <c r="B11" s="51" t="s">
        <v>105</v>
      </c>
      <c r="C11" s="49" t="s">
        <v>20</v>
      </c>
      <c r="D11" s="50">
        <v>1001012427523</v>
      </c>
      <c r="E11" s="24"/>
      <c r="F11" s="23">
        <v>0.4</v>
      </c>
      <c r="G11" s="23">
        <f>E11*F11</f>
        <v>0</v>
      </c>
      <c r="H11" s="14">
        <v>2.4</v>
      </c>
      <c r="I11" s="14">
        <v>60</v>
      </c>
      <c r="J11" s="29"/>
      <c r="K11" s="27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/>
      <c r="AK11" s="100"/>
      <c r="AL11" s="100"/>
      <c r="AM11" s="100"/>
      <c r="AN11" s="100"/>
      <c r="AO11" s="100"/>
      <c r="AP11" s="100"/>
      <c r="AQ11" s="100"/>
      <c r="AR11" s="100"/>
      <c r="AS11" s="100"/>
      <c r="AT11" s="100"/>
      <c r="AU11" s="100"/>
      <c r="AV11" s="100"/>
      <c r="AW11" s="100"/>
      <c r="AX11" s="100"/>
      <c r="AY11" s="99"/>
      <c r="AZ11" s="99"/>
      <c r="BA11" s="99"/>
      <c r="BB11" s="99"/>
      <c r="BC11" s="99"/>
      <c r="BD11" s="99"/>
      <c r="BE11" s="99"/>
      <c r="BF11" s="99"/>
      <c r="BG11" s="99"/>
      <c r="BH11" s="99"/>
      <c r="BI11" s="99"/>
      <c r="BJ11" s="99"/>
      <c r="BK11" s="99"/>
      <c r="BL11" s="99"/>
      <c r="BM11" s="99"/>
      <c r="BN11" s="99"/>
      <c r="BO11" s="99"/>
    </row>
    <row r="12" spans="1:67" s="15" customFormat="1" ht="16.5" customHeight="1" x14ac:dyDescent="0.25">
      <c r="A12" s="134" t="str">
        <f t="shared" ref="A12:A71" si="1">RIGHT(D12,4)</f>
        <v>6220</v>
      </c>
      <c r="B12" s="51" t="s">
        <v>35</v>
      </c>
      <c r="C12" s="49" t="s">
        <v>22</v>
      </c>
      <c r="D12" s="50">
        <v>1001012426220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29"/>
      <c r="K12" s="27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/>
      <c r="AK12" s="100"/>
      <c r="AL12" s="100"/>
      <c r="AM12" s="100"/>
      <c r="AN12" s="100"/>
      <c r="AO12" s="100"/>
      <c r="AP12" s="100"/>
      <c r="AQ12" s="100"/>
      <c r="AR12" s="100"/>
      <c r="AS12" s="100"/>
      <c r="AT12" s="100"/>
      <c r="AU12" s="100"/>
      <c r="AV12" s="100"/>
      <c r="AW12" s="100"/>
      <c r="AX12" s="100"/>
      <c r="AY12" s="99"/>
      <c r="AZ12" s="99"/>
      <c r="BA12" s="99"/>
      <c r="BB12" s="99"/>
      <c r="BC12" s="99"/>
      <c r="BD12" s="99"/>
      <c r="BE12" s="99"/>
      <c r="BF12" s="99"/>
      <c r="BG12" s="99"/>
      <c r="BH12" s="99"/>
      <c r="BI12" s="99"/>
      <c r="BJ12" s="99"/>
      <c r="BK12" s="99"/>
      <c r="BL12" s="99"/>
      <c r="BM12" s="99"/>
      <c r="BN12" s="99"/>
      <c r="BO12" s="99"/>
    </row>
    <row r="13" spans="1:67" s="15" customFormat="1" ht="16.5" customHeight="1" x14ac:dyDescent="0.25">
      <c r="A13" s="134" t="str">
        <f t="shared" si="1"/>
        <v>7539</v>
      </c>
      <c r="B13" s="51" t="s">
        <v>106</v>
      </c>
      <c r="C13" s="49" t="s">
        <v>20</v>
      </c>
      <c r="D13" s="50">
        <v>1001010017539</v>
      </c>
      <c r="E13" s="24"/>
      <c r="F13" s="23">
        <v>0.35</v>
      </c>
      <c r="G13" s="23">
        <f>E13*F13</f>
        <v>0</v>
      </c>
      <c r="H13" s="14">
        <v>2.8</v>
      </c>
      <c r="I13" s="14">
        <v>60</v>
      </c>
      <c r="J13" s="29"/>
      <c r="K13" s="27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/>
      <c r="AK13" s="100"/>
      <c r="AL13" s="100"/>
      <c r="AM13" s="100"/>
      <c r="AN13" s="100"/>
      <c r="AO13" s="100"/>
      <c r="AP13" s="100"/>
      <c r="AQ13" s="100"/>
      <c r="AR13" s="100"/>
      <c r="AS13" s="100"/>
      <c r="AT13" s="100"/>
      <c r="AU13" s="100"/>
      <c r="AV13" s="100"/>
      <c r="AW13" s="100"/>
      <c r="AX13" s="100"/>
      <c r="AY13" s="99"/>
      <c r="AZ13" s="99"/>
      <c r="BA13" s="99"/>
      <c r="BB13" s="99"/>
      <c r="BC13" s="99"/>
      <c r="BD13" s="99"/>
      <c r="BE13" s="99"/>
      <c r="BF13" s="99"/>
      <c r="BG13" s="99"/>
      <c r="BH13" s="99"/>
      <c r="BI13" s="99"/>
      <c r="BJ13" s="99"/>
      <c r="BK13" s="99"/>
      <c r="BL13" s="99"/>
      <c r="BM13" s="99"/>
      <c r="BN13" s="99"/>
      <c r="BO13" s="99"/>
    </row>
    <row r="14" spans="1:67" s="15" customFormat="1" ht="16.5" customHeight="1" x14ac:dyDescent="0.25">
      <c r="A14" s="134" t="str">
        <f t="shared" si="1"/>
        <v>7536</v>
      </c>
      <c r="B14" s="51" t="s">
        <v>107</v>
      </c>
      <c r="C14" s="49" t="s">
        <v>22</v>
      </c>
      <c r="D14" s="50">
        <v>1001010017536</v>
      </c>
      <c r="E14" s="24"/>
      <c r="F14" s="23">
        <v>1.35</v>
      </c>
      <c r="G14" s="23">
        <f>E14</f>
        <v>0</v>
      </c>
      <c r="H14" s="14">
        <v>4.05</v>
      </c>
      <c r="I14" s="14">
        <v>60</v>
      </c>
      <c r="J14" s="29"/>
      <c r="K14" s="27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/>
      <c r="AK14" s="100"/>
      <c r="AL14" s="100"/>
      <c r="AM14" s="100"/>
      <c r="AN14" s="100"/>
      <c r="AO14" s="100"/>
      <c r="AP14" s="100"/>
      <c r="AQ14" s="100"/>
      <c r="AR14" s="100"/>
      <c r="AS14" s="100"/>
      <c r="AT14" s="100"/>
      <c r="AU14" s="100"/>
      <c r="AV14" s="100"/>
      <c r="AW14" s="100"/>
      <c r="AX14" s="100"/>
      <c r="AY14" s="99"/>
      <c r="AZ14" s="99"/>
      <c r="BA14" s="99"/>
      <c r="BB14" s="99"/>
      <c r="BC14" s="99"/>
      <c r="BD14" s="99"/>
      <c r="BE14" s="99"/>
      <c r="BF14" s="99"/>
      <c r="BG14" s="99"/>
      <c r="BH14" s="99"/>
      <c r="BI14" s="99"/>
      <c r="BJ14" s="99"/>
      <c r="BK14" s="99"/>
      <c r="BL14" s="99"/>
      <c r="BM14" s="99"/>
      <c r="BN14" s="99"/>
      <c r="BO14" s="99"/>
    </row>
    <row r="15" spans="1:67" ht="16.5" customHeight="1" x14ac:dyDescent="0.25">
      <c r="A15" s="134" t="str">
        <f t="shared" si="1"/>
        <v>7754</v>
      </c>
      <c r="B15" s="51" t="s">
        <v>222</v>
      </c>
      <c r="C15" s="49" t="s">
        <v>22</v>
      </c>
      <c r="D15" s="50">
        <v>1001015647754</v>
      </c>
      <c r="E15" s="24"/>
      <c r="F15" s="23"/>
      <c r="G15" s="23">
        <f>E15</f>
        <v>0</v>
      </c>
      <c r="H15" s="14"/>
      <c r="I15" s="14">
        <v>60</v>
      </c>
      <c r="J15" s="29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0"/>
      <c r="AD15" s="100"/>
      <c r="AE15" s="100"/>
      <c r="AF15" s="100"/>
      <c r="AG15" s="100"/>
      <c r="AH15" s="100"/>
      <c r="AI15" s="100"/>
      <c r="AJ15" s="100"/>
      <c r="AK15" s="100"/>
      <c r="AL15" s="100"/>
      <c r="AM15" s="100"/>
      <c r="AN15" s="100"/>
      <c r="AO15" s="100"/>
      <c r="AP15" s="100"/>
      <c r="AQ15" s="100"/>
      <c r="AR15" s="100"/>
      <c r="AS15" s="100"/>
      <c r="AT15" s="100"/>
      <c r="AU15" s="100"/>
      <c r="AV15" s="100"/>
      <c r="AW15" s="100"/>
      <c r="AX15" s="100"/>
    </row>
    <row r="16" spans="1:67" ht="16.5" customHeight="1" x14ac:dyDescent="0.25">
      <c r="A16" s="134" t="str">
        <f t="shared" si="1"/>
        <v>6498</v>
      </c>
      <c r="B16" s="51" t="s">
        <v>34</v>
      </c>
      <c r="C16" s="49" t="s">
        <v>22</v>
      </c>
      <c r="D16" s="50">
        <v>1001012456498</v>
      </c>
      <c r="E16" s="24"/>
      <c r="F16" s="23">
        <v>1</v>
      </c>
      <c r="G16" s="23">
        <f t="shared" ref="G16:G17" si="2">E16</f>
        <v>0</v>
      </c>
      <c r="H16" s="14">
        <v>4</v>
      </c>
      <c r="I16" s="14">
        <v>60</v>
      </c>
      <c r="J16" s="29"/>
      <c r="L16" s="100"/>
    </row>
    <row r="17" spans="1:67" ht="16.5" customHeight="1" x14ac:dyDescent="0.25">
      <c r="A17" s="134" t="str">
        <f t="shared" si="1"/>
        <v>4063</v>
      </c>
      <c r="B17" s="51" t="s">
        <v>21</v>
      </c>
      <c r="C17" s="49" t="s">
        <v>22</v>
      </c>
      <c r="D17" s="50">
        <v>1001012484063</v>
      </c>
      <c r="E17" s="24"/>
      <c r="F17" s="23">
        <v>1.35</v>
      </c>
      <c r="G17" s="23">
        <f t="shared" si="2"/>
        <v>0</v>
      </c>
      <c r="H17" s="14">
        <v>4.05</v>
      </c>
      <c r="I17" s="14">
        <v>60</v>
      </c>
      <c r="J17" s="29"/>
      <c r="L17" s="100"/>
    </row>
    <row r="18" spans="1:67" ht="16.5" customHeight="1" x14ac:dyDescent="0.25">
      <c r="A18" s="134" t="str">
        <f t="shared" si="1"/>
        <v>6333</v>
      </c>
      <c r="B18" s="51" t="s">
        <v>23</v>
      </c>
      <c r="C18" s="49" t="s">
        <v>20</v>
      </c>
      <c r="D18" s="50">
        <v>1001012486333</v>
      </c>
      <c r="E18" s="24"/>
      <c r="F18" s="23">
        <v>0.4</v>
      </c>
      <c r="G18" s="23">
        <f>E18*F18</f>
        <v>0</v>
      </c>
      <c r="H18" s="14">
        <v>3.2</v>
      </c>
      <c r="I18" s="14">
        <v>60</v>
      </c>
      <c r="J18" s="29"/>
      <c r="L18" s="100"/>
    </row>
    <row r="19" spans="1:67" ht="16.5" customHeight="1" x14ac:dyDescent="0.25">
      <c r="A19" s="134" t="str">
        <f t="shared" si="1"/>
        <v>4574</v>
      </c>
      <c r="B19" s="51" t="s">
        <v>24</v>
      </c>
      <c r="C19" s="49" t="s">
        <v>22</v>
      </c>
      <c r="D19" s="50">
        <v>1001012634574</v>
      </c>
      <c r="E19" s="24"/>
      <c r="F19" s="23">
        <v>1.35</v>
      </c>
      <c r="G19" s="23">
        <f>E19</f>
        <v>0</v>
      </c>
      <c r="H19" s="14">
        <v>4.05</v>
      </c>
      <c r="I19" s="14">
        <v>60</v>
      </c>
      <c r="J19" s="29"/>
      <c r="L19" s="100"/>
    </row>
    <row r="20" spans="1:67" ht="16.5" customHeight="1" x14ac:dyDescent="0.25">
      <c r="A20" s="134" t="str">
        <f t="shared" si="1"/>
        <v>7334</v>
      </c>
      <c r="B20" s="51" t="s">
        <v>108</v>
      </c>
      <c r="C20" s="49" t="s">
        <v>20</v>
      </c>
      <c r="D20" s="50">
        <v>1001012637334</v>
      </c>
      <c r="E20" s="24"/>
      <c r="F20" s="23">
        <v>0.4</v>
      </c>
      <c r="G20" s="23">
        <f>E20*F20</f>
        <v>0</v>
      </c>
      <c r="H20" s="14">
        <v>3.2</v>
      </c>
      <c r="I20" s="14">
        <v>60</v>
      </c>
      <c r="J20" s="29"/>
      <c r="L20" s="100"/>
    </row>
    <row r="21" spans="1:67" s="52" customFormat="1" ht="16.5" customHeight="1" x14ac:dyDescent="0.25">
      <c r="A21" s="134" t="str">
        <f t="shared" si="1"/>
        <v>4813</v>
      </c>
      <c r="B21" s="51" t="s">
        <v>29</v>
      </c>
      <c r="C21" s="49" t="s">
        <v>22</v>
      </c>
      <c r="D21" s="50">
        <v>1001012564813</v>
      </c>
      <c r="E21" s="24"/>
      <c r="F21" s="125">
        <v>1.35</v>
      </c>
      <c r="G21" s="23">
        <f>E21</f>
        <v>0</v>
      </c>
      <c r="H21" s="29">
        <v>4.05</v>
      </c>
      <c r="I21" s="29">
        <v>60</v>
      </c>
      <c r="J21" s="29"/>
      <c r="K21" s="27"/>
      <c r="L21" s="100"/>
      <c r="M21" s="100"/>
      <c r="N21" s="100"/>
      <c r="O21" s="100"/>
      <c r="P21" s="100"/>
      <c r="Q21" s="100"/>
      <c r="R21" s="100"/>
      <c r="S21" s="100"/>
      <c r="T21" s="100"/>
      <c r="U21" s="100"/>
      <c r="V21" s="100"/>
      <c r="W21" s="100"/>
      <c r="X21" s="100"/>
      <c r="Y21" s="100"/>
      <c r="Z21" s="100"/>
      <c r="AA21" s="100"/>
      <c r="AB21" s="100"/>
      <c r="AC21" s="100"/>
      <c r="AD21" s="100"/>
      <c r="AE21" s="100"/>
      <c r="AF21" s="100"/>
      <c r="AG21" s="100"/>
      <c r="AH21" s="100"/>
      <c r="AI21" s="100"/>
      <c r="AJ21" s="100"/>
      <c r="AK21" s="100"/>
      <c r="AL21" s="100"/>
      <c r="AM21" s="100"/>
      <c r="AN21" s="100"/>
      <c r="AO21" s="100"/>
      <c r="AP21" s="100"/>
      <c r="AQ21" s="100"/>
      <c r="AR21" s="100"/>
      <c r="AS21" s="100"/>
      <c r="AT21" s="100"/>
      <c r="AU21" s="100"/>
      <c r="AV21" s="100"/>
      <c r="AW21" s="100"/>
      <c r="AX21" s="100"/>
      <c r="AY21" s="100"/>
      <c r="AZ21" s="100"/>
      <c r="BA21" s="100"/>
      <c r="BB21" s="100"/>
      <c r="BC21" s="100"/>
      <c r="BD21" s="100"/>
      <c r="BE21" s="100"/>
      <c r="BF21" s="100"/>
      <c r="BG21" s="100"/>
      <c r="BH21" s="100"/>
      <c r="BI21" s="100"/>
      <c r="BJ21" s="100"/>
      <c r="BK21" s="100"/>
      <c r="BL21" s="100"/>
      <c r="BM21" s="100"/>
      <c r="BN21" s="100"/>
      <c r="BO21" s="100"/>
    </row>
    <row r="22" spans="1:67" s="52" customFormat="1" ht="16.5" customHeight="1" x14ac:dyDescent="0.25">
      <c r="A22" s="134" t="str">
        <f t="shared" si="1"/>
        <v>6392</v>
      </c>
      <c r="B22" s="51" t="s">
        <v>109</v>
      </c>
      <c r="C22" s="49" t="s">
        <v>20</v>
      </c>
      <c r="D22" s="50">
        <v>1001012566392</v>
      </c>
      <c r="E22" s="24"/>
      <c r="F22" s="125">
        <v>0.4</v>
      </c>
      <c r="G22" s="23">
        <f>E22*F22</f>
        <v>0</v>
      </c>
      <c r="H22" s="29">
        <v>3.2</v>
      </c>
      <c r="I22" s="29">
        <v>60</v>
      </c>
      <c r="J22" s="29"/>
      <c r="K22" s="27"/>
      <c r="L22" s="100"/>
      <c r="M22" s="100"/>
      <c r="N22" s="100"/>
      <c r="O22" s="100"/>
      <c r="P22" s="100"/>
      <c r="Q22" s="100"/>
      <c r="R22" s="100"/>
      <c r="S22" s="100"/>
      <c r="T22" s="100"/>
      <c r="U22" s="100"/>
      <c r="V22" s="100"/>
      <c r="W22" s="100"/>
      <c r="X22" s="100"/>
      <c r="Y22" s="100"/>
      <c r="Z22" s="100"/>
      <c r="AA22" s="100"/>
      <c r="AB22" s="100"/>
      <c r="AC22" s="100"/>
      <c r="AD22" s="100"/>
      <c r="AE22" s="100"/>
      <c r="AF22" s="100"/>
      <c r="AG22" s="100"/>
      <c r="AH22" s="100"/>
      <c r="AI22" s="100"/>
      <c r="AJ22" s="100"/>
      <c r="AK22" s="100"/>
      <c r="AL22" s="100"/>
      <c r="AM22" s="100"/>
      <c r="AN22" s="100"/>
      <c r="AO22" s="100"/>
      <c r="AP22" s="100"/>
      <c r="AQ22" s="100"/>
      <c r="AR22" s="100"/>
      <c r="AS22" s="100"/>
      <c r="AT22" s="100"/>
      <c r="AU22" s="100"/>
      <c r="AV22" s="100"/>
      <c r="AW22" s="100"/>
      <c r="AX22" s="100"/>
      <c r="AY22" s="100"/>
      <c r="AZ22" s="100"/>
      <c r="BA22" s="100"/>
      <c r="BB22" s="100"/>
      <c r="BC22" s="100"/>
      <c r="BD22" s="100"/>
      <c r="BE22" s="100"/>
      <c r="BF22" s="100"/>
      <c r="BG22" s="100"/>
      <c r="BH22" s="100"/>
      <c r="BI22" s="100"/>
      <c r="BJ22" s="100"/>
      <c r="BK22" s="100"/>
      <c r="BL22" s="100"/>
      <c r="BM22" s="100"/>
      <c r="BN22" s="100"/>
      <c r="BO22" s="100"/>
    </row>
    <row r="23" spans="1:67" s="52" customFormat="1" ht="16.5" customHeight="1" x14ac:dyDescent="0.25">
      <c r="A23" s="134" t="str">
        <f t="shared" si="1"/>
        <v>5851</v>
      </c>
      <c r="B23" s="51" t="s">
        <v>110</v>
      </c>
      <c r="C23" s="49" t="s">
        <v>22</v>
      </c>
      <c r="D23" s="50">
        <v>1001012505851</v>
      </c>
      <c r="E23" s="24"/>
      <c r="F23" s="125">
        <v>1.35</v>
      </c>
      <c r="G23" s="23">
        <f>E23</f>
        <v>0</v>
      </c>
      <c r="H23" s="29">
        <v>4.05</v>
      </c>
      <c r="I23" s="29">
        <v>60</v>
      </c>
      <c r="J23" s="29"/>
      <c r="K23" s="27"/>
      <c r="L23" s="100"/>
      <c r="M23" s="100"/>
      <c r="N23" s="100"/>
      <c r="O23" s="100"/>
      <c r="P23" s="100"/>
      <c r="Q23" s="100"/>
      <c r="R23" s="100"/>
      <c r="S23" s="100"/>
      <c r="T23" s="100"/>
      <c r="U23" s="100"/>
      <c r="V23" s="100"/>
      <c r="W23" s="100"/>
      <c r="X23" s="100"/>
      <c r="Y23" s="100"/>
      <c r="Z23" s="100"/>
      <c r="AA23" s="100"/>
      <c r="AB23" s="100"/>
      <c r="AC23" s="100"/>
      <c r="AD23" s="100"/>
      <c r="AE23" s="100"/>
      <c r="AF23" s="100"/>
      <c r="AG23" s="100"/>
      <c r="AH23" s="100"/>
      <c r="AI23" s="100"/>
      <c r="AJ23" s="100"/>
      <c r="AK23" s="100"/>
      <c r="AL23" s="100"/>
      <c r="AM23" s="100"/>
      <c r="AN23" s="100"/>
      <c r="AO23" s="100"/>
      <c r="AP23" s="100"/>
      <c r="AQ23" s="100"/>
      <c r="AR23" s="100"/>
      <c r="AS23" s="100"/>
      <c r="AT23" s="100"/>
      <c r="AU23" s="100"/>
      <c r="AV23" s="100"/>
      <c r="AW23" s="100"/>
      <c r="AX23" s="100"/>
      <c r="AY23" s="100"/>
      <c r="AZ23" s="100"/>
      <c r="BA23" s="100"/>
      <c r="BB23" s="100"/>
      <c r="BC23" s="100"/>
      <c r="BD23" s="100"/>
      <c r="BE23" s="100"/>
      <c r="BF23" s="100"/>
      <c r="BG23" s="100"/>
      <c r="BH23" s="100"/>
      <c r="BI23" s="100"/>
      <c r="BJ23" s="100"/>
      <c r="BK23" s="100"/>
      <c r="BL23" s="100"/>
      <c r="BM23" s="100"/>
      <c r="BN23" s="100"/>
      <c r="BO23" s="100"/>
    </row>
    <row r="24" spans="1:67" ht="16.5" customHeight="1" x14ac:dyDescent="0.25">
      <c r="A24" s="134" t="str">
        <f t="shared" si="1"/>
        <v>7632</v>
      </c>
      <c r="B24" s="51" t="s">
        <v>188</v>
      </c>
      <c r="C24" s="49" t="s">
        <v>20</v>
      </c>
      <c r="D24" s="50">
        <v>1001012507632</v>
      </c>
      <c r="E24" s="24"/>
      <c r="F24" s="125">
        <v>0.4</v>
      </c>
      <c r="G24" s="23">
        <f>E24*F24</f>
        <v>0</v>
      </c>
      <c r="H24" s="29">
        <v>3.2</v>
      </c>
      <c r="I24" s="29">
        <v>60</v>
      </c>
      <c r="J24" s="29"/>
      <c r="L24" s="100"/>
    </row>
    <row r="25" spans="1:67" ht="16.5" customHeight="1" x14ac:dyDescent="0.25">
      <c r="A25" s="134" t="str">
        <f t="shared" si="1"/>
        <v>4561</v>
      </c>
      <c r="B25" s="51" t="s">
        <v>111</v>
      </c>
      <c r="C25" s="49" t="s">
        <v>22</v>
      </c>
      <c r="D25" s="50">
        <v>1001010014561</v>
      </c>
      <c r="E25" s="24"/>
      <c r="F25" s="23">
        <v>1.35</v>
      </c>
      <c r="G25" s="23">
        <f t="shared" ref="G25" si="3">E25</f>
        <v>0</v>
      </c>
      <c r="H25" s="14">
        <v>4.05</v>
      </c>
      <c r="I25" s="14">
        <v>60</v>
      </c>
      <c r="J25" s="29"/>
      <c r="L25" s="100"/>
    </row>
    <row r="26" spans="1:67" ht="16.5" customHeight="1" x14ac:dyDescent="0.25">
      <c r="A26" s="134" t="str">
        <f t="shared" si="1"/>
        <v>6325</v>
      </c>
      <c r="B26" s="51" t="s">
        <v>32</v>
      </c>
      <c r="C26" s="49" t="s">
        <v>20</v>
      </c>
      <c r="D26" s="50">
        <v>1001010106325</v>
      </c>
      <c r="E26" s="24"/>
      <c r="F26" s="23">
        <v>0.4</v>
      </c>
      <c r="G26" s="23">
        <f>E26*F26</f>
        <v>0</v>
      </c>
      <c r="H26" s="14">
        <v>3.2</v>
      </c>
      <c r="I26" s="14">
        <v>60</v>
      </c>
      <c r="J26" s="29"/>
      <c r="L26" s="100"/>
    </row>
    <row r="27" spans="1:67" s="52" customFormat="1" ht="16.5" customHeight="1" x14ac:dyDescent="0.25">
      <c r="A27" s="134" t="str">
        <f t="shared" si="1"/>
        <v>8014</v>
      </c>
      <c r="B27" s="51" t="s">
        <v>207</v>
      </c>
      <c r="C27" s="49" t="s">
        <v>22</v>
      </c>
      <c r="D27" s="50">
        <v>1001010108014</v>
      </c>
      <c r="E27" s="24"/>
      <c r="F27" s="125">
        <v>1.35</v>
      </c>
      <c r="G27" s="23">
        <f t="shared" ref="G27" si="4">E27</f>
        <v>0</v>
      </c>
      <c r="H27" s="29">
        <v>5.4</v>
      </c>
      <c r="I27" s="29">
        <v>60</v>
      </c>
      <c r="J27" s="29"/>
      <c r="K27" s="27"/>
      <c r="L27" s="100"/>
      <c r="M27" s="100"/>
      <c r="N27" s="100"/>
      <c r="O27" s="100"/>
      <c r="P27" s="100"/>
      <c r="Q27" s="100"/>
      <c r="R27" s="100"/>
      <c r="S27" s="100"/>
      <c r="T27" s="100"/>
      <c r="U27" s="100"/>
      <c r="V27" s="100"/>
      <c r="W27" s="100"/>
      <c r="X27" s="100"/>
      <c r="Y27" s="100"/>
      <c r="Z27" s="100"/>
      <c r="AA27" s="100"/>
      <c r="AB27" s="100"/>
      <c r="AC27" s="100"/>
      <c r="AD27" s="100"/>
      <c r="AE27" s="100"/>
      <c r="AF27" s="100"/>
      <c r="AG27" s="100"/>
      <c r="AH27" s="100"/>
      <c r="AI27" s="100"/>
      <c r="AJ27" s="100"/>
      <c r="AK27" s="100"/>
      <c r="AL27" s="100"/>
      <c r="AM27" s="100"/>
      <c r="AN27" s="100"/>
      <c r="AO27" s="100"/>
      <c r="AP27" s="100"/>
      <c r="AQ27" s="100"/>
      <c r="AR27" s="100"/>
      <c r="AS27" s="100"/>
      <c r="AT27" s="100"/>
      <c r="AU27" s="100"/>
      <c r="AV27" s="100"/>
      <c r="AW27" s="100"/>
      <c r="AX27" s="100"/>
      <c r="AY27" s="100"/>
      <c r="AZ27" s="100"/>
      <c r="BA27" s="100"/>
      <c r="BB27" s="100"/>
      <c r="BC27" s="100"/>
      <c r="BD27" s="100"/>
      <c r="BE27" s="100"/>
      <c r="BF27" s="100"/>
      <c r="BG27" s="100"/>
      <c r="BH27" s="100"/>
      <c r="BI27" s="100"/>
      <c r="BJ27" s="100"/>
      <c r="BK27" s="100"/>
      <c r="BL27" s="100"/>
      <c r="BM27" s="100"/>
      <c r="BN27" s="100"/>
      <c r="BO27" s="100"/>
    </row>
    <row r="28" spans="1:67" s="52" customFormat="1" ht="16.5" customHeight="1" x14ac:dyDescent="0.25">
      <c r="A28" s="134" t="str">
        <f t="shared" si="1"/>
        <v>7514</v>
      </c>
      <c r="B28" s="51" t="s">
        <v>208</v>
      </c>
      <c r="C28" s="49" t="s">
        <v>22</v>
      </c>
      <c r="D28" s="50">
        <v>1001017557514</v>
      </c>
      <c r="E28" s="24"/>
      <c r="F28" s="125"/>
      <c r="G28" s="23">
        <f>E28</f>
        <v>0</v>
      </c>
      <c r="H28" s="29"/>
      <c r="I28" s="29"/>
      <c r="J28" s="29" t="str">
        <f>VLOOKUP(D28,[1]Бланк!$D:$J,7,0)</f>
        <v>Новинка</v>
      </c>
      <c r="K28" s="27"/>
      <c r="L28" s="100"/>
      <c r="M28" s="100"/>
      <c r="N28" s="100"/>
      <c r="O28" s="100"/>
      <c r="P28" s="100"/>
      <c r="Q28" s="100"/>
      <c r="R28" s="100"/>
      <c r="S28" s="100"/>
      <c r="T28" s="100"/>
      <c r="U28" s="100"/>
      <c r="V28" s="100"/>
      <c r="W28" s="100"/>
      <c r="X28" s="100"/>
      <c r="Y28" s="100"/>
      <c r="Z28" s="100"/>
      <c r="AA28" s="100"/>
      <c r="AB28" s="100"/>
      <c r="AC28" s="100"/>
      <c r="AD28" s="100"/>
      <c r="AE28" s="100"/>
      <c r="AF28" s="100"/>
      <c r="AG28" s="100"/>
      <c r="AH28" s="100"/>
      <c r="AI28" s="100"/>
      <c r="AJ28" s="100"/>
      <c r="AK28" s="100"/>
      <c r="AL28" s="100"/>
      <c r="AM28" s="100"/>
      <c r="AN28" s="100"/>
      <c r="AO28" s="100"/>
      <c r="AP28" s="100"/>
      <c r="AQ28" s="100"/>
      <c r="AR28" s="100"/>
      <c r="AS28" s="100"/>
      <c r="AT28" s="100"/>
      <c r="AU28" s="100"/>
      <c r="AV28" s="100"/>
      <c r="AW28" s="100"/>
      <c r="AX28" s="100"/>
      <c r="AY28" s="100"/>
      <c r="AZ28" s="100"/>
      <c r="BA28" s="100"/>
      <c r="BB28" s="100"/>
      <c r="BC28" s="100"/>
      <c r="BD28" s="100"/>
      <c r="BE28" s="100"/>
      <c r="BF28" s="100"/>
      <c r="BG28" s="100"/>
      <c r="BH28" s="100"/>
      <c r="BI28" s="100"/>
      <c r="BJ28" s="100"/>
      <c r="BK28" s="100"/>
      <c r="BL28" s="100"/>
      <c r="BM28" s="100"/>
      <c r="BN28" s="100"/>
      <c r="BO28" s="100"/>
    </row>
    <row r="29" spans="1:67" s="52" customFormat="1" ht="16.5" customHeight="1" x14ac:dyDescent="0.25">
      <c r="A29" s="134" t="str">
        <f t="shared" si="1"/>
        <v>7518</v>
      </c>
      <c r="B29" s="51" t="s">
        <v>209</v>
      </c>
      <c r="C29" s="49" t="s">
        <v>22</v>
      </c>
      <c r="D29" s="50">
        <v>1001017567518</v>
      </c>
      <c r="E29" s="24"/>
      <c r="F29" s="125"/>
      <c r="G29" s="23">
        <f>E29</f>
        <v>0</v>
      </c>
      <c r="H29" s="29"/>
      <c r="I29" s="29"/>
      <c r="J29" s="29" t="str">
        <f>VLOOKUP(D29,[1]Бланк!$D:$J,7,0)</f>
        <v>Новинка</v>
      </c>
      <c r="K29" s="27"/>
      <c r="L29" s="100"/>
      <c r="M29" s="100"/>
      <c r="N29" s="100"/>
      <c r="O29" s="100"/>
      <c r="P29" s="100"/>
      <c r="Q29" s="100"/>
      <c r="R29" s="100"/>
      <c r="S29" s="100"/>
      <c r="T29" s="100"/>
      <c r="U29" s="100"/>
      <c r="V29" s="100"/>
      <c r="W29" s="100"/>
      <c r="X29" s="100"/>
      <c r="Y29" s="100"/>
      <c r="Z29" s="100"/>
      <c r="AA29" s="100"/>
      <c r="AB29" s="100"/>
      <c r="AC29" s="100"/>
      <c r="AD29" s="100"/>
      <c r="AE29" s="100"/>
      <c r="AF29" s="100"/>
      <c r="AG29" s="100"/>
      <c r="AH29" s="100"/>
      <c r="AI29" s="100"/>
      <c r="AJ29" s="100"/>
      <c r="AK29" s="100"/>
      <c r="AL29" s="100"/>
      <c r="AM29" s="100"/>
      <c r="AN29" s="100"/>
      <c r="AO29" s="100"/>
      <c r="AP29" s="100"/>
      <c r="AQ29" s="100"/>
      <c r="AR29" s="100"/>
      <c r="AS29" s="100"/>
      <c r="AT29" s="100"/>
      <c r="AU29" s="100"/>
      <c r="AV29" s="100"/>
      <c r="AW29" s="100"/>
      <c r="AX29" s="100"/>
      <c r="AY29" s="100"/>
      <c r="AZ29" s="100"/>
      <c r="BA29" s="100"/>
      <c r="BB29" s="100"/>
      <c r="BC29" s="100"/>
      <c r="BD29" s="100"/>
      <c r="BE29" s="100"/>
      <c r="BF29" s="100"/>
      <c r="BG29" s="100"/>
      <c r="BH29" s="100"/>
      <c r="BI29" s="100"/>
      <c r="BJ29" s="100"/>
      <c r="BK29" s="100"/>
      <c r="BL29" s="100"/>
      <c r="BM29" s="100"/>
      <c r="BN29" s="100"/>
      <c r="BO29" s="100"/>
    </row>
    <row r="30" spans="1:67" s="52" customFormat="1" ht="16.5" customHeight="1" x14ac:dyDescent="0.25">
      <c r="A30" s="134" t="str">
        <f t="shared" si="1"/>
        <v>7343</v>
      </c>
      <c r="B30" s="51" t="s">
        <v>31</v>
      </c>
      <c r="C30" s="49" t="s">
        <v>20</v>
      </c>
      <c r="D30" s="50">
        <v>1001016747343</v>
      </c>
      <c r="E30" s="24"/>
      <c r="F30" s="125">
        <v>0.4</v>
      </c>
      <c r="G30" s="23">
        <f t="shared" ref="G30:G32" si="5">E30*F30</f>
        <v>0</v>
      </c>
      <c r="H30" s="29">
        <v>3.2</v>
      </c>
      <c r="I30" s="29">
        <v>60</v>
      </c>
      <c r="J30" s="29"/>
      <c r="K30" s="27"/>
      <c r="L30" s="100"/>
      <c r="M30" s="100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100"/>
      <c r="AB30" s="100"/>
      <c r="AC30" s="100"/>
      <c r="AD30" s="100"/>
      <c r="AE30" s="100"/>
      <c r="AF30" s="100"/>
      <c r="AG30" s="100"/>
      <c r="AH30" s="100"/>
      <c r="AI30" s="100"/>
      <c r="AJ30" s="100"/>
      <c r="AK30" s="100"/>
      <c r="AL30" s="100"/>
      <c r="AM30" s="100"/>
      <c r="AN30" s="100"/>
      <c r="AO30" s="100"/>
      <c r="AP30" s="100"/>
      <c r="AQ30" s="100"/>
      <c r="AR30" s="100"/>
      <c r="AS30" s="100"/>
      <c r="AT30" s="100"/>
      <c r="AU30" s="100"/>
      <c r="AV30" s="100"/>
      <c r="AW30" s="100"/>
      <c r="AX30" s="100"/>
      <c r="AY30" s="100"/>
      <c r="AZ30" s="100"/>
      <c r="BA30" s="100"/>
      <c r="BB30" s="100"/>
      <c r="BC30" s="100"/>
      <c r="BD30" s="100"/>
      <c r="BE30" s="100"/>
      <c r="BF30" s="100"/>
      <c r="BG30" s="100"/>
      <c r="BH30" s="100"/>
      <c r="BI30" s="100"/>
      <c r="BJ30" s="100"/>
      <c r="BK30" s="100"/>
      <c r="BL30" s="100"/>
      <c r="BM30" s="100"/>
      <c r="BN30" s="100"/>
      <c r="BO30" s="100"/>
    </row>
    <row r="31" spans="1:67" ht="16.5" customHeight="1" x14ac:dyDescent="0.25">
      <c r="A31" s="134" t="str">
        <f t="shared" si="1"/>
        <v>6797</v>
      </c>
      <c r="B31" s="51" t="s">
        <v>114</v>
      </c>
      <c r="C31" s="49" t="s">
        <v>20</v>
      </c>
      <c r="D31" s="50">
        <v>1001015026797</v>
      </c>
      <c r="E31" s="24"/>
      <c r="F31" s="125">
        <v>0.4</v>
      </c>
      <c r="G31" s="23">
        <f t="shared" si="5"/>
        <v>0</v>
      </c>
      <c r="H31" s="29">
        <v>3.2</v>
      </c>
      <c r="I31" s="29">
        <v>60</v>
      </c>
      <c r="J31" s="29"/>
      <c r="L31" s="100"/>
    </row>
    <row r="32" spans="1:67" s="52" customFormat="1" ht="16.5" customHeight="1" thickBot="1" x14ac:dyDescent="0.3">
      <c r="A32" s="134" t="str">
        <f t="shared" si="1"/>
        <v>7231</v>
      </c>
      <c r="B32" s="51" t="s">
        <v>33</v>
      </c>
      <c r="C32" s="49" t="s">
        <v>20</v>
      </c>
      <c r="D32" s="50">
        <v>1001013957231</v>
      </c>
      <c r="E32" s="24"/>
      <c r="F32" s="125">
        <v>0.3</v>
      </c>
      <c r="G32" s="23">
        <f t="shared" si="5"/>
        <v>0</v>
      </c>
      <c r="H32" s="29">
        <v>2.4</v>
      </c>
      <c r="I32" s="29">
        <v>60</v>
      </c>
      <c r="J32" s="29"/>
      <c r="K32" s="27"/>
      <c r="L32" s="100"/>
      <c r="M32" s="100"/>
      <c r="N32" s="100"/>
      <c r="O32" s="100"/>
      <c r="P32" s="100"/>
      <c r="Q32" s="100"/>
      <c r="R32" s="100"/>
      <c r="S32" s="100"/>
      <c r="T32" s="100"/>
      <c r="U32" s="100"/>
      <c r="V32" s="100"/>
      <c r="W32" s="100"/>
      <c r="X32" s="100"/>
      <c r="Y32" s="100"/>
      <c r="Z32" s="100"/>
      <c r="AA32" s="100"/>
      <c r="AB32" s="100"/>
      <c r="AC32" s="100"/>
      <c r="AD32" s="100"/>
      <c r="AE32" s="100"/>
      <c r="AF32" s="100"/>
      <c r="AG32" s="100"/>
      <c r="AH32" s="100"/>
      <c r="AI32" s="100"/>
      <c r="AJ32" s="100"/>
      <c r="AK32" s="100"/>
      <c r="AL32" s="100"/>
      <c r="AM32" s="100"/>
      <c r="AN32" s="100"/>
      <c r="AO32" s="100"/>
      <c r="AP32" s="100"/>
      <c r="AQ32" s="100"/>
      <c r="AR32" s="100"/>
      <c r="AS32" s="100"/>
      <c r="AT32" s="100"/>
      <c r="AU32" s="100"/>
      <c r="AV32" s="100"/>
      <c r="AW32" s="100"/>
      <c r="AX32" s="100"/>
      <c r="AY32" s="100"/>
      <c r="AZ32" s="100"/>
      <c r="BA32" s="100"/>
      <c r="BB32" s="100"/>
      <c r="BC32" s="100"/>
      <c r="BD32" s="100"/>
      <c r="BE32" s="100"/>
      <c r="BF32" s="100"/>
      <c r="BG32" s="100"/>
      <c r="BH32" s="100"/>
      <c r="BI32" s="100"/>
      <c r="BJ32" s="100"/>
      <c r="BK32" s="100"/>
      <c r="BL32" s="100"/>
      <c r="BM32" s="100"/>
      <c r="BN32" s="100"/>
      <c r="BO32" s="100"/>
    </row>
    <row r="33" spans="1:67" s="52" customFormat="1" ht="16.5" customHeight="1" thickTop="1" thickBot="1" x14ac:dyDescent="0.3">
      <c r="A33" s="47" t="s">
        <v>104</v>
      </c>
      <c r="B33" s="42" t="s">
        <v>36</v>
      </c>
      <c r="C33" s="42"/>
      <c r="D33" s="42"/>
      <c r="E33" s="42"/>
      <c r="F33" s="41"/>
      <c r="G33" s="42"/>
      <c r="H33" s="42"/>
      <c r="I33" s="42"/>
      <c r="J33" s="43"/>
      <c r="K33" s="27"/>
      <c r="L33" s="100"/>
      <c r="M33" s="100"/>
      <c r="N33" s="100"/>
      <c r="O33" s="100"/>
      <c r="P33" s="100"/>
      <c r="Q33" s="100"/>
      <c r="R33" s="100"/>
      <c r="S33" s="100"/>
      <c r="T33" s="100"/>
      <c r="U33" s="100"/>
      <c r="V33" s="100"/>
      <c r="W33" s="100"/>
      <c r="X33" s="100"/>
      <c r="Y33" s="100"/>
      <c r="Z33" s="100"/>
      <c r="AA33" s="100"/>
      <c r="AB33" s="100"/>
      <c r="AC33" s="100"/>
      <c r="AD33" s="100"/>
      <c r="AE33" s="100"/>
      <c r="AF33" s="100"/>
      <c r="AG33" s="100"/>
      <c r="AH33" s="100"/>
      <c r="AI33" s="100"/>
      <c r="AJ33" s="100"/>
      <c r="AK33" s="100"/>
      <c r="AL33" s="100"/>
      <c r="AM33" s="100"/>
      <c r="AN33" s="100"/>
      <c r="AO33" s="100"/>
      <c r="AP33" s="100"/>
      <c r="AQ33" s="100"/>
      <c r="AR33" s="100"/>
      <c r="AS33" s="100"/>
      <c r="AT33" s="100"/>
      <c r="AU33" s="100"/>
      <c r="AV33" s="100"/>
      <c r="AW33" s="100"/>
      <c r="AX33" s="100"/>
      <c r="AY33" s="100"/>
      <c r="AZ33" s="100"/>
      <c r="BA33" s="100"/>
      <c r="BB33" s="100"/>
      <c r="BC33" s="100"/>
      <c r="BD33" s="100"/>
      <c r="BE33" s="100"/>
      <c r="BF33" s="100"/>
      <c r="BG33" s="100"/>
      <c r="BH33" s="100"/>
      <c r="BI33" s="100"/>
      <c r="BJ33" s="100"/>
      <c r="BK33" s="100"/>
      <c r="BL33" s="100"/>
      <c r="BM33" s="100"/>
      <c r="BN33" s="100"/>
      <c r="BO33" s="100"/>
    </row>
    <row r="34" spans="1:67" s="52" customFormat="1" ht="16.5" customHeight="1" thickTop="1" x14ac:dyDescent="0.25">
      <c r="A34" s="134" t="str">
        <f t="shared" si="1"/>
        <v>6602</v>
      </c>
      <c r="B34" s="51" t="s">
        <v>155</v>
      </c>
      <c r="C34" s="49" t="s">
        <v>20</v>
      </c>
      <c r="D34" s="50">
        <v>1001021966602</v>
      </c>
      <c r="E34" s="24"/>
      <c r="F34" s="125">
        <v>0.35</v>
      </c>
      <c r="G34" s="23">
        <f t="shared" ref="G34:G38" si="6">E34*F34</f>
        <v>0</v>
      </c>
      <c r="H34" s="29">
        <v>2.8</v>
      </c>
      <c r="I34" s="29">
        <v>45</v>
      </c>
      <c r="J34" s="29"/>
      <c r="K34" s="27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100"/>
      <c r="AB34" s="100"/>
      <c r="AC34" s="100"/>
      <c r="AD34" s="100"/>
      <c r="AE34" s="100"/>
      <c r="AF34" s="100"/>
      <c r="AG34" s="100"/>
      <c r="AH34" s="100"/>
      <c r="AI34" s="100"/>
      <c r="AJ34" s="100"/>
      <c r="AK34" s="100"/>
      <c r="AL34" s="100"/>
      <c r="AM34" s="100"/>
      <c r="AN34" s="100"/>
      <c r="AO34" s="100"/>
      <c r="AP34" s="100"/>
      <c r="AQ34" s="100"/>
      <c r="AR34" s="100"/>
      <c r="AS34" s="100"/>
      <c r="AT34" s="100"/>
      <c r="AU34" s="100"/>
      <c r="AV34" s="100"/>
      <c r="AW34" s="100"/>
      <c r="AX34" s="100"/>
      <c r="AY34" s="100"/>
      <c r="AZ34" s="100"/>
      <c r="BA34" s="100"/>
      <c r="BB34" s="100"/>
      <c r="BC34" s="100"/>
      <c r="BD34" s="100"/>
      <c r="BE34" s="100"/>
      <c r="BF34" s="100"/>
      <c r="BG34" s="100"/>
      <c r="BH34" s="100"/>
      <c r="BI34" s="100"/>
      <c r="BJ34" s="100"/>
      <c r="BK34" s="100"/>
      <c r="BL34" s="100"/>
      <c r="BM34" s="100"/>
      <c r="BN34" s="100"/>
      <c r="BO34" s="100"/>
    </row>
    <row r="35" spans="1:67" s="52" customFormat="1" ht="16.5" customHeight="1" x14ac:dyDescent="0.25">
      <c r="A35" s="134" t="str">
        <f t="shared" si="1"/>
        <v>7601</v>
      </c>
      <c r="B35" s="51" t="s">
        <v>201</v>
      </c>
      <c r="C35" s="49" t="s">
        <v>20</v>
      </c>
      <c r="D35" s="50">
        <v>1001025767601</v>
      </c>
      <c r="E35" s="24"/>
      <c r="F35" s="125">
        <v>0.26400000000000001</v>
      </c>
      <c r="G35" s="23">
        <f t="shared" si="6"/>
        <v>0</v>
      </c>
      <c r="H35" s="29">
        <v>1.58</v>
      </c>
      <c r="I35" s="29">
        <v>30</v>
      </c>
      <c r="J35" s="29"/>
      <c r="K35" s="27"/>
      <c r="L35" s="100"/>
      <c r="M35" s="100"/>
      <c r="N35" s="100"/>
      <c r="O35" s="100"/>
      <c r="P35" s="100"/>
      <c r="Q35" s="100"/>
      <c r="R35" s="100"/>
      <c r="S35" s="100"/>
      <c r="T35" s="100"/>
      <c r="U35" s="100"/>
      <c r="V35" s="100"/>
      <c r="W35" s="100"/>
      <c r="X35" s="100"/>
      <c r="Y35" s="100"/>
      <c r="Z35" s="100"/>
      <c r="AA35" s="100"/>
      <c r="AB35" s="100"/>
      <c r="AC35" s="100"/>
      <c r="AD35" s="100"/>
      <c r="AE35" s="100"/>
      <c r="AF35" s="100"/>
      <c r="AG35" s="100"/>
      <c r="AH35" s="100"/>
      <c r="AI35" s="100"/>
      <c r="AJ35" s="100"/>
      <c r="AK35" s="100"/>
      <c r="AL35" s="100"/>
      <c r="AM35" s="100"/>
      <c r="AN35" s="100"/>
      <c r="AO35" s="100"/>
      <c r="AP35" s="100"/>
      <c r="AQ35" s="100"/>
      <c r="AR35" s="100"/>
      <c r="AS35" s="100"/>
      <c r="AT35" s="100"/>
      <c r="AU35" s="100"/>
      <c r="AV35" s="100"/>
      <c r="AW35" s="100"/>
      <c r="AX35" s="100"/>
      <c r="AY35" s="100"/>
      <c r="AZ35" s="100"/>
      <c r="BA35" s="100"/>
      <c r="BB35" s="100"/>
      <c r="BC35" s="100"/>
      <c r="BD35" s="100"/>
      <c r="BE35" s="100"/>
      <c r="BF35" s="100"/>
      <c r="BG35" s="100"/>
      <c r="BH35" s="100"/>
      <c r="BI35" s="100"/>
      <c r="BJ35" s="100"/>
      <c r="BK35" s="100"/>
      <c r="BL35" s="100"/>
      <c r="BM35" s="100"/>
      <c r="BN35" s="100"/>
      <c r="BO35" s="100"/>
    </row>
    <row r="36" spans="1:67" s="52" customFormat="1" ht="16.5" customHeight="1" x14ac:dyDescent="0.25">
      <c r="A36" s="134" t="str">
        <f t="shared" si="1"/>
        <v>7461</v>
      </c>
      <c r="B36" s="51" t="s">
        <v>184</v>
      </c>
      <c r="C36" s="49" t="s">
        <v>20</v>
      </c>
      <c r="D36" s="50">
        <v>1001025767461</v>
      </c>
      <c r="E36" s="24"/>
      <c r="F36" s="125">
        <v>0.33</v>
      </c>
      <c r="G36" s="23">
        <f t="shared" si="6"/>
        <v>0</v>
      </c>
      <c r="H36" s="29">
        <v>1.98</v>
      </c>
      <c r="I36" s="29">
        <v>30</v>
      </c>
      <c r="J36" s="29"/>
      <c r="K36" s="27"/>
      <c r="L36" s="100"/>
      <c r="M36" s="100"/>
      <c r="N36" s="100"/>
      <c r="O36" s="100"/>
      <c r="P36" s="100"/>
      <c r="Q36" s="100"/>
      <c r="R36" s="100"/>
      <c r="S36" s="100"/>
      <c r="T36" s="100"/>
      <c r="U36" s="100"/>
      <c r="V36" s="100"/>
      <c r="W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100"/>
      <c r="AH36" s="100"/>
      <c r="AI36" s="100"/>
      <c r="AJ36" s="100"/>
      <c r="AK36" s="100"/>
      <c r="AL36" s="100"/>
      <c r="AM36" s="100"/>
      <c r="AN36" s="100"/>
      <c r="AO36" s="100"/>
      <c r="AP36" s="100"/>
      <c r="AQ36" s="100"/>
      <c r="AR36" s="100"/>
      <c r="AS36" s="100"/>
      <c r="AT36" s="100"/>
      <c r="AU36" s="100"/>
      <c r="AV36" s="100"/>
      <c r="AW36" s="100"/>
      <c r="AX36" s="100"/>
      <c r="AY36" s="100"/>
      <c r="AZ36" s="100"/>
      <c r="BA36" s="100"/>
      <c r="BB36" s="100"/>
      <c r="BC36" s="100"/>
      <c r="BD36" s="100"/>
      <c r="BE36" s="100"/>
      <c r="BF36" s="100"/>
      <c r="BG36" s="100"/>
      <c r="BH36" s="100"/>
      <c r="BI36" s="100"/>
      <c r="BJ36" s="100"/>
      <c r="BK36" s="100"/>
      <c r="BL36" s="100"/>
      <c r="BM36" s="100"/>
      <c r="BN36" s="100"/>
      <c r="BO36" s="100"/>
    </row>
    <row r="37" spans="1:67" s="52" customFormat="1" ht="16.5" customHeight="1" x14ac:dyDescent="0.25">
      <c r="A37" s="134" t="str">
        <f t="shared" si="1"/>
        <v>7040</v>
      </c>
      <c r="B37" s="51" t="s">
        <v>197</v>
      </c>
      <c r="C37" s="49" t="s">
        <v>20</v>
      </c>
      <c r="D37" s="50">
        <v>1001025027040</v>
      </c>
      <c r="E37" s="24"/>
      <c r="F37" s="125">
        <v>0.27</v>
      </c>
      <c r="G37" s="23">
        <f t="shared" si="6"/>
        <v>0</v>
      </c>
      <c r="H37" s="29"/>
      <c r="I37" s="29"/>
      <c r="J37" s="29"/>
      <c r="K37" s="27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  <c r="AG37" s="100"/>
      <c r="AH37" s="100"/>
      <c r="AI37" s="100"/>
      <c r="AJ37" s="100"/>
      <c r="AK37" s="100"/>
      <c r="AL37" s="100"/>
      <c r="AM37" s="100"/>
      <c r="AN37" s="100"/>
      <c r="AO37" s="100"/>
      <c r="AP37" s="100"/>
      <c r="AQ37" s="100"/>
      <c r="AR37" s="100"/>
      <c r="AS37" s="100"/>
      <c r="AT37" s="100"/>
      <c r="AU37" s="100"/>
      <c r="AV37" s="100"/>
      <c r="AW37" s="100"/>
      <c r="AX37" s="100"/>
      <c r="AY37" s="100"/>
      <c r="AZ37" s="100"/>
      <c r="BA37" s="100"/>
      <c r="BB37" s="100"/>
      <c r="BC37" s="100"/>
      <c r="BD37" s="100"/>
      <c r="BE37" s="100"/>
      <c r="BF37" s="100"/>
      <c r="BG37" s="100"/>
      <c r="BH37" s="100"/>
      <c r="BI37" s="100"/>
      <c r="BJ37" s="100"/>
      <c r="BK37" s="100"/>
      <c r="BL37" s="100"/>
      <c r="BM37" s="100"/>
      <c r="BN37" s="100"/>
      <c r="BO37" s="100"/>
    </row>
    <row r="38" spans="1:67" s="52" customFormat="1" ht="16.5" customHeight="1" x14ac:dyDescent="0.25">
      <c r="A38" s="134" t="str">
        <f t="shared" si="1"/>
        <v>6759</v>
      </c>
      <c r="B38" s="51" t="s">
        <v>41</v>
      </c>
      <c r="C38" s="49" t="s">
        <v>20</v>
      </c>
      <c r="D38" s="50">
        <v>1001020836759</v>
      </c>
      <c r="E38" s="24"/>
      <c r="F38" s="125">
        <v>0.4</v>
      </c>
      <c r="G38" s="23">
        <f t="shared" si="6"/>
        <v>0</v>
      </c>
      <c r="H38" s="29">
        <v>2.8</v>
      </c>
      <c r="I38" s="29">
        <v>30</v>
      </c>
      <c r="J38" s="29"/>
      <c r="K38" s="27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0"/>
      <c r="AG38" s="100"/>
      <c r="AH38" s="100"/>
      <c r="AI38" s="100"/>
      <c r="AJ38" s="100"/>
      <c r="AK38" s="100"/>
      <c r="AL38" s="100"/>
      <c r="AM38" s="100"/>
      <c r="AN38" s="100"/>
      <c r="AO38" s="100"/>
      <c r="AP38" s="100"/>
      <c r="AQ38" s="100"/>
      <c r="AR38" s="100"/>
      <c r="AS38" s="100"/>
      <c r="AT38" s="100"/>
      <c r="AU38" s="100"/>
      <c r="AV38" s="100"/>
      <c r="AW38" s="100"/>
      <c r="AX38" s="100"/>
      <c r="AY38" s="100"/>
      <c r="AZ38" s="100"/>
      <c r="BA38" s="100"/>
      <c r="BB38" s="100"/>
      <c r="BC38" s="100"/>
      <c r="BD38" s="100"/>
      <c r="BE38" s="100"/>
      <c r="BF38" s="100"/>
      <c r="BG38" s="100"/>
      <c r="BH38" s="100"/>
      <c r="BI38" s="100"/>
      <c r="BJ38" s="100"/>
      <c r="BK38" s="100"/>
      <c r="BL38" s="100"/>
      <c r="BM38" s="100"/>
      <c r="BN38" s="100"/>
      <c r="BO38" s="100"/>
    </row>
    <row r="39" spans="1:67" s="52" customFormat="1" ht="16.5" customHeight="1" x14ac:dyDescent="0.25">
      <c r="A39" s="134" t="str">
        <f t="shared" si="1"/>
        <v>6761</v>
      </c>
      <c r="B39" s="51" t="s">
        <v>52</v>
      </c>
      <c r="C39" s="49" t="s">
        <v>22</v>
      </c>
      <c r="D39" s="50">
        <v>1001020836761</v>
      </c>
      <c r="E39" s="24"/>
      <c r="F39" s="125">
        <v>1</v>
      </c>
      <c r="G39" s="23">
        <f t="shared" ref="G39:G40" si="7">E39</f>
        <v>0</v>
      </c>
      <c r="H39" s="29">
        <v>4</v>
      </c>
      <c r="I39" s="29">
        <v>30</v>
      </c>
      <c r="J39" s="29"/>
      <c r="K39" s="27"/>
      <c r="L39" s="100"/>
      <c r="M39" s="100"/>
      <c r="N39" s="100"/>
      <c r="O39" s="100"/>
      <c r="P39" s="100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100"/>
      <c r="AB39" s="100"/>
      <c r="AC39" s="100"/>
      <c r="AD39" s="100"/>
      <c r="AE39" s="100"/>
      <c r="AF39" s="100"/>
      <c r="AG39" s="100"/>
      <c r="AH39" s="100"/>
      <c r="AI39" s="100"/>
      <c r="AJ39" s="100"/>
      <c r="AK39" s="100"/>
      <c r="AL39" s="100"/>
      <c r="AM39" s="100"/>
      <c r="AN39" s="100"/>
      <c r="AO39" s="100"/>
      <c r="AP39" s="100"/>
      <c r="AQ39" s="100"/>
      <c r="AR39" s="100"/>
      <c r="AS39" s="100"/>
      <c r="AT39" s="100"/>
      <c r="AU39" s="100"/>
      <c r="AV39" s="100"/>
      <c r="AW39" s="100"/>
      <c r="AX39" s="100"/>
      <c r="AY39" s="100"/>
      <c r="AZ39" s="100"/>
      <c r="BA39" s="100"/>
      <c r="BB39" s="100"/>
      <c r="BC39" s="100"/>
      <c r="BD39" s="100"/>
      <c r="BE39" s="100"/>
      <c r="BF39" s="100"/>
      <c r="BG39" s="100"/>
      <c r="BH39" s="100"/>
      <c r="BI39" s="100"/>
      <c r="BJ39" s="100"/>
      <c r="BK39" s="100"/>
      <c r="BL39" s="100"/>
      <c r="BM39" s="100"/>
      <c r="BN39" s="100"/>
      <c r="BO39" s="100"/>
    </row>
    <row r="40" spans="1:67" s="52" customFormat="1" ht="16.5" customHeight="1" x14ac:dyDescent="0.25">
      <c r="A40" s="134" t="str">
        <f t="shared" si="1"/>
        <v>6829</v>
      </c>
      <c r="B40" s="51" t="s">
        <v>156</v>
      </c>
      <c r="C40" s="49" t="s">
        <v>22</v>
      </c>
      <c r="D40" s="50">
        <v>1001024976829</v>
      </c>
      <c r="E40" s="24"/>
      <c r="F40" s="125">
        <v>2.1</v>
      </c>
      <c r="G40" s="23">
        <f t="shared" si="7"/>
        <v>0</v>
      </c>
      <c r="H40" s="29">
        <v>8.4</v>
      </c>
      <c r="I40" s="29">
        <v>45</v>
      </c>
      <c r="J40" s="29"/>
      <c r="K40" s="27"/>
      <c r="L40" s="100"/>
      <c r="M40" s="100"/>
      <c r="N40" s="100"/>
      <c r="O40" s="100"/>
      <c r="P40" s="100"/>
      <c r="Q40" s="100"/>
      <c r="R40" s="100"/>
      <c r="S40" s="100"/>
      <c r="T40" s="100"/>
      <c r="U40" s="100"/>
      <c r="V40" s="100"/>
      <c r="W40" s="100"/>
      <c r="X40" s="100"/>
      <c r="Y40" s="100"/>
      <c r="Z40" s="100"/>
      <c r="AA40" s="100"/>
      <c r="AB40" s="100"/>
      <c r="AC40" s="100"/>
      <c r="AD40" s="100"/>
      <c r="AE40" s="100"/>
      <c r="AF40" s="100"/>
      <c r="AG40" s="100"/>
      <c r="AH40" s="100"/>
      <c r="AI40" s="100"/>
      <c r="AJ40" s="100"/>
      <c r="AK40" s="100"/>
      <c r="AL40" s="100"/>
      <c r="AM40" s="100"/>
      <c r="AN40" s="100"/>
      <c r="AO40" s="100"/>
      <c r="AP40" s="100"/>
      <c r="AQ40" s="100"/>
      <c r="AR40" s="100"/>
      <c r="AS40" s="100"/>
      <c r="AT40" s="100"/>
      <c r="AU40" s="100"/>
      <c r="AV40" s="100"/>
      <c r="AW40" s="100"/>
      <c r="AX40" s="100"/>
      <c r="AY40" s="100"/>
      <c r="AZ40" s="100"/>
      <c r="BA40" s="100"/>
      <c r="BB40" s="100"/>
      <c r="BC40" s="100"/>
      <c r="BD40" s="100"/>
      <c r="BE40" s="100"/>
      <c r="BF40" s="100"/>
      <c r="BG40" s="100"/>
      <c r="BH40" s="100"/>
      <c r="BI40" s="100"/>
      <c r="BJ40" s="100"/>
      <c r="BK40" s="100"/>
      <c r="BL40" s="100"/>
      <c r="BM40" s="100"/>
      <c r="BN40" s="100"/>
      <c r="BO40" s="100"/>
    </row>
    <row r="41" spans="1:67" s="52" customFormat="1" ht="16.5" customHeight="1" x14ac:dyDescent="0.25">
      <c r="A41" s="134" t="str">
        <f t="shared" si="1"/>
        <v>6616</v>
      </c>
      <c r="B41" s="51" t="s">
        <v>42</v>
      </c>
      <c r="C41" s="49" t="s">
        <v>20</v>
      </c>
      <c r="D41" s="50">
        <v>1001024976616</v>
      </c>
      <c r="E41" s="24"/>
      <c r="F41" s="125">
        <v>0.3</v>
      </c>
      <c r="G41" s="23">
        <f>E41*F41</f>
        <v>0</v>
      </c>
      <c r="H41" s="29">
        <v>2.4</v>
      </c>
      <c r="I41" s="29">
        <v>45</v>
      </c>
      <c r="J41" s="29"/>
      <c r="K41" s="27"/>
      <c r="L41" s="100"/>
      <c r="M41" s="100"/>
      <c r="N41" s="100"/>
      <c r="O41" s="100"/>
      <c r="P41" s="100"/>
      <c r="Q41" s="100"/>
      <c r="R41" s="100"/>
      <c r="S41" s="100"/>
      <c r="T41" s="100"/>
      <c r="U41" s="100"/>
      <c r="V41" s="100"/>
      <c r="W41" s="100"/>
      <c r="X41" s="100"/>
      <c r="Y41" s="100"/>
      <c r="Z41" s="100"/>
      <c r="AA41" s="100"/>
      <c r="AB41" s="100"/>
      <c r="AC41" s="100"/>
      <c r="AD41" s="100"/>
      <c r="AE41" s="100"/>
      <c r="AF41" s="100"/>
      <c r="AG41" s="100"/>
      <c r="AH41" s="100"/>
      <c r="AI41" s="100"/>
      <c r="AJ41" s="100"/>
      <c r="AK41" s="100"/>
      <c r="AL41" s="100"/>
      <c r="AM41" s="100"/>
      <c r="AN41" s="100"/>
      <c r="AO41" s="100"/>
      <c r="AP41" s="100"/>
      <c r="AQ41" s="100"/>
      <c r="AR41" s="100"/>
      <c r="AS41" s="100"/>
      <c r="AT41" s="100"/>
      <c r="AU41" s="100"/>
      <c r="AV41" s="100"/>
      <c r="AW41" s="100"/>
      <c r="AX41" s="100"/>
      <c r="AY41" s="100"/>
      <c r="AZ41" s="100"/>
      <c r="BA41" s="100"/>
      <c r="BB41" s="100"/>
      <c r="BC41" s="100"/>
      <c r="BD41" s="100"/>
      <c r="BE41" s="100"/>
      <c r="BF41" s="100"/>
      <c r="BG41" s="100"/>
      <c r="BH41" s="100"/>
      <c r="BI41" s="100"/>
      <c r="BJ41" s="100"/>
      <c r="BK41" s="100"/>
      <c r="BL41" s="100"/>
      <c r="BM41" s="100"/>
      <c r="BN41" s="100"/>
      <c r="BO41" s="100"/>
    </row>
    <row r="42" spans="1:67" s="52" customFormat="1" ht="16.5" customHeight="1" x14ac:dyDescent="0.25">
      <c r="A42" s="134" t="str">
        <f t="shared" si="1"/>
        <v>7075</v>
      </c>
      <c r="B42" s="51" t="s">
        <v>49</v>
      </c>
      <c r="C42" s="49" t="s">
        <v>22</v>
      </c>
      <c r="D42" s="50">
        <v>1001022657075</v>
      </c>
      <c r="E42" s="24"/>
      <c r="F42" s="125">
        <v>1.5</v>
      </c>
      <c r="G42" s="23">
        <f>E42</f>
        <v>0</v>
      </c>
      <c r="H42" s="29">
        <v>6</v>
      </c>
      <c r="I42" s="29">
        <v>50</v>
      </c>
      <c r="J42" s="29"/>
      <c r="K42" s="27"/>
      <c r="L42" s="100"/>
      <c r="M42" s="100"/>
      <c r="N42" s="100"/>
      <c r="O42" s="100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100"/>
      <c r="AB42" s="100"/>
      <c r="AC42" s="100"/>
      <c r="AD42" s="100"/>
      <c r="AE42" s="100"/>
      <c r="AF42" s="100"/>
      <c r="AG42" s="100"/>
      <c r="AH42" s="100"/>
      <c r="AI42" s="100"/>
      <c r="AJ42" s="100"/>
      <c r="AK42" s="100"/>
      <c r="AL42" s="100"/>
      <c r="AM42" s="100"/>
      <c r="AN42" s="100"/>
      <c r="AO42" s="100"/>
      <c r="AP42" s="100"/>
      <c r="AQ42" s="100"/>
      <c r="AR42" s="100"/>
      <c r="AS42" s="100"/>
      <c r="AT42" s="100"/>
      <c r="AU42" s="100"/>
      <c r="AV42" s="100"/>
      <c r="AW42" s="100"/>
      <c r="AX42" s="100"/>
      <c r="AY42" s="100"/>
      <c r="AZ42" s="100"/>
      <c r="BA42" s="100"/>
      <c r="BB42" s="100"/>
      <c r="BC42" s="100"/>
      <c r="BD42" s="100"/>
      <c r="BE42" s="100"/>
      <c r="BF42" s="100"/>
      <c r="BG42" s="100"/>
      <c r="BH42" s="100"/>
      <c r="BI42" s="100"/>
      <c r="BJ42" s="100"/>
      <c r="BK42" s="100"/>
      <c r="BL42" s="100"/>
      <c r="BM42" s="100"/>
      <c r="BN42" s="100"/>
      <c r="BO42" s="100"/>
    </row>
    <row r="43" spans="1:67" s="52" customFormat="1" ht="16.5" customHeight="1" x14ac:dyDescent="0.25">
      <c r="A43" s="134" t="str">
        <f t="shared" si="1"/>
        <v>7074</v>
      </c>
      <c r="B43" s="51" t="s">
        <v>157</v>
      </c>
      <c r="C43" s="49" t="s">
        <v>20</v>
      </c>
      <c r="D43" s="50">
        <v>1001022657074</v>
      </c>
      <c r="E43" s="24"/>
      <c r="F43" s="125">
        <v>0.6</v>
      </c>
      <c r="G43" s="23">
        <f t="shared" ref="G43:G46" si="8">E43*F43</f>
        <v>0</v>
      </c>
      <c r="H43" s="29">
        <v>4.8</v>
      </c>
      <c r="I43" s="29">
        <v>50</v>
      </c>
      <c r="J43" s="29"/>
      <c r="K43" s="27"/>
      <c r="L43" s="100"/>
      <c r="M43" s="100"/>
      <c r="N43" s="100"/>
      <c r="O43" s="100"/>
      <c r="P43" s="100"/>
      <c r="Q43" s="100"/>
      <c r="R43" s="100"/>
      <c r="S43" s="100"/>
      <c r="T43" s="100"/>
      <c r="U43" s="100"/>
      <c r="V43" s="100"/>
      <c r="W43" s="100"/>
      <c r="X43" s="100"/>
      <c r="Y43" s="100"/>
      <c r="Z43" s="100"/>
      <c r="AA43" s="100"/>
      <c r="AB43" s="100"/>
      <c r="AC43" s="100"/>
      <c r="AD43" s="100"/>
      <c r="AE43" s="100"/>
      <c r="AF43" s="100"/>
      <c r="AG43" s="100"/>
      <c r="AH43" s="100"/>
      <c r="AI43" s="100"/>
      <c r="AJ43" s="100"/>
      <c r="AK43" s="100"/>
      <c r="AL43" s="100"/>
      <c r="AM43" s="100"/>
      <c r="AN43" s="100"/>
      <c r="AO43" s="100"/>
      <c r="AP43" s="100"/>
      <c r="AQ43" s="100"/>
      <c r="AR43" s="100"/>
      <c r="AS43" s="100"/>
      <c r="AT43" s="100"/>
      <c r="AU43" s="100"/>
      <c r="AV43" s="100"/>
      <c r="AW43" s="100"/>
      <c r="AX43" s="100"/>
      <c r="AY43" s="100"/>
      <c r="AZ43" s="100"/>
      <c r="BA43" s="100"/>
      <c r="BB43" s="100"/>
      <c r="BC43" s="100"/>
      <c r="BD43" s="100"/>
      <c r="BE43" s="100"/>
      <c r="BF43" s="100"/>
      <c r="BG43" s="100"/>
      <c r="BH43" s="100"/>
      <c r="BI43" s="100"/>
      <c r="BJ43" s="100"/>
      <c r="BK43" s="100"/>
      <c r="BL43" s="100"/>
      <c r="BM43" s="100"/>
      <c r="BN43" s="100"/>
      <c r="BO43" s="100"/>
    </row>
    <row r="44" spans="1:67" s="52" customFormat="1" ht="16.5" customHeight="1" x14ac:dyDescent="0.25">
      <c r="A44" s="134" t="str">
        <f t="shared" si="1"/>
        <v>7073</v>
      </c>
      <c r="B44" s="51" t="s">
        <v>50</v>
      </c>
      <c r="C44" s="49" t="s">
        <v>20</v>
      </c>
      <c r="D44" s="50">
        <v>1001022657073</v>
      </c>
      <c r="E44" s="24"/>
      <c r="F44" s="125">
        <v>0.35</v>
      </c>
      <c r="G44" s="23">
        <f t="shared" si="8"/>
        <v>0</v>
      </c>
      <c r="H44" s="29">
        <v>2.8</v>
      </c>
      <c r="I44" s="29">
        <v>50</v>
      </c>
      <c r="J44" s="29"/>
      <c r="K44" s="27"/>
      <c r="L44" s="100"/>
      <c r="M44" s="100"/>
      <c r="N44" s="100"/>
      <c r="O44" s="100"/>
      <c r="P44" s="100"/>
      <c r="Q44" s="100"/>
      <c r="R44" s="100"/>
      <c r="S44" s="100"/>
      <c r="T44" s="100"/>
      <c r="U44" s="100"/>
      <c r="V44" s="100"/>
      <c r="W44" s="100"/>
      <c r="X44" s="100"/>
      <c r="Y44" s="100"/>
      <c r="Z44" s="100"/>
      <c r="AA44" s="100"/>
      <c r="AB44" s="100"/>
      <c r="AC44" s="100"/>
      <c r="AD44" s="100"/>
      <c r="AE44" s="100"/>
      <c r="AF44" s="100"/>
      <c r="AG44" s="100"/>
      <c r="AH44" s="100"/>
      <c r="AI44" s="100"/>
      <c r="AJ44" s="100"/>
      <c r="AK44" s="100"/>
      <c r="AL44" s="100"/>
      <c r="AM44" s="100"/>
      <c r="AN44" s="100"/>
      <c r="AO44" s="100"/>
      <c r="AP44" s="100"/>
      <c r="AQ44" s="100"/>
      <c r="AR44" s="100"/>
      <c r="AS44" s="100"/>
      <c r="AT44" s="100"/>
      <c r="AU44" s="100"/>
      <c r="AV44" s="100"/>
      <c r="AW44" s="100"/>
      <c r="AX44" s="100"/>
      <c r="AY44" s="100"/>
      <c r="AZ44" s="100"/>
      <c r="BA44" s="100"/>
      <c r="BB44" s="100"/>
      <c r="BC44" s="100"/>
      <c r="BD44" s="100"/>
      <c r="BE44" s="100"/>
      <c r="BF44" s="100"/>
      <c r="BG44" s="100"/>
      <c r="BH44" s="100"/>
      <c r="BI44" s="100"/>
      <c r="BJ44" s="100"/>
      <c r="BK44" s="100"/>
      <c r="BL44" s="100"/>
      <c r="BM44" s="100"/>
      <c r="BN44" s="100"/>
      <c r="BO44" s="100"/>
    </row>
    <row r="45" spans="1:67" s="52" customFormat="1" ht="16.5" customHeight="1" x14ac:dyDescent="0.25">
      <c r="A45" s="134" t="str">
        <f t="shared" si="1"/>
        <v>6724</v>
      </c>
      <c r="B45" s="51" t="s">
        <v>51</v>
      </c>
      <c r="C45" s="49" t="s">
        <v>20</v>
      </c>
      <c r="D45" s="50">
        <v>1001020836724</v>
      </c>
      <c r="E45" s="24"/>
      <c r="F45" s="125">
        <v>0.41</v>
      </c>
      <c r="G45" s="23">
        <f t="shared" si="8"/>
        <v>0</v>
      </c>
      <c r="H45" s="29">
        <v>4.0999999999999996</v>
      </c>
      <c r="I45" s="29">
        <v>45</v>
      </c>
      <c r="J45" s="29"/>
      <c r="K45" s="27"/>
      <c r="L45" s="100"/>
      <c r="M45" s="100"/>
      <c r="N45" s="100"/>
      <c r="O45" s="100"/>
      <c r="P45" s="100"/>
      <c r="Q45" s="100"/>
      <c r="R45" s="100"/>
      <c r="S45" s="100"/>
      <c r="T45" s="100"/>
      <c r="U45" s="100"/>
      <c r="V45" s="100"/>
      <c r="W45" s="100"/>
      <c r="X45" s="100"/>
      <c r="Y45" s="100"/>
      <c r="Z45" s="100"/>
      <c r="AA45" s="100"/>
      <c r="AB45" s="100"/>
      <c r="AC45" s="100"/>
      <c r="AD45" s="100"/>
      <c r="AE45" s="100"/>
      <c r="AF45" s="100"/>
      <c r="AG45" s="100"/>
      <c r="AH45" s="100"/>
      <c r="AI45" s="100"/>
      <c r="AJ45" s="100"/>
      <c r="AK45" s="100"/>
      <c r="AL45" s="100"/>
      <c r="AM45" s="100"/>
      <c r="AN45" s="100"/>
      <c r="AO45" s="100"/>
      <c r="AP45" s="100"/>
      <c r="AQ45" s="100"/>
      <c r="AR45" s="100"/>
      <c r="AS45" s="100"/>
      <c r="AT45" s="100"/>
      <c r="AU45" s="100"/>
      <c r="AV45" s="100"/>
      <c r="AW45" s="100"/>
      <c r="AX45" s="100"/>
      <c r="AY45" s="100"/>
      <c r="AZ45" s="100"/>
      <c r="BA45" s="100"/>
      <c r="BB45" s="100"/>
      <c r="BC45" s="100"/>
      <c r="BD45" s="100"/>
      <c r="BE45" s="100"/>
      <c r="BF45" s="100"/>
      <c r="BG45" s="100"/>
      <c r="BH45" s="100"/>
      <c r="BI45" s="100"/>
      <c r="BJ45" s="100"/>
      <c r="BK45" s="100"/>
      <c r="BL45" s="100"/>
      <c r="BM45" s="100"/>
      <c r="BN45" s="100"/>
      <c r="BO45" s="100"/>
    </row>
    <row r="46" spans="1:67" s="52" customFormat="1" ht="16.5" customHeight="1" x14ac:dyDescent="0.25">
      <c r="A46" s="134" t="str">
        <f t="shared" si="1"/>
        <v>5819</v>
      </c>
      <c r="B46" s="51" t="s">
        <v>38</v>
      </c>
      <c r="C46" s="49" t="s">
        <v>20</v>
      </c>
      <c r="D46" s="50">
        <v>1001022725819</v>
      </c>
      <c r="E46" s="24"/>
      <c r="F46" s="125">
        <v>0.4</v>
      </c>
      <c r="G46" s="23">
        <f t="shared" si="8"/>
        <v>0</v>
      </c>
      <c r="H46" s="29">
        <v>3.2</v>
      </c>
      <c r="I46" s="29">
        <v>45</v>
      </c>
      <c r="J46" s="29"/>
      <c r="K46" s="27"/>
      <c r="L46" s="100"/>
      <c r="M46" s="100"/>
      <c r="N46" s="100"/>
      <c r="O46" s="10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100"/>
      <c r="AA46" s="100"/>
      <c r="AB46" s="100"/>
      <c r="AC46" s="100"/>
      <c r="AD46" s="100"/>
      <c r="AE46" s="100"/>
      <c r="AF46" s="100"/>
      <c r="AG46" s="100"/>
      <c r="AH46" s="100"/>
      <c r="AI46" s="100"/>
      <c r="AJ46" s="100"/>
      <c r="AK46" s="100"/>
      <c r="AL46" s="100"/>
      <c r="AM46" s="100"/>
      <c r="AN46" s="100"/>
      <c r="AO46" s="100"/>
      <c r="AP46" s="100"/>
      <c r="AQ46" s="100"/>
      <c r="AR46" s="100"/>
      <c r="AS46" s="100"/>
      <c r="AT46" s="100"/>
      <c r="AU46" s="100"/>
      <c r="AV46" s="100"/>
      <c r="AW46" s="100"/>
      <c r="AX46" s="100"/>
      <c r="AY46" s="100"/>
      <c r="AZ46" s="100"/>
      <c r="BA46" s="100"/>
      <c r="BB46" s="100"/>
      <c r="BC46" s="100"/>
      <c r="BD46" s="100"/>
      <c r="BE46" s="100"/>
      <c r="BF46" s="100"/>
      <c r="BG46" s="100"/>
      <c r="BH46" s="100"/>
      <c r="BI46" s="100"/>
      <c r="BJ46" s="100"/>
      <c r="BK46" s="100"/>
      <c r="BL46" s="100"/>
      <c r="BM46" s="100"/>
      <c r="BN46" s="100"/>
      <c r="BO46" s="100"/>
    </row>
    <row r="47" spans="1:67" s="52" customFormat="1" ht="16.5" customHeight="1" x14ac:dyDescent="0.25">
      <c r="A47" s="134" t="str">
        <f t="shared" si="1"/>
        <v>6303</v>
      </c>
      <c r="B47" s="51" t="s">
        <v>158</v>
      </c>
      <c r="C47" s="49" t="s">
        <v>22</v>
      </c>
      <c r="D47" s="50">
        <v>1001022726303</v>
      </c>
      <c r="E47" s="24"/>
      <c r="F47" s="125">
        <v>1.5</v>
      </c>
      <c r="G47" s="23">
        <f>E47</f>
        <v>0</v>
      </c>
      <c r="H47" s="29">
        <v>4.5</v>
      </c>
      <c r="I47" s="29">
        <v>45</v>
      </c>
      <c r="J47" s="29"/>
      <c r="K47" s="27"/>
      <c r="L47" s="100"/>
      <c r="M47" s="100"/>
      <c r="N47" s="100"/>
      <c r="O47" s="100"/>
      <c r="P47" s="100"/>
      <c r="Q47" s="100"/>
      <c r="R47" s="100"/>
      <c r="S47" s="100"/>
      <c r="T47" s="100"/>
      <c r="U47" s="100"/>
      <c r="V47" s="100"/>
      <c r="W47" s="100"/>
      <c r="X47" s="100"/>
      <c r="Y47" s="100"/>
      <c r="Z47" s="100"/>
      <c r="AA47" s="100"/>
      <c r="AB47" s="100"/>
      <c r="AC47" s="100"/>
      <c r="AD47" s="100"/>
      <c r="AE47" s="100"/>
      <c r="AF47" s="100"/>
      <c r="AG47" s="100"/>
      <c r="AH47" s="100"/>
      <c r="AI47" s="100"/>
      <c r="AJ47" s="100"/>
      <c r="AK47" s="100"/>
      <c r="AL47" s="100"/>
      <c r="AM47" s="100"/>
      <c r="AN47" s="100"/>
      <c r="AO47" s="100"/>
      <c r="AP47" s="100"/>
      <c r="AQ47" s="100"/>
      <c r="AR47" s="100"/>
      <c r="AS47" s="100"/>
      <c r="AT47" s="100"/>
      <c r="AU47" s="100"/>
      <c r="AV47" s="100"/>
      <c r="AW47" s="100"/>
      <c r="AX47" s="100"/>
      <c r="AY47" s="100"/>
      <c r="AZ47" s="100"/>
      <c r="BA47" s="100"/>
      <c r="BB47" s="100"/>
      <c r="BC47" s="100"/>
      <c r="BD47" s="100"/>
      <c r="BE47" s="100"/>
      <c r="BF47" s="100"/>
      <c r="BG47" s="100"/>
      <c r="BH47" s="100"/>
      <c r="BI47" s="100"/>
      <c r="BJ47" s="100"/>
      <c r="BK47" s="100"/>
      <c r="BL47" s="100"/>
      <c r="BM47" s="100"/>
      <c r="BN47" s="100"/>
      <c r="BO47" s="100"/>
    </row>
    <row r="48" spans="1:67" s="52" customFormat="1" ht="16.5" customHeight="1" x14ac:dyDescent="0.25">
      <c r="A48" s="134" t="str">
        <f t="shared" si="1"/>
        <v>7255</v>
      </c>
      <c r="B48" s="51" t="s">
        <v>37</v>
      </c>
      <c r="C48" s="49" t="s">
        <v>20</v>
      </c>
      <c r="D48" s="50">
        <v>1001025507255</v>
      </c>
      <c r="E48" s="24"/>
      <c r="F48" s="125">
        <v>0.4</v>
      </c>
      <c r="G48" s="23">
        <f>E48*F48</f>
        <v>0</v>
      </c>
      <c r="H48" s="29">
        <v>2.4</v>
      </c>
      <c r="I48" s="29">
        <v>50</v>
      </c>
      <c r="J48" s="29"/>
      <c r="K48" s="27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100"/>
      <c r="AB48" s="100"/>
      <c r="AC48" s="100"/>
      <c r="AD48" s="100"/>
      <c r="AE48" s="100"/>
      <c r="AF48" s="100"/>
      <c r="AG48" s="100"/>
      <c r="AH48" s="100"/>
      <c r="AI48" s="100"/>
      <c r="AJ48" s="100"/>
      <c r="AK48" s="100"/>
      <c r="AL48" s="100"/>
      <c r="AM48" s="100"/>
      <c r="AN48" s="100"/>
      <c r="AO48" s="100"/>
      <c r="AP48" s="100"/>
      <c r="AQ48" s="100"/>
      <c r="AR48" s="100"/>
      <c r="AS48" s="100"/>
      <c r="AT48" s="100"/>
      <c r="AU48" s="100"/>
      <c r="AV48" s="100"/>
      <c r="AW48" s="100"/>
      <c r="AX48" s="100"/>
      <c r="AY48" s="100"/>
      <c r="AZ48" s="100"/>
      <c r="BA48" s="100"/>
      <c r="BB48" s="100"/>
      <c r="BC48" s="100"/>
      <c r="BD48" s="100"/>
      <c r="BE48" s="100"/>
      <c r="BF48" s="100"/>
      <c r="BG48" s="100"/>
      <c r="BH48" s="100"/>
      <c r="BI48" s="100"/>
      <c r="BJ48" s="100"/>
      <c r="BK48" s="100"/>
      <c r="BL48" s="100"/>
      <c r="BM48" s="100"/>
      <c r="BN48" s="100"/>
      <c r="BO48" s="100"/>
    </row>
    <row r="49" spans="1:67" s="52" customFormat="1" ht="16.5" customHeight="1" x14ac:dyDescent="0.25">
      <c r="A49" s="134" t="str">
        <f t="shared" si="1"/>
        <v>7271</v>
      </c>
      <c r="B49" s="51" t="s">
        <v>159</v>
      </c>
      <c r="C49" s="49" t="s">
        <v>22</v>
      </c>
      <c r="D49" s="50">
        <v>1001025507271</v>
      </c>
      <c r="E49" s="24"/>
      <c r="F49" s="125">
        <v>1.5</v>
      </c>
      <c r="G49" s="23">
        <f>E49</f>
        <v>0</v>
      </c>
      <c r="H49" s="29">
        <v>6</v>
      </c>
      <c r="I49" s="29">
        <v>50</v>
      </c>
      <c r="J49" s="29"/>
      <c r="K49" s="27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  <c r="AA49" s="100"/>
      <c r="AB49" s="100"/>
      <c r="AC49" s="100"/>
      <c r="AD49" s="100"/>
      <c r="AE49" s="100"/>
      <c r="AF49" s="100"/>
      <c r="AG49" s="100"/>
      <c r="AH49" s="100"/>
      <c r="AI49" s="100"/>
      <c r="AJ49" s="100"/>
      <c r="AK49" s="100"/>
      <c r="AL49" s="100"/>
      <c r="AM49" s="100"/>
      <c r="AN49" s="100"/>
      <c r="AO49" s="100"/>
      <c r="AP49" s="100"/>
      <c r="AQ49" s="100"/>
      <c r="AR49" s="100"/>
      <c r="AS49" s="100"/>
      <c r="AT49" s="100"/>
      <c r="AU49" s="100"/>
      <c r="AV49" s="100"/>
      <c r="AW49" s="100"/>
      <c r="AX49" s="100"/>
      <c r="AY49" s="100"/>
      <c r="AZ49" s="100"/>
      <c r="BA49" s="100"/>
      <c r="BB49" s="100"/>
      <c r="BC49" s="100"/>
      <c r="BD49" s="100"/>
      <c r="BE49" s="100"/>
      <c r="BF49" s="100"/>
      <c r="BG49" s="100"/>
      <c r="BH49" s="100"/>
      <c r="BI49" s="100"/>
      <c r="BJ49" s="100"/>
      <c r="BK49" s="100"/>
      <c r="BL49" s="100"/>
      <c r="BM49" s="100"/>
      <c r="BN49" s="100"/>
      <c r="BO49" s="100"/>
    </row>
    <row r="50" spans="1:67" s="52" customFormat="1" ht="16.5" customHeight="1" x14ac:dyDescent="0.25">
      <c r="A50" s="134" t="str">
        <f t="shared" si="1"/>
        <v>6765</v>
      </c>
      <c r="B50" s="51" t="s">
        <v>40</v>
      </c>
      <c r="C50" s="49" t="s">
        <v>20</v>
      </c>
      <c r="D50" s="50">
        <v>1001023696765</v>
      </c>
      <c r="E50" s="24"/>
      <c r="F50" s="125">
        <v>0.36</v>
      </c>
      <c r="G50" s="23">
        <f>E50*F50</f>
        <v>0</v>
      </c>
      <c r="H50" s="29">
        <v>2.16</v>
      </c>
      <c r="I50" s="29">
        <v>45</v>
      </c>
      <c r="J50" s="29"/>
      <c r="K50" s="27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  <c r="AA50" s="100"/>
      <c r="AB50" s="100"/>
      <c r="AC50" s="100"/>
      <c r="AD50" s="100"/>
      <c r="AE50" s="100"/>
      <c r="AF50" s="100"/>
      <c r="AG50" s="100"/>
      <c r="AH50" s="100"/>
      <c r="AI50" s="100"/>
      <c r="AJ50" s="100"/>
      <c r="AK50" s="100"/>
      <c r="AL50" s="100"/>
      <c r="AM50" s="100"/>
      <c r="AN50" s="100"/>
      <c r="AO50" s="100"/>
      <c r="AP50" s="100"/>
      <c r="AQ50" s="100"/>
      <c r="AR50" s="100"/>
      <c r="AS50" s="100"/>
      <c r="AT50" s="100"/>
      <c r="AU50" s="100"/>
      <c r="AV50" s="100"/>
      <c r="AW50" s="100"/>
      <c r="AX50" s="100"/>
      <c r="AY50" s="100"/>
      <c r="AZ50" s="100"/>
      <c r="BA50" s="100"/>
      <c r="BB50" s="100"/>
      <c r="BC50" s="100"/>
      <c r="BD50" s="100"/>
      <c r="BE50" s="100"/>
      <c r="BF50" s="100"/>
      <c r="BG50" s="100"/>
      <c r="BH50" s="100"/>
      <c r="BI50" s="100"/>
      <c r="BJ50" s="100"/>
      <c r="BK50" s="100"/>
      <c r="BL50" s="100"/>
      <c r="BM50" s="100"/>
      <c r="BN50" s="100"/>
      <c r="BO50" s="100"/>
    </row>
    <row r="51" spans="1:67" s="52" customFormat="1" ht="16.5" customHeight="1" x14ac:dyDescent="0.25">
      <c r="A51" s="134" t="str">
        <f t="shared" si="1"/>
        <v>6767</v>
      </c>
      <c r="B51" s="51" t="s">
        <v>43</v>
      </c>
      <c r="C51" s="49" t="s">
        <v>22</v>
      </c>
      <c r="D51" s="50">
        <v>1001023696767</v>
      </c>
      <c r="E51" s="24"/>
      <c r="F51" s="125">
        <v>1.04</v>
      </c>
      <c r="G51" s="23">
        <f>E51</f>
        <v>0</v>
      </c>
      <c r="H51" s="29">
        <v>4.16</v>
      </c>
      <c r="I51" s="29">
        <v>45</v>
      </c>
      <c r="J51" s="29"/>
      <c r="K51" s="27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  <c r="AA51" s="100"/>
      <c r="AB51" s="100"/>
      <c r="AC51" s="100"/>
      <c r="AD51" s="100"/>
      <c r="AE51" s="100"/>
      <c r="AF51" s="100"/>
      <c r="AG51" s="100"/>
      <c r="AH51" s="100"/>
      <c r="AI51" s="100"/>
      <c r="AJ51" s="100"/>
      <c r="AK51" s="100"/>
      <c r="AL51" s="100"/>
      <c r="AM51" s="100"/>
      <c r="AN51" s="100"/>
      <c r="AO51" s="100"/>
      <c r="AP51" s="100"/>
      <c r="AQ51" s="100"/>
      <c r="AR51" s="100"/>
      <c r="AS51" s="100"/>
      <c r="AT51" s="100"/>
      <c r="AU51" s="100"/>
      <c r="AV51" s="100"/>
      <c r="AW51" s="100"/>
      <c r="AX51" s="100"/>
      <c r="AY51" s="100"/>
      <c r="AZ51" s="100"/>
      <c r="BA51" s="100"/>
      <c r="BB51" s="100"/>
      <c r="BC51" s="100"/>
      <c r="BD51" s="100"/>
      <c r="BE51" s="100"/>
      <c r="BF51" s="100"/>
      <c r="BG51" s="100"/>
      <c r="BH51" s="100"/>
      <c r="BI51" s="100"/>
      <c r="BJ51" s="100"/>
      <c r="BK51" s="100"/>
      <c r="BL51" s="100"/>
      <c r="BM51" s="100"/>
      <c r="BN51" s="100"/>
      <c r="BO51" s="100"/>
    </row>
    <row r="52" spans="1:67" s="52" customFormat="1" ht="16.5" customHeight="1" x14ac:dyDescent="0.25">
      <c r="A52" s="134" t="str">
        <f t="shared" si="1"/>
        <v>6475</v>
      </c>
      <c r="B52" s="51" t="s">
        <v>45</v>
      </c>
      <c r="C52" s="49" t="s">
        <v>20</v>
      </c>
      <c r="D52" s="50">
        <v>1001025176475</v>
      </c>
      <c r="E52" s="24"/>
      <c r="F52" s="125">
        <v>0.4</v>
      </c>
      <c r="G52" s="23">
        <f>E52*F52</f>
        <v>0</v>
      </c>
      <c r="H52" s="29">
        <v>2.4</v>
      </c>
      <c r="I52" s="29">
        <v>45</v>
      </c>
      <c r="J52" s="29"/>
      <c r="K52" s="27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100"/>
      <c r="AB52" s="100"/>
      <c r="AC52" s="100"/>
      <c r="AD52" s="100"/>
      <c r="AE52" s="100"/>
      <c r="AF52" s="100"/>
      <c r="AG52" s="100"/>
      <c r="AH52" s="100"/>
      <c r="AI52" s="100"/>
      <c r="AJ52" s="100"/>
      <c r="AK52" s="100"/>
      <c r="AL52" s="100"/>
      <c r="AM52" s="100"/>
      <c r="AN52" s="100"/>
      <c r="AO52" s="100"/>
      <c r="AP52" s="100"/>
      <c r="AQ52" s="100"/>
      <c r="AR52" s="100"/>
      <c r="AS52" s="100"/>
      <c r="AT52" s="100"/>
      <c r="AU52" s="100"/>
      <c r="AV52" s="100"/>
      <c r="AW52" s="100"/>
      <c r="AX52" s="100"/>
      <c r="AY52" s="100"/>
      <c r="AZ52" s="100"/>
      <c r="BA52" s="100"/>
      <c r="BB52" s="100"/>
      <c r="BC52" s="100"/>
      <c r="BD52" s="100"/>
      <c r="BE52" s="100"/>
      <c r="BF52" s="100"/>
      <c r="BG52" s="100"/>
      <c r="BH52" s="100"/>
      <c r="BI52" s="100"/>
      <c r="BJ52" s="100"/>
      <c r="BK52" s="100"/>
      <c r="BL52" s="100"/>
      <c r="BM52" s="100"/>
      <c r="BN52" s="100"/>
      <c r="BO52" s="100"/>
    </row>
    <row r="53" spans="1:67" s="52" customFormat="1" ht="16.5" customHeight="1" x14ac:dyDescent="0.25">
      <c r="A53" s="134" t="str">
        <f t="shared" si="1"/>
        <v>7083</v>
      </c>
      <c r="B53" s="51" t="s">
        <v>160</v>
      </c>
      <c r="C53" s="49" t="s">
        <v>22</v>
      </c>
      <c r="D53" s="50">
        <v>1001022467083</v>
      </c>
      <c r="E53" s="24"/>
      <c r="F53" s="125">
        <v>1.5</v>
      </c>
      <c r="G53" s="23">
        <f>E53</f>
        <v>0</v>
      </c>
      <c r="H53" s="29">
        <v>6</v>
      </c>
      <c r="I53" s="29">
        <v>50</v>
      </c>
      <c r="J53" s="29"/>
      <c r="K53" s="27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  <c r="Y53" s="100"/>
      <c r="Z53" s="100"/>
      <c r="AA53" s="100"/>
      <c r="AB53" s="100"/>
      <c r="AC53" s="100"/>
      <c r="AD53" s="100"/>
      <c r="AE53" s="100"/>
      <c r="AF53" s="100"/>
      <c r="AG53" s="100"/>
      <c r="AH53" s="100"/>
      <c r="AI53" s="100"/>
      <c r="AJ53" s="100"/>
      <c r="AK53" s="100"/>
      <c r="AL53" s="100"/>
      <c r="AM53" s="100"/>
      <c r="AN53" s="100"/>
      <c r="AO53" s="100"/>
      <c r="AP53" s="100"/>
      <c r="AQ53" s="100"/>
      <c r="AR53" s="100"/>
      <c r="AS53" s="100"/>
      <c r="AT53" s="100"/>
      <c r="AU53" s="100"/>
      <c r="AV53" s="100"/>
      <c r="AW53" s="100"/>
      <c r="AX53" s="100"/>
      <c r="AY53" s="100"/>
      <c r="AZ53" s="100"/>
      <c r="BA53" s="100"/>
      <c r="BB53" s="100"/>
      <c r="BC53" s="100"/>
      <c r="BD53" s="100"/>
      <c r="BE53" s="100"/>
      <c r="BF53" s="100"/>
      <c r="BG53" s="100"/>
      <c r="BH53" s="100"/>
      <c r="BI53" s="100"/>
      <c r="BJ53" s="100"/>
      <c r="BK53" s="100"/>
      <c r="BL53" s="100"/>
      <c r="BM53" s="100"/>
      <c r="BN53" s="100"/>
      <c r="BO53" s="100"/>
    </row>
    <row r="54" spans="1:67" s="52" customFormat="1" ht="16.5" customHeight="1" x14ac:dyDescent="0.25">
      <c r="A54" s="134" t="str">
        <f t="shared" si="1"/>
        <v>7080</v>
      </c>
      <c r="B54" s="51" t="s">
        <v>53</v>
      </c>
      <c r="C54" s="49" t="s">
        <v>20</v>
      </c>
      <c r="D54" s="50">
        <v>1001022467080</v>
      </c>
      <c r="E54" s="24"/>
      <c r="F54" s="125">
        <v>0.41</v>
      </c>
      <c r="G54" s="23">
        <f t="shared" ref="G54:G56" si="9">E54*F54</f>
        <v>0</v>
      </c>
      <c r="H54" s="29">
        <v>4.0999999999999996</v>
      </c>
      <c r="I54" s="29">
        <v>50</v>
      </c>
      <c r="J54" s="29"/>
      <c r="K54" s="27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  <c r="Y54" s="100"/>
      <c r="Z54" s="100"/>
      <c r="AA54" s="100"/>
      <c r="AB54" s="100"/>
      <c r="AC54" s="100"/>
      <c r="AD54" s="100"/>
      <c r="AE54" s="100"/>
      <c r="AF54" s="100"/>
      <c r="AG54" s="100"/>
      <c r="AH54" s="100"/>
      <c r="AI54" s="100"/>
      <c r="AJ54" s="100"/>
      <c r="AK54" s="100"/>
      <c r="AL54" s="100"/>
      <c r="AM54" s="100"/>
      <c r="AN54" s="100"/>
      <c r="AO54" s="100"/>
      <c r="AP54" s="100"/>
      <c r="AQ54" s="100"/>
      <c r="AR54" s="100"/>
      <c r="AS54" s="100"/>
      <c r="AT54" s="100"/>
      <c r="AU54" s="100"/>
      <c r="AV54" s="100"/>
      <c r="AW54" s="100"/>
      <c r="AX54" s="100"/>
      <c r="AY54" s="100"/>
      <c r="AZ54" s="100"/>
      <c r="BA54" s="100"/>
      <c r="BB54" s="100"/>
      <c r="BC54" s="100"/>
      <c r="BD54" s="100"/>
      <c r="BE54" s="100"/>
      <c r="BF54" s="100"/>
      <c r="BG54" s="100"/>
      <c r="BH54" s="100"/>
      <c r="BI54" s="100"/>
      <c r="BJ54" s="100"/>
      <c r="BK54" s="100"/>
      <c r="BL54" s="100"/>
      <c r="BM54" s="100"/>
      <c r="BN54" s="100"/>
      <c r="BO54" s="100"/>
    </row>
    <row r="55" spans="1:67" ht="16.5" customHeight="1" x14ac:dyDescent="0.25">
      <c r="A55" s="134" t="str">
        <f t="shared" si="1"/>
        <v>7276</v>
      </c>
      <c r="B55" s="51" t="s">
        <v>54</v>
      </c>
      <c r="C55" s="49" t="s">
        <v>20</v>
      </c>
      <c r="D55" s="50">
        <v>1001022467276</v>
      </c>
      <c r="E55" s="24"/>
      <c r="F55" s="125">
        <v>0.3</v>
      </c>
      <c r="G55" s="23">
        <f t="shared" si="9"/>
        <v>0</v>
      </c>
      <c r="H55" s="29">
        <v>2.1</v>
      </c>
      <c r="I55" s="29">
        <v>50</v>
      </c>
      <c r="J55" s="29"/>
      <c r="L55" s="100"/>
    </row>
    <row r="56" spans="1:67" ht="16.5" customHeight="1" x14ac:dyDescent="0.25">
      <c r="A56" s="134" t="str">
        <f t="shared" si="1"/>
        <v>6762</v>
      </c>
      <c r="B56" s="51" t="s">
        <v>39</v>
      </c>
      <c r="C56" s="49" t="s">
        <v>20</v>
      </c>
      <c r="D56" s="50">
        <v>1001020846762</v>
      </c>
      <c r="E56" s="24"/>
      <c r="F56" s="125">
        <v>0.41</v>
      </c>
      <c r="G56" s="23">
        <f t="shared" si="9"/>
        <v>0</v>
      </c>
      <c r="H56" s="29">
        <v>3.28</v>
      </c>
      <c r="I56" s="29">
        <v>45</v>
      </c>
      <c r="J56" s="29"/>
      <c r="L56" s="100"/>
    </row>
    <row r="57" spans="1:67" ht="16.5" customHeight="1" x14ac:dyDescent="0.25">
      <c r="A57" s="134" t="str">
        <f t="shared" si="1"/>
        <v>6764</v>
      </c>
      <c r="B57" s="51" t="s">
        <v>48</v>
      </c>
      <c r="C57" s="49" t="s">
        <v>22</v>
      </c>
      <c r="D57" s="50">
        <v>1001020846764</v>
      </c>
      <c r="E57" s="24"/>
      <c r="F57" s="23">
        <v>1</v>
      </c>
      <c r="G57" s="23">
        <f>E57</f>
        <v>0</v>
      </c>
      <c r="H57" s="14">
        <v>4</v>
      </c>
      <c r="I57" s="14">
        <v>45</v>
      </c>
      <c r="J57" s="29"/>
      <c r="L57" s="100"/>
    </row>
    <row r="58" spans="1:67" ht="16.5" customHeight="1" x14ac:dyDescent="0.25">
      <c r="A58" s="134" t="str">
        <f t="shared" si="1"/>
        <v>7066</v>
      </c>
      <c r="B58" s="51" t="s">
        <v>55</v>
      </c>
      <c r="C58" s="49" t="s">
        <v>20</v>
      </c>
      <c r="D58" s="50">
        <v>1001022377066</v>
      </c>
      <c r="E58" s="24"/>
      <c r="F58" s="23">
        <v>0.41</v>
      </c>
      <c r="G58" s="23">
        <f>E58*F58</f>
        <v>0</v>
      </c>
      <c r="H58" s="14">
        <v>4.0999999999999996</v>
      </c>
      <c r="I58" s="14">
        <v>50</v>
      </c>
      <c r="J58" s="29"/>
      <c r="L58" s="100"/>
    </row>
    <row r="59" spans="1:67" ht="16.5" customHeight="1" x14ac:dyDescent="0.25">
      <c r="A59" s="134" t="str">
        <f t="shared" si="1"/>
        <v>7070</v>
      </c>
      <c r="B59" s="51" t="s">
        <v>44</v>
      </c>
      <c r="C59" s="49" t="s">
        <v>22</v>
      </c>
      <c r="D59" s="50">
        <v>1001022377070</v>
      </c>
      <c r="E59" s="24"/>
      <c r="F59" s="23">
        <v>1.5</v>
      </c>
      <c r="G59" s="23">
        <f>E59</f>
        <v>0</v>
      </c>
      <c r="H59" s="14">
        <v>6</v>
      </c>
      <c r="I59" s="14">
        <v>50</v>
      </c>
      <c r="J59" s="29"/>
      <c r="L59" s="100"/>
    </row>
    <row r="60" spans="1:67" ht="16.5" customHeight="1" x14ac:dyDescent="0.25">
      <c r="A60" s="134" t="str">
        <f t="shared" si="1"/>
        <v>7490</v>
      </c>
      <c r="B60" s="51" t="s">
        <v>219</v>
      </c>
      <c r="C60" s="49" t="s">
        <v>20</v>
      </c>
      <c r="D60" s="50">
        <v>1001027417490</v>
      </c>
      <c r="E60" s="24"/>
      <c r="F60" s="23">
        <v>0.41</v>
      </c>
      <c r="G60" s="23">
        <f>E60*F60</f>
        <v>0</v>
      </c>
      <c r="H60" s="14"/>
      <c r="I60" s="14"/>
      <c r="J60" s="29" t="str">
        <f>VLOOKUP(D60,[1]Бланк!$D:$J,7,0)</f>
        <v>Ротация кода 6713</v>
      </c>
      <c r="L60" s="100"/>
    </row>
    <row r="61" spans="1:67" ht="16.5" customHeight="1" x14ac:dyDescent="0.25">
      <c r="A61" s="134" t="str">
        <f t="shared" si="1"/>
        <v>6661</v>
      </c>
      <c r="B61" s="51" t="s">
        <v>161</v>
      </c>
      <c r="C61" s="49" t="s">
        <v>22</v>
      </c>
      <c r="D61" s="50">
        <v>1001022246661</v>
      </c>
      <c r="E61" s="24"/>
      <c r="F61" s="23">
        <v>1.5</v>
      </c>
      <c r="G61" s="23">
        <f t="shared" ref="G61:G62" si="10">E61</f>
        <v>0</v>
      </c>
      <c r="H61" s="14">
        <v>6</v>
      </c>
      <c r="I61" s="14">
        <v>45</v>
      </c>
      <c r="J61" s="29"/>
      <c r="L61" s="100"/>
    </row>
    <row r="62" spans="1:67" ht="16.5" customHeight="1" x14ac:dyDescent="0.25">
      <c r="A62" s="134" t="str">
        <f t="shared" si="1"/>
        <v>6254</v>
      </c>
      <c r="B62" s="51" t="s">
        <v>162</v>
      </c>
      <c r="C62" s="49" t="s">
        <v>22</v>
      </c>
      <c r="D62" s="50">
        <v>1001022556254</v>
      </c>
      <c r="E62" s="24"/>
      <c r="F62" s="23">
        <v>1.5</v>
      </c>
      <c r="G62" s="23">
        <f t="shared" si="10"/>
        <v>0</v>
      </c>
      <c r="H62" s="14">
        <v>3</v>
      </c>
      <c r="I62" s="14">
        <v>45</v>
      </c>
      <c r="J62" s="29"/>
      <c r="L62" s="100"/>
    </row>
    <row r="63" spans="1:67" ht="16.5" customHeight="1" x14ac:dyDescent="0.25">
      <c r="A63" s="134" t="str">
        <f t="shared" si="1"/>
        <v>6837</v>
      </c>
      <c r="B63" s="51" t="s">
        <v>47</v>
      </c>
      <c r="C63" s="49" t="s">
        <v>20</v>
      </c>
      <c r="D63" s="50">
        <v>1001022556837</v>
      </c>
      <c r="E63" s="24"/>
      <c r="F63" s="23">
        <v>0.4</v>
      </c>
      <c r="G63" s="23">
        <f t="shared" ref="G63:G64" si="11">E63*F63</f>
        <v>0</v>
      </c>
      <c r="H63" s="14">
        <v>2.4</v>
      </c>
      <c r="I63" s="14">
        <v>45</v>
      </c>
      <c r="J63" s="29"/>
      <c r="L63" s="100"/>
    </row>
    <row r="64" spans="1:67" ht="16.5" customHeight="1" thickBot="1" x14ac:dyDescent="0.3">
      <c r="A64" s="134" t="str">
        <f t="shared" si="1"/>
        <v>7044</v>
      </c>
      <c r="B64" s="51" t="s">
        <v>164</v>
      </c>
      <c r="C64" s="49" t="s">
        <v>20</v>
      </c>
      <c r="D64" s="50">
        <v>1001025167044</v>
      </c>
      <c r="E64" s="24"/>
      <c r="F64" s="23">
        <v>0.32</v>
      </c>
      <c r="G64" s="23">
        <f t="shared" si="11"/>
        <v>0</v>
      </c>
      <c r="H64" s="14">
        <v>2.56</v>
      </c>
      <c r="I64" s="14">
        <v>45</v>
      </c>
      <c r="J64" s="29"/>
      <c r="L64" s="100"/>
    </row>
    <row r="65" spans="1:12" ht="16.5" customHeight="1" thickTop="1" thickBot="1" x14ac:dyDescent="0.3">
      <c r="A65" s="47" t="s">
        <v>104</v>
      </c>
      <c r="B65" s="42" t="s">
        <v>56</v>
      </c>
      <c r="C65" s="42"/>
      <c r="D65" s="42"/>
      <c r="E65" s="42"/>
      <c r="F65" s="41"/>
      <c r="G65" s="42"/>
      <c r="H65" s="42"/>
      <c r="I65" s="42"/>
      <c r="J65" s="43"/>
      <c r="L65" s="100"/>
    </row>
    <row r="66" spans="1:12" ht="16.5" customHeight="1" thickTop="1" x14ac:dyDescent="0.25">
      <c r="A66" s="134" t="str">
        <f t="shared" si="1"/>
        <v>6550</v>
      </c>
      <c r="B66" s="126" t="s">
        <v>151</v>
      </c>
      <c r="C66" s="127" t="s">
        <v>22</v>
      </c>
      <c r="D66" s="50">
        <v>1001032736550</v>
      </c>
      <c r="E66" s="24"/>
      <c r="F66" s="125">
        <v>1</v>
      </c>
      <c r="G66" s="23">
        <f t="shared" ref="G66:G69" si="12">E66</f>
        <v>0</v>
      </c>
      <c r="H66" s="29">
        <v>3</v>
      </c>
      <c r="I66" s="29">
        <v>45</v>
      </c>
      <c r="J66" s="29"/>
      <c r="L66" s="100"/>
    </row>
    <row r="67" spans="1:12" ht="16.5" customHeight="1" x14ac:dyDescent="0.25">
      <c r="A67" s="134" t="str">
        <f t="shared" si="1"/>
        <v>6608</v>
      </c>
      <c r="B67" s="126" t="s">
        <v>58</v>
      </c>
      <c r="C67" s="49" t="s">
        <v>22</v>
      </c>
      <c r="D67" s="50">
        <v>1001033856608</v>
      </c>
      <c r="E67" s="24"/>
      <c r="F67" s="23">
        <v>1</v>
      </c>
      <c r="G67" s="23">
        <f t="shared" si="12"/>
        <v>0</v>
      </c>
      <c r="H67" s="14">
        <v>3</v>
      </c>
      <c r="I67" s="14">
        <v>45</v>
      </c>
      <c r="J67" s="29"/>
      <c r="L67" s="100"/>
    </row>
    <row r="68" spans="1:12" ht="16.5" customHeight="1" x14ac:dyDescent="0.25">
      <c r="A68" s="134" t="str">
        <f t="shared" si="1"/>
        <v>7001</v>
      </c>
      <c r="B68" s="126" t="s">
        <v>57</v>
      </c>
      <c r="C68" s="49" t="s">
        <v>22</v>
      </c>
      <c r="D68" s="50">
        <v>1001035937001</v>
      </c>
      <c r="E68" s="24"/>
      <c r="F68" s="23">
        <v>1</v>
      </c>
      <c r="G68" s="23">
        <f t="shared" si="12"/>
        <v>0</v>
      </c>
      <c r="H68" s="14">
        <v>3</v>
      </c>
      <c r="I68" s="14">
        <v>45</v>
      </c>
      <c r="J68" s="29"/>
      <c r="L68" s="100"/>
    </row>
    <row r="69" spans="1:12" ht="16.5" customHeight="1" x14ac:dyDescent="0.25">
      <c r="A69" s="134" t="str">
        <f t="shared" si="1"/>
        <v>6527</v>
      </c>
      <c r="B69" s="126" t="s">
        <v>152</v>
      </c>
      <c r="C69" s="49" t="s">
        <v>22</v>
      </c>
      <c r="D69" s="50">
        <v>1001031076527</v>
      </c>
      <c r="E69" s="24"/>
      <c r="F69" s="23">
        <v>1</v>
      </c>
      <c r="G69" s="23">
        <f t="shared" si="12"/>
        <v>0</v>
      </c>
      <c r="H69" s="14">
        <v>3</v>
      </c>
      <c r="I69" s="14">
        <v>45</v>
      </c>
      <c r="J69" s="29"/>
      <c r="L69" s="100"/>
    </row>
    <row r="70" spans="1:12" ht="16.5" customHeight="1" x14ac:dyDescent="0.25">
      <c r="A70" s="134" t="str">
        <f t="shared" si="1"/>
        <v>6609</v>
      </c>
      <c r="B70" s="126" t="s">
        <v>153</v>
      </c>
      <c r="C70" s="49" t="s">
        <v>20</v>
      </c>
      <c r="D70" s="50">
        <v>1001033856609</v>
      </c>
      <c r="E70" s="24"/>
      <c r="F70" s="23">
        <v>0.4</v>
      </c>
      <c r="G70" s="23">
        <f t="shared" ref="G70:G71" si="13">E70*F70</f>
        <v>0</v>
      </c>
      <c r="H70" s="14">
        <v>2.4</v>
      </c>
      <c r="I70" s="14">
        <v>45</v>
      </c>
      <c r="J70" s="29"/>
      <c r="L70" s="100"/>
    </row>
    <row r="71" spans="1:12" ht="16.5" customHeight="1" thickBot="1" x14ac:dyDescent="0.3">
      <c r="A71" s="134" t="str">
        <f t="shared" si="1"/>
        <v>7059</v>
      </c>
      <c r="B71" s="126" t="s">
        <v>154</v>
      </c>
      <c r="C71" s="49" t="s">
        <v>20</v>
      </c>
      <c r="D71" s="50">
        <v>1001035277059</v>
      </c>
      <c r="E71" s="24"/>
      <c r="F71" s="23">
        <v>0.3</v>
      </c>
      <c r="G71" s="23">
        <f t="shared" si="13"/>
        <v>0</v>
      </c>
      <c r="H71" s="14">
        <v>2.4</v>
      </c>
      <c r="I71" s="14">
        <v>60</v>
      </c>
      <c r="J71" s="29"/>
      <c r="L71" s="100"/>
    </row>
    <row r="72" spans="1:12" ht="16.5" customHeight="1" thickTop="1" thickBot="1" x14ac:dyDescent="0.3">
      <c r="A72" s="47" t="s">
        <v>104</v>
      </c>
      <c r="B72" s="42" t="s">
        <v>59</v>
      </c>
      <c r="C72" s="42"/>
      <c r="D72" s="42"/>
      <c r="E72" s="42"/>
      <c r="F72" s="41"/>
      <c r="G72" s="42"/>
      <c r="H72" s="42"/>
      <c r="I72" s="42"/>
      <c r="J72" s="43"/>
      <c r="L72" s="100"/>
    </row>
    <row r="73" spans="1:12" ht="16.5" customHeight="1" thickTop="1" x14ac:dyDescent="0.25">
      <c r="A73" s="134" t="str">
        <f t="shared" ref="A73:A97" si="14">RIGHT(D73,4)</f>
        <v>7564</v>
      </c>
      <c r="B73" s="51" t="s">
        <v>121</v>
      </c>
      <c r="C73" s="49" t="s">
        <v>22</v>
      </c>
      <c r="D73" s="50">
        <v>1001303637564</v>
      </c>
      <c r="E73" s="24"/>
      <c r="F73" s="23">
        <v>0.84</v>
      </c>
      <c r="G73" s="23">
        <f>E73</f>
        <v>0</v>
      </c>
      <c r="H73" s="14">
        <v>5.04</v>
      </c>
      <c r="I73" s="14">
        <v>45</v>
      </c>
      <c r="J73" s="29"/>
      <c r="L73" s="100"/>
    </row>
    <row r="74" spans="1:12" ht="16.5" customHeight="1" x14ac:dyDescent="0.25">
      <c r="A74" s="134" t="str">
        <f t="shared" si="14"/>
        <v>7603</v>
      </c>
      <c r="B74" s="51" t="s">
        <v>122</v>
      </c>
      <c r="C74" s="49" t="s">
        <v>20</v>
      </c>
      <c r="D74" s="50">
        <v>1001303637603</v>
      </c>
      <c r="E74" s="24"/>
      <c r="F74" s="23">
        <v>0.33</v>
      </c>
      <c r="G74" s="23">
        <f t="shared" ref="G74:G86" si="15">E74*F74</f>
        <v>0</v>
      </c>
      <c r="H74" s="14">
        <v>2.64</v>
      </c>
      <c r="I74" s="14">
        <v>45</v>
      </c>
      <c r="J74" s="29"/>
      <c r="L74" s="100"/>
    </row>
    <row r="75" spans="1:12" ht="16.5" customHeight="1" x14ac:dyDescent="0.25">
      <c r="A75" s="134" t="str">
        <f t="shared" si="14"/>
        <v>7149</v>
      </c>
      <c r="B75" s="51" t="s">
        <v>19</v>
      </c>
      <c r="C75" s="49" t="s">
        <v>20</v>
      </c>
      <c r="D75" s="50">
        <v>1001303637149</v>
      </c>
      <c r="E75" s="24"/>
      <c r="F75" s="23">
        <v>0.84</v>
      </c>
      <c r="G75" s="23">
        <f t="shared" si="15"/>
        <v>0</v>
      </c>
      <c r="H75" s="14">
        <v>5.04</v>
      </c>
      <c r="I75" s="14">
        <v>50</v>
      </c>
      <c r="J75" s="29"/>
      <c r="L75" s="100"/>
    </row>
    <row r="76" spans="1:12" ht="16.5" customHeight="1" x14ac:dyDescent="0.25">
      <c r="A76" s="134" t="str">
        <f t="shared" si="14"/>
        <v>7233</v>
      </c>
      <c r="B76" s="51" t="s">
        <v>202</v>
      </c>
      <c r="C76" s="49" t="s">
        <v>20</v>
      </c>
      <c r="D76" s="50">
        <v>1001303637233</v>
      </c>
      <c r="E76" s="24"/>
      <c r="F76" s="125">
        <v>0.31</v>
      </c>
      <c r="G76" s="23">
        <f t="shared" si="15"/>
        <v>0</v>
      </c>
      <c r="H76" s="29">
        <v>2.48</v>
      </c>
      <c r="I76" s="29">
        <v>45</v>
      </c>
      <c r="J76" s="29"/>
      <c r="L76" s="100"/>
    </row>
    <row r="77" spans="1:12" ht="16.5" customHeight="1" x14ac:dyDescent="0.25">
      <c r="A77" s="134" t="str">
        <f t="shared" si="14"/>
        <v>7232</v>
      </c>
      <c r="B77" s="51" t="s">
        <v>61</v>
      </c>
      <c r="C77" s="49" t="s">
        <v>20</v>
      </c>
      <c r="D77" s="50">
        <v>1001302277232</v>
      </c>
      <c r="E77" s="24"/>
      <c r="F77" s="125">
        <v>0.28000000000000003</v>
      </c>
      <c r="G77" s="23">
        <f t="shared" si="15"/>
        <v>0</v>
      </c>
      <c r="H77" s="29">
        <v>2.2400000000000002</v>
      </c>
      <c r="I77" s="29">
        <v>50</v>
      </c>
      <c r="J77" s="29"/>
      <c r="L77" s="100"/>
    </row>
    <row r="78" spans="1:12" ht="16.5" customHeight="1" x14ac:dyDescent="0.25">
      <c r="A78" s="134" t="str">
        <f t="shared" si="14"/>
        <v>7241</v>
      </c>
      <c r="B78" s="51" t="s">
        <v>63</v>
      </c>
      <c r="C78" s="49" t="s">
        <v>20</v>
      </c>
      <c r="D78" s="50">
        <v>1001303107241</v>
      </c>
      <c r="E78" s="24"/>
      <c r="F78" s="125">
        <v>0.28000000000000003</v>
      </c>
      <c r="G78" s="23">
        <f t="shared" si="15"/>
        <v>0</v>
      </c>
      <c r="H78" s="29">
        <v>2.2400000000000002</v>
      </c>
      <c r="I78" s="29">
        <v>45</v>
      </c>
      <c r="J78" s="29"/>
      <c r="L78" s="100"/>
    </row>
    <row r="79" spans="1:12" ht="16.5" customHeight="1" x14ac:dyDescent="0.25">
      <c r="A79" s="134" t="str">
        <f t="shared" si="14"/>
        <v>7133</v>
      </c>
      <c r="B79" s="51" t="s">
        <v>73</v>
      </c>
      <c r="C79" s="49" t="s">
        <v>22</v>
      </c>
      <c r="D79" s="50">
        <v>1001300367133</v>
      </c>
      <c r="E79" s="24"/>
      <c r="F79" s="125">
        <v>0.84</v>
      </c>
      <c r="G79" s="23">
        <f>E79</f>
        <v>0</v>
      </c>
      <c r="H79" s="29">
        <v>5.04</v>
      </c>
      <c r="I79" s="29">
        <v>45</v>
      </c>
      <c r="J79" s="29"/>
      <c r="L79" s="100"/>
    </row>
    <row r="80" spans="1:12" ht="16.5" customHeight="1" x14ac:dyDescent="0.25">
      <c r="A80" s="134" t="str">
        <f t="shared" si="14"/>
        <v>6946</v>
      </c>
      <c r="B80" s="51" t="s">
        <v>173</v>
      </c>
      <c r="C80" s="49" t="s">
        <v>22</v>
      </c>
      <c r="D80" s="50">
        <v>1001300456946</v>
      </c>
      <c r="E80" s="24"/>
      <c r="F80" s="125"/>
      <c r="G80" s="23">
        <f>E80</f>
        <v>0</v>
      </c>
      <c r="H80" s="29"/>
      <c r="I80" s="29"/>
      <c r="J80" s="29"/>
      <c r="L80" s="100"/>
    </row>
    <row r="81" spans="1:12" ht="16.5" customHeight="1" x14ac:dyDescent="0.25">
      <c r="A81" s="134" t="str">
        <f t="shared" si="14"/>
        <v>6807</v>
      </c>
      <c r="B81" s="51" t="s">
        <v>75</v>
      </c>
      <c r="C81" s="49" t="s">
        <v>20</v>
      </c>
      <c r="D81" s="50">
        <v>1001300366807</v>
      </c>
      <c r="E81" s="24"/>
      <c r="F81" s="125">
        <v>0.33</v>
      </c>
      <c r="G81" s="23">
        <f t="shared" si="15"/>
        <v>0</v>
      </c>
      <c r="H81" s="29">
        <v>2.64</v>
      </c>
      <c r="I81" s="29">
        <v>45</v>
      </c>
      <c r="J81" s="29"/>
      <c r="L81" s="100"/>
    </row>
    <row r="82" spans="1:12" ht="16.5" customHeight="1" x14ac:dyDescent="0.25">
      <c r="A82" s="134" t="str">
        <f t="shared" si="14"/>
        <v>7154</v>
      </c>
      <c r="B82" s="51" t="s">
        <v>64</v>
      </c>
      <c r="C82" s="49" t="s">
        <v>20</v>
      </c>
      <c r="D82" s="50">
        <v>1001300387154</v>
      </c>
      <c r="E82" s="24"/>
      <c r="F82" s="23">
        <v>0.35</v>
      </c>
      <c r="G82" s="23">
        <f t="shared" si="15"/>
        <v>0</v>
      </c>
      <c r="H82" s="14">
        <v>2.8</v>
      </c>
      <c r="I82" s="14">
        <v>50</v>
      </c>
      <c r="J82" s="29"/>
      <c r="L82" s="100"/>
    </row>
    <row r="83" spans="1:12" ht="16.5" customHeight="1" x14ac:dyDescent="0.25">
      <c r="A83" s="134" t="str">
        <f t="shared" si="14"/>
        <v>7157</v>
      </c>
      <c r="B83" s="51" t="s">
        <v>74</v>
      </c>
      <c r="C83" s="49" t="s">
        <v>22</v>
      </c>
      <c r="D83" s="50">
        <v>1001300387157</v>
      </c>
      <c r="E83" s="24"/>
      <c r="F83" s="23">
        <v>0.63</v>
      </c>
      <c r="G83" s="23">
        <f>E83</f>
        <v>0</v>
      </c>
      <c r="H83" s="14">
        <v>5.04</v>
      </c>
      <c r="I83" s="14">
        <v>50</v>
      </c>
      <c r="J83" s="29"/>
      <c r="L83" s="100"/>
    </row>
    <row r="84" spans="1:12" ht="16.5" customHeight="1" x14ac:dyDescent="0.25">
      <c r="A84" s="134" t="str">
        <f t="shared" si="14"/>
        <v>7562</v>
      </c>
      <c r="B84" s="51" t="s">
        <v>213</v>
      </c>
      <c r="C84" s="49" t="s">
        <v>22</v>
      </c>
      <c r="D84" s="50">
        <v>1001307587562</v>
      </c>
      <c r="E84" s="24"/>
      <c r="F84" s="23"/>
      <c r="G84" s="23">
        <f>E84</f>
        <v>0</v>
      </c>
      <c r="H84" s="14"/>
      <c r="I84" s="14"/>
      <c r="J84" s="29" t="str">
        <f>VLOOKUP(D84,[1]Бланк!$D:$J,7,0)</f>
        <v>Новинка</v>
      </c>
      <c r="L84" s="100"/>
    </row>
    <row r="85" spans="1:12" ht="16.5" customHeight="1" x14ac:dyDescent="0.25">
      <c r="A85" s="134" t="str">
        <f t="shared" si="14"/>
        <v>7236</v>
      </c>
      <c r="B85" s="51" t="s">
        <v>68</v>
      </c>
      <c r="C85" s="49" t="s">
        <v>20</v>
      </c>
      <c r="D85" s="50">
        <v>1001304507236</v>
      </c>
      <c r="E85" s="24"/>
      <c r="F85" s="23">
        <v>0.28000000000000003</v>
      </c>
      <c r="G85" s="23">
        <f t="shared" si="15"/>
        <v>0</v>
      </c>
      <c r="H85" s="14">
        <v>2.2400000000000002</v>
      </c>
      <c r="I85" s="14">
        <v>45</v>
      </c>
      <c r="J85" s="29"/>
      <c r="L85" s="100"/>
    </row>
    <row r="86" spans="1:12" ht="15.75" customHeight="1" x14ac:dyDescent="0.25">
      <c r="A86" s="134" t="str">
        <f t="shared" si="14"/>
        <v>6787</v>
      </c>
      <c r="B86" s="128" t="s">
        <v>65</v>
      </c>
      <c r="C86" s="49" t="s">
        <v>20</v>
      </c>
      <c r="D86" s="50">
        <v>1001300456787</v>
      </c>
      <c r="E86" s="24"/>
      <c r="F86" s="23">
        <v>0.33</v>
      </c>
      <c r="G86" s="23">
        <f t="shared" si="15"/>
        <v>0</v>
      </c>
      <c r="H86" s="14">
        <v>2.64</v>
      </c>
      <c r="I86" s="14">
        <v>45</v>
      </c>
      <c r="J86" s="29"/>
      <c r="L86" s="100"/>
    </row>
    <row r="87" spans="1:12" ht="15.75" customHeight="1" x14ac:dyDescent="0.25">
      <c r="A87" s="134" t="str">
        <f t="shared" si="14"/>
        <v>7166</v>
      </c>
      <c r="B87" s="128" t="s">
        <v>71</v>
      </c>
      <c r="C87" s="49" t="s">
        <v>22</v>
      </c>
      <c r="D87" s="50">
        <v>1001303987166</v>
      </c>
      <c r="E87" s="24"/>
      <c r="F87" s="23">
        <v>0.7</v>
      </c>
      <c r="G87" s="23">
        <f>E87</f>
        <v>0</v>
      </c>
      <c r="H87" s="14">
        <v>5.6</v>
      </c>
      <c r="I87" s="14">
        <v>50</v>
      </c>
      <c r="J87" s="29"/>
      <c r="L87" s="100"/>
    </row>
    <row r="88" spans="1:12" ht="15.75" customHeight="1" x14ac:dyDescent="0.25">
      <c r="A88" s="134" t="str">
        <f t="shared" si="14"/>
        <v>7169</v>
      </c>
      <c r="B88" s="51" t="s">
        <v>70</v>
      </c>
      <c r="C88" s="49" t="s">
        <v>20</v>
      </c>
      <c r="D88" s="50">
        <v>1001303987169</v>
      </c>
      <c r="E88" s="24"/>
      <c r="F88" s="23">
        <v>0.35</v>
      </c>
      <c r="G88" s="23">
        <f>E88*F88</f>
        <v>0</v>
      </c>
      <c r="H88" s="14">
        <v>2.8</v>
      </c>
      <c r="I88" s="14">
        <v>50</v>
      </c>
      <c r="J88" s="29"/>
      <c r="L88" s="100"/>
    </row>
    <row r="89" spans="1:12" ht="15.75" customHeight="1" x14ac:dyDescent="0.25">
      <c r="A89" s="134" t="str">
        <f t="shared" si="14"/>
        <v>7156</v>
      </c>
      <c r="B89" s="51" t="s">
        <v>206</v>
      </c>
      <c r="C89" s="49" t="s">
        <v>20</v>
      </c>
      <c r="D89" s="50">
        <v>1001304237156</v>
      </c>
      <c r="E89" s="24"/>
      <c r="F89" s="23">
        <v>0.35</v>
      </c>
      <c r="G89" s="23">
        <f>E89*F89</f>
        <v>0</v>
      </c>
      <c r="H89" s="14"/>
      <c r="I89" s="14"/>
      <c r="J89" s="29" t="str">
        <f>VLOOKUP(D89,[1]Бланк!$D:$J,7,0)</f>
        <v>Новинка</v>
      </c>
      <c r="L89" s="100"/>
    </row>
    <row r="90" spans="1:12" ht="15.75" customHeight="1" x14ac:dyDescent="0.25">
      <c r="A90" s="134" t="str">
        <f t="shared" si="14"/>
        <v>5544</v>
      </c>
      <c r="B90" s="51" t="s">
        <v>72</v>
      </c>
      <c r="C90" s="49" t="s">
        <v>22</v>
      </c>
      <c r="D90" s="50">
        <v>1001051875544</v>
      </c>
      <c r="E90" s="24"/>
      <c r="F90" s="23">
        <v>0.81</v>
      </c>
      <c r="G90" s="23">
        <f>E90</f>
        <v>0</v>
      </c>
      <c r="H90" s="14">
        <v>4.8600000000000003</v>
      </c>
      <c r="I90" s="14">
        <v>45</v>
      </c>
      <c r="J90" s="29"/>
      <c r="L90" s="100"/>
    </row>
    <row r="91" spans="1:12" ht="15.75" customHeight="1" x14ac:dyDescent="0.25">
      <c r="A91" s="134" t="str">
        <f t="shared" si="14"/>
        <v>6697</v>
      </c>
      <c r="B91" s="51" t="s">
        <v>66</v>
      </c>
      <c r="C91" s="49" t="s">
        <v>20</v>
      </c>
      <c r="D91" s="50">
        <v>1001301876697</v>
      </c>
      <c r="E91" s="24"/>
      <c r="F91" s="23">
        <v>0.35</v>
      </c>
      <c r="G91" s="23">
        <f t="shared" ref="G91:G97" si="16">E91*F91</f>
        <v>0</v>
      </c>
      <c r="H91" s="14">
        <v>2.8</v>
      </c>
      <c r="I91" s="14">
        <v>45</v>
      </c>
      <c r="J91" s="29"/>
      <c r="L91" s="100"/>
    </row>
    <row r="92" spans="1:12" ht="15.75" customHeight="1" x14ac:dyDescent="0.25">
      <c r="A92" s="134" t="str">
        <f t="shared" si="14"/>
        <v>7238</v>
      </c>
      <c r="B92" s="51" t="s">
        <v>123</v>
      </c>
      <c r="C92" s="49" t="s">
        <v>20</v>
      </c>
      <c r="D92" s="50">
        <v>1001305197238</v>
      </c>
      <c r="E92" s="24"/>
      <c r="F92" s="23">
        <v>0.31</v>
      </c>
      <c r="G92" s="23">
        <f t="shared" si="16"/>
        <v>0</v>
      </c>
      <c r="H92" s="14">
        <v>2.48</v>
      </c>
      <c r="I92" s="14">
        <v>45</v>
      </c>
      <c r="J92" s="29"/>
      <c r="L92" s="100"/>
    </row>
    <row r="93" spans="1:12" ht="15.75" customHeight="1" x14ac:dyDescent="0.25">
      <c r="A93" s="134" t="str">
        <f t="shared" si="14"/>
        <v>7516</v>
      </c>
      <c r="B93" s="51" t="s">
        <v>212</v>
      </c>
      <c r="C93" s="49" t="s">
        <v>20</v>
      </c>
      <c r="D93" s="50">
        <v>1001307107516</v>
      </c>
      <c r="E93" s="24"/>
      <c r="F93" s="23">
        <v>0.31</v>
      </c>
      <c r="G93" s="23">
        <f t="shared" si="16"/>
        <v>0</v>
      </c>
      <c r="H93" s="14"/>
      <c r="I93" s="14"/>
      <c r="J93" s="29" t="str">
        <f>VLOOKUP(D93,[1]Бланк!$D:$J,7,0)</f>
        <v>Новинка</v>
      </c>
      <c r="L93" s="100"/>
    </row>
    <row r="94" spans="1:12" ht="15.75" customHeight="1" x14ac:dyDescent="0.25">
      <c r="A94" s="134" t="str">
        <f t="shared" si="14"/>
        <v>7710</v>
      </c>
      <c r="B94" s="51" t="s">
        <v>214</v>
      </c>
      <c r="C94" s="49" t="s">
        <v>20</v>
      </c>
      <c r="D94" s="50">
        <v>1001307587710</v>
      </c>
      <c r="E94" s="24"/>
      <c r="F94" s="23">
        <v>0.3</v>
      </c>
      <c r="G94" s="23">
        <f t="shared" ref="G94" si="17">E94*F94</f>
        <v>0</v>
      </c>
      <c r="H94" s="14"/>
      <c r="I94" s="14"/>
      <c r="J94" s="29" t="str">
        <f>VLOOKUP(D94,[1]Бланк!$D:$J,7,0)</f>
        <v>Новинка</v>
      </c>
      <c r="L94" s="100"/>
    </row>
    <row r="95" spans="1:12" ht="15.75" customHeight="1" x14ac:dyDescent="0.25">
      <c r="A95" s="134" t="str">
        <f t="shared" si="14"/>
        <v>7513</v>
      </c>
      <c r="B95" s="51" t="s">
        <v>211</v>
      </c>
      <c r="C95" s="49" t="s">
        <v>20</v>
      </c>
      <c r="D95" s="50">
        <v>1001307077513</v>
      </c>
      <c r="E95" s="24"/>
      <c r="F95" s="23">
        <v>0.26</v>
      </c>
      <c r="G95" s="23">
        <f t="shared" si="16"/>
        <v>0</v>
      </c>
      <c r="H95" s="14"/>
      <c r="I95" s="14"/>
      <c r="J95" s="29" t="str">
        <f>VLOOKUP(D95,[1]Бланк!$D:$J,7,0)</f>
        <v>Новинка</v>
      </c>
      <c r="L95" s="100"/>
    </row>
    <row r="96" spans="1:12" ht="15.75" customHeight="1" x14ac:dyDescent="0.25">
      <c r="A96" s="134" t="str">
        <f t="shared" si="14"/>
        <v>7177</v>
      </c>
      <c r="B96" s="51" t="s">
        <v>124</v>
      </c>
      <c r="C96" s="49" t="s">
        <v>20</v>
      </c>
      <c r="D96" s="50">
        <v>1001302347177</v>
      </c>
      <c r="E96" s="24"/>
      <c r="F96" s="23">
        <v>0.35</v>
      </c>
      <c r="G96" s="23">
        <f t="shared" si="16"/>
        <v>0</v>
      </c>
      <c r="H96" s="14">
        <v>2.8</v>
      </c>
      <c r="I96" s="14">
        <v>50</v>
      </c>
      <c r="J96" s="29"/>
      <c r="L96" s="100"/>
    </row>
    <row r="97" spans="1:67" s="52" customFormat="1" ht="16.5" customHeight="1" thickBot="1" x14ac:dyDescent="0.3">
      <c r="A97" s="134" t="str">
        <f t="shared" si="14"/>
        <v>7608</v>
      </c>
      <c r="B97" s="51" t="s">
        <v>200</v>
      </c>
      <c r="C97" s="49" t="s">
        <v>20</v>
      </c>
      <c r="D97" s="50">
        <v>1001304197608</v>
      </c>
      <c r="E97" s="24"/>
      <c r="F97" s="23">
        <v>0.1</v>
      </c>
      <c r="G97" s="23">
        <f t="shared" si="16"/>
        <v>0</v>
      </c>
      <c r="H97" s="14">
        <v>1</v>
      </c>
      <c r="I97" s="14">
        <v>45</v>
      </c>
      <c r="J97" s="29"/>
      <c r="K97" s="27"/>
      <c r="L97" s="100"/>
      <c r="M97" s="100"/>
      <c r="N97" s="100"/>
      <c r="O97" s="100"/>
      <c r="P97" s="100"/>
      <c r="Q97" s="100"/>
      <c r="R97" s="100"/>
      <c r="S97" s="100"/>
      <c r="T97" s="100"/>
      <c r="U97" s="100"/>
      <c r="V97" s="100"/>
      <c r="W97" s="100"/>
      <c r="X97" s="100"/>
      <c r="Y97" s="100"/>
      <c r="Z97" s="100"/>
      <c r="AA97" s="100"/>
      <c r="AB97" s="100"/>
      <c r="AC97" s="100"/>
      <c r="AD97" s="100"/>
      <c r="AE97" s="100"/>
      <c r="AF97" s="100"/>
      <c r="AG97" s="100"/>
      <c r="AH97" s="100"/>
      <c r="AI97" s="100"/>
      <c r="AJ97" s="100"/>
      <c r="AK97" s="100"/>
      <c r="AL97" s="100"/>
      <c r="AM97" s="100"/>
      <c r="AN97" s="100"/>
      <c r="AO97" s="100"/>
      <c r="AP97" s="100"/>
      <c r="AQ97" s="100"/>
      <c r="AR97" s="100"/>
      <c r="AS97" s="100"/>
      <c r="AT97" s="100"/>
      <c r="AU97" s="100"/>
      <c r="AV97" s="100"/>
      <c r="AW97" s="100"/>
      <c r="AX97" s="100"/>
      <c r="AY97" s="100"/>
      <c r="AZ97" s="100"/>
      <c r="BA97" s="100"/>
      <c r="BB97" s="100"/>
      <c r="BC97" s="100"/>
      <c r="BD97" s="100"/>
      <c r="BE97" s="100"/>
      <c r="BF97" s="100"/>
      <c r="BG97" s="100"/>
      <c r="BH97" s="100"/>
      <c r="BI97" s="100"/>
      <c r="BJ97" s="100"/>
      <c r="BK97" s="100"/>
      <c r="BL97" s="100"/>
      <c r="BM97" s="100"/>
      <c r="BN97" s="100"/>
      <c r="BO97" s="100"/>
    </row>
    <row r="98" spans="1:67" ht="16.5" customHeight="1" thickTop="1" thickBot="1" x14ac:dyDescent="0.3">
      <c r="A98" s="47" t="s">
        <v>104</v>
      </c>
      <c r="B98" s="42" t="s">
        <v>76</v>
      </c>
      <c r="C98" s="42"/>
      <c r="D98" s="42"/>
      <c r="E98" s="42"/>
      <c r="F98" s="41"/>
      <c r="G98" s="42"/>
      <c r="H98" s="42"/>
      <c r="I98" s="42"/>
      <c r="J98" s="43"/>
      <c r="L98" s="100"/>
    </row>
    <row r="99" spans="1:67" ht="16.5" customHeight="1" thickTop="1" x14ac:dyDescent="0.25">
      <c r="A99" s="134" t="str">
        <f t="shared" ref="A99:A125" si="18">RIGHT(D99,4)</f>
        <v>3986</v>
      </c>
      <c r="B99" s="51" t="s">
        <v>79</v>
      </c>
      <c r="C99" s="49" t="s">
        <v>20</v>
      </c>
      <c r="D99" s="50">
        <v>1001061973986</v>
      </c>
      <c r="E99" s="24"/>
      <c r="F99" s="125">
        <v>0.25</v>
      </c>
      <c r="G99" s="23">
        <f t="shared" ref="G99:G104" si="19">E99*F99</f>
        <v>0</v>
      </c>
      <c r="H99" s="129">
        <v>2</v>
      </c>
      <c r="I99" s="130">
        <v>120</v>
      </c>
      <c r="J99" s="29"/>
      <c r="L99" s="100"/>
    </row>
    <row r="100" spans="1:67" ht="16.5" customHeight="1" x14ac:dyDescent="0.25">
      <c r="A100" s="134" t="str">
        <f t="shared" si="18"/>
        <v>5931</v>
      </c>
      <c r="B100" s="51" t="s">
        <v>77</v>
      </c>
      <c r="C100" s="49" t="s">
        <v>20</v>
      </c>
      <c r="D100" s="50">
        <v>1001060755931</v>
      </c>
      <c r="E100" s="24"/>
      <c r="F100" s="23">
        <v>0.22</v>
      </c>
      <c r="G100" s="23">
        <f t="shared" si="19"/>
        <v>0</v>
      </c>
      <c r="H100" s="95">
        <v>1.76</v>
      </c>
      <c r="I100" s="14">
        <v>120</v>
      </c>
      <c r="J100" s="29"/>
      <c r="L100" s="100"/>
    </row>
    <row r="101" spans="1:67" ht="16.5" customHeight="1" x14ac:dyDescent="0.25">
      <c r="A101" s="134" t="str">
        <f t="shared" si="18"/>
        <v>7700</v>
      </c>
      <c r="B101" s="51" t="s">
        <v>217</v>
      </c>
      <c r="C101" s="49" t="s">
        <v>22</v>
      </c>
      <c r="D101" s="50">
        <v>1001067977700</v>
      </c>
      <c r="E101" s="24"/>
      <c r="F101" s="23"/>
      <c r="G101" s="23">
        <f>E101</f>
        <v>0</v>
      </c>
      <c r="H101" s="14"/>
      <c r="I101" s="14"/>
      <c r="J101" s="29" t="str">
        <f>VLOOKUP(D101,[1]Бланк!$D:$J,7,0)</f>
        <v>Ротация кода 5708</v>
      </c>
      <c r="L101" s="100"/>
    </row>
    <row r="102" spans="1:67" ht="16.5" customHeight="1" x14ac:dyDescent="0.25">
      <c r="A102" s="134" t="str">
        <f t="shared" si="18"/>
        <v>3287</v>
      </c>
      <c r="B102" s="51" t="s">
        <v>90</v>
      </c>
      <c r="C102" s="49" t="s">
        <v>22</v>
      </c>
      <c r="D102" s="50">
        <v>1001060763287</v>
      </c>
      <c r="E102" s="24"/>
      <c r="F102" s="23">
        <v>0.48799999999999999</v>
      </c>
      <c r="G102" s="23">
        <f t="shared" ref="G102" si="20">E102</f>
        <v>0</v>
      </c>
      <c r="H102" s="14">
        <v>3.9</v>
      </c>
      <c r="I102" s="14">
        <v>120</v>
      </c>
      <c r="J102" s="29"/>
      <c r="L102" s="100"/>
    </row>
    <row r="103" spans="1:67" ht="16.5" customHeight="1" x14ac:dyDescent="0.25">
      <c r="A103" s="134" t="str">
        <f t="shared" si="18"/>
        <v>4993</v>
      </c>
      <c r="B103" s="51" t="s">
        <v>139</v>
      </c>
      <c r="C103" s="49" t="s">
        <v>20</v>
      </c>
      <c r="D103" s="50">
        <v>1001060764993</v>
      </c>
      <c r="E103" s="24"/>
      <c r="F103" s="23">
        <v>0.25</v>
      </c>
      <c r="G103" s="23">
        <f t="shared" si="19"/>
        <v>0</v>
      </c>
      <c r="H103" s="14">
        <v>2</v>
      </c>
      <c r="I103" s="14">
        <v>120</v>
      </c>
      <c r="J103" s="29"/>
      <c r="L103" s="100"/>
    </row>
    <row r="104" spans="1:67" ht="16.5" customHeight="1" x14ac:dyDescent="0.25">
      <c r="A104" s="134" t="str">
        <f t="shared" si="18"/>
        <v>5483</v>
      </c>
      <c r="B104" s="51" t="s">
        <v>88</v>
      </c>
      <c r="C104" s="49" t="s">
        <v>20</v>
      </c>
      <c r="D104" s="50">
        <v>1001062505483</v>
      </c>
      <c r="E104" s="24"/>
      <c r="F104" s="23">
        <v>0.25</v>
      </c>
      <c r="G104" s="23">
        <f t="shared" si="19"/>
        <v>0</v>
      </c>
      <c r="H104" s="14">
        <v>2</v>
      </c>
      <c r="I104" s="14">
        <v>120</v>
      </c>
      <c r="J104" s="29"/>
      <c r="L104" s="100"/>
    </row>
    <row r="105" spans="1:67" ht="16.5" customHeight="1" x14ac:dyDescent="0.25">
      <c r="A105" s="134" t="str">
        <f t="shared" si="18"/>
        <v>4117</v>
      </c>
      <c r="B105" s="51" t="s">
        <v>87</v>
      </c>
      <c r="C105" s="49" t="s">
        <v>22</v>
      </c>
      <c r="D105" s="50">
        <v>1001062504117</v>
      </c>
      <c r="E105" s="24"/>
      <c r="F105" s="23">
        <v>0.49399999999999999</v>
      </c>
      <c r="G105" s="23">
        <f t="shared" ref="G105:G106" si="21">E105</f>
        <v>0</v>
      </c>
      <c r="H105" s="14">
        <v>3.95</v>
      </c>
      <c r="I105" s="14">
        <v>120</v>
      </c>
      <c r="J105" s="29"/>
      <c r="L105" s="100"/>
    </row>
    <row r="106" spans="1:67" ht="16.5" customHeight="1" x14ac:dyDescent="0.25">
      <c r="A106" s="134" t="str">
        <f t="shared" si="18"/>
        <v>0614</v>
      </c>
      <c r="B106" s="51" t="s">
        <v>140</v>
      </c>
      <c r="C106" s="49" t="s">
        <v>22</v>
      </c>
      <c r="D106" s="50">
        <v>1001060720614</v>
      </c>
      <c r="E106" s="24"/>
      <c r="F106" s="23">
        <v>0.52</v>
      </c>
      <c r="G106" s="23">
        <f t="shared" si="21"/>
        <v>0</v>
      </c>
      <c r="H106" s="14">
        <v>3.64</v>
      </c>
      <c r="I106" s="14">
        <v>120</v>
      </c>
      <c r="J106" s="29"/>
      <c r="L106" s="100"/>
    </row>
    <row r="107" spans="1:67" ht="16.5" customHeight="1" x14ac:dyDescent="0.25">
      <c r="A107" s="134" t="str">
        <f t="shared" si="18"/>
        <v>6967</v>
      </c>
      <c r="B107" s="51" t="s">
        <v>83</v>
      </c>
      <c r="C107" s="49" t="s">
        <v>20</v>
      </c>
      <c r="D107" s="50">
        <v>1001063656967</v>
      </c>
      <c r="E107" s="24"/>
      <c r="F107" s="23">
        <v>0.25</v>
      </c>
      <c r="G107" s="23">
        <f t="shared" ref="G107:G115" si="22">E107*F107</f>
        <v>0</v>
      </c>
      <c r="H107" s="14">
        <v>2</v>
      </c>
      <c r="I107" s="14">
        <v>120</v>
      </c>
      <c r="J107" s="29"/>
      <c r="L107" s="100"/>
    </row>
    <row r="108" spans="1:67" ht="16.5" customHeight="1" x14ac:dyDescent="0.25">
      <c r="A108" s="134" t="str">
        <f t="shared" si="18"/>
        <v>6937</v>
      </c>
      <c r="B108" s="51" t="s">
        <v>141</v>
      </c>
      <c r="C108" s="49" t="s">
        <v>20</v>
      </c>
      <c r="D108" s="50">
        <v>1001063106937</v>
      </c>
      <c r="E108" s="24"/>
      <c r="F108" s="23">
        <v>0.25</v>
      </c>
      <c r="G108" s="23">
        <f t="shared" si="22"/>
        <v>0</v>
      </c>
      <c r="H108" s="14">
        <v>2</v>
      </c>
      <c r="I108" s="14">
        <v>120</v>
      </c>
      <c r="J108" s="29"/>
      <c r="L108" s="100"/>
    </row>
    <row r="109" spans="1:67" ht="16.5" customHeight="1" x14ac:dyDescent="0.25">
      <c r="A109" s="134" t="str">
        <f t="shared" si="18"/>
        <v>7143</v>
      </c>
      <c r="B109" s="51" t="s">
        <v>142</v>
      </c>
      <c r="C109" s="49" t="s">
        <v>20</v>
      </c>
      <c r="D109" s="50">
        <v>1001060717143</v>
      </c>
      <c r="E109" s="24"/>
      <c r="F109" s="23">
        <v>0.22</v>
      </c>
      <c r="G109" s="23">
        <f t="shared" si="22"/>
        <v>0</v>
      </c>
      <c r="H109" s="14">
        <v>1.76</v>
      </c>
      <c r="I109" s="14">
        <v>120</v>
      </c>
      <c r="J109" s="29"/>
      <c r="L109" s="100"/>
    </row>
    <row r="110" spans="1:67" ht="16.5" customHeight="1" x14ac:dyDescent="0.25">
      <c r="A110" s="134" t="str">
        <f t="shared" si="18"/>
        <v>7456</v>
      </c>
      <c r="B110" s="51" t="s">
        <v>143</v>
      </c>
      <c r="C110" s="49" t="s">
        <v>20</v>
      </c>
      <c r="D110" s="50">
        <v>1001063097456</v>
      </c>
      <c r="E110" s="24"/>
      <c r="F110" s="23">
        <v>0.15</v>
      </c>
      <c r="G110" s="23">
        <f t="shared" si="22"/>
        <v>0</v>
      </c>
      <c r="H110" s="14">
        <v>1.8</v>
      </c>
      <c r="I110" s="14">
        <v>90</v>
      </c>
      <c r="J110" s="29"/>
      <c r="L110" s="100"/>
    </row>
    <row r="111" spans="1:67" ht="16.5" customHeight="1" x14ac:dyDescent="0.25">
      <c r="A111" s="134" t="str">
        <f t="shared" si="18"/>
        <v>7364</v>
      </c>
      <c r="B111" s="51" t="s">
        <v>144</v>
      </c>
      <c r="C111" s="49" t="s">
        <v>20</v>
      </c>
      <c r="D111" s="50">
        <v>1001063217364</v>
      </c>
      <c r="E111" s="24"/>
      <c r="F111" s="23">
        <v>0.22</v>
      </c>
      <c r="G111" s="23">
        <f t="shared" si="22"/>
        <v>0</v>
      </c>
      <c r="H111" s="14">
        <v>1.76</v>
      </c>
      <c r="I111" s="14">
        <v>90</v>
      </c>
      <c r="J111" s="29"/>
      <c r="L111" s="100"/>
    </row>
    <row r="112" spans="1:67" ht="16.5" customHeight="1" x14ac:dyDescent="0.25">
      <c r="A112" s="134" t="str">
        <f t="shared" si="18"/>
        <v>7383</v>
      </c>
      <c r="B112" s="51" t="s">
        <v>145</v>
      </c>
      <c r="C112" s="49" t="s">
        <v>20</v>
      </c>
      <c r="D112" s="50">
        <v>1001065467383</v>
      </c>
      <c r="E112" s="24"/>
      <c r="F112" s="23">
        <v>0.22</v>
      </c>
      <c r="G112" s="23">
        <f t="shared" si="22"/>
        <v>0</v>
      </c>
      <c r="H112" s="14">
        <v>1.76</v>
      </c>
      <c r="I112" s="14">
        <v>90</v>
      </c>
      <c r="J112" s="29"/>
      <c r="L112" s="100"/>
    </row>
    <row r="113" spans="1:67" ht="16.5" customHeight="1" x14ac:dyDescent="0.25">
      <c r="A113" s="134" t="str">
        <f t="shared" si="18"/>
        <v>7317</v>
      </c>
      <c r="B113" s="51" t="s">
        <v>146</v>
      </c>
      <c r="C113" s="49" t="s">
        <v>20</v>
      </c>
      <c r="D113" s="50">
        <v>1001066567317</v>
      </c>
      <c r="E113" s="24"/>
      <c r="F113" s="23">
        <v>0.54</v>
      </c>
      <c r="G113" s="23">
        <f t="shared" si="22"/>
        <v>0</v>
      </c>
      <c r="H113" s="14">
        <v>3.78</v>
      </c>
      <c r="I113" s="14">
        <v>120</v>
      </c>
      <c r="J113" s="29"/>
      <c r="L113" s="100"/>
    </row>
    <row r="114" spans="1:67" ht="16.5" customHeight="1" x14ac:dyDescent="0.25">
      <c r="A114" s="134" t="str">
        <f t="shared" si="18"/>
        <v>7318</v>
      </c>
      <c r="B114" s="51" t="s">
        <v>147</v>
      </c>
      <c r="C114" s="49" t="s">
        <v>20</v>
      </c>
      <c r="D114" s="50">
        <v>1001060727318</v>
      </c>
      <c r="E114" s="24"/>
      <c r="F114" s="23">
        <v>0.27</v>
      </c>
      <c r="G114" s="23">
        <f t="shared" si="22"/>
        <v>0</v>
      </c>
      <c r="H114" s="14">
        <v>2.16</v>
      </c>
      <c r="I114" s="14">
        <v>120</v>
      </c>
      <c r="J114" s="29"/>
      <c r="L114" s="100"/>
    </row>
    <row r="115" spans="1:67" ht="16.5" customHeight="1" x14ac:dyDescent="0.25">
      <c r="A115" s="134" t="str">
        <f t="shared" si="18"/>
        <v>7316</v>
      </c>
      <c r="B115" s="51" t="s">
        <v>148</v>
      </c>
      <c r="C115" s="49" t="s">
        <v>20</v>
      </c>
      <c r="D115" s="50">
        <v>1001060727316</v>
      </c>
      <c r="E115" s="24"/>
      <c r="F115" s="23">
        <v>0.54</v>
      </c>
      <c r="G115" s="23">
        <f t="shared" si="22"/>
        <v>0</v>
      </c>
      <c r="H115" s="14">
        <v>3.78</v>
      </c>
      <c r="I115" s="14">
        <v>120</v>
      </c>
      <c r="J115" s="29"/>
      <c r="L115" s="100"/>
    </row>
    <row r="116" spans="1:67" ht="16.5" customHeight="1" x14ac:dyDescent="0.25">
      <c r="A116" s="134" t="str">
        <f t="shared" si="18"/>
        <v>6832</v>
      </c>
      <c r="B116" s="51" t="s">
        <v>81</v>
      </c>
      <c r="C116" s="49" t="s">
        <v>22</v>
      </c>
      <c r="D116" s="50">
        <v>1001065616832</v>
      </c>
      <c r="E116" s="24"/>
      <c r="F116" s="23">
        <v>0.215</v>
      </c>
      <c r="G116" s="23">
        <f t="shared" ref="G116:G117" si="23">E116</f>
        <v>0</v>
      </c>
      <c r="H116" s="14">
        <v>2.15</v>
      </c>
      <c r="I116" s="14">
        <v>30</v>
      </c>
      <c r="J116" s="29"/>
      <c r="L116" s="100"/>
    </row>
    <row r="117" spans="1:67" ht="16.5" customHeight="1" x14ac:dyDescent="0.25">
      <c r="A117" s="134" t="str">
        <f t="shared" si="18"/>
        <v>7299</v>
      </c>
      <c r="B117" s="51" t="s">
        <v>82</v>
      </c>
      <c r="C117" s="49" t="s">
        <v>22</v>
      </c>
      <c r="D117" s="50">
        <v>1001060677299</v>
      </c>
      <c r="E117" s="24"/>
      <c r="F117" s="23">
        <v>0.215</v>
      </c>
      <c r="G117" s="23">
        <f t="shared" si="23"/>
        <v>0</v>
      </c>
      <c r="H117" s="14">
        <v>2.15</v>
      </c>
      <c r="I117" s="14">
        <v>30</v>
      </c>
      <c r="J117" s="29"/>
      <c r="L117" s="100"/>
    </row>
    <row r="118" spans="1:67" ht="16.5" customHeight="1" x14ac:dyDescent="0.25">
      <c r="A118" s="134" t="str">
        <f t="shared" si="18"/>
        <v>7386</v>
      </c>
      <c r="B118" s="51" t="s">
        <v>150</v>
      </c>
      <c r="C118" s="49" t="s">
        <v>20</v>
      </c>
      <c r="D118" s="50">
        <v>1001067017386</v>
      </c>
      <c r="E118" s="24"/>
      <c r="F118" s="23">
        <v>0.15</v>
      </c>
      <c r="G118" s="23">
        <f t="shared" ref="G118:G125" si="24">E118*F118</f>
        <v>0</v>
      </c>
      <c r="H118" s="14">
        <v>1.35</v>
      </c>
      <c r="I118" s="14">
        <v>90</v>
      </c>
      <c r="J118" s="29"/>
      <c r="L118" s="100"/>
    </row>
    <row r="119" spans="1:67" ht="16.5" customHeight="1" x14ac:dyDescent="0.25">
      <c r="A119" s="134" t="str">
        <f t="shared" si="18"/>
        <v>7613</v>
      </c>
      <c r="B119" s="51" t="s">
        <v>196</v>
      </c>
      <c r="C119" s="49" t="s">
        <v>20</v>
      </c>
      <c r="D119" s="50">
        <v>1001061977613</v>
      </c>
      <c r="E119" s="24"/>
      <c r="F119" s="23">
        <v>0.1</v>
      </c>
      <c r="G119" s="23">
        <f t="shared" si="24"/>
        <v>0</v>
      </c>
      <c r="H119" s="14">
        <v>1</v>
      </c>
      <c r="I119" s="14">
        <v>60</v>
      </c>
      <c r="J119" s="29"/>
      <c r="L119" s="100"/>
    </row>
    <row r="120" spans="1:67" ht="16.5" customHeight="1" x14ac:dyDescent="0.25">
      <c r="A120" s="134" t="str">
        <f t="shared" si="18"/>
        <v>7382</v>
      </c>
      <c r="B120" s="51" t="s">
        <v>84</v>
      </c>
      <c r="C120" s="49" t="s">
        <v>20</v>
      </c>
      <c r="D120" s="50">
        <v>1001203117382</v>
      </c>
      <c r="E120" s="24"/>
      <c r="F120" s="23">
        <v>0.12</v>
      </c>
      <c r="G120" s="23">
        <f t="shared" si="24"/>
        <v>0</v>
      </c>
      <c r="H120" s="14">
        <v>0.96</v>
      </c>
      <c r="I120" s="14">
        <v>60</v>
      </c>
      <c r="J120" s="29"/>
      <c r="L120" s="100"/>
    </row>
    <row r="121" spans="1:67" ht="16.5" customHeight="1" x14ac:dyDescent="0.25">
      <c r="A121" s="134" t="str">
        <f t="shared" si="18"/>
        <v>7616</v>
      </c>
      <c r="B121" s="51" t="s">
        <v>192</v>
      </c>
      <c r="C121" s="49" t="s">
        <v>20</v>
      </c>
      <c r="D121" s="50">
        <v>1001062507616</v>
      </c>
      <c r="E121" s="24"/>
      <c r="F121" s="23">
        <v>0.1</v>
      </c>
      <c r="G121" s="23">
        <f t="shared" si="24"/>
        <v>0</v>
      </c>
      <c r="H121" s="14">
        <v>1.4</v>
      </c>
      <c r="I121" s="14">
        <v>60</v>
      </c>
      <c r="J121" s="29"/>
      <c r="L121" s="100"/>
    </row>
    <row r="122" spans="1:67" ht="16.5" customHeight="1" x14ac:dyDescent="0.25">
      <c r="A122" s="134" t="str">
        <f t="shared" si="18"/>
        <v>6221</v>
      </c>
      <c r="B122" s="51" t="s">
        <v>86</v>
      </c>
      <c r="C122" s="49" t="s">
        <v>20</v>
      </c>
      <c r="D122" s="50">
        <v>1001205376221</v>
      </c>
      <c r="E122" s="24"/>
      <c r="F122" s="23">
        <v>0.09</v>
      </c>
      <c r="G122" s="23">
        <f t="shared" si="24"/>
        <v>0</v>
      </c>
      <c r="H122" s="14">
        <v>0.9</v>
      </c>
      <c r="I122" s="14">
        <v>60</v>
      </c>
      <c r="J122" s="29"/>
      <c r="L122" s="100"/>
    </row>
    <row r="123" spans="1:67" ht="16.5" customHeight="1" x14ac:dyDescent="0.25">
      <c r="A123" s="134" t="str">
        <f t="shared" si="18"/>
        <v>6222</v>
      </c>
      <c r="B123" s="51" t="s">
        <v>133</v>
      </c>
      <c r="C123" s="49" t="s">
        <v>20</v>
      </c>
      <c r="D123" s="50">
        <v>1001205386222</v>
      </c>
      <c r="E123" s="24"/>
      <c r="F123" s="23">
        <v>0.09</v>
      </c>
      <c r="G123" s="23">
        <f t="shared" si="24"/>
        <v>0</v>
      </c>
      <c r="H123" s="14">
        <v>0.9</v>
      </c>
      <c r="I123" s="14">
        <v>60</v>
      </c>
      <c r="J123" s="29"/>
      <c r="L123" s="100"/>
    </row>
    <row r="124" spans="1:67" ht="16.149999999999999" customHeight="1" x14ac:dyDescent="0.25">
      <c r="A124" s="134" t="str">
        <f t="shared" si="18"/>
        <v>5679</v>
      </c>
      <c r="B124" s="51" t="s">
        <v>136</v>
      </c>
      <c r="C124" s="49" t="s">
        <v>20</v>
      </c>
      <c r="D124" s="50">
        <v>1001190765679</v>
      </c>
      <c r="E124" s="24"/>
      <c r="F124" s="23">
        <v>0.15</v>
      </c>
      <c r="G124" s="23">
        <f t="shared" si="24"/>
        <v>0</v>
      </c>
      <c r="H124" s="14">
        <v>1.2</v>
      </c>
      <c r="I124" s="14">
        <v>60</v>
      </c>
      <c r="J124" s="29"/>
      <c r="L124" s="100"/>
    </row>
    <row r="125" spans="1:67" s="52" customFormat="1" ht="16.149999999999999" customHeight="1" thickBot="1" x14ac:dyDescent="0.3">
      <c r="A125" s="134" t="str">
        <f t="shared" si="18"/>
        <v>7626</v>
      </c>
      <c r="B125" s="51" t="s">
        <v>191</v>
      </c>
      <c r="C125" s="49" t="s">
        <v>20</v>
      </c>
      <c r="D125" s="50">
        <v>1001066607626</v>
      </c>
      <c r="E125" s="24"/>
      <c r="F125" s="23">
        <v>0.1</v>
      </c>
      <c r="G125" s="23">
        <f t="shared" si="24"/>
        <v>0</v>
      </c>
      <c r="H125" s="14">
        <v>1</v>
      </c>
      <c r="I125" s="14">
        <v>60</v>
      </c>
      <c r="J125" s="29"/>
      <c r="K125" s="27"/>
      <c r="L125" s="100"/>
      <c r="M125" s="100"/>
      <c r="N125" s="100"/>
      <c r="O125" s="100"/>
      <c r="P125" s="100"/>
      <c r="Q125" s="100"/>
      <c r="R125" s="100"/>
      <c r="S125" s="100"/>
      <c r="T125" s="100"/>
      <c r="U125" s="100"/>
      <c r="V125" s="100"/>
      <c r="W125" s="100"/>
      <c r="X125" s="100"/>
      <c r="Y125" s="100"/>
      <c r="Z125" s="100"/>
      <c r="AA125" s="100"/>
      <c r="AB125" s="100"/>
      <c r="AC125" s="100"/>
      <c r="AD125" s="100"/>
      <c r="AE125" s="100"/>
      <c r="AF125" s="100"/>
      <c r="AG125" s="100"/>
      <c r="AH125" s="100"/>
      <c r="AI125" s="100"/>
      <c r="AJ125" s="100"/>
      <c r="AK125" s="100"/>
      <c r="AL125" s="100"/>
      <c r="AM125" s="100"/>
      <c r="AN125" s="100"/>
      <c r="AO125" s="100"/>
      <c r="AP125" s="100"/>
      <c r="AQ125" s="100"/>
      <c r="AR125" s="100"/>
      <c r="AS125" s="100"/>
      <c r="AT125" s="100"/>
      <c r="AU125" s="100"/>
      <c r="AV125" s="100"/>
      <c r="AW125" s="100"/>
      <c r="AX125" s="100"/>
      <c r="AY125" s="100"/>
      <c r="AZ125" s="100"/>
      <c r="BA125" s="100"/>
      <c r="BB125" s="100"/>
      <c r="BC125" s="100"/>
      <c r="BD125" s="100"/>
      <c r="BE125" s="100"/>
      <c r="BF125" s="100"/>
      <c r="BG125" s="100"/>
      <c r="BH125" s="100"/>
      <c r="BI125" s="100"/>
      <c r="BJ125" s="100"/>
      <c r="BK125" s="100"/>
      <c r="BL125" s="100"/>
      <c r="BM125" s="100"/>
      <c r="BN125" s="100"/>
      <c r="BO125" s="100"/>
    </row>
    <row r="126" spans="1:67" s="52" customFormat="1" ht="16.149999999999999" customHeight="1" thickTop="1" thickBot="1" x14ac:dyDescent="0.3">
      <c r="A126" s="47" t="s">
        <v>104</v>
      </c>
      <c r="B126" s="42" t="s">
        <v>91</v>
      </c>
      <c r="C126" s="42"/>
      <c r="D126" s="42"/>
      <c r="E126" s="42"/>
      <c r="F126" s="41"/>
      <c r="G126" s="42"/>
      <c r="H126" s="42"/>
      <c r="I126" s="42"/>
      <c r="J126" s="43"/>
      <c r="K126" s="27"/>
      <c r="L126" s="100"/>
      <c r="M126" s="100"/>
      <c r="N126" s="100"/>
      <c r="O126" s="100"/>
      <c r="P126" s="100"/>
      <c r="Q126" s="100"/>
      <c r="R126" s="100"/>
      <c r="S126" s="100"/>
      <c r="T126" s="100"/>
      <c r="U126" s="100"/>
      <c r="V126" s="100"/>
      <c r="W126" s="100"/>
      <c r="X126" s="100"/>
      <c r="Y126" s="100"/>
      <c r="Z126" s="100"/>
      <c r="AA126" s="100"/>
      <c r="AB126" s="100"/>
      <c r="AC126" s="100"/>
      <c r="AD126" s="100"/>
      <c r="AE126" s="100"/>
      <c r="AF126" s="100"/>
      <c r="AG126" s="100"/>
      <c r="AH126" s="100"/>
      <c r="AI126" s="100"/>
      <c r="AJ126" s="100"/>
      <c r="AK126" s="100"/>
      <c r="AL126" s="100"/>
      <c r="AM126" s="100"/>
      <c r="AN126" s="100"/>
      <c r="AO126" s="100"/>
      <c r="AP126" s="100"/>
      <c r="AQ126" s="100"/>
      <c r="AR126" s="100"/>
      <c r="AS126" s="100"/>
      <c r="AT126" s="100"/>
      <c r="AU126" s="100"/>
      <c r="AV126" s="100"/>
      <c r="AW126" s="100"/>
      <c r="AX126" s="100"/>
      <c r="AY126" s="100"/>
      <c r="AZ126" s="100"/>
      <c r="BA126" s="100"/>
      <c r="BB126" s="100"/>
      <c r="BC126" s="100"/>
      <c r="BD126" s="100"/>
      <c r="BE126" s="100"/>
      <c r="BF126" s="100"/>
      <c r="BG126" s="100"/>
      <c r="BH126" s="100"/>
      <c r="BI126" s="100"/>
      <c r="BJ126" s="100"/>
      <c r="BK126" s="100"/>
      <c r="BL126" s="100"/>
      <c r="BM126" s="100"/>
      <c r="BN126" s="100"/>
      <c r="BO126" s="100"/>
    </row>
    <row r="127" spans="1:67" s="52" customFormat="1" ht="16.149999999999999" customHeight="1" thickTop="1" x14ac:dyDescent="0.25">
      <c r="A127" s="134" t="str">
        <f t="shared" ref="A127:A138" si="25">RIGHT(D127,4)</f>
        <v>4584</v>
      </c>
      <c r="B127" s="96" t="s">
        <v>203</v>
      </c>
      <c r="C127" s="49" t="s">
        <v>22</v>
      </c>
      <c r="D127" s="131">
        <v>1001092674584</v>
      </c>
      <c r="E127" s="24"/>
      <c r="F127" s="23">
        <v>2.5</v>
      </c>
      <c r="G127" s="23">
        <f>E127</f>
        <v>0</v>
      </c>
      <c r="H127" s="14">
        <v>7.5</v>
      </c>
      <c r="I127" s="14">
        <v>60</v>
      </c>
      <c r="J127" s="29"/>
      <c r="K127" s="27"/>
      <c r="L127" s="100"/>
      <c r="M127" s="100"/>
      <c r="N127" s="100"/>
      <c r="O127" s="100"/>
      <c r="P127" s="100"/>
      <c r="Q127" s="100"/>
      <c r="R127" s="100"/>
      <c r="S127" s="100"/>
      <c r="T127" s="100"/>
      <c r="U127" s="100"/>
      <c r="V127" s="100"/>
      <c r="W127" s="100"/>
      <c r="X127" s="100"/>
      <c r="Y127" s="100"/>
      <c r="Z127" s="100"/>
      <c r="AA127" s="100"/>
      <c r="AB127" s="100"/>
      <c r="AC127" s="100"/>
      <c r="AD127" s="100"/>
      <c r="AE127" s="100"/>
      <c r="AF127" s="100"/>
      <c r="AG127" s="100"/>
      <c r="AH127" s="100"/>
      <c r="AI127" s="100"/>
      <c r="AJ127" s="100"/>
      <c r="AK127" s="100"/>
      <c r="AL127" s="100"/>
      <c r="AM127" s="100"/>
      <c r="AN127" s="100"/>
      <c r="AO127" s="100"/>
      <c r="AP127" s="100"/>
      <c r="AQ127" s="100"/>
      <c r="AR127" s="100"/>
      <c r="AS127" s="100"/>
      <c r="AT127" s="100"/>
      <c r="AU127" s="100"/>
      <c r="AV127" s="100"/>
      <c r="AW127" s="100"/>
      <c r="AX127" s="100"/>
      <c r="AY127" s="100"/>
      <c r="AZ127" s="100"/>
      <c r="BA127" s="100"/>
      <c r="BB127" s="100"/>
      <c r="BC127" s="100"/>
      <c r="BD127" s="100"/>
      <c r="BE127" s="100"/>
      <c r="BF127" s="100"/>
      <c r="BG127" s="100"/>
      <c r="BH127" s="100"/>
      <c r="BI127" s="100"/>
      <c r="BJ127" s="100"/>
      <c r="BK127" s="100"/>
      <c r="BL127" s="100"/>
      <c r="BM127" s="100"/>
      <c r="BN127" s="100"/>
      <c r="BO127" s="100"/>
    </row>
    <row r="128" spans="1:67" s="52" customFormat="1" ht="16.149999999999999" customHeight="1" x14ac:dyDescent="0.25">
      <c r="A128" s="134" t="str">
        <f t="shared" si="25"/>
        <v>7725</v>
      </c>
      <c r="B128" s="96" t="s">
        <v>218</v>
      </c>
      <c r="C128" s="49" t="s">
        <v>20</v>
      </c>
      <c r="D128" s="50">
        <v>1001092437725</v>
      </c>
      <c r="E128" s="24"/>
      <c r="F128" s="125">
        <v>0.3</v>
      </c>
      <c r="G128" s="23">
        <f>E128*F128</f>
        <v>0</v>
      </c>
      <c r="H128" s="29"/>
      <c r="I128" s="29"/>
      <c r="J128" s="29" t="str">
        <f>VLOOKUP(D128,[1]Бланк!$D:$J,7,0)</f>
        <v>Ротация кода 6495</v>
      </c>
      <c r="K128" s="27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100"/>
      <c r="AB128" s="100"/>
      <c r="AC128" s="100"/>
      <c r="AD128" s="100"/>
      <c r="AE128" s="100"/>
      <c r="AF128" s="100"/>
      <c r="AG128" s="100"/>
      <c r="AH128" s="100"/>
      <c r="AI128" s="100"/>
      <c r="AJ128" s="100"/>
      <c r="AK128" s="100"/>
      <c r="AL128" s="100"/>
      <c r="AM128" s="100"/>
      <c r="AN128" s="100"/>
      <c r="AO128" s="100"/>
      <c r="AP128" s="100"/>
      <c r="AQ128" s="100"/>
      <c r="AR128" s="100"/>
      <c r="AS128" s="100"/>
      <c r="AT128" s="100"/>
      <c r="AU128" s="100"/>
      <c r="AV128" s="100"/>
      <c r="AW128" s="100"/>
      <c r="AX128" s="100"/>
      <c r="AY128" s="100"/>
      <c r="AZ128" s="100"/>
      <c r="BA128" s="100"/>
      <c r="BB128" s="100"/>
      <c r="BC128" s="100"/>
      <c r="BD128" s="100"/>
      <c r="BE128" s="100"/>
      <c r="BF128" s="100"/>
      <c r="BG128" s="100"/>
      <c r="BH128" s="100"/>
      <c r="BI128" s="100"/>
      <c r="BJ128" s="100"/>
      <c r="BK128" s="100"/>
      <c r="BL128" s="100"/>
      <c r="BM128" s="100"/>
      <c r="BN128" s="100"/>
      <c r="BO128" s="100"/>
    </row>
    <row r="129" spans="1:67" s="52" customFormat="1" ht="16.5" customHeight="1" x14ac:dyDescent="0.25">
      <c r="A129" s="134" t="str">
        <f t="shared" si="25"/>
        <v>5452</v>
      </c>
      <c r="B129" s="132" t="s">
        <v>93</v>
      </c>
      <c r="C129" s="49" t="s">
        <v>22</v>
      </c>
      <c r="D129" s="50">
        <v>1001092485452</v>
      </c>
      <c r="E129" s="24"/>
      <c r="F129" s="125">
        <v>1.35</v>
      </c>
      <c r="G129" s="23">
        <f t="shared" ref="G129" si="26">E129</f>
        <v>0</v>
      </c>
      <c r="H129" s="29">
        <v>4.05</v>
      </c>
      <c r="I129" s="29">
        <v>60</v>
      </c>
      <c r="J129" s="29"/>
      <c r="K129" s="27"/>
      <c r="L129" s="100"/>
      <c r="M129" s="100"/>
      <c r="N129" s="100"/>
      <c r="O129" s="100"/>
      <c r="P129" s="100"/>
      <c r="Q129" s="100"/>
      <c r="R129" s="100"/>
      <c r="S129" s="100"/>
      <c r="T129" s="100"/>
      <c r="U129" s="100"/>
      <c r="V129" s="100"/>
      <c r="W129" s="100"/>
      <c r="X129" s="100"/>
      <c r="Y129" s="100"/>
      <c r="Z129" s="100"/>
      <c r="AA129" s="100"/>
      <c r="AB129" s="100"/>
      <c r="AC129" s="100"/>
      <c r="AD129" s="100"/>
      <c r="AE129" s="100"/>
      <c r="AF129" s="100"/>
      <c r="AG129" s="100"/>
      <c r="AH129" s="100"/>
      <c r="AI129" s="100"/>
      <c r="AJ129" s="100"/>
      <c r="AK129" s="100"/>
      <c r="AL129" s="100"/>
      <c r="AM129" s="100"/>
      <c r="AN129" s="100"/>
      <c r="AO129" s="100"/>
      <c r="AP129" s="100"/>
      <c r="AQ129" s="100"/>
      <c r="AR129" s="100"/>
      <c r="AS129" s="100"/>
      <c r="AT129" s="100"/>
      <c r="AU129" s="100"/>
      <c r="AV129" s="100"/>
      <c r="AW129" s="100"/>
      <c r="AX129" s="100"/>
      <c r="AY129" s="100"/>
      <c r="AZ129" s="100"/>
      <c r="BA129" s="100"/>
      <c r="BB129" s="100"/>
      <c r="BC129" s="100"/>
      <c r="BD129" s="100"/>
      <c r="BE129" s="100"/>
      <c r="BF129" s="100"/>
      <c r="BG129" s="100"/>
      <c r="BH129" s="100"/>
      <c r="BI129" s="100"/>
      <c r="BJ129" s="100"/>
      <c r="BK129" s="100"/>
      <c r="BL129" s="100"/>
      <c r="BM129" s="100"/>
      <c r="BN129" s="100"/>
      <c r="BO129" s="100"/>
    </row>
    <row r="130" spans="1:67" s="52" customFormat="1" ht="16.5" customHeight="1" x14ac:dyDescent="0.25">
      <c r="A130" s="134" t="str">
        <f t="shared" si="25"/>
        <v>3215</v>
      </c>
      <c r="B130" s="132" t="s">
        <v>198</v>
      </c>
      <c r="C130" s="49" t="s">
        <v>20</v>
      </c>
      <c r="D130" s="50">
        <v>1001094053215</v>
      </c>
      <c r="E130" s="24"/>
      <c r="F130" s="125">
        <v>0.4</v>
      </c>
      <c r="G130" s="23">
        <f>E130*F130</f>
        <v>0</v>
      </c>
      <c r="H130" s="29">
        <v>3.2</v>
      </c>
      <c r="I130" s="29">
        <v>60</v>
      </c>
      <c r="J130" s="29"/>
      <c r="K130" s="27"/>
      <c r="L130" s="100"/>
      <c r="M130" s="100"/>
      <c r="N130" s="100"/>
      <c r="O130" s="100"/>
      <c r="P130" s="100"/>
      <c r="Q130" s="100"/>
      <c r="R130" s="100"/>
      <c r="S130" s="100"/>
      <c r="T130" s="100"/>
      <c r="U130" s="100"/>
      <c r="V130" s="100"/>
      <c r="W130" s="100"/>
      <c r="X130" s="100"/>
      <c r="Y130" s="100"/>
      <c r="Z130" s="100"/>
      <c r="AA130" s="100"/>
      <c r="AB130" s="100"/>
      <c r="AC130" s="100"/>
      <c r="AD130" s="100"/>
      <c r="AE130" s="100"/>
      <c r="AF130" s="100"/>
      <c r="AG130" s="100"/>
      <c r="AH130" s="100"/>
      <c r="AI130" s="100"/>
      <c r="AJ130" s="100"/>
      <c r="AK130" s="100"/>
      <c r="AL130" s="100"/>
      <c r="AM130" s="100"/>
      <c r="AN130" s="100"/>
      <c r="AO130" s="100"/>
      <c r="AP130" s="100"/>
      <c r="AQ130" s="100"/>
      <c r="AR130" s="100"/>
      <c r="AS130" s="100"/>
      <c r="AT130" s="100"/>
      <c r="AU130" s="100"/>
      <c r="AV130" s="100"/>
      <c r="AW130" s="100"/>
      <c r="AX130" s="100"/>
      <c r="AY130" s="100"/>
      <c r="AZ130" s="100"/>
      <c r="BA130" s="100"/>
      <c r="BB130" s="100"/>
      <c r="BC130" s="100"/>
      <c r="BD130" s="100"/>
      <c r="BE130" s="100"/>
      <c r="BF130" s="100"/>
      <c r="BG130" s="100"/>
      <c r="BH130" s="100"/>
      <c r="BI130" s="100"/>
      <c r="BJ130" s="100"/>
      <c r="BK130" s="100"/>
      <c r="BL130" s="100"/>
      <c r="BM130" s="100"/>
      <c r="BN130" s="100"/>
      <c r="BO130" s="100"/>
    </row>
    <row r="131" spans="1:67" s="52" customFormat="1" ht="16.5" customHeight="1" x14ac:dyDescent="0.25">
      <c r="A131" s="134" t="str">
        <f t="shared" si="25"/>
        <v>6866</v>
      </c>
      <c r="B131" s="132" t="s">
        <v>92</v>
      </c>
      <c r="C131" s="49" t="s">
        <v>22</v>
      </c>
      <c r="D131" s="50">
        <v>1001095716866</v>
      </c>
      <c r="E131" s="24"/>
      <c r="F131" s="125">
        <v>1.5</v>
      </c>
      <c r="G131" s="23">
        <f>E131</f>
        <v>0</v>
      </c>
      <c r="H131" s="29">
        <v>6</v>
      </c>
      <c r="I131" s="29">
        <v>60</v>
      </c>
      <c r="J131" s="29"/>
      <c r="K131" s="27"/>
      <c r="L131" s="100"/>
      <c r="M131" s="100"/>
      <c r="N131" s="100"/>
      <c r="O131" s="100"/>
      <c r="P131" s="100"/>
      <c r="Q131" s="100"/>
      <c r="R131" s="100"/>
      <c r="S131" s="100"/>
      <c r="T131" s="100"/>
      <c r="U131" s="100"/>
      <c r="V131" s="100"/>
      <c r="W131" s="100"/>
      <c r="X131" s="100"/>
      <c r="Y131" s="100"/>
      <c r="Z131" s="100"/>
      <c r="AA131" s="100"/>
      <c r="AB131" s="100"/>
      <c r="AC131" s="100"/>
      <c r="AD131" s="100"/>
      <c r="AE131" s="100"/>
      <c r="AF131" s="100"/>
      <c r="AG131" s="100"/>
      <c r="AH131" s="100"/>
      <c r="AI131" s="100"/>
      <c r="AJ131" s="100"/>
      <c r="AK131" s="100"/>
      <c r="AL131" s="100"/>
      <c r="AM131" s="100"/>
      <c r="AN131" s="100"/>
      <c r="AO131" s="100"/>
      <c r="AP131" s="100"/>
      <c r="AQ131" s="100"/>
      <c r="AR131" s="100"/>
      <c r="AS131" s="100"/>
      <c r="AT131" s="100"/>
      <c r="AU131" s="100"/>
      <c r="AV131" s="100"/>
      <c r="AW131" s="100"/>
      <c r="AX131" s="100"/>
      <c r="AY131" s="100"/>
      <c r="AZ131" s="100"/>
      <c r="BA131" s="100"/>
      <c r="BB131" s="100"/>
      <c r="BC131" s="100"/>
      <c r="BD131" s="100"/>
      <c r="BE131" s="100"/>
      <c r="BF131" s="100"/>
      <c r="BG131" s="100"/>
      <c r="BH131" s="100"/>
      <c r="BI131" s="100"/>
      <c r="BJ131" s="100"/>
      <c r="BK131" s="100"/>
      <c r="BL131" s="100"/>
      <c r="BM131" s="100"/>
      <c r="BN131" s="100"/>
      <c r="BO131" s="100"/>
    </row>
    <row r="132" spans="1:67" s="52" customFormat="1" ht="16.5" customHeight="1" x14ac:dyDescent="0.25">
      <c r="A132" s="134" t="str">
        <f t="shared" si="25"/>
        <v>5495</v>
      </c>
      <c r="B132" s="51" t="s">
        <v>94</v>
      </c>
      <c r="C132" s="49" t="s">
        <v>20</v>
      </c>
      <c r="D132" s="133">
        <v>1001093345495</v>
      </c>
      <c r="E132" s="24"/>
      <c r="F132" s="125">
        <v>0.4</v>
      </c>
      <c r="G132" s="23">
        <f t="shared" ref="G132:G133" si="27">E132*F132</f>
        <v>0</v>
      </c>
      <c r="H132" s="29">
        <v>2.4</v>
      </c>
      <c r="I132" s="29">
        <v>60</v>
      </c>
      <c r="J132" s="29"/>
      <c r="K132" s="27"/>
      <c r="L132" s="100"/>
      <c r="M132" s="100"/>
      <c r="N132" s="100"/>
      <c r="O132" s="100"/>
      <c r="P132" s="100"/>
      <c r="Q132" s="100"/>
      <c r="R132" s="100"/>
      <c r="S132" s="100"/>
      <c r="T132" s="100"/>
      <c r="U132" s="100"/>
      <c r="V132" s="100"/>
      <c r="W132" s="100"/>
      <c r="X132" s="100"/>
      <c r="Y132" s="100"/>
      <c r="Z132" s="100"/>
      <c r="AA132" s="100"/>
      <c r="AB132" s="100"/>
      <c r="AC132" s="100"/>
      <c r="AD132" s="100"/>
      <c r="AE132" s="100"/>
      <c r="AF132" s="100"/>
      <c r="AG132" s="100"/>
      <c r="AH132" s="100"/>
      <c r="AI132" s="100"/>
      <c r="AJ132" s="100"/>
      <c r="AK132" s="100"/>
      <c r="AL132" s="100"/>
      <c r="AM132" s="100"/>
      <c r="AN132" s="100"/>
      <c r="AO132" s="100"/>
      <c r="AP132" s="100"/>
      <c r="AQ132" s="100"/>
      <c r="AR132" s="100"/>
      <c r="AS132" s="100"/>
      <c r="AT132" s="100"/>
      <c r="AU132" s="100"/>
      <c r="AV132" s="100"/>
      <c r="AW132" s="100"/>
      <c r="AX132" s="100"/>
      <c r="AY132" s="100"/>
      <c r="AZ132" s="100"/>
      <c r="BA132" s="100"/>
      <c r="BB132" s="100"/>
      <c r="BC132" s="100"/>
      <c r="BD132" s="100"/>
      <c r="BE132" s="100"/>
      <c r="BF132" s="100"/>
      <c r="BG132" s="100"/>
      <c r="BH132" s="100"/>
      <c r="BI132" s="100"/>
      <c r="BJ132" s="100"/>
      <c r="BK132" s="100"/>
      <c r="BL132" s="100"/>
      <c r="BM132" s="100"/>
      <c r="BN132" s="100"/>
      <c r="BO132" s="100"/>
    </row>
    <row r="133" spans="1:67" s="52" customFormat="1" ht="16.5" customHeight="1" x14ac:dyDescent="0.25">
      <c r="A133" s="134" t="str">
        <f t="shared" si="25"/>
        <v>7377</v>
      </c>
      <c r="B133" s="51" t="s">
        <v>117</v>
      </c>
      <c r="C133" s="49" t="s">
        <v>20</v>
      </c>
      <c r="D133" s="133">
        <v>1001095027377</v>
      </c>
      <c r="E133" s="24"/>
      <c r="F133" s="125">
        <v>0.3</v>
      </c>
      <c r="G133" s="23">
        <f t="shared" si="27"/>
        <v>0</v>
      </c>
      <c r="H133" s="29">
        <v>1.8</v>
      </c>
      <c r="I133" s="29">
        <v>45</v>
      </c>
      <c r="J133" s="29"/>
      <c r="K133" s="27"/>
      <c r="L133" s="100"/>
      <c r="M133" s="100"/>
      <c r="N133" s="100"/>
      <c r="O133" s="100"/>
      <c r="P133" s="100"/>
      <c r="Q133" s="100"/>
      <c r="R133" s="100"/>
      <c r="S133" s="100"/>
      <c r="T133" s="100"/>
      <c r="U133" s="100"/>
      <c r="V133" s="100"/>
      <c r="W133" s="100"/>
      <c r="X133" s="100"/>
      <c r="Y133" s="100"/>
      <c r="Z133" s="100"/>
      <c r="AA133" s="100"/>
      <c r="AB133" s="100"/>
      <c r="AC133" s="100"/>
      <c r="AD133" s="100"/>
      <c r="AE133" s="100"/>
      <c r="AF133" s="100"/>
      <c r="AG133" s="100"/>
      <c r="AH133" s="100"/>
      <c r="AI133" s="100"/>
      <c r="AJ133" s="100"/>
      <c r="AK133" s="100"/>
      <c r="AL133" s="100"/>
      <c r="AM133" s="100"/>
      <c r="AN133" s="100"/>
      <c r="AO133" s="100"/>
      <c r="AP133" s="100"/>
      <c r="AQ133" s="100"/>
      <c r="AR133" s="100"/>
      <c r="AS133" s="100"/>
      <c r="AT133" s="100"/>
      <c r="AU133" s="100"/>
      <c r="AV133" s="100"/>
      <c r="AW133" s="100"/>
      <c r="AX133" s="100"/>
      <c r="AY133" s="100"/>
      <c r="AZ133" s="100"/>
      <c r="BA133" s="100"/>
      <c r="BB133" s="100"/>
      <c r="BC133" s="100"/>
      <c r="BD133" s="100"/>
      <c r="BE133" s="100"/>
      <c r="BF133" s="100"/>
      <c r="BG133" s="100"/>
      <c r="BH133" s="100"/>
      <c r="BI133" s="100"/>
      <c r="BJ133" s="100"/>
      <c r="BK133" s="100"/>
      <c r="BL133" s="100"/>
      <c r="BM133" s="100"/>
      <c r="BN133" s="100"/>
      <c r="BO133" s="100"/>
    </row>
    <row r="134" spans="1:67" s="52" customFormat="1" ht="15.75" customHeight="1" x14ac:dyDescent="0.25">
      <c r="A134" s="134" t="str">
        <f t="shared" si="25"/>
        <v>6025</v>
      </c>
      <c r="B134" s="51" t="s">
        <v>118</v>
      </c>
      <c r="C134" s="49" t="s">
        <v>22</v>
      </c>
      <c r="D134" s="133">
        <v>1001094966025</v>
      </c>
      <c r="E134" s="24"/>
      <c r="F134" s="125">
        <v>3</v>
      </c>
      <c r="G134" s="23">
        <f>E134</f>
        <v>0</v>
      </c>
      <c r="H134" s="29">
        <v>6</v>
      </c>
      <c r="I134" s="29">
        <v>60</v>
      </c>
      <c r="J134" s="29"/>
      <c r="K134" s="27"/>
      <c r="L134" s="100"/>
      <c r="M134" s="100"/>
      <c r="N134" s="100"/>
      <c r="O134" s="100"/>
      <c r="P134" s="100"/>
      <c r="Q134" s="100"/>
      <c r="R134" s="100"/>
      <c r="S134" s="100"/>
      <c r="T134" s="100"/>
      <c r="U134" s="100"/>
      <c r="V134" s="100"/>
      <c r="W134" s="100"/>
      <c r="X134" s="100"/>
      <c r="Y134" s="100"/>
      <c r="Z134" s="100"/>
      <c r="AA134" s="100"/>
      <c r="AB134" s="100"/>
      <c r="AC134" s="100"/>
      <c r="AD134" s="100"/>
      <c r="AE134" s="100"/>
      <c r="AF134" s="100"/>
      <c r="AG134" s="100"/>
      <c r="AH134" s="100"/>
      <c r="AI134" s="100"/>
      <c r="AJ134" s="100"/>
      <c r="AK134" s="100"/>
      <c r="AL134" s="100"/>
      <c r="AM134" s="100"/>
      <c r="AN134" s="100"/>
      <c r="AO134" s="100"/>
      <c r="AP134" s="100"/>
      <c r="AQ134" s="100"/>
      <c r="AR134" s="100"/>
      <c r="AS134" s="100"/>
      <c r="AT134" s="100"/>
      <c r="AU134" s="100"/>
      <c r="AV134" s="100"/>
      <c r="AW134" s="100"/>
      <c r="AX134" s="100"/>
      <c r="AY134" s="100"/>
      <c r="AZ134" s="100"/>
      <c r="BA134" s="100"/>
      <c r="BB134" s="100"/>
      <c r="BC134" s="100"/>
      <c r="BD134" s="100"/>
      <c r="BE134" s="100"/>
      <c r="BF134" s="100"/>
      <c r="BG134" s="100"/>
      <c r="BH134" s="100"/>
      <c r="BI134" s="100"/>
      <c r="BJ134" s="100"/>
      <c r="BK134" s="100"/>
      <c r="BL134" s="100"/>
      <c r="BM134" s="100"/>
      <c r="BN134" s="100"/>
      <c r="BO134" s="100"/>
    </row>
    <row r="135" spans="1:67" ht="16.5" customHeight="1" x14ac:dyDescent="0.25">
      <c r="A135" s="134" t="str">
        <f t="shared" si="25"/>
        <v>6929</v>
      </c>
      <c r="B135" s="51" t="s">
        <v>210</v>
      </c>
      <c r="C135" s="49" t="s">
        <v>22</v>
      </c>
      <c r="D135" s="133">
        <v>1001085476929</v>
      </c>
      <c r="E135" s="24"/>
      <c r="F135" s="125"/>
      <c r="G135" s="23">
        <f>E135</f>
        <v>0</v>
      </c>
      <c r="H135" s="29"/>
      <c r="I135" s="29"/>
      <c r="J135" s="29" t="str">
        <f>VLOOKUP(D135,[1]Бланк!$D:$J,7,0)</f>
        <v>Новинка</v>
      </c>
      <c r="L135" s="100"/>
    </row>
    <row r="136" spans="1:67" ht="16.5" customHeight="1" x14ac:dyDescent="0.25">
      <c r="A136" s="134" t="str">
        <f t="shared" si="25"/>
        <v>7485</v>
      </c>
      <c r="B136" s="51" t="s">
        <v>204</v>
      </c>
      <c r="C136" s="49" t="s">
        <v>20</v>
      </c>
      <c r="D136" s="133">
        <v>1001107397485</v>
      </c>
      <c r="E136" s="24"/>
      <c r="F136" s="125">
        <v>0.15</v>
      </c>
      <c r="G136" s="23">
        <f>F136*E136</f>
        <v>0</v>
      </c>
      <c r="H136" s="29"/>
      <c r="I136" s="29"/>
      <c r="J136" s="29"/>
      <c r="L136" s="100"/>
    </row>
    <row r="137" spans="1:67" ht="16.5" customHeight="1" x14ac:dyDescent="0.25">
      <c r="A137" s="134" t="str">
        <f t="shared" si="25"/>
        <v>7730</v>
      </c>
      <c r="B137" s="51" t="s">
        <v>220</v>
      </c>
      <c r="C137" s="49" t="s">
        <v>20</v>
      </c>
      <c r="D137" s="133">
        <v>1001097747730</v>
      </c>
      <c r="E137" s="24"/>
      <c r="F137" s="125">
        <v>0.1</v>
      </c>
      <c r="G137" s="23">
        <f>E137*F137</f>
        <v>0</v>
      </c>
      <c r="H137" s="29"/>
      <c r="I137" s="29"/>
      <c r="J137" s="29" t="str">
        <f>VLOOKUP(D137,[1]Бланк!$D:$J,7,0)</f>
        <v>Ротация кода 7647</v>
      </c>
      <c r="L137" s="100"/>
    </row>
    <row r="138" spans="1:67" ht="16.5" customHeight="1" thickBot="1" x14ac:dyDescent="0.3">
      <c r="A138" s="134" t="str">
        <f t="shared" si="25"/>
        <v>7731</v>
      </c>
      <c r="B138" s="51" t="s">
        <v>221</v>
      </c>
      <c r="C138" s="49" t="s">
        <v>20</v>
      </c>
      <c r="D138" s="133">
        <v>1001097767731</v>
      </c>
      <c r="E138" s="24"/>
      <c r="F138" s="125">
        <v>0.1</v>
      </c>
      <c r="G138" s="23">
        <f>E138*F138</f>
        <v>0</v>
      </c>
      <c r="H138" s="29">
        <v>1</v>
      </c>
      <c r="I138" s="29">
        <v>30</v>
      </c>
      <c r="J138" s="29" t="str">
        <f>VLOOKUP(D138,[1]Бланк!$D:$J,7,0)</f>
        <v>Ротация кода 7651</v>
      </c>
      <c r="L138" s="100"/>
    </row>
    <row r="139" spans="1:67" ht="16.5" customHeight="1" thickTop="1" thickBot="1" x14ac:dyDescent="0.3">
      <c r="A139" s="47" t="s">
        <v>104</v>
      </c>
      <c r="B139" s="42" t="s">
        <v>96</v>
      </c>
      <c r="C139" s="42"/>
      <c r="D139" s="42"/>
      <c r="E139" s="42"/>
      <c r="F139" s="41"/>
      <c r="G139" s="42"/>
      <c r="H139" s="42"/>
      <c r="I139" s="42"/>
      <c r="J139" s="43"/>
      <c r="L139" s="100"/>
    </row>
    <row r="140" spans="1:67" ht="16.5" customHeight="1" thickTop="1" x14ac:dyDescent="0.25">
      <c r="A140" s="134" t="str">
        <f t="shared" ref="A140:A152" si="28">RIGHT(D140,4)</f>
        <v>7090</v>
      </c>
      <c r="B140" s="35" t="s">
        <v>100</v>
      </c>
      <c r="C140" s="49" t="s">
        <v>20</v>
      </c>
      <c r="D140" s="50">
        <v>1001084217090</v>
      </c>
      <c r="E140" s="24"/>
      <c r="F140" s="23">
        <v>0.3</v>
      </c>
      <c r="G140" s="23">
        <f t="shared" ref="G140:G141" si="29">E140*F140</f>
        <v>0</v>
      </c>
      <c r="H140" s="14">
        <v>1.8</v>
      </c>
      <c r="I140" s="14">
        <v>50</v>
      </c>
      <c r="J140" s="29"/>
      <c r="L140" s="100"/>
    </row>
    <row r="141" spans="1:67" ht="16.5" customHeight="1" x14ac:dyDescent="0.25">
      <c r="A141" s="134" t="str">
        <f t="shared" si="28"/>
        <v>7187</v>
      </c>
      <c r="B141" s="35" t="s">
        <v>101</v>
      </c>
      <c r="C141" s="49" t="s">
        <v>20</v>
      </c>
      <c r="D141" s="50">
        <v>1001085637187</v>
      </c>
      <c r="E141" s="24"/>
      <c r="F141" s="23">
        <v>0.3</v>
      </c>
      <c r="G141" s="23">
        <f t="shared" si="29"/>
        <v>0</v>
      </c>
      <c r="H141" s="14">
        <v>1.8</v>
      </c>
      <c r="I141" s="14">
        <v>50</v>
      </c>
      <c r="J141" s="29"/>
      <c r="L141" s="100"/>
    </row>
    <row r="142" spans="1:67" ht="16.5" customHeight="1" x14ac:dyDescent="0.25">
      <c r="A142" s="134" t="str">
        <f t="shared" si="28"/>
        <v>6008</v>
      </c>
      <c r="B142" s="35" t="s">
        <v>189</v>
      </c>
      <c r="C142" s="49" t="s">
        <v>22</v>
      </c>
      <c r="D142" s="50">
        <v>1001084856008</v>
      </c>
      <c r="E142" s="24"/>
      <c r="F142" s="23">
        <v>0.3</v>
      </c>
      <c r="G142" s="23">
        <f>E142</f>
        <v>0</v>
      </c>
      <c r="H142" s="14">
        <v>1.8</v>
      </c>
      <c r="I142" s="14">
        <v>40</v>
      </c>
      <c r="J142" s="29"/>
      <c r="L142" s="100"/>
    </row>
    <row r="143" spans="1:67" ht="16.5" customHeight="1" x14ac:dyDescent="0.25">
      <c r="A143" s="134" t="str">
        <f t="shared" si="28"/>
        <v>6620</v>
      </c>
      <c r="B143" s="35" t="s">
        <v>97</v>
      </c>
      <c r="C143" s="49" t="s">
        <v>22</v>
      </c>
      <c r="D143" s="50">
        <v>1001081596620</v>
      </c>
      <c r="E143" s="24"/>
      <c r="F143" s="23">
        <v>1.05</v>
      </c>
      <c r="G143" s="23">
        <f>E143</f>
        <v>0</v>
      </c>
      <c r="H143" s="14">
        <v>3.15</v>
      </c>
      <c r="I143" s="14">
        <v>30</v>
      </c>
      <c r="J143" s="29"/>
      <c r="L143" s="100"/>
    </row>
    <row r="144" spans="1:67" ht="16.5" customHeight="1" x14ac:dyDescent="0.25">
      <c r="A144" s="134" t="str">
        <f t="shared" si="28"/>
        <v>7103</v>
      </c>
      <c r="B144" s="35" t="s">
        <v>199</v>
      </c>
      <c r="C144" s="49" t="s">
        <v>20</v>
      </c>
      <c r="D144" s="50">
        <v>1001223297103</v>
      </c>
      <c r="E144" s="24"/>
      <c r="F144" s="23">
        <v>0.18</v>
      </c>
      <c r="G144" s="23">
        <f t="shared" ref="G144:G151" si="30">E144*F144</f>
        <v>0</v>
      </c>
      <c r="H144" s="14">
        <v>1.8</v>
      </c>
      <c r="I144" s="14">
        <v>50</v>
      </c>
      <c r="J144" s="29"/>
      <c r="L144" s="100"/>
    </row>
    <row r="145" spans="1:12" ht="16.5" customHeight="1" x14ac:dyDescent="0.25">
      <c r="A145" s="134" t="str">
        <f t="shared" si="28"/>
        <v>7092</v>
      </c>
      <c r="B145" s="35" t="s">
        <v>78</v>
      </c>
      <c r="C145" s="49" t="s">
        <v>20</v>
      </c>
      <c r="D145" s="50">
        <v>1001223297092</v>
      </c>
      <c r="E145" s="24"/>
      <c r="F145" s="23">
        <v>0.14000000000000001</v>
      </c>
      <c r="G145" s="23">
        <f t="shared" si="30"/>
        <v>0</v>
      </c>
      <c r="H145" s="14">
        <v>1.4</v>
      </c>
      <c r="I145" s="14">
        <v>50</v>
      </c>
      <c r="J145" s="29"/>
      <c r="L145" s="100"/>
    </row>
    <row r="146" spans="1:12" ht="16.5" customHeight="1" x14ac:dyDescent="0.25">
      <c r="A146" s="134" t="str">
        <f t="shared" si="28"/>
        <v>6228</v>
      </c>
      <c r="B146" s="35" t="s">
        <v>89</v>
      </c>
      <c r="C146" s="49" t="s">
        <v>20</v>
      </c>
      <c r="D146" s="50">
        <v>1001225416228</v>
      </c>
      <c r="E146" s="24"/>
      <c r="F146" s="23">
        <v>0.09</v>
      </c>
      <c r="G146" s="23">
        <f t="shared" si="30"/>
        <v>0</v>
      </c>
      <c r="H146" s="14">
        <v>0.9</v>
      </c>
      <c r="I146" s="14">
        <v>45</v>
      </c>
      <c r="J146" s="29"/>
      <c r="L146" s="100"/>
    </row>
    <row r="147" spans="1:12" ht="16.5" customHeight="1" x14ac:dyDescent="0.25">
      <c r="A147" s="134" t="str">
        <f t="shared" si="28"/>
        <v>6208</v>
      </c>
      <c r="B147" s="35" t="s">
        <v>99</v>
      </c>
      <c r="C147" s="49" t="s">
        <v>20</v>
      </c>
      <c r="D147" s="50">
        <v>1001220226208</v>
      </c>
      <c r="E147" s="24"/>
      <c r="F147" s="23">
        <v>0.15</v>
      </c>
      <c r="G147" s="23">
        <f t="shared" si="30"/>
        <v>0</v>
      </c>
      <c r="H147" s="14">
        <v>1.5</v>
      </c>
      <c r="I147" s="14">
        <v>45</v>
      </c>
      <c r="J147" s="29"/>
    </row>
    <row r="148" spans="1:12" ht="15.75" customHeight="1" x14ac:dyDescent="0.25">
      <c r="A148" s="134" t="str">
        <f t="shared" si="28"/>
        <v>6754</v>
      </c>
      <c r="B148" s="35" t="s">
        <v>205</v>
      </c>
      <c r="C148" s="49" t="s">
        <v>20</v>
      </c>
      <c r="D148" s="50">
        <v>1001225406754</v>
      </c>
      <c r="E148" s="24"/>
      <c r="F148" s="23">
        <v>0.09</v>
      </c>
      <c r="G148" s="23">
        <f t="shared" si="30"/>
        <v>0</v>
      </c>
      <c r="H148" s="14">
        <v>0.72</v>
      </c>
      <c r="I148" s="14">
        <v>60</v>
      </c>
      <c r="J148" s="29"/>
    </row>
    <row r="149" spans="1:12" x14ac:dyDescent="0.25">
      <c r="A149" s="134" t="str">
        <f t="shared" si="28"/>
        <v>6279</v>
      </c>
      <c r="B149" s="35" t="s">
        <v>98</v>
      </c>
      <c r="C149" s="49" t="s">
        <v>20</v>
      </c>
      <c r="D149" s="50">
        <v>1001220286279</v>
      </c>
      <c r="E149" s="24"/>
      <c r="F149" s="23">
        <v>0.15</v>
      </c>
      <c r="G149" s="23">
        <f t="shared" si="30"/>
        <v>0</v>
      </c>
      <c r="H149" s="14">
        <v>1.2</v>
      </c>
      <c r="I149" s="14">
        <v>45</v>
      </c>
      <c r="J149" s="29"/>
    </row>
    <row r="150" spans="1:12" x14ac:dyDescent="0.25">
      <c r="A150" s="134" t="str">
        <f t="shared" si="28"/>
        <v>7612</v>
      </c>
      <c r="B150" s="35" t="s">
        <v>190</v>
      </c>
      <c r="C150" s="49" t="s">
        <v>20</v>
      </c>
      <c r="D150" s="50">
        <v>1001453907612</v>
      </c>
      <c r="E150" s="24"/>
      <c r="F150" s="23">
        <v>0.1</v>
      </c>
      <c r="G150" s="23">
        <f t="shared" si="30"/>
        <v>0</v>
      </c>
      <c r="H150" s="14">
        <v>1</v>
      </c>
      <c r="I150" s="14">
        <v>60</v>
      </c>
      <c r="J150" s="29"/>
    </row>
    <row r="151" spans="1:12" ht="15.75" customHeight="1" x14ac:dyDescent="0.25">
      <c r="A151" s="134" t="str">
        <f t="shared" si="28"/>
        <v>7344</v>
      </c>
      <c r="B151" s="35" t="s">
        <v>215</v>
      </c>
      <c r="C151" s="49" t="s">
        <v>20</v>
      </c>
      <c r="D151" s="50">
        <v>1001122287344</v>
      </c>
      <c r="E151" s="24"/>
      <c r="F151" s="23">
        <v>0.33800000000000002</v>
      </c>
      <c r="G151" s="23">
        <f t="shared" si="30"/>
        <v>0</v>
      </c>
      <c r="H151" s="14"/>
      <c r="I151" s="14"/>
      <c r="J151" s="29" t="str">
        <f>VLOOKUP(D151,[1]Бланк!$D:$J,7,0)</f>
        <v>Новинка</v>
      </c>
    </row>
    <row r="152" spans="1:12" ht="15.75" customHeight="1" thickBot="1" x14ac:dyDescent="0.3">
      <c r="A152" s="134" t="str">
        <f t="shared" si="28"/>
        <v>7345</v>
      </c>
      <c r="B152" s="35" t="s">
        <v>216</v>
      </c>
      <c r="C152" s="49" t="s">
        <v>20</v>
      </c>
      <c r="D152" s="50">
        <v>1001123677345</v>
      </c>
      <c r="E152" s="24"/>
      <c r="F152" s="23">
        <v>0.32500000000000001</v>
      </c>
      <c r="G152" s="23">
        <f>E152*F152</f>
        <v>0</v>
      </c>
      <c r="H152" s="14"/>
      <c r="I152" s="14"/>
      <c r="J152" s="29" t="str">
        <f>VLOOKUP(D152,[1]Бланк!$D:$J,7,0)</f>
        <v>Новинка</v>
      </c>
    </row>
    <row r="153" spans="1:12" ht="16.5" thickTop="1" thickBot="1" x14ac:dyDescent="0.3">
      <c r="A153" s="48"/>
      <c r="B153" s="45" t="s">
        <v>102</v>
      </c>
      <c r="C153" s="16"/>
      <c r="D153" s="36"/>
      <c r="E153" s="17">
        <f>SUM(E10:E150)</f>
        <v>0</v>
      </c>
      <c r="F153" s="17"/>
      <c r="G153" s="17">
        <f>SUM(G11:G152)</f>
        <v>0</v>
      </c>
      <c r="H153" s="17"/>
      <c r="I153" s="17"/>
      <c r="J153" s="17"/>
    </row>
    <row r="154" spans="1:12" ht="15.75" thickTop="1" x14ac:dyDescent="0.25">
      <c r="B154" s="37"/>
      <c r="C154" s="18"/>
      <c r="D154" s="40"/>
      <c r="F154" s="19"/>
      <c r="G154" s="19"/>
      <c r="H154" s="20"/>
      <c r="I154" s="20"/>
      <c r="J154" s="21"/>
    </row>
    <row r="155" spans="1:12" x14ac:dyDescent="0.25">
      <c r="B155" s="37"/>
      <c r="C155" s="18"/>
      <c r="D155" s="40"/>
      <c r="F155" s="19"/>
      <c r="G155" s="19"/>
      <c r="H155" s="20"/>
      <c r="I155" s="20"/>
      <c r="J155" s="21"/>
    </row>
    <row r="156" spans="1:12" x14ac:dyDescent="0.25">
      <c r="B156" s="37"/>
      <c r="C156" s="53"/>
      <c r="D156" s="54"/>
      <c r="E156" s="55"/>
      <c r="F156" s="56"/>
      <c r="G156" s="56"/>
      <c r="H156" s="57"/>
      <c r="I156" s="57"/>
      <c r="J156" s="21"/>
    </row>
    <row r="157" spans="1:12" x14ac:dyDescent="0.25">
      <c r="B157" s="37"/>
      <c r="C157" s="53"/>
      <c r="D157" s="54"/>
      <c r="E157" s="55"/>
      <c r="F157" s="56"/>
      <c r="G157" s="56"/>
      <c r="H157" s="57"/>
      <c r="I157" s="57"/>
      <c r="J157" s="21"/>
    </row>
    <row r="158" spans="1:12" x14ac:dyDescent="0.25">
      <c r="B158" s="37"/>
      <c r="C158" s="53"/>
      <c r="D158" s="58"/>
      <c r="E158" s="59"/>
      <c r="F158" s="58"/>
      <c r="G158" s="60"/>
      <c r="H158" s="61"/>
      <c r="I158" s="62"/>
      <c r="J158" s="21"/>
    </row>
    <row r="159" spans="1:12" x14ac:dyDescent="0.25">
      <c r="B159" s="37"/>
      <c r="C159" s="18"/>
      <c r="D159" s="40"/>
      <c r="F159" s="19"/>
      <c r="G159" s="19"/>
      <c r="H159" s="20"/>
      <c r="I159" s="20"/>
      <c r="J159" s="21"/>
    </row>
    <row r="160" spans="1:12" x14ac:dyDescent="0.25">
      <c r="B160" s="37"/>
      <c r="C160" s="18"/>
      <c r="D160" s="40"/>
      <c r="F160" s="19"/>
      <c r="G160" s="19"/>
      <c r="H160" s="20"/>
      <c r="I160" s="20"/>
      <c r="J160" s="21"/>
    </row>
    <row r="161" spans="2:10" x14ac:dyDescent="0.25">
      <c r="B161" s="37"/>
      <c r="C161" s="18"/>
      <c r="D161" s="40"/>
      <c r="F161" s="19"/>
      <c r="G161" s="19"/>
      <c r="H161" s="20"/>
      <c r="I161" s="20"/>
      <c r="J161" s="21"/>
    </row>
    <row r="162" spans="2:10" x14ac:dyDescent="0.25">
      <c r="B162" s="37"/>
      <c r="C162" s="18"/>
      <c r="D162" s="40"/>
      <c r="F162" s="19"/>
      <c r="G162" s="19"/>
      <c r="H162" s="20"/>
      <c r="I162" s="20"/>
      <c r="J162" s="21"/>
    </row>
    <row r="163" spans="2:10" x14ac:dyDescent="0.25">
      <c r="B163" s="37"/>
      <c r="C163" s="18"/>
      <c r="D163" s="40"/>
      <c r="F163" s="19"/>
      <c r="G163" s="19"/>
      <c r="H163" s="20"/>
      <c r="I163" s="20"/>
      <c r="J163" s="21"/>
    </row>
    <row r="164" spans="2:10" x14ac:dyDescent="0.25">
      <c r="B164" s="37"/>
      <c r="C164" s="18"/>
      <c r="D164" s="40"/>
      <c r="F164" s="19"/>
      <c r="G164" s="19"/>
      <c r="H164" s="20"/>
      <c r="I164" s="20"/>
      <c r="J164" s="21"/>
    </row>
    <row r="165" spans="2:10" x14ac:dyDescent="0.25">
      <c r="B165" s="37"/>
      <c r="C165" s="18"/>
      <c r="D165" s="40"/>
      <c r="F165" s="19"/>
      <c r="G165" s="19"/>
      <c r="H165" s="20"/>
      <c r="I165" s="20"/>
      <c r="J165" s="21"/>
    </row>
    <row r="166" spans="2:10" x14ac:dyDescent="0.25">
      <c r="B166" s="37"/>
      <c r="C166" s="18"/>
      <c r="D166" s="40"/>
      <c r="F166" s="19"/>
      <c r="G166" s="19"/>
      <c r="H166" s="20"/>
      <c r="I166" s="20"/>
      <c r="J166" s="21"/>
    </row>
    <row r="167" spans="2:10" x14ac:dyDescent="0.25">
      <c r="B167" s="37"/>
      <c r="C167" s="18"/>
      <c r="D167" s="40"/>
      <c r="F167" s="19"/>
      <c r="G167" s="19"/>
      <c r="H167" s="20"/>
      <c r="I167" s="20"/>
      <c r="J167" s="21"/>
    </row>
    <row r="168" spans="2:10" x14ac:dyDescent="0.25">
      <c r="B168" s="37"/>
      <c r="C168" s="18"/>
      <c r="D168" s="40"/>
      <c r="F168" s="19"/>
      <c r="G168" s="19"/>
      <c r="H168" s="20"/>
      <c r="I168" s="20"/>
      <c r="J168" s="21"/>
    </row>
    <row r="169" spans="2:10" x14ac:dyDescent="0.25">
      <c r="B169" s="37"/>
      <c r="C169" s="18"/>
      <c r="D169" s="40"/>
      <c r="F169" s="19"/>
      <c r="G169" s="19"/>
      <c r="H169" s="20"/>
      <c r="I169" s="20"/>
      <c r="J169" s="21"/>
    </row>
    <row r="170" spans="2:10" x14ac:dyDescent="0.25">
      <c r="B170" s="37"/>
      <c r="C170" s="18"/>
      <c r="D170" s="40"/>
      <c r="F170" s="19"/>
      <c r="G170" s="19"/>
      <c r="H170" s="20"/>
      <c r="I170" s="20"/>
      <c r="J170" s="21"/>
    </row>
    <row r="171" spans="2:10" x14ac:dyDescent="0.25">
      <c r="B171" s="37"/>
      <c r="C171" s="18"/>
      <c r="D171" s="40"/>
      <c r="F171" s="19"/>
      <c r="G171" s="19"/>
      <c r="H171" s="20"/>
      <c r="I171" s="20"/>
      <c r="J171" s="21"/>
    </row>
    <row r="172" spans="2:10" x14ac:dyDescent="0.25">
      <c r="B172" s="37"/>
      <c r="C172" s="18"/>
      <c r="D172" s="40"/>
      <c r="F172" s="19"/>
      <c r="G172" s="19"/>
      <c r="H172" s="20"/>
      <c r="I172" s="20"/>
      <c r="J172" s="21"/>
    </row>
    <row r="173" spans="2:10" x14ac:dyDescent="0.25">
      <c r="B173" s="37"/>
      <c r="C173" s="18"/>
      <c r="D173" s="40"/>
      <c r="F173" s="19"/>
      <c r="G173" s="19"/>
      <c r="H173" s="20"/>
      <c r="I173" s="20"/>
      <c r="J173" s="21"/>
    </row>
    <row r="174" spans="2:10" x14ac:dyDescent="0.25">
      <c r="B174" s="37"/>
      <c r="C174" s="18"/>
      <c r="D174" s="40"/>
      <c r="F174" s="19"/>
      <c r="G174" s="19"/>
      <c r="H174" s="20"/>
      <c r="I174" s="20"/>
      <c r="J174" s="21"/>
    </row>
    <row r="175" spans="2:10" x14ac:dyDescent="0.25">
      <c r="B175" s="37"/>
      <c r="C175" s="18"/>
      <c r="D175" s="40"/>
      <c r="F175" s="19"/>
      <c r="G175" s="19"/>
      <c r="H175" s="20"/>
      <c r="I175" s="20"/>
      <c r="J175" s="21"/>
    </row>
    <row r="176" spans="2:10" x14ac:dyDescent="0.25">
      <c r="B176" s="37"/>
      <c r="C176" s="18"/>
      <c r="D176" s="40"/>
      <c r="F176" s="19"/>
      <c r="G176" s="19"/>
      <c r="H176" s="20"/>
      <c r="I176" s="20"/>
      <c r="J176" s="21"/>
    </row>
    <row r="177" spans="2:10" x14ac:dyDescent="0.25">
      <c r="B177" s="37"/>
      <c r="C177" s="18"/>
      <c r="D177" s="40"/>
      <c r="F177" s="19"/>
      <c r="G177" s="19"/>
      <c r="H177" s="20"/>
      <c r="I177" s="20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  <row r="1659" spans="2:10" x14ac:dyDescent="0.25">
      <c r="B1659" s="37"/>
      <c r="C1659" s="18"/>
      <c r="D1659" s="40"/>
      <c r="F1659" s="19"/>
      <c r="G1659" s="19"/>
      <c r="H1659" s="20"/>
      <c r="I1659" s="20"/>
      <c r="J1659" s="21"/>
    </row>
    <row r="1660" spans="2:10" x14ac:dyDescent="0.25">
      <c r="B1660" s="37"/>
      <c r="C1660" s="18"/>
      <c r="D1660" s="40"/>
      <c r="F1660" s="19"/>
      <c r="G1660" s="19"/>
      <c r="H1660" s="20"/>
      <c r="I1660" s="20"/>
      <c r="J1660" s="21"/>
    </row>
    <row r="1661" spans="2:10" x14ac:dyDescent="0.25">
      <c r="B1661" s="37"/>
      <c r="C1661" s="18"/>
      <c r="D1661" s="40"/>
      <c r="F1661" s="19"/>
      <c r="G1661" s="19"/>
      <c r="H1661" s="20"/>
      <c r="I1661" s="20"/>
      <c r="J1661" s="21"/>
    </row>
    <row r="1662" spans="2:10" x14ac:dyDescent="0.25">
      <c r="B1662" s="37"/>
      <c r="C1662" s="18"/>
      <c r="D1662" s="40"/>
      <c r="F1662" s="19"/>
      <c r="G1662" s="19"/>
      <c r="H1662" s="20"/>
      <c r="I1662" s="20"/>
      <c r="J1662" s="21"/>
    </row>
    <row r="1663" spans="2:10" x14ac:dyDescent="0.25">
      <c r="B1663" s="37"/>
      <c r="C1663" s="18"/>
      <c r="D1663" s="40"/>
      <c r="F1663" s="19"/>
      <c r="G1663" s="19"/>
      <c r="H1663" s="20"/>
      <c r="I1663" s="20"/>
      <c r="J1663" s="21"/>
    </row>
    <row r="1664" spans="2:10" x14ac:dyDescent="0.25">
      <c r="B1664" s="37"/>
      <c r="C1664" s="18"/>
      <c r="D1664" s="40"/>
      <c r="F1664" s="19"/>
      <c r="G1664" s="19"/>
      <c r="H1664" s="20"/>
      <c r="I1664" s="20"/>
      <c r="J1664" s="21"/>
    </row>
    <row r="1665" spans="2:10" x14ac:dyDescent="0.25">
      <c r="B1665" s="37"/>
      <c r="C1665" s="18"/>
      <c r="D1665" s="40"/>
      <c r="F1665" s="19"/>
      <c r="G1665" s="19"/>
      <c r="H1665" s="20"/>
      <c r="I1665" s="20"/>
      <c r="J1665" s="21"/>
    </row>
    <row r="1666" spans="2:10" x14ac:dyDescent="0.25">
      <c r="B1666" s="37"/>
      <c r="C1666" s="18"/>
      <c r="D1666" s="40"/>
      <c r="F1666" s="19"/>
      <c r="G1666" s="19"/>
      <c r="H1666" s="20"/>
      <c r="I1666" s="20"/>
      <c r="J1666" s="21"/>
    </row>
    <row r="1667" spans="2:10" x14ac:dyDescent="0.25">
      <c r="B1667" s="37"/>
      <c r="C1667" s="18"/>
      <c r="D1667" s="40"/>
      <c r="F1667" s="19"/>
      <c r="G1667" s="19"/>
      <c r="H1667" s="20"/>
      <c r="I1667" s="20"/>
      <c r="J1667" s="21"/>
    </row>
    <row r="1668" spans="2:10" x14ac:dyDescent="0.25">
      <c r="B1668" s="37"/>
      <c r="C1668" s="18"/>
      <c r="D1668" s="40"/>
      <c r="F1668" s="19"/>
      <c r="G1668" s="19"/>
      <c r="H1668" s="20"/>
      <c r="I1668" s="20"/>
      <c r="J1668" s="21"/>
    </row>
    <row r="1669" spans="2:10" x14ac:dyDescent="0.25">
      <c r="B1669" s="37"/>
      <c r="C1669" s="18"/>
      <c r="D1669" s="40"/>
      <c r="F1669" s="19"/>
      <c r="G1669" s="19"/>
      <c r="H1669" s="20"/>
      <c r="I1669" s="20"/>
      <c r="J1669" s="21"/>
    </row>
    <row r="1670" spans="2:10" x14ac:dyDescent="0.25">
      <c r="B1670" s="37"/>
      <c r="C1670" s="18"/>
      <c r="D1670" s="40"/>
      <c r="F1670" s="19"/>
      <c r="G1670" s="19"/>
      <c r="H1670" s="20"/>
      <c r="I1670" s="20"/>
      <c r="J1670" s="21"/>
    </row>
    <row r="1671" spans="2:10" x14ac:dyDescent="0.25">
      <c r="B1671" s="37"/>
      <c r="C1671" s="18"/>
      <c r="D1671" s="40"/>
      <c r="F1671" s="19"/>
      <c r="G1671" s="19"/>
      <c r="H1671" s="20"/>
      <c r="I1671" s="20"/>
      <c r="J1671" s="21"/>
    </row>
    <row r="1672" spans="2:10" x14ac:dyDescent="0.25">
      <c r="B1672" s="37"/>
      <c r="C1672" s="18"/>
      <c r="D1672" s="40"/>
      <c r="F1672" s="19"/>
      <c r="G1672" s="19"/>
      <c r="H1672" s="20"/>
      <c r="I1672" s="20"/>
      <c r="J1672" s="21"/>
    </row>
    <row r="1673" spans="2:10" x14ac:dyDescent="0.25">
      <c r="B1673" s="37"/>
      <c r="C1673" s="18"/>
      <c r="D1673" s="40"/>
      <c r="F1673" s="19"/>
      <c r="G1673" s="19"/>
      <c r="H1673" s="20"/>
      <c r="I1673" s="20"/>
      <c r="J1673" s="21"/>
    </row>
  </sheetData>
  <autoFilter ref="A9:J153" xr:uid="{00000000-0009-0000-0000-000000000000}"/>
  <mergeCells count="2">
    <mergeCell ref="E1:J1"/>
    <mergeCell ref="G3:J3"/>
  </mergeCells>
  <conditionalFormatting sqref="D158">
    <cfRule type="duplicateValues" dxfId="384" priority="1"/>
    <cfRule type="duplicateValues" dxfId="383" priority="2"/>
    <cfRule type="duplicateValues" dxfId="382" priority="3"/>
    <cfRule type="duplicateValues" dxfId="381" priority="4"/>
    <cfRule type="duplicateValues" dxfId="380" priority="5"/>
    <cfRule type="duplicateValues" dxfId="379" priority="7"/>
    <cfRule type="duplicateValues" dxfId="378" priority="8"/>
    <cfRule type="duplicateValues" dxfId="377" priority="9"/>
    <cfRule type="duplicateValues" dxfId="376" priority="10"/>
    <cfRule type="duplicateValues" dxfId="375" priority="11"/>
  </conditionalFormatting>
  <conditionalFormatting sqref="D158">
    <cfRule type="duplicateValues" dxfId="374" priority="6"/>
  </conditionalFormatting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topLeftCell="A19" zoomScale="40" zoomScaleNormal="40" workbookViewId="0">
      <selection activeCell="C42" sqref="C42:C49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83">
        <v>4561</v>
      </c>
      <c r="C2" s="69">
        <v>1001010014561</v>
      </c>
      <c r="D2" s="67" t="s">
        <v>111</v>
      </c>
      <c r="E2" s="71"/>
      <c r="F2" s="74" t="s">
        <v>22</v>
      </c>
      <c r="G2" s="75">
        <v>1</v>
      </c>
    </row>
    <row r="3" spans="2:7" ht="21" x14ac:dyDescent="0.25">
      <c r="B3" s="63">
        <v>7536</v>
      </c>
      <c r="C3" s="70">
        <v>1001010017536</v>
      </c>
      <c r="D3" s="72" t="s">
        <v>107</v>
      </c>
      <c r="E3" s="76" t="s">
        <v>115</v>
      </c>
      <c r="F3" s="77" t="s">
        <v>22</v>
      </c>
      <c r="G3" s="78">
        <v>1</v>
      </c>
    </row>
    <row r="4" spans="2:7" ht="21" x14ac:dyDescent="0.25">
      <c r="B4" s="83">
        <v>5851</v>
      </c>
      <c r="C4" s="70">
        <v>1001012505851</v>
      </c>
      <c r="D4" s="71" t="s">
        <v>110</v>
      </c>
      <c r="E4" s="71"/>
      <c r="F4" s="74" t="s">
        <v>22</v>
      </c>
      <c r="G4" s="75">
        <v>1</v>
      </c>
    </row>
    <row r="5" spans="2:7" ht="21" x14ac:dyDescent="0.25">
      <c r="B5" s="83">
        <v>4813</v>
      </c>
      <c r="C5" s="70">
        <v>1001012564813</v>
      </c>
      <c r="D5" s="71" t="s">
        <v>29</v>
      </c>
      <c r="E5" s="71"/>
      <c r="F5" s="74" t="s">
        <v>22</v>
      </c>
      <c r="G5" s="75">
        <v>1</v>
      </c>
    </row>
    <row r="6" spans="2:7" ht="21" x14ac:dyDescent="0.25">
      <c r="B6" s="83">
        <v>4574</v>
      </c>
      <c r="C6" s="70">
        <v>1001012634574</v>
      </c>
      <c r="D6" s="71" t="s">
        <v>24</v>
      </c>
      <c r="E6" s="71"/>
      <c r="F6" s="74" t="s">
        <v>22</v>
      </c>
      <c r="G6" s="75">
        <v>1</v>
      </c>
    </row>
    <row r="7" spans="2:7" ht="21" x14ac:dyDescent="0.25">
      <c r="B7" s="83">
        <v>4063</v>
      </c>
      <c r="C7" s="70">
        <v>1001012484063</v>
      </c>
      <c r="D7" s="71" t="s">
        <v>21</v>
      </c>
      <c r="E7" s="71"/>
      <c r="F7" s="74" t="s">
        <v>22</v>
      </c>
      <c r="G7" s="75">
        <v>1</v>
      </c>
    </row>
    <row r="8" spans="2:7" ht="21" x14ac:dyDescent="0.25">
      <c r="B8" s="83">
        <v>6220</v>
      </c>
      <c r="C8" s="66">
        <v>1001012426220</v>
      </c>
      <c r="D8" s="67" t="s">
        <v>35</v>
      </c>
      <c r="E8" s="71"/>
      <c r="F8" s="74" t="s">
        <v>22</v>
      </c>
      <c r="G8" s="75">
        <v>1</v>
      </c>
    </row>
    <row r="9" spans="2:7" ht="21" x14ac:dyDescent="0.25">
      <c r="B9" s="83">
        <v>6498</v>
      </c>
      <c r="C9" s="69">
        <v>1001012456498</v>
      </c>
      <c r="D9" s="67" t="s">
        <v>34</v>
      </c>
      <c r="E9" s="71"/>
      <c r="F9" s="74" t="s">
        <v>22</v>
      </c>
      <c r="G9" s="75">
        <v>1</v>
      </c>
    </row>
    <row r="10" spans="2:7" ht="21" x14ac:dyDescent="0.25">
      <c r="B10" s="83">
        <v>6861</v>
      </c>
      <c r="C10" s="70">
        <v>1001015646861</v>
      </c>
      <c r="D10" s="71" t="s">
        <v>25</v>
      </c>
      <c r="E10" s="86"/>
      <c r="F10" s="74" t="s">
        <v>22</v>
      </c>
      <c r="G10" s="75">
        <v>1</v>
      </c>
    </row>
    <row r="11" spans="2:7" ht="21" x14ac:dyDescent="0.25">
      <c r="B11" s="83">
        <v>6862</v>
      </c>
      <c r="C11" s="70">
        <v>1001015706862</v>
      </c>
      <c r="D11" s="71" t="s">
        <v>28</v>
      </c>
      <c r="E11" s="71"/>
      <c r="F11" s="74" t="s">
        <v>22</v>
      </c>
      <c r="G11" s="75">
        <v>1</v>
      </c>
    </row>
    <row r="12" spans="2:7" ht="21" x14ac:dyDescent="0.25">
      <c r="B12" s="68">
        <v>7539</v>
      </c>
      <c r="C12" s="69">
        <v>1001010017539</v>
      </c>
      <c r="D12" s="65" t="s">
        <v>106</v>
      </c>
      <c r="E12" s="76" t="s">
        <v>115</v>
      </c>
      <c r="F12" s="77" t="s">
        <v>20</v>
      </c>
      <c r="G12" s="78">
        <v>0.35</v>
      </c>
    </row>
    <row r="13" spans="2:7" ht="21" x14ac:dyDescent="0.25">
      <c r="B13" s="63">
        <v>7334</v>
      </c>
      <c r="C13" s="69">
        <v>1001012637334</v>
      </c>
      <c r="D13" s="67" t="s">
        <v>108</v>
      </c>
      <c r="E13" s="64"/>
      <c r="F13" s="77" t="s">
        <v>20</v>
      </c>
      <c r="G13" s="78">
        <v>0.4</v>
      </c>
    </row>
    <row r="14" spans="2:7" ht="21" x14ac:dyDescent="0.25">
      <c r="B14" s="63">
        <v>6325</v>
      </c>
      <c r="C14" s="102">
        <v>1001010106325</v>
      </c>
      <c r="D14" s="67" t="s">
        <v>32</v>
      </c>
      <c r="E14" s="64"/>
      <c r="F14" s="77" t="s">
        <v>20</v>
      </c>
      <c r="G14" s="78">
        <v>0.4</v>
      </c>
    </row>
    <row r="15" spans="2:7" ht="21" x14ac:dyDescent="0.25">
      <c r="B15" s="68">
        <v>7303</v>
      </c>
      <c r="C15" s="69">
        <v>1001010857303</v>
      </c>
      <c r="D15" s="67" t="s">
        <v>112</v>
      </c>
      <c r="E15" s="67"/>
      <c r="F15" s="77" t="s">
        <v>22</v>
      </c>
      <c r="G15" s="78">
        <v>1</v>
      </c>
    </row>
    <row r="16" spans="2:7" ht="21" x14ac:dyDescent="0.25">
      <c r="B16" s="68">
        <v>8014</v>
      </c>
      <c r="C16" s="69">
        <v>1001010108014</v>
      </c>
      <c r="D16" s="67" t="s">
        <v>113</v>
      </c>
      <c r="E16" s="67"/>
      <c r="F16" s="77" t="s">
        <v>22</v>
      </c>
      <c r="G16" s="78">
        <v>1</v>
      </c>
    </row>
    <row r="17" spans="2:7" ht="21" x14ac:dyDescent="0.25">
      <c r="B17" s="63">
        <v>6353</v>
      </c>
      <c r="C17" s="102">
        <v>1001012506353</v>
      </c>
      <c r="D17" s="67" t="s">
        <v>30</v>
      </c>
      <c r="E17" s="64"/>
      <c r="F17" s="77" t="s">
        <v>20</v>
      </c>
      <c r="G17" s="78">
        <v>0.4</v>
      </c>
    </row>
    <row r="18" spans="2:7" ht="21" x14ac:dyDescent="0.25">
      <c r="B18" s="63">
        <v>7523</v>
      </c>
      <c r="C18" s="66">
        <v>1001012427523</v>
      </c>
      <c r="D18" s="65" t="s">
        <v>105</v>
      </c>
      <c r="E18" s="76" t="s">
        <v>115</v>
      </c>
      <c r="F18" s="74" t="s">
        <v>20</v>
      </c>
      <c r="G18" s="75">
        <v>0.4</v>
      </c>
    </row>
    <row r="19" spans="2:7" ht="21" x14ac:dyDescent="0.25">
      <c r="B19" s="83">
        <v>6340</v>
      </c>
      <c r="C19" s="69">
        <v>1001012816340</v>
      </c>
      <c r="D19" s="67" t="s">
        <v>26</v>
      </c>
      <c r="E19" s="71"/>
      <c r="F19" s="74" t="s">
        <v>20</v>
      </c>
      <c r="G19" s="75">
        <v>0.5</v>
      </c>
    </row>
    <row r="20" spans="2:7" ht="21" x14ac:dyDescent="0.25">
      <c r="B20" s="83">
        <v>6341</v>
      </c>
      <c r="C20" s="69">
        <v>1001012816341</v>
      </c>
      <c r="D20" s="67" t="s">
        <v>27</v>
      </c>
      <c r="E20" s="71"/>
      <c r="F20" s="74" t="s">
        <v>20</v>
      </c>
      <c r="G20" s="75">
        <v>0.5</v>
      </c>
    </row>
    <row r="21" spans="2:7" ht="21" x14ac:dyDescent="0.25">
      <c r="B21" s="63">
        <v>6333</v>
      </c>
      <c r="C21" s="102">
        <v>1001012486333</v>
      </c>
      <c r="D21" s="67" t="s">
        <v>23</v>
      </c>
      <c r="E21" s="64"/>
      <c r="F21" s="77" t="s">
        <v>20</v>
      </c>
      <c r="G21" s="78">
        <v>0.4</v>
      </c>
    </row>
    <row r="22" spans="2:7" ht="21" x14ac:dyDescent="0.25">
      <c r="B22" s="63">
        <v>6392</v>
      </c>
      <c r="C22" s="102">
        <v>1001012566392</v>
      </c>
      <c r="D22" s="67" t="s">
        <v>109</v>
      </c>
      <c r="E22" s="64"/>
      <c r="F22" s="77" t="s">
        <v>20</v>
      </c>
      <c r="G22" s="78">
        <v>0.4</v>
      </c>
    </row>
    <row r="23" spans="2:7" ht="21" x14ac:dyDescent="0.25">
      <c r="B23" s="63">
        <v>7343</v>
      </c>
      <c r="C23" s="69">
        <v>1001016747343</v>
      </c>
      <c r="D23" s="67" t="s">
        <v>31</v>
      </c>
      <c r="E23" s="71"/>
      <c r="F23" s="74" t="s">
        <v>20</v>
      </c>
      <c r="G23" s="75">
        <v>0.4</v>
      </c>
    </row>
    <row r="24" spans="2:7" ht="21" x14ac:dyDescent="0.25">
      <c r="B24" s="63">
        <v>6797</v>
      </c>
      <c r="C24" s="69">
        <v>1001015026797</v>
      </c>
      <c r="D24" s="103" t="s">
        <v>114</v>
      </c>
      <c r="E24" s="103" t="s">
        <v>168</v>
      </c>
      <c r="F24" s="77" t="s">
        <v>20</v>
      </c>
      <c r="G24" s="78">
        <v>0.4</v>
      </c>
    </row>
    <row r="25" spans="2:7" ht="21" x14ac:dyDescent="0.25">
      <c r="B25" s="63">
        <v>7231</v>
      </c>
      <c r="C25" s="69">
        <v>1001013957231</v>
      </c>
      <c r="D25" s="67" t="s">
        <v>33</v>
      </c>
      <c r="E25" s="71"/>
      <c r="F25" s="74" t="s">
        <v>20</v>
      </c>
      <c r="G25" s="75">
        <v>0.3</v>
      </c>
    </row>
    <row r="26" spans="2:7" ht="23.25" x14ac:dyDescent="0.25">
      <c r="B26" s="81"/>
      <c r="C26" s="104"/>
      <c r="D26" s="105" t="s">
        <v>91</v>
      </c>
      <c r="E26" s="106"/>
      <c r="F26" s="107"/>
      <c r="G26" s="108"/>
    </row>
    <row r="27" spans="2:7" ht="21" x14ac:dyDescent="0.25">
      <c r="B27" s="83">
        <v>6470</v>
      </c>
      <c r="C27" s="70">
        <v>1001092436470</v>
      </c>
      <c r="D27" s="71" t="s">
        <v>116</v>
      </c>
      <c r="E27" s="71"/>
      <c r="F27" s="74" t="s">
        <v>22</v>
      </c>
      <c r="G27" s="75">
        <v>1</v>
      </c>
    </row>
    <row r="28" spans="2:7" ht="21" x14ac:dyDescent="0.25">
      <c r="B28" s="63">
        <v>6495</v>
      </c>
      <c r="C28" s="69">
        <v>1001092436495</v>
      </c>
      <c r="D28" s="84" t="s">
        <v>95</v>
      </c>
      <c r="E28" s="71"/>
      <c r="F28" s="74" t="s">
        <v>20</v>
      </c>
      <c r="G28" s="75">
        <v>0.3</v>
      </c>
    </row>
    <row r="29" spans="2:7" ht="21" x14ac:dyDescent="0.25">
      <c r="B29" s="63">
        <v>5452</v>
      </c>
      <c r="C29" s="69">
        <v>1001092485452</v>
      </c>
      <c r="D29" s="84" t="s">
        <v>93</v>
      </c>
      <c r="E29" s="71"/>
      <c r="F29" s="74" t="s">
        <v>22</v>
      </c>
      <c r="G29" s="75">
        <v>1</v>
      </c>
    </row>
    <row r="30" spans="2:7" ht="21" x14ac:dyDescent="0.25">
      <c r="B30" s="83">
        <v>6866</v>
      </c>
      <c r="C30" s="70">
        <v>1001095716866</v>
      </c>
      <c r="D30" s="71" t="s">
        <v>92</v>
      </c>
      <c r="E30" s="86"/>
      <c r="F30" s="74" t="s">
        <v>22</v>
      </c>
      <c r="G30" s="75">
        <v>1</v>
      </c>
    </row>
    <row r="31" spans="2:7" ht="21" x14ac:dyDescent="0.25">
      <c r="B31" s="83">
        <v>6025</v>
      </c>
      <c r="C31" s="70">
        <v>1001094966025</v>
      </c>
      <c r="D31" s="71" t="s">
        <v>118</v>
      </c>
      <c r="E31" s="71"/>
      <c r="F31" s="74" t="s">
        <v>22</v>
      </c>
      <c r="G31" s="75">
        <v>1</v>
      </c>
    </row>
    <row r="32" spans="2:7" ht="21" x14ac:dyDescent="0.25">
      <c r="B32" s="83">
        <v>4584</v>
      </c>
      <c r="C32" s="70">
        <v>1001092674584</v>
      </c>
      <c r="D32" s="71" t="s">
        <v>169</v>
      </c>
      <c r="E32" s="71"/>
      <c r="F32" s="74" t="s">
        <v>22</v>
      </c>
      <c r="G32" s="75">
        <v>1</v>
      </c>
    </row>
    <row r="33" spans="2:7" ht="21" x14ac:dyDescent="0.25">
      <c r="B33" s="63">
        <v>3215</v>
      </c>
      <c r="C33" s="102">
        <v>1001094053215</v>
      </c>
      <c r="D33" s="67" t="s">
        <v>170</v>
      </c>
      <c r="E33" s="64"/>
      <c r="F33" s="77" t="s">
        <v>20</v>
      </c>
      <c r="G33" s="78">
        <v>0.4</v>
      </c>
    </row>
    <row r="34" spans="2:7" ht="21" x14ac:dyDescent="0.25">
      <c r="B34" s="63">
        <v>5495</v>
      </c>
      <c r="C34" s="69">
        <v>1001093345495</v>
      </c>
      <c r="D34" s="84" t="s">
        <v>94</v>
      </c>
      <c r="E34" s="71"/>
      <c r="F34" s="74" t="s">
        <v>20</v>
      </c>
      <c r="G34" s="75">
        <v>0.4</v>
      </c>
    </row>
    <row r="35" spans="2:7" ht="21" x14ac:dyDescent="0.25">
      <c r="B35" s="63">
        <v>7377</v>
      </c>
      <c r="C35" s="73">
        <v>1001095027377</v>
      </c>
      <c r="D35" s="84" t="s">
        <v>117</v>
      </c>
      <c r="E35" s="109"/>
      <c r="F35" s="74" t="s">
        <v>20</v>
      </c>
      <c r="G35" s="75">
        <v>0.3</v>
      </c>
    </row>
    <row r="36" spans="2:7" ht="21" x14ac:dyDescent="0.25">
      <c r="B36" s="68">
        <v>6925</v>
      </c>
      <c r="C36" s="69">
        <v>1001095226925</v>
      </c>
      <c r="D36" s="67" t="s">
        <v>103</v>
      </c>
      <c r="E36" s="85"/>
      <c r="F36" s="77" t="s">
        <v>20</v>
      </c>
      <c r="G36" s="78">
        <v>0.6</v>
      </c>
    </row>
    <row r="37" spans="2:7" ht="23.25" x14ac:dyDescent="0.25">
      <c r="B37" s="110"/>
      <c r="C37" s="111"/>
      <c r="D37" s="112" t="s">
        <v>119</v>
      </c>
      <c r="E37" s="113"/>
      <c r="F37" s="114"/>
      <c r="G37" s="115"/>
    </row>
    <row r="38" spans="2:7" ht="21" x14ac:dyDescent="0.25">
      <c r="B38" s="83">
        <v>6620</v>
      </c>
      <c r="C38" s="70">
        <v>1001081596620</v>
      </c>
      <c r="D38" s="71" t="s">
        <v>97</v>
      </c>
      <c r="E38" s="86"/>
      <c r="F38" s="74" t="s">
        <v>22</v>
      </c>
      <c r="G38" s="75">
        <v>1</v>
      </c>
    </row>
    <row r="39" spans="2:7" ht="21" x14ac:dyDescent="0.25">
      <c r="B39" s="63">
        <v>7187</v>
      </c>
      <c r="C39" s="66">
        <v>1001085637187</v>
      </c>
      <c r="D39" s="67" t="s">
        <v>101</v>
      </c>
      <c r="E39" s="67"/>
      <c r="F39" s="74" t="s">
        <v>20</v>
      </c>
      <c r="G39" s="75">
        <v>0.3</v>
      </c>
    </row>
    <row r="40" spans="2:7" ht="21" x14ac:dyDescent="0.25">
      <c r="B40" s="83">
        <v>7090</v>
      </c>
      <c r="C40" s="70">
        <v>1001084217090</v>
      </c>
      <c r="D40" s="71" t="s">
        <v>100</v>
      </c>
      <c r="E40" s="86"/>
      <c r="F40" s="74" t="s">
        <v>20</v>
      </c>
      <c r="G40" s="75">
        <v>0.3</v>
      </c>
    </row>
    <row r="41" spans="2:7" ht="23.25" x14ac:dyDescent="0.25">
      <c r="B41" s="81"/>
      <c r="C41" s="104"/>
      <c r="D41" s="105" t="s">
        <v>127</v>
      </c>
      <c r="E41" s="106"/>
      <c r="F41" s="107"/>
      <c r="G41" s="108"/>
    </row>
    <row r="42" spans="2:7" ht="23.25" x14ac:dyDescent="0.25">
      <c r="B42" s="63">
        <v>7103</v>
      </c>
      <c r="C42" s="102">
        <v>1001223297103</v>
      </c>
      <c r="D42" s="67" t="s">
        <v>171</v>
      </c>
      <c r="E42" s="116"/>
      <c r="F42" s="63" t="s">
        <v>20</v>
      </c>
      <c r="G42" s="75">
        <v>0.18</v>
      </c>
    </row>
    <row r="43" spans="2:7" ht="21" x14ac:dyDescent="0.25">
      <c r="B43" s="83">
        <v>6279</v>
      </c>
      <c r="C43" s="70">
        <v>1001220286279</v>
      </c>
      <c r="D43" s="71" t="s">
        <v>98</v>
      </c>
      <c r="E43" s="86"/>
      <c r="F43" s="74" t="s">
        <v>20</v>
      </c>
      <c r="G43" s="75">
        <v>0.15</v>
      </c>
    </row>
    <row r="44" spans="2:7" ht="21" x14ac:dyDescent="0.25">
      <c r="B44" s="63">
        <v>7092</v>
      </c>
      <c r="C44" s="69">
        <v>1001223297092</v>
      </c>
      <c r="D44" s="67" t="s">
        <v>78</v>
      </c>
      <c r="E44" s="67"/>
      <c r="F44" s="77" t="s">
        <v>20</v>
      </c>
      <c r="G44" s="78">
        <v>0.14000000000000001</v>
      </c>
    </row>
    <row r="45" spans="2:7" ht="21" x14ac:dyDescent="0.25">
      <c r="B45" s="83">
        <v>6448</v>
      </c>
      <c r="C45" s="70">
        <v>1001234146448</v>
      </c>
      <c r="D45" s="71" t="s">
        <v>128</v>
      </c>
      <c r="E45" s="86"/>
      <c r="F45" s="74" t="s">
        <v>20</v>
      </c>
      <c r="G45" s="75">
        <v>0.1</v>
      </c>
    </row>
    <row r="46" spans="2:7" ht="21" x14ac:dyDescent="0.25">
      <c r="B46" s="63">
        <v>6754</v>
      </c>
      <c r="C46" s="102">
        <v>1001225406754</v>
      </c>
      <c r="D46" s="67" t="s">
        <v>172</v>
      </c>
      <c r="E46" s="64"/>
      <c r="F46" s="77" t="s">
        <v>20</v>
      </c>
      <c r="G46" s="78">
        <v>0.09</v>
      </c>
    </row>
    <row r="47" spans="2:7" ht="23.25" x14ac:dyDescent="0.25">
      <c r="B47" s="63">
        <v>6208</v>
      </c>
      <c r="C47" s="102">
        <v>1001220226208</v>
      </c>
      <c r="D47" s="67" t="s">
        <v>99</v>
      </c>
      <c r="E47" s="116"/>
      <c r="F47" s="63" t="s">
        <v>20</v>
      </c>
      <c r="G47" s="75">
        <v>0.15</v>
      </c>
    </row>
    <row r="48" spans="2:7" ht="23.25" x14ac:dyDescent="0.25">
      <c r="B48" s="63">
        <v>6228</v>
      </c>
      <c r="C48" s="102">
        <v>1001225416228</v>
      </c>
      <c r="D48" s="67" t="s">
        <v>89</v>
      </c>
      <c r="E48" s="116"/>
      <c r="F48" s="63" t="s">
        <v>20</v>
      </c>
      <c r="G48" s="75">
        <v>0.09</v>
      </c>
    </row>
    <row r="49" spans="2:7" ht="21" x14ac:dyDescent="0.25">
      <c r="B49" s="68">
        <v>7288</v>
      </c>
      <c r="C49" s="69">
        <v>1001223907288</v>
      </c>
      <c r="D49" s="67" t="s">
        <v>129</v>
      </c>
      <c r="E49" s="109"/>
      <c r="F49" s="77" t="s">
        <v>20</v>
      </c>
      <c r="G49" s="78">
        <v>0.1</v>
      </c>
    </row>
    <row r="50" spans="2:7" ht="23.25" x14ac:dyDescent="0.25">
      <c r="B50" s="81"/>
      <c r="C50" s="104"/>
      <c r="D50" s="105" t="s">
        <v>120</v>
      </c>
      <c r="E50" s="106"/>
      <c r="F50" s="107"/>
      <c r="G50" s="108"/>
    </row>
    <row r="51" spans="2:7" ht="21" x14ac:dyDescent="0.25">
      <c r="B51" s="63">
        <v>7564</v>
      </c>
      <c r="C51" s="69">
        <v>1001303637564</v>
      </c>
      <c r="D51" s="65" t="s">
        <v>121</v>
      </c>
      <c r="E51" s="65" t="s">
        <v>115</v>
      </c>
      <c r="F51" s="77" t="s">
        <v>22</v>
      </c>
      <c r="G51" s="78">
        <v>1</v>
      </c>
    </row>
    <row r="52" spans="2:7" ht="21" x14ac:dyDescent="0.25">
      <c r="B52" s="63">
        <v>7133</v>
      </c>
      <c r="C52" s="69">
        <v>1001300367133</v>
      </c>
      <c r="D52" s="67" t="s">
        <v>73</v>
      </c>
      <c r="E52" s="71"/>
      <c r="F52" s="74" t="s">
        <v>22</v>
      </c>
      <c r="G52" s="75">
        <v>1</v>
      </c>
    </row>
    <row r="53" spans="2:7" ht="21" x14ac:dyDescent="0.25">
      <c r="B53" s="83">
        <v>6946</v>
      </c>
      <c r="C53" s="70">
        <v>1001300456946</v>
      </c>
      <c r="D53" s="71" t="s">
        <v>173</v>
      </c>
      <c r="E53" s="71"/>
      <c r="F53" s="74" t="s">
        <v>22</v>
      </c>
      <c r="G53" s="75">
        <v>1</v>
      </c>
    </row>
    <row r="54" spans="2:7" ht="21" x14ac:dyDescent="0.25">
      <c r="B54" s="83">
        <v>7132</v>
      </c>
      <c r="C54" s="70">
        <v>1001300517132</v>
      </c>
      <c r="D54" s="71" t="s">
        <v>174</v>
      </c>
      <c r="E54" s="71"/>
      <c r="F54" s="74" t="s">
        <v>22</v>
      </c>
      <c r="G54" s="75">
        <v>1</v>
      </c>
    </row>
    <row r="55" spans="2:7" ht="21" x14ac:dyDescent="0.25">
      <c r="B55" s="83">
        <v>5544</v>
      </c>
      <c r="C55" s="70">
        <v>1001051875544</v>
      </c>
      <c r="D55" s="71" t="s">
        <v>72</v>
      </c>
      <c r="E55" s="71"/>
      <c r="F55" s="74" t="s">
        <v>22</v>
      </c>
      <c r="G55" s="75">
        <v>1</v>
      </c>
    </row>
    <row r="56" spans="2:7" ht="21" x14ac:dyDescent="0.25">
      <c r="B56" s="63">
        <v>7149</v>
      </c>
      <c r="C56" s="66">
        <v>1001303637149</v>
      </c>
      <c r="D56" s="67" t="s">
        <v>19</v>
      </c>
      <c r="E56" s="71"/>
      <c r="F56" s="74" t="s">
        <v>20</v>
      </c>
      <c r="G56" s="75">
        <v>0.84</v>
      </c>
    </row>
    <row r="57" spans="2:7" ht="21" x14ac:dyDescent="0.25">
      <c r="B57" s="63">
        <v>7157</v>
      </c>
      <c r="C57" s="69">
        <v>1001300387157</v>
      </c>
      <c r="D57" s="67" t="s">
        <v>74</v>
      </c>
      <c r="E57" s="71"/>
      <c r="F57" s="74" t="s">
        <v>22</v>
      </c>
      <c r="G57" s="75">
        <v>1</v>
      </c>
    </row>
    <row r="58" spans="2:7" ht="21" x14ac:dyDescent="0.25">
      <c r="B58" s="83">
        <v>7166</v>
      </c>
      <c r="C58" s="70">
        <v>1001303987166</v>
      </c>
      <c r="D58" s="71" t="s">
        <v>71</v>
      </c>
      <c r="E58" s="71"/>
      <c r="F58" s="74" t="s">
        <v>22</v>
      </c>
      <c r="G58" s="75">
        <v>1</v>
      </c>
    </row>
    <row r="59" spans="2:7" ht="21" x14ac:dyDescent="0.25">
      <c r="B59" s="63">
        <v>7603</v>
      </c>
      <c r="C59" s="69">
        <v>1001303637603</v>
      </c>
      <c r="D59" s="65" t="s">
        <v>122</v>
      </c>
      <c r="E59" s="65" t="s">
        <v>115</v>
      </c>
      <c r="F59" s="77" t="s">
        <v>20</v>
      </c>
      <c r="G59" s="78">
        <v>0.33</v>
      </c>
    </row>
    <row r="60" spans="2:7" ht="21" x14ac:dyDescent="0.25">
      <c r="B60" s="83">
        <v>6807</v>
      </c>
      <c r="C60" s="70">
        <v>1001300366807</v>
      </c>
      <c r="D60" s="71" t="s">
        <v>75</v>
      </c>
      <c r="E60" s="71"/>
      <c r="F60" s="74" t="s">
        <v>20</v>
      </c>
      <c r="G60" s="75">
        <v>0.33</v>
      </c>
    </row>
    <row r="61" spans="2:7" ht="21" x14ac:dyDescent="0.25">
      <c r="B61" s="83">
        <v>6787</v>
      </c>
      <c r="C61" s="70">
        <v>1001300456787</v>
      </c>
      <c r="D61" s="71" t="s">
        <v>65</v>
      </c>
      <c r="E61" s="71"/>
      <c r="F61" s="74" t="s">
        <v>20</v>
      </c>
      <c r="G61" s="75">
        <v>0.33</v>
      </c>
    </row>
    <row r="62" spans="2:7" ht="21" x14ac:dyDescent="0.25">
      <c r="B62" s="83">
        <v>6697</v>
      </c>
      <c r="C62" s="70">
        <v>1001301876697</v>
      </c>
      <c r="D62" s="71" t="s">
        <v>66</v>
      </c>
      <c r="E62" s="71"/>
      <c r="F62" s="74" t="s">
        <v>20</v>
      </c>
      <c r="G62" s="75">
        <v>0.35</v>
      </c>
    </row>
    <row r="63" spans="2:7" ht="21" x14ac:dyDescent="0.25">
      <c r="B63" s="83">
        <v>7169</v>
      </c>
      <c r="C63" s="70">
        <v>1001303987169</v>
      </c>
      <c r="D63" s="71" t="s">
        <v>70</v>
      </c>
      <c r="E63" s="71"/>
      <c r="F63" s="74" t="s">
        <v>20</v>
      </c>
      <c r="G63" s="75">
        <v>0.35</v>
      </c>
    </row>
    <row r="64" spans="2:7" ht="21" x14ac:dyDescent="0.25">
      <c r="B64" s="63">
        <v>7233</v>
      </c>
      <c r="C64" s="66">
        <v>1001303637233</v>
      </c>
      <c r="D64" s="67" t="s">
        <v>175</v>
      </c>
      <c r="E64" s="67"/>
      <c r="F64" s="74" t="s">
        <v>20</v>
      </c>
      <c r="G64" s="75">
        <v>0.31</v>
      </c>
    </row>
    <row r="65" spans="2:7" ht="21" x14ac:dyDescent="0.25">
      <c r="B65" s="83">
        <v>7236</v>
      </c>
      <c r="C65" s="70">
        <v>1001304507236</v>
      </c>
      <c r="D65" s="71" t="s">
        <v>68</v>
      </c>
      <c r="E65" s="71"/>
      <c r="F65" s="74" t="s">
        <v>20</v>
      </c>
      <c r="G65" s="75">
        <v>0.28000000000000003</v>
      </c>
    </row>
    <row r="66" spans="2:7" ht="21" x14ac:dyDescent="0.25">
      <c r="B66" s="63">
        <v>7177</v>
      </c>
      <c r="C66" s="66">
        <v>1001302347177</v>
      </c>
      <c r="D66" s="67" t="s">
        <v>124</v>
      </c>
      <c r="E66" s="67"/>
      <c r="F66" s="74" t="s">
        <v>20</v>
      </c>
      <c r="G66" s="75">
        <v>0.35</v>
      </c>
    </row>
    <row r="67" spans="2:7" ht="21" x14ac:dyDescent="0.25">
      <c r="B67" s="83">
        <v>7232</v>
      </c>
      <c r="C67" s="70">
        <v>1001302277232</v>
      </c>
      <c r="D67" s="71" t="s">
        <v>61</v>
      </c>
      <c r="E67" s="71"/>
      <c r="F67" s="74" t="s">
        <v>20</v>
      </c>
      <c r="G67" s="75">
        <v>0.28000000000000003</v>
      </c>
    </row>
    <row r="68" spans="2:7" ht="21" x14ac:dyDescent="0.25">
      <c r="B68" s="63">
        <v>7154</v>
      </c>
      <c r="C68" s="66">
        <v>1001300387154</v>
      </c>
      <c r="D68" s="67" t="s">
        <v>64</v>
      </c>
      <c r="E68" s="67"/>
      <c r="F68" s="74" t="s">
        <v>20</v>
      </c>
      <c r="G68" s="75">
        <v>0.35</v>
      </c>
    </row>
    <row r="69" spans="2:7" ht="21" x14ac:dyDescent="0.25">
      <c r="B69" s="63">
        <v>7238</v>
      </c>
      <c r="C69" s="69">
        <v>1001305197238</v>
      </c>
      <c r="D69" s="67" t="s">
        <v>123</v>
      </c>
      <c r="E69" s="71"/>
      <c r="F69" s="74" t="s">
        <v>20</v>
      </c>
      <c r="G69" s="75">
        <v>0.31</v>
      </c>
    </row>
    <row r="70" spans="2:7" ht="21" x14ac:dyDescent="0.25">
      <c r="B70" s="63">
        <v>7237</v>
      </c>
      <c r="C70" s="69">
        <v>1001304497237</v>
      </c>
      <c r="D70" s="67" t="s">
        <v>67</v>
      </c>
      <c r="E70" s="71"/>
      <c r="F70" s="74" t="s">
        <v>20</v>
      </c>
      <c r="G70" s="75">
        <v>0.28000000000000003</v>
      </c>
    </row>
    <row r="71" spans="2:7" ht="21" x14ac:dyDescent="0.25">
      <c r="B71" s="83">
        <v>7241</v>
      </c>
      <c r="C71" s="70">
        <v>1001303107241</v>
      </c>
      <c r="D71" s="71" t="s">
        <v>63</v>
      </c>
      <c r="E71" s="71"/>
      <c r="F71" s="74" t="s">
        <v>20</v>
      </c>
      <c r="G71" s="75">
        <v>0.28000000000000003</v>
      </c>
    </row>
    <row r="72" spans="2:7" ht="21" x14ac:dyDescent="0.25">
      <c r="B72" s="83">
        <v>7332</v>
      </c>
      <c r="C72" s="70">
        <v>1001301777332</v>
      </c>
      <c r="D72" s="71" t="s">
        <v>62</v>
      </c>
      <c r="E72" s="71"/>
      <c r="F72" s="74" t="s">
        <v>20</v>
      </c>
      <c r="G72" s="75">
        <v>0.28000000000000003</v>
      </c>
    </row>
    <row r="73" spans="2:7" ht="21" x14ac:dyDescent="0.25">
      <c r="B73" s="83">
        <v>7333</v>
      </c>
      <c r="C73" s="70">
        <v>1001303987333</v>
      </c>
      <c r="D73" s="71" t="s">
        <v>69</v>
      </c>
      <c r="E73" s="71"/>
      <c r="F73" s="74" t="s">
        <v>20</v>
      </c>
      <c r="G73" s="75">
        <v>0.28000000000000003</v>
      </c>
    </row>
    <row r="74" spans="2:7" ht="23.25" x14ac:dyDescent="0.25">
      <c r="B74" s="87"/>
      <c r="C74" s="79"/>
      <c r="D74" s="80" t="s">
        <v>125</v>
      </c>
      <c r="E74" s="80"/>
      <c r="F74" s="81"/>
      <c r="G74" s="82"/>
    </row>
    <row r="75" spans="2:7" ht="21" x14ac:dyDescent="0.25">
      <c r="B75" s="63">
        <v>6459</v>
      </c>
      <c r="C75" s="69">
        <v>1001214196459</v>
      </c>
      <c r="D75" s="67" t="s">
        <v>60</v>
      </c>
      <c r="E75" s="64"/>
      <c r="F75" s="77" t="s">
        <v>20</v>
      </c>
      <c r="G75" s="78">
        <v>0.1</v>
      </c>
    </row>
    <row r="76" spans="2:7" ht="21" x14ac:dyDescent="0.25">
      <c r="B76" s="63">
        <v>7474</v>
      </c>
      <c r="C76" s="73">
        <v>1001216717474</v>
      </c>
      <c r="D76" s="67" t="s">
        <v>126</v>
      </c>
      <c r="E76" s="88"/>
      <c r="F76" s="77" t="s">
        <v>20</v>
      </c>
      <c r="G76" s="78">
        <v>0.1</v>
      </c>
    </row>
    <row r="77" spans="2:7" ht="23.25" x14ac:dyDescent="0.25">
      <c r="B77" s="81"/>
      <c r="C77" s="104"/>
      <c r="D77" s="105" t="s">
        <v>130</v>
      </c>
      <c r="E77" s="106"/>
      <c r="F77" s="107"/>
      <c r="G77" s="108"/>
    </row>
    <row r="78" spans="2:7" ht="21" x14ac:dyDescent="0.25">
      <c r="B78" s="63">
        <v>5679</v>
      </c>
      <c r="C78" s="69">
        <v>1001190765679</v>
      </c>
      <c r="D78" s="67" t="s">
        <v>136</v>
      </c>
      <c r="E78" s="67"/>
      <c r="F78" s="77" t="s">
        <v>20</v>
      </c>
      <c r="G78" s="78">
        <v>0.15</v>
      </c>
    </row>
    <row r="79" spans="2:7" ht="21" x14ac:dyDescent="0.25">
      <c r="B79" s="63">
        <v>7382</v>
      </c>
      <c r="C79" s="69">
        <v>1001203117382</v>
      </c>
      <c r="D79" s="67" t="s">
        <v>84</v>
      </c>
      <c r="E79" s="67"/>
      <c r="F79" s="74" t="s">
        <v>20</v>
      </c>
      <c r="G79" s="75">
        <v>0.12</v>
      </c>
    </row>
    <row r="80" spans="2:7" ht="21" x14ac:dyDescent="0.25">
      <c r="B80" s="83">
        <v>6454</v>
      </c>
      <c r="C80" s="70">
        <v>1001201976454</v>
      </c>
      <c r="D80" s="71" t="s">
        <v>131</v>
      </c>
      <c r="E80" s="86"/>
      <c r="F80" s="74" t="s">
        <v>20</v>
      </c>
      <c r="G80" s="75">
        <v>0.1</v>
      </c>
    </row>
    <row r="81" spans="2:7" ht="21" x14ac:dyDescent="0.25">
      <c r="B81" s="83">
        <v>6453</v>
      </c>
      <c r="C81" s="70">
        <v>1001202506453</v>
      </c>
      <c r="D81" s="71" t="s">
        <v>176</v>
      </c>
      <c r="E81" s="86"/>
      <c r="F81" s="74" t="s">
        <v>20</v>
      </c>
      <c r="G81" s="75">
        <v>0.1</v>
      </c>
    </row>
    <row r="82" spans="2:7" ht="21" x14ac:dyDescent="0.25">
      <c r="B82" s="63">
        <v>6221</v>
      </c>
      <c r="C82" s="66">
        <v>1001205376221</v>
      </c>
      <c r="D82" s="67" t="s">
        <v>86</v>
      </c>
      <c r="E82" s="64"/>
      <c r="F82" s="74" t="s">
        <v>20</v>
      </c>
      <c r="G82" s="75">
        <v>0.09</v>
      </c>
    </row>
    <row r="83" spans="2:7" ht="21" x14ac:dyDescent="0.25">
      <c r="B83" s="63">
        <v>6222</v>
      </c>
      <c r="C83" s="66">
        <v>1001205386222</v>
      </c>
      <c r="D83" s="67" t="s">
        <v>133</v>
      </c>
      <c r="E83" s="64"/>
      <c r="F83" s="74" t="s">
        <v>20</v>
      </c>
      <c r="G83" s="75">
        <v>0.09</v>
      </c>
    </row>
    <row r="84" spans="2:7" ht="21" x14ac:dyDescent="0.25">
      <c r="B84" s="63">
        <v>6834</v>
      </c>
      <c r="C84" s="69">
        <v>1001203146834</v>
      </c>
      <c r="D84" s="67" t="s">
        <v>132</v>
      </c>
      <c r="E84" s="67"/>
      <c r="F84" s="77" t="s">
        <v>20</v>
      </c>
      <c r="G84" s="78">
        <v>0.1</v>
      </c>
    </row>
    <row r="85" spans="2:7" ht="21" x14ac:dyDescent="0.25">
      <c r="B85" s="83">
        <v>6965</v>
      </c>
      <c r="C85" s="70">
        <v>1001206356965</v>
      </c>
      <c r="D85" s="71" t="s">
        <v>134</v>
      </c>
      <c r="E85" s="86"/>
      <c r="F85" s="74" t="s">
        <v>20</v>
      </c>
      <c r="G85" s="75">
        <v>7.0000000000000007E-2</v>
      </c>
    </row>
    <row r="86" spans="2:7" ht="21" x14ac:dyDescent="0.25">
      <c r="B86" s="63">
        <v>6557</v>
      </c>
      <c r="C86" s="69">
        <v>1001200756557</v>
      </c>
      <c r="D86" s="67" t="s">
        <v>135</v>
      </c>
      <c r="E86" s="64"/>
      <c r="F86" s="77" t="s">
        <v>20</v>
      </c>
      <c r="G86" s="78">
        <v>0.1</v>
      </c>
    </row>
    <row r="87" spans="2:7" ht="21" x14ac:dyDescent="0.25">
      <c r="B87" s="63">
        <v>5677</v>
      </c>
      <c r="C87" s="69">
        <v>1001190715677</v>
      </c>
      <c r="D87" s="67" t="s">
        <v>137</v>
      </c>
      <c r="E87" s="109"/>
      <c r="F87" s="77" t="s">
        <v>20</v>
      </c>
      <c r="G87" s="78">
        <v>0.1</v>
      </c>
    </row>
    <row r="88" spans="2:7" ht="21" x14ac:dyDescent="0.25">
      <c r="B88" s="63">
        <v>7414</v>
      </c>
      <c r="C88" s="69">
        <v>1001204447414</v>
      </c>
      <c r="D88" s="67" t="s">
        <v>138</v>
      </c>
      <c r="E88" s="109"/>
      <c r="F88" s="77" t="s">
        <v>22</v>
      </c>
      <c r="G88" s="78">
        <v>1</v>
      </c>
    </row>
    <row r="89" spans="2:7" ht="23.25" x14ac:dyDescent="0.25">
      <c r="B89" s="81"/>
      <c r="C89" s="104"/>
      <c r="D89" s="105" t="s">
        <v>76</v>
      </c>
      <c r="E89" s="106"/>
      <c r="F89" s="107"/>
      <c r="G89" s="108"/>
    </row>
    <row r="90" spans="2:7" ht="21" x14ac:dyDescent="0.25">
      <c r="B90" s="63">
        <v>614</v>
      </c>
      <c r="C90" s="69">
        <v>1001060720614</v>
      </c>
      <c r="D90" s="67" t="s">
        <v>140</v>
      </c>
      <c r="E90" s="64"/>
      <c r="F90" s="77" t="s">
        <v>22</v>
      </c>
      <c r="G90" s="78">
        <v>1</v>
      </c>
    </row>
    <row r="91" spans="2:7" ht="21" x14ac:dyDescent="0.25">
      <c r="B91" s="63">
        <v>3287</v>
      </c>
      <c r="C91" s="69">
        <v>1001060763287</v>
      </c>
      <c r="D91" s="67" t="s">
        <v>90</v>
      </c>
      <c r="E91" s="64"/>
      <c r="F91" s="77" t="s">
        <v>22</v>
      </c>
      <c r="G91" s="78">
        <v>1</v>
      </c>
    </row>
    <row r="92" spans="2:7" ht="21" x14ac:dyDescent="0.25">
      <c r="B92" s="83">
        <v>5708</v>
      </c>
      <c r="C92" s="70">
        <v>1001063145708</v>
      </c>
      <c r="D92" s="71" t="s">
        <v>80</v>
      </c>
      <c r="E92" s="86"/>
      <c r="F92" s="74" t="s">
        <v>22</v>
      </c>
      <c r="G92" s="75">
        <v>1</v>
      </c>
    </row>
    <row r="93" spans="2:7" ht="21" x14ac:dyDescent="0.25">
      <c r="B93" s="83">
        <v>4117</v>
      </c>
      <c r="C93" s="70">
        <v>1001062504117</v>
      </c>
      <c r="D93" s="71" t="s">
        <v>87</v>
      </c>
      <c r="E93" s="86"/>
      <c r="F93" s="74" t="s">
        <v>22</v>
      </c>
      <c r="G93" s="75">
        <v>1</v>
      </c>
    </row>
    <row r="94" spans="2:7" ht="21" x14ac:dyDescent="0.25">
      <c r="B94" s="63">
        <v>7316</v>
      </c>
      <c r="C94" s="69">
        <v>1001060727316</v>
      </c>
      <c r="D94" s="67" t="s">
        <v>148</v>
      </c>
      <c r="E94" s="67"/>
      <c r="F94" s="77" t="s">
        <v>20</v>
      </c>
      <c r="G94" s="78">
        <v>0.54</v>
      </c>
    </row>
    <row r="95" spans="2:7" ht="21" x14ac:dyDescent="0.25">
      <c r="B95" s="63">
        <v>7317</v>
      </c>
      <c r="C95" s="69">
        <v>1001066567317</v>
      </c>
      <c r="D95" s="67" t="s">
        <v>146</v>
      </c>
      <c r="E95" s="67"/>
      <c r="F95" s="77" t="s">
        <v>20</v>
      </c>
      <c r="G95" s="78">
        <v>0.54</v>
      </c>
    </row>
    <row r="96" spans="2:7" ht="21" x14ac:dyDescent="0.25">
      <c r="B96" s="63">
        <v>7143</v>
      </c>
      <c r="C96" s="69">
        <v>1001060717143</v>
      </c>
      <c r="D96" s="67" t="s">
        <v>142</v>
      </c>
      <c r="E96" s="67"/>
      <c r="F96" s="77" t="s">
        <v>20</v>
      </c>
      <c r="G96" s="78">
        <v>0.22</v>
      </c>
    </row>
    <row r="97" spans="2:7" ht="21" x14ac:dyDescent="0.25">
      <c r="B97" s="63">
        <v>7147</v>
      </c>
      <c r="C97" s="69">
        <v>1001063237147</v>
      </c>
      <c r="D97" s="67" t="s">
        <v>85</v>
      </c>
      <c r="E97" s="67"/>
      <c r="F97" s="77" t="s">
        <v>20</v>
      </c>
      <c r="G97" s="78">
        <v>0.22</v>
      </c>
    </row>
    <row r="98" spans="2:7" ht="21" x14ac:dyDescent="0.25">
      <c r="B98" s="63">
        <v>7456</v>
      </c>
      <c r="C98" s="69">
        <v>1001063097456</v>
      </c>
      <c r="D98" s="67" t="s">
        <v>143</v>
      </c>
      <c r="E98" s="67"/>
      <c r="F98" s="77" t="s">
        <v>20</v>
      </c>
      <c r="G98" s="78">
        <v>0.15</v>
      </c>
    </row>
    <row r="99" spans="2:7" ht="21" x14ac:dyDescent="0.25">
      <c r="B99" s="63">
        <v>7318</v>
      </c>
      <c r="C99" s="69">
        <v>1001060727318</v>
      </c>
      <c r="D99" s="67" t="s">
        <v>147</v>
      </c>
      <c r="E99" s="67"/>
      <c r="F99" s="77" t="s">
        <v>20</v>
      </c>
      <c r="G99" s="78">
        <v>0.27</v>
      </c>
    </row>
    <row r="100" spans="2:7" ht="21" x14ac:dyDescent="0.25">
      <c r="B100" s="83">
        <v>3986</v>
      </c>
      <c r="C100" s="70">
        <v>1001061973986</v>
      </c>
      <c r="D100" s="71" t="s">
        <v>79</v>
      </c>
      <c r="E100" s="71"/>
      <c r="F100" s="74" t="s">
        <v>20</v>
      </c>
      <c r="G100" s="75">
        <v>0.25</v>
      </c>
    </row>
    <row r="101" spans="2:7" ht="21" x14ac:dyDescent="0.25">
      <c r="B101" s="63">
        <v>7364</v>
      </c>
      <c r="C101" s="69">
        <v>1001063217364</v>
      </c>
      <c r="D101" s="67" t="s">
        <v>144</v>
      </c>
      <c r="E101" s="67"/>
      <c r="F101" s="77" t="s">
        <v>20</v>
      </c>
      <c r="G101" s="78">
        <v>0.22</v>
      </c>
    </row>
    <row r="102" spans="2:7" ht="21" x14ac:dyDescent="0.25">
      <c r="B102" s="68">
        <v>7383</v>
      </c>
      <c r="C102" s="69">
        <v>1001065467383</v>
      </c>
      <c r="D102" s="67" t="s">
        <v>145</v>
      </c>
      <c r="E102" s="67"/>
      <c r="F102" s="77" t="s">
        <v>20</v>
      </c>
      <c r="G102" s="78">
        <v>0.22</v>
      </c>
    </row>
    <row r="103" spans="2:7" ht="21" x14ac:dyDescent="0.25">
      <c r="B103" s="117">
        <v>6967</v>
      </c>
      <c r="C103" s="66">
        <v>1001063656967</v>
      </c>
      <c r="D103" s="71" t="s">
        <v>83</v>
      </c>
      <c r="E103" s="71"/>
      <c r="F103" s="74" t="s">
        <v>20</v>
      </c>
      <c r="G103" s="75">
        <v>0.25</v>
      </c>
    </row>
    <row r="104" spans="2:7" ht="21" x14ac:dyDescent="0.25">
      <c r="B104" s="63">
        <v>4993</v>
      </c>
      <c r="C104" s="69">
        <v>1001060764993</v>
      </c>
      <c r="D104" s="67" t="s">
        <v>139</v>
      </c>
      <c r="E104" s="67"/>
      <c r="F104" s="77" t="s">
        <v>20</v>
      </c>
      <c r="G104" s="78">
        <v>0.25</v>
      </c>
    </row>
    <row r="105" spans="2:7" ht="21" x14ac:dyDescent="0.25">
      <c r="B105" s="63">
        <v>6937</v>
      </c>
      <c r="C105" s="69">
        <v>1001063106937</v>
      </c>
      <c r="D105" s="67" t="s">
        <v>141</v>
      </c>
      <c r="E105" s="67"/>
      <c r="F105" s="77" t="s">
        <v>20</v>
      </c>
      <c r="G105" s="78">
        <v>0.25</v>
      </c>
    </row>
    <row r="106" spans="2:7" ht="21" x14ac:dyDescent="0.25">
      <c r="B106" s="63">
        <v>5483</v>
      </c>
      <c r="C106" s="69">
        <v>1001062505483</v>
      </c>
      <c r="D106" s="67" t="s">
        <v>88</v>
      </c>
      <c r="E106" s="67"/>
      <c r="F106" s="77" t="s">
        <v>20</v>
      </c>
      <c r="G106" s="78">
        <v>0.25</v>
      </c>
    </row>
    <row r="107" spans="2:7" ht="21" x14ac:dyDescent="0.25">
      <c r="B107" s="63">
        <v>5931</v>
      </c>
      <c r="C107" s="69">
        <v>1001060755931</v>
      </c>
      <c r="D107" s="67" t="s">
        <v>77</v>
      </c>
      <c r="E107" s="67"/>
      <c r="F107" s="77" t="s">
        <v>20</v>
      </c>
      <c r="G107" s="78">
        <v>0.22</v>
      </c>
    </row>
    <row r="108" spans="2:7" ht="21" x14ac:dyDescent="0.25">
      <c r="B108" s="63">
        <v>7417</v>
      </c>
      <c r="C108" s="69">
        <v>1001307147417</v>
      </c>
      <c r="D108" s="67" t="s">
        <v>149</v>
      </c>
      <c r="E108" s="67"/>
      <c r="F108" s="78" t="s">
        <v>20</v>
      </c>
      <c r="G108" s="78">
        <v>0.44</v>
      </c>
    </row>
    <row r="109" spans="2:7" ht="21" x14ac:dyDescent="0.25">
      <c r="B109" s="63">
        <v>6832</v>
      </c>
      <c r="C109" s="69">
        <v>1001065616832</v>
      </c>
      <c r="D109" s="67" t="s">
        <v>81</v>
      </c>
      <c r="E109" s="67"/>
      <c r="F109" s="77" t="s">
        <v>22</v>
      </c>
      <c r="G109" s="78">
        <v>1</v>
      </c>
    </row>
    <row r="110" spans="2:7" ht="21" x14ac:dyDescent="0.25">
      <c r="B110" s="63">
        <v>7299</v>
      </c>
      <c r="C110" s="69">
        <v>1001060677299</v>
      </c>
      <c r="D110" s="67" t="s">
        <v>82</v>
      </c>
      <c r="E110" s="67"/>
      <c r="F110" s="77" t="s">
        <v>22</v>
      </c>
      <c r="G110" s="78">
        <v>1</v>
      </c>
    </row>
    <row r="111" spans="2:7" ht="21" x14ac:dyDescent="0.25">
      <c r="B111" s="63">
        <v>7386</v>
      </c>
      <c r="C111" s="69">
        <v>1001067017386</v>
      </c>
      <c r="D111" s="67" t="s">
        <v>150</v>
      </c>
      <c r="E111" s="88"/>
      <c r="F111" s="77" t="s">
        <v>20</v>
      </c>
      <c r="G111" s="78">
        <v>0.15</v>
      </c>
    </row>
    <row r="112" spans="2:7" ht="23.25" x14ac:dyDescent="0.25">
      <c r="B112" s="110"/>
      <c r="C112" s="111"/>
      <c r="D112" s="112" t="s">
        <v>177</v>
      </c>
      <c r="E112" s="113"/>
      <c r="F112" s="114"/>
      <c r="G112" s="115"/>
    </row>
    <row r="113" spans="2:7" ht="21" x14ac:dyDescent="0.25">
      <c r="B113" s="117">
        <v>6527</v>
      </c>
      <c r="C113" s="66">
        <v>1001031076527</v>
      </c>
      <c r="D113" s="71" t="s">
        <v>152</v>
      </c>
      <c r="E113" s="86"/>
      <c r="F113" s="74" t="s">
        <v>22</v>
      </c>
      <c r="G113" s="75">
        <v>1</v>
      </c>
    </row>
    <row r="114" spans="2:7" ht="21" x14ac:dyDescent="0.25">
      <c r="B114" s="83">
        <v>6550</v>
      </c>
      <c r="C114" s="70">
        <v>1001032736550</v>
      </c>
      <c r="D114" s="71" t="s">
        <v>151</v>
      </c>
      <c r="E114" s="86"/>
      <c r="F114" s="74" t="s">
        <v>22</v>
      </c>
      <c r="G114" s="75">
        <v>1</v>
      </c>
    </row>
    <row r="115" spans="2:7" ht="21" x14ac:dyDescent="0.25">
      <c r="B115" s="83">
        <v>6549</v>
      </c>
      <c r="C115" s="70">
        <v>1001032736549</v>
      </c>
      <c r="D115" s="71" t="s">
        <v>178</v>
      </c>
      <c r="E115" s="88"/>
      <c r="F115" s="74" t="s">
        <v>22</v>
      </c>
      <c r="G115" s="75">
        <v>1</v>
      </c>
    </row>
    <row r="116" spans="2:7" ht="21" x14ac:dyDescent="0.25">
      <c r="B116" s="117">
        <v>7001</v>
      </c>
      <c r="C116" s="66">
        <v>1001035937001</v>
      </c>
      <c r="D116" s="71" t="s">
        <v>57</v>
      </c>
      <c r="E116" s="71"/>
      <c r="F116" s="74" t="s">
        <v>22</v>
      </c>
      <c r="G116" s="75">
        <v>1</v>
      </c>
    </row>
    <row r="117" spans="2:7" ht="21" x14ac:dyDescent="0.25">
      <c r="B117" s="83">
        <v>6608</v>
      </c>
      <c r="C117" s="70">
        <v>1001033856608</v>
      </c>
      <c r="D117" s="71" t="s">
        <v>58</v>
      </c>
      <c r="E117" s="71"/>
      <c r="F117" s="74" t="s">
        <v>22</v>
      </c>
      <c r="G117" s="75">
        <v>1</v>
      </c>
    </row>
    <row r="118" spans="2:7" ht="21" x14ac:dyDescent="0.25">
      <c r="B118" s="63">
        <v>7059</v>
      </c>
      <c r="C118" s="90">
        <v>1001035277059</v>
      </c>
      <c r="D118" s="67" t="s">
        <v>154</v>
      </c>
      <c r="E118" s="88"/>
      <c r="F118" s="77" t="s">
        <v>20</v>
      </c>
      <c r="G118" s="78">
        <v>0.3</v>
      </c>
    </row>
    <row r="119" spans="2:7" ht="21" x14ac:dyDescent="0.25">
      <c r="B119" s="63">
        <v>6609</v>
      </c>
      <c r="C119" s="69">
        <v>1001033856609</v>
      </c>
      <c r="D119" s="67" t="s">
        <v>153</v>
      </c>
      <c r="E119" s="67"/>
      <c r="F119" s="77" t="s">
        <v>20</v>
      </c>
      <c r="G119" s="78">
        <v>0.4</v>
      </c>
    </row>
    <row r="120" spans="2:7" ht="23.25" x14ac:dyDescent="0.25">
      <c r="B120" s="81"/>
      <c r="C120" s="104"/>
      <c r="D120" s="105" t="s">
        <v>179</v>
      </c>
      <c r="E120" s="106"/>
      <c r="F120" s="107"/>
      <c r="G120" s="108"/>
    </row>
    <row r="121" spans="2:7" ht="21" x14ac:dyDescent="0.25">
      <c r="B121" s="83">
        <v>6767</v>
      </c>
      <c r="C121" s="70">
        <v>1001023696767</v>
      </c>
      <c r="D121" s="71" t="s">
        <v>43</v>
      </c>
      <c r="E121" s="86"/>
      <c r="F121" s="74" t="s">
        <v>22</v>
      </c>
      <c r="G121" s="75">
        <v>1</v>
      </c>
    </row>
    <row r="122" spans="2:7" ht="21" x14ac:dyDescent="0.25">
      <c r="B122" s="63">
        <v>6761</v>
      </c>
      <c r="C122" s="69">
        <v>1001020836761</v>
      </c>
      <c r="D122" s="67" t="s">
        <v>52</v>
      </c>
      <c r="E122" s="67"/>
      <c r="F122" s="77" t="s">
        <v>22</v>
      </c>
      <c r="G122" s="78">
        <v>1</v>
      </c>
    </row>
    <row r="123" spans="2:7" ht="21" x14ac:dyDescent="0.25">
      <c r="B123" s="63">
        <v>6764</v>
      </c>
      <c r="C123" s="69">
        <v>1001020846764</v>
      </c>
      <c r="D123" s="67" t="s">
        <v>48</v>
      </c>
      <c r="E123" s="64"/>
      <c r="F123" s="77" t="s">
        <v>22</v>
      </c>
      <c r="G123" s="78">
        <v>1</v>
      </c>
    </row>
    <row r="124" spans="2:7" ht="21" x14ac:dyDescent="0.25">
      <c r="B124" s="83">
        <v>6254</v>
      </c>
      <c r="C124" s="70">
        <v>1001022556254</v>
      </c>
      <c r="D124" s="71" t="s">
        <v>162</v>
      </c>
      <c r="E124" s="71"/>
      <c r="F124" s="74" t="s">
        <v>22</v>
      </c>
      <c r="G124" s="75">
        <v>1</v>
      </c>
    </row>
    <row r="125" spans="2:7" ht="21" x14ac:dyDescent="0.25">
      <c r="B125" s="63">
        <v>7075</v>
      </c>
      <c r="C125" s="69">
        <v>1001022657075</v>
      </c>
      <c r="D125" s="67" t="s">
        <v>49</v>
      </c>
      <c r="E125" s="67"/>
      <c r="F125" s="77" t="s">
        <v>22</v>
      </c>
      <c r="G125" s="78">
        <v>1</v>
      </c>
    </row>
    <row r="126" spans="2:7" ht="21" x14ac:dyDescent="0.25">
      <c r="B126" s="117">
        <v>7083</v>
      </c>
      <c r="C126" s="69">
        <v>1001022467083</v>
      </c>
      <c r="D126" s="67" t="s">
        <v>160</v>
      </c>
      <c r="E126" s="86"/>
      <c r="F126" s="77" t="s">
        <v>22</v>
      </c>
      <c r="G126" s="78">
        <v>1</v>
      </c>
    </row>
    <row r="127" spans="2:7" ht="21" x14ac:dyDescent="0.25">
      <c r="B127" s="83">
        <v>6829</v>
      </c>
      <c r="C127" s="70">
        <v>1001024976829</v>
      </c>
      <c r="D127" s="71" t="s">
        <v>156</v>
      </c>
      <c r="E127" s="86"/>
      <c r="F127" s="74" t="s">
        <v>22</v>
      </c>
      <c r="G127" s="75">
        <v>1</v>
      </c>
    </row>
    <row r="128" spans="2:7" ht="21" x14ac:dyDescent="0.25">
      <c r="B128" s="117">
        <v>7070</v>
      </c>
      <c r="C128" s="70">
        <v>1001022377070</v>
      </c>
      <c r="D128" s="71" t="s">
        <v>44</v>
      </c>
      <c r="E128" s="71"/>
      <c r="F128" s="74" t="s">
        <v>22</v>
      </c>
      <c r="G128" s="75">
        <v>1</v>
      </c>
    </row>
    <row r="129" spans="2:7" ht="21" x14ac:dyDescent="0.25">
      <c r="B129" s="83">
        <v>7076</v>
      </c>
      <c r="C129" s="70">
        <v>1001022657076</v>
      </c>
      <c r="D129" s="71" t="s">
        <v>180</v>
      </c>
      <c r="E129" s="86"/>
      <c r="F129" s="74" t="s">
        <v>22</v>
      </c>
      <c r="G129" s="75">
        <v>1</v>
      </c>
    </row>
    <row r="130" spans="2:7" ht="21" x14ac:dyDescent="0.25">
      <c r="B130" s="63">
        <v>7271</v>
      </c>
      <c r="C130" s="69">
        <v>1001025507271</v>
      </c>
      <c r="D130" s="67" t="s">
        <v>159</v>
      </c>
      <c r="E130" s="67"/>
      <c r="F130" s="77" t="s">
        <v>22</v>
      </c>
      <c r="G130" s="78">
        <v>1</v>
      </c>
    </row>
    <row r="131" spans="2:7" ht="21" x14ac:dyDescent="0.25">
      <c r="B131" s="83">
        <v>6303</v>
      </c>
      <c r="C131" s="70">
        <v>1001022726303</v>
      </c>
      <c r="D131" s="71" t="s">
        <v>158</v>
      </c>
      <c r="E131" s="86"/>
      <c r="F131" s="74" t="s">
        <v>22</v>
      </c>
      <c r="G131" s="75">
        <v>1</v>
      </c>
    </row>
    <row r="132" spans="2:7" ht="21" x14ac:dyDescent="0.25">
      <c r="B132" s="83">
        <v>6661</v>
      </c>
      <c r="C132" s="70">
        <v>1001022246661</v>
      </c>
      <c r="D132" s="71" t="s">
        <v>161</v>
      </c>
      <c r="E132" s="71"/>
      <c r="F132" s="74" t="s">
        <v>22</v>
      </c>
      <c r="G132" s="75">
        <v>1</v>
      </c>
    </row>
    <row r="133" spans="2:7" ht="21" x14ac:dyDescent="0.25">
      <c r="B133" s="63">
        <v>6759</v>
      </c>
      <c r="C133" s="69">
        <v>1001020836759</v>
      </c>
      <c r="D133" s="67" t="s">
        <v>41</v>
      </c>
      <c r="E133" s="64"/>
      <c r="F133" s="77" t="s">
        <v>20</v>
      </c>
      <c r="G133" s="78">
        <v>0.4</v>
      </c>
    </row>
    <row r="134" spans="2:7" ht="21" x14ac:dyDescent="0.25">
      <c r="B134" s="63">
        <v>6762</v>
      </c>
      <c r="C134" s="69">
        <v>1001020846762</v>
      </c>
      <c r="D134" s="67" t="s">
        <v>39</v>
      </c>
      <c r="E134" s="64"/>
      <c r="F134" s="77" t="s">
        <v>20</v>
      </c>
      <c r="G134" s="78">
        <v>0.41</v>
      </c>
    </row>
    <row r="135" spans="2:7" ht="21" x14ac:dyDescent="0.25">
      <c r="B135" s="83">
        <v>6765</v>
      </c>
      <c r="C135" s="70">
        <v>1001023696765</v>
      </c>
      <c r="D135" s="71" t="s">
        <v>40</v>
      </c>
      <c r="E135" s="86"/>
      <c r="F135" s="74" t="s">
        <v>20</v>
      </c>
      <c r="G135" s="75">
        <v>0.36</v>
      </c>
    </row>
    <row r="136" spans="2:7" ht="21" x14ac:dyDescent="0.25">
      <c r="B136" s="63">
        <v>7074</v>
      </c>
      <c r="C136" s="66">
        <v>1001022657074</v>
      </c>
      <c r="D136" s="67" t="s">
        <v>157</v>
      </c>
      <c r="E136" s="64"/>
      <c r="F136" s="77" t="s">
        <v>20</v>
      </c>
      <c r="G136" s="78">
        <v>0.6</v>
      </c>
    </row>
    <row r="137" spans="2:7" ht="21" x14ac:dyDescent="0.25">
      <c r="B137" s="63">
        <v>7123</v>
      </c>
      <c r="C137" s="69">
        <v>1001020867123</v>
      </c>
      <c r="D137" s="67" t="s">
        <v>181</v>
      </c>
      <c r="E137" s="71"/>
      <c r="F137" s="74" t="s">
        <v>20</v>
      </c>
      <c r="G137" s="75">
        <v>0.3</v>
      </c>
    </row>
    <row r="138" spans="2:7" ht="21" x14ac:dyDescent="0.25">
      <c r="B138" s="83">
        <v>5819</v>
      </c>
      <c r="C138" s="70">
        <v>1001022725819</v>
      </c>
      <c r="D138" s="71" t="s">
        <v>38</v>
      </c>
      <c r="E138" s="86"/>
      <c r="F138" s="74" t="s">
        <v>20</v>
      </c>
      <c r="G138" s="75">
        <v>0.4</v>
      </c>
    </row>
    <row r="139" spans="2:7" ht="21" x14ac:dyDescent="0.25">
      <c r="B139" s="63">
        <v>6475</v>
      </c>
      <c r="C139" s="66">
        <v>1001025176475</v>
      </c>
      <c r="D139" s="67" t="s">
        <v>45</v>
      </c>
      <c r="E139" s="67"/>
      <c r="F139" s="74" t="s">
        <v>20</v>
      </c>
      <c r="G139" s="75">
        <v>0.4</v>
      </c>
    </row>
    <row r="140" spans="2:7" ht="21" x14ac:dyDescent="0.25">
      <c r="B140" s="118">
        <v>7284</v>
      </c>
      <c r="C140" s="90">
        <v>1001025767284</v>
      </c>
      <c r="D140" s="109" t="s">
        <v>182</v>
      </c>
      <c r="E140" s="89"/>
      <c r="F140" s="119" t="s">
        <v>20</v>
      </c>
      <c r="G140" s="120">
        <v>0.33</v>
      </c>
    </row>
    <row r="141" spans="2:7" ht="21" x14ac:dyDescent="0.25">
      <c r="B141" s="63">
        <v>7601</v>
      </c>
      <c r="C141" s="69">
        <v>1001025767601</v>
      </c>
      <c r="D141" s="67" t="s">
        <v>183</v>
      </c>
      <c r="E141" s="88"/>
      <c r="F141" s="77" t="s">
        <v>20</v>
      </c>
      <c r="G141" s="78">
        <v>0.26</v>
      </c>
    </row>
    <row r="142" spans="2:7" ht="21" x14ac:dyDescent="0.25">
      <c r="B142" s="118">
        <v>7461</v>
      </c>
      <c r="C142" s="92">
        <v>1001025767461</v>
      </c>
      <c r="D142" s="109" t="s">
        <v>184</v>
      </c>
      <c r="E142" s="88"/>
      <c r="F142" s="121" t="s">
        <v>20</v>
      </c>
      <c r="G142" s="94">
        <v>0.33</v>
      </c>
    </row>
    <row r="143" spans="2:7" ht="21" x14ac:dyDescent="0.25">
      <c r="B143" s="68">
        <v>7371</v>
      </c>
      <c r="C143" s="73">
        <v>1001026947371</v>
      </c>
      <c r="D143" s="67" t="s">
        <v>185</v>
      </c>
      <c r="E143" s="85"/>
      <c r="F143" s="77" t="s">
        <v>20</v>
      </c>
      <c r="G143" s="78">
        <v>0.3</v>
      </c>
    </row>
    <row r="144" spans="2:7" ht="21" x14ac:dyDescent="0.25">
      <c r="B144" s="118">
        <v>6837</v>
      </c>
      <c r="C144" s="92">
        <v>1001022556837</v>
      </c>
      <c r="D144" s="109" t="s">
        <v>47</v>
      </c>
      <c r="E144" s="109"/>
      <c r="F144" s="119" t="s">
        <v>20</v>
      </c>
      <c r="G144" s="120">
        <v>0.4</v>
      </c>
    </row>
    <row r="145" spans="2:7" ht="21" x14ac:dyDescent="0.25">
      <c r="B145" s="118">
        <v>7080</v>
      </c>
      <c r="C145" s="92">
        <v>1001022467080</v>
      </c>
      <c r="D145" s="93" t="s">
        <v>53</v>
      </c>
      <c r="E145" s="93"/>
      <c r="F145" s="121" t="s">
        <v>20</v>
      </c>
      <c r="G145" s="94">
        <v>0.41</v>
      </c>
    </row>
    <row r="146" spans="2:7" ht="21" x14ac:dyDescent="0.25">
      <c r="B146" s="63">
        <v>6724</v>
      </c>
      <c r="C146" s="69">
        <v>1001020836724</v>
      </c>
      <c r="D146" s="67" t="s">
        <v>51</v>
      </c>
      <c r="E146" s="67"/>
      <c r="F146" s="77" t="s">
        <v>20</v>
      </c>
      <c r="G146" s="78">
        <v>0.41</v>
      </c>
    </row>
    <row r="147" spans="2:7" ht="21" x14ac:dyDescent="0.25">
      <c r="B147" s="63">
        <v>7066</v>
      </c>
      <c r="C147" s="69">
        <v>1001022377066</v>
      </c>
      <c r="D147" s="67" t="s">
        <v>55</v>
      </c>
      <c r="E147" s="67"/>
      <c r="F147" s="77" t="s">
        <v>20</v>
      </c>
      <c r="G147" s="78">
        <v>0.41</v>
      </c>
    </row>
    <row r="148" spans="2:7" ht="21" x14ac:dyDescent="0.25">
      <c r="B148" s="83">
        <v>6713</v>
      </c>
      <c r="C148" s="66">
        <v>1001022246713</v>
      </c>
      <c r="D148" s="67" t="s">
        <v>46</v>
      </c>
      <c r="E148" s="67"/>
      <c r="F148" s="74" t="s">
        <v>20</v>
      </c>
      <c r="G148" s="75">
        <v>0.41</v>
      </c>
    </row>
    <row r="149" spans="2:7" ht="21" x14ac:dyDescent="0.25">
      <c r="B149" s="63">
        <v>7255</v>
      </c>
      <c r="C149" s="69">
        <v>1001025507255</v>
      </c>
      <c r="D149" s="67" t="s">
        <v>37</v>
      </c>
      <c r="E149" s="71"/>
      <c r="F149" s="77" t="s">
        <v>20</v>
      </c>
      <c r="G149" s="78">
        <v>0.4</v>
      </c>
    </row>
    <row r="150" spans="2:7" ht="21" x14ac:dyDescent="0.25">
      <c r="B150" s="63">
        <v>6602</v>
      </c>
      <c r="C150" s="69">
        <v>1001021966602</v>
      </c>
      <c r="D150" s="67" t="s">
        <v>155</v>
      </c>
      <c r="E150" s="64"/>
      <c r="F150" s="77" t="s">
        <v>20</v>
      </c>
      <c r="G150" s="78">
        <v>0.35</v>
      </c>
    </row>
    <row r="151" spans="2:7" ht="21" x14ac:dyDescent="0.25">
      <c r="B151" s="63">
        <v>7073</v>
      </c>
      <c r="C151" s="69">
        <v>1001022657073</v>
      </c>
      <c r="D151" s="67" t="s">
        <v>50</v>
      </c>
      <c r="E151" s="67"/>
      <c r="F151" s="77" t="s">
        <v>20</v>
      </c>
      <c r="G151" s="78">
        <v>0.35</v>
      </c>
    </row>
    <row r="152" spans="2:7" ht="21" x14ac:dyDescent="0.25">
      <c r="B152" s="118">
        <v>7276</v>
      </c>
      <c r="C152" s="92">
        <v>1001022467276</v>
      </c>
      <c r="D152" s="93" t="s">
        <v>54</v>
      </c>
      <c r="E152" s="93"/>
      <c r="F152" s="121" t="s">
        <v>20</v>
      </c>
      <c r="G152" s="94">
        <v>0.3</v>
      </c>
    </row>
    <row r="153" spans="2:7" ht="21" x14ac:dyDescent="0.25">
      <c r="B153" s="63">
        <v>6616</v>
      </c>
      <c r="C153" s="66">
        <v>1001024976616</v>
      </c>
      <c r="D153" s="67" t="s">
        <v>42</v>
      </c>
      <c r="E153" s="64"/>
      <c r="F153" s="77" t="s">
        <v>20</v>
      </c>
      <c r="G153" s="78">
        <v>0.3</v>
      </c>
    </row>
    <row r="154" spans="2:7" ht="21" x14ac:dyDescent="0.25">
      <c r="B154" s="68">
        <v>7385</v>
      </c>
      <c r="C154" s="69">
        <v>1001027067385</v>
      </c>
      <c r="D154" s="85" t="s">
        <v>163</v>
      </c>
      <c r="E154" s="67"/>
      <c r="F154" s="77" t="s">
        <v>20</v>
      </c>
      <c r="G154" s="78">
        <v>0.33</v>
      </c>
    </row>
    <row r="155" spans="2:7" ht="21" x14ac:dyDescent="0.25">
      <c r="B155" s="91">
        <v>7044</v>
      </c>
      <c r="C155" s="92">
        <v>1001025167044</v>
      </c>
      <c r="D155" s="93" t="s">
        <v>164</v>
      </c>
      <c r="E155" s="88"/>
      <c r="F155" s="77" t="s">
        <v>20</v>
      </c>
      <c r="G155" s="94">
        <v>0.32</v>
      </c>
    </row>
    <row r="156" spans="2:7" ht="21" x14ac:dyDescent="0.25">
      <c r="B156" s="91">
        <v>7460</v>
      </c>
      <c r="C156" s="92">
        <v>1001027247460</v>
      </c>
      <c r="D156" s="93" t="s">
        <v>165</v>
      </c>
      <c r="E156" s="88"/>
      <c r="F156" s="77" t="s">
        <v>20</v>
      </c>
      <c r="G156" s="94">
        <v>0.33</v>
      </c>
    </row>
  </sheetData>
  <conditionalFormatting sqref="B18">
    <cfRule type="duplicateValues" dxfId="373" priority="800"/>
    <cfRule type="duplicateValues" dxfId="372" priority="801"/>
    <cfRule type="duplicateValues" dxfId="371" priority="802"/>
    <cfRule type="duplicateValues" dxfId="370" priority="803"/>
    <cfRule type="duplicateValues" dxfId="369" priority="804"/>
    <cfRule type="duplicateValues" dxfId="368" priority="805"/>
    <cfRule type="duplicateValues" dxfId="367" priority="806"/>
    <cfRule type="duplicateValues" dxfId="366" priority="807"/>
    <cfRule type="duplicateValues" dxfId="365" priority="808"/>
    <cfRule type="duplicateValues" dxfId="364" priority="809"/>
  </conditionalFormatting>
  <conditionalFormatting sqref="B125">
    <cfRule type="duplicateValues" dxfId="363" priority="286"/>
    <cfRule type="duplicateValues" dxfId="362" priority="287"/>
    <cfRule type="duplicateValues" dxfId="361" priority="288"/>
  </conditionalFormatting>
  <conditionalFormatting sqref="B77:B78 B120:B123 B125:B127 B26:B27 B89 B45 B50">
    <cfRule type="duplicateValues" dxfId="360" priority="285"/>
  </conditionalFormatting>
  <conditionalFormatting sqref="B127 B77:B78 B120:B123 B26:B27 B89 B45 B50">
    <cfRule type="duplicateValues" dxfId="359" priority="289"/>
  </conditionalFormatting>
  <conditionalFormatting sqref="B127">
    <cfRule type="duplicateValues" dxfId="358" priority="292"/>
  </conditionalFormatting>
  <conditionalFormatting sqref="B127">
    <cfRule type="duplicateValues" dxfId="357" priority="290"/>
  </conditionalFormatting>
  <conditionalFormatting sqref="B127:C127 B77:C78 C124 B120:C123 B26:C27 B89:C89 B45:C45 B50:C50">
    <cfRule type="duplicateValues" dxfId="356" priority="291"/>
  </conditionalFormatting>
  <conditionalFormatting sqref="B2">
    <cfRule type="duplicateValues" dxfId="355" priority="284"/>
  </conditionalFormatting>
  <conditionalFormatting sqref="B4:B6 B2">
    <cfRule type="duplicateValues" dxfId="354" priority="293"/>
  </conditionalFormatting>
  <conditionalFormatting sqref="B80">
    <cfRule type="duplicateValues" dxfId="353" priority="282"/>
  </conditionalFormatting>
  <conditionalFormatting sqref="B80">
    <cfRule type="duplicateValues" dxfId="352" priority="281"/>
  </conditionalFormatting>
  <conditionalFormatting sqref="B80">
    <cfRule type="duplicateValues" dxfId="351" priority="279"/>
    <cfRule type="duplicateValues" dxfId="350" priority="280"/>
  </conditionalFormatting>
  <conditionalFormatting sqref="B80">
    <cfRule type="duplicateValues" dxfId="349" priority="283"/>
  </conditionalFormatting>
  <conditionalFormatting sqref="B90">
    <cfRule type="duplicateValues" dxfId="348" priority="275"/>
    <cfRule type="duplicateValues" dxfId="347" priority="276"/>
    <cfRule type="duplicateValues" dxfId="346" priority="277"/>
    <cfRule type="duplicateValues" dxfId="345" priority="278"/>
  </conditionalFormatting>
  <conditionalFormatting sqref="B91">
    <cfRule type="duplicateValues" dxfId="344" priority="271"/>
    <cfRule type="duplicateValues" dxfId="343" priority="272"/>
  </conditionalFormatting>
  <conditionalFormatting sqref="B91">
    <cfRule type="duplicateValues" dxfId="342" priority="273"/>
  </conditionalFormatting>
  <conditionalFormatting sqref="B91">
    <cfRule type="duplicateValues" dxfId="341" priority="274"/>
  </conditionalFormatting>
  <conditionalFormatting sqref="B81">
    <cfRule type="duplicateValues" dxfId="340" priority="294"/>
  </conditionalFormatting>
  <conditionalFormatting sqref="B81">
    <cfRule type="duplicateValues" dxfId="339" priority="295"/>
    <cfRule type="duplicateValues" dxfId="338" priority="296"/>
  </conditionalFormatting>
  <conditionalFormatting sqref="B6">
    <cfRule type="duplicateValues" dxfId="337" priority="297"/>
    <cfRule type="duplicateValues" dxfId="336" priority="298"/>
    <cfRule type="duplicateValues" dxfId="335" priority="299"/>
  </conditionalFormatting>
  <conditionalFormatting sqref="B52">
    <cfRule type="duplicateValues" dxfId="334" priority="300"/>
    <cfRule type="duplicateValues" dxfId="333" priority="301"/>
    <cfRule type="duplicateValues" dxfId="332" priority="302"/>
    <cfRule type="duplicateValues" dxfId="331" priority="303"/>
    <cfRule type="duplicateValues" dxfId="330" priority="304"/>
    <cfRule type="duplicateValues" dxfId="329" priority="305"/>
    <cfRule type="duplicateValues" dxfId="328" priority="306"/>
    <cfRule type="duplicateValues" dxfId="327" priority="307"/>
    <cfRule type="duplicateValues" dxfId="326" priority="308"/>
  </conditionalFormatting>
  <conditionalFormatting sqref="B52:C52">
    <cfRule type="duplicateValues" dxfId="325" priority="309"/>
  </conditionalFormatting>
  <conditionalFormatting sqref="B41:B44">
    <cfRule type="duplicateValues" dxfId="324" priority="264"/>
  </conditionalFormatting>
  <conditionalFormatting sqref="B41:B44">
    <cfRule type="duplicateValues" dxfId="323" priority="265"/>
  </conditionalFormatting>
  <conditionalFormatting sqref="B41:B44">
    <cfRule type="duplicateValues" dxfId="322" priority="266"/>
  </conditionalFormatting>
  <conditionalFormatting sqref="B41:C44">
    <cfRule type="duplicateValues" dxfId="321" priority="267"/>
  </conditionalFormatting>
  <conditionalFormatting sqref="B41:B44">
    <cfRule type="duplicateValues" dxfId="320" priority="268"/>
    <cfRule type="duplicateValues" dxfId="319" priority="269"/>
    <cfRule type="duplicateValues" dxfId="318" priority="270"/>
  </conditionalFormatting>
  <conditionalFormatting sqref="B10">
    <cfRule type="duplicateValues" dxfId="317" priority="260"/>
  </conditionalFormatting>
  <conditionalFormatting sqref="B10">
    <cfRule type="duplicateValues" dxfId="316" priority="261"/>
  </conditionalFormatting>
  <conditionalFormatting sqref="B10">
    <cfRule type="duplicateValues" dxfId="315" priority="262"/>
  </conditionalFormatting>
  <conditionalFormatting sqref="B10">
    <cfRule type="duplicateValues" dxfId="314" priority="263"/>
  </conditionalFormatting>
  <conditionalFormatting sqref="B29:B31">
    <cfRule type="duplicateValues" dxfId="313" priority="256"/>
  </conditionalFormatting>
  <conditionalFormatting sqref="B29:B31">
    <cfRule type="duplicateValues" dxfId="312" priority="257"/>
  </conditionalFormatting>
  <conditionalFormatting sqref="B29:B31">
    <cfRule type="duplicateValues" dxfId="311" priority="258"/>
  </conditionalFormatting>
  <conditionalFormatting sqref="B29:B31">
    <cfRule type="duplicateValues" dxfId="310" priority="259"/>
  </conditionalFormatting>
  <conditionalFormatting sqref="B37:B39">
    <cfRule type="duplicateValues" dxfId="309" priority="241"/>
  </conditionalFormatting>
  <conditionalFormatting sqref="B37:B39">
    <cfRule type="duplicateValues" dxfId="308" priority="242"/>
  </conditionalFormatting>
  <conditionalFormatting sqref="B37:B39">
    <cfRule type="duplicateValues" dxfId="307" priority="243"/>
  </conditionalFormatting>
  <conditionalFormatting sqref="C40">
    <cfRule type="duplicateValues" dxfId="306" priority="244"/>
  </conditionalFormatting>
  <conditionalFormatting sqref="B40">
    <cfRule type="duplicateValues" dxfId="305" priority="245"/>
  </conditionalFormatting>
  <conditionalFormatting sqref="B40">
    <cfRule type="duplicateValues" dxfId="304" priority="246"/>
    <cfRule type="duplicateValues" dxfId="303" priority="247"/>
    <cfRule type="duplicateValues" dxfId="302" priority="248"/>
    <cfRule type="duplicateValues" dxfId="301" priority="249"/>
    <cfRule type="duplicateValues" dxfId="300" priority="250"/>
    <cfRule type="duplicateValues" dxfId="299" priority="251"/>
    <cfRule type="duplicateValues" dxfId="298" priority="252"/>
    <cfRule type="duplicateValues" dxfId="297" priority="253"/>
    <cfRule type="duplicateValues" dxfId="296" priority="254"/>
  </conditionalFormatting>
  <conditionalFormatting sqref="B38:B39">
    <cfRule type="duplicateValues" dxfId="295" priority="255"/>
  </conditionalFormatting>
  <conditionalFormatting sqref="B46:B47">
    <cfRule type="duplicateValues" dxfId="294" priority="237"/>
  </conditionalFormatting>
  <conditionalFormatting sqref="B46:B47">
    <cfRule type="duplicateValues" dxfId="293" priority="238"/>
  </conditionalFormatting>
  <conditionalFormatting sqref="B46:B47">
    <cfRule type="duplicateValues" dxfId="292" priority="239"/>
  </conditionalFormatting>
  <conditionalFormatting sqref="B46:B47">
    <cfRule type="duplicateValues" dxfId="291" priority="240"/>
  </conditionalFormatting>
  <conditionalFormatting sqref="B60 B54:B58">
    <cfRule type="duplicateValues" dxfId="290" priority="229"/>
  </conditionalFormatting>
  <conditionalFormatting sqref="B60">
    <cfRule type="duplicateValues" dxfId="289" priority="230"/>
  </conditionalFormatting>
  <conditionalFormatting sqref="B60">
    <cfRule type="duplicateValues" dxfId="288" priority="231"/>
  </conditionalFormatting>
  <conditionalFormatting sqref="B53">
    <cfRule type="duplicateValues" dxfId="287" priority="232"/>
    <cfRule type="duplicateValues" dxfId="286" priority="233"/>
    <cfRule type="duplicateValues" dxfId="285" priority="234"/>
    <cfRule type="duplicateValues" dxfId="284" priority="235"/>
  </conditionalFormatting>
  <conditionalFormatting sqref="B60">
    <cfRule type="duplicateValues" dxfId="283" priority="236"/>
  </conditionalFormatting>
  <conditionalFormatting sqref="B82:B84">
    <cfRule type="duplicateValues" dxfId="282" priority="225"/>
  </conditionalFormatting>
  <conditionalFormatting sqref="B82:B84">
    <cfRule type="duplicateValues" dxfId="281" priority="226"/>
  </conditionalFormatting>
  <conditionalFormatting sqref="B82:B84">
    <cfRule type="duplicateValues" dxfId="280" priority="227"/>
  </conditionalFormatting>
  <conditionalFormatting sqref="B82:B84">
    <cfRule type="duplicateValues" dxfId="279" priority="228"/>
  </conditionalFormatting>
  <conditionalFormatting sqref="B114:B115">
    <cfRule type="duplicateValues" dxfId="278" priority="212"/>
    <cfRule type="duplicateValues" dxfId="277" priority="213"/>
    <cfRule type="duplicateValues" dxfId="276" priority="214"/>
    <cfRule type="duplicateValues" dxfId="275" priority="215"/>
  </conditionalFormatting>
  <conditionalFormatting sqref="B116">
    <cfRule type="duplicateValues" dxfId="274" priority="202"/>
    <cfRule type="duplicateValues" dxfId="273" priority="203"/>
    <cfRule type="duplicateValues" dxfId="272" priority="204"/>
    <cfRule type="duplicateValues" dxfId="271" priority="205"/>
    <cfRule type="duplicateValues" dxfId="270" priority="206"/>
    <cfRule type="duplicateValues" dxfId="269" priority="208"/>
    <cfRule type="duplicateValues" dxfId="268" priority="209"/>
    <cfRule type="duplicateValues" dxfId="267" priority="210"/>
    <cfRule type="duplicateValues" dxfId="266" priority="211"/>
  </conditionalFormatting>
  <conditionalFormatting sqref="B112:B113">
    <cfRule type="duplicateValues" dxfId="265" priority="216"/>
  </conditionalFormatting>
  <conditionalFormatting sqref="B112:B113">
    <cfRule type="duplicateValues" dxfId="264" priority="217"/>
  </conditionalFormatting>
  <conditionalFormatting sqref="B112:B113">
    <cfRule type="duplicateValues" dxfId="263" priority="218"/>
  </conditionalFormatting>
  <conditionalFormatting sqref="B116:C116">
    <cfRule type="duplicateValues" dxfId="262" priority="207"/>
  </conditionalFormatting>
  <conditionalFormatting sqref="B117">
    <cfRule type="duplicateValues" dxfId="261" priority="219"/>
    <cfRule type="duplicateValues" dxfId="260" priority="220"/>
    <cfRule type="duplicateValues" dxfId="259" priority="221"/>
    <cfRule type="duplicateValues" dxfId="258" priority="222"/>
    <cfRule type="duplicateValues" dxfId="257" priority="223"/>
  </conditionalFormatting>
  <conditionalFormatting sqref="B113">
    <cfRule type="duplicateValues" dxfId="256" priority="224"/>
  </conditionalFormatting>
  <conditionalFormatting sqref="B134">
    <cfRule type="duplicateValues" dxfId="255" priority="198"/>
    <cfRule type="duplicateValues" dxfId="254" priority="199"/>
    <cfRule type="duplicateValues" dxfId="253" priority="200"/>
    <cfRule type="duplicateValues" dxfId="252" priority="201"/>
  </conditionalFormatting>
  <conditionalFormatting sqref="B133">
    <cfRule type="duplicateValues" dxfId="251" priority="195"/>
    <cfRule type="duplicateValues" dxfId="250" priority="196"/>
  </conditionalFormatting>
  <conditionalFormatting sqref="B133">
    <cfRule type="duplicateValues" dxfId="249" priority="197"/>
  </conditionalFormatting>
  <conditionalFormatting sqref="B135:B137 B128:B132">
    <cfRule type="duplicateValues" dxfId="248" priority="310"/>
  </conditionalFormatting>
  <conditionalFormatting sqref="B135:B137">
    <cfRule type="duplicateValues" dxfId="247" priority="311"/>
  </conditionalFormatting>
  <conditionalFormatting sqref="B92:B95">
    <cfRule type="duplicateValues" dxfId="246" priority="312"/>
  </conditionalFormatting>
  <conditionalFormatting sqref="B93:B95">
    <cfRule type="duplicateValues" dxfId="245" priority="313"/>
  </conditionalFormatting>
  <conditionalFormatting sqref="B92:B95">
    <cfRule type="duplicateValues" dxfId="244" priority="314"/>
  </conditionalFormatting>
  <conditionalFormatting sqref="B19:B22 B17 B14">
    <cfRule type="duplicateValues" dxfId="243" priority="194"/>
  </conditionalFormatting>
  <conditionalFormatting sqref="C14">
    <cfRule type="duplicateValues" dxfId="242" priority="193"/>
  </conditionalFormatting>
  <conditionalFormatting sqref="C22">
    <cfRule type="duplicateValues" dxfId="241" priority="192"/>
  </conditionalFormatting>
  <conditionalFormatting sqref="B32">
    <cfRule type="duplicateValues" dxfId="240" priority="190"/>
  </conditionalFormatting>
  <conditionalFormatting sqref="B32">
    <cfRule type="duplicateValues" dxfId="239" priority="188"/>
    <cfRule type="duplicateValues" dxfId="238" priority="189"/>
  </conditionalFormatting>
  <conditionalFormatting sqref="B32">
    <cfRule type="duplicateValues" dxfId="237" priority="191"/>
  </conditionalFormatting>
  <conditionalFormatting sqref="B33">
    <cfRule type="duplicateValues" dxfId="236" priority="187"/>
  </conditionalFormatting>
  <conditionalFormatting sqref="B33">
    <cfRule type="duplicateValues" dxfId="235" priority="184"/>
  </conditionalFormatting>
  <conditionalFormatting sqref="B33">
    <cfRule type="duplicateValues" dxfId="234" priority="185"/>
  </conditionalFormatting>
  <conditionalFormatting sqref="B33">
    <cfRule type="duplicateValues" dxfId="233" priority="186"/>
  </conditionalFormatting>
  <conditionalFormatting sqref="B34">
    <cfRule type="duplicateValues" dxfId="232" priority="182"/>
  </conditionalFormatting>
  <conditionalFormatting sqref="B34">
    <cfRule type="duplicateValues" dxfId="231" priority="180"/>
    <cfRule type="duplicateValues" dxfId="230" priority="181"/>
  </conditionalFormatting>
  <conditionalFormatting sqref="B34">
    <cfRule type="duplicateValues" dxfId="229" priority="183"/>
  </conditionalFormatting>
  <conditionalFormatting sqref="B28">
    <cfRule type="duplicateValues" dxfId="228" priority="178"/>
  </conditionalFormatting>
  <conditionalFormatting sqref="B28">
    <cfRule type="duplicateValues" dxfId="227" priority="176"/>
    <cfRule type="duplicateValues" dxfId="226" priority="177"/>
  </conditionalFormatting>
  <conditionalFormatting sqref="B28">
    <cfRule type="duplicateValues" dxfId="225" priority="179"/>
  </conditionalFormatting>
  <conditionalFormatting sqref="B61">
    <cfRule type="duplicateValues" dxfId="224" priority="174"/>
  </conditionalFormatting>
  <conditionalFormatting sqref="B61">
    <cfRule type="duplicateValues" dxfId="223" priority="172"/>
    <cfRule type="duplicateValues" dxfId="222" priority="173"/>
  </conditionalFormatting>
  <conditionalFormatting sqref="B61">
    <cfRule type="duplicateValues" dxfId="221" priority="175"/>
  </conditionalFormatting>
  <conditionalFormatting sqref="B63">
    <cfRule type="duplicateValues" dxfId="220" priority="162"/>
    <cfRule type="duplicateValues" dxfId="219" priority="163"/>
    <cfRule type="duplicateValues" dxfId="218" priority="164"/>
    <cfRule type="duplicateValues" dxfId="217" priority="165"/>
    <cfRule type="duplicateValues" dxfId="216" priority="166"/>
    <cfRule type="duplicateValues" dxfId="215" priority="168"/>
    <cfRule type="duplicateValues" dxfId="214" priority="169"/>
    <cfRule type="duplicateValues" dxfId="213" priority="170"/>
    <cfRule type="duplicateValues" dxfId="212" priority="171"/>
  </conditionalFormatting>
  <conditionalFormatting sqref="B63:C63">
    <cfRule type="duplicateValues" dxfId="211" priority="167"/>
  </conditionalFormatting>
  <conditionalFormatting sqref="B64">
    <cfRule type="duplicateValues" dxfId="210" priority="161"/>
  </conditionalFormatting>
  <conditionalFormatting sqref="B65">
    <cfRule type="duplicateValues" dxfId="209" priority="160"/>
  </conditionalFormatting>
  <conditionalFormatting sqref="B66">
    <cfRule type="duplicateValues" dxfId="208" priority="158"/>
  </conditionalFormatting>
  <conditionalFormatting sqref="B66">
    <cfRule type="duplicateValues" dxfId="207" priority="156"/>
    <cfRule type="duplicateValues" dxfId="206" priority="157"/>
  </conditionalFormatting>
  <conditionalFormatting sqref="B66">
    <cfRule type="duplicateValues" dxfId="205" priority="159"/>
  </conditionalFormatting>
  <conditionalFormatting sqref="B67">
    <cfRule type="duplicateValues" dxfId="204" priority="152"/>
    <cfRule type="duplicateValues" dxfId="203" priority="153"/>
    <cfRule type="duplicateValues" dxfId="202" priority="154"/>
    <cfRule type="duplicateValues" dxfId="201" priority="155"/>
  </conditionalFormatting>
  <conditionalFormatting sqref="B68">
    <cfRule type="duplicateValues" dxfId="200" priority="150"/>
  </conditionalFormatting>
  <conditionalFormatting sqref="B68">
    <cfRule type="duplicateValues" dxfId="199" priority="148"/>
    <cfRule type="duplicateValues" dxfId="198" priority="149"/>
  </conditionalFormatting>
  <conditionalFormatting sqref="B68">
    <cfRule type="duplicateValues" dxfId="197" priority="151"/>
  </conditionalFormatting>
  <conditionalFormatting sqref="B69">
    <cfRule type="duplicateValues" dxfId="196" priority="146"/>
  </conditionalFormatting>
  <conditionalFormatting sqref="B69">
    <cfRule type="duplicateValues" dxfId="195" priority="144"/>
    <cfRule type="duplicateValues" dxfId="194" priority="145"/>
  </conditionalFormatting>
  <conditionalFormatting sqref="B69">
    <cfRule type="duplicateValues" dxfId="193" priority="147"/>
  </conditionalFormatting>
  <conditionalFormatting sqref="B70">
    <cfRule type="duplicateValues" dxfId="192" priority="139"/>
    <cfRule type="duplicateValues" dxfId="191" priority="140"/>
  </conditionalFormatting>
  <conditionalFormatting sqref="B70">
    <cfRule type="duplicateValues" dxfId="190" priority="141"/>
  </conditionalFormatting>
  <conditionalFormatting sqref="B70">
    <cfRule type="duplicateValues" dxfId="189" priority="142"/>
    <cfRule type="duplicateValues" dxfId="188" priority="143"/>
  </conditionalFormatting>
  <conditionalFormatting sqref="B74">
    <cfRule type="duplicateValues" dxfId="187" priority="135"/>
  </conditionalFormatting>
  <conditionalFormatting sqref="B74:B75">
    <cfRule type="duplicateValues" dxfId="186" priority="133"/>
    <cfRule type="duplicateValues" dxfId="185" priority="134"/>
  </conditionalFormatting>
  <conditionalFormatting sqref="B74:B75">
    <cfRule type="duplicateValues" dxfId="184" priority="136"/>
  </conditionalFormatting>
  <conditionalFormatting sqref="B75">
    <cfRule type="duplicateValues" dxfId="183" priority="137"/>
    <cfRule type="duplicateValues" dxfId="182" priority="138"/>
  </conditionalFormatting>
  <conditionalFormatting sqref="B85">
    <cfRule type="duplicateValues" dxfId="181" priority="132"/>
  </conditionalFormatting>
  <conditionalFormatting sqref="B105">
    <cfRule type="duplicateValues" dxfId="180" priority="128"/>
    <cfRule type="duplicateValues" dxfId="179" priority="129"/>
    <cfRule type="duplicateValues" dxfId="178" priority="130"/>
  </conditionalFormatting>
  <conditionalFormatting sqref="B105">
    <cfRule type="duplicateValues" dxfId="177" priority="131"/>
  </conditionalFormatting>
  <conditionalFormatting sqref="B106">
    <cfRule type="duplicateValues" dxfId="176" priority="124"/>
    <cfRule type="duplicateValues" dxfId="175" priority="125"/>
    <cfRule type="duplicateValues" dxfId="174" priority="126"/>
    <cfRule type="duplicateValues" dxfId="173" priority="127"/>
  </conditionalFormatting>
  <conditionalFormatting sqref="B107">
    <cfRule type="duplicateValues" dxfId="172" priority="120"/>
    <cfRule type="duplicateValues" dxfId="171" priority="121"/>
    <cfRule type="duplicateValues" dxfId="170" priority="122"/>
    <cfRule type="duplicateValues" dxfId="169" priority="123"/>
  </conditionalFormatting>
  <conditionalFormatting sqref="B119">
    <cfRule type="duplicateValues" dxfId="168" priority="119"/>
  </conditionalFormatting>
  <conditionalFormatting sqref="B146">
    <cfRule type="duplicateValues" dxfId="167" priority="115"/>
    <cfRule type="duplicateValues" dxfId="166" priority="116"/>
  </conditionalFormatting>
  <conditionalFormatting sqref="B146">
    <cfRule type="duplicateValues" dxfId="165" priority="118"/>
  </conditionalFormatting>
  <conditionalFormatting sqref="B146">
    <cfRule type="duplicateValues" dxfId="164" priority="117"/>
  </conditionalFormatting>
  <conditionalFormatting sqref="B147:B148">
    <cfRule type="duplicateValues" dxfId="163" priority="111"/>
    <cfRule type="duplicateValues" dxfId="162" priority="112"/>
  </conditionalFormatting>
  <conditionalFormatting sqref="B147:B148">
    <cfRule type="duplicateValues" dxfId="161" priority="114"/>
  </conditionalFormatting>
  <conditionalFormatting sqref="B147:B148">
    <cfRule type="duplicateValues" dxfId="160" priority="113"/>
  </conditionalFormatting>
  <conditionalFormatting sqref="B25">
    <cfRule type="duplicateValues" dxfId="159" priority="315"/>
    <cfRule type="duplicateValues" dxfId="158" priority="316"/>
    <cfRule type="duplicateValues" dxfId="157" priority="317"/>
    <cfRule type="duplicateValues" dxfId="156" priority="318"/>
  </conditionalFormatting>
  <conditionalFormatting sqref="B48">
    <cfRule type="duplicateValues" dxfId="155" priority="319"/>
    <cfRule type="duplicateValues" dxfId="154" priority="320"/>
    <cfRule type="duplicateValues" dxfId="153" priority="321"/>
    <cfRule type="duplicateValues" dxfId="152" priority="322"/>
  </conditionalFormatting>
  <conditionalFormatting sqref="B71:B73">
    <cfRule type="duplicateValues" dxfId="151" priority="323"/>
    <cfRule type="duplicateValues" dxfId="150" priority="324"/>
    <cfRule type="duplicateValues" dxfId="149" priority="325"/>
    <cfRule type="duplicateValues" dxfId="148" priority="326"/>
  </conditionalFormatting>
  <conditionalFormatting sqref="B85:B87">
    <cfRule type="duplicateValues" dxfId="147" priority="327"/>
    <cfRule type="duplicateValues" dxfId="146" priority="328"/>
    <cfRule type="duplicateValues" dxfId="145" priority="329"/>
  </conditionalFormatting>
  <conditionalFormatting sqref="B86:B87">
    <cfRule type="duplicateValues" dxfId="144" priority="330"/>
  </conditionalFormatting>
  <conditionalFormatting sqref="B151">
    <cfRule type="duplicateValues" dxfId="143" priority="331"/>
    <cfRule type="duplicateValues" dxfId="142" priority="332"/>
  </conditionalFormatting>
  <conditionalFormatting sqref="B151">
    <cfRule type="duplicateValues" dxfId="141" priority="333"/>
  </conditionalFormatting>
  <conditionalFormatting sqref="B13">
    <cfRule type="duplicateValues" dxfId="140" priority="109"/>
  </conditionalFormatting>
  <conditionalFormatting sqref="B13">
    <cfRule type="duplicateValues" dxfId="139" priority="107"/>
    <cfRule type="duplicateValues" dxfId="138" priority="108"/>
  </conditionalFormatting>
  <conditionalFormatting sqref="B13">
    <cfRule type="duplicateValues" dxfId="137" priority="110"/>
  </conditionalFormatting>
  <conditionalFormatting sqref="B15:B16">
    <cfRule type="duplicateValues" dxfId="136" priority="96"/>
    <cfRule type="duplicateValues" dxfId="135" priority="97"/>
    <cfRule type="duplicateValues" dxfId="134" priority="98"/>
    <cfRule type="duplicateValues" dxfId="133" priority="99"/>
    <cfRule type="duplicateValues" dxfId="132" priority="100"/>
    <cfRule type="duplicateValues" dxfId="131" priority="101"/>
    <cfRule type="duplicateValues" dxfId="130" priority="102"/>
    <cfRule type="duplicateValues" dxfId="129" priority="103"/>
    <cfRule type="duplicateValues" dxfId="128" priority="104"/>
    <cfRule type="duplicateValues" dxfId="127" priority="105"/>
  </conditionalFormatting>
  <conditionalFormatting sqref="B15:B16">
    <cfRule type="duplicateValues" dxfId="126" priority="106"/>
  </conditionalFormatting>
  <conditionalFormatting sqref="B4:B5 B2">
    <cfRule type="duplicateValues" dxfId="125" priority="334"/>
  </conditionalFormatting>
  <conditionalFormatting sqref="B4:B5 B2">
    <cfRule type="duplicateValues" dxfId="124" priority="335"/>
    <cfRule type="duplicateValues" dxfId="123" priority="336"/>
    <cfRule type="duplicateValues" dxfId="122" priority="337"/>
  </conditionalFormatting>
  <conditionalFormatting sqref="B4:C6 B2:C2">
    <cfRule type="duplicateValues" dxfId="121" priority="338"/>
  </conditionalFormatting>
  <conditionalFormatting sqref="B7:B9">
    <cfRule type="duplicateValues" dxfId="120" priority="339"/>
  </conditionalFormatting>
  <conditionalFormatting sqref="B79">
    <cfRule type="duplicateValues" dxfId="119" priority="94"/>
  </conditionalFormatting>
  <conditionalFormatting sqref="B79">
    <cfRule type="duplicateValues" dxfId="118" priority="93"/>
  </conditionalFormatting>
  <conditionalFormatting sqref="B79">
    <cfRule type="duplicateValues" dxfId="117" priority="91"/>
    <cfRule type="duplicateValues" dxfId="116" priority="92"/>
  </conditionalFormatting>
  <conditionalFormatting sqref="B79">
    <cfRule type="duplicateValues" dxfId="115" priority="95"/>
  </conditionalFormatting>
  <conditionalFormatting sqref="B100:B101 B103:B104">
    <cfRule type="duplicateValues" dxfId="114" priority="340"/>
    <cfRule type="duplicateValues" dxfId="113" priority="341"/>
  </conditionalFormatting>
  <conditionalFormatting sqref="B100:B101 B103:B104">
    <cfRule type="duplicateValues" dxfId="112" priority="342"/>
  </conditionalFormatting>
  <conditionalFormatting sqref="B11 B7:B9">
    <cfRule type="duplicateValues" dxfId="111" priority="343"/>
  </conditionalFormatting>
  <conditionalFormatting sqref="B124">
    <cfRule type="duplicateValues" dxfId="110" priority="344"/>
    <cfRule type="duplicateValues" dxfId="109" priority="345"/>
    <cfRule type="duplicateValues" dxfId="108" priority="346"/>
  </conditionalFormatting>
  <conditionalFormatting sqref="B150">
    <cfRule type="duplicateValues" dxfId="107" priority="347"/>
    <cfRule type="duplicateValues" dxfId="106" priority="348"/>
  </conditionalFormatting>
  <conditionalFormatting sqref="B150">
    <cfRule type="duplicateValues" dxfId="105" priority="349"/>
  </conditionalFormatting>
  <conditionalFormatting sqref="B102">
    <cfRule type="duplicateValues" dxfId="104" priority="87"/>
    <cfRule type="duplicateValues" dxfId="103" priority="88"/>
    <cfRule type="duplicateValues" dxfId="102" priority="89"/>
  </conditionalFormatting>
  <conditionalFormatting sqref="B102">
    <cfRule type="duplicateValues" dxfId="101" priority="90"/>
  </conditionalFormatting>
  <conditionalFormatting sqref="B109:B110">
    <cfRule type="duplicateValues" dxfId="100" priority="84"/>
    <cfRule type="duplicateValues" dxfId="99" priority="85"/>
  </conditionalFormatting>
  <conditionalFormatting sqref="B109:B110">
    <cfRule type="duplicateValues" dxfId="98" priority="86"/>
  </conditionalFormatting>
  <conditionalFormatting sqref="B35">
    <cfRule type="duplicateValues" dxfId="97" priority="82"/>
  </conditionalFormatting>
  <conditionalFormatting sqref="B35">
    <cfRule type="duplicateValues" dxfId="96" priority="80"/>
    <cfRule type="duplicateValues" dxfId="95" priority="81"/>
  </conditionalFormatting>
  <conditionalFormatting sqref="B35">
    <cfRule type="duplicateValues" dxfId="94" priority="83"/>
  </conditionalFormatting>
  <conditionalFormatting sqref="B23">
    <cfRule type="duplicateValues" dxfId="93" priority="350"/>
    <cfRule type="duplicateValues" dxfId="92" priority="351"/>
    <cfRule type="duplicateValues" dxfId="91" priority="352"/>
    <cfRule type="duplicateValues" dxfId="90" priority="353"/>
  </conditionalFormatting>
  <conditionalFormatting sqref="B120:B123 B77:B78 B26:B27 B89 B45 B50">
    <cfRule type="duplicateValues" dxfId="89" priority="354"/>
    <cfRule type="duplicateValues" dxfId="88" priority="355"/>
    <cfRule type="duplicateValues" dxfId="87" priority="356"/>
  </conditionalFormatting>
  <conditionalFormatting sqref="B154">
    <cfRule type="duplicateValues" dxfId="86" priority="76"/>
    <cfRule type="duplicateValues" dxfId="85" priority="77"/>
  </conditionalFormatting>
  <conditionalFormatting sqref="B154">
    <cfRule type="duplicateValues" dxfId="84" priority="78"/>
  </conditionalFormatting>
  <conditionalFormatting sqref="B154">
    <cfRule type="duplicateValues" dxfId="83" priority="79"/>
  </conditionalFormatting>
  <conditionalFormatting sqref="B49">
    <cfRule type="duplicateValues" dxfId="82" priority="71"/>
    <cfRule type="duplicateValues" dxfId="81" priority="72"/>
  </conditionalFormatting>
  <conditionalFormatting sqref="B49">
    <cfRule type="duplicateValues" dxfId="80" priority="73"/>
    <cfRule type="duplicateValues" dxfId="79" priority="74"/>
    <cfRule type="duplicateValues" dxfId="78" priority="75"/>
  </conditionalFormatting>
  <conditionalFormatting sqref="B88">
    <cfRule type="duplicateValues" dxfId="77" priority="67"/>
    <cfRule type="duplicateValues" dxfId="76" priority="68"/>
    <cfRule type="duplicateValues" dxfId="75" priority="69"/>
  </conditionalFormatting>
  <conditionalFormatting sqref="B88">
    <cfRule type="duplicateValues" dxfId="74" priority="70"/>
  </conditionalFormatting>
  <conditionalFormatting sqref="B108">
    <cfRule type="duplicateValues" dxfId="73" priority="63"/>
    <cfRule type="duplicateValues" dxfId="72" priority="64"/>
    <cfRule type="duplicateValues" dxfId="71" priority="65"/>
    <cfRule type="duplicateValues" dxfId="70" priority="66"/>
  </conditionalFormatting>
  <conditionalFormatting sqref="B62">
    <cfRule type="duplicateValues" dxfId="69" priority="357"/>
  </conditionalFormatting>
  <conditionalFormatting sqref="B62">
    <cfRule type="duplicateValues" dxfId="68" priority="358"/>
    <cfRule type="duplicateValues" dxfId="67" priority="359"/>
  </conditionalFormatting>
  <conditionalFormatting sqref="B149">
    <cfRule type="duplicateValues" dxfId="66" priority="360"/>
    <cfRule type="duplicateValues" dxfId="65" priority="361"/>
  </conditionalFormatting>
  <conditionalFormatting sqref="B149">
    <cfRule type="duplicateValues" dxfId="64" priority="362"/>
  </conditionalFormatting>
  <conditionalFormatting sqref="B126">
    <cfRule type="duplicateValues" dxfId="63" priority="363"/>
    <cfRule type="duplicateValues" dxfId="62" priority="364"/>
    <cfRule type="duplicateValues" dxfId="61" priority="365"/>
  </conditionalFormatting>
  <conditionalFormatting sqref="B76">
    <cfRule type="duplicateValues" dxfId="60" priority="58"/>
    <cfRule type="duplicateValues" dxfId="59" priority="59"/>
  </conditionalFormatting>
  <conditionalFormatting sqref="B76">
    <cfRule type="duplicateValues" dxfId="58" priority="60"/>
  </conditionalFormatting>
  <conditionalFormatting sqref="B76">
    <cfRule type="duplicateValues" dxfId="57" priority="61"/>
    <cfRule type="duplicateValues" dxfId="56" priority="62"/>
  </conditionalFormatting>
  <conditionalFormatting sqref="B96:B99">
    <cfRule type="duplicateValues" dxfId="55" priority="366"/>
    <cfRule type="duplicateValues" dxfId="54" priority="367"/>
    <cfRule type="duplicateValues" dxfId="53" priority="368"/>
    <cfRule type="duplicateValues" dxfId="52" priority="369"/>
  </conditionalFormatting>
  <conditionalFormatting sqref="B155:B156">
    <cfRule type="duplicateValues" dxfId="51" priority="54"/>
    <cfRule type="duplicateValues" dxfId="50" priority="55"/>
  </conditionalFormatting>
  <conditionalFormatting sqref="B155:B156">
    <cfRule type="duplicateValues" dxfId="49" priority="56"/>
  </conditionalFormatting>
  <conditionalFormatting sqref="B155:B156">
    <cfRule type="duplicateValues" dxfId="48" priority="57"/>
  </conditionalFormatting>
  <conditionalFormatting sqref="B141:B142">
    <cfRule type="duplicateValues" dxfId="47" priority="50"/>
    <cfRule type="duplicateValues" dxfId="46" priority="51"/>
  </conditionalFormatting>
  <conditionalFormatting sqref="B141:B142">
    <cfRule type="duplicateValues" dxfId="45" priority="53"/>
  </conditionalFormatting>
  <conditionalFormatting sqref="B141:B142">
    <cfRule type="duplicateValues" dxfId="44" priority="52"/>
  </conditionalFormatting>
  <conditionalFormatting sqref="B111">
    <cfRule type="duplicateValues" dxfId="43" priority="47"/>
    <cfRule type="duplicateValues" dxfId="42" priority="48"/>
  </conditionalFormatting>
  <conditionalFormatting sqref="B111">
    <cfRule type="duplicateValues" dxfId="41" priority="49"/>
  </conditionalFormatting>
  <conditionalFormatting sqref="B152:B153 B138:B140 B144:B145">
    <cfRule type="duplicateValues" dxfId="40" priority="370"/>
    <cfRule type="duplicateValues" dxfId="39" priority="371"/>
    <cfRule type="duplicateValues" dxfId="38" priority="372"/>
  </conditionalFormatting>
  <conditionalFormatting sqref="B143">
    <cfRule type="duplicateValues" dxfId="37" priority="17"/>
    <cfRule type="duplicateValues" dxfId="36" priority="18"/>
  </conditionalFormatting>
  <conditionalFormatting sqref="B143">
    <cfRule type="duplicateValues" dxfId="35" priority="19"/>
  </conditionalFormatting>
  <conditionalFormatting sqref="B143">
    <cfRule type="duplicateValues" dxfId="34" priority="20"/>
  </conditionalFormatting>
  <conditionalFormatting sqref="B36">
    <cfRule type="duplicateValues" dxfId="33" priority="15"/>
  </conditionalFormatting>
  <conditionalFormatting sqref="B36">
    <cfRule type="duplicateValues" dxfId="32" priority="13"/>
    <cfRule type="duplicateValues" dxfId="31" priority="14"/>
  </conditionalFormatting>
  <conditionalFormatting sqref="B36">
    <cfRule type="duplicateValues" dxfId="30" priority="16"/>
  </conditionalFormatting>
  <conditionalFormatting sqref="B118:B119">
    <cfRule type="duplicateValues" dxfId="29" priority="373"/>
    <cfRule type="duplicateValues" dxfId="28" priority="374"/>
  </conditionalFormatting>
  <conditionalFormatting sqref="B118">
    <cfRule type="duplicateValues" dxfId="27" priority="375"/>
    <cfRule type="duplicateValues" dxfId="26" priority="376"/>
    <cfRule type="duplicateValues" dxfId="25" priority="377"/>
  </conditionalFormatting>
  <conditionalFormatting sqref="B24">
    <cfRule type="duplicateValues" dxfId="24" priority="1"/>
    <cfRule type="duplicateValues" dxfId="23" priority="2"/>
    <cfRule type="duplicateValues" dxfId="22" priority="3"/>
    <cfRule type="duplicateValues" dxfId="21" priority="4"/>
  </conditionalFormatting>
  <conditionalFormatting sqref="B18:C18">
    <cfRule type="duplicateValues" dxfId="20" priority="441"/>
  </conditionalFormatting>
  <conditionalFormatting sqref="B12">
    <cfRule type="duplicateValues" dxfId="19" priority="857"/>
    <cfRule type="duplicateValues" dxfId="18" priority="858"/>
    <cfRule type="duplicateValues" dxfId="17" priority="859"/>
    <cfRule type="duplicateValues" dxfId="16" priority="860"/>
    <cfRule type="duplicateValues" dxfId="15" priority="861"/>
    <cfRule type="duplicateValues" dxfId="14" priority="862"/>
    <cfRule type="duplicateValues" dxfId="13" priority="863"/>
    <cfRule type="duplicateValues" dxfId="12" priority="864"/>
    <cfRule type="duplicateValues" dxfId="11" priority="865"/>
    <cfRule type="duplicateValues" dxfId="10" priority="866"/>
  </conditionalFormatting>
  <conditionalFormatting sqref="B12">
    <cfRule type="duplicateValues" dxfId="9" priority="867"/>
  </conditionalFormatting>
  <conditionalFormatting sqref="B3">
    <cfRule type="duplicateValues" dxfId="8" priority="922"/>
    <cfRule type="duplicateValues" dxfId="7" priority="923"/>
  </conditionalFormatting>
  <conditionalFormatting sqref="B3">
    <cfRule type="duplicateValues" dxfId="6" priority="924"/>
  </conditionalFormatting>
  <conditionalFormatting sqref="B51">
    <cfRule type="duplicateValues" dxfId="5" priority="970"/>
    <cfRule type="duplicateValues" dxfId="4" priority="971"/>
  </conditionalFormatting>
  <conditionalFormatting sqref="B51">
    <cfRule type="duplicateValues" dxfId="3" priority="972"/>
  </conditionalFormatting>
  <conditionalFormatting sqref="B59">
    <cfRule type="duplicateValues" dxfId="2" priority="1018"/>
    <cfRule type="duplicateValues" dxfId="1" priority="1019"/>
  </conditionalFormatting>
  <conditionalFormatting sqref="B59">
    <cfRule type="duplicateValues" dxfId="0" priority="1020"/>
  </conditionalFormatting>
  <dataValidations count="1">
    <dataValidation type="textLength" operator="lessThanOrEqual" allowBlank="1" showInputMessage="1" showErrorMessage="1" sqref="D125:E125 D52:E52 D133:E134 D22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2026-10-05T10:45:26Z</dcterms:modified>
</cp:coreProperties>
</file>