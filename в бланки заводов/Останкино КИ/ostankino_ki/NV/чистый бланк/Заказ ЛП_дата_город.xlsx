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5BF143D1-23E7-4172-A6BC-EA201124AFF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Бланк!$A$9:$J$159</definedName>
    <definedName name="кол_во_инд.__упак_к">Бланк!$AC$3:$AC$592</definedName>
    <definedName name="номин.вес_нетто__кг">Бланк!$W$3:$W$592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95" i="1" l="1"/>
  <c r="G94" i="1"/>
  <c r="A95" i="1"/>
  <c r="A94" i="1"/>
  <c r="G142" i="1" l="1"/>
  <c r="A142" i="1"/>
  <c r="G30" i="1"/>
  <c r="A30" i="1"/>
  <c r="G29" i="1"/>
  <c r="A29" i="1"/>
  <c r="G90" i="1"/>
  <c r="A90" i="1"/>
  <c r="G139" i="1" l="1"/>
  <c r="A139" i="1"/>
  <c r="A158" i="1" l="1"/>
  <c r="A157" i="1"/>
  <c r="A156" i="1"/>
  <c r="A155" i="1"/>
  <c r="A154" i="1"/>
  <c r="A153" i="1"/>
  <c r="A152" i="1"/>
  <c r="A151" i="1"/>
  <c r="A150" i="1"/>
  <c r="A149" i="1"/>
  <c r="A148" i="1"/>
  <c r="A147" i="1"/>
  <c r="A145" i="1"/>
  <c r="A144" i="1"/>
  <c r="A143" i="1"/>
  <c r="A141" i="1"/>
  <c r="A140" i="1"/>
  <c r="A138" i="1"/>
  <c r="A137" i="1"/>
  <c r="A136" i="1"/>
  <c r="A135" i="1"/>
  <c r="A134" i="1"/>
  <c r="A133" i="1"/>
  <c r="A132" i="1"/>
  <c r="A131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0" i="1"/>
  <c r="A99" i="1"/>
  <c r="A98" i="1"/>
  <c r="A97" i="1"/>
  <c r="A96" i="1"/>
  <c r="A93" i="1"/>
  <c r="A92" i="1"/>
  <c r="A91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2" i="1"/>
  <c r="A71" i="1"/>
  <c r="A70" i="1"/>
  <c r="A69" i="1"/>
  <c r="A68" i="1"/>
  <c r="A67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1" i="1"/>
  <c r="A32" i="1"/>
  <c r="A33" i="1"/>
  <c r="A11" i="1"/>
  <c r="E159" i="1" l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5" i="1"/>
  <c r="G144" i="1"/>
  <c r="G143" i="1"/>
  <c r="G141" i="1"/>
  <c r="G140" i="1"/>
  <c r="G138" i="1"/>
  <c r="G137" i="1"/>
  <c r="G136" i="1"/>
  <c r="G135" i="1"/>
  <c r="G134" i="1"/>
  <c r="G133" i="1"/>
  <c r="G132" i="1"/>
  <c r="G131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3" i="1"/>
  <c r="G92" i="1"/>
  <c r="G91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2" i="1"/>
  <c r="G71" i="1"/>
  <c r="G70" i="1"/>
  <c r="G69" i="1"/>
  <c r="G68" i="1"/>
  <c r="G67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3" i="1"/>
  <c r="G32" i="1"/>
  <c r="G31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59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<sst xmlns="http://schemas.openxmlformats.org/spreadsheetml/2006/main" count="649" uniqueCount="232">
  <si>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</si>
  <si>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</si>
  <si>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</si>
  <si>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</si>
  <si>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</si>
  <si>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</si>
  <si>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</si>
  <si>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</si>
  <si>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</si>
  <si>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</si>
  <si>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</si>
  <si>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</si>
  <si>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</si>
  <si>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</si>
  <si>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</si>
  <si>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</si>
  <si>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</si>
  <si>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</si>
  <si>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</si>
  <si>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</si>
  <si>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</si>
  <si>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</si>
  <si>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</si>
  <si>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</si>
  <si>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</si>
  <si>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</si>
  <si>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</si>
  <si>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</si>
  <si>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</si>
  <si>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</si>
  <si>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</si>
  <si>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</si>
  <si>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</si>
  <si>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</si>
  <si>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</si>
  <si>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</si>
  <si>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</si>
  <si>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</si>
  <si>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</si>
  <si>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</si>
  <si>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</si>
  <si>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</si>
  <si>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</si>
  <si>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</si>
  <si>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</si>
  <si>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</si>
  <si>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</si>
  <si>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</si>
  <si>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</si>
  <si>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</si>
  <si>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</si>
  <si>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</si>
  <si>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</si>
  <si>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</si>
  <si>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</si>
  <si>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</si>
  <si>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</si>
  <si>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</si>
  <si>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</si>
  <si>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</si>
  <si>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</si>
  <si>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</si>
  <si>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</si>
  <si>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</si>
  <si>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</si>
  <si>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</si>
  <si>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</si>
  <si>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</si>
  <si>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</si>
  <si>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</si>
  <si>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</si>
  <si>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</si>
  <si>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</si>
  <si>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</si>
  <si>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</si>
  <si>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</si>
  <si>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</si>
  <si>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</si>
  <si>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</si>
  <si>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</si>
  <si>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</si>
  <si>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</si>
  <si>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</si>
  <si>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</si>
  <si>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</si>
  <si>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</si>
  <si>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</si>
  <si>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</si>
  <si>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</si>
  <si>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</si>
  <si>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</si>
  <si>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</si>
  <si>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</si>
  <si>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</si>
  <si>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</si>
  <si>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</si>
  <si>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</si>
  <si>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</si>
  <si>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</si>
  <si>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</si>
  <si>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</si>
  <si>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</si>
  <si>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</si>
  <si>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</si>
  <si>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</si>
  <si>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</si>
  <si>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</si>
  <si>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</si>
  <si>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</si>
  <si>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</si>
  <si>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</si>
  <si>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</si>
  <si>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</si>
  <si>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</si>
  <si>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</si>
  <si>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</si>
  <si>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</si>
  <si>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</si>
  <si>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</si>
  <si>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</si>
  <si>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</si>
  <si>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</si>
  <si>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</si>
  <si>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</si>
  <si>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</si>
  <si>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</si>
  <si>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</si>
  <si>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</si>
  <si>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</si>
  <si>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</si>
  <si>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</si>
  <si>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</si>
  <si>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</si>
  <si>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</si>
  <si>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</si>
  <si>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</si>
  <si>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</si>
  <si>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</si>
  <si>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</si>
  <si>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</si>
  <si>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</si>
  <si>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</si>
  <si>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</si>
  <si>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</si>
  <si>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</si>
  <si>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</si>
  <si>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</si>
  <si>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</si>
  <si>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</si>
  <si>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</si>
  <si>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</si>
  <si>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</si>
  <si>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</si>
  <si>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</si>
  <si>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</si>
  <si>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</si>
  <si>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</si>
  <si>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</si>
  <si>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</si>
  <si>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</si>
  <si>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</si>
  <si>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</si>
  <si>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</si>
  <si>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</si>
  <si>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</si>
  <si>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</si>
  <si>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</si>
  <si>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</si>
  <si>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</si>
  <si>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</si>
  <si>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</si>
  <si>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</si>
  <si>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</si>
  <si>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</si>
  <si>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</si>
  <si>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</si>
  <si>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</si>
  <si>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</si>
  <si>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</si>
  <si>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</si>
  <si>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</si>
  <si>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</si>
  <si>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</si>
  <si>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</si>
  <si>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</si>
  <si>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</si>
  <si>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</si>
  <si>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</si>
  <si>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</si>
  <si>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</si>
  <si>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</si>
  <si>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</si>
  <si>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</si>
  <si>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</si>
  <si>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</si>
  <si>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</si>
  <si>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</si>
  <si>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</si>
  <si>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</si>
  <si>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</si>
  <si>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</si>
  <si>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</si>
  <si>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</si>
  <si>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</si>
  <si>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</si>
  <si>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</si>
  <si>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</si>
  <si>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</si>
  <si>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</si>
  <si>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</si>
  <si>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</si>
  <si>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</si>
  <si>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</si>
  <si>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</si>
  <si>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</si>
  <si>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</si>
  <si>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</si>
  <si>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</si>
  <si>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</si>
  <si>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</si>
  <si>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</si>
  <si>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</si>
  <si>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</si>
  <si>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Ротация кода 7284</t>
  </si>
  <si>
    <t>ВЕТЧ.РУБЛЕНАЯ ПМ в/у срез 0.3кг 6шт.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</si>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</sst>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0"/>
  <sheetViews>
    <sheetView tabSelected="1" zoomScale="85" zoomScaleNormal="85" workbookViewId="0">
      <pane ySplit="9" topLeftCell="A154" activePane="bottomLeft" state="frozen"/>
      <selection pane="bottomLeft" activeCell="H172" sqref="H17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7">
        <v>130438644</v>
      </c>
      <c r="E1" s="138" t="s">
        <v>209</v>
      </c>
      <c r="F1" s="139"/>
      <c r="G1" s="139"/>
      <c r="H1" s="139"/>
      <c r="I1" s="139"/>
      <c r="J1" s="140"/>
      <c r="K1" s="103">
        <v>130438384</v>
      </c>
      <c r="L1" s="99" t="s">
        <v>171</v>
      </c>
    </row>
    <row r="2" spans="1:67" ht="16.5" customHeight="1" thickTop="1" thickBot="1" x14ac:dyDescent="0.3">
      <c r="K2" s="103">
        <v>130438644</v>
      </c>
      <c r="L2" s="99" t="s">
        <v>172</v>
      </c>
    </row>
    <row r="3" spans="1:67" ht="19.5" customHeight="1" thickTop="1" thickBot="1" x14ac:dyDescent="0.3">
      <c r="B3" s="32"/>
      <c r="C3" s="7" t="s">
        <v>1</v>
      </c>
      <c r="D3" s="126">
        <v>46209</v>
      </c>
      <c r="E3" s="7" t="s">
        <v>2</v>
      </c>
      <c r="F3" s="126">
        <f>D3+3</f>
        <v>46212</v>
      </c>
      <c r="G3" s="141" t="s">
        <v>210</v>
      </c>
      <c r="H3" s="139"/>
      <c r="I3" s="139"/>
      <c r="J3" s="140"/>
      <c r="K3" s="103">
        <v>130439106</v>
      </c>
      <c r="L3" s="99" t="s">
        <v>191</v>
      </c>
    </row>
    <row r="4" spans="1:67" ht="15.75" customHeight="1" thickTop="1" x14ac:dyDescent="0.25">
      <c r="K4" s="124">
        <v>130439107</v>
      </c>
      <c r="L4" s="99" t="s">
        <v>192</v>
      </c>
      <c r="O4" s="99" t="s">
        <v>211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7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37" t="str">
        <f t="shared" ref="A12:A69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37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37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37" t="str">
        <f t="shared" si="1"/>
        <v>6861</v>
      </c>
      <c r="B15" s="53" t="s">
        <v>25</v>
      </c>
      <c r="C15" s="50" t="s">
        <v>22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37" t="str">
        <f t="shared" si="1"/>
        <v>6862</v>
      </c>
      <c r="B16" s="53" t="s">
        <v>28</v>
      </c>
      <c r="C16" s="50" t="s">
        <v>22</v>
      </c>
      <c r="D16" s="51">
        <v>1001015706862</v>
      </c>
      <c r="E16" s="24"/>
      <c r="F16" s="23">
        <v>1.95</v>
      </c>
      <c r="G16" s="23">
        <f t="shared" ref="G16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37" t="str">
        <f t="shared" si="1"/>
        <v>6498</v>
      </c>
      <c r="B17" s="53" t="s">
        <v>34</v>
      </c>
      <c r="C17" s="50" t="s">
        <v>22</v>
      </c>
      <c r="D17" s="51">
        <v>1001012456498</v>
      </c>
      <c r="E17" s="24"/>
      <c r="F17" s="23">
        <v>1</v>
      </c>
      <c r="G17" s="23">
        <f t="shared" ref="G17:G18" si="3">E17</f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37" t="str">
        <f t="shared" si="1"/>
        <v>4063</v>
      </c>
      <c r="B18" s="53" t="s">
        <v>21</v>
      </c>
      <c r="C18" s="50" t="s">
        <v>22</v>
      </c>
      <c r="D18" s="51">
        <v>1001012484063</v>
      </c>
      <c r="E18" s="24"/>
      <c r="F18" s="23">
        <v>1.35</v>
      </c>
      <c r="G18" s="23">
        <f t="shared" si="3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37" t="str">
        <f t="shared" si="1"/>
        <v>6333</v>
      </c>
      <c r="B19" s="53" t="s">
        <v>23</v>
      </c>
      <c r="C19" s="50" t="s">
        <v>20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ht="16.5" customHeight="1" x14ac:dyDescent="0.25">
      <c r="A20" s="137" t="str">
        <f t="shared" si="1"/>
        <v>4574</v>
      </c>
      <c r="B20" s="53" t="s">
        <v>24</v>
      </c>
      <c r="C20" s="50" t="s">
        <v>22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L20" s="102"/>
    </row>
    <row r="21" spans="1:67" ht="16.5" customHeight="1" x14ac:dyDescent="0.25">
      <c r="A21" s="137" t="str">
        <f t="shared" si="1"/>
        <v>7334</v>
      </c>
      <c r="B21" s="53" t="s">
        <v>108</v>
      </c>
      <c r="C21" s="50" t="s">
        <v>20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2"/>
    </row>
    <row r="22" spans="1:67" s="54" customFormat="1" ht="16.5" customHeight="1" x14ac:dyDescent="0.25">
      <c r="A22" s="137" t="str">
        <f t="shared" si="1"/>
        <v>4813</v>
      </c>
      <c r="B22" s="53" t="s">
        <v>29</v>
      </c>
      <c r="C22" s="50" t="s">
        <v>22</v>
      </c>
      <c r="D22" s="51">
        <v>1001012564813</v>
      </c>
      <c r="E22" s="24"/>
      <c r="F22" s="128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37" t="str">
        <f t="shared" si="1"/>
        <v>6392</v>
      </c>
      <c r="B23" s="53" t="s">
        <v>109</v>
      </c>
      <c r="C23" s="50" t="s">
        <v>20</v>
      </c>
      <c r="D23" s="51">
        <v>1001012566392</v>
      </c>
      <c r="E23" s="24"/>
      <c r="F23" s="128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s="54" customFormat="1" ht="16.5" customHeight="1" x14ac:dyDescent="0.25">
      <c r="A24" s="137" t="str">
        <f t="shared" si="1"/>
        <v>5851</v>
      </c>
      <c r="B24" s="53" t="s">
        <v>110</v>
      </c>
      <c r="C24" s="50" t="s">
        <v>22</v>
      </c>
      <c r="D24" s="51">
        <v>1001012505851</v>
      </c>
      <c r="E24" s="24"/>
      <c r="F24" s="128">
        <v>1.35</v>
      </c>
      <c r="G24" s="23">
        <f>E24</f>
        <v>0</v>
      </c>
      <c r="H24" s="29">
        <v>4.05</v>
      </c>
      <c r="I24" s="29">
        <v>60</v>
      </c>
      <c r="J24" s="29"/>
      <c r="K24" s="27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</row>
    <row r="25" spans="1:67" ht="16.5" customHeight="1" x14ac:dyDescent="0.25">
      <c r="A25" s="137" t="str">
        <f t="shared" si="1"/>
        <v>7632</v>
      </c>
      <c r="B25" s="53" t="s">
        <v>194</v>
      </c>
      <c r="C25" s="50" t="s">
        <v>20</v>
      </c>
      <c r="D25" s="51">
        <v>1001012507632</v>
      </c>
      <c r="E25" s="24"/>
      <c r="F25" s="128">
        <v>0.4</v>
      </c>
      <c r="G25" s="23">
        <f>E25*F25</f>
        <v>0</v>
      </c>
      <c r="H25" s="29">
        <v>3.2</v>
      </c>
      <c r="I25" s="29">
        <v>60</v>
      </c>
      <c r="J25" s="52" t="s">
        <v>193</v>
      </c>
      <c r="L25" s="102"/>
    </row>
    <row r="26" spans="1:67" ht="16.5" customHeight="1" x14ac:dyDescent="0.25">
      <c r="A26" s="137" t="str">
        <f t="shared" si="1"/>
        <v>4561</v>
      </c>
      <c r="B26" s="53" t="s">
        <v>111</v>
      </c>
      <c r="C26" s="50" t="s">
        <v>22</v>
      </c>
      <c r="D26" s="51">
        <v>1001010014561</v>
      </c>
      <c r="E26" s="24"/>
      <c r="F26" s="23">
        <v>1.35</v>
      </c>
      <c r="G26" s="23">
        <f t="shared" ref="G26" si="4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37" t="str">
        <f t="shared" si="1"/>
        <v>6325</v>
      </c>
      <c r="B27" s="53" t="s">
        <v>32</v>
      </c>
      <c r="C27" s="50" t="s">
        <v>20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37" t="str">
        <f t="shared" si="1"/>
        <v>8014</v>
      </c>
      <c r="B28" s="53" t="s">
        <v>226</v>
      </c>
      <c r="C28" s="50" t="s">
        <v>22</v>
      </c>
      <c r="D28" s="51">
        <v>1001010108014</v>
      </c>
      <c r="E28" s="24"/>
      <c r="F28" s="128">
        <v>1.35</v>
      </c>
      <c r="G28" s="23">
        <f t="shared" ref="G28" si="5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37" t="str">
        <f t="shared" si="1"/>
        <v>7514</v>
      </c>
      <c r="B29" s="53" t="s">
        <v>227</v>
      </c>
      <c r="C29" s="50" t="s">
        <v>22</v>
      </c>
      <c r="D29" s="51">
        <v>1001017557514</v>
      </c>
      <c r="E29" s="24"/>
      <c r="F29" s="128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37" t="str">
        <f t="shared" si="1"/>
        <v>7518</v>
      </c>
      <c r="B30" s="53" t="s">
        <v>228</v>
      </c>
      <c r="C30" s="50" t="s">
        <v>22</v>
      </c>
      <c r="D30" s="51">
        <v>1001017567518</v>
      </c>
      <c r="E30" s="24"/>
      <c r="F30" s="128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37" t="str">
        <f t="shared" si="1"/>
        <v>7343</v>
      </c>
      <c r="B31" s="53" t="s">
        <v>31</v>
      </c>
      <c r="C31" s="50" t="s">
        <v>20</v>
      </c>
      <c r="D31" s="51">
        <v>1001016747343</v>
      </c>
      <c r="E31" s="24"/>
      <c r="F31" s="128">
        <v>0.4</v>
      </c>
      <c r="G31" s="23">
        <f t="shared" ref="G31:G33" si="6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37" t="str">
        <f t="shared" si="1"/>
        <v>6797</v>
      </c>
      <c r="B32" s="53" t="s">
        <v>114</v>
      </c>
      <c r="C32" s="50" t="s">
        <v>20</v>
      </c>
      <c r="D32" s="51">
        <v>1001015026797</v>
      </c>
      <c r="E32" s="24"/>
      <c r="F32" s="128">
        <v>0.4</v>
      </c>
      <c r="G32" s="23">
        <f t="shared" si="6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37" t="str">
        <f t="shared" si="1"/>
        <v>7231</v>
      </c>
      <c r="B33" s="53" t="s">
        <v>33</v>
      </c>
      <c r="C33" s="50" t="s">
        <v>20</v>
      </c>
      <c r="D33" s="51">
        <v>1001013957231</v>
      </c>
      <c r="E33" s="24"/>
      <c r="F33" s="128">
        <v>0.3</v>
      </c>
      <c r="G33" s="23">
        <f t="shared" si="6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37" t="str">
        <f t="shared" si="1"/>
        <v>6602</v>
      </c>
      <c r="B35" s="53" t="s">
        <v>155</v>
      </c>
      <c r="C35" s="50" t="s">
        <v>20</v>
      </c>
      <c r="D35" s="51">
        <v>1001021966602</v>
      </c>
      <c r="E35" s="24"/>
      <c r="F35" s="128">
        <v>0.35</v>
      </c>
      <c r="G35" s="23">
        <f t="shared" ref="G35:G39" si="7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37" t="str">
        <f t="shared" si="1"/>
        <v>7601</v>
      </c>
      <c r="B36" s="53" t="s">
        <v>218</v>
      </c>
      <c r="C36" s="50" t="s">
        <v>20</v>
      </c>
      <c r="D36" s="51">
        <v>1001025767601</v>
      </c>
      <c r="E36" s="24"/>
      <c r="F36" s="128">
        <v>0.26400000000000001</v>
      </c>
      <c r="G36" s="23">
        <f t="shared" si="7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37" t="str">
        <f t="shared" si="1"/>
        <v>7461</v>
      </c>
      <c r="B37" s="53" t="s">
        <v>189</v>
      </c>
      <c r="C37" s="50" t="s">
        <v>20</v>
      </c>
      <c r="D37" s="51">
        <v>1001025767461</v>
      </c>
      <c r="E37" s="24"/>
      <c r="F37" s="128">
        <v>0.33</v>
      </c>
      <c r="G37" s="23">
        <f t="shared" si="7"/>
        <v>0</v>
      </c>
      <c r="H37" s="29">
        <v>1.98</v>
      </c>
      <c r="I37" s="29">
        <v>30</v>
      </c>
      <c r="J37" s="52" t="s">
        <v>223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37" t="str">
        <f t="shared" si="1"/>
        <v>7040</v>
      </c>
      <c r="B38" s="53" t="s">
        <v>214</v>
      </c>
      <c r="C38" s="50" t="s">
        <v>20</v>
      </c>
      <c r="D38" s="51">
        <v>1001025027040</v>
      </c>
      <c r="E38" s="24"/>
      <c r="F38" s="128">
        <v>0.27</v>
      </c>
      <c r="G38" s="23">
        <f t="shared" si="7"/>
        <v>0</v>
      </c>
      <c r="H38" s="29"/>
      <c r="I38" s="29"/>
      <c r="J38" s="125" t="s">
        <v>196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37" t="str">
        <f t="shared" si="1"/>
        <v>6759</v>
      </c>
      <c r="B39" s="53" t="s">
        <v>41</v>
      </c>
      <c r="C39" s="50" t="s">
        <v>20</v>
      </c>
      <c r="D39" s="51">
        <v>1001020836759</v>
      </c>
      <c r="E39" s="24"/>
      <c r="F39" s="128">
        <v>0.4</v>
      </c>
      <c r="G39" s="23">
        <f t="shared" si="7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37" t="str">
        <f t="shared" si="1"/>
        <v>6761</v>
      </c>
      <c r="B40" s="53" t="s">
        <v>52</v>
      </c>
      <c r="C40" s="50" t="s">
        <v>22</v>
      </c>
      <c r="D40" s="51">
        <v>1001020836761</v>
      </c>
      <c r="E40" s="24"/>
      <c r="F40" s="128">
        <v>1</v>
      </c>
      <c r="G40" s="23">
        <f t="shared" ref="G40:G41" si="8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37" t="str">
        <f t="shared" si="1"/>
        <v>6829</v>
      </c>
      <c r="B41" s="53" t="s">
        <v>156</v>
      </c>
      <c r="C41" s="50" t="s">
        <v>22</v>
      </c>
      <c r="D41" s="51">
        <v>1001024976829</v>
      </c>
      <c r="E41" s="24"/>
      <c r="F41" s="128">
        <v>2.1</v>
      </c>
      <c r="G41" s="23">
        <f t="shared" si="8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37" t="str">
        <f t="shared" si="1"/>
        <v>6616</v>
      </c>
      <c r="B42" s="53" t="s">
        <v>42</v>
      </c>
      <c r="C42" s="50" t="s">
        <v>20</v>
      </c>
      <c r="D42" s="51">
        <v>1001024976616</v>
      </c>
      <c r="E42" s="24"/>
      <c r="F42" s="128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37" t="str">
        <f t="shared" si="1"/>
        <v>7075</v>
      </c>
      <c r="B43" s="53" t="s">
        <v>49</v>
      </c>
      <c r="C43" s="50" t="s">
        <v>22</v>
      </c>
      <c r="D43" s="51">
        <v>1001022657075</v>
      </c>
      <c r="E43" s="24"/>
      <c r="F43" s="128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37" t="str">
        <f t="shared" si="1"/>
        <v>7074</v>
      </c>
      <c r="B44" s="53" t="s">
        <v>157</v>
      </c>
      <c r="C44" s="50" t="s">
        <v>20</v>
      </c>
      <c r="D44" s="51">
        <v>1001022657074</v>
      </c>
      <c r="E44" s="24"/>
      <c r="F44" s="128">
        <v>0.6</v>
      </c>
      <c r="G44" s="23">
        <f t="shared" ref="G44:G47" si="9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37" t="str">
        <f t="shared" si="1"/>
        <v>7073</v>
      </c>
      <c r="B45" s="53" t="s">
        <v>50</v>
      </c>
      <c r="C45" s="50" t="s">
        <v>20</v>
      </c>
      <c r="D45" s="51">
        <v>1001022657073</v>
      </c>
      <c r="E45" s="24"/>
      <c r="F45" s="128">
        <v>0.35</v>
      </c>
      <c r="G45" s="23">
        <f t="shared" si="9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37" t="str">
        <f t="shared" si="1"/>
        <v>6724</v>
      </c>
      <c r="B46" s="53" t="s">
        <v>51</v>
      </c>
      <c r="C46" s="50" t="s">
        <v>20</v>
      </c>
      <c r="D46" s="51">
        <v>1001020836724</v>
      </c>
      <c r="E46" s="24"/>
      <c r="F46" s="128">
        <v>0.41</v>
      </c>
      <c r="G46" s="23">
        <f t="shared" si="9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37" t="str">
        <f t="shared" si="1"/>
        <v>5819</v>
      </c>
      <c r="B47" s="53" t="s">
        <v>38</v>
      </c>
      <c r="C47" s="50" t="s">
        <v>20</v>
      </c>
      <c r="D47" s="51">
        <v>1001022725819</v>
      </c>
      <c r="E47" s="24"/>
      <c r="F47" s="128">
        <v>0.4</v>
      </c>
      <c r="G47" s="23">
        <f t="shared" si="9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37" t="str">
        <f t="shared" si="1"/>
        <v>6303</v>
      </c>
      <c r="B48" s="53" t="s">
        <v>158</v>
      </c>
      <c r="C48" s="50" t="s">
        <v>22</v>
      </c>
      <c r="D48" s="51">
        <v>1001022726303</v>
      </c>
      <c r="E48" s="24"/>
      <c r="F48" s="128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37" t="str">
        <f t="shared" si="1"/>
        <v>7255</v>
      </c>
      <c r="B49" s="53" t="s">
        <v>37</v>
      </c>
      <c r="C49" s="50" t="s">
        <v>20</v>
      </c>
      <c r="D49" s="51">
        <v>1001025507255</v>
      </c>
      <c r="E49" s="24"/>
      <c r="F49" s="128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37" t="str">
        <f t="shared" si="1"/>
        <v>7271</v>
      </c>
      <c r="B50" s="53" t="s">
        <v>159</v>
      </c>
      <c r="C50" s="50" t="s">
        <v>22</v>
      </c>
      <c r="D50" s="51">
        <v>1001025507271</v>
      </c>
      <c r="E50" s="24"/>
      <c r="F50" s="128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37" t="str">
        <f t="shared" si="1"/>
        <v>6765</v>
      </c>
      <c r="B51" s="53" t="s">
        <v>40</v>
      </c>
      <c r="C51" s="50" t="s">
        <v>20</v>
      </c>
      <c r="D51" s="51">
        <v>1001023696765</v>
      </c>
      <c r="E51" s="24"/>
      <c r="F51" s="128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s="54" customFormat="1" ht="16.5" customHeight="1" x14ac:dyDescent="0.25">
      <c r="A52" s="137" t="str">
        <f t="shared" si="1"/>
        <v>6767</v>
      </c>
      <c r="B52" s="53" t="s">
        <v>43</v>
      </c>
      <c r="C52" s="50" t="s">
        <v>22</v>
      </c>
      <c r="D52" s="51">
        <v>1001023696767</v>
      </c>
      <c r="E52" s="24"/>
      <c r="F52" s="128">
        <v>1.04</v>
      </c>
      <c r="G52" s="23">
        <f>E52</f>
        <v>0</v>
      </c>
      <c r="H52" s="29">
        <v>4.16</v>
      </c>
      <c r="I52" s="29">
        <v>45</v>
      </c>
      <c r="J52" s="29"/>
      <c r="K52" s="27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  <c r="AU52" s="102"/>
      <c r="AV52" s="102"/>
      <c r="AW52" s="102"/>
      <c r="AX52" s="102"/>
      <c r="AY52" s="102"/>
      <c r="AZ52" s="102"/>
      <c r="BA52" s="102"/>
      <c r="BB52" s="102"/>
      <c r="BC52" s="102"/>
      <c r="BD52" s="102"/>
      <c r="BE52" s="102"/>
      <c r="BF52" s="102"/>
      <c r="BG52" s="102"/>
      <c r="BH52" s="102"/>
      <c r="BI52" s="102"/>
      <c r="BJ52" s="102"/>
      <c r="BK52" s="102"/>
      <c r="BL52" s="102"/>
      <c r="BM52" s="102"/>
      <c r="BN52" s="102"/>
      <c r="BO52" s="102"/>
    </row>
    <row r="53" spans="1:67" s="54" customFormat="1" ht="16.5" customHeight="1" x14ac:dyDescent="0.25">
      <c r="A53" s="137" t="str">
        <f t="shared" si="1"/>
        <v>6475</v>
      </c>
      <c r="B53" s="53" t="s">
        <v>45</v>
      </c>
      <c r="C53" s="50" t="s">
        <v>20</v>
      </c>
      <c r="D53" s="51">
        <v>1001025176475</v>
      </c>
      <c r="E53" s="24"/>
      <c r="F53" s="128">
        <v>0.4</v>
      </c>
      <c r="G53" s="23">
        <f>E53*F53</f>
        <v>0</v>
      </c>
      <c r="H53" s="29">
        <v>2.4</v>
      </c>
      <c r="I53" s="29">
        <v>45</v>
      </c>
      <c r="J53" s="29"/>
      <c r="K53" s="27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</row>
    <row r="54" spans="1:67" s="54" customFormat="1" ht="16.5" customHeight="1" x14ac:dyDescent="0.25">
      <c r="A54" s="137" t="str">
        <f t="shared" si="1"/>
        <v>7083</v>
      </c>
      <c r="B54" s="53" t="s">
        <v>160</v>
      </c>
      <c r="C54" s="50" t="s">
        <v>22</v>
      </c>
      <c r="D54" s="51">
        <v>1001022467083</v>
      </c>
      <c r="E54" s="24"/>
      <c r="F54" s="128">
        <v>1.5</v>
      </c>
      <c r="G54" s="23">
        <f>E54</f>
        <v>0</v>
      </c>
      <c r="H54" s="29">
        <v>6</v>
      </c>
      <c r="I54" s="29">
        <v>50</v>
      </c>
      <c r="J54" s="29"/>
      <c r="K54" s="27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2"/>
      <c r="AJ54" s="102"/>
      <c r="AK54" s="102"/>
      <c r="AL54" s="102"/>
      <c r="AM54" s="102"/>
      <c r="AN54" s="102"/>
      <c r="AO54" s="102"/>
      <c r="AP54" s="102"/>
      <c r="AQ54" s="102"/>
      <c r="AR54" s="102"/>
      <c r="AS54" s="102"/>
      <c r="AT54" s="102"/>
      <c r="AU54" s="102"/>
      <c r="AV54" s="102"/>
      <c r="AW54" s="102"/>
      <c r="AX54" s="102"/>
      <c r="AY54" s="102"/>
      <c r="AZ54" s="102"/>
      <c r="BA54" s="102"/>
      <c r="BB54" s="102"/>
      <c r="BC54" s="102"/>
      <c r="BD54" s="102"/>
      <c r="BE54" s="102"/>
      <c r="BF54" s="102"/>
      <c r="BG54" s="102"/>
      <c r="BH54" s="102"/>
      <c r="BI54" s="102"/>
      <c r="BJ54" s="102"/>
      <c r="BK54" s="102"/>
      <c r="BL54" s="102"/>
      <c r="BM54" s="102"/>
      <c r="BN54" s="102"/>
      <c r="BO54" s="102"/>
    </row>
    <row r="55" spans="1:67" s="54" customFormat="1" ht="16.5" customHeight="1" x14ac:dyDescent="0.25">
      <c r="A55" s="137" t="str">
        <f t="shared" si="1"/>
        <v>7080</v>
      </c>
      <c r="B55" s="53" t="s">
        <v>53</v>
      </c>
      <c r="C55" s="50" t="s">
        <v>20</v>
      </c>
      <c r="D55" s="51">
        <v>1001022467080</v>
      </c>
      <c r="E55" s="24"/>
      <c r="F55" s="128">
        <v>0.41</v>
      </c>
      <c r="G55" s="23">
        <f t="shared" ref="G55:G57" si="10">E55*F55</f>
        <v>0</v>
      </c>
      <c r="H55" s="29">
        <v>4.0999999999999996</v>
      </c>
      <c r="I55" s="29">
        <v>50</v>
      </c>
      <c r="J55" s="29"/>
      <c r="K55" s="27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2"/>
      <c r="AJ55" s="102"/>
      <c r="AK55" s="102"/>
      <c r="AL55" s="102"/>
      <c r="AM55" s="102"/>
      <c r="AN55" s="102"/>
      <c r="AO55" s="102"/>
      <c r="AP55" s="102"/>
      <c r="AQ55" s="102"/>
      <c r="AR55" s="102"/>
      <c r="AS55" s="102"/>
      <c r="AT55" s="102"/>
      <c r="AU55" s="102"/>
      <c r="AV55" s="102"/>
      <c r="AW55" s="102"/>
      <c r="AX55" s="102"/>
      <c r="AY55" s="102"/>
      <c r="AZ55" s="102"/>
      <c r="BA55" s="102"/>
      <c r="BB55" s="102"/>
      <c r="BC55" s="102"/>
      <c r="BD55" s="102"/>
      <c r="BE55" s="102"/>
      <c r="BF55" s="102"/>
      <c r="BG55" s="102"/>
      <c r="BH55" s="102"/>
      <c r="BI55" s="102"/>
      <c r="BJ55" s="102"/>
      <c r="BK55" s="102"/>
      <c r="BL55" s="102"/>
      <c r="BM55" s="102"/>
      <c r="BN55" s="102"/>
      <c r="BO55" s="102"/>
    </row>
    <row r="56" spans="1:67" ht="16.5" customHeight="1" x14ac:dyDescent="0.25">
      <c r="A56" s="137" t="str">
        <f t="shared" si="1"/>
        <v>7276</v>
      </c>
      <c r="B56" s="53" t="s">
        <v>54</v>
      </c>
      <c r="C56" s="50" t="s">
        <v>20</v>
      </c>
      <c r="D56" s="51">
        <v>1001022467276</v>
      </c>
      <c r="E56" s="24"/>
      <c r="F56" s="128">
        <v>0.3</v>
      </c>
      <c r="G56" s="23">
        <f t="shared" si="10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37" t="str">
        <f t="shared" si="1"/>
        <v>6762</v>
      </c>
      <c r="B57" s="53" t="s">
        <v>39</v>
      </c>
      <c r="C57" s="50" t="s">
        <v>20</v>
      </c>
      <c r="D57" s="51">
        <v>1001020846762</v>
      </c>
      <c r="E57" s="24"/>
      <c r="F57" s="128">
        <v>0.41</v>
      </c>
      <c r="G57" s="23">
        <f t="shared" si="10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37" t="str">
        <f t="shared" si="1"/>
        <v>6764</v>
      </c>
      <c r="B58" s="53" t="s">
        <v>48</v>
      </c>
      <c r="C58" s="50" t="s">
        <v>22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37" t="str">
        <f t="shared" si="1"/>
        <v>7066</v>
      </c>
      <c r="B59" s="53" t="s">
        <v>55</v>
      </c>
      <c r="C59" s="50" t="s">
        <v>20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37" t="str">
        <f t="shared" si="1"/>
        <v>7070</v>
      </c>
      <c r="B60" s="53" t="s">
        <v>44</v>
      </c>
      <c r="C60" s="50" t="s">
        <v>22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37" t="str">
        <f t="shared" si="1"/>
        <v>6713</v>
      </c>
      <c r="B61" s="53" t="s">
        <v>46</v>
      </c>
      <c r="C61" s="50" t="s">
        <v>20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37" t="str">
        <f t="shared" si="1"/>
        <v>6661</v>
      </c>
      <c r="B62" s="53" t="s">
        <v>161</v>
      </c>
      <c r="C62" s="50" t="s">
        <v>22</v>
      </c>
      <c r="D62" s="51">
        <v>1001022246661</v>
      </c>
      <c r="E62" s="24"/>
      <c r="F62" s="23">
        <v>1.5</v>
      </c>
      <c r="G62" s="23">
        <f t="shared" ref="G62:G63" si="11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37" t="str">
        <f t="shared" si="1"/>
        <v>6254</v>
      </c>
      <c r="B63" s="53" t="s">
        <v>162</v>
      </c>
      <c r="C63" s="50" t="s">
        <v>22</v>
      </c>
      <c r="D63" s="51">
        <v>1001022556254</v>
      </c>
      <c r="E63" s="24"/>
      <c r="F63" s="23">
        <v>1.5</v>
      </c>
      <c r="G63" s="23">
        <f t="shared" si="11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37" t="str">
        <f t="shared" si="1"/>
        <v>6837</v>
      </c>
      <c r="B64" s="53" t="s">
        <v>47</v>
      </c>
      <c r="C64" s="50" t="s">
        <v>20</v>
      </c>
      <c r="D64" s="51">
        <v>1001022556837</v>
      </c>
      <c r="E64" s="24"/>
      <c r="F64" s="23">
        <v>0.4</v>
      </c>
      <c r="G64" s="23">
        <f t="shared" ref="G64:G65" si="12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37" t="str">
        <f t="shared" si="1"/>
        <v>7044</v>
      </c>
      <c r="B65" s="53" t="s">
        <v>164</v>
      </c>
      <c r="C65" s="50" t="s">
        <v>20</v>
      </c>
      <c r="D65" s="51">
        <v>1001025167044</v>
      </c>
      <c r="E65" s="24"/>
      <c r="F65" s="23">
        <v>0.32</v>
      </c>
      <c r="G65" s="23">
        <f t="shared" si="12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104</v>
      </c>
      <c r="B66" s="42" t="s">
        <v>56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37" t="str">
        <f t="shared" si="1"/>
        <v>6550</v>
      </c>
      <c r="B67" s="129" t="s">
        <v>151</v>
      </c>
      <c r="C67" s="130" t="s">
        <v>22</v>
      </c>
      <c r="D67" s="51">
        <v>1001032736550</v>
      </c>
      <c r="E67" s="24"/>
      <c r="F67" s="128">
        <v>1</v>
      </c>
      <c r="G67" s="23">
        <f t="shared" ref="G67:G70" si="13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37" t="str">
        <f t="shared" si="1"/>
        <v>6608</v>
      </c>
      <c r="B68" s="129" t="s">
        <v>58</v>
      </c>
      <c r="C68" s="50" t="s">
        <v>22</v>
      </c>
      <c r="D68" s="51">
        <v>1001033856608</v>
      </c>
      <c r="E68" s="24"/>
      <c r="F68" s="23">
        <v>1</v>
      </c>
      <c r="G68" s="23">
        <f t="shared" si="13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37" t="str">
        <f t="shared" si="1"/>
        <v>7001</v>
      </c>
      <c r="B69" s="129" t="s">
        <v>57</v>
      </c>
      <c r="C69" s="50" t="s">
        <v>22</v>
      </c>
      <c r="D69" s="51">
        <v>1001035937001</v>
      </c>
      <c r="E69" s="24"/>
      <c r="F69" s="23">
        <v>1</v>
      </c>
      <c r="G69" s="23">
        <f t="shared" si="13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37" t="str">
        <f t="shared" ref="A70:A72" si="14">RIGHT(D70,4)</f>
        <v>6527</v>
      </c>
      <c r="B70" s="129" t="s">
        <v>152</v>
      </c>
      <c r="C70" s="50" t="s">
        <v>22</v>
      </c>
      <c r="D70" s="51">
        <v>1001031076527</v>
      </c>
      <c r="E70" s="24"/>
      <c r="F70" s="23">
        <v>1</v>
      </c>
      <c r="G70" s="23">
        <f t="shared" si="13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37" t="str">
        <f t="shared" si="14"/>
        <v>6609</v>
      </c>
      <c r="B71" s="129" t="s">
        <v>153</v>
      </c>
      <c r="C71" s="50" t="s">
        <v>20</v>
      </c>
      <c r="D71" s="51">
        <v>1001033856609</v>
      </c>
      <c r="E71" s="24"/>
      <c r="F71" s="23">
        <v>0.4</v>
      </c>
      <c r="G71" s="23">
        <f t="shared" ref="G71:G72" si="15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37" t="str">
        <f t="shared" si="14"/>
        <v>7059</v>
      </c>
      <c r="B72" s="129" t="s">
        <v>154</v>
      </c>
      <c r="C72" s="50" t="s">
        <v>20</v>
      </c>
      <c r="D72" s="51">
        <v>1001035277059</v>
      </c>
      <c r="E72" s="24"/>
      <c r="F72" s="23">
        <v>0.3</v>
      </c>
      <c r="G72" s="23">
        <f t="shared" si="15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104</v>
      </c>
      <c r="B73" s="42" t="s">
        <v>59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37" t="str">
        <f t="shared" ref="A74:A100" si="16">RIGHT(D74,4)</f>
        <v>7564</v>
      </c>
      <c r="B74" s="53" t="s">
        <v>121</v>
      </c>
      <c r="C74" s="50" t="s">
        <v>22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169</v>
      </c>
      <c r="L74" s="102"/>
    </row>
    <row r="75" spans="1:12" ht="16.5" customHeight="1" x14ac:dyDescent="0.25">
      <c r="A75" s="137" t="str">
        <f t="shared" si="16"/>
        <v>7603</v>
      </c>
      <c r="B75" s="53" t="s">
        <v>122</v>
      </c>
      <c r="C75" s="50" t="s">
        <v>20</v>
      </c>
      <c r="D75" s="51">
        <v>1001303637603</v>
      </c>
      <c r="E75" s="24"/>
      <c r="F75" s="23">
        <v>0.33</v>
      </c>
      <c r="G75" s="23">
        <f t="shared" ref="G75:G87" si="17">E75*F75</f>
        <v>0</v>
      </c>
      <c r="H75" s="14">
        <v>2.64</v>
      </c>
      <c r="I75" s="14">
        <v>45</v>
      </c>
      <c r="J75" s="52" t="s">
        <v>170</v>
      </c>
      <c r="L75" s="102"/>
    </row>
    <row r="76" spans="1:12" ht="16.5" customHeight="1" x14ac:dyDescent="0.25">
      <c r="A76" s="137" t="str">
        <f t="shared" si="16"/>
        <v>7149</v>
      </c>
      <c r="B76" s="53" t="s">
        <v>19</v>
      </c>
      <c r="C76" s="50" t="s">
        <v>20</v>
      </c>
      <c r="D76" s="51">
        <v>1001303637149</v>
      </c>
      <c r="E76" s="24"/>
      <c r="F76" s="23">
        <v>0.84</v>
      </c>
      <c r="G76" s="23">
        <f t="shared" si="17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37" t="str">
        <f t="shared" si="16"/>
        <v>7233</v>
      </c>
      <c r="B77" s="53" t="s">
        <v>219</v>
      </c>
      <c r="C77" s="50" t="s">
        <v>20</v>
      </c>
      <c r="D77" s="51">
        <v>1001303637233</v>
      </c>
      <c r="E77" s="24"/>
      <c r="F77" s="128">
        <v>0.31</v>
      </c>
      <c r="G77" s="23">
        <f t="shared" si="17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37" t="str">
        <f t="shared" si="16"/>
        <v>7232</v>
      </c>
      <c r="B78" s="53" t="s">
        <v>61</v>
      </c>
      <c r="C78" s="50" t="s">
        <v>20</v>
      </c>
      <c r="D78" s="51">
        <v>1001302277232</v>
      </c>
      <c r="E78" s="24"/>
      <c r="F78" s="128">
        <v>0.28000000000000003</v>
      </c>
      <c r="G78" s="23">
        <f t="shared" si="17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37" t="str">
        <f t="shared" si="16"/>
        <v>7241</v>
      </c>
      <c r="B79" s="53" t="s">
        <v>63</v>
      </c>
      <c r="C79" s="50" t="s">
        <v>20</v>
      </c>
      <c r="D79" s="51">
        <v>1001303107241</v>
      </c>
      <c r="E79" s="24"/>
      <c r="F79" s="128">
        <v>0.28000000000000003</v>
      </c>
      <c r="G79" s="23">
        <f t="shared" si="17"/>
        <v>0</v>
      </c>
      <c r="H79" s="29">
        <v>2.2400000000000002</v>
      </c>
      <c r="I79" s="29">
        <v>45</v>
      </c>
      <c r="J79" s="29"/>
      <c r="L79" s="102"/>
    </row>
    <row r="80" spans="1:12" ht="16.5" customHeight="1" x14ac:dyDescent="0.25">
      <c r="A80" s="137" t="str">
        <f t="shared" si="16"/>
        <v>7133</v>
      </c>
      <c r="B80" s="53" t="s">
        <v>73</v>
      </c>
      <c r="C80" s="50" t="s">
        <v>22</v>
      </c>
      <c r="D80" s="51">
        <v>1001300367133</v>
      </c>
      <c r="E80" s="24"/>
      <c r="F80" s="128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12" ht="16.5" customHeight="1" x14ac:dyDescent="0.25">
      <c r="A81" s="137" t="str">
        <f t="shared" si="16"/>
        <v>6946</v>
      </c>
      <c r="B81" s="53" t="s">
        <v>178</v>
      </c>
      <c r="C81" s="50" t="s">
        <v>22</v>
      </c>
      <c r="D81" s="51">
        <v>1001300456946</v>
      </c>
      <c r="E81" s="24"/>
      <c r="F81" s="128"/>
      <c r="G81" s="23">
        <f>E81</f>
        <v>0</v>
      </c>
      <c r="H81" s="29"/>
      <c r="I81" s="29"/>
      <c r="J81" s="29"/>
      <c r="L81" s="102"/>
    </row>
    <row r="82" spans="1:12" ht="16.5" customHeight="1" x14ac:dyDescent="0.25">
      <c r="A82" s="137" t="str">
        <f t="shared" si="16"/>
        <v>6807</v>
      </c>
      <c r="B82" s="53" t="s">
        <v>75</v>
      </c>
      <c r="C82" s="50" t="s">
        <v>20</v>
      </c>
      <c r="D82" s="51">
        <v>1001300366807</v>
      </c>
      <c r="E82" s="24"/>
      <c r="F82" s="128">
        <v>0.33</v>
      </c>
      <c r="G82" s="23">
        <f t="shared" si="17"/>
        <v>0</v>
      </c>
      <c r="H82" s="29">
        <v>2.64</v>
      </c>
      <c r="I82" s="29">
        <v>45</v>
      </c>
      <c r="J82" s="29"/>
      <c r="L82" s="102"/>
    </row>
    <row r="83" spans="1:12" ht="16.5" customHeight="1" x14ac:dyDescent="0.25">
      <c r="A83" s="137" t="str">
        <f t="shared" si="16"/>
        <v>7154</v>
      </c>
      <c r="B83" s="53" t="s">
        <v>64</v>
      </c>
      <c r="C83" s="50" t="s">
        <v>20</v>
      </c>
      <c r="D83" s="51">
        <v>1001300387154</v>
      </c>
      <c r="E83" s="24"/>
      <c r="F83" s="23">
        <v>0.35</v>
      </c>
      <c r="G83" s="23">
        <f t="shared" si="17"/>
        <v>0</v>
      </c>
      <c r="H83" s="14">
        <v>2.8</v>
      </c>
      <c r="I83" s="14">
        <v>50</v>
      </c>
      <c r="J83" s="29"/>
      <c r="L83" s="102"/>
    </row>
    <row r="84" spans="1:12" ht="16.5" customHeight="1" x14ac:dyDescent="0.25">
      <c r="A84" s="137" t="str">
        <f t="shared" si="16"/>
        <v>7157</v>
      </c>
      <c r="B84" s="53" t="s">
        <v>74</v>
      </c>
      <c r="C84" s="50" t="s">
        <v>22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12" ht="16.5" customHeight="1" x14ac:dyDescent="0.25">
      <c r="A85" s="137" t="str">
        <f t="shared" si="16"/>
        <v>7236</v>
      </c>
      <c r="B85" s="53" t="s">
        <v>68</v>
      </c>
      <c r="C85" s="50" t="s">
        <v>20</v>
      </c>
      <c r="D85" s="51">
        <v>1001304507236</v>
      </c>
      <c r="E85" s="24"/>
      <c r="F85" s="23">
        <v>0.28000000000000003</v>
      </c>
      <c r="G85" s="23">
        <f t="shared" si="17"/>
        <v>0</v>
      </c>
      <c r="H85" s="14">
        <v>2.2400000000000002</v>
      </c>
      <c r="I85" s="14">
        <v>45</v>
      </c>
      <c r="J85" s="29"/>
      <c r="L85" s="102"/>
    </row>
    <row r="86" spans="1:12" ht="16.5" customHeight="1" x14ac:dyDescent="0.25">
      <c r="A86" s="137" t="str">
        <f t="shared" si="16"/>
        <v>7489</v>
      </c>
      <c r="B86" s="53" t="s">
        <v>212</v>
      </c>
      <c r="C86" s="50" t="s">
        <v>20</v>
      </c>
      <c r="D86" s="51">
        <v>1001307357489</v>
      </c>
      <c r="E86" s="24"/>
      <c r="F86" s="23">
        <v>0.28000000000000003</v>
      </c>
      <c r="G86" s="23">
        <f t="shared" si="17"/>
        <v>0</v>
      </c>
      <c r="H86" s="14"/>
      <c r="I86" s="14"/>
      <c r="J86" s="125" t="s">
        <v>196</v>
      </c>
      <c r="L86" s="102"/>
    </row>
    <row r="87" spans="1:12" ht="16.5" customHeight="1" x14ac:dyDescent="0.25">
      <c r="A87" s="137" t="str">
        <f t="shared" si="16"/>
        <v>6787</v>
      </c>
      <c r="B87" s="131" t="s">
        <v>65</v>
      </c>
      <c r="C87" s="50" t="s">
        <v>20</v>
      </c>
      <c r="D87" s="51">
        <v>1001300456787</v>
      </c>
      <c r="E87" s="24"/>
      <c r="F87" s="23">
        <v>0.33</v>
      </c>
      <c r="G87" s="23">
        <f t="shared" si="17"/>
        <v>0</v>
      </c>
      <c r="H87" s="14">
        <v>2.64</v>
      </c>
      <c r="I87" s="14">
        <v>45</v>
      </c>
      <c r="J87" s="29"/>
      <c r="L87" s="102"/>
    </row>
    <row r="88" spans="1:12" ht="15.75" customHeight="1" x14ac:dyDescent="0.25">
      <c r="A88" s="137" t="str">
        <f t="shared" si="16"/>
        <v>7166</v>
      </c>
      <c r="B88" s="131" t="s">
        <v>71</v>
      </c>
      <c r="C88" s="50" t="s">
        <v>22</v>
      </c>
      <c r="D88" s="51">
        <v>1001303987166</v>
      </c>
      <c r="E88" s="24"/>
      <c r="F88" s="23">
        <v>0.7</v>
      </c>
      <c r="G88" s="23">
        <f>E88</f>
        <v>0</v>
      </c>
      <c r="H88" s="14">
        <v>5.6</v>
      </c>
      <c r="I88" s="14">
        <v>50</v>
      </c>
      <c r="J88" s="29"/>
      <c r="L88" s="102"/>
    </row>
    <row r="89" spans="1:12" ht="15.75" customHeight="1" x14ac:dyDescent="0.25">
      <c r="A89" s="137" t="str">
        <f t="shared" si="16"/>
        <v>7169</v>
      </c>
      <c r="B89" s="53" t="s">
        <v>70</v>
      </c>
      <c r="C89" s="50" t="s">
        <v>20</v>
      </c>
      <c r="D89" s="51">
        <v>1001303987169</v>
      </c>
      <c r="E89" s="24"/>
      <c r="F89" s="23">
        <v>0.35</v>
      </c>
      <c r="G89" s="23">
        <f>E89*F89</f>
        <v>0</v>
      </c>
      <c r="H89" s="14">
        <v>2.8</v>
      </c>
      <c r="I89" s="14">
        <v>50</v>
      </c>
      <c r="J89" s="29"/>
      <c r="L89" s="102"/>
    </row>
    <row r="90" spans="1:12" ht="15.75" customHeight="1" x14ac:dyDescent="0.25">
      <c r="A90" s="137" t="str">
        <f t="shared" si="16"/>
        <v>7156</v>
      </c>
      <c r="B90" s="53" t="s">
        <v>225</v>
      </c>
      <c r="C90" s="50" t="s">
        <v>20</v>
      </c>
      <c r="D90" s="51">
        <v>1001304237156</v>
      </c>
      <c r="E90" s="24"/>
      <c r="F90" s="23">
        <v>0.35</v>
      </c>
      <c r="G90" s="23">
        <f>E90*F90</f>
        <v>0</v>
      </c>
      <c r="H90" s="14"/>
      <c r="I90" s="14"/>
      <c r="J90" s="49"/>
      <c r="L90" s="102"/>
    </row>
    <row r="91" spans="1:12" ht="15.75" customHeight="1" x14ac:dyDescent="0.25">
      <c r="A91" s="137" t="str">
        <f t="shared" si="16"/>
        <v>5544</v>
      </c>
      <c r="B91" s="53" t="s">
        <v>72</v>
      </c>
      <c r="C91" s="50" t="s">
        <v>22</v>
      </c>
      <c r="D91" s="51">
        <v>1001051875544</v>
      </c>
      <c r="E91" s="24"/>
      <c r="F91" s="23">
        <v>0.81</v>
      </c>
      <c r="G91" s="23">
        <f>E91</f>
        <v>0</v>
      </c>
      <c r="H91" s="14">
        <v>4.8600000000000003</v>
      </c>
      <c r="I91" s="14">
        <v>45</v>
      </c>
      <c r="J91" s="49"/>
      <c r="L91" s="102"/>
    </row>
    <row r="92" spans="1:12" ht="15.75" customHeight="1" x14ac:dyDescent="0.25">
      <c r="A92" s="137" t="str">
        <f t="shared" si="16"/>
        <v>6697</v>
      </c>
      <c r="B92" s="53" t="s">
        <v>66</v>
      </c>
      <c r="C92" s="50" t="s">
        <v>20</v>
      </c>
      <c r="D92" s="51">
        <v>1001301876697</v>
      </c>
      <c r="E92" s="24"/>
      <c r="F92" s="23">
        <v>0.35</v>
      </c>
      <c r="G92" s="23">
        <f t="shared" ref="G92:G100" si="18">E92*F92</f>
        <v>0</v>
      </c>
      <c r="H92" s="14">
        <v>2.8</v>
      </c>
      <c r="I92" s="14">
        <v>45</v>
      </c>
      <c r="J92" s="49"/>
      <c r="L92" s="102"/>
    </row>
    <row r="93" spans="1:12" ht="15.75" customHeight="1" x14ac:dyDescent="0.25">
      <c r="A93" s="137" t="str">
        <f t="shared" si="16"/>
        <v>7238</v>
      </c>
      <c r="B93" s="53" t="s">
        <v>123</v>
      </c>
      <c r="C93" s="50" t="s">
        <v>20</v>
      </c>
      <c r="D93" s="51">
        <v>1001305197238</v>
      </c>
      <c r="E93" s="24"/>
      <c r="F93" s="23">
        <v>0.31</v>
      </c>
      <c r="G93" s="23">
        <f t="shared" si="18"/>
        <v>0</v>
      </c>
      <c r="H93" s="14">
        <v>2.48</v>
      </c>
      <c r="I93" s="14">
        <v>45</v>
      </c>
      <c r="J93" s="49"/>
      <c r="L93" s="102"/>
    </row>
    <row r="94" spans="1:12" ht="15.75" customHeight="1" x14ac:dyDescent="0.25">
      <c r="A94" s="137" t="str">
        <f t="shared" si="16"/>
        <v>7516</v>
      </c>
      <c r="B94" s="53" t="s">
        <v>231</v>
      </c>
      <c r="C94" s="50" t="s">
        <v>20</v>
      </c>
      <c r="D94" s="51">
        <v>1001307107516</v>
      </c>
      <c r="E94" s="24"/>
      <c r="F94" s="23">
        <v>0.31</v>
      </c>
      <c r="G94" s="23">
        <f t="shared" ref="G94" si="19">E94*F94</f>
        <v>0</v>
      </c>
      <c r="H94" s="14"/>
      <c r="I94" s="14"/>
      <c r="J94" s="49"/>
      <c r="L94" s="102"/>
    </row>
    <row r="95" spans="1:12" ht="15.75" customHeight="1" x14ac:dyDescent="0.25">
      <c r="A95" s="137" t="str">
        <f t="shared" si="16"/>
        <v>7513</v>
      </c>
      <c r="B95" s="53" t="s">
        <v>230</v>
      </c>
      <c r="C95" s="50" t="s">
        <v>20</v>
      </c>
      <c r="D95" s="51">
        <v>1001307077513</v>
      </c>
      <c r="E95" s="24"/>
      <c r="F95" s="23">
        <v>0.26</v>
      </c>
      <c r="G95" s="23">
        <f t="shared" ref="G95" si="20">E95*F95</f>
        <v>0</v>
      </c>
      <c r="H95" s="14"/>
      <c r="I95" s="14"/>
      <c r="J95" s="49"/>
      <c r="L95" s="102"/>
    </row>
    <row r="96" spans="1:12" ht="15.75" customHeight="1" x14ac:dyDescent="0.25">
      <c r="A96" s="137" t="str">
        <f t="shared" si="16"/>
        <v>7177</v>
      </c>
      <c r="B96" s="53" t="s">
        <v>124</v>
      </c>
      <c r="C96" s="50" t="s">
        <v>20</v>
      </c>
      <c r="D96" s="51">
        <v>1001302347177</v>
      </c>
      <c r="E96" s="24"/>
      <c r="F96" s="23">
        <v>0.35</v>
      </c>
      <c r="G96" s="23">
        <f t="shared" si="18"/>
        <v>0</v>
      </c>
      <c r="H96" s="14">
        <v>2.8</v>
      </c>
      <c r="I96" s="14">
        <v>50</v>
      </c>
      <c r="J96" s="49"/>
      <c r="L96" s="102"/>
    </row>
    <row r="97" spans="1:67" ht="15.75" customHeight="1" x14ac:dyDescent="0.25">
      <c r="A97" s="137" t="str">
        <f t="shared" si="16"/>
        <v>7332</v>
      </c>
      <c r="B97" s="53" t="s">
        <v>62</v>
      </c>
      <c r="C97" s="50" t="s">
        <v>20</v>
      </c>
      <c r="D97" s="51">
        <v>1001301777332</v>
      </c>
      <c r="E97" s="24"/>
      <c r="F97" s="23">
        <v>0.28000000000000003</v>
      </c>
      <c r="G97" s="23">
        <f t="shared" si="18"/>
        <v>0</v>
      </c>
      <c r="H97" s="14">
        <v>2.2400000000000002</v>
      </c>
      <c r="I97" s="14">
        <v>50</v>
      </c>
      <c r="J97" s="49"/>
      <c r="L97" s="102"/>
    </row>
    <row r="98" spans="1:67" ht="15.75" customHeight="1" x14ac:dyDescent="0.25">
      <c r="A98" s="137" t="str">
        <f t="shared" si="16"/>
        <v>7333</v>
      </c>
      <c r="B98" s="53" t="s">
        <v>69</v>
      </c>
      <c r="C98" s="50" t="s">
        <v>20</v>
      </c>
      <c r="D98" s="51">
        <v>1001303987333</v>
      </c>
      <c r="E98" s="24"/>
      <c r="F98" s="23">
        <v>0.28000000000000003</v>
      </c>
      <c r="G98" s="23">
        <f t="shared" si="18"/>
        <v>0</v>
      </c>
      <c r="H98" s="14">
        <v>2.2400000000000002</v>
      </c>
      <c r="I98" s="14">
        <v>50</v>
      </c>
      <c r="J98" s="49"/>
      <c r="L98" s="102"/>
    </row>
    <row r="99" spans="1:67" ht="15.75" customHeight="1" x14ac:dyDescent="0.25">
      <c r="A99" s="137" t="str">
        <f t="shared" si="16"/>
        <v>7608</v>
      </c>
      <c r="B99" s="53" t="s">
        <v>217</v>
      </c>
      <c r="C99" s="50" t="s">
        <v>20</v>
      </c>
      <c r="D99" s="51">
        <v>1001304197608</v>
      </c>
      <c r="E99" s="24"/>
      <c r="F99" s="23">
        <v>0.1</v>
      </c>
      <c r="G99" s="23">
        <f t="shared" si="18"/>
        <v>0</v>
      </c>
      <c r="H99" s="14">
        <v>1</v>
      </c>
      <c r="I99" s="14">
        <v>45</v>
      </c>
      <c r="J99" s="52" t="s">
        <v>206</v>
      </c>
      <c r="L99" s="102"/>
    </row>
    <row r="100" spans="1:67" s="54" customFormat="1" ht="16.5" customHeight="1" thickBot="1" x14ac:dyDescent="0.3">
      <c r="A100" s="137" t="str">
        <f t="shared" si="16"/>
        <v>7610</v>
      </c>
      <c r="B100" s="53" t="s">
        <v>207</v>
      </c>
      <c r="C100" s="50" t="s">
        <v>20</v>
      </c>
      <c r="D100" s="51">
        <v>1001306717610</v>
      </c>
      <c r="E100" s="24"/>
      <c r="F100" s="23">
        <v>0.1</v>
      </c>
      <c r="G100" s="23">
        <f t="shared" si="18"/>
        <v>0</v>
      </c>
      <c r="H100" s="14">
        <v>1</v>
      </c>
      <c r="I100" s="14">
        <v>45</v>
      </c>
      <c r="J100" s="52" t="s">
        <v>208</v>
      </c>
      <c r="K100" s="27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2"/>
      <c r="AJ100" s="102"/>
      <c r="AK100" s="102"/>
      <c r="AL100" s="102"/>
      <c r="AM100" s="102"/>
      <c r="AN100" s="102"/>
      <c r="AO100" s="102"/>
      <c r="AP100" s="102"/>
      <c r="AQ100" s="102"/>
      <c r="AR100" s="102"/>
      <c r="AS100" s="102"/>
      <c r="AT100" s="102"/>
      <c r="AU100" s="102"/>
      <c r="AV100" s="102"/>
      <c r="AW100" s="102"/>
      <c r="AX100" s="102"/>
      <c r="AY100" s="102"/>
      <c r="AZ100" s="102"/>
      <c r="BA100" s="102"/>
      <c r="BB100" s="102"/>
      <c r="BC100" s="102"/>
      <c r="BD100" s="102"/>
      <c r="BE100" s="102"/>
      <c r="BF100" s="102"/>
      <c r="BG100" s="102"/>
      <c r="BH100" s="102"/>
      <c r="BI100" s="102"/>
      <c r="BJ100" s="102"/>
      <c r="BK100" s="102"/>
      <c r="BL100" s="102"/>
      <c r="BM100" s="102"/>
      <c r="BN100" s="102"/>
      <c r="BO100" s="102"/>
    </row>
    <row r="101" spans="1:67" s="54" customFormat="1" ht="16.5" customHeight="1" thickTop="1" thickBot="1" x14ac:dyDescent="0.3">
      <c r="A101" s="47" t="s">
        <v>104</v>
      </c>
      <c r="B101" s="42" t="s">
        <v>76</v>
      </c>
      <c r="C101" s="42"/>
      <c r="D101" s="42"/>
      <c r="E101" s="42"/>
      <c r="F101" s="41"/>
      <c r="G101" s="42"/>
      <c r="H101" s="42"/>
      <c r="I101" s="42"/>
      <c r="J101" s="43"/>
      <c r="K101" s="27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  <c r="AK101" s="102"/>
      <c r="AL101" s="102"/>
      <c r="AM101" s="102"/>
      <c r="AN101" s="102"/>
      <c r="AO101" s="102"/>
      <c r="AP101" s="102"/>
      <c r="AQ101" s="102"/>
      <c r="AR101" s="102"/>
      <c r="AS101" s="102"/>
      <c r="AT101" s="102"/>
      <c r="AU101" s="102"/>
      <c r="AV101" s="102"/>
      <c r="AW101" s="102"/>
      <c r="AX101" s="102"/>
      <c r="AY101" s="102"/>
      <c r="AZ101" s="102"/>
      <c r="BA101" s="102"/>
      <c r="BB101" s="102"/>
      <c r="BC101" s="102"/>
      <c r="BD101" s="102"/>
      <c r="BE101" s="102"/>
      <c r="BF101" s="102"/>
      <c r="BG101" s="102"/>
      <c r="BH101" s="102"/>
      <c r="BI101" s="102"/>
      <c r="BJ101" s="102"/>
      <c r="BK101" s="102"/>
      <c r="BL101" s="102"/>
      <c r="BM101" s="102"/>
      <c r="BN101" s="102"/>
      <c r="BO101" s="102"/>
    </row>
    <row r="102" spans="1:67" ht="16.5" customHeight="1" thickTop="1" x14ac:dyDescent="0.25">
      <c r="A102" s="137" t="str">
        <f t="shared" ref="A102:A129" si="21">RIGHT(D102,4)</f>
        <v>3986</v>
      </c>
      <c r="B102" s="53" t="s">
        <v>79</v>
      </c>
      <c r="C102" s="50" t="s">
        <v>20</v>
      </c>
      <c r="D102" s="51">
        <v>1001061973986</v>
      </c>
      <c r="E102" s="24"/>
      <c r="F102" s="128">
        <v>0.25</v>
      </c>
      <c r="G102" s="23">
        <f t="shared" ref="G102:G107" si="22">E102*F102</f>
        <v>0</v>
      </c>
      <c r="H102" s="132">
        <v>2</v>
      </c>
      <c r="I102" s="133">
        <v>120</v>
      </c>
      <c r="J102" s="29"/>
      <c r="L102" s="102"/>
    </row>
    <row r="103" spans="1:67" ht="16.5" customHeight="1" x14ac:dyDescent="0.25">
      <c r="A103" s="137" t="str">
        <f t="shared" si="21"/>
        <v>5931</v>
      </c>
      <c r="B103" s="53" t="s">
        <v>77</v>
      </c>
      <c r="C103" s="50" t="s">
        <v>20</v>
      </c>
      <c r="D103" s="51">
        <v>1001060755931</v>
      </c>
      <c r="E103" s="24"/>
      <c r="F103" s="23">
        <v>0.22</v>
      </c>
      <c r="G103" s="23">
        <f t="shared" si="22"/>
        <v>0</v>
      </c>
      <c r="H103" s="97">
        <v>1.76</v>
      </c>
      <c r="I103" s="14">
        <v>120</v>
      </c>
      <c r="J103" s="29"/>
      <c r="L103" s="102"/>
    </row>
    <row r="104" spans="1:67" ht="16.5" customHeight="1" x14ac:dyDescent="0.25">
      <c r="A104" s="137" t="str">
        <f t="shared" si="21"/>
        <v>5708</v>
      </c>
      <c r="B104" s="53" t="s">
        <v>80</v>
      </c>
      <c r="C104" s="50" t="s">
        <v>22</v>
      </c>
      <c r="D104" s="51">
        <v>1001063145708</v>
      </c>
      <c r="E104" s="24"/>
      <c r="F104" s="23">
        <v>0.5</v>
      </c>
      <c r="G104" s="23">
        <f t="shared" ref="G104:G105" si="23">E104</f>
        <v>0</v>
      </c>
      <c r="H104" s="14">
        <v>4</v>
      </c>
      <c r="I104" s="14">
        <v>120</v>
      </c>
      <c r="J104" s="29"/>
      <c r="L104" s="102"/>
    </row>
    <row r="105" spans="1:67" ht="16.5" customHeight="1" x14ac:dyDescent="0.25">
      <c r="A105" s="137" t="str">
        <f t="shared" si="21"/>
        <v>3287</v>
      </c>
      <c r="B105" s="53" t="s">
        <v>90</v>
      </c>
      <c r="C105" s="50" t="s">
        <v>22</v>
      </c>
      <c r="D105" s="51">
        <v>1001060763287</v>
      </c>
      <c r="E105" s="24"/>
      <c r="F105" s="23">
        <v>0.48799999999999999</v>
      </c>
      <c r="G105" s="23">
        <f t="shared" si="23"/>
        <v>0</v>
      </c>
      <c r="H105" s="14">
        <v>3.9</v>
      </c>
      <c r="I105" s="14">
        <v>120</v>
      </c>
      <c r="J105" s="29"/>
      <c r="L105" s="102"/>
    </row>
    <row r="106" spans="1:67" ht="16.5" customHeight="1" x14ac:dyDescent="0.25">
      <c r="A106" s="137" t="str">
        <f t="shared" si="21"/>
        <v>4993</v>
      </c>
      <c r="B106" s="53" t="s">
        <v>139</v>
      </c>
      <c r="C106" s="50" t="s">
        <v>20</v>
      </c>
      <c r="D106" s="51">
        <v>1001060764993</v>
      </c>
      <c r="E106" s="24"/>
      <c r="F106" s="23">
        <v>0.25</v>
      </c>
      <c r="G106" s="23">
        <f t="shared" si="22"/>
        <v>0</v>
      </c>
      <c r="H106" s="14">
        <v>2</v>
      </c>
      <c r="I106" s="14">
        <v>120</v>
      </c>
      <c r="J106" s="29"/>
      <c r="L106" s="102"/>
    </row>
    <row r="107" spans="1:67" ht="16.5" customHeight="1" x14ac:dyDescent="0.25">
      <c r="A107" s="137" t="str">
        <f t="shared" si="21"/>
        <v>5483</v>
      </c>
      <c r="B107" s="53" t="s">
        <v>88</v>
      </c>
      <c r="C107" s="50" t="s">
        <v>20</v>
      </c>
      <c r="D107" s="51">
        <v>1001062505483</v>
      </c>
      <c r="E107" s="24"/>
      <c r="F107" s="23">
        <v>0.25</v>
      </c>
      <c r="G107" s="23">
        <f t="shared" si="22"/>
        <v>0</v>
      </c>
      <c r="H107" s="14">
        <v>2</v>
      </c>
      <c r="I107" s="14">
        <v>120</v>
      </c>
      <c r="J107" s="29"/>
      <c r="L107" s="102"/>
    </row>
    <row r="108" spans="1:67" ht="16.5" customHeight="1" x14ac:dyDescent="0.25">
      <c r="A108" s="137" t="str">
        <f t="shared" si="21"/>
        <v>4117</v>
      </c>
      <c r="B108" s="53" t="s">
        <v>87</v>
      </c>
      <c r="C108" s="50" t="s">
        <v>22</v>
      </c>
      <c r="D108" s="51">
        <v>1001062504117</v>
      </c>
      <c r="E108" s="24"/>
      <c r="F108" s="23">
        <v>0.49399999999999999</v>
      </c>
      <c r="G108" s="23">
        <f t="shared" ref="G108:G109" si="24">E108</f>
        <v>0</v>
      </c>
      <c r="H108" s="14">
        <v>3.95</v>
      </c>
      <c r="I108" s="14">
        <v>120</v>
      </c>
      <c r="J108" s="29"/>
      <c r="L108" s="102"/>
    </row>
    <row r="109" spans="1:67" ht="16.5" customHeight="1" x14ac:dyDescent="0.25">
      <c r="A109" s="137" t="str">
        <f t="shared" si="21"/>
        <v>0614</v>
      </c>
      <c r="B109" s="53" t="s">
        <v>140</v>
      </c>
      <c r="C109" s="50" t="s">
        <v>22</v>
      </c>
      <c r="D109" s="51">
        <v>1001060720614</v>
      </c>
      <c r="E109" s="24"/>
      <c r="F109" s="23">
        <v>0.52</v>
      </c>
      <c r="G109" s="23">
        <f t="shared" si="24"/>
        <v>0</v>
      </c>
      <c r="H109" s="14">
        <v>3.64</v>
      </c>
      <c r="I109" s="14">
        <v>120</v>
      </c>
      <c r="J109" s="29"/>
      <c r="L109" s="102"/>
    </row>
    <row r="110" spans="1:67" ht="16.5" customHeight="1" x14ac:dyDescent="0.25">
      <c r="A110" s="137" t="str">
        <f t="shared" si="21"/>
        <v>6967</v>
      </c>
      <c r="B110" s="53" t="s">
        <v>83</v>
      </c>
      <c r="C110" s="50" t="s">
        <v>20</v>
      </c>
      <c r="D110" s="51">
        <v>1001063656967</v>
      </c>
      <c r="E110" s="24"/>
      <c r="F110" s="23">
        <v>0.25</v>
      </c>
      <c r="G110" s="23">
        <f t="shared" ref="G110:G119" si="25">E110*F110</f>
        <v>0</v>
      </c>
      <c r="H110" s="14">
        <v>2</v>
      </c>
      <c r="I110" s="14">
        <v>120</v>
      </c>
      <c r="J110" s="29"/>
      <c r="L110" s="102"/>
    </row>
    <row r="111" spans="1:67" ht="16.5" customHeight="1" x14ac:dyDescent="0.25">
      <c r="A111" s="137" t="str">
        <f t="shared" si="21"/>
        <v>6937</v>
      </c>
      <c r="B111" s="53" t="s">
        <v>141</v>
      </c>
      <c r="C111" s="50" t="s">
        <v>20</v>
      </c>
      <c r="D111" s="51">
        <v>1001063106937</v>
      </c>
      <c r="E111" s="24"/>
      <c r="F111" s="23">
        <v>0.25</v>
      </c>
      <c r="G111" s="23">
        <f t="shared" si="25"/>
        <v>0</v>
      </c>
      <c r="H111" s="14">
        <v>2</v>
      </c>
      <c r="I111" s="14">
        <v>120</v>
      </c>
      <c r="J111" s="29"/>
      <c r="L111" s="102"/>
    </row>
    <row r="112" spans="1:67" ht="16.5" customHeight="1" x14ac:dyDescent="0.25">
      <c r="A112" s="137" t="str">
        <f t="shared" si="21"/>
        <v>7143</v>
      </c>
      <c r="B112" s="53" t="s">
        <v>142</v>
      </c>
      <c r="C112" s="50" t="s">
        <v>20</v>
      </c>
      <c r="D112" s="51">
        <v>1001060717143</v>
      </c>
      <c r="E112" s="24"/>
      <c r="F112" s="23">
        <v>0.22</v>
      </c>
      <c r="G112" s="23">
        <f t="shared" si="25"/>
        <v>0</v>
      </c>
      <c r="H112" s="14">
        <v>1.76</v>
      </c>
      <c r="I112" s="14">
        <v>120</v>
      </c>
      <c r="J112" s="29"/>
      <c r="L112" s="102"/>
    </row>
    <row r="113" spans="1:12" ht="16.5" customHeight="1" x14ac:dyDescent="0.25">
      <c r="A113" s="137" t="str">
        <f t="shared" si="21"/>
        <v>7147</v>
      </c>
      <c r="B113" s="53" t="s">
        <v>85</v>
      </c>
      <c r="C113" s="50" t="s">
        <v>20</v>
      </c>
      <c r="D113" s="51">
        <v>1001063237147</v>
      </c>
      <c r="E113" s="24"/>
      <c r="F113" s="23">
        <v>0.22</v>
      </c>
      <c r="G113" s="23">
        <f t="shared" si="25"/>
        <v>0</v>
      </c>
      <c r="H113" s="14">
        <v>1.76</v>
      </c>
      <c r="I113" s="14">
        <v>120</v>
      </c>
      <c r="J113" s="29"/>
      <c r="L113" s="102"/>
    </row>
    <row r="114" spans="1:12" ht="16.5" customHeight="1" x14ac:dyDescent="0.25">
      <c r="A114" s="137" t="str">
        <f t="shared" si="21"/>
        <v>7456</v>
      </c>
      <c r="B114" s="53" t="s">
        <v>143</v>
      </c>
      <c r="C114" s="50" t="s">
        <v>20</v>
      </c>
      <c r="D114" s="51">
        <v>1001063097456</v>
      </c>
      <c r="E114" s="24"/>
      <c r="F114" s="23">
        <v>0.15</v>
      </c>
      <c r="G114" s="23">
        <f t="shared" si="25"/>
        <v>0</v>
      </c>
      <c r="H114" s="14">
        <v>1.8</v>
      </c>
      <c r="I114" s="14">
        <v>90</v>
      </c>
      <c r="J114" s="29"/>
      <c r="L114" s="102"/>
    </row>
    <row r="115" spans="1:12" ht="16.5" customHeight="1" x14ac:dyDescent="0.25">
      <c r="A115" s="137" t="str">
        <f t="shared" si="21"/>
        <v>7364</v>
      </c>
      <c r="B115" s="53" t="s">
        <v>144</v>
      </c>
      <c r="C115" s="50" t="s">
        <v>20</v>
      </c>
      <c r="D115" s="51">
        <v>1001063217364</v>
      </c>
      <c r="E115" s="24"/>
      <c r="F115" s="23">
        <v>0.22</v>
      </c>
      <c r="G115" s="23">
        <f t="shared" si="25"/>
        <v>0</v>
      </c>
      <c r="H115" s="14">
        <v>1.76</v>
      </c>
      <c r="I115" s="14">
        <v>90</v>
      </c>
      <c r="J115" s="29"/>
      <c r="L115" s="102"/>
    </row>
    <row r="116" spans="1:12" ht="16.5" customHeight="1" x14ac:dyDescent="0.25">
      <c r="A116" s="137" t="str">
        <f t="shared" si="21"/>
        <v>7383</v>
      </c>
      <c r="B116" s="53" t="s">
        <v>145</v>
      </c>
      <c r="C116" s="50" t="s">
        <v>20</v>
      </c>
      <c r="D116" s="51">
        <v>1001065467383</v>
      </c>
      <c r="E116" s="24"/>
      <c r="F116" s="23">
        <v>0.22</v>
      </c>
      <c r="G116" s="23">
        <f t="shared" si="25"/>
        <v>0</v>
      </c>
      <c r="H116" s="14">
        <v>1.76</v>
      </c>
      <c r="I116" s="14">
        <v>90</v>
      </c>
      <c r="J116" s="29"/>
      <c r="L116" s="102"/>
    </row>
    <row r="117" spans="1:12" ht="16.5" customHeight="1" x14ac:dyDescent="0.25">
      <c r="A117" s="137" t="str">
        <f t="shared" si="21"/>
        <v>7317</v>
      </c>
      <c r="B117" s="53" t="s">
        <v>146</v>
      </c>
      <c r="C117" s="50" t="s">
        <v>20</v>
      </c>
      <c r="D117" s="51">
        <v>1001066567317</v>
      </c>
      <c r="E117" s="24"/>
      <c r="F117" s="23">
        <v>0.54</v>
      </c>
      <c r="G117" s="23">
        <f t="shared" si="25"/>
        <v>0</v>
      </c>
      <c r="H117" s="14">
        <v>3.78</v>
      </c>
      <c r="I117" s="14">
        <v>120</v>
      </c>
      <c r="J117" s="29"/>
      <c r="L117" s="102"/>
    </row>
    <row r="118" spans="1:12" ht="16.5" customHeight="1" x14ac:dyDescent="0.25">
      <c r="A118" s="137" t="str">
        <f t="shared" si="21"/>
        <v>7318</v>
      </c>
      <c r="B118" s="53" t="s">
        <v>147</v>
      </c>
      <c r="C118" s="50" t="s">
        <v>20</v>
      </c>
      <c r="D118" s="51">
        <v>1001060727318</v>
      </c>
      <c r="E118" s="24"/>
      <c r="F118" s="23">
        <v>0.27</v>
      </c>
      <c r="G118" s="23">
        <f t="shared" si="25"/>
        <v>0</v>
      </c>
      <c r="H118" s="14">
        <v>2.16</v>
      </c>
      <c r="I118" s="14">
        <v>120</v>
      </c>
      <c r="J118" s="29"/>
      <c r="L118" s="102"/>
    </row>
    <row r="119" spans="1:12" ht="16.5" customHeight="1" x14ac:dyDescent="0.25">
      <c r="A119" s="137" t="str">
        <f t="shared" si="21"/>
        <v>7316</v>
      </c>
      <c r="B119" s="53" t="s">
        <v>148</v>
      </c>
      <c r="C119" s="50" t="s">
        <v>20</v>
      </c>
      <c r="D119" s="51">
        <v>1001060727316</v>
      </c>
      <c r="E119" s="24"/>
      <c r="F119" s="23">
        <v>0.54</v>
      </c>
      <c r="G119" s="23">
        <f t="shared" si="25"/>
        <v>0</v>
      </c>
      <c r="H119" s="14">
        <v>3.78</v>
      </c>
      <c r="I119" s="14">
        <v>120</v>
      </c>
      <c r="J119" s="29"/>
      <c r="L119" s="102"/>
    </row>
    <row r="120" spans="1:12" ht="16.5" customHeight="1" x14ac:dyDescent="0.25">
      <c r="A120" s="137" t="str">
        <f t="shared" si="21"/>
        <v>6832</v>
      </c>
      <c r="B120" s="53" t="s">
        <v>81</v>
      </c>
      <c r="C120" s="50" t="s">
        <v>22</v>
      </c>
      <c r="D120" s="51">
        <v>1001065616832</v>
      </c>
      <c r="E120" s="24"/>
      <c r="F120" s="23">
        <v>0.215</v>
      </c>
      <c r="G120" s="23">
        <f t="shared" ref="G120:G121" si="26">E120</f>
        <v>0</v>
      </c>
      <c r="H120" s="14">
        <v>2.15</v>
      </c>
      <c r="I120" s="14">
        <v>30</v>
      </c>
      <c r="J120" s="29"/>
      <c r="L120" s="102"/>
    </row>
    <row r="121" spans="1:12" ht="16.5" customHeight="1" x14ac:dyDescent="0.25">
      <c r="A121" s="137" t="str">
        <f t="shared" si="21"/>
        <v>7299</v>
      </c>
      <c r="B121" s="53" t="s">
        <v>82</v>
      </c>
      <c r="C121" s="50" t="s">
        <v>22</v>
      </c>
      <c r="D121" s="51">
        <v>1001060677299</v>
      </c>
      <c r="E121" s="24"/>
      <c r="F121" s="23">
        <v>0.215</v>
      </c>
      <c r="G121" s="23">
        <f t="shared" si="26"/>
        <v>0</v>
      </c>
      <c r="H121" s="14">
        <v>2.15</v>
      </c>
      <c r="I121" s="14">
        <v>30</v>
      </c>
      <c r="J121" s="29"/>
      <c r="L121" s="102"/>
    </row>
    <row r="122" spans="1:12" ht="16.5" customHeight="1" x14ac:dyDescent="0.25">
      <c r="A122" s="137" t="str">
        <f t="shared" si="21"/>
        <v>7386</v>
      </c>
      <c r="B122" s="53" t="s">
        <v>150</v>
      </c>
      <c r="C122" s="50" t="s">
        <v>20</v>
      </c>
      <c r="D122" s="51">
        <v>1001067017386</v>
      </c>
      <c r="E122" s="24"/>
      <c r="F122" s="23">
        <v>0.15</v>
      </c>
      <c r="G122" s="23">
        <f t="shared" ref="G122:G129" si="27">E122*F122</f>
        <v>0</v>
      </c>
      <c r="H122" s="14">
        <v>1.35</v>
      </c>
      <c r="I122" s="14">
        <v>90</v>
      </c>
      <c r="J122" s="29"/>
      <c r="L122" s="102"/>
    </row>
    <row r="123" spans="1:12" ht="16.5" customHeight="1" x14ac:dyDescent="0.25">
      <c r="A123" s="137" t="str">
        <f t="shared" si="21"/>
        <v>7613</v>
      </c>
      <c r="B123" s="53" t="s">
        <v>213</v>
      </c>
      <c r="C123" s="50" t="s">
        <v>20</v>
      </c>
      <c r="D123" s="51">
        <v>1001061977613</v>
      </c>
      <c r="E123" s="24"/>
      <c r="F123" s="23">
        <v>0.1</v>
      </c>
      <c r="G123" s="23">
        <f t="shared" si="27"/>
        <v>0</v>
      </c>
      <c r="H123" s="14">
        <v>1</v>
      </c>
      <c r="I123" s="14">
        <v>60</v>
      </c>
      <c r="J123" s="52" t="s">
        <v>203</v>
      </c>
      <c r="L123" s="102"/>
    </row>
    <row r="124" spans="1:12" ht="16.5" customHeight="1" x14ac:dyDescent="0.25">
      <c r="A124" s="137" t="str">
        <f t="shared" si="21"/>
        <v>7382</v>
      </c>
      <c r="B124" s="53" t="s">
        <v>84</v>
      </c>
      <c r="C124" s="50" t="s">
        <v>20</v>
      </c>
      <c r="D124" s="51">
        <v>1001203117382</v>
      </c>
      <c r="E124" s="24"/>
      <c r="F124" s="23">
        <v>0.12</v>
      </c>
      <c r="G124" s="23">
        <f t="shared" si="27"/>
        <v>0</v>
      </c>
      <c r="H124" s="14">
        <v>0.96</v>
      </c>
      <c r="I124" s="14">
        <v>60</v>
      </c>
      <c r="J124" s="29"/>
      <c r="L124" s="102"/>
    </row>
    <row r="125" spans="1:12" ht="16.5" customHeight="1" x14ac:dyDescent="0.25">
      <c r="A125" s="137" t="str">
        <f t="shared" si="21"/>
        <v>7616</v>
      </c>
      <c r="B125" s="53" t="s">
        <v>204</v>
      </c>
      <c r="C125" s="50" t="s">
        <v>20</v>
      </c>
      <c r="D125" s="51">
        <v>1001062507616</v>
      </c>
      <c r="E125" s="24"/>
      <c r="F125" s="23">
        <v>0.1</v>
      </c>
      <c r="G125" s="23">
        <f t="shared" si="27"/>
        <v>0</v>
      </c>
      <c r="H125" s="14">
        <v>1.4</v>
      </c>
      <c r="I125" s="14">
        <v>60</v>
      </c>
      <c r="J125" s="52" t="s">
        <v>205</v>
      </c>
      <c r="L125" s="102"/>
    </row>
    <row r="126" spans="1:12" ht="16.5" customHeight="1" x14ac:dyDescent="0.25">
      <c r="A126" s="137" t="str">
        <f t="shared" si="21"/>
        <v>6221</v>
      </c>
      <c r="B126" s="53" t="s">
        <v>86</v>
      </c>
      <c r="C126" s="50" t="s">
        <v>20</v>
      </c>
      <c r="D126" s="51">
        <v>1001205376221</v>
      </c>
      <c r="E126" s="24"/>
      <c r="F126" s="23">
        <v>0.09</v>
      </c>
      <c r="G126" s="23">
        <f t="shared" si="27"/>
        <v>0</v>
      </c>
      <c r="H126" s="14">
        <v>0.9</v>
      </c>
      <c r="I126" s="14">
        <v>60</v>
      </c>
      <c r="J126" s="29"/>
      <c r="L126" s="102"/>
    </row>
    <row r="127" spans="1:12" ht="16.5" customHeight="1" x14ac:dyDescent="0.25">
      <c r="A127" s="137" t="str">
        <f t="shared" si="21"/>
        <v>6222</v>
      </c>
      <c r="B127" s="53" t="s">
        <v>133</v>
      </c>
      <c r="C127" s="50" t="s">
        <v>20</v>
      </c>
      <c r="D127" s="51">
        <v>1001205386222</v>
      </c>
      <c r="E127" s="24"/>
      <c r="F127" s="23">
        <v>0.09</v>
      </c>
      <c r="G127" s="23">
        <f t="shared" si="27"/>
        <v>0</v>
      </c>
      <c r="H127" s="14">
        <v>0.9</v>
      </c>
      <c r="I127" s="14">
        <v>60</v>
      </c>
      <c r="J127" s="29"/>
      <c r="L127" s="102"/>
    </row>
    <row r="128" spans="1:12" ht="16.5" customHeight="1" x14ac:dyDescent="0.25">
      <c r="A128" s="137" t="str">
        <f t="shared" si="21"/>
        <v>5679</v>
      </c>
      <c r="B128" s="53" t="s">
        <v>136</v>
      </c>
      <c r="C128" s="50" t="s">
        <v>20</v>
      </c>
      <c r="D128" s="51">
        <v>1001190765679</v>
      </c>
      <c r="E128" s="24"/>
      <c r="F128" s="23">
        <v>0.15</v>
      </c>
      <c r="G128" s="23">
        <f t="shared" si="27"/>
        <v>0</v>
      </c>
      <c r="H128" s="14">
        <v>1.2</v>
      </c>
      <c r="I128" s="14">
        <v>60</v>
      </c>
      <c r="J128" s="29"/>
      <c r="L128" s="102"/>
    </row>
    <row r="129" spans="1:67" ht="16.149999999999999" customHeight="1" thickBot="1" x14ac:dyDescent="0.3">
      <c r="A129" s="137" t="str">
        <f t="shared" si="21"/>
        <v>7626</v>
      </c>
      <c r="B129" s="53" t="s">
        <v>201</v>
      </c>
      <c r="C129" s="50" t="s">
        <v>20</v>
      </c>
      <c r="D129" s="51">
        <v>1001066607626</v>
      </c>
      <c r="E129" s="24"/>
      <c r="F129" s="23">
        <v>0.1</v>
      </c>
      <c r="G129" s="23">
        <f t="shared" si="27"/>
        <v>0</v>
      </c>
      <c r="H129" s="14">
        <v>1</v>
      </c>
      <c r="I129" s="14">
        <v>60</v>
      </c>
      <c r="J129" s="52" t="s">
        <v>202</v>
      </c>
      <c r="L129" s="102"/>
    </row>
    <row r="130" spans="1:67" s="54" customFormat="1" ht="16.149999999999999" customHeight="1" thickTop="1" thickBot="1" x14ac:dyDescent="0.3">
      <c r="A130" s="47" t="s">
        <v>104</v>
      </c>
      <c r="B130" s="42" t="s">
        <v>91</v>
      </c>
      <c r="C130" s="42"/>
      <c r="D130" s="42"/>
      <c r="E130" s="42"/>
      <c r="F130" s="41"/>
      <c r="G130" s="42"/>
      <c r="H130" s="42"/>
      <c r="I130" s="42"/>
      <c r="J130" s="43"/>
      <c r="K130" s="27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2"/>
      <c r="AJ130" s="102"/>
      <c r="AK130" s="102"/>
      <c r="AL130" s="102"/>
      <c r="AM130" s="102"/>
      <c r="AN130" s="102"/>
      <c r="AO130" s="102"/>
      <c r="AP130" s="102"/>
      <c r="AQ130" s="102"/>
      <c r="AR130" s="102"/>
      <c r="AS130" s="102"/>
      <c r="AT130" s="102"/>
      <c r="AU130" s="102"/>
      <c r="AV130" s="102"/>
      <c r="AW130" s="102"/>
      <c r="AX130" s="102"/>
      <c r="AY130" s="102"/>
      <c r="AZ130" s="102"/>
      <c r="BA130" s="102"/>
      <c r="BB130" s="102"/>
      <c r="BC130" s="102"/>
      <c r="BD130" s="102"/>
      <c r="BE130" s="102"/>
      <c r="BF130" s="102"/>
      <c r="BG130" s="102"/>
      <c r="BH130" s="102"/>
      <c r="BI130" s="102"/>
      <c r="BJ130" s="102"/>
      <c r="BK130" s="102"/>
      <c r="BL130" s="102"/>
      <c r="BM130" s="102"/>
      <c r="BN130" s="102"/>
      <c r="BO130" s="102"/>
    </row>
    <row r="131" spans="1:67" s="54" customFormat="1" ht="16.149999999999999" customHeight="1" thickTop="1" x14ac:dyDescent="0.25">
      <c r="A131" s="137" t="str">
        <f t="shared" ref="A131:A145" si="28">RIGHT(D131,4)</f>
        <v>4584</v>
      </c>
      <c r="B131" s="98" t="s">
        <v>220</v>
      </c>
      <c r="C131" s="50" t="s">
        <v>22</v>
      </c>
      <c r="D131" s="134">
        <v>1001092674584</v>
      </c>
      <c r="E131" s="24"/>
      <c r="F131" s="23">
        <v>2.5</v>
      </c>
      <c r="G131" s="23">
        <f>E131</f>
        <v>0</v>
      </c>
      <c r="H131" s="14">
        <v>7.5</v>
      </c>
      <c r="I131" s="14">
        <v>60</v>
      </c>
      <c r="J131" s="29"/>
      <c r="K131" s="27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  <c r="AU131" s="102"/>
      <c r="AV131" s="102"/>
      <c r="AW131" s="102"/>
      <c r="AX131" s="102"/>
      <c r="AY131" s="102"/>
      <c r="AZ131" s="102"/>
      <c r="BA131" s="102"/>
      <c r="BB131" s="102"/>
      <c r="BC131" s="102"/>
      <c r="BD131" s="102"/>
      <c r="BE131" s="102"/>
      <c r="BF131" s="102"/>
      <c r="BG131" s="102"/>
      <c r="BH131" s="102"/>
      <c r="BI131" s="102"/>
      <c r="BJ131" s="102"/>
      <c r="BK131" s="102"/>
      <c r="BL131" s="102"/>
      <c r="BM131" s="102"/>
      <c r="BN131" s="102"/>
      <c r="BO131" s="102"/>
    </row>
    <row r="132" spans="1:67" s="54" customFormat="1" ht="16.149999999999999" customHeight="1" x14ac:dyDescent="0.25">
      <c r="A132" s="137" t="str">
        <f t="shared" si="28"/>
        <v>6495</v>
      </c>
      <c r="B132" s="98" t="s">
        <v>95</v>
      </c>
      <c r="C132" s="50" t="s">
        <v>20</v>
      </c>
      <c r="D132" s="51">
        <v>1001092436495</v>
      </c>
      <c r="E132" s="24"/>
      <c r="F132" s="128">
        <v>0.3</v>
      </c>
      <c r="G132" s="23">
        <f>E132*F132</f>
        <v>0</v>
      </c>
      <c r="H132" s="29">
        <v>1.8</v>
      </c>
      <c r="I132" s="29">
        <v>45</v>
      </c>
      <c r="J132" s="29"/>
      <c r="K132" s="27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  <c r="AU132" s="102"/>
      <c r="AV132" s="102"/>
      <c r="AW132" s="102"/>
      <c r="AX132" s="102"/>
      <c r="AY132" s="102"/>
      <c r="AZ132" s="102"/>
      <c r="BA132" s="102"/>
      <c r="BB132" s="102"/>
      <c r="BC132" s="102"/>
      <c r="BD132" s="102"/>
      <c r="BE132" s="102"/>
      <c r="BF132" s="102"/>
      <c r="BG132" s="102"/>
      <c r="BH132" s="102"/>
      <c r="BI132" s="102"/>
      <c r="BJ132" s="102"/>
      <c r="BK132" s="102"/>
      <c r="BL132" s="102"/>
      <c r="BM132" s="102"/>
      <c r="BN132" s="102"/>
      <c r="BO132" s="102"/>
    </row>
    <row r="133" spans="1:67" s="54" customFormat="1" ht="16.149999999999999" customHeight="1" x14ac:dyDescent="0.25">
      <c r="A133" s="137" t="str">
        <f t="shared" si="28"/>
        <v>6470</v>
      </c>
      <c r="B133" s="135" t="s">
        <v>116</v>
      </c>
      <c r="C133" s="50" t="s">
        <v>22</v>
      </c>
      <c r="D133" s="51">
        <v>1001092436470</v>
      </c>
      <c r="E133" s="24"/>
      <c r="F133" s="128">
        <v>1.2</v>
      </c>
      <c r="G133" s="23">
        <f t="shared" ref="G133:G134" si="29">E133</f>
        <v>0</v>
      </c>
      <c r="H133" s="29">
        <v>4.8</v>
      </c>
      <c r="I133" s="29">
        <v>45</v>
      </c>
      <c r="J133" s="29"/>
      <c r="K133" s="27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  <c r="AU133" s="102"/>
      <c r="AV133" s="102"/>
      <c r="AW133" s="102"/>
      <c r="AX133" s="102"/>
      <c r="AY133" s="102"/>
      <c r="AZ133" s="102"/>
      <c r="BA133" s="102"/>
      <c r="BB133" s="102"/>
      <c r="BC133" s="102"/>
      <c r="BD133" s="102"/>
      <c r="BE133" s="102"/>
      <c r="BF133" s="102"/>
      <c r="BG133" s="102"/>
      <c r="BH133" s="102"/>
      <c r="BI133" s="102"/>
      <c r="BJ133" s="102"/>
      <c r="BK133" s="102"/>
      <c r="BL133" s="102"/>
      <c r="BM133" s="102"/>
      <c r="BN133" s="102"/>
      <c r="BO133" s="102"/>
    </row>
    <row r="134" spans="1:67" s="54" customFormat="1" ht="16.149999999999999" customHeight="1" x14ac:dyDescent="0.25">
      <c r="A134" s="137" t="str">
        <f t="shared" si="28"/>
        <v>5452</v>
      </c>
      <c r="B134" s="135" t="s">
        <v>93</v>
      </c>
      <c r="C134" s="50" t="s">
        <v>22</v>
      </c>
      <c r="D134" s="51">
        <v>1001092485452</v>
      </c>
      <c r="E134" s="24"/>
      <c r="F134" s="128">
        <v>1.35</v>
      </c>
      <c r="G134" s="23">
        <f t="shared" si="29"/>
        <v>0</v>
      </c>
      <c r="H134" s="29">
        <v>4.05</v>
      </c>
      <c r="I134" s="29">
        <v>60</v>
      </c>
      <c r="J134" s="29"/>
      <c r="K134" s="27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</row>
    <row r="135" spans="1:67" s="54" customFormat="1" ht="16.5" customHeight="1" x14ac:dyDescent="0.25">
      <c r="A135" s="137" t="str">
        <f t="shared" si="28"/>
        <v>3215</v>
      </c>
      <c r="B135" s="135" t="s">
        <v>215</v>
      </c>
      <c r="C135" s="50" t="s">
        <v>20</v>
      </c>
      <c r="D135" s="51">
        <v>1001094053215</v>
      </c>
      <c r="E135" s="24"/>
      <c r="F135" s="128">
        <v>0.4</v>
      </c>
      <c r="G135" s="23">
        <f>E135*F135</f>
        <v>0</v>
      </c>
      <c r="H135" s="29">
        <v>3.2</v>
      </c>
      <c r="I135" s="29">
        <v>60</v>
      </c>
      <c r="J135" s="29"/>
      <c r="K135" s="27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</row>
    <row r="136" spans="1:67" s="54" customFormat="1" ht="16.5" customHeight="1" x14ac:dyDescent="0.25">
      <c r="A136" s="137" t="str">
        <f t="shared" si="28"/>
        <v>6866</v>
      </c>
      <c r="B136" s="135" t="s">
        <v>92</v>
      </c>
      <c r="C136" s="50" t="s">
        <v>22</v>
      </c>
      <c r="D136" s="51">
        <v>1001095716866</v>
      </c>
      <c r="E136" s="24"/>
      <c r="F136" s="128">
        <v>1.5</v>
      </c>
      <c r="G136" s="23">
        <f>E136</f>
        <v>0</v>
      </c>
      <c r="H136" s="29">
        <v>6</v>
      </c>
      <c r="I136" s="29">
        <v>60</v>
      </c>
      <c r="J136" s="29"/>
      <c r="K136" s="27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2"/>
      <c r="AJ136" s="102"/>
      <c r="AK136" s="102"/>
      <c r="AL136" s="102"/>
      <c r="AM136" s="102"/>
      <c r="AN136" s="102"/>
      <c r="AO136" s="102"/>
      <c r="AP136" s="102"/>
      <c r="AQ136" s="102"/>
      <c r="AR136" s="102"/>
      <c r="AS136" s="102"/>
      <c r="AT136" s="102"/>
      <c r="AU136" s="102"/>
      <c r="AV136" s="102"/>
      <c r="AW136" s="102"/>
      <c r="AX136" s="102"/>
      <c r="AY136" s="102"/>
      <c r="AZ136" s="102"/>
      <c r="BA136" s="102"/>
      <c r="BB136" s="102"/>
      <c r="BC136" s="102"/>
      <c r="BD136" s="102"/>
      <c r="BE136" s="102"/>
      <c r="BF136" s="102"/>
      <c r="BG136" s="102"/>
      <c r="BH136" s="102"/>
      <c r="BI136" s="102"/>
      <c r="BJ136" s="102"/>
      <c r="BK136" s="102"/>
      <c r="BL136" s="102"/>
      <c r="BM136" s="102"/>
      <c r="BN136" s="102"/>
      <c r="BO136" s="102"/>
    </row>
    <row r="137" spans="1:67" s="54" customFormat="1" ht="16.5" customHeight="1" x14ac:dyDescent="0.25">
      <c r="A137" s="137" t="str">
        <f t="shared" si="28"/>
        <v>5495</v>
      </c>
      <c r="B137" s="53" t="s">
        <v>94</v>
      </c>
      <c r="C137" s="50" t="s">
        <v>20</v>
      </c>
      <c r="D137" s="136">
        <v>1001093345495</v>
      </c>
      <c r="E137" s="24"/>
      <c r="F137" s="128">
        <v>0.4</v>
      </c>
      <c r="G137" s="23">
        <f t="shared" ref="G137:G140" si="30">E137*F137</f>
        <v>0</v>
      </c>
      <c r="H137" s="29">
        <v>2.4</v>
      </c>
      <c r="I137" s="29">
        <v>60</v>
      </c>
      <c r="J137" s="29"/>
      <c r="K137" s="27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2"/>
      <c r="AJ137" s="102"/>
      <c r="AK137" s="102"/>
      <c r="AL137" s="102"/>
      <c r="AM137" s="102"/>
      <c r="AN137" s="102"/>
      <c r="AO137" s="102"/>
      <c r="AP137" s="102"/>
      <c r="AQ137" s="102"/>
      <c r="AR137" s="102"/>
      <c r="AS137" s="102"/>
      <c r="AT137" s="102"/>
      <c r="AU137" s="102"/>
      <c r="AV137" s="102"/>
      <c r="AW137" s="102"/>
      <c r="AX137" s="102"/>
      <c r="AY137" s="102"/>
      <c r="AZ137" s="102"/>
      <c r="BA137" s="102"/>
      <c r="BB137" s="102"/>
      <c r="BC137" s="102"/>
      <c r="BD137" s="102"/>
      <c r="BE137" s="102"/>
      <c r="BF137" s="102"/>
      <c r="BG137" s="102"/>
      <c r="BH137" s="102"/>
      <c r="BI137" s="102"/>
      <c r="BJ137" s="102"/>
      <c r="BK137" s="102"/>
      <c r="BL137" s="102"/>
      <c r="BM137" s="102"/>
      <c r="BN137" s="102"/>
      <c r="BO137" s="102"/>
    </row>
    <row r="138" spans="1:67" s="54" customFormat="1" ht="16.5" customHeight="1" x14ac:dyDescent="0.25">
      <c r="A138" s="137" t="str">
        <f t="shared" si="28"/>
        <v>7377</v>
      </c>
      <c r="B138" s="53" t="s">
        <v>117</v>
      </c>
      <c r="C138" s="50" t="s">
        <v>20</v>
      </c>
      <c r="D138" s="136">
        <v>1001095027377</v>
      </c>
      <c r="E138" s="24"/>
      <c r="F138" s="128">
        <v>0.3</v>
      </c>
      <c r="G138" s="23">
        <f t="shared" si="30"/>
        <v>0</v>
      </c>
      <c r="H138" s="29">
        <v>1.8</v>
      </c>
      <c r="I138" s="29">
        <v>45</v>
      </c>
      <c r="J138" s="29"/>
      <c r="K138" s="27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2"/>
      <c r="AJ138" s="102"/>
      <c r="AK138" s="102"/>
      <c r="AL138" s="102"/>
      <c r="AM138" s="102"/>
      <c r="AN138" s="102"/>
      <c r="AO138" s="102"/>
      <c r="AP138" s="102"/>
      <c r="AQ138" s="102"/>
      <c r="AR138" s="102"/>
      <c r="AS138" s="102"/>
      <c r="AT138" s="102"/>
      <c r="AU138" s="102"/>
      <c r="AV138" s="102"/>
      <c r="AW138" s="102"/>
      <c r="AX138" s="102"/>
      <c r="AY138" s="102"/>
      <c r="AZ138" s="102"/>
      <c r="BA138" s="102"/>
      <c r="BB138" s="102"/>
      <c r="BC138" s="102"/>
      <c r="BD138" s="102"/>
      <c r="BE138" s="102"/>
      <c r="BF138" s="102"/>
      <c r="BG138" s="102"/>
      <c r="BH138" s="102"/>
      <c r="BI138" s="102"/>
      <c r="BJ138" s="102"/>
      <c r="BK138" s="102"/>
      <c r="BL138" s="102"/>
      <c r="BM138" s="102"/>
      <c r="BN138" s="102"/>
      <c r="BO138" s="102"/>
    </row>
    <row r="139" spans="1:67" s="54" customFormat="1" ht="16.5" customHeight="1" x14ac:dyDescent="0.25">
      <c r="A139" s="137" t="str">
        <f t="shared" si="28"/>
        <v>6411</v>
      </c>
      <c r="B139" s="53" t="s">
        <v>224</v>
      </c>
      <c r="C139" s="50" t="s">
        <v>20</v>
      </c>
      <c r="D139" s="136">
        <v>1001093316411</v>
      </c>
      <c r="E139" s="24"/>
      <c r="F139" s="128">
        <v>0.3</v>
      </c>
      <c r="G139" s="23">
        <f t="shared" ref="G139" si="31">E139*F139</f>
        <v>0</v>
      </c>
      <c r="H139" s="29"/>
      <c r="I139" s="29"/>
      <c r="J139" s="29"/>
      <c r="K139" s="27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2"/>
      <c r="AJ139" s="102"/>
      <c r="AK139" s="102"/>
      <c r="AL139" s="102"/>
      <c r="AM139" s="102"/>
      <c r="AN139" s="102"/>
      <c r="AO139" s="102"/>
      <c r="AP139" s="102"/>
      <c r="AQ139" s="102"/>
      <c r="AR139" s="102"/>
      <c r="AS139" s="102"/>
      <c r="AT139" s="102"/>
      <c r="AU139" s="102"/>
      <c r="AV139" s="102"/>
      <c r="AW139" s="102"/>
      <c r="AX139" s="102"/>
      <c r="AY139" s="102"/>
      <c r="AZ139" s="102"/>
      <c r="BA139" s="102"/>
      <c r="BB139" s="102"/>
      <c r="BC139" s="102"/>
      <c r="BD139" s="102"/>
      <c r="BE139" s="102"/>
      <c r="BF139" s="102"/>
      <c r="BG139" s="102"/>
      <c r="BH139" s="102"/>
      <c r="BI139" s="102"/>
      <c r="BJ139" s="102"/>
      <c r="BK139" s="102"/>
      <c r="BL139" s="102"/>
      <c r="BM139" s="102"/>
      <c r="BN139" s="102"/>
      <c r="BO139" s="102"/>
    </row>
    <row r="140" spans="1:67" s="54" customFormat="1" ht="15.75" customHeight="1" x14ac:dyDescent="0.25">
      <c r="A140" s="137" t="str">
        <f t="shared" si="28"/>
        <v>6925</v>
      </c>
      <c r="B140" s="53" t="s">
        <v>103</v>
      </c>
      <c r="C140" s="50" t="s">
        <v>20</v>
      </c>
      <c r="D140" s="136">
        <v>1001095226925</v>
      </c>
      <c r="E140" s="24"/>
      <c r="F140" s="128">
        <v>0.6</v>
      </c>
      <c r="G140" s="23">
        <f t="shared" si="30"/>
        <v>0</v>
      </c>
      <c r="H140" s="29">
        <v>4.8</v>
      </c>
      <c r="I140" s="29">
        <v>45</v>
      </c>
      <c r="J140" s="29"/>
      <c r="K140" s="27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2"/>
      <c r="AJ140" s="102"/>
      <c r="AK140" s="102"/>
      <c r="AL140" s="102"/>
      <c r="AM140" s="102"/>
      <c r="AN140" s="102"/>
      <c r="AO140" s="102"/>
      <c r="AP140" s="102"/>
      <c r="AQ140" s="102"/>
      <c r="AR140" s="102"/>
      <c r="AS140" s="102"/>
      <c r="AT140" s="102"/>
      <c r="AU140" s="102"/>
      <c r="AV140" s="102"/>
      <c r="AW140" s="102"/>
      <c r="AX140" s="102"/>
      <c r="AY140" s="102"/>
      <c r="AZ140" s="102"/>
      <c r="BA140" s="102"/>
      <c r="BB140" s="102"/>
      <c r="BC140" s="102"/>
      <c r="BD140" s="102"/>
      <c r="BE140" s="102"/>
      <c r="BF140" s="102"/>
      <c r="BG140" s="102"/>
      <c r="BH140" s="102"/>
      <c r="BI140" s="102"/>
      <c r="BJ140" s="102"/>
      <c r="BK140" s="102"/>
      <c r="BL140" s="102"/>
      <c r="BM140" s="102"/>
      <c r="BN140" s="102"/>
      <c r="BO140" s="102"/>
    </row>
    <row r="141" spans="1:67" s="54" customFormat="1" ht="15.75" customHeight="1" x14ac:dyDescent="0.25">
      <c r="A141" s="137" t="str">
        <f t="shared" si="28"/>
        <v>6025</v>
      </c>
      <c r="B141" s="53" t="s">
        <v>118</v>
      </c>
      <c r="C141" s="50" t="s">
        <v>22</v>
      </c>
      <c r="D141" s="136">
        <v>1001094966025</v>
      </c>
      <c r="E141" s="24"/>
      <c r="F141" s="128">
        <v>3</v>
      </c>
      <c r="G141" s="23">
        <f>E141</f>
        <v>0</v>
      </c>
      <c r="H141" s="29">
        <v>6</v>
      </c>
      <c r="I141" s="29">
        <v>60</v>
      </c>
      <c r="J141" s="29"/>
      <c r="K141" s="27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2"/>
      <c r="AJ141" s="102"/>
      <c r="AK141" s="102"/>
      <c r="AL141" s="102"/>
      <c r="AM141" s="102"/>
      <c r="AN141" s="102"/>
      <c r="AO141" s="102"/>
      <c r="AP141" s="102"/>
      <c r="AQ141" s="102"/>
      <c r="AR141" s="102"/>
      <c r="AS141" s="102"/>
      <c r="AT141" s="102"/>
      <c r="AU141" s="102"/>
      <c r="AV141" s="102"/>
      <c r="AW141" s="102"/>
      <c r="AX141" s="102"/>
      <c r="AY141" s="102"/>
      <c r="AZ141" s="102"/>
      <c r="BA141" s="102"/>
      <c r="BB141" s="102"/>
      <c r="BC141" s="102"/>
      <c r="BD141" s="102"/>
      <c r="BE141" s="102"/>
      <c r="BF141" s="102"/>
      <c r="BG141" s="102"/>
      <c r="BH141" s="102"/>
      <c r="BI141" s="102"/>
      <c r="BJ141" s="102"/>
      <c r="BK141" s="102"/>
      <c r="BL141" s="102"/>
      <c r="BM141" s="102"/>
      <c r="BN141" s="102"/>
      <c r="BO141" s="102"/>
    </row>
    <row r="142" spans="1:67" s="54" customFormat="1" ht="15.75" customHeight="1" x14ac:dyDescent="0.25">
      <c r="A142" s="137" t="str">
        <f t="shared" si="28"/>
        <v>6929</v>
      </c>
      <c r="B142" s="53" t="s">
        <v>229</v>
      </c>
      <c r="C142" s="50" t="s">
        <v>22</v>
      </c>
      <c r="D142" s="136">
        <v>1001085476929</v>
      </c>
      <c r="E142" s="24"/>
      <c r="F142" s="128"/>
      <c r="G142" s="23">
        <f>E142</f>
        <v>0</v>
      </c>
      <c r="H142" s="29"/>
      <c r="I142" s="29"/>
      <c r="J142" s="29"/>
      <c r="K142" s="27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2"/>
      <c r="AJ142" s="102"/>
      <c r="AK142" s="102"/>
      <c r="AL142" s="102"/>
      <c r="AM142" s="102"/>
      <c r="AN142" s="102"/>
      <c r="AO142" s="102"/>
      <c r="AP142" s="102"/>
      <c r="AQ142" s="102"/>
      <c r="AR142" s="102"/>
      <c r="AS142" s="102"/>
      <c r="AT142" s="102"/>
      <c r="AU142" s="102"/>
      <c r="AV142" s="102"/>
      <c r="AW142" s="102"/>
      <c r="AX142" s="102"/>
      <c r="AY142" s="102"/>
      <c r="AZ142" s="102"/>
      <c r="BA142" s="102"/>
      <c r="BB142" s="102"/>
      <c r="BC142" s="102"/>
      <c r="BD142" s="102"/>
      <c r="BE142" s="102"/>
      <c r="BF142" s="102"/>
      <c r="BG142" s="102"/>
      <c r="BH142" s="102"/>
      <c r="BI142" s="102"/>
      <c r="BJ142" s="102"/>
      <c r="BK142" s="102"/>
      <c r="BL142" s="102"/>
      <c r="BM142" s="102"/>
      <c r="BN142" s="102"/>
      <c r="BO142" s="102"/>
    </row>
    <row r="143" spans="1:67" ht="16.5" customHeight="1" x14ac:dyDescent="0.25">
      <c r="A143" s="137" t="str">
        <f t="shared" si="28"/>
        <v>7485</v>
      </c>
      <c r="B143" s="53" t="s">
        <v>221</v>
      </c>
      <c r="C143" s="50" t="s">
        <v>20</v>
      </c>
      <c r="D143" s="136">
        <v>1001107397485</v>
      </c>
      <c r="E143" s="24"/>
      <c r="F143" s="128">
        <v>0.15</v>
      </c>
      <c r="G143" s="23">
        <f>F143*E143</f>
        <v>0</v>
      </c>
      <c r="H143" s="29"/>
      <c r="I143" s="29"/>
      <c r="J143" s="125" t="s">
        <v>196</v>
      </c>
      <c r="L143" s="102"/>
    </row>
    <row r="144" spans="1:67" ht="16.5" customHeight="1" x14ac:dyDescent="0.25">
      <c r="A144" s="137" t="str">
        <f t="shared" si="28"/>
        <v>7647</v>
      </c>
      <c r="B144" s="53" t="s">
        <v>195</v>
      </c>
      <c r="C144" s="50" t="s">
        <v>20</v>
      </c>
      <c r="D144" s="136">
        <v>1001097747647</v>
      </c>
      <c r="E144" s="24"/>
      <c r="F144" s="128">
        <v>0.1</v>
      </c>
      <c r="G144" s="23">
        <f>E144*F144</f>
        <v>0</v>
      </c>
      <c r="H144" s="29">
        <v>1</v>
      </c>
      <c r="I144" s="29">
        <v>30</v>
      </c>
      <c r="J144" s="125" t="s">
        <v>196</v>
      </c>
      <c r="L144" s="102"/>
    </row>
    <row r="145" spans="1:12" ht="16.5" customHeight="1" thickBot="1" x14ac:dyDescent="0.3">
      <c r="A145" s="137" t="str">
        <f t="shared" si="28"/>
        <v>7651</v>
      </c>
      <c r="B145" s="53" t="s">
        <v>197</v>
      </c>
      <c r="C145" s="50" t="s">
        <v>20</v>
      </c>
      <c r="D145" s="136">
        <v>1001097767651</v>
      </c>
      <c r="E145" s="24"/>
      <c r="F145" s="128">
        <v>0.1</v>
      </c>
      <c r="G145" s="23">
        <f>E145*F145</f>
        <v>0</v>
      </c>
      <c r="H145" s="29">
        <v>1</v>
      </c>
      <c r="I145" s="29">
        <v>30</v>
      </c>
      <c r="J145" s="125" t="s">
        <v>196</v>
      </c>
      <c r="L145" s="102"/>
    </row>
    <row r="146" spans="1:12" ht="16.5" customHeight="1" thickTop="1" thickBot="1" x14ac:dyDescent="0.3">
      <c r="A146" s="47" t="s">
        <v>104</v>
      </c>
      <c r="B146" s="42" t="s">
        <v>96</v>
      </c>
      <c r="C146" s="42"/>
      <c r="D146" s="42"/>
      <c r="E146" s="42"/>
      <c r="F146" s="41"/>
      <c r="G146" s="42"/>
      <c r="H146" s="42"/>
      <c r="I146" s="42"/>
      <c r="J146" s="43"/>
      <c r="L146" s="102"/>
    </row>
    <row r="147" spans="1:12" ht="16.5" customHeight="1" thickTop="1" x14ac:dyDescent="0.25">
      <c r="A147" s="137" t="str">
        <f t="shared" ref="A147:A158" si="32">RIGHT(D147,4)</f>
        <v>7090</v>
      </c>
      <c r="B147" s="35" t="s">
        <v>100</v>
      </c>
      <c r="C147" s="50" t="s">
        <v>20</v>
      </c>
      <c r="D147" s="51">
        <v>1001084217090</v>
      </c>
      <c r="E147" s="24"/>
      <c r="F147" s="23">
        <v>0.3</v>
      </c>
      <c r="G147" s="23">
        <f t="shared" ref="G147:G148" si="33">E147*F147</f>
        <v>0</v>
      </c>
      <c r="H147" s="14">
        <v>1.8</v>
      </c>
      <c r="I147" s="14">
        <v>50</v>
      </c>
      <c r="J147" s="29"/>
      <c r="L147" s="102"/>
    </row>
    <row r="148" spans="1:12" ht="16.5" customHeight="1" x14ac:dyDescent="0.25">
      <c r="A148" s="137" t="str">
        <f t="shared" si="32"/>
        <v>7187</v>
      </c>
      <c r="B148" s="35" t="s">
        <v>101</v>
      </c>
      <c r="C148" s="50" t="s">
        <v>20</v>
      </c>
      <c r="D148" s="51">
        <v>1001085637187</v>
      </c>
      <c r="E148" s="24"/>
      <c r="F148" s="23">
        <v>0.3</v>
      </c>
      <c r="G148" s="23">
        <f t="shared" si="33"/>
        <v>0</v>
      </c>
      <c r="H148" s="14">
        <v>1.8</v>
      </c>
      <c r="I148" s="14">
        <v>50</v>
      </c>
      <c r="J148" s="29"/>
      <c r="L148" s="102"/>
    </row>
    <row r="149" spans="1:12" ht="16.5" customHeight="1" x14ac:dyDescent="0.25">
      <c r="A149" s="137" t="str">
        <f t="shared" si="32"/>
        <v>6008</v>
      </c>
      <c r="B149" s="35" t="s">
        <v>198</v>
      </c>
      <c r="C149" s="50" t="s">
        <v>22</v>
      </c>
      <c r="D149" s="51">
        <v>1001084856008</v>
      </c>
      <c r="E149" s="24"/>
      <c r="F149" s="23">
        <v>0.3</v>
      </c>
      <c r="G149" s="23">
        <f>E149</f>
        <v>0</v>
      </c>
      <c r="H149" s="14">
        <v>1.8</v>
      </c>
      <c r="I149" s="14">
        <v>40</v>
      </c>
      <c r="J149" s="125" t="s">
        <v>196</v>
      </c>
      <c r="L149" s="102"/>
    </row>
    <row r="150" spans="1:12" ht="16.5" customHeight="1" x14ac:dyDescent="0.25">
      <c r="A150" s="137" t="str">
        <f t="shared" si="32"/>
        <v>6620</v>
      </c>
      <c r="B150" s="35" t="s">
        <v>97</v>
      </c>
      <c r="C150" s="50" t="s">
        <v>22</v>
      </c>
      <c r="D150" s="51">
        <v>1001081596620</v>
      </c>
      <c r="E150" s="24"/>
      <c r="F150" s="23">
        <v>1.05</v>
      </c>
      <c r="G150" s="23">
        <f>E150</f>
        <v>0</v>
      </c>
      <c r="H150" s="14">
        <v>3.15</v>
      </c>
      <c r="I150" s="14">
        <v>30</v>
      </c>
      <c r="J150" s="29"/>
      <c r="L150" s="102"/>
    </row>
    <row r="151" spans="1:12" ht="16.5" customHeight="1" x14ac:dyDescent="0.25">
      <c r="A151" s="137" t="str">
        <f t="shared" si="32"/>
        <v>7103</v>
      </c>
      <c r="B151" s="35" t="s">
        <v>216</v>
      </c>
      <c r="C151" s="50" t="s">
        <v>20</v>
      </c>
      <c r="D151" s="51">
        <v>1001223297103</v>
      </c>
      <c r="E151" s="24"/>
      <c r="F151" s="23">
        <v>0.18</v>
      </c>
      <c r="G151" s="23">
        <f t="shared" ref="G151:G158" si="34">E151*F151</f>
        <v>0</v>
      </c>
      <c r="H151" s="14">
        <v>1.8</v>
      </c>
      <c r="I151" s="14">
        <v>50</v>
      </c>
      <c r="J151" s="29"/>
      <c r="L151" s="102"/>
    </row>
    <row r="152" spans="1:12" ht="16.5" customHeight="1" x14ac:dyDescent="0.25">
      <c r="A152" s="137" t="str">
        <f t="shared" si="32"/>
        <v>7092</v>
      </c>
      <c r="B152" s="35" t="s">
        <v>78</v>
      </c>
      <c r="C152" s="50" t="s">
        <v>20</v>
      </c>
      <c r="D152" s="51">
        <v>1001223297092</v>
      </c>
      <c r="E152" s="24"/>
      <c r="F152" s="23">
        <v>0.14000000000000001</v>
      </c>
      <c r="G152" s="23">
        <f t="shared" si="34"/>
        <v>0</v>
      </c>
      <c r="H152" s="14">
        <v>1.4</v>
      </c>
      <c r="I152" s="14">
        <v>50</v>
      </c>
      <c r="J152" s="29"/>
      <c r="L152" s="102"/>
    </row>
    <row r="153" spans="1:12" ht="16.5" customHeight="1" x14ac:dyDescent="0.25">
      <c r="A153" s="137" t="str">
        <f t="shared" si="32"/>
        <v>6228</v>
      </c>
      <c r="B153" s="35" t="s">
        <v>89</v>
      </c>
      <c r="C153" s="50" t="s">
        <v>20</v>
      </c>
      <c r="D153" s="51">
        <v>1001225416228</v>
      </c>
      <c r="E153" s="24"/>
      <c r="F153" s="23">
        <v>0.09</v>
      </c>
      <c r="G153" s="23">
        <f t="shared" si="34"/>
        <v>0</v>
      </c>
      <c r="H153" s="14">
        <v>0.9</v>
      </c>
      <c r="I153" s="14">
        <v>45</v>
      </c>
      <c r="J153" s="29"/>
      <c r="L153" s="102"/>
    </row>
    <row r="154" spans="1:12" ht="16.5" customHeight="1" x14ac:dyDescent="0.25">
      <c r="A154" s="137" t="str">
        <f t="shared" si="32"/>
        <v>6448</v>
      </c>
      <c r="B154" s="35" t="s">
        <v>128</v>
      </c>
      <c r="C154" s="50" t="s">
        <v>20</v>
      </c>
      <c r="D154" s="51">
        <v>1001234146448</v>
      </c>
      <c r="E154" s="24"/>
      <c r="F154" s="23">
        <v>0.1</v>
      </c>
      <c r="G154" s="23">
        <f t="shared" si="34"/>
        <v>0</v>
      </c>
      <c r="H154" s="14">
        <v>1</v>
      </c>
      <c r="I154" s="14">
        <v>45</v>
      </c>
      <c r="J154" s="29"/>
      <c r="L154" s="102"/>
    </row>
    <row r="155" spans="1:12" ht="16.5" customHeight="1" x14ac:dyDescent="0.25">
      <c r="A155" s="137" t="str">
        <f t="shared" si="32"/>
        <v>6208</v>
      </c>
      <c r="B155" s="35" t="s">
        <v>99</v>
      </c>
      <c r="C155" s="50" t="s">
        <v>20</v>
      </c>
      <c r="D155" s="51">
        <v>1001220226208</v>
      </c>
      <c r="E155" s="24"/>
      <c r="F155" s="23">
        <v>0.15</v>
      </c>
      <c r="G155" s="23">
        <f t="shared" si="34"/>
        <v>0</v>
      </c>
      <c r="H155" s="14">
        <v>1.5</v>
      </c>
      <c r="I155" s="14">
        <v>45</v>
      </c>
      <c r="J155" s="29"/>
      <c r="L155" s="102"/>
    </row>
    <row r="156" spans="1:12" ht="16.5" customHeight="1" x14ac:dyDescent="0.25">
      <c r="A156" s="137" t="str">
        <f t="shared" si="32"/>
        <v>6754</v>
      </c>
      <c r="B156" s="35" t="s">
        <v>222</v>
      </c>
      <c r="C156" s="50" t="s">
        <v>20</v>
      </c>
      <c r="D156" s="51">
        <v>1001225406754</v>
      </c>
      <c r="E156" s="24"/>
      <c r="F156" s="23">
        <v>0.09</v>
      </c>
      <c r="G156" s="23">
        <f t="shared" si="34"/>
        <v>0</v>
      </c>
      <c r="H156" s="14">
        <v>0.72</v>
      </c>
      <c r="I156" s="14">
        <v>60</v>
      </c>
      <c r="J156" s="29"/>
    </row>
    <row r="157" spans="1:12" ht="15.75" customHeight="1" x14ac:dyDescent="0.25">
      <c r="A157" s="137" t="str">
        <f t="shared" si="32"/>
        <v>6279</v>
      </c>
      <c r="B157" s="35" t="s">
        <v>98</v>
      </c>
      <c r="C157" s="50" t="s">
        <v>20</v>
      </c>
      <c r="D157" s="51">
        <v>1001220286279</v>
      </c>
      <c r="E157" s="24"/>
      <c r="F157" s="23">
        <v>0.15</v>
      </c>
      <c r="G157" s="23">
        <f t="shared" si="34"/>
        <v>0</v>
      </c>
      <c r="H157" s="14">
        <v>1.2</v>
      </c>
      <c r="I157" s="14">
        <v>45</v>
      </c>
      <c r="J157" s="29"/>
    </row>
    <row r="158" spans="1:12" ht="15.75" thickBot="1" x14ac:dyDescent="0.3">
      <c r="A158" s="137" t="str">
        <f t="shared" si="32"/>
        <v>7612</v>
      </c>
      <c r="B158" s="35" t="s">
        <v>199</v>
      </c>
      <c r="C158" s="50" t="s">
        <v>20</v>
      </c>
      <c r="D158" s="51">
        <v>1001453907612</v>
      </c>
      <c r="E158" s="24"/>
      <c r="F158" s="23">
        <v>0.1</v>
      </c>
      <c r="G158" s="23">
        <f t="shared" si="34"/>
        <v>0</v>
      </c>
      <c r="H158" s="14">
        <v>1</v>
      </c>
      <c r="I158" s="14">
        <v>60</v>
      </c>
      <c r="J158" s="52" t="s">
        <v>200</v>
      </c>
    </row>
    <row r="159" spans="1:12" ht="16.5" thickTop="1" thickBot="1" x14ac:dyDescent="0.3">
      <c r="A159" s="48"/>
      <c r="B159" s="45" t="s">
        <v>102</v>
      </c>
      <c r="C159" s="16"/>
      <c r="D159" s="36"/>
      <c r="E159" s="17">
        <f>SUM(E10:E158)</f>
        <v>0</v>
      </c>
      <c r="F159" s="17"/>
      <c r="G159" s="17">
        <f>SUM(G11:G158)</f>
        <v>0</v>
      </c>
      <c r="H159" s="17"/>
      <c r="I159" s="17"/>
      <c r="J159" s="17"/>
    </row>
    <row r="160" spans="1:12" ht="15.75" thickTop="1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55"/>
      <c r="D163" s="56"/>
      <c r="E163" s="57"/>
      <c r="F163" s="58"/>
      <c r="G163" s="58"/>
      <c r="H163" s="59"/>
      <c r="I163" s="59"/>
      <c r="J163" s="21"/>
    </row>
    <row r="164" spans="2:10" x14ac:dyDescent="0.25">
      <c r="B164" s="37"/>
      <c r="C164" s="55"/>
      <c r="D164" s="56"/>
      <c r="E164" s="57"/>
      <c r="F164" s="58"/>
      <c r="G164" s="58"/>
      <c r="H164" s="59"/>
      <c r="I164" s="59"/>
      <c r="J164" s="21"/>
    </row>
    <row r="165" spans="2:10" x14ac:dyDescent="0.25">
      <c r="B165" s="37"/>
      <c r="C165" s="55"/>
      <c r="D165" s="60"/>
      <c r="E165" s="61"/>
      <c r="F165" s="60"/>
      <c r="G165" s="62"/>
      <c r="H165" s="63"/>
      <c r="I165" s="64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</sheetData>
  <autoFilter ref="A9:J159" xr:uid="{00000000-0009-0000-0000-000000000000}"/>
  <mergeCells count="2">
    <mergeCell ref="E1:J1"/>
    <mergeCell ref="G3:J3"/>
  </mergeCells>
  <conditionalFormatting sqref="D165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65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4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4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4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4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5" t="s">
        <v>114</v>
      </c>
      <c r="E24" s="105" t="s">
        <v>173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6"/>
      <c r="D26" s="107" t="s">
        <v>91</v>
      </c>
      <c r="E26" s="108"/>
      <c r="F26" s="109"/>
      <c r="G26" s="110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174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4">
        <v>1001094053215</v>
      </c>
      <c r="D33" s="69" t="s">
        <v>175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11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2"/>
      <c r="C37" s="113"/>
      <c r="D37" s="114" t="s">
        <v>119</v>
      </c>
      <c r="E37" s="115"/>
      <c r="F37" s="116"/>
      <c r="G37" s="117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6"/>
      <c r="D41" s="107" t="s">
        <v>127</v>
      </c>
      <c r="E41" s="108"/>
      <c r="F41" s="109"/>
      <c r="G41" s="110"/>
    </row>
    <row r="42" spans="2:7" ht="23.25" x14ac:dyDescent="0.25">
      <c r="B42" s="65">
        <v>7103</v>
      </c>
      <c r="C42" s="104">
        <v>1001223297103</v>
      </c>
      <c r="D42" s="69" t="s">
        <v>176</v>
      </c>
      <c r="E42" s="118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4">
        <v>1001225406754</v>
      </c>
      <c r="D46" s="69" t="s">
        <v>177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4">
        <v>1001220226208</v>
      </c>
      <c r="D47" s="69" t="s">
        <v>99</v>
      </c>
      <c r="E47" s="118"/>
      <c r="F47" s="65" t="s">
        <v>20</v>
      </c>
      <c r="G47" s="77">
        <v>0.15</v>
      </c>
    </row>
    <row r="48" spans="2:7" ht="23.25" x14ac:dyDescent="0.25">
      <c r="B48" s="65">
        <v>6228</v>
      </c>
      <c r="C48" s="104">
        <v>1001225416228</v>
      </c>
      <c r="D48" s="69" t="s">
        <v>89</v>
      </c>
      <c r="E48" s="118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11"/>
      <c r="F49" s="79" t="s">
        <v>20</v>
      </c>
      <c r="G49" s="80">
        <v>0.1</v>
      </c>
    </row>
    <row r="50" spans="2:7" ht="23.25" x14ac:dyDescent="0.25">
      <c r="B50" s="83"/>
      <c r="C50" s="106"/>
      <c r="D50" s="107" t="s">
        <v>120</v>
      </c>
      <c r="E50" s="108"/>
      <c r="F50" s="109"/>
      <c r="G50" s="110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178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179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180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6"/>
      <c r="D77" s="107" t="s">
        <v>130</v>
      </c>
      <c r="E77" s="108"/>
      <c r="F77" s="109"/>
      <c r="G77" s="110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181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11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11"/>
      <c r="F88" s="79" t="s">
        <v>22</v>
      </c>
      <c r="G88" s="80">
        <v>1</v>
      </c>
    </row>
    <row r="89" spans="2:7" ht="23.25" x14ac:dyDescent="0.25">
      <c r="B89" s="83"/>
      <c r="C89" s="106"/>
      <c r="D89" s="107" t="s">
        <v>76</v>
      </c>
      <c r="E89" s="108"/>
      <c r="F89" s="109"/>
      <c r="G89" s="110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9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2"/>
      <c r="C112" s="113"/>
      <c r="D112" s="114" t="s">
        <v>182</v>
      </c>
      <c r="E112" s="115"/>
      <c r="F112" s="116"/>
      <c r="G112" s="117"/>
    </row>
    <row r="113" spans="2:7" ht="21" x14ac:dyDescent="0.25">
      <c r="B113" s="119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183</v>
      </c>
      <c r="E115" s="90"/>
      <c r="F115" s="76" t="s">
        <v>22</v>
      </c>
      <c r="G115" s="77">
        <v>1</v>
      </c>
    </row>
    <row r="116" spans="2:7" ht="21" x14ac:dyDescent="0.25">
      <c r="B116" s="119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6"/>
      <c r="D120" s="107" t="s">
        <v>184</v>
      </c>
      <c r="E120" s="108"/>
      <c r="F120" s="109"/>
      <c r="G120" s="110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9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9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185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186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20">
        <v>7284</v>
      </c>
      <c r="C140" s="92">
        <v>1001025767284</v>
      </c>
      <c r="D140" s="111" t="s">
        <v>187</v>
      </c>
      <c r="E140" s="91"/>
      <c r="F140" s="121" t="s">
        <v>20</v>
      </c>
      <c r="G140" s="122">
        <v>0.33</v>
      </c>
    </row>
    <row r="141" spans="2:7" ht="21" x14ac:dyDescent="0.25">
      <c r="B141" s="65">
        <v>7601</v>
      </c>
      <c r="C141" s="71">
        <v>1001025767601</v>
      </c>
      <c r="D141" s="69" t="s">
        <v>188</v>
      </c>
      <c r="E141" s="90"/>
      <c r="F141" s="79" t="s">
        <v>20</v>
      </c>
      <c r="G141" s="80">
        <v>0.26</v>
      </c>
    </row>
    <row r="142" spans="2:7" ht="21" x14ac:dyDescent="0.25">
      <c r="B142" s="120">
        <v>7461</v>
      </c>
      <c r="C142" s="94">
        <v>1001025767461</v>
      </c>
      <c r="D142" s="111" t="s">
        <v>189</v>
      </c>
      <c r="E142" s="90"/>
      <c r="F142" s="123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190</v>
      </c>
      <c r="E143" s="87"/>
      <c r="F143" s="79" t="s">
        <v>20</v>
      </c>
      <c r="G143" s="80">
        <v>0.3</v>
      </c>
    </row>
    <row r="144" spans="2:7" ht="21" x14ac:dyDescent="0.25">
      <c r="B144" s="120">
        <v>6837</v>
      </c>
      <c r="C144" s="94">
        <v>1001022556837</v>
      </c>
      <c r="D144" s="111" t="s">
        <v>47</v>
      </c>
      <c r="E144" s="111"/>
      <c r="F144" s="121" t="s">
        <v>20</v>
      </c>
      <c r="G144" s="122">
        <v>0.4</v>
      </c>
    </row>
    <row r="145" spans="2:7" ht="21" x14ac:dyDescent="0.25">
      <c r="B145" s="120">
        <v>7080</v>
      </c>
      <c r="C145" s="94">
        <v>1001022467080</v>
      </c>
      <c r="D145" s="95" t="s">
        <v>53</v>
      </c>
      <c r="E145" s="95"/>
      <c r="F145" s="123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20">
        <v>7276</v>
      </c>
      <c r="C152" s="94">
        <v>1001022467276</v>
      </c>
      <c r="D152" s="95" t="s">
        <v>54</v>
      </c>
      <c r="E152" s="95"/>
      <c r="F152" s="123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2026-08-19T11:34:40Z</dcterms:modified>
</cp:coreProperties>
</file>