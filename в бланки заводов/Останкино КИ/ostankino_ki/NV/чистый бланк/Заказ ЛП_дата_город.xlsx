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1C6EBDFB-9325-4722-B943-F1D8824A7189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Бланк!$A$9:$J$167</definedName>
    <definedName name="кол_во_инд.__упак_к">Бланк!$AC$3:$AC$603</definedName>
    <definedName name="номин.вес_нетто__кг">Бланк!$W$3:$W$603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70" i="1" l="1"/>
  <c r="G169" i="1"/>
  <c r="A169" i="1"/>
  <c r="G168" i="1"/>
  <c r="A168" i="1"/>
  <c r="G167" i="1"/>
  <c r="A167" i="1"/>
  <c r="G166" i="1"/>
  <c r="A166" i="1"/>
  <c r="G165" i="1"/>
  <c r="A165" i="1"/>
  <c r="G164" i="1"/>
  <c r="A164" i="1"/>
  <c r="G163" i="1"/>
  <c r="A163" i="1"/>
  <c r="G162" i="1"/>
  <c r="A162" i="1"/>
  <c r="G161" i="1"/>
  <c r="A161" i="1"/>
  <c r="G160" i="1"/>
  <c r="A160" i="1"/>
  <c r="G159" i="1"/>
  <c r="A159" i="1"/>
  <c r="G158" i="1"/>
  <c r="A158" i="1"/>
  <c r="G156" i="1"/>
  <c r="A156" i="1"/>
  <c r="G155" i="1"/>
  <c r="A155" i="1"/>
  <c r="G154" i="1"/>
  <c r="A154" i="1"/>
  <c r="G153" i="1"/>
  <c r="A153" i="1"/>
  <c r="G152" i="1"/>
  <c r="A152" i="1"/>
  <c r="G151" i="1"/>
  <c r="A151" i="1"/>
  <c r="G150" i="1"/>
  <c r="A150" i="1"/>
  <c r="G149" i="1"/>
  <c r="A149" i="1"/>
  <c r="G148" i="1"/>
  <c r="A148" i="1"/>
  <c r="G147" i="1"/>
  <c r="A147" i="1"/>
  <c r="G146" i="1"/>
  <c r="A146" i="1"/>
  <c r="G145" i="1"/>
  <c r="A145" i="1"/>
  <c r="G144" i="1"/>
  <c r="A144" i="1"/>
  <c r="G143" i="1"/>
  <c r="A143" i="1"/>
  <c r="G141" i="1"/>
  <c r="A141" i="1"/>
  <c r="G140" i="1"/>
  <c r="A140" i="1"/>
  <c r="G139" i="1"/>
  <c r="A139" i="1"/>
  <c r="G138" i="1"/>
  <c r="A138" i="1"/>
  <c r="G137" i="1"/>
  <c r="A137" i="1"/>
  <c r="G136" i="1"/>
  <c r="A136" i="1"/>
  <c r="G135" i="1"/>
  <c r="A135" i="1"/>
  <c r="G134" i="1"/>
  <c r="A134" i="1"/>
  <c r="G133" i="1"/>
  <c r="A133" i="1"/>
  <c r="G132" i="1"/>
  <c r="A132" i="1"/>
  <c r="G131" i="1"/>
  <c r="A131" i="1"/>
  <c r="G130" i="1"/>
  <c r="A130" i="1"/>
  <c r="G129" i="1"/>
  <c r="A129" i="1"/>
  <c r="G128" i="1"/>
  <c r="A128" i="1"/>
  <c r="G127" i="1"/>
  <c r="A127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8" i="1"/>
  <c r="A108" i="1"/>
  <c r="G107" i="1"/>
  <c r="A107" i="1"/>
  <c r="G106" i="1"/>
  <c r="A106" i="1"/>
  <c r="G105" i="1"/>
  <c r="A105" i="1"/>
  <c r="G104" i="1"/>
  <c r="A104" i="1"/>
  <c r="G103" i="1"/>
  <c r="A103" i="1"/>
  <c r="G102" i="1"/>
  <c r="A102" i="1"/>
  <c r="G101" i="1"/>
  <c r="A101" i="1"/>
  <c r="G100" i="1"/>
  <c r="A100" i="1"/>
  <c r="G99" i="1"/>
  <c r="A99" i="1"/>
  <c r="G98" i="1"/>
  <c r="A98" i="1"/>
  <c r="G97" i="1"/>
  <c r="A97" i="1"/>
  <c r="G96" i="1"/>
  <c r="A96" i="1"/>
  <c r="G95" i="1"/>
  <c r="A95" i="1"/>
  <c r="G94" i="1"/>
  <c r="A94" i="1"/>
  <c r="G93" i="1"/>
  <c r="A93" i="1"/>
  <c r="G92" i="1"/>
  <c r="A92" i="1"/>
  <c r="G91" i="1"/>
  <c r="A91" i="1"/>
  <c r="G90" i="1"/>
  <c r="A90" i="1"/>
  <c r="G89" i="1"/>
  <c r="A89" i="1"/>
  <c r="G88" i="1"/>
  <c r="A88" i="1"/>
  <c r="G87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G79" i="1"/>
  <c r="A79" i="1"/>
  <c r="G78" i="1"/>
  <c r="A78" i="1"/>
  <c r="G77" i="1"/>
  <c r="A77" i="1"/>
  <c r="G76" i="1"/>
  <c r="A76" i="1"/>
  <c r="G75" i="1"/>
  <c r="A75" i="1"/>
  <c r="G74" i="1"/>
  <c r="A74" i="1"/>
  <c r="G73" i="1"/>
  <c r="A73" i="1"/>
  <c r="G71" i="1"/>
  <c r="A71" i="1"/>
  <c r="G70" i="1"/>
  <c r="A70" i="1"/>
  <c r="G69" i="1"/>
  <c r="A69" i="1"/>
  <c r="G68" i="1"/>
  <c r="A68" i="1"/>
  <c r="G67" i="1"/>
  <c r="A67" i="1"/>
  <c r="G66" i="1"/>
  <c r="A66" i="1"/>
  <c r="G65" i="1"/>
  <c r="A65" i="1"/>
  <c r="G64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7" i="1"/>
  <c r="A37" i="1"/>
  <c r="G35" i="1"/>
  <c r="A35" i="1"/>
  <c r="G34" i="1"/>
  <c r="A34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G170" i="1" s="1"/>
  <c r="A11" i="1"/>
  <c r="F3" i="1" l="1"/>
  <c r="K5" i="1" l="1"/>
  <c r="K6" i="1"/>
  <c r="K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 xr:uid="{00000000-0006-0000-0100-00000A000000}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 xr:uid="{00000000-0006-0000-0100-00000B000000}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<sst xmlns="http://schemas.openxmlformats.org/spreadsheetml/2006/main" count="671" uniqueCount="236">
  <si>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</si>
  <si>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</si>
  <si>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</si>
  <si>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</si>
  <si>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</si>
  <si>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</si>
  <si>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</si>
  <si>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</si>
  <si>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</si>
  <si>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</si>
  <si>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</si>
  <si>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</si>
  <si>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</si>
  <si>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</si>
  <si>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</si>
  <si>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</si>
  <si>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</si>
  <si>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</si>
  <si>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</si>
  <si>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</si>
  <si>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</si>
  <si>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</si>
  <si>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</si>
  <si>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</si>
  <si>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</si>
  <si>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</si>
  <si>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</si>
  <si>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</si>
  <si>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</si>
  <si>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</si>
  <si>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</si>
  <si>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</si>
  <si>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</si>
  <si>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</si>
  <si>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</si>
  <si>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</si>
  <si>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</si>
  <si>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</si>
  <si>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</si>
  <si>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</si>
  <si>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</si>
  <si>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</si>
  <si>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</si>
  <si>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</si>
  <si>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</si>
  <si>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</si>
  <si>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</si>
  <si>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</si>
  <si>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</si>
  <si>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</si>
  <si>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</si>
  <si>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</si>
  <si>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</si>
  <si>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</si>
  <si>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</si>
  <si>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</si>
  <si>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</si>
  <si>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</si>
  <si>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</si>
  <si>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</si>
  <si>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</si>
  <si>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</si>
  <si>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</si>
  <si>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</si>
  <si>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</si>
  <si>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</si>
  <si>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</si>
  <si>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</si>
  <si>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</si>
  <si>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</si>
  <si>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</si>
  <si>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</si>
  <si>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</si>
  <si>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</si>
  <si>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</si>
  <si>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</si>
  <si>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</si>
  <si>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</si>
  <si>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</si>
  <si>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</si>
  <si>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</si>
  <si>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</si>
  <si>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</si>
  <si>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</si>
  <si>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</si>
  <si>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</si>
  <si>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</si>
  <si>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</si>
  <si>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</si>
  <si>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</si>
  <si>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</si>
  <si>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</si>
  <si>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</si>
  <si>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</si>
  <si>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</si>
  <si>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</si>
  <si>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</si>
  <si>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</si>
  <si>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</si>
  <si>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</si>
  <si>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</si>
  <si>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</si>
  <si>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</si>
  <si>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</si>
  <si>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</si>
  <si>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</si>
  <si>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</si>
  <si>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</si>
  <si>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</si>
  <si>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</si>
  <si>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</si>
  <si>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</si>
  <si>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</si>
  <si>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</si>
  <si>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</si>
  <si>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</si>
  <si>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</si>
  <si>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</si>
  <si>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</si>
  <si>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</si>
  <si>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</si>
  <si>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</si>
  <si>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</si>
  <si>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</si>
  <si>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</si>
  <si>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</si>
  <si>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</si>
  <si>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</si>
  <si>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</si>
  <si>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</si>
  <si>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</si>
  <si>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</si>
  <si>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</si>
  <si>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</si>
  <si>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</si>
  <si>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</si>
  <si>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</si>
  <si>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</si>
  <si>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</si>
  <si>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</si>
  <si>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</si>
  <si>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</si>
  <si>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</si>
  <si>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</si>
  <si>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</si>
  <si>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</si>
  <si>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</si>
  <si>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</si>
  <si>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</si>
  <si>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</si>
  <si>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</si>
  <si>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</si>
  <si>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</si>
  <si>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</si>
  <si>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</si>
  <si>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</si>
  <si>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</si>
  <si>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</si>
  <si>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</si>
  <si>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</si>
  <si>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</si>
  <si>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</si>
  <si>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</si>
  <si>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</si>
  <si>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</si>
  <si>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</si>
  <si>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</si>
  <si>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</si>
  <si>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</si>
  <si>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Новинка, Смешарики</t>
  </si>
  <si>
    <t>Ротация кода 7131</t>
  </si>
  <si>
    <t>Ротация кода 6793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</si>
  <si>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</si>
  <si>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</si>
  <si>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</si>
  <si>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</si>
  <si>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</si>
  <si>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</si>
  <si>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</si>
  <si>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</si>
  <si>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</si>
  <si>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</si>
  <si>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</si>
  <si>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</si>
  <si>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</si>
  <si>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</si>
  <si>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</si>
  <si>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</si>
  <si>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</si>
  <si>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</si>
  <si>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</si>
  <si>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</si>
  <si>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ЛП Донецк (ОПТЫ (МАЛАХУТИН)) - 130439106</t>
  </si>
  <si>
    <t>ЛП Донецк (МАСТЕРОВ) - 130439107</t>
  </si>
  <si>
    <t>Ротация кода 6353</t>
  </si>
  <si>
    <t>ЭКСТРА Папа может вар п/о 0.4кг 8шт_195к</t>
  </si>
  <si>
    <t>ХОЧУ ВЕТЧ. ИЗ СВИН.ОТРУБА с/н мгс 1/100</t>
  </si>
  <si>
    <t>Новинка</t>
  </si>
  <si>
    <t>ХОЧУ ВЕТЧ. МРАМОР. ПМ с/н мгс 1/100_Л11</t>
  </si>
  <si>
    <t>САЛО СОЛЕНОЕ С ЧЕРНЫМ ПЕРЦЕМ мл/к в/у</t>
  </si>
  <si>
    <t>БАЛЫК с/к с/н в/у 1/100 10шт_Л11</t>
  </si>
  <si>
    <t>Ротация кода 7288</t>
  </si>
  <si>
    <t>БРАУНШВЕЙГСКАЯ с/к с/н мгс 1/100_Л10</t>
  </si>
  <si>
    <t>Ротация кода 5677</t>
  </si>
  <si>
    <t>Заблокирован</t>
  </si>
  <si>
    <t>Ротация кода 6454</t>
  </si>
  <si>
    <t>ЭКСТРА Папа может с/к с/н в/у 1/100_Л10</t>
  </si>
  <si>
    <t>Ротация кода 6453</t>
  </si>
  <si>
    <t>Ротация кода 6459</t>
  </si>
  <si>
    <t>СЕРВЕЛАТ БАВАРСКИЙ в/к с/н в/у 1/100_Л11</t>
  </si>
  <si>
    <t>Ротация кода 7474</t>
  </si>
  <si>
    <t xml:space="preserve">ЛП Луганск </t>
  </si>
  <si>
    <t>Луганск</t>
  </si>
  <si>
    <t>Грация</t>
  </si>
  <si>
    <t>СЫРРРВЕЛАТ Папа может в/к в/у 0.28кг 8шт</t>
  </si>
  <si>
    <t>АРОМАТНАЯ с/к с/н в/у 1/100 10шт_Л10 (7613)</t>
  </si>
  <si>
    <t>С ИНДЕЙКОЙ ПМ сос ц/о в/у 1/270 8шт.</t>
  </si>
  <si>
    <t>ВЕТЧ.РУБЛЕНАЯ ПМ в/у срез 0.3кг 6шт.</t>
  </si>
  <si>
    <t>ВЕТЧ.МЯСНАЯ Папа может п/о 0.4кг 8шт.</t>
  </si>
  <si>
    <t>БЕКОН Останкино с/к с/н в/у 1/180_50с</t>
  </si>
  <si>
    <t>БРЕСТСКИЕ сос п/о в/у 0.3кг 8шт.</t>
  </si>
  <si>
    <t>СЕРВЕЛАТ ШВЕЙЦАРСК.в/к с/н в/у 1/100_Л11</t>
  </si>
  <si>
    <t>ДОКТОРСКАЯ ПО-ОСТАНКИНСКИ вар б/о в/у</t>
  </si>
  <si>
    <t>Ротация кода 5246</t>
  </si>
  <si>
    <t>РУССКАЯ ПО-ОСТАНКИНСКИ вар б/о в/у</t>
  </si>
  <si>
    <t>Ротация кода 5247</t>
  </si>
  <si>
    <t>ДЛЯ ДЕТЕЙ Папа может сос п/о мгс 0.264кг</t>
  </si>
  <si>
    <t>ШПИКАЧКИ СОЧНЫЕ ПМ сар б/о мгс 0.4кг_45с</t>
  </si>
  <si>
    <t>БАЛЫКОВАЯ ПМ п/к в/у 0.31кг 8шт_209к</t>
  </si>
  <si>
    <t>КРАКОВСКАЯ ГОСТ Останкино п/к н/о мгс</t>
  </si>
  <si>
    <t>НОВОМОСКОВСКАЯ в/к в/у срез 0.31кг</t>
  </si>
  <si>
    <t>ВОСКРЕСЕНСКАЯ ВЯЛЕНАЯ в/к в/у срез 1/260</t>
  </si>
  <si>
    <t>АРОМАТНАЯ с/к в/у_А</t>
  </si>
  <si>
    <t xml:space="preserve">ВЕТЧ.ИЗ ЛОПАТКИ Папа может п/о_HRC </t>
  </si>
  <si>
    <t>РИЕТ МЯСНОЙ С ГРИБАМИ ПМ п/о 1/150</t>
  </si>
  <si>
    <t>БАЛЫК И ШЕЙКА с/в с/н мгс 1/90 8шт.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</si>
</sst>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32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  <font>
      <b/>
      <sz val="18"/>
      <color theme="1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darkGray">
        <fgColor indexed="42"/>
        <bgColor theme="5" tint="0.79998168889431442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49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1" fontId="0" fillId="0" borderId="0" xfId="0" applyNumberFormat="1" applyFill="1"/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0" fillId="0" borderId="8" xfId="0" applyFont="1" applyFill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0" borderId="8" xfId="0" applyNumberFormat="1" applyFont="1" applyFill="1" applyBorder="1" applyAlignment="1">
      <alignment horizontal="center" vertical="center"/>
    </xf>
    <xf numFmtId="0" fontId="25" fillId="10" borderId="8" xfId="0" applyFont="1" applyFill="1" applyBorder="1" applyAlignment="1">
      <alignment horizontal="center" vertical="center"/>
    </xf>
    <xf numFmtId="0" fontId="20" fillId="10" borderId="8" xfId="0" applyFont="1" applyFill="1" applyBorder="1" applyAlignment="1">
      <alignment horizontal="center" vertical="center"/>
    </xf>
    <xf numFmtId="2" fontId="20" fillId="10" borderId="8" xfId="4" applyNumberFormat="1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20" fillId="10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Fill="1" applyBorder="1" applyAlignment="1">
      <alignment horizontal="center" vertical="center"/>
    </xf>
    <xf numFmtId="0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right"/>
    </xf>
    <xf numFmtId="0" fontId="0" fillId="0" borderId="7" xfId="0" applyBorder="1" applyAlignment="1">
      <alignment vertical="top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1" fontId="26" fillId="0" borderId="8" xfId="0" applyNumberFormat="1" applyFont="1" applyFill="1" applyBorder="1" applyAlignment="1">
      <alignment horizontal="center" vertical="center"/>
    </xf>
    <xf numFmtId="0" fontId="20" fillId="11" borderId="8" xfId="0" applyFont="1" applyFill="1" applyBorder="1" applyAlignment="1">
      <alignment horizontal="left" vertical="center"/>
    </xf>
    <xf numFmtId="1" fontId="21" fillId="10" borderId="8" xfId="0" applyNumberFormat="1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left" vertical="center"/>
    </xf>
    <xf numFmtId="0" fontId="22" fillId="10" borderId="8" xfId="0" applyFont="1" applyFill="1" applyBorder="1" applyAlignment="1">
      <alignment horizontal="center" vertical="center"/>
    </xf>
    <xf numFmtId="2" fontId="22" fillId="10" borderId="8" xfId="4" applyNumberFormat="1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left" vertical="center"/>
    </xf>
    <xf numFmtId="0" fontId="28" fillId="10" borderId="8" xfId="0" applyFont="1" applyFill="1" applyBorder="1" applyAlignment="1">
      <alignment horizontal="center" vertical="center"/>
    </xf>
    <xf numFmtId="1" fontId="29" fillId="10" borderId="8" xfId="0" applyNumberFormat="1" applyFont="1" applyFill="1" applyBorder="1" applyAlignment="1">
      <alignment horizontal="center" vertical="center"/>
    </xf>
    <xf numFmtId="0" fontId="30" fillId="10" borderId="8" xfId="0" applyFont="1" applyFill="1" applyBorder="1" applyAlignment="1">
      <alignment horizontal="center" vertical="center"/>
    </xf>
    <xf numFmtId="0" fontId="30" fillId="10" borderId="8" xfId="0" applyFont="1" applyFill="1" applyBorder="1" applyAlignment="1">
      <alignment horizontal="left" vertical="center"/>
    </xf>
    <xf numFmtId="0" fontId="29" fillId="10" borderId="8" xfId="0" applyFont="1" applyFill="1" applyBorder="1" applyAlignment="1">
      <alignment horizontal="center" vertical="center"/>
    </xf>
    <xf numFmtId="2" fontId="29" fillId="10" borderId="8" xfId="4" applyNumberFormat="1" applyFont="1" applyFill="1" applyBorder="1" applyAlignment="1">
      <alignment horizontal="center" vertical="center"/>
    </xf>
    <xf numFmtId="0" fontId="27" fillId="0" borderId="8" xfId="0" applyFont="1" applyFill="1" applyBorder="1" applyAlignment="1">
      <alignment horizontal="left" vertical="center"/>
    </xf>
    <xf numFmtId="0" fontId="22" fillId="0" borderId="8" xfId="0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2" fontId="22" fillId="0" borderId="15" xfId="4" applyNumberFormat="1" applyFont="1" applyFill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0" fillId="0" borderId="0" xfId="0" applyNumberFormat="1" applyFill="1" applyBorder="1"/>
    <xf numFmtId="0" fontId="6" fillId="9" borderId="4" xfId="0" applyFont="1" applyFill="1" applyBorder="1" applyAlignment="1">
      <alignment horizontal="right"/>
    </xf>
    <xf numFmtId="0" fontId="8" fillId="12" borderId="0" xfId="0" applyFont="1" applyFill="1" applyAlignment="1">
      <alignment vertical="center"/>
    </xf>
    <xf numFmtId="0" fontId="11" fillId="12" borderId="7" xfId="0" applyFont="1" applyFill="1" applyBorder="1" applyAlignment="1">
      <alignment horizontal="center" vertical="center"/>
    </xf>
    <xf numFmtId="1" fontId="8" fillId="12" borderId="0" xfId="0" applyNumberFormat="1" applyFont="1" applyFill="1" applyAlignment="1">
      <alignment horizontal="center" vertical="center"/>
    </xf>
    <xf numFmtId="1" fontId="5" fillId="13" borderId="5" xfId="0" applyNumberFormat="1" applyFont="1" applyFill="1" applyBorder="1" applyAlignment="1">
      <alignment horizontal="center" vertical="center" wrapText="1"/>
    </xf>
    <xf numFmtId="2" fontId="6" fillId="12" borderId="4" xfId="0" applyNumberFormat="1" applyFont="1" applyFill="1" applyBorder="1" applyAlignment="1">
      <alignment horizontal="right"/>
    </xf>
    <xf numFmtId="0" fontId="6" fillId="12" borderId="4" xfId="0" applyFont="1" applyFill="1" applyBorder="1" applyAlignment="1">
      <alignment horizontal="right"/>
    </xf>
    <xf numFmtId="165" fontId="15" fillId="3" borderId="2" xfId="0" applyNumberFormat="1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  <xf numFmtId="0" fontId="0" fillId="5" borderId="8" xfId="0" applyFill="1" applyBorder="1" applyAlignment="1">
      <alignment horizontal="right"/>
    </xf>
    <xf numFmtId="2" fontId="6" fillId="0" borderId="4" xfId="0" applyNumberFormat="1" applyFont="1" applyBorder="1" applyAlignment="1">
      <alignment horizontal="right"/>
    </xf>
    <xf numFmtId="0" fontId="8" fillId="0" borderId="0" xfId="0" applyFont="1" applyAlignment="1">
      <alignment horizontal="left" vertical="center"/>
    </xf>
    <xf numFmtId="0" fontId="11" fillId="0" borderId="18" xfId="0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2" fontId="0" fillId="0" borderId="7" xfId="0" applyNumberFormat="1" applyBorder="1" applyAlignment="1">
      <alignment vertical="top"/>
    </xf>
    <xf numFmtId="0" fontId="6" fillId="0" borderId="17" xfId="0" applyFont="1" applyBorder="1" applyAlignment="1">
      <alignment horizontal="right"/>
    </xf>
    <xf numFmtId="1" fontId="8" fillId="5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" fontId="8" fillId="0" borderId="6" xfId="0" applyNumberFormat="1" applyFont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91"/>
  <sheetViews>
    <sheetView tabSelected="1" zoomScale="85" zoomScaleNormal="85" workbookViewId="0">
      <pane ySplit="9" topLeftCell="A166" activePane="bottomLeft" state="frozen"/>
      <selection pane="bottomLeft" activeCell="F176" sqref="F176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100" customWidth="1"/>
    <col min="13" max="14" width="8.85546875" style="100" customWidth="1"/>
    <col min="15" max="67" width="8.85546875" style="100"/>
  </cols>
  <sheetData>
    <row r="1" spans="1:67" ht="27" customHeight="1" thickTop="1" thickBot="1" x14ac:dyDescent="0.4">
      <c r="C1" s="1" t="s">
        <v>0</v>
      </c>
      <c r="D1" s="134">
        <v>130438644</v>
      </c>
      <c r="E1" s="135" t="s">
        <v>211</v>
      </c>
      <c r="F1" s="136"/>
      <c r="G1" s="136"/>
      <c r="H1" s="136"/>
      <c r="I1" s="136"/>
      <c r="J1" s="137"/>
      <c r="K1" s="104">
        <v>130438384</v>
      </c>
      <c r="L1" s="100" t="s">
        <v>172</v>
      </c>
    </row>
    <row r="2" spans="1:67" ht="16.5" customHeight="1" thickTop="1" thickBot="1" x14ac:dyDescent="0.3">
      <c r="K2" s="104">
        <v>130438644</v>
      </c>
      <c r="L2" s="100" t="s">
        <v>173</v>
      </c>
    </row>
    <row r="3" spans="1:67" ht="19.5" customHeight="1" thickTop="1" thickBot="1" x14ac:dyDescent="0.3">
      <c r="B3" s="32"/>
      <c r="C3" s="7" t="s">
        <v>1</v>
      </c>
      <c r="D3" s="133">
        <v>46209</v>
      </c>
      <c r="E3" s="7" t="s">
        <v>2</v>
      </c>
      <c r="F3" s="133">
        <f>D3+3</f>
        <v>46212</v>
      </c>
      <c r="G3" s="138" t="s">
        <v>212</v>
      </c>
      <c r="H3" s="136"/>
      <c r="I3" s="136"/>
      <c r="J3" s="137"/>
      <c r="K3" s="104">
        <v>130439106</v>
      </c>
      <c r="L3" s="100" t="s">
        <v>192</v>
      </c>
    </row>
    <row r="4" spans="1:67" ht="15.75" customHeight="1" thickTop="1" x14ac:dyDescent="0.25">
      <c r="K4" s="125">
        <v>130439107</v>
      </c>
      <c r="L4" s="100" t="s">
        <v>193</v>
      </c>
      <c r="O4" s="100" t="s">
        <v>213</v>
      </c>
    </row>
    <row r="5" spans="1:67" x14ac:dyDescent="0.25">
      <c r="C5" s="7" t="s">
        <v>3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4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8</v>
      </c>
      <c r="B9" s="44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</row>
    <row r="10" spans="1:67" ht="16.5" customHeight="1" thickTop="1" thickBot="1" x14ac:dyDescent="0.3">
      <c r="A10" s="47"/>
      <c r="B10" s="42" t="s">
        <v>18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139" t="str">
        <f>RIGHT(D11,4)</f>
        <v>7523</v>
      </c>
      <c r="B11" s="53" t="s">
        <v>105</v>
      </c>
      <c r="C11" s="50" t="s">
        <v>20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166</v>
      </c>
      <c r="K11" s="27"/>
      <c r="L11" s="103"/>
      <c r="M11" s="103"/>
      <c r="N11" s="103"/>
      <c r="O11" s="103"/>
      <c r="P11" s="103"/>
      <c r="Q11" s="103"/>
      <c r="R11" s="103"/>
      <c r="S11" s="103"/>
      <c r="T11" s="103"/>
      <c r="U11" s="103"/>
      <c r="V11" s="103"/>
      <c r="W11" s="103"/>
      <c r="X11" s="103"/>
      <c r="Y11" s="103"/>
      <c r="Z11" s="103"/>
      <c r="AA11" s="103"/>
      <c r="AB11" s="103"/>
      <c r="AC11" s="103"/>
      <c r="AD11" s="103"/>
      <c r="AE11" s="103"/>
      <c r="AF11" s="103"/>
      <c r="AG11" s="103"/>
      <c r="AH11" s="103"/>
      <c r="AI11" s="103"/>
      <c r="AJ11" s="103"/>
      <c r="AK11" s="103"/>
      <c r="AL11" s="103"/>
      <c r="AM11" s="103"/>
      <c r="AN11" s="103"/>
      <c r="AO11" s="103"/>
      <c r="AP11" s="103"/>
      <c r="AQ11" s="103"/>
      <c r="AR11" s="103"/>
      <c r="AS11" s="103"/>
      <c r="AT11" s="103"/>
      <c r="AU11" s="103"/>
      <c r="AV11" s="103"/>
      <c r="AW11" s="103"/>
      <c r="AX11" s="103"/>
      <c r="AY11" s="102"/>
      <c r="AZ11" s="102"/>
      <c r="BA11" s="102"/>
      <c r="BB11" s="102"/>
      <c r="BC11" s="102"/>
      <c r="BD11" s="102"/>
      <c r="BE11" s="102"/>
      <c r="BF11" s="102"/>
      <c r="BG11" s="102"/>
      <c r="BH11" s="102"/>
      <c r="BI11" s="102"/>
      <c r="BJ11" s="102"/>
      <c r="BK11" s="102"/>
      <c r="BL11" s="102"/>
      <c r="BM11" s="102"/>
      <c r="BN11" s="102"/>
      <c r="BO11" s="102"/>
    </row>
    <row r="12" spans="1:67" s="15" customFormat="1" ht="16.5" customHeight="1" x14ac:dyDescent="0.25">
      <c r="A12" s="139" t="str">
        <f>RIGHT(D12,4)</f>
        <v>6220</v>
      </c>
      <c r="B12" s="53" t="s">
        <v>35</v>
      </c>
      <c r="C12" s="50" t="s">
        <v>22</v>
      </c>
      <c r="D12" s="51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 s="103"/>
      <c r="M12" s="103"/>
      <c r="N12" s="103"/>
      <c r="O12" s="103"/>
      <c r="P12" s="103"/>
      <c r="Q12" s="103"/>
      <c r="R12" s="103"/>
      <c r="S12" s="103"/>
      <c r="T12" s="103"/>
      <c r="U12" s="103"/>
      <c r="V12" s="103"/>
      <c r="W12" s="103"/>
      <c r="X12" s="103"/>
      <c r="Y12" s="103"/>
      <c r="Z12" s="103"/>
      <c r="AA12" s="103"/>
      <c r="AB12" s="103"/>
      <c r="AC12" s="103"/>
      <c r="AD12" s="103"/>
      <c r="AE12" s="103"/>
      <c r="AF12" s="103"/>
      <c r="AG12" s="103"/>
      <c r="AH12" s="103"/>
      <c r="AI12" s="103"/>
      <c r="AJ12" s="103"/>
      <c r="AK12" s="103"/>
      <c r="AL12" s="103"/>
      <c r="AM12" s="103"/>
      <c r="AN12" s="103"/>
      <c r="AO12" s="103"/>
      <c r="AP12" s="103"/>
      <c r="AQ12" s="103"/>
      <c r="AR12" s="103"/>
      <c r="AS12" s="103"/>
      <c r="AT12" s="103"/>
      <c r="AU12" s="103"/>
      <c r="AV12" s="103"/>
      <c r="AW12" s="103"/>
      <c r="AX12" s="103"/>
      <c r="AY12" s="102"/>
      <c r="AZ12" s="102"/>
      <c r="BA12" s="102"/>
      <c r="BB12" s="102"/>
      <c r="BC12" s="102"/>
      <c r="BD12" s="102"/>
      <c r="BE12" s="102"/>
      <c r="BF12" s="102"/>
      <c r="BG12" s="102"/>
      <c r="BH12" s="102"/>
      <c r="BI12" s="102"/>
      <c r="BJ12" s="102"/>
      <c r="BK12" s="102"/>
      <c r="BL12" s="102"/>
      <c r="BM12" s="102"/>
      <c r="BN12" s="102"/>
      <c r="BO12" s="102"/>
    </row>
    <row r="13" spans="1:67" s="15" customFormat="1" ht="16.5" customHeight="1" x14ac:dyDescent="0.25">
      <c r="A13" s="139" t="str">
        <f t="shared" ref="A13:A35" si="1">RIGHT(D13,4)</f>
        <v>7539</v>
      </c>
      <c r="B13" s="53" t="s">
        <v>106</v>
      </c>
      <c r="C13" s="50" t="s">
        <v>20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167</v>
      </c>
      <c r="K13" s="27"/>
      <c r="L13" s="103"/>
      <c r="M13" s="103"/>
      <c r="N13" s="103"/>
      <c r="O13" s="103"/>
      <c r="P13" s="103"/>
      <c r="Q13" s="103"/>
      <c r="R13" s="103"/>
      <c r="S13" s="103"/>
      <c r="T13" s="103"/>
      <c r="U13" s="103"/>
      <c r="V13" s="103"/>
      <c r="W13" s="103"/>
      <c r="X13" s="103"/>
      <c r="Y13" s="103"/>
      <c r="Z13" s="103"/>
      <c r="AA13" s="103"/>
      <c r="AB13" s="103"/>
      <c r="AC13" s="103"/>
      <c r="AD13" s="103"/>
      <c r="AE13" s="103"/>
      <c r="AF13" s="103"/>
      <c r="AG13" s="103"/>
      <c r="AH13" s="103"/>
      <c r="AI13" s="103"/>
      <c r="AJ13" s="103"/>
      <c r="AK13" s="103"/>
      <c r="AL13" s="103"/>
      <c r="AM13" s="103"/>
      <c r="AN13" s="103"/>
      <c r="AO13" s="103"/>
      <c r="AP13" s="103"/>
      <c r="AQ13" s="103"/>
      <c r="AR13" s="103"/>
      <c r="AS13" s="103"/>
      <c r="AT13" s="103"/>
      <c r="AU13" s="103"/>
      <c r="AV13" s="103"/>
      <c r="AW13" s="103"/>
      <c r="AX13" s="103"/>
      <c r="AY13" s="102"/>
      <c r="AZ13" s="102"/>
      <c r="BA13" s="102"/>
      <c r="BB13" s="102"/>
      <c r="BC13" s="102"/>
      <c r="BD13" s="102"/>
      <c r="BE13" s="102"/>
      <c r="BF13" s="102"/>
      <c r="BG13" s="102"/>
      <c r="BH13" s="102"/>
      <c r="BI13" s="102"/>
      <c r="BJ13" s="102"/>
      <c r="BK13" s="102"/>
      <c r="BL13" s="102"/>
      <c r="BM13" s="102"/>
      <c r="BN13" s="102"/>
      <c r="BO13" s="102"/>
    </row>
    <row r="14" spans="1:67" s="15" customFormat="1" ht="16.5" customHeight="1" x14ac:dyDescent="0.25">
      <c r="A14" s="139" t="str">
        <f t="shared" si="1"/>
        <v>7536</v>
      </c>
      <c r="B14" s="53" t="s">
        <v>107</v>
      </c>
      <c r="C14" s="50" t="s">
        <v>22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168</v>
      </c>
      <c r="K14" s="27"/>
      <c r="L14" s="103"/>
      <c r="M14" s="103"/>
      <c r="N14" s="103"/>
      <c r="O14" s="103"/>
      <c r="P14" s="103"/>
      <c r="Q14" s="103"/>
      <c r="R14" s="103"/>
      <c r="S14" s="103"/>
      <c r="T14" s="103"/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  <c r="AG14" s="103"/>
      <c r="AH14" s="103"/>
      <c r="AI14" s="103"/>
      <c r="AJ14" s="103"/>
      <c r="AK14" s="103"/>
      <c r="AL14" s="103"/>
      <c r="AM14" s="103"/>
      <c r="AN14" s="103"/>
      <c r="AO14" s="103"/>
      <c r="AP14" s="103"/>
      <c r="AQ14" s="103"/>
      <c r="AR14" s="103"/>
      <c r="AS14" s="103"/>
      <c r="AT14" s="103"/>
      <c r="AU14" s="103"/>
      <c r="AV14" s="103"/>
      <c r="AW14" s="103"/>
      <c r="AX14" s="103"/>
      <c r="AY14" s="102"/>
      <c r="AZ14" s="102"/>
      <c r="BA14" s="102"/>
      <c r="BB14" s="102"/>
      <c r="BC14" s="102"/>
      <c r="BD14" s="102"/>
      <c r="BE14" s="102"/>
      <c r="BF14" s="102"/>
      <c r="BG14" s="102"/>
      <c r="BH14" s="102"/>
      <c r="BI14" s="102"/>
      <c r="BJ14" s="102"/>
      <c r="BK14" s="102"/>
      <c r="BL14" s="102"/>
      <c r="BM14" s="102"/>
      <c r="BN14" s="102"/>
      <c r="BO14" s="102"/>
    </row>
    <row r="15" spans="1:67" s="15" customFormat="1" ht="16.5" customHeight="1" x14ac:dyDescent="0.25">
      <c r="A15" s="139" t="str">
        <f t="shared" si="1"/>
        <v>6340</v>
      </c>
      <c r="B15" s="53" t="s">
        <v>26</v>
      </c>
      <c r="C15" s="50" t="s">
        <v>20</v>
      </c>
      <c r="D15" s="51">
        <v>1001012816340</v>
      </c>
      <c r="E15" s="24"/>
      <c r="F15" s="23">
        <v>0.5</v>
      </c>
      <c r="G15" s="23">
        <f>E15*F15</f>
        <v>0</v>
      </c>
      <c r="H15" s="14">
        <v>4</v>
      </c>
      <c r="I15" s="14">
        <v>60</v>
      </c>
      <c r="J15" s="29"/>
      <c r="K15" s="27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2"/>
      <c r="AZ15" s="102"/>
      <c r="BA15" s="102"/>
      <c r="BB15" s="102"/>
      <c r="BC15" s="102"/>
      <c r="BD15" s="102"/>
      <c r="BE15" s="102"/>
      <c r="BF15" s="102"/>
      <c r="BG15" s="102"/>
      <c r="BH15" s="102"/>
      <c r="BI15" s="102"/>
      <c r="BJ15" s="102"/>
      <c r="BK15" s="102"/>
      <c r="BL15" s="102"/>
      <c r="BM15" s="102"/>
      <c r="BN15" s="102"/>
      <c r="BO15" s="102"/>
    </row>
    <row r="16" spans="1:67" ht="16.5" customHeight="1" x14ac:dyDescent="0.25">
      <c r="A16" s="139" t="str">
        <f t="shared" si="1"/>
        <v>6861</v>
      </c>
      <c r="B16" s="53" t="s">
        <v>25</v>
      </c>
      <c r="C16" s="50" t="s">
        <v>22</v>
      </c>
      <c r="D16" s="51">
        <v>1001015646861</v>
      </c>
      <c r="E16" s="24"/>
      <c r="F16" s="23">
        <v>1.95</v>
      </c>
      <c r="G16" s="23">
        <f>E16</f>
        <v>0</v>
      </c>
      <c r="H16" s="14">
        <v>3.9</v>
      </c>
      <c r="I16" s="14">
        <v>60</v>
      </c>
      <c r="J16" s="29"/>
      <c r="L16" s="103"/>
      <c r="M16" s="103"/>
      <c r="N16" s="103"/>
      <c r="O16" s="103"/>
      <c r="P16" s="103"/>
      <c r="Q16" s="103"/>
      <c r="R16" s="103"/>
      <c r="S16" s="103"/>
      <c r="T16" s="103"/>
      <c r="U16" s="103"/>
      <c r="V16" s="103"/>
      <c r="W16" s="103"/>
      <c r="X16" s="103"/>
      <c r="Y16" s="103"/>
      <c r="Z16" s="103"/>
      <c r="AA16" s="103"/>
      <c r="AB16" s="103"/>
      <c r="AC16" s="103"/>
      <c r="AD16" s="103"/>
      <c r="AE16" s="103"/>
      <c r="AF16" s="103"/>
      <c r="AG16" s="103"/>
      <c r="AH16" s="103"/>
      <c r="AI16" s="103"/>
      <c r="AJ16" s="103"/>
      <c r="AK16" s="103"/>
      <c r="AL16" s="103"/>
      <c r="AM16" s="103"/>
      <c r="AN16" s="103"/>
      <c r="AO16" s="103"/>
      <c r="AP16" s="103"/>
      <c r="AQ16" s="103"/>
      <c r="AR16" s="103"/>
      <c r="AS16" s="103"/>
      <c r="AT16" s="103"/>
      <c r="AU16" s="103"/>
      <c r="AV16" s="103"/>
      <c r="AW16" s="103"/>
      <c r="AX16" s="103"/>
    </row>
    <row r="17" spans="1:67" ht="16.5" customHeight="1" x14ac:dyDescent="0.25">
      <c r="A17" s="139" t="str">
        <f t="shared" si="1"/>
        <v>6862</v>
      </c>
      <c r="B17" s="53" t="s">
        <v>28</v>
      </c>
      <c r="C17" s="50" t="s">
        <v>22</v>
      </c>
      <c r="D17" s="51">
        <v>1001015706862</v>
      </c>
      <c r="E17" s="24"/>
      <c r="F17" s="23">
        <v>1.95</v>
      </c>
      <c r="G17" s="23">
        <f t="shared" ref="G17" si="2">E17</f>
        <v>0</v>
      </c>
      <c r="H17" s="14">
        <v>3.9</v>
      </c>
      <c r="I17" s="14">
        <v>60</v>
      </c>
      <c r="J17" s="29"/>
      <c r="L17" s="103"/>
    </row>
    <row r="18" spans="1:67" ht="16.5" customHeight="1" x14ac:dyDescent="0.25">
      <c r="A18" s="139" t="str">
        <f t="shared" si="1"/>
        <v>6341</v>
      </c>
      <c r="B18" s="53" t="s">
        <v>27</v>
      </c>
      <c r="C18" s="50" t="s">
        <v>20</v>
      </c>
      <c r="D18" s="51">
        <v>1001012816341</v>
      </c>
      <c r="E18" s="24"/>
      <c r="F18" s="23">
        <v>0.5</v>
      </c>
      <c r="G18" s="23">
        <f>E18*F18</f>
        <v>0</v>
      </c>
      <c r="H18" s="14">
        <v>4</v>
      </c>
      <c r="I18" s="14">
        <v>60</v>
      </c>
      <c r="J18" s="29"/>
      <c r="L18" s="103"/>
    </row>
    <row r="19" spans="1:67" ht="16.5" customHeight="1" x14ac:dyDescent="0.25">
      <c r="A19" s="139" t="str">
        <f t="shared" si="1"/>
        <v>6498</v>
      </c>
      <c r="B19" s="53" t="s">
        <v>34</v>
      </c>
      <c r="C19" s="50" t="s">
        <v>22</v>
      </c>
      <c r="D19" s="51">
        <v>1001012456498</v>
      </c>
      <c r="E19" s="24"/>
      <c r="F19" s="23">
        <v>1</v>
      </c>
      <c r="G19" s="23">
        <f t="shared" ref="G19:G20" si="3">E19</f>
        <v>0</v>
      </c>
      <c r="H19" s="14">
        <v>4</v>
      </c>
      <c r="I19" s="14">
        <v>60</v>
      </c>
      <c r="J19" s="29"/>
      <c r="L19" s="103"/>
    </row>
    <row r="20" spans="1:67" ht="16.5" customHeight="1" x14ac:dyDescent="0.25">
      <c r="A20" s="139" t="str">
        <f t="shared" si="1"/>
        <v>4063</v>
      </c>
      <c r="B20" s="53" t="s">
        <v>21</v>
      </c>
      <c r="C20" s="50" t="s">
        <v>22</v>
      </c>
      <c r="D20" s="51">
        <v>1001012484063</v>
      </c>
      <c r="E20" s="24"/>
      <c r="F20" s="23">
        <v>1.35</v>
      </c>
      <c r="G20" s="23">
        <f t="shared" si="3"/>
        <v>0</v>
      </c>
      <c r="H20" s="14">
        <v>4.05</v>
      </c>
      <c r="I20" s="14">
        <v>60</v>
      </c>
      <c r="J20" s="29"/>
      <c r="L20" s="103"/>
    </row>
    <row r="21" spans="1:67" ht="16.5" customHeight="1" x14ac:dyDescent="0.25">
      <c r="A21" s="139" t="str">
        <f t="shared" si="1"/>
        <v>6333</v>
      </c>
      <c r="B21" s="53" t="s">
        <v>23</v>
      </c>
      <c r="C21" s="50" t="s">
        <v>20</v>
      </c>
      <c r="D21" s="51">
        <v>1001012486333</v>
      </c>
      <c r="E21" s="24"/>
      <c r="F21" s="23">
        <v>0.4</v>
      </c>
      <c r="G21" s="23">
        <f>E21*F21</f>
        <v>0</v>
      </c>
      <c r="H21" s="14">
        <v>3.2</v>
      </c>
      <c r="I21" s="14">
        <v>60</v>
      </c>
      <c r="J21" s="29"/>
      <c r="L21" s="103"/>
    </row>
    <row r="22" spans="1:67" ht="16.5" customHeight="1" x14ac:dyDescent="0.25">
      <c r="A22" s="139" t="str">
        <f t="shared" si="1"/>
        <v>4574</v>
      </c>
      <c r="B22" s="53" t="s">
        <v>24</v>
      </c>
      <c r="C22" s="50" t="s">
        <v>22</v>
      </c>
      <c r="D22" s="51">
        <v>1001012634574</v>
      </c>
      <c r="E22" s="24"/>
      <c r="F22" s="23">
        <v>1.35</v>
      </c>
      <c r="G22" s="23">
        <f>E22</f>
        <v>0</v>
      </c>
      <c r="H22" s="14">
        <v>4.05</v>
      </c>
      <c r="I22" s="14">
        <v>60</v>
      </c>
      <c r="J22" s="29"/>
      <c r="L22" s="103"/>
    </row>
    <row r="23" spans="1:67" ht="16.5" customHeight="1" x14ac:dyDescent="0.25">
      <c r="A23" s="139" t="str">
        <f t="shared" si="1"/>
        <v>7334</v>
      </c>
      <c r="B23" s="53" t="s">
        <v>108</v>
      </c>
      <c r="C23" s="50" t="s">
        <v>20</v>
      </c>
      <c r="D23" s="51">
        <v>1001012637334</v>
      </c>
      <c r="E23" s="24"/>
      <c r="F23" s="23">
        <v>0.4</v>
      </c>
      <c r="G23" s="23">
        <f>E23*F23</f>
        <v>0</v>
      </c>
      <c r="H23" s="14">
        <v>3.2</v>
      </c>
      <c r="I23" s="14">
        <v>60</v>
      </c>
      <c r="J23" s="29"/>
      <c r="L23" s="103"/>
    </row>
    <row r="24" spans="1:67" s="55" customFormat="1" ht="16.5" customHeight="1" x14ac:dyDescent="0.25">
      <c r="A24" s="139" t="str">
        <f t="shared" si="1"/>
        <v>4813</v>
      </c>
      <c r="B24" s="53" t="s">
        <v>29</v>
      </c>
      <c r="C24" s="50" t="s">
        <v>22</v>
      </c>
      <c r="D24" s="51">
        <v>1001012564813</v>
      </c>
      <c r="E24" s="24"/>
      <c r="F24" s="140">
        <v>1.35</v>
      </c>
      <c r="G24" s="23">
        <f>E24</f>
        <v>0</v>
      </c>
      <c r="H24" s="29">
        <v>4.05</v>
      </c>
      <c r="I24" s="29">
        <v>60</v>
      </c>
      <c r="J24" s="29"/>
      <c r="K24" s="54"/>
      <c r="L24" s="103"/>
      <c r="M24" s="103"/>
      <c r="N24" s="103"/>
      <c r="O24" s="103"/>
      <c r="P24" s="103"/>
      <c r="Q24" s="103"/>
      <c r="R24" s="103"/>
      <c r="S24" s="103"/>
      <c r="T24" s="103"/>
      <c r="U24" s="103"/>
      <c r="V24" s="103"/>
      <c r="W24" s="103"/>
      <c r="X24" s="103"/>
      <c r="Y24" s="103"/>
      <c r="Z24" s="103"/>
      <c r="AA24" s="103"/>
      <c r="AB24" s="103"/>
      <c r="AC24" s="103"/>
      <c r="AD24" s="103"/>
      <c r="AE24" s="103"/>
      <c r="AF24" s="103"/>
      <c r="AG24" s="103"/>
      <c r="AH24" s="103"/>
      <c r="AI24" s="103"/>
      <c r="AJ24" s="103"/>
      <c r="AK24" s="103"/>
      <c r="AL24" s="103"/>
      <c r="AM24" s="103"/>
      <c r="AN24" s="103"/>
      <c r="AO24" s="103"/>
      <c r="AP24" s="103"/>
      <c r="AQ24" s="103"/>
      <c r="AR24" s="103"/>
      <c r="AS24" s="103"/>
      <c r="AT24" s="103"/>
      <c r="AU24" s="103"/>
      <c r="AV24" s="103"/>
      <c r="AW24" s="103"/>
      <c r="AX24" s="103"/>
      <c r="AY24" s="103"/>
      <c r="AZ24" s="103"/>
      <c r="BA24" s="103"/>
      <c r="BB24" s="103"/>
      <c r="BC24" s="103"/>
      <c r="BD24" s="103"/>
      <c r="BE24" s="103"/>
      <c r="BF24" s="103"/>
      <c r="BG24" s="103"/>
      <c r="BH24" s="103"/>
      <c r="BI24" s="103"/>
      <c r="BJ24" s="103"/>
      <c r="BK24" s="103"/>
      <c r="BL24" s="103"/>
      <c r="BM24" s="103"/>
      <c r="BN24" s="103"/>
      <c r="BO24" s="103"/>
    </row>
    <row r="25" spans="1:67" s="55" customFormat="1" ht="16.5" customHeight="1" x14ac:dyDescent="0.25">
      <c r="A25" s="139" t="str">
        <f t="shared" si="1"/>
        <v>6392</v>
      </c>
      <c r="B25" s="53" t="s">
        <v>109</v>
      </c>
      <c r="C25" s="50" t="s">
        <v>20</v>
      </c>
      <c r="D25" s="51">
        <v>1001012566392</v>
      </c>
      <c r="E25" s="24"/>
      <c r="F25" s="140">
        <v>0.4</v>
      </c>
      <c r="G25" s="23">
        <f>E25*F25</f>
        <v>0</v>
      </c>
      <c r="H25" s="29">
        <v>3.2</v>
      </c>
      <c r="I25" s="29">
        <v>60</v>
      </c>
      <c r="J25" s="29"/>
      <c r="K25" s="54"/>
      <c r="L25" s="103"/>
      <c r="M25" s="103"/>
      <c r="N25" s="103"/>
      <c r="O25" s="103"/>
      <c r="P25" s="103"/>
      <c r="Q25" s="103"/>
      <c r="R25" s="103"/>
      <c r="S25" s="103"/>
      <c r="T25" s="103"/>
      <c r="U25" s="103"/>
      <c r="V25" s="103"/>
      <c r="W25" s="103"/>
      <c r="X25" s="103"/>
      <c r="Y25" s="103"/>
      <c r="Z25" s="103"/>
      <c r="AA25" s="103"/>
      <c r="AB25" s="103"/>
      <c r="AC25" s="103"/>
      <c r="AD25" s="103"/>
      <c r="AE25" s="103"/>
      <c r="AF25" s="103"/>
      <c r="AG25" s="103"/>
      <c r="AH25" s="103"/>
      <c r="AI25" s="103"/>
      <c r="AJ25" s="103"/>
      <c r="AK25" s="103"/>
      <c r="AL25" s="103"/>
      <c r="AM25" s="103"/>
      <c r="AN25" s="103"/>
      <c r="AO25" s="103"/>
      <c r="AP25" s="103"/>
      <c r="AQ25" s="103"/>
      <c r="AR25" s="103"/>
      <c r="AS25" s="103"/>
      <c r="AT25" s="103"/>
      <c r="AU25" s="103"/>
      <c r="AV25" s="103"/>
      <c r="AW25" s="103"/>
      <c r="AX25" s="103"/>
      <c r="AY25" s="103"/>
      <c r="AZ25" s="103"/>
      <c r="BA25" s="103"/>
      <c r="BB25" s="103"/>
      <c r="BC25" s="103"/>
      <c r="BD25" s="103"/>
      <c r="BE25" s="103"/>
      <c r="BF25" s="103"/>
      <c r="BG25" s="103"/>
      <c r="BH25" s="103"/>
      <c r="BI25" s="103"/>
      <c r="BJ25" s="103"/>
      <c r="BK25" s="103"/>
      <c r="BL25" s="103"/>
      <c r="BM25" s="103"/>
      <c r="BN25" s="103"/>
      <c r="BO25" s="103"/>
    </row>
    <row r="26" spans="1:67" s="55" customFormat="1" ht="16.5" customHeight="1" x14ac:dyDescent="0.25">
      <c r="A26" s="139" t="str">
        <f t="shared" si="1"/>
        <v>5851</v>
      </c>
      <c r="B26" s="53" t="s">
        <v>110</v>
      </c>
      <c r="C26" s="50" t="s">
        <v>22</v>
      </c>
      <c r="D26" s="51">
        <v>1001012505851</v>
      </c>
      <c r="E26" s="24"/>
      <c r="F26" s="140">
        <v>1.35</v>
      </c>
      <c r="G26" s="23">
        <f>E26</f>
        <v>0</v>
      </c>
      <c r="H26" s="29">
        <v>4.05</v>
      </c>
      <c r="I26" s="29">
        <v>60</v>
      </c>
      <c r="J26" s="29"/>
      <c r="K26" s="54"/>
      <c r="L26" s="103"/>
      <c r="M26" s="103"/>
      <c r="N26" s="103"/>
      <c r="O26" s="103"/>
      <c r="P26" s="103"/>
      <c r="Q26" s="103"/>
      <c r="R26" s="103"/>
      <c r="S26" s="103"/>
      <c r="T26" s="103"/>
      <c r="U26" s="103"/>
      <c r="V26" s="103"/>
      <c r="W26" s="103"/>
      <c r="X26" s="103"/>
      <c r="Y26" s="103"/>
      <c r="Z26" s="103"/>
      <c r="AA26" s="103"/>
      <c r="AB26" s="103"/>
      <c r="AC26" s="103"/>
      <c r="AD26" s="103"/>
      <c r="AE26" s="103"/>
      <c r="AF26" s="103"/>
      <c r="AG26" s="103"/>
      <c r="AH26" s="103"/>
      <c r="AI26" s="103"/>
      <c r="AJ26" s="103"/>
      <c r="AK26" s="103"/>
      <c r="AL26" s="103"/>
      <c r="AM26" s="103"/>
      <c r="AN26" s="103"/>
      <c r="AO26" s="103"/>
      <c r="AP26" s="103"/>
      <c r="AQ26" s="103"/>
      <c r="AR26" s="103"/>
      <c r="AS26" s="103"/>
      <c r="AT26" s="103"/>
      <c r="AU26" s="103"/>
      <c r="AV26" s="103"/>
      <c r="AW26" s="103"/>
      <c r="AX26" s="103"/>
      <c r="AY26" s="103"/>
      <c r="AZ26" s="103"/>
      <c r="BA26" s="103"/>
      <c r="BB26" s="103"/>
      <c r="BC26" s="103"/>
      <c r="BD26" s="103"/>
      <c r="BE26" s="103"/>
      <c r="BF26" s="103"/>
      <c r="BG26" s="103"/>
      <c r="BH26" s="103"/>
      <c r="BI26" s="103"/>
      <c r="BJ26" s="103"/>
      <c r="BK26" s="103"/>
      <c r="BL26" s="103"/>
      <c r="BM26" s="103"/>
      <c r="BN26" s="103"/>
      <c r="BO26" s="103"/>
    </row>
    <row r="27" spans="1:67" ht="16.5" customHeight="1" x14ac:dyDescent="0.25">
      <c r="A27" s="139" t="str">
        <f t="shared" si="1"/>
        <v>7632</v>
      </c>
      <c r="B27" s="53" t="s">
        <v>195</v>
      </c>
      <c r="C27" s="50" t="s">
        <v>20</v>
      </c>
      <c r="D27" s="51">
        <v>1001012507632</v>
      </c>
      <c r="E27" s="24"/>
      <c r="F27" s="140">
        <v>0.4</v>
      </c>
      <c r="G27" s="23">
        <f>E27*F27</f>
        <v>0</v>
      </c>
      <c r="H27" s="29">
        <v>3.2</v>
      </c>
      <c r="I27" s="29">
        <v>60</v>
      </c>
      <c r="J27" s="52" t="s">
        <v>194</v>
      </c>
      <c r="L27" s="103"/>
    </row>
    <row r="28" spans="1:67" ht="16.5" customHeight="1" x14ac:dyDescent="0.25">
      <c r="A28" s="139" t="str">
        <f t="shared" si="1"/>
        <v>4561</v>
      </c>
      <c r="B28" s="53" t="s">
        <v>111</v>
      </c>
      <c r="C28" s="50" t="s">
        <v>22</v>
      </c>
      <c r="D28" s="51">
        <v>1001010014561</v>
      </c>
      <c r="E28" s="24"/>
      <c r="F28" s="23">
        <v>1.35</v>
      </c>
      <c r="G28" s="23">
        <f t="shared" ref="G28:G29" si="4">E28</f>
        <v>0</v>
      </c>
      <c r="H28" s="14">
        <v>4.05</v>
      </c>
      <c r="I28" s="14">
        <v>60</v>
      </c>
      <c r="J28" s="29"/>
      <c r="L28" s="103"/>
    </row>
    <row r="29" spans="1:67" ht="16.5" customHeight="1" x14ac:dyDescent="0.25">
      <c r="A29" s="139" t="str">
        <f t="shared" si="1"/>
        <v>7555</v>
      </c>
      <c r="B29" s="53" t="s">
        <v>222</v>
      </c>
      <c r="C29" s="50" t="s">
        <v>22</v>
      </c>
      <c r="D29" s="51">
        <v>1001012497555</v>
      </c>
      <c r="E29" s="24"/>
      <c r="F29" s="23">
        <v>1.5</v>
      </c>
      <c r="G29" s="23">
        <f t="shared" si="4"/>
        <v>0</v>
      </c>
      <c r="H29" s="14">
        <v>3</v>
      </c>
      <c r="I29" s="14">
        <v>30</v>
      </c>
      <c r="J29" s="52" t="s">
        <v>223</v>
      </c>
      <c r="L29" s="103"/>
    </row>
    <row r="30" spans="1:67" ht="16.5" customHeight="1" x14ac:dyDescent="0.25">
      <c r="A30" s="139" t="str">
        <f t="shared" si="1"/>
        <v>6325</v>
      </c>
      <c r="B30" s="53" t="s">
        <v>32</v>
      </c>
      <c r="C30" s="50" t="s">
        <v>20</v>
      </c>
      <c r="D30" s="51">
        <v>1001010106325</v>
      </c>
      <c r="E30" s="24"/>
      <c r="F30" s="23">
        <v>0.4</v>
      </c>
      <c r="G30" s="23">
        <f>E30*F30</f>
        <v>0</v>
      </c>
      <c r="H30" s="14">
        <v>3.2</v>
      </c>
      <c r="I30" s="14">
        <v>60</v>
      </c>
      <c r="J30" s="29"/>
      <c r="L30" s="103"/>
    </row>
    <row r="31" spans="1:67" ht="16.5" customHeight="1" x14ac:dyDescent="0.25">
      <c r="A31" s="139" t="str">
        <f t="shared" si="1"/>
        <v>7556</v>
      </c>
      <c r="B31" s="53" t="s">
        <v>224</v>
      </c>
      <c r="C31" s="50" t="s">
        <v>22</v>
      </c>
      <c r="D31" s="51">
        <v>1001017597556</v>
      </c>
      <c r="E31" s="24"/>
      <c r="F31" s="23">
        <v>1.5</v>
      </c>
      <c r="G31" s="23">
        <f t="shared" ref="G31:G32" si="5">E31</f>
        <v>0</v>
      </c>
      <c r="H31" s="14">
        <v>3</v>
      </c>
      <c r="I31" s="14">
        <v>30</v>
      </c>
      <c r="J31" s="52" t="s">
        <v>225</v>
      </c>
      <c r="L31" s="103"/>
    </row>
    <row r="32" spans="1:67" s="55" customFormat="1" ht="16.5" customHeight="1" x14ac:dyDescent="0.25">
      <c r="A32" s="139" t="str">
        <f t="shared" si="1"/>
        <v>8014</v>
      </c>
      <c r="B32" s="53" t="s">
        <v>113</v>
      </c>
      <c r="C32" s="50" t="s">
        <v>22</v>
      </c>
      <c r="D32" s="51">
        <v>1001010108014</v>
      </c>
      <c r="E32" s="24"/>
      <c r="F32" s="140">
        <v>1.35</v>
      </c>
      <c r="G32" s="23">
        <f t="shared" si="5"/>
        <v>0</v>
      </c>
      <c r="H32" s="29">
        <v>5.4</v>
      </c>
      <c r="I32" s="29">
        <v>60</v>
      </c>
      <c r="J32" s="29"/>
      <c r="K32" s="54"/>
      <c r="L32" s="103"/>
      <c r="M32" s="103"/>
      <c r="N32" s="103"/>
      <c r="O32" s="103"/>
      <c r="P32" s="103"/>
      <c r="Q32" s="103"/>
      <c r="R32" s="103"/>
      <c r="S32" s="103"/>
      <c r="T32" s="103"/>
      <c r="U32" s="103"/>
      <c r="V32" s="103"/>
      <c r="W32" s="103"/>
      <c r="X32" s="103"/>
      <c r="Y32" s="103"/>
      <c r="Z32" s="103"/>
      <c r="AA32" s="103"/>
      <c r="AB32" s="103"/>
      <c r="AC32" s="103"/>
      <c r="AD32" s="103"/>
      <c r="AE32" s="103"/>
      <c r="AF32" s="103"/>
      <c r="AG32" s="103"/>
      <c r="AH32" s="103"/>
      <c r="AI32" s="103"/>
      <c r="AJ32" s="103"/>
      <c r="AK32" s="103"/>
      <c r="AL32" s="103"/>
      <c r="AM32" s="103"/>
      <c r="AN32" s="103"/>
      <c r="AO32" s="103"/>
      <c r="AP32" s="103"/>
      <c r="AQ32" s="103"/>
      <c r="AR32" s="103"/>
      <c r="AS32" s="103"/>
      <c r="AT32" s="103"/>
      <c r="AU32" s="103"/>
      <c r="AV32" s="103"/>
      <c r="AW32" s="103"/>
      <c r="AX32" s="103"/>
      <c r="AY32" s="103"/>
      <c r="AZ32" s="103"/>
      <c r="BA32" s="103"/>
      <c r="BB32" s="103"/>
      <c r="BC32" s="103"/>
      <c r="BD32" s="103"/>
      <c r="BE32" s="103"/>
      <c r="BF32" s="103"/>
      <c r="BG32" s="103"/>
      <c r="BH32" s="103"/>
      <c r="BI32" s="103"/>
      <c r="BJ32" s="103"/>
      <c r="BK32" s="103"/>
      <c r="BL32" s="103"/>
      <c r="BM32" s="103"/>
      <c r="BN32" s="103"/>
      <c r="BO32" s="103"/>
    </row>
    <row r="33" spans="1:67" s="55" customFormat="1" ht="16.5" customHeight="1" x14ac:dyDescent="0.25">
      <c r="A33" s="139" t="str">
        <f t="shared" si="1"/>
        <v>7343</v>
      </c>
      <c r="B33" s="53" t="s">
        <v>31</v>
      </c>
      <c r="C33" s="50" t="s">
        <v>20</v>
      </c>
      <c r="D33" s="51">
        <v>1001016747343</v>
      </c>
      <c r="E33" s="24"/>
      <c r="F33" s="140">
        <v>0.4</v>
      </c>
      <c r="G33" s="23">
        <f t="shared" ref="G33:G35" si="6">E33*F33</f>
        <v>0</v>
      </c>
      <c r="H33" s="29">
        <v>3.2</v>
      </c>
      <c r="I33" s="29">
        <v>60</v>
      </c>
      <c r="J33" s="29"/>
      <c r="K33" s="54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3"/>
      <c r="BL33" s="103"/>
      <c r="BM33" s="103"/>
      <c r="BN33" s="103"/>
      <c r="BO33" s="103"/>
    </row>
    <row r="34" spans="1:67" ht="16.5" customHeight="1" x14ac:dyDescent="0.25">
      <c r="A34" s="139" t="str">
        <f t="shared" si="1"/>
        <v>6797</v>
      </c>
      <c r="B34" s="53" t="s">
        <v>114</v>
      </c>
      <c r="C34" s="50" t="s">
        <v>20</v>
      </c>
      <c r="D34" s="51">
        <v>1001015026797</v>
      </c>
      <c r="E34" s="24"/>
      <c r="F34" s="140">
        <v>0.4</v>
      </c>
      <c r="G34" s="23">
        <f t="shared" si="6"/>
        <v>0</v>
      </c>
      <c r="H34" s="29">
        <v>3.2</v>
      </c>
      <c r="I34" s="29">
        <v>60</v>
      </c>
      <c r="J34" s="29"/>
      <c r="L34" s="103"/>
    </row>
    <row r="35" spans="1:67" s="55" customFormat="1" ht="16.5" customHeight="1" thickBot="1" x14ac:dyDescent="0.3">
      <c r="A35" s="139" t="str">
        <f t="shared" si="1"/>
        <v>7231</v>
      </c>
      <c r="B35" s="53" t="s">
        <v>33</v>
      </c>
      <c r="C35" s="50" t="s">
        <v>20</v>
      </c>
      <c r="D35" s="51">
        <v>1001013957231</v>
      </c>
      <c r="E35" s="24"/>
      <c r="F35" s="140">
        <v>0.3</v>
      </c>
      <c r="G35" s="23">
        <f t="shared" si="6"/>
        <v>0</v>
      </c>
      <c r="H35" s="29">
        <v>2.4</v>
      </c>
      <c r="I35" s="29">
        <v>60</v>
      </c>
      <c r="J35" s="29"/>
      <c r="K35" s="54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  <c r="AI35" s="103"/>
      <c r="AJ35" s="103"/>
      <c r="AK35" s="103"/>
      <c r="AL35" s="103"/>
      <c r="AM35" s="103"/>
      <c r="AN35" s="103"/>
      <c r="AO35" s="103"/>
      <c r="AP35" s="103"/>
      <c r="AQ35" s="103"/>
      <c r="AR35" s="103"/>
      <c r="AS35" s="103"/>
      <c r="AT35" s="103"/>
      <c r="AU35" s="103"/>
      <c r="AV35" s="103"/>
      <c r="AW35" s="103"/>
      <c r="AX35" s="103"/>
      <c r="AY35" s="103"/>
      <c r="AZ35" s="103"/>
      <c r="BA35" s="103"/>
      <c r="BB35" s="103"/>
      <c r="BC35" s="103"/>
      <c r="BD35" s="103"/>
      <c r="BE35" s="103"/>
      <c r="BF35" s="103"/>
      <c r="BG35" s="103"/>
      <c r="BH35" s="103"/>
      <c r="BI35" s="103"/>
      <c r="BJ35" s="103"/>
      <c r="BK35" s="103"/>
      <c r="BL35" s="103"/>
      <c r="BM35" s="103"/>
      <c r="BN35" s="103"/>
      <c r="BO35" s="103"/>
    </row>
    <row r="36" spans="1:67" s="55" customFormat="1" ht="16.5" customHeight="1" thickTop="1" thickBot="1" x14ac:dyDescent="0.3">
      <c r="A36" s="47" t="s">
        <v>104</v>
      </c>
      <c r="B36" s="42" t="s">
        <v>36</v>
      </c>
      <c r="C36" s="42"/>
      <c r="D36" s="42"/>
      <c r="E36" s="42"/>
      <c r="F36" s="41"/>
      <c r="G36" s="42"/>
      <c r="H36" s="42"/>
      <c r="I36" s="42"/>
      <c r="J36" s="43"/>
      <c r="K36" s="54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103"/>
      <c r="AJ36" s="103"/>
      <c r="AK36" s="103"/>
      <c r="AL36" s="103"/>
      <c r="AM36" s="103"/>
      <c r="AN36" s="103"/>
      <c r="AO36" s="103"/>
      <c r="AP36" s="103"/>
      <c r="AQ36" s="103"/>
      <c r="AR36" s="103"/>
      <c r="AS36" s="103"/>
      <c r="AT36" s="103"/>
      <c r="AU36" s="103"/>
      <c r="AV36" s="103"/>
      <c r="AW36" s="103"/>
      <c r="AX36" s="103"/>
      <c r="AY36" s="103"/>
      <c r="AZ36" s="103"/>
      <c r="BA36" s="103"/>
      <c r="BB36" s="103"/>
      <c r="BC36" s="103"/>
      <c r="BD36" s="103"/>
      <c r="BE36" s="103"/>
      <c r="BF36" s="103"/>
      <c r="BG36" s="103"/>
      <c r="BH36" s="103"/>
      <c r="BI36" s="103"/>
      <c r="BJ36" s="103"/>
      <c r="BK36" s="103"/>
      <c r="BL36" s="103"/>
      <c r="BM36" s="103"/>
      <c r="BN36" s="103"/>
      <c r="BO36" s="103"/>
    </row>
    <row r="37" spans="1:67" s="55" customFormat="1" ht="16.5" customHeight="1" thickTop="1" x14ac:dyDescent="0.25">
      <c r="A37" s="139" t="str">
        <f t="shared" ref="A37:A71" si="7">RIGHT(D37,4)</f>
        <v>6602</v>
      </c>
      <c r="B37" s="53" t="s">
        <v>155</v>
      </c>
      <c r="C37" s="50" t="s">
        <v>20</v>
      </c>
      <c r="D37" s="51">
        <v>1001021966602</v>
      </c>
      <c r="E37" s="24"/>
      <c r="F37" s="140">
        <v>0.35</v>
      </c>
      <c r="G37" s="23">
        <f t="shared" ref="G37:G43" si="8">E37*F37</f>
        <v>0</v>
      </c>
      <c r="H37" s="29">
        <v>2.8</v>
      </c>
      <c r="I37" s="29">
        <v>45</v>
      </c>
      <c r="J37" s="29"/>
      <c r="K37" s="54"/>
      <c r="L37" s="103"/>
      <c r="M37" s="103"/>
      <c r="N37" s="103"/>
      <c r="O37" s="103"/>
      <c r="P37" s="103"/>
      <c r="Q37" s="103"/>
      <c r="R37" s="103"/>
      <c r="S37" s="103"/>
      <c r="T37" s="103"/>
      <c r="U37" s="103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03"/>
      <c r="AG37" s="103"/>
      <c r="AH37" s="103"/>
      <c r="AI37" s="103"/>
      <c r="AJ37" s="103"/>
      <c r="AK37" s="103"/>
      <c r="AL37" s="103"/>
      <c r="AM37" s="103"/>
      <c r="AN37" s="103"/>
      <c r="AO37" s="103"/>
      <c r="AP37" s="103"/>
      <c r="AQ37" s="103"/>
      <c r="AR37" s="103"/>
      <c r="AS37" s="103"/>
      <c r="AT37" s="103"/>
      <c r="AU37" s="103"/>
      <c r="AV37" s="103"/>
      <c r="AW37" s="103"/>
      <c r="AX37" s="103"/>
      <c r="AY37" s="103"/>
      <c r="AZ37" s="103"/>
      <c r="BA37" s="103"/>
      <c r="BB37" s="103"/>
      <c r="BC37" s="103"/>
      <c r="BD37" s="103"/>
      <c r="BE37" s="103"/>
      <c r="BF37" s="103"/>
      <c r="BG37" s="103"/>
      <c r="BH37" s="103"/>
      <c r="BI37" s="103"/>
      <c r="BJ37" s="103"/>
      <c r="BK37" s="103"/>
      <c r="BL37" s="103"/>
      <c r="BM37" s="103"/>
      <c r="BN37" s="103"/>
      <c r="BO37" s="103"/>
    </row>
    <row r="38" spans="1:67" s="55" customFormat="1" ht="16.5" customHeight="1" x14ac:dyDescent="0.25">
      <c r="A38" s="139" t="str">
        <f t="shared" si="7"/>
        <v>7284</v>
      </c>
      <c r="B38" s="53" t="s">
        <v>188</v>
      </c>
      <c r="C38" s="50" t="s">
        <v>20</v>
      </c>
      <c r="D38" s="51">
        <v>1001025767284</v>
      </c>
      <c r="E38" s="24"/>
      <c r="F38" s="140">
        <v>0.33</v>
      </c>
      <c r="G38" s="23">
        <f t="shared" si="8"/>
        <v>0</v>
      </c>
      <c r="H38" s="29">
        <v>1.98</v>
      </c>
      <c r="I38" s="29">
        <v>30</v>
      </c>
      <c r="J38" s="29"/>
      <c r="K38" s="54"/>
      <c r="L38" s="103"/>
      <c r="M38" s="103"/>
      <c r="N38" s="103"/>
      <c r="O38" s="103"/>
      <c r="P38" s="103"/>
      <c r="Q38" s="103"/>
      <c r="R38" s="103"/>
      <c r="S38" s="103"/>
      <c r="T38" s="103"/>
      <c r="U38" s="103"/>
      <c r="V38" s="103"/>
      <c r="W38" s="103"/>
      <c r="X38" s="103"/>
      <c r="Y38" s="103"/>
      <c r="Z38" s="103"/>
      <c r="AA38" s="103"/>
      <c r="AB38" s="103"/>
      <c r="AC38" s="103"/>
      <c r="AD38" s="103"/>
      <c r="AE38" s="103"/>
      <c r="AF38" s="103"/>
      <c r="AG38" s="103"/>
      <c r="AH38" s="103"/>
      <c r="AI38" s="103"/>
      <c r="AJ38" s="103"/>
      <c r="AK38" s="103"/>
      <c r="AL38" s="103"/>
      <c r="AM38" s="103"/>
      <c r="AN38" s="103"/>
      <c r="AO38" s="103"/>
      <c r="AP38" s="103"/>
      <c r="AQ38" s="103"/>
      <c r="AR38" s="103"/>
      <c r="AS38" s="103"/>
      <c r="AT38" s="103"/>
      <c r="AU38" s="103"/>
      <c r="AV38" s="103"/>
      <c r="AW38" s="103"/>
      <c r="AX38" s="103"/>
      <c r="AY38" s="103"/>
      <c r="AZ38" s="103"/>
      <c r="BA38" s="103"/>
      <c r="BB38" s="103"/>
      <c r="BC38" s="103"/>
      <c r="BD38" s="103"/>
      <c r="BE38" s="103"/>
      <c r="BF38" s="103"/>
      <c r="BG38" s="103"/>
      <c r="BH38" s="103"/>
      <c r="BI38" s="103"/>
      <c r="BJ38" s="103"/>
      <c r="BK38" s="103"/>
      <c r="BL38" s="103"/>
      <c r="BM38" s="103"/>
      <c r="BN38" s="103"/>
      <c r="BO38" s="103"/>
    </row>
    <row r="39" spans="1:67" s="55" customFormat="1" ht="16.5" customHeight="1" x14ac:dyDescent="0.25">
      <c r="A39" s="139" t="str">
        <f t="shared" si="7"/>
        <v>7601</v>
      </c>
      <c r="B39" s="53" t="s">
        <v>226</v>
      </c>
      <c r="C39" s="50" t="s">
        <v>20</v>
      </c>
      <c r="D39" s="51">
        <v>1001025767601</v>
      </c>
      <c r="E39" s="24"/>
      <c r="F39" s="140">
        <v>0.26400000000000001</v>
      </c>
      <c r="G39" s="23">
        <f t="shared" si="8"/>
        <v>0</v>
      </c>
      <c r="H39" s="29">
        <v>1.58</v>
      </c>
      <c r="I39" s="29">
        <v>30</v>
      </c>
      <c r="J39" s="29"/>
      <c r="K39" s="54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D39" s="103"/>
      <c r="AE39" s="103"/>
      <c r="AF39" s="103"/>
      <c r="AG39" s="103"/>
      <c r="AH39" s="103"/>
      <c r="AI39" s="103"/>
      <c r="AJ39" s="103"/>
      <c r="AK39" s="103"/>
      <c r="AL39" s="103"/>
      <c r="AM39" s="103"/>
      <c r="AN39" s="103"/>
      <c r="AO39" s="103"/>
      <c r="AP39" s="103"/>
      <c r="AQ39" s="103"/>
      <c r="AR39" s="103"/>
      <c r="AS39" s="103"/>
      <c r="AT39" s="103"/>
      <c r="AU39" s="103"/>
      <c r="AV39" s="103"/>
      <c r="AW39" s="103"/>
      <c r="AX39" s="103"/>
      <c r="AY39" s="103"/>
      <c r="AZ39" s="103"/>
      <c r="BA39" s="103"/>
      <c r="BB39" s="103"/>
      <c r="BC39" s="103"/>
      <c r="BD39" s="103"/>
      <c r="BE39" s="103"/>
      <c r="BF39" s="103"/>
      <c r="BG39" s="103"/>
      <c r="BH39" s="103"/>
      <c r="BI39" s="103"/>
      <c r="BJ39" s="103"/>
      <c r="BK39" s="103"/>
      <c r="BL39" s="103"/>
      <c r="BM39" s="103"/>
      <c r="BN39" s="103"/>
      <c r="BO39" s="103"/>
    </row>
    <row r="40" spans="1:67" s="55" customFormat="1" ht="16.5" customHeight="1" x14ac:dyDescent="0.25">
      <c r="A40" s="139" t="str">
        <f t="shared" si="7"/>
        <v>7461</v>
      </c>
      <c r="B40" s="53" t="s">
        <v>190</v>
      </c>
      <c r="C40" s="50" t="s">
        <v>20</v>
      </c>
      <c r="D40" s="51">
        <v>1001025767461</v>
      </c>
      <c r="E40" s="24"/>
      <c r="F40" s="140">
        <v>0.33</v>
      </c>
      <c r="G40" s="23">
        <f t="shared" si="8"/>
        <v>0</v>
      </c>
      <c r="H40" s="29">
        <v>1.98</v>
      </c>
      <c r="I40" s="29">
        <v>30</v>
      </c>
      <c r="J40" s="52" t="s">
        <v>169</v>
      </c>
      <c r="K40" s="54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  <c r="X40" s="103"/>
      <c r="Y40" s="103"/>
      <c r="Z40" s="103"/>
      <c r="AA40" s="103"/>
      <c r="AB40" s="103"/>
      <c r="AC40" s="103"/>
      <c r="AD40" s="103"/>
      <c r="AE40" s="103"/>
      <c r="AF40" s="103"/>
      <c r="AG40" s="103"/>
      <c r="AH40" s="103"/>
      <c r="AI40" s="103"/>
      <c r="AJ40" s="103"/>
      <c r="AK40" s="103"/>
      <c r="AL40" s="103"/>
      <c r="AM40" s="103"/>
      <c r="AN40" s="103"/>
      <c r="AO40" s="103"/>
      <c r="AP40" s="103"/>
      <c r="AQ40" s="103"/>
      <c r="AR40" s="103"/>
      <c r="AS40" s="103"/>
      <c r="AT40" s="103"/>
      <c r="AU40" s="103"/>
      <c r="AV40" s="103"/>
      <c r="AW40" s="103"/>
      <c r="AX40" s="103"/>
      <c r="AY40" s="103"/>
      <c r="AZ40" s="103"/>
      <c r="BA40" s="103"/>
      <c r="BB40" s="103"/>
      <c r="BC40" s="103"/>
      <c r="BD40" s="103"/>
      <c r="BE40" s="103"/>
      <c r="BF40" s="103"/>
      <c r="BG40" s="103"/>
      <c r="BH40" s="103"/>
      <c r="BI40" s="103"/>
      <c r="BJ40" s="103"/>
      <c r="BK40" s="103"/>
      <c r="BL40" s="103"/>
      <c r="BM40" s="103"/>
      <c r="BN40" s="103"/>
      <c r="BO40" s="103"/>
    </row>
    <row r="41" spans="1:67" s="55" customFormat="1" ht="16.5" customHeight="1" x14ac:dyDescent="0.25">
      <c r="A41" s="139" t="str">
        <f t="shared" si="7"/>
        <v>7371</v>
      </c>
      <c r="B41" s="53" t="s">
        <v>220</v>
      </c>
      <c r="C41" s="50" t="s">
        <v>20</v>
      </c>
      <c r="D41" s="51">
        <v>1001026947371</v>
      </c>
      <c r="E41" s="24"/>
      <c r="F41" s="140">
        <v>0.3</v>
      </c>
      <c r="G41" s="23">
        <f t="shared" si="8"/>
        <v>0</v>
      </c>
      <c r="H41" s="29">
        <v>2.4</v>
      </c>
      <c r="I41" s="29">
        <v>45</v>
      </c>
      <c r="J41" s="29"/>
      <c r="K41" s="54"/>
      <c r="L41" s="103"/>
      <c r="M41" s="103"/>
      <c r="N41" s="103"/>
      <c r="O41" s="103"/>
      <c r="P41" s="103"/>
      <c r="Q41" s="103"/>
      <c r="R41" s="103"/>
      <c r="S41" s="103"/>
      <c r="T41" s="103"/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3"/>
      <c r="AJ41" s="103"/>
      <c r="AK41" s="103"/>
      <c r="AL41" s="103"/>
      <c r="AM41" s="103"/>
      <c r="AN41" s="103"/>
      <c r="AO41" s="103"/>
      <c r="AP41" s="103"/>
      <c r="AQ41" s="103"/>
      <c r="AR41" s="103"/>
      <c r="AS41" s="103"/>
      <c r="AT41" s="103"/>
      <c r="AU41" s="103"/>
      <c r="AV41" s="103"/>
      <c r="AW41" s="103"/>
      <c r="AX41" s="103"/>
      <c r="AY41" s="103"/>
      <c r="AZ41" s="103"/>
      <c r="BA41" s="103"/>
      <c r="BB41" s="103"/>
      <c r="BC41" s="103"/>
      <c r="BD41" s="103"/>
      <c r="BE41" s="103"/>
      <c r="BF41" s="103"/>
      <c r="BG41" s="103"/>
      <c r="BH41" s="103"/>
      <c r="BI41" s="103"/>
      <c r="BJ41" s="103"/>
      <c r="BK41" s="103"/>
      <c r="BL41" s="103"/>
      <c r="BM41" s="103"/>
      <c r="BN41" s="103"/>
      <c r="BO41" s="103"/>
    </row>
    <row r="42" spans="1:67" s="55" customFormat="1" ht="16.5" customHeight="1" x14ac:dyDescent="0.25">
      <c r="A42" s="139" t="str">
        <f t="shared" si="7"/>
        <v>7040</v>
      </c>
      <c r="B42" s="53" t="s">
        <v>216</v>
      </c>
      <c r="C42" s="50" t="s">
        <v>20</v>
      </c>
      <c r="D42" s="51">
        <v>1001025027040</v>
      </c>
      <c r="E42" s="24"/>
      <c r="F42" s="140">
        <v>0.27</v>
      </c>
      <c r="G42" s="23">
        <f t="shared" si="8"/>
        <v>0</v>
      </c>
      <c r="H42" s="29"/>
      <c r="I42" s="29"/>
      <c r="J42" s="29"/>
      <c r="K42" s="54"/>
      <c r="L42" s="103"/>
      <c r="M42" s="103"/>
      <c r="N42" s="103"/>
      <c r="O42" s="103"/>
      <c r="P42" s="103"/>
      <c r="Q42" s="103"/>
      <c r="R42" s="103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103"/>
      <c r="AP42" s="103"/>
      <c r="AQ42" s="103"/>
      <c r="AR42" s="103"/>
      <c r="AS42" s="103"/>
      <c r="AT42" s="103"/>
      <c r="AU42" s="103"/>
      <c r="AV42" s="103"/>
      <c r="AW42" s="103"/>
      <c r="AX42" s="103"/>
      <c r="AY42" s="103"/>
      <c r="AZ42" s="103"/>
      <c r="BA42" s="103"/>
      <c r="BB42" s="103"/>
      <c r="BC42" s="103"/>
      <c r="BD42" s="103"/>
      <c r="BE42" s="103"/>
      <c r="BF42" s="103"/>
      <c r="BG42" s="103"/>
      <c r="BH42" s="103"/>
      <c r="BI42" s="103"/>
      <c r="BJ42" s="103"/>
      <c r="BK42" s="103"/>
      <c r="BL42" s="103"/>
      <c r="BM42" s="103"/>
      <c r="BN42" s="103"/>
      <c r="BO42" s="103"/>
    </row>
    <row r="43" spans="1:67" s="55" customFormat="1" ht="16.5" customHeight="1" x14ac:dyDescent="0.25">
      <c r="A43" s="139" t="str">
        <f t="shared" si="7"/>
        <v>6759</v>
      </c>
      <c r="B43" s="53" t="s">
        <v>41</v>
      </c>
      <c r="C43" s="50" t="s">
        <v>20</v>
      </c>
      <c r="D43" s="51">
        <v>1001020836759</v>
      </c>
      <c r="E43" s="24"/>
      <c r="F43" s="140">
        <v>0.4</v>
      </c>
      <c r="G43" s="23">
        <f t="shared" si="8"/>
        <v>0</v>
      </c>
      <c r="H43" s="29">
        <v>2.8</v>
      </c>
      <c r="I43" s="29">
        <v>30</v>
      </c>
      <c r="J43" s="29"/>
      <c r="K43" s="54"/>
      <c r="L43" s="103"/>
      <c r="M43" s="103"/>
      <c r="N43" s="103"/>
      <c r="O43" s="103"/>
      <c r="P43" s="103"/>
      <c r="Q43" s="103"/>
      <c r="R43" s="103"/>
      <c r="S43" s="103"/>
      <c r="T43" s="103"/>
      <c r="U43" s="103"/>
      <c r="V43" s="103"/>
      <c r="W43" s="103"/>
      <c r="X43" s="103"/>
      <c r="Y43" s="103"/>
      <c r="Z43" s="103"/>
      <c r="AA43" s="103"/>
      <c r="AB43" s="103"/>
      <c r="AC43" s="103"/>
      <c r="AD43" s="103"/>
      <c r="AE43" s="103"/>
      <c r="AF43" s="103"/>
      <c r="AG43" s="103"/>
      <c r="AH43" s="103"/>
      <c r="AI43" s="103"/>
      <c r="AJ43" s="103"/>
      <c r="AK43" s="103"/>
      <c r="AL43" s="103"/>
      <c r="AM43" s="103"/>
      <c r="AN43" s="103"/>
      <c r="AO43" s="103"/>
      <c r="AP43" s="103"/>
      <c r="AQ43" s="103"/>
      <c r="AR43" s="103"/>
      <c r="AS43" s="103"/>
      <c r="AT43" s="103"/>
      <c r="AU43" s="103"/>
      <c r="AV43" s="103"/>
      <c r="AW43" s="103"/>
      <c r="AX43" s="103"/>
      <c r="AY43" s="103"/>
      <c r="AZ43" s="103"/>
      <c r="BA43" s="103"/>
      <c r="BB43" s="103"/>
      <c r="BC43" s="103"/>
      <c r="BD43" s="103"/>
      <c r="BE43" s="103"/>
      <c r="BF43" s="103"/>
      <c r="BG43" s="103"/>
      <c r="BH43" s="103"/>
      <c r="BI43" s="103"/>
      <c r="BJ43" s="103"/>
      <c r="BK43" s="103"/>
      <c r="BL43" s="103"/>
      <c r="BM43" s="103"/>
      <c r="BN43" s="103"/>
      <c r="BO43" s="103"/>
    </row>
    <row r="44" spans="1:67" s="55" customFormat="1" ht="16.5" customHeight="1" x14ac:dyDescent="0.25">
      <c r="A44" s="139" t="str">
        <f t="shared" si="7"/>
        <v>6761</v>
      </c>
      <c r="B44" s="53" t="s">
        <v>52</v>
      </c>
      <c r="C44" s="50" t="s">
        <v>22</v>
      </c>
      <c r="D44" s="51">
        <v>1001020836761</v>
      </c>
      <c r="E44" s="24"/>
      <c r="F44" s="140">
        <v>1</v>
      </c>
      <c r="G44" s="23">
        <f t="shared" ref="G44:G45" si="9">E44</f>
        <v>0</v>
      </c>
      <c r="H44" s="29">
        <v>4</v>
      </c>
      <c r="I44" s="29">
        <v>30</v>
      </c>
      <c r="J44" s="29"/>
      <c r="K44" s="54"/>
      <c r="L44" s="103"/>
      <c r="M44" s="103"/>
      <c r="N44" s="103"/>
      <c r="O44" s="103"/>
      <c r="P44" s="103"/>
      <c r="Q44" s="103"/>
      <c r="R44" s="103"/>
      <c r="S44" s="103"/>
      <c r="T44" s="103"/>
      <c r="U44" s="103"/>
      <c r="V44" s="103"/>
      <c r="W44" s="103"/>
      <c r="X44" s="103"/>
      <c r="Y44" s="103"/>
      <c r="Z44" s="103"/>
      <c r="AA44" s="103"/>
      <c r="AB44" s="103"/>
      <c r="AC44" s="103"/>
      <c r="AD44" s="103"/>
      <c r="AE44" s="103"/>
      <c r="AF44" s="103"/>
      <c r="AG44" s="103"/>
      <c r="AH44" s="103"/>
      <c r="AI44" s="103"/>
      <c r="AJ44" s="103"/>
      <c r="AK44" s="103"/>
      <c r="AL44" s="103"/>
      <c r="AM44" s="103"/>
      <c r="AN44" s="103"/>
      <c r="AO44" s="103"/>
      <c r="AP44" s="103"/>
      <c r="AQ44" s="103"/>
      <c r="AR44" s="103"/>
      <c r="AS44" s="103"/>
      <c r="AT44" s="103"/>
      <c r="AU44" s="103"/>
      <c r="AV44" s="103"/>
      <c r="AW44" s="103"/>
      <c r="AX44" s="103"/>
      <c r="AY44" s="103"/>
      <c r="AZ44" s="103"/>
      <c r="BA44" s="103"/>
      <c r="BB44" s="103"/>
      <c r="BC44" s="103"/>
      <c r="BD44" s="103"/>
      <c r="BE44" s="103"/>
      <c r="BF44" s="103"/>
      <c r="BG44" s="103"/>
      <c r="BH44" s="103"/>
      <c r="BI44" s="103"/>
      <c r="BJ44" s="103"/>
      <c r="BK44" s="103"/>
      <c r="BL44" s="103"/>
      <c r="BM44" s="103"/>
      <c r="BN44" s="103"/>
      <c r="BO44" s="103"/>
    </row>
    <row r="45" spans="1:67" s="55" customFormat="1" ht="16.5" customHeight="1" x14ac:dyDescent="0.25">
      <c r="A45" s="139" t="str">
        <f t="shared" si="7"/>
        <v>6829</v>
      </c>
      <c r="B45" s="53" t="s">
        <v>156</v>
      </c>
      <c r="C45" s="50" t="s">
        <v>22</v>
      </c>
      <c r="D45" s="51">
        <v>1001024976829</v>
      </c>
      <c r="E45" s="24"/>
      <c r="F45" s="140">
        <v>2.1</v>
      </c>
      <c r="G45" s="23">
        <f t="shared" si="9"/>
        <v>0</v>
      </c>
      <c r="H45" s="29">
        <v>8.4</v>
      </c>
      <c r="I45" s="29">
        <v>45</v>
      </c>
      <c r="J45" s="29"/>
      <c r="K45" s="54"/>
      <c r="L45" s="103"/>
      <c r="M45" s="103"/>
      <c r="N45" s="103"/>
      <c r="O45" s="103"/>
      <c r="P45" s="103"/>
      <c r="Q45" s="103"/>
      <c r="R45" s="103"/>
      <c r="S45" s="103"/>
      <c r="T45" s="103"/>
      <c r="U45" s="103"/>
      <c r="V45" s="103"/>
      <c r="W45" s="103"/>
      <c r="X45" s="103"/>
      <c r="Y45" s="103"/>
      <c r="Z45" s="103"/>
      <c r="AA45" s="103"/>
      <c r="AB45" s="103"/>
      <c r="AC45" s="103"/>
      <c r="AD45" s="103"/>
      <c r="AE45" s="103"/>
      <c r="AF45" s="103"/>
      <c r="AG45" s="103"/>
      <c r="AH45" s="103"/>
      <c r="AI45" s="103"/>
      <c r="AJ45" s="103"/>
      <c r="AK45" s="103"/>
      <c r="AL45" s="103"/>
      <c r="AM45" s="103"/>
      <c r="AN45" s="103"/>
      <c r="AO45" s="103"/>
      <c r="AP45" s="103"/>
      <c r="AQ45" s="103"/>
      <c r="AR45" s="103"/>
      <c r="AS45" s="103"/>
      <c r="AT45" s="103"/>
      <c r="AU45" s="103"/>
      <c r="AV45" s="103"/>
      <c r="AW45" s="103"/>
      <c r="AX45" s="103"/>
      <c r="AY45" s="103"/>
      <c r="AZ45" s="103"/>
      <c r="BA45" s="103"/>
      <c r="BB45" s="103"/>
      <c r="BC45" s="103"/>
      <c r="BD45" s="103"/>
      <c r="BE45" s="103"/>
      <c r="BF45" s="103"/>
      <c r="BG45" s="103"/>
      <c r="BH45" s="103"/>
      <c r="BI45" s="103"/>
      <c r="BJ45" s="103"/>
      <c r="BK45" s="103"/>
      <c r="BL45" s="103"/>
      <c r="BM45" s="103"/>
      <c r="BN45" s="103"/>
      <c r="BO45" s="103"/>
    </row>
    <row r="46" spans="1:67" s="55" customFormat="1" ht="16.5" customHeight="1" x14ac:dyDescent="0.25">
      <c r="A46" s="139" t="str">
        <f t="shared" si="7"/>
        <v>6616</v>
      </c>
      <c r="B46" s="53" t="s">
        <v>42</v>
      </c>
      <c r="C46" s="50" t="s">
        <v>20</v>
      </c>
      <c r="D46" s="51">
        <v>1001024976616</v>
      </c>
      <c r="E46" s="24"/>
      <c r="F46" s="140">
        <v>0.3</v>
      </c>
      <c r="G46" s="23">
        <f>E46*F46</f>
        <v>0</v>
      </c>
      <c r="H46" s="29">
        <v>2.4</v>
      </c>
      <c r="I46" s="29">
        <v>45</v>
      </c>
      <c r="J46" s="29"/>
      <c r="K46" s="54"/>
      <c r="L46" s="103"/>
      <c r="M46" s="103"/>
      <c r="N46" s="103"/>
      <c r="O46" s="103"/>
      <c r="P46" s="103"/>
      <c r="Q46" s="103"/>
      <c r="R46" s="103"/>
      <c r="S46" s="103"/>
      <c r="T46" s="103"/>
      <c r="U46" s="103"/>
      <c r="V46" s="103"/>
      <c r="W46" s="103"/>
      <c r="X46" s="103"/>
      <c r="Y46" s="103"/>
      <c r="Z46" s="103"/>
      <c r="AA46" s="103"/>
      <c r="AB46" s="103"/>
      <c r="AC46" s="103"/>
      <c r="AD46" s="103"/>
      <c r="AE46" s="103"/>
      <c r="AF46" s="103"/>
      <c r="AG46" s="103"/>
      <c r="AH46" s="103"/>
      <c r="AI46" s="103"/>
      <c r="AJ46" s="103"/>
      <c r="AK46" s="103"/>
      <c r="AL46" s="103"/>
      <c r="AM46" s="103"/>
      <c r="AN46" s="103"/>
      <c r="AO46" s="103"/>
      <c r="AP46" s="103"/>
      <c r="AQ46" s="103"/>
      <c r="AR46" s="103"/>
      <c r="AS46" s="103"/>
      <c r="AT46" s="103"/>
      <c r="AU46" s="103"/>
      <c r="AV46" s="103"/>
      <c r="AW46" s="103"/>
      <c r="AX46" s="103"/>
      <c r="AY46" s="103"/>
      <c r="AZ46" s="103"/>
      <c r="BA46" s="103"/>
      <c r="BB46" s="103"/>
      <c r="BC46" s="103"/>
      <c r="BD46" s="103"/>
      <c r="BE46" s="103"/>
      <c r="BF46" s="103"/>
      <c r="BG46" s="103"/>
      <c r="BH46" s="103"/>
      <c r="BI46" s="103"/>
      <c r="BJ46" s="103"/>
      <c r="BK46" s="103"/>
      <c r="BL46" s="103"/>
      <c r="BM46" s="103"/>
      <c r="BN46" s="103"/>
      <c r="BO46" s="103"/>
    </row>
    <row r="47" spans="1:67" s="55" customFormat="1" ht="16.5" customHeight="1" x14ac:dyDescent="0.25">
      <c r="A47" s="139" t="str">
        <f t="shared" si="7"/>
        <v>7075</v>
      </c>
      <c r="B47" s="53" t="s">
        <v>49</v>
      </c>
      <c r="C47" s="50" t="s">
        <v>22</v>
      </c>
      <c r="D47" s="51">
        <v>1001022657075</v>
      </c>
      <c r="E47" s="24"/>
      <c r="F47" s="140">
        <v>1.5</v>
      </c>
      <c r="G47" s="23">
        <f>E47</f>
        <v>0</v>
      </c>
      <c r="H47" s="29">
        <v>6</v>
      </c>
      <c r="I47" s="29">
        <v>50</v>
      </c>
      <c r="J47" s="29"/>
      <c r="K47" s="54"/>
      <c r="L47" s="103"/>
      <c r="M47" s="103"/>
      <c r="N47" s="103"/>
      <c r="O47" s="103"/>
      <c r="P47" s="103"/>
      <c r="Q47" s="103"/>
      <c r="R47" s="103"/>
      <c r="S47" s="103"/>
      <c r="T47" s="103"/>
      <c r="U47" s="103"/>
      <c r="V47" s="103"/>
      <c r="W47" s="103"/>
      <c r="X47" s="103"/>
      <c r="Y47" s="103"/>
      <c r="Z47" s="103"/>
      <c r="AA47" s="103"/>
      <c r="AB47" s="103"/>
      <c r="AC47" s="103"/>
      <c r="AD47" s="103"/>
      <c r="AE47" s="103"/>
      <c r="AF47" s="103"/>
      <c r="AG47" s="103"/>
      <c r="AH47" s="103"/>
      <c r="AI47" s="103"/>
      <c r="AJ47" s="103"/>
      <c r="AK47" s="103"/>
      <c r="AL47" s="103"/>
      <c r="AM47" s="103"/>
      <c r="AN47" s="103"/>
      <c r="AO47" s="103"/>
      <c r="AP47" s="103"/>
      <c r="AQ47" s="103"/>
      <c r="AR47" s="103"/>
      <c r="AS47" s="103"/>
      <c r="AT47" s="103"/>
      <c r="AU47" s="103"/>
      <c r="AV47" s="103"/>
      <c r="AW47" s="103"/>
      <c r="AX47" s="103"/>
      <c r="AY47" s="103"/>
      <c r="AZ47" s="103"/>
      <c r="BA47" s="103"/>
      <c r="BB47" s="103"/>
      <c r="BC47" s="103"/>
      <c r="BD47" s="103"/>
      <c r="BE47" s="103"/>
      <c r="BF47" s="103"/>
      <c r="BG47" s="103"/>
      <c r="BH47" s="103"/>
      <c r="BI47" s="103"/>
      <c r="BJ47" s="103"/>
      <c r="BK47" s="103"/>
      <c r="BL47" s="103"/>
      <c r="BM47" s="103"/>
      <c r="BN47" s="103"/>
      <c r="BO47" s="103"/>
    </row>
    <row r="48" spans="1:67" s="55" customFormat="1" ht="16.5" customHeight="1" x14ac:dyDescent="0.25">
      <c r="A48" s="139" t="str">
        <f t="shared" si="7"/>
        <v>7074</v>
      </c>
      <c r="B48" s="53" t="s">
        <v>157</v>
      </c>
      <c r="C48" s="50" t="s">
        <v>20</v>
      </c>
      <c r="D48" s="51">
        <v>1001022657074</v>
      </c>
      <c r="E48" s="24"/>
      <c r="F48" s="140">
        <v>0.6</v>
      </c>
      <c r="G48" s="23">
        <f t="shared" ref="G48:G51" si="10">E48*F48</f>
        <v>0</v>
      </c>
      <c r="H48" s="29">
        <v>4.8</v>
      </c>
      <c r="I48" s="29">
        <v>50</v>
      </c>
      <c r="J48" s="29"/>
      <c r="K48" s="54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  <c r="AI48" s="103"/>
      <c r="AJ48" s="103"/>
      <c r="AK48" s="103"/>
      <c r="AL48" s="103"/>
      <c r="AM48" s="103"/>
      <c r="AN48" s="103"/>
      <c r="AO48" s="103"/>
      <c r="AP48" s="103"/>
      <c r="AQ48" s="103"/>
      <c r="AR48" s="103"/>
      <c r="AS48" s="103"/>
      <c r="AT48" s="103"/>
      <c r="AU48" s="103"/>
      <c r="AV48" s="103"/>
      <c r="AW48" s="103"/>
      <c r="AX48" s="103"/>
      <c r="AY48" s="103"/>
      <c r="AZ48" s="103"/>
      <c r="BA48" s="103"/>
      <c r="BB48" s="103"/>
      <c r="BC48" s="103"/>
      <c r="BD48" s="103"/>
      <c r="BE48" s="103"/>
      <c r="BF48" s="103"/>
      <c r="BG48" s="103"/>
      <c r="BH48" s="103"/>
      <c r="BI48" s="103"/>
      <c r="BJ48" s="103"/>
      <c r="BK48" s="103"/>
      <c r="BL48" s="103"/>
      <c r="BM48" s="103"/>
      <c r="BN48" s="103"/>
      <c r="BO48" s="103"/>
    </row>
    <row r="49" spans="1:67" s="55" customFormat="1" ht="16.5" customHeight="1" x14ac:dyDescent="0.25">
      <c r="A49" s="139" t="str">
        <f t="shared" si="7"/>
        <v>7073</v>
      </c>
      <c r="B49" s="53" t="s">
        <v>50</v>
      </c>
      <c r="C49" s="50" t="s">
        <v>20</v>
      </c>
      <c r="D49" s="51">
        <v>1001022657073</v>
      </c>
      <c r="E49" s="24"/>
      <c r="F49" s="140">
        <v>0.35</v>
      </c>
      <c r="G49" s="23">
        <f t="shared" si="10"/>
        <v>0</v>
      </c>
      <c r="H49" s="29">
        <v>2.8</v>
      </c>
      <c r="I49" s="29">
        <v>50</v>
      </c>
      <c r="J49" s="29"/>
      <c r="K49" s="54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  <c r="AI49" s="103"/>
      <c r="AJ49" s="103"/>
      <c r="AK49" s="103"/>
      <c r="AL49" s="103"/>
      <c r="AM49" s="103"/>
      <c r="AN49" s="103"/>
      <c r="AO49" s="103"/>
      <c r="AP49" s="103"/>
      <c r="AQ49" s="103"/>
      <c r="AR49" s="103"/>
      <c r="AS49" s="103"/>
      <c r="AT49" s="103"/>
      <c r="AU49" s="103"/>
      <c r="AV49" s="103"/>
      <c r="AW49" s="103"/>
      <c r="AX49" s="103"/>
      <c r="AY49" s="103"/>
      <c r="AZ49" s="103"/>
      <c r="BA49" s="103"/>
      <c r="BB49" s="103"/>
      <c r="BC49" s="103"/>
      <c r="BD49" s="103"/>
      <c r="BE49" s="103"/>
      <c r="BF49" s="103"/>
      <c r="BG49" s="103"/>
      <c r="BH49" s="103"/>
      <c r="BI49" s="103"/>
      <c r="BJ49" s="103"/>
      <c r="BK49" s="103"/>
      <c r="BL49" s="103"/>
      <c r="BM49" s="103"/>
      <c r="BN49" s="103"/>
      <c r="BO49" s="103"/>
    </row>
    <row r="50" spans="1:67" s="55" customFormat="1" ht="16.5" customHeight="1" x14ac:dyDescent="0.25">
      <c r="A50" s="139" t="str">
        <f t="shared" si="7"/>
        <v>6724</v>
      </c>
      <c r="B50" s="53" t="s">
        <v>51</v>
      </c>
      <c r="C50" s="50" t="s">
        <v>20</v>
      </c>
      <c r="D50" s="51">
        <v>1001020836724</v>
      </c>
      <c r="E50" s="24"/>
      <c r="F50" s="140">
        <v>0.41</v>
      </c>
      <c r="G50" s="23">
        <f t="shared" si="10"/>
        <v>0</v>
      </c>
      <c r="H50" s="29">
        <v>4.0999999999999996</v>
      </c>
      <c r="I50" s="29">
        <v>45</v>
      </c>
      <c r="J50" s="29"/>
      <c r="K50" s="54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  <c r="X50" s="103"/>
      <c r="Y50" s="103"/>
      <c r="Z50" s="103"/>
      <c r="AA50" s="103"/>
      <c r="AB50" s="103"/>
      <c r="AC50" s="103"/>
      <c r="AD50" s="103"/>
      <c r="AE50" s="103"/>
      <c r="AF50" s="103"/>
      <c r="AG50" s="103"/>
      <c r="AH50" s="103"/>
      <c r="AI50" s="103"/>
      <c r="AJ50" s="103"/>
      <c r="AK50" s="103"/>
      <c r="AL50" s="103"/>
      <c r="AM50" s="103"/>
      <c r="AN50" s="103"/>
      <c r="AO50" s="103"/>
      <c r="AP50" s="103"/>
      <c r="AQ50" s="103"/>
      <c r="AR50" s="103"/>
      <c r="AS50" s="103"/>
      <c r="AT50" s="103"/>
      <c r="AU50" s="103"/>
      <c r="AV50" s="103"/>
      <c r="AW50" s="103"/>
      <c r="AX50" s="103"/>
      <c r="AY50" s="103"/>
      <c r="AZ50" s="103"/>
      <c r="BA50" s="103"/>
      <c r="BB50" s="103"/>
      <c r="BC50" s="103"/>
      <c r="BD50" s="103"/>
      <c r="BE50" s="103"/>
      <c r="BF50" s="103"/>
      <c r="BG50" s="103"/>
      <c r="BH50" s="103"/>
      <c r="BI50" s="103"/>
      <c r="BJ50" s="103"/>
      <c r="BK50" s="103"/>
      <c r="BL50" s="103"/>
      <c r="BM50" s="103"/>
      <c r="BN50" s="103"/>
      <c r="BO50" s="103"/>
    </row>
    <row r="51" spans="1:67" s="55" customFormat="1" ht="16.5" customHeight="1" x14ac:dyDescent="0.25">
      <c r="A51" s="139" t="str">
        <f t="shared" si="7"/>
        <v>5819</v>
      </c>
      <c r="B51" s="53" t="s">
        <v>38</v>
      </c>
      <c r="C51" s="50" t="s">
        <v>20</v>
      </c>
      <c r="D51" s="51">
        <v>1001022725819</v>
      </c>
      <c r="E51" s="24"/>
      <c r="F51" s="140">
        <v>0.4</v>
      </c>
      <c r="G51" s="23">
        <f t="shared" si="10"/>
        <v>0</v>
      </c>
      <c r="H51" s="29">
        <v>3.2</v>
      </c>
      <c r="I51" s="29">
        <v>45</v>
      </c>
      <c r="J51" s="29"/>
      <c r="K51" s="54"/>
      <c r="L51" s="103"/>
      <c r="M51" s="103"/>
      <c r="N51" s="103"/>
      <c r="O51" s="103"/>
      <c r="P51" s="103"/>
      <c r="Q51" s="103"/>
      <c r="R51" s="103"/>
      <c r="S51" s="103"/>
      <c r="T51" s="103"/>
      <c r="U51" s="103"/>
      <c r="V51" s="103"/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03"/>
      <c r="AJ51" s="103"/>
      <c r="AK51" s="103"/>
      <c r="AL51" s="103"/>
      <c r="AM51" s="103"/>
      <c r="AN51" s="103"/>
      <c r="AO51" s="103"/>
      <c r="AP51" s="103"/>
      <c r="AQ51" s="103"/>
      <c r="AR51" s="103"/>
      <c r="AS51" s="103"/>
      <c r="AT51" s="103"/>
      <c r="AU51" s="103"/>
      <c r="AV51" s="103"/>
      <c r="AW51" s="103"/>
      <c r="AX51" s="103"/>
      <c r="AY51" s="103"/>
      <c r="AZ51" s="103"/>
      <c r="BA51" s="103"/>
      <c r="BB51" s="103"/>
      <c r="BC51" s="103"/>
      <c r="BD51" s="103"/>
      <c r="BE51" s="103"/>
      <c r="BF51" s="103"/>
      <c r="BG51" s="103"/>
      <c r="BH51" s="103"/>
      <c r="BI51" s="103"/>
      <c r="BJ51" s="103"/>
      <c r="BK51" s="103"/>
      <c r="BL51" s="103"/>
      <c r="BM51" s="103"/>
      <c r="BN51" s="103"/>
      <c r="BO51" s="103"/>
    </row>
    <row r="52" spans="1:67" s="55" customFormat="1" ht="16.5" customHeight="1" x14ac:dyDescent="0.25">
      <c r="A52" s="139" t="str">
        <f t="shared" si="7"/>
        <v>6303</v>
      </c>
      <c r="B52" s="53" t="s">
        <v>158</v>
      </c>
      <c r="C52" s="50" t="s">
        <v>22</v>
      </c>
      <c r="D52" s="51">
        <v>1001022726303</v>
      </c>
      <c r="E52" s="24"/>
      <c r="F52" s="140">
        <v>1.5</v>
      </c>
      <c r="G52" s="23">
        <f>E52</f>
        <v>0</v>
      </c>
      <c r="H52" s="29">
        <v>4.5</v>
      </c>
      <c r="I52" s="29">
        <v>45</v>
      </c>
      <c r="J52" s="29"/>
      <c r="K52" s="54"/>
      <c r="L52" s="103"/>
      <c r="M52" s="103"/>
      <c r="N52" s="103"/>
      <c r="O52" s="103"/>
      <c r="P52" s="103"/>
      <c r="Q52" s="103"/>
      <c r="R52" s="103"/>
      <c r="S52" s="103"/>
      <c r="T52" s="103"/>
      <c r="U52" s="103"/>
      <c r="V52" s="103"/>
      <c r="W52" s="103"/>
      <c r="X52" s="103"/>
      <c r="Y52" s="103"/>
      <c r="Z52" s="103"/>
      <c r="AA52" s="103"/>
      <c r="AB52" s="103"/>
      <c r="AC52" s="103"/>
      <c r="AD52" s="103"/>
      <c r="AE52" s="103"/>
      <c r="AF52" s="103"/>
      <c r="AG52" s="103"/>
      <c r="AH52" s="103"/>
      <c r="AI52" s="103"/>
      <c r="AJ52" s="103"/>
      <c r="AK52" s="103"/>
      <c r="AL52" s="103"/>
      <c r="AM52" s="103"/>
      <c r="AN52" s="103"/>
      <c r="AO52" s="103"/>
      <c r="AP52" s="103"/>
      <c r="AQ52" s="103"/>
      <c r="AR52" s="103"/>
      <c r="AS52" s="103"/>
      <c r="AT52" s="103"/>
      <c r="AU52" s="103"/>
      <c r="AV52" s="103"/>
      <c r="AW52" s="103"/>
      <c r="AX52" s="103"/>
      <c r="AY52" s="103"/>
      <c r="AZ52" s="103"/>
      <c r="BA52" s="103"/>
      <c r="BB52" s="103"/>
      <c r="BC52" s="103"/>
      <c r="BD52" s="103"/>
      <c r="BE52" s="103"/>
      <c r="BF52" s="103"/>
      <c r="BG52" s="103"/>
      <c r="BH52" s="103"/>
      <c r="BI52" s="103"/>
      <c r="BJ52" s="103"/>
      <c r="BK52" s="103"/>
      <c r="BL52" s="103"/>
      <c r="BM52" s="103"/>
      <c r="BN52" s="103"/>
      <c r="BO52" s="103"/>
    </row>
    <row r="53" spans="1:67" s="55" customFormat="1" ht="16.5" customHeight="1" x14ac:dyDescent="0.25">
      <c r="A53" s="139" t="str">
        <f t="shared" si="7"/>
        <v>7255</v>
      </c>
      <c r="B53" s="53" t="s">
        <v>37</v>
      </c>
      <c r="C53" s="50" t="s">
        <v>20</v>
      </c>
      <c r="D53" s="51">
        <v>1001025507255</v>
      </c>
      <c r="E53" s="24"/>
      <c r="F53" s="140">
        <v>0.4</v>
      </c>
      <c r="G53" s="23">
        <f>E53*F53</f>
        <v>0</v>
      </c>
      <c r="H53" s="29">
        <v>2.4</v>
      </c>
      <c r="I53" s="29">
        <v>50</v>
      </c>
      <c r="J53" s="29"/>
      <c r="K53" s="54"/>
      <c r="L53" s="103"/>
      <c r="M53" s="103"/>
      <c r="N53" s="103"/>
      <c r="O53" s="103"/>
      <c r="P53" s="103"/>
      <c r="Q53" s="103"/>
      <c r="R53" s="103"/>
      <c r="S53" s="103"/>
      <c r="T53" s="103"/>
      <c r="U53" s="103"/>
      <c r="V53" s="103"/>
      <c r="W53" s="103"/>
      <c r="X53" s="103"/>
      <c r="Y53" s="103"/>
      <c r="Z53" s="103"/>
      <c r="AA53" s="103"/>
      <c r="AB53" s="103"/>
      <c r="AC53" s="103"/>
      <c r="AD53" s="103"/>
      <c r="AE53" s="103"/>
      <c r="AF53" s="103"/>
      <c r="AG53" s="103"/>
      <c r="AH53" s="103"/>
      <c r="AI53" s="103"/>
      <c r="AJ53" s="103"/>
      <c r="AK53" s="103"/>
      <c r="AL53" s="103"/>
      <c r="AM53" s="103"/>
      <c r="AN53" s="103"/>
      <c r="AO53" s="103"/>
      <c r="AP53" s="103"/>
      <c r="AQ53" s="103"/>
      <c r="AR53" s="103"/>
      <c r="AS53" s="103"/>
      <c r="AT53" s="103"/>
      <c r="AU53" s="103"/>
      <c r="AV53" s="103"/>
      <c r="AW53" s="103"/>
      <c r="AX53" s="103"/>
      <c r="AY53" s="103"/>
      <c r="AZ53" s="103"/>
      <c r="BA53" s="103"/>
      <c r="BB53" s="103"/>
      <c r="BC53" s="103"/>
      <c r="BD53" s="103"/>
      <c r="BE53" s="103"/>
      <c r="BF53" s="103"/>
      <c r="BG53" s="103"/>
      <c r="BH53" s="103"/>
      <c r="BI53" s="103"/>
      <c r="BJ53" s="103"/>
      <c r="BK53" s="103"/>
      <c r="BL53" s="103"/>
      <c r="BM53" s="103"/>
      <c r="BN53" s="103"/>
      <c r="BO53" s="103"/>
    </row>
    <row r="54" spans="1:67" s="55" customFormat="1" ht="16.5" customHeight="1" x14ac:dyDescent="0.25">
      <c r="A54" s="139" t="str">
        <f t="shared" si="7"/>
        <v>7271</v>
      </c>
      <c r="B54" s="53" t="s">
        <v>159</v>
      </c>
      <c r="C54" s="50" t="s">
        <v>22</v>
      </c>
      <c r="D54" s="51">
        <v>1001025507271</v>
      </c>
      <c r="E54" s="24"/>
      <c r="F54" s="140">
        <v>1.5</v>
      </c>
      <c r="G54" s="23">
        <f>E54</f>
        <v>0</v>
      </c>
      <c r="H54" s="29">
        <v>6</v>
      </c>
      <c r="I54" s="29">
        <v>50</v>
      </c>
      <c r="J54" s="29"/>
      <c r="K54" s="54"/>
      <c r="L54" s="103"/>
      <c r="M54" s="103"/>
      <c r="N54" s="103"/>
      <c r="O54" s="103"/>
      <c r="P54" s="103"/>
      <c r="Q54" s="103"/>
      <c r="R54" s="103"/>
      <c r="S54" s="103"/>
      <c r="T54" s="103"/>
      <c r="U54" s="103"/>
      <c r="V54" s="103"/>
      <c r="W54" s="103"/>
      <c r="X54" s="103"/>
      <c r="Y54" s="103"/>
      <c r="Z54" s="103"/>
      <c r="AA54" s="103"/>
      <c r="AB54" s="103"/>
      <c r="AC54" s="103"/>
      <c r="AD54" s="103"/>
      <c r="AE54" s="103"/>
      <c r="AF54" s="103"/>
      <c r="AG54" s="103"/>
      <c r="AH54" s="103"/>
      <c r="AI54" s="103"/>
      <c r="AJ54" s="103"/>
      <c r="AK54" s="103"/>
      <c r="AL54" s="103"/>
      <c r="AM54" s="103"/>
      <c r="AN54" s="103"/>
      <c r="AO54" s="103"/>
      <c r="AP54" s="103"/>
      <c r="AQ54" s="103"/>
      <c r="AR54" s="103"/>
      <c r="AS54" s="103"/>
      <c r="AT54" s="103"/>
      <c r="AU54" s="103"/>
      <c r="AV54" s="103"/>
      <c r="AW54" s="103"/>
      <c r="AX54" s="103"/>
      <c r="AY54" s="103"/>
      <c r="AZ54" s="103"/>
      <c r="BA54" s="103"/>
      <c r="BB54" s="103"/>
      <c r="BC54" s="103"/>
      <c r="BD54" s="103"/>
      <c r="BE54" s="103"/>
      <c r="BF54" s="103"/>
      <c r="BG54" s="103"/>
      <c r="BH54" s="103"/>
      <c r="BI54" s="103"/>
      <c r="BJ54" s="103"/>
      <c r="BK54" s="103"/>
      <c r="BL54" s="103"/>
      <c r="BM54" s="103"/>
      <c r="BN54" s="103"/>
      <c r="BO54" s="103"/>
    </row>
    <row r="55" spans="1:67" s="55" customFormat="1" ht="16.5" customHeight="1" x14ac:dyDescent="0.25">
      <c r="A55" s="139" t="str">
        <f t="shared" si="7"/>
        <v>6765</v>
      </c>
      <c r="B55" s="53" t="s">
        <v>40</v>
      </c>
      <c r="C55" s="50" t="s">
        <v>20</v>
      </c>
      <c r="D55" s="51">
        <v>1001023696765</v>
      </c>
      <c r="E55" s="24"/>
      <c r="F55" s="140">
        <v>0.36</v>
      </c>
      <c r="G55" s="23">
        <f>E55*F55</f>
        <v>0</v>
      </c>
      <c r="H55" s="29">
        <v>2.16</v>
      </c>
      <c r="I55" s="29">
        <v>45</v>
      </c>
      <c r="J55" s="29"/>
      <c r="K55" s="54"/>
      <c r="L55" s="103"/>
      <c r="M55" s="103"/>
      <c r="N55" s="103"/>
      <c r="O55" s="103"/>
      <c r="P55" s="103"/>
      <c r="Q55" s="103"/>
      <c r="R55" s="103"/>
      <c r="S55" s="103"/>
      <c r="T55" s="103"/>
      <c r="U55" s="103"/>
      <c r="V55" s="103"/>
      <c r="W55" s="103"/>
      <c r="X55" s="103"/>
      <c r="Y55" s="103"/>
      <c r="Z55" s="103"/>
      <c r="AA55" s="103"/>
      <c r="AB55" s="103"/>
      <c r="AC55" s="103"/>
      <c r="AD55" s="103"/>
      <c r="AE55" s="103"/>
      <c r="AF55" s="103"/>
      <c r="AG55" s="103"/>
      <c r="AH55" s="103"/>
      <c r="AI55" s="103"/>
      <c r="AJ55" s="103"/>
      <c r="AK55" s="103"/>
      <c r="AL55" s="103"/>
      <c r="AM55" s="103"/>
      <c r="AN55" s="103"/>
      <c r="AO55" s="103"/>
      <c r="AP55" s="103"/>
      <c r="AQ55" s="103"/>
      <c r="AR55" s="103"/>
      <c r="AS55" s="103"/>
      <c r="AT55" s="103"/>
      <c r="AU55" s="103"/>
      <c r="AV55" s="103"/>
      <c r="AW55" s="103"/>
      <c r="AX55" s="103"/>
      <c r="AY55" s="103"/>
      <c r="AZ55" s="103"/>
      <c r="BA55" s="103"/>
      <c r="BB55" s="103"/>
      <c r="BC55" s="103"/>
      <c r="BD55" s="103"/>
      <c r="BE55" s="103"/>
      <c r="BF55" s="103"/>
      <c r="BG55" s="103"/>
      <c r="BH55" s="103"/>
      <c r="BI55" s="103"/>
      <c r="BJ55" s="103"/>
      <c r="BK55" s="103"/>
      <c r="BL55" s="103"/>
      <c r="BM55" s="103"/>
      <c r="BN55" s="103"/>
      <c r="BO55" s="103"/>
    </row>
    <row r="56" spans="1:67" s="55" customFormat="1" ht="16.5" customHeight="1" x14ac:dyDescent="0.25">
      <c r="A56" s="139" t="str">
        <f t="shared" si="7"/>
        <v>6767</v>
      </c>
      <c r="B56" s="53" t="s">
        <v>43</v>
      </c>
      <c r="C56" s="50" t="s">
        <v>22</v>
      </c>
      <c r="D56" s="51">
        <v>1001023696767</v>
      </c>
      <c r="E56" s="24"/>
      <c r="F56" s="140">
        <v>1.04</v>
      </c>
      <c r="G56" s="23">
        <f>E56</f>
        <v>0</v>
      </c>
      <c r="H56" s="29">
        <v>4.16</v>
      </c>
      <c r="I56" s="29">
        <v>45</v>
      </c>
      <c r="J56" s="29"/>
      <c r="K56" s="54"/>
      <c r="L56" s="103"/>
      <c r="M56" s="103"/>
      <c r="N56" s="103"/>
      <c r="O56" s="103"/>
      <c r="P56" s="103"/>
      <c r="Q56" s="103"/>
      <c r="R56" s="103"/>
      <c r="S56" s="103"/>
      <c r="T56" s="103"/>
      <c r="U56" s="103"/>
      <c r="V56" s="103"/>
      <c r="W56" s="103"/>
      <c r="X56" s="103"/>
      <c r="Y56" s="103"/>
      <c r="Z56" s="103"/>
      <c r="AA56" s="103"/>
      <c r="AB56" s="103"/>
      <c r="AC56" s="103"/>
      <c r="AD56" s="103"/>
      <c r="AE56" s="103"/>
      <c r="AF56" s="103"/>
      <c r="AG56" s="103"/>
      <c r="AH56" s="103"/>
      <c r="AI56" s="103"/>
      <c r="AJ56" s="103"/>
      <c r="AK56" s="103"/>
      <c r="AL56" s="103"/>
      <c r="AM56" s="103"/>
      <c r="AN56" s="103"/>
      <c r="AO56" s="103"/>
      <c r="AP56" s="103"/>
      <c r="AQ56" s="103"/>
      <c r="AR56" s="103"/>
      <c r="AS56" s="103"/>
      <c r="AT56" s="103"/>
      <c r="AU56" s="103"/>
      <c r="AV56" s="103"/>
      <c r="AW56" s="103"/>
      <c r="AX56" s="103"/>
      <c r="AY56" s="103"/>
      <c r="AZ56" s="103"/>
      <c r="BA56" s="103"/>
      <c r="BB56" s="103"/>
      <c r="BC56" s="103"/>
      <c r="BD56" s="103"/>
      <c r="BE56" s="103"/>
      <c r="BF56" s="103"/>
      <c r="BG56" s="103"/>
      <c r="BH56" s="103"/>
      <c r="BI56" s="103"/>
      <c r="BJ56" s="103"/>
      <c r="BK56" s="103"/>
      <c r="BL56" s="103"/>
      <c r="BM56" s="103"/>
      <c r="BN56" s="103"/>
      <c r="BO56" s="103"/>
    </row>
    <row r="57" spans="1:67" s="55" customFormat="1" ht="16.5" customHeight="1" x14ac:dyDescent="0.25">
      <c r="A57" s="139" t="str">
        <f t="shared" si="7"/>
        <v>6475</v>
      </c>
      <c r="B57" s="53" t="s">
        <v>45</v>
      </c>
      <c r="C57" s="50" t="s">
        <v>20</v>
      </c>
      <c r="D57" s="51">
        <v>1001025176475</v>
      </c>
      <c r="E57" s="24"/>
      <c r="F57" s="140">
        <v>0.4</v>
      </c>
      <c r="G57" s="23">
        <f>E57*F57</f>
        <v>0</v>
      </c>
      <c r="H57" s="29">
        <v>2.4</v>
      </c>
      <c r="I57" s="29">
        <v>45</v>
      </c>
      <c r="J57" s="29"/>
      <c r="K57" s="54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  <c r="X57" s="103"/>
      <c r="Y57" s="103"/>
      <c r="Z57" s="103"/>
      <c r="AA57" s="103"/>
      <c r="AB57" s="103"/>
      <c r="AC57" s="103"/>
      <c r="AD57" s="103"/>
      <c r="AE57" s="103"/>
      <c r="AF57" s="103"/>
      <c r="AG57" s="103"/>
      <c r="AH57" s="103"/>
      <c r="AI57" s="103"/>
      <c r="AJ57" s="103"/>
      <c r="AK57" s="103"/>
      <c r="AL57" s="103"/>
      <c r="AM57" s="103"/>
      <c r="AN57" s="103"/>
      <c r="AO57" s="103"/>
      <c r="AP57" s="103"/>
      <c r="AQ57" s="103"/>
      <c r="AR57" s="103"/>
      <c r="AS57" s="103"/>
      <c r="AT57" s="103"/>
      <c r="AU57" s="103"/>
      <c r="AV57" s="103"/>
      <c r="AW57" s="103"/>
      <c r="AX57" s="103"/>
      <c r="AY57" s="103"/>
      <c r="AZ57" s="103"/>
      <c r="BA57" s="103"/>
      <c r="BB57" s="103"/>
      <c r="BC57" s="103"/>
      <c r="BD57" s="103"/>
      <c r="BE57" s="103"/>
      <c r="BF57" s="103"/>
      <c r="BG57" s="103"/>
      <c r="BH57" s="103"/>
      <c r="BI57" s="103"/>
      <c r="BJ57" s="103"/>
      <c r="BK57" s="103"/>
      <c r="BL57" s="103"/>
      <c r="BM57" s="103"/>
      <c r="BN57" s="103"/>
      <c r="BO57" s="103"/>
    </row>
    <row r="58" spans="1:67" s="55" customFormat="1" ht="16.5" customHeight="1" x14ac:dyDescent="0.25">
      <c r="A58" s="139" t="str">
        <f t="shared" si="7"/>
        <v>7083</v>
      </c>
      <c r="B58" s="53" t="s">
        <v>160</v>
      </c>
      <c r="C58" s="50" t="s">
        <v>22</v>
      </c>
      <c r="D58" s="51">
        <v>1001022467083</v>
      </c>
      <c r="E58" s="24"/>
      <c r="F58" s="140">
        <v>1.5</v>
      </c>
      <c r="G58" s="23">
        <f>E58</f>
        <v>0</v>
      </c>
      <c r="H58" s="29">
        <v>6</v>
      </c>
      <c r="I58" s="29">
        <v>50</v>
      </c>
      <c r="J58" s="29"/>
      <c r="K58" s="54"/>
      <c r="L58" s="103"/>
      <c r="M58" s="103"/>
      <c r="N58" s="103"/>
      <c r="O58" s="103"/>
      <c r="P58" s="103"/>
      <c r="Q58" s="103"/>
      <c r="R58" s="103"/>
      <c r="S58" s="103"/>
      <c r="T58" s="103"/>
      <c r="U58" s="103"/>
      <c r="V58" s="103"/>
      <c r="W58" s="103"/>
      <c r="X58" s="103"/>
      <c r="Y58" s="103"/>
      <c r="Z58" s="103"/>
      <c r="AA58" s="103"/>
      <c r="AB58" s="103"/>
      <c r="AC58" s="103"/>
      <c r="AD58" s="103"/>
      <c r="AE58" s="103"/>
      <c r="AF58" s="103"/>
      <c r="AG58" s="103"/>
      <c r="AH58" s="103"/>
      <c r="AI58" s="103"/>
      <c r="AJ58" s="103"/>
      <c r="AK58" s="103"/>
      <c r="AL58" s="103"/>
      <c r="AM58" s="103"/>
      <c r="AN58" s="103"/>
      <c r="AO58" s="103"/>
      <c r="AP58" s="103"/>
      <c r="AQ58" s="103"/>
      <c r="AR58" s="103"/>
      <c r="AS58" s="103"/>
      <c r="AT58" s="103"/>
      <c r="AU58" s="103"/>
      <c r="AV58" s="103"/>
      <c r="AW58" s="103"/>
      <c r="AX58" s="103"/>
      <c r="AY58" s="103"/>
      <c r="AZ58" s="103"/>
      <c r="BA58" s="103"/>
      <c r="BB58" s="103"/>
      <c r="BC58" s="103"/>
      <c r="BD58" s="103"/>
      <c r="BE58" s="103"/>
      <c r="BF58" s="103"/>
      <c r="BG58" s="103"/>
      <c r="BH58" s="103"/>
      <c r="BI58" s="103"/>
      <c r="BJ58" s="103"/>
      <c r="BK58" s="103"/>
      <c r="BL58" s="103"/>
      <c r="BM58" s="103"/>
      <c r="BN58" s="103"/>
      <c r="BO58" s="103"/>
    </row>
    <row r="59" spans="1:67" s="55" customFormat="1" ht="16.5" customHeight="1" x14ac:dyDescent="0.25">
      <c r="A59" s="139" t="str">
        <f t="shared" si="7"/>
        <v>7080</v>
      </c>
      <c r="B59" s="53" t="s">
        <v>53</v>
      </c>
      <c r="C59" s="50" t="s">
        <v>20</v>
      </c>
      <c r="D59" s="51">
        <v>1001022467080</v>
      </c>
      <c r="E59" s="24"/>
      <c r="F59" s="140">
        <v>0.41</v>
      </c>
      <c r="G59" s="23">
        <f t="shared" ref="G59:G61" si="11">E59*F59</f>
        <v>0</v>
      </c>
      <c r="H59" s="29">
        <v>4.0999999999999996</v>
      </c>
      <c r="I59" s="29">
        <v>50</v>
      </c>
      <c r="J59" s="29"/>
      <c r="K59" s="54"/>
      <c r="L59" s="103"/>
      <c r="M59" s="103"/>
      <c r="N59" s="103"/>
      <c r="O59" s="103"/>
      <c r="P59" s="103"/>
      <c r="Q59" s="103"/>
      <c r="R59" s="103"/>
      <c r="S59" s="103"/>
      <c r="T59" s="103"/>
      <c r="U59" s="103"/>
      <c r="V59" s="103"/>
      <c r="W59" s="103"/>
      <c r="X59" s="103"/>
      <c r="Y59" s="103"/>
      <c r="Z59" s="103"/>
      <c r="AA59" s="103"/>
      <c r="AB59" s="103"/>
      <c r="AC59" s="103"/>
      <c r="AD59" s="103"/>
      <c r="AE59" s="103"/>
      <c r="AF59" s="103"/>
      <c r="AG59" s="103"/>
      <c r="AH59" s="103"/>
      <c r="AI59" s="103"/>
      <c r="AJ59" s="103"/>
      <c r="AK59" s="103"/>
      <c r="AL59" s="103"/>
      <c r="AM59" s="103"/>
      <c r="AN59" s="103"/>
      <c r="AO59" s="103"/>
      <c r="AP59" s="103"/>
      <c r="AQ59" s="103"/>
      <c r="AR59" s="103"/>
      <c r="AS59" s="103"/>
      <c r="AT59" s="103"/>
      <c r="AU59" s="103"/>
      <c r="AV59" s="103"/>
      <c r="AW59" s="103"/>
      <c r="AX59" s="103"/>
      <c r="AY59" s="103"/>
      <c r="AZ59" s="103"/>
      <c r="BA59" s="103"/>
      <c r="BB59" s="103"/>
      <c r="BC59" s="103"/>
      <c r="BD59" s="103"/>
      <c r="BE59" s="103"/>
      <c r="BF59" s="103"/>
      <c r="BG59" s="103"/>
      <c r="BH59" s="103"/>
      <c r="BI59" s="103"/>
      <c r="BJ59" s="103"/>
      <c r="BK59" s="103"/>
      <c r="BL59" s="103"/>
      <c r="BM59" s="103"/>
      <c r="BN59" s="103"/>
      <c r="BO59" s="103"/>
    </row>
    <row r="60" spans="1:67" ht="16.5" customHeight="1" x14ac:dyDescent="0.25">
      <c r="A60" s="139" t="str">
        <f t="shared" si="7"/>
        <v>7276</v>
      </c>
      <c r="B60" s="53" t="s">
        <v>54</v>
      </c>
      <c r="C60" s="50" t="s">
        <v>20</v>
      </c>
      <c r="D60" s="51">
        <v>1001022467276</v>
      </c>
      <c r="E60" s="24"/>
      <c r="F60" s="140">
        <v>0.3</v>
      </c>
      <c r="G60" s="23">
        <f t="shared" si="11"/>
        <v>0</v>
      </c>
      <c r="H60" s="29">
        <v>2.1</v>
      </c>
      <c r="I60" s="29">
        <v>50</v>
      </c>
      <c r="J60" s="29"/>
      <c r="L60" s="103"/>
    </row>
    <row r="61" spans="1:67" ht="16.5" customHeight="1" x14ac:dyDescent="0.25">
      <c r="A61" s="139" t="str">
        <f t="shared" si="7"/>
        <v>6762</v>
      </c>
      <c r="B61" s="53" t="s">
        <v>39</v>
      </c>
      <c r="C61" s="50" t="s">
        <v>20</v>
      </c>
      <c r="D61" s="51">
        <v>1001020846762</v>
      </c>
      <c r="E61" s="24"/>
      <c r="F61" s="140">
        <v>0.41</v>
      </c>
      <c r="G61" s="23">
        <f t="shared" si="11"/>
        <v>0</v>
      </c>
      <c r="H61" s="29">
        <v>3.28</v>
      </c>
      <c r="I61" s="29">
        <v>45</v>
      </c>
      <c r="J61" s="29"/>
      <c r="L61" s="103"/>
    </row>
    <row r="62" spans="1:67" ht="16.5" customHeight="1" x14ac:dyDescent="0.25">
      <c r="A62" s="139" t="str">
        <f t="shared" si="7"/>
        <v>6764</v>
      </c>
      <c r="B62" s="53" t="s">
        <v>48</v>
      </c>
      <c r="C62" s="50" t="s">
        <v>22</v>
      </c>
      <c r="D62" s="51">
        <v>1001020846764</v>
      </c>
      <c r="E62" s="24"/>
      <c r="F62" s="23">
        <v>1</v>
      </c>
      <c r="G62" s="23">
        <f>E62</f>
        <v>0</v>
      </c>
      <c r="H62" s="14">
        <v>4</v>
      </c>
      <c r="I62" s="14">
        <v>45</v>
      </c>
      <c r="J62" s="29"/>
      <c r="L62" s="103"/>
    </row>
    <row r="63" spans="1:67" ht="16.5" customHeight="1" x14ac:dyDescent="0.25">
      <c r="A63" s="139" t="str">
        <f t="shared" si="7"/>
        <v>7066</v>
      </c>
      <c r="B63" s="53" t="s">
        <v>55</v>
      </c>
      <c r="C63" s="50" t="s">
        <v>20</v>
      </c>
      <c r="D63" s="51">
        <v>1001022377066</v>
      </c>
      <c r="E63" s="24"/>
      <c r="F63" s="23">
        <v>0.41</v>
      </c>
      <c r="G63" s="23">
        <f>E63*F63</f>
        <v>0</v>
      </c>
      <c r="H63" s="14">
        <v>4.0999999999999996</v>
      </c>
      <c r="I63" s="14">
        <v>50</v>
      </c>
      <c r="J63" s="29"/>
      <c r="L63" s="103"/>
    </row>
    <row r="64" spans="1:67" ht="16.5" customHeight="1" x14ac:dyDescent="0.25">
      <c r="A64" s="139" t="str">
        <f t="shared" si="7"/>
        <v>7070</v>
      </c>
      <c r="B64" s="53" t="s">
        <v>44</v>
      </c>
      <c r="C64" s="50" t="s">
        <v>22</v>
      </c>
      <c r="D64" s="51">
        <v>1001022377070</v>
      </c>
      <c r="E64" s="24"/>
      <c r="F64" s="23">
        <v>1.5</v>
      </c>
      <c r="G64" s="23">
        <f>E64</f>
        <v>0</v>
      </c>
      <c r="H64" s="14">
        <v>6</v>
      </c>
      <c r="I64" s="14">
        <v>50</v>
      </c>
      <c r="J64" s="29"/>
      <c r="L64" s="103"/>
    </row>
    <row r="65" spans="1:12" ht="16.5" customHeight="1" x14ac:dyDescent="0.25">
      <c r="A65" s="139" t="str">
        <f t="shared" si="7"/>
        <v>6713</v>
      </c>
      <c r="B65" s="53" t="s">
        <v>46</v>
      </c>
      <c r="C65" s="50" t="s">
        <v>20</v>
      </c>
      <c r="D65" s="51">
        <v>1001022246713</v>
      </c>
      <c r="E65" s="24"/>
      <c r="F65" s="23">
        <v>0.41</v>
      </c>
      <c r="G65" s="23">
        <f>E65*F65</f>
        <v>0</v>
      </c>
      <c r="H65" s="14">
        <v>3.28</v>
      </c>
      <c r="I65" s="14">
        <v>45</v>
      </c>
      <c r="J65" s="29"/>
      <c r="L65" s="103"/>
    </row>
    <row r="66" spans="1:12" ht="16.5" customHeight="1" x14ac:dyDescent="0.25">
      <c r="A66" s="139" t="str">
        <f t="shared" si="7"/>
        <v>6661</v>
      </c>
      <c r="B66" s="53" t="s">
        <v>161</v>
      </c>
      <c r="C66" s="50" t="s">
        <v>22</v>
      </c>
      <c r="D66" s="51">
        <v>1001022246661</v>
      </c>
      <c r="E66" s="24"/>
      <c r="F66" s="23">
        <v>1.5</v>
      </c>
      <c r="G66" s="23">
        <f t="shared" ref="G66:G67" si="12">E66</f>
        <v>0</v>
      </c>
      <c r="H66" s="14">
        <v>6</v>
      </c>
      <c r="I66" s="14">
        <v>45</v>
      </c>
      <c r="J66" s="29"/>
      <c r="L66" s="103"/>
    </row>
    <row r="67" spans="1:12" ht="16.5" customHeight="1" x14ac:dyDescent="0.25">
      <c r="A67" s="139" t="str">
        <f t="shared" si="7"/>
        <v>6254</v>
      </c>
      <c r="B67" s="53" t="s">
        <v>162</v>
      </c>
      <c r="C67" s="50" t="s">
        <v>22</v>
      </c>
      <c r="D67" s="51">
        <v>1001022556254</v>
      </c>
      <c r="E67" s="24"/>
      <c r="F67" s="23">
        <v>1.5</v>
      </c>
      <c r="G67" s="23">
        <f t="shared" si="12"/>
        <v>0</v>
      </c>
      <c r="H67" s="14">
        <v>3</v>
      </c>
      <c r="I67" s="14">
        <v>45</v>
      </c>
      <c r="J67" s="29"/>
      <c r="L67" s="103"/>
    </row>
    <row r="68" spans="1:12" ht="16.5" customHeight="1" x14ac:dyDescent="0.25">
      <c r="A68" s="139" t="str">
        <f t="shared" si="7"/>
        <v>6837</v>
      </c>
      <c r="B68" s="53" t="s">
        <v>47</v>
      </c>
      <c r="C68" s="50" t="s">
        <v>20</v>
      </c>
      <c r="D68" s="51">
        <v>1001022556837</v>
      </c>
      <c r="E68" s="24"/>
      <c r="F68" s="23">
        <v>0.4</v>
      </c>
      <c r="G68" s="23">
        <f t="shared" ref="G68:G71" si="13">E68*F68</f>
        <v>0</v>
      </c>
      <c r="H68" s="14">
        <v>2.4</v>
      </c>
      <c r="I68" s="14">
        <v>45</v>
      </c>
      <c r="J68" s="29"/>
      <c r="L68" s="103"/>
    </row>
    <row r="69" spans="1:12" ht="16.5" customHeight="1" x14ac:dyDescent="0.25">
      <c r="A69" s="139" t="str">
        <f t="shared" si="7"/>
        <v>7385</v>
      </c>
      <c r="B69" s="53" t="s">
        <v>163</v>
      </c>
      <c r="C69" s="50" t="s">
        <v>20</v>
      </c>
      <c r="D69" s="51">
        <v>1001027067385</v>
      </c>
      <c r="E69" s="24"/>
      <c r="F69" s="23">
        <v>0.33</v>
      </c>
      <c r="G69" s="23">
        <f t="shared" si="13"/>
        <v>0</v>
      </c>
      <c r="H69" s="14">
        <v>2.64</v>
      </c>
      <c r="I69" s="14">
        <v>45</v>
      </c>
      <c r="J69" s="29"/>
      <c r="L69" s="103"/>
    </row>
    <row r="70" spans="1:12" ht="16.5" customHeight="1" x14ac:dyDescent="0.25">
      <c r="A70" s="139" t="str">
        <f t="shared" si="7"/>
        <v>7044</v>
      </c>
      <c r="B70" s="53" t="s">
        <v>164</v>
      </c>
      <c r="C70" s="50" t="s">
        <v>20</v>
      </c>
      <c r="D70" s="51">
        <v>1001025167044</v>
      </c>
      <c r="E70" s="24"/>
      <c r="F70" s="23">
        <v>0.32</v>
      </c>
      <c r="G70" s="23">
        <f t="shared" si="13"/>
        <v>0</v>
      </c>
      <c r="H70" s="14">
        <v>2.56</v>
      </c>
      <c r="I70" s="14">
        <v>45</v>
      </c>
      <c r="J70" s="29"/>
      <c r="L70" s="103"/>
    </row>
    <row r="71" spans="1:12" ht="16.5" customHeight="1" thickBot="1" x14ac:dyDescent="0.3">
      <c r="A71" s="139" t="str">
        <f t="shared" si="7"/>
        <v>7460</v>
      </c>
      <c r="B71" s="53" t="s">
        <v>165</v>
      </c>
      <c r="C71" s="50" t="s">
        <v>20</v>
      </c>
      <c r="D71" s="51">
        <v>1001027247460</v>
      </c>
      <c r="E71" s="24"/>
      <c r="F71" s="23">
        <v>0.33</v>
      </c>
      <c r="G71" s="23">
        <f t="shared" si="13"/>
        <v>0</v>
      </c>
      <c r="H71" s="14">
        <v>2.64</v>
      </c>
      <c r="I71" s="14">
        <v>45</v>
      </c>
      <c r="J71" s="29"/>
      <c r="L71" s="103"/>
    </row>
    <row r="72" spans="1:12" ht="16.5" customHeight="1" thickTop="1" thickBot="1" x14ac:dyDescent="0.3">
      <c r="A72" s="47" t="s">
        <v>104</v>
      </c>
      <c r="B72" s="42" t="s">
        <v>56</v>
      </c>
      <c r="C72" s="42"/>
      <c r="D72" s="42"/>
      <c r="E72" s="42"/>
      <c r="F72" s="41"/>
      <c r="G72" s="42"/>
      <c r="H72" s="42"/>
      <c r="I72" s="42"/>
      <c r="J72" s="43"/>
      <c r="L72" s="103"/>
    </row>
    <row r="73" spans="1:12" ht="16.5" customHeight="1" thickTop="1" x14ac:dyDescent="0.25">
      <c r="A73" s="139" t="str">
        <f t="shared" ref="A73:A79" si="14">RIGHT(D73,4)</f>
        <v>6550</v>
      </c>
      <c r="B73" s="141" t="s">
        <v>151</v>
      </c>
      <c r="C73" s="142" t="s">
        <v>22</v>
      </c>
      <c r="D73" s="51">
        <v>1001032736550</v>
      </c>
      <c r="E73" s="24"/>
      <c r="F73" s="140">
        <v>1</v>
      </c>
      <c r="G73" s="23">
        <f t="shared" ref="G73:G76" si="15">E73</f>
        <v>0</v>
      </c>
      <c r="H73" s="29">
        <v>3</v>
      </c>
      <c r="I73" s="29">
        <v>45</v>
      </c>
      <c r="J73" s="29"/>
      <c r="L73" s="103"/>
    </row>
    <row r="74" spans="1:12" ht="16.5" customHeight="1" x14ac:dyDescent="0.25">
      <c r="A74" s="139" t="str">
        <f t="shared" si="14"/>
        <v>6608</v>
      </c>
      <c r="B74" s="141" t="s">
        <v>58</v>
      </c>
      <c r="C74" s="50" t="s">
        <v>22</v>
      </c>
      <c r="D74" s="51">
        <v>1001033856608</v>
      </c>
      <c r="E74" s="24"/>
      <c r="F74" s="23">
        <v>1</v>
      </c>
      <c r="G74" s="23">
        <f t="shared" si="15"/>
        <v>0</v>
      </c>
      <c r="H74" s="14">
        <v>3</v>
      </c>
      <c r="I74" s="14">
        <v>45</v>
      </c>
      <c r="J74" s="29"/>
      <c r="L74" s="103"/>
    </row>
    <row r="75" spans="1:12" ht="16.5" customHeight="1" x14ac:dyDescent="0.25">
      <c r="A75" s="139" t="str">
        <f t="shared" si="14"/>
        <v>7001</v>
      </c>
      <c r="B75" s="141" t="s">
        <v>57</v>
      </c>
      <c r="C75" s="50" t="s">
        <v>22</v>
      </c>
      <c r="D75" s="51">
        <v>1001035937001</v>
      </c>
      <c r="E75" s="24"/>
      <c r="F75" s="23">
        <v>1</v>
      </c>
      <c r="G75" s="23">
        <f t="shared" si="15"/>
        <v>0</v>
      </c>
      <c r="H75" s="14">
        <v>3</v>
      </c>
      <c r="I75" s="14">
        <v>45</v>
      </c>
      <c r="J75" s="29"/>
      <c r="L75" s="103"/>
    </row>
    <row r="76" spans="1:12" ht="16.5" customHeight="1" x14ac:dyDescent="0.25">
      <c r="A76" s="139" t="str">
        <f t="shared" si="14"/>
        <v>6527</v>
      </c>
      <c r="B76" s="141" t="s">
        <v>152</v>
      </c>
      <c r="C76" s="50" t="s">
        <v>22</v>
      </c>
      <c r="D76" s="51">
        <v>1001031076527</v>
      </c>
      <c r="E76" s="24"/>
      <c r="F76" s="23">
        <v>1</v>
      </c>
      <c r="G76" s="23">
        <f t="shared" si="15"/>
        <v>0</v>
      </c>
      <c r="H76" s="14">
        <v>3</v>
      </c>
      <c r="I76" s="14">
        <v>45</v>
      </c>
      <c r="J76" s="29"/>
      <c r="L76" s="103"/>
    </row>
    <row r="77" spans="1:12" ht="16.5" customHeight="1" x14ac:dyDescent="0.25">
      <c r="A77" s="139" t="str">
        <f t="shared" si="14"/>
        <v>6609</v>
      </c>
      <c r="B77" s="141" t="s">
        <v>153</v>
      </c>
      <c r="C77" s="50" t="s">
        <v>20</v>
      </c>
      <c r="D77" s="51">
        <v>1001033856609</v>
      </c>
      <c r="E77" s="24"/>
      <c r="F77" s="23">
        <v>0.4</v>
      </c>
      <c r="G77" s="23">
        <f t="shared" ref="G77:G79" si="16">E77*F77</f>
        <v>0</v>
      </c>
      <c r="H77" s="14">
        <v>2.4</v>
      </c>
      <c r="I77" s="14">
        <v>45</v>
      </c>
      <c r="J77" s="29"/>
      <c r="L77" s="103"/>
    </row>
    <row r="78" spans="1:12" ht="16.5" customHeight="1" x14ac:dyDescent="0.25">
      <c r="A78" s="139" t="str">
        <f t="shared" si="14"/>
        <v>7059</v>
      </c>
      <c r="B78" s="141" t="s">
        <v>154</v>
      </c>
      <c r="C78" s="50" t="s">
        <v>20</v>
      </c>
      <c r="D78" s="51">
        <v>1001035277059</v>
      </c>
      <c r="E78" s="24"/>
      <c r="F78" s="23">
        <v>0.3</v>
      </c>
      <c r="G78" s="23">
        <f t="shared" si="16"/>
        <v>0</v>
      </c>
      <c r="H78" s="14">
        <v>2.4</v>
      </c>
      <c r="I78" s="14">
        <v>60</v>
      </c>
      <c r="J78" s="29"/>
      <c r="L78" s="103"/>
    </row>
    <row r="79" spans="1:12" ht="16.5" customHeight="1" thickBot="1" x14ac:dyDescent="0.3">
      <c r="A79" s="139" t="str">
        <f t="shared" si="14"/>
        <v>6528</v>
      </c>
      <c r="B79" s="141" t="s">
        <v>227</v>
      </c>
      <c r="C79" s="50" t="s">
        <v>20</v>
      </c>
      <c r="D79" s="51">
        <v>1001031076528</v>
      </c>
      <c r="E79" s="24"/>
      <c r="F79" s="23">
        <v>0.4</v>
      </c>
      <c r="G79" s="23">
        <f t="shared" si="16"/>
        <v>0</v>
      </c>
      <c r="H79" s="14">
        <v>2.4</v>
      </c>
      <c r="I79" s="14">
        <v>45</v>
      </c>
      <c r="J79" s="29"/>
      <c r="L79" s="103"/>
    </row>
    <row r="80" spans="1:12" ht="16.5" customHeight="1" thickTop="1" thickBot="1" x14ac:dyDescent="0.3">
      <c r="A80" s="47" t="s">
        <v>104</v>
      </c>
      <c r="B80" s="42" t="s">
        <v>59</v>
      </c>
      <c r="C80" s="42"/>
      <c r="D80" s="42"/>
      <c r="E80" s="42"/>
      <c r="F80" s="41"/>
      <c r="G80" s="42"/>
      <c r="H80" s="42"/>
      <c r="I80" s="42"/>
      <c r="J80" s="43"/>
      <c r="L80" s="103"/>
    </row>
    <row r="81" spans="1:12" ht="16.5" customHeight="1" thickTop="1" x14ac:dyDescent="0.25">
      <c r="A81" s="139" t="str">
        <f t="shared" ref="A81:A108" si="17">RIGHT(D81,4)</f>
        <v>7564</v>
      </c>
      <c r="B81" s="53" t="s">
        <v>121</v>
      </c>
      <c r="C81" s="50" t="s">
        <v>22</v>
      </c>
      <c r="D81" s="51">
        <v>1001303637564</v>
      </c>
      <c r="E81" s="24"/>
      <c r="F81" s="23">
        <v>0.84</v>
      </c>
      <c r="G81" s="23">
        <f>E81</f>
        <v>0</v>
      </c>
      <c r="H81" s="14">
        <v>5.04</v>
      </c>
      <c r="I81" s="14">
        <v>45</v>
      </c>
      <c r="J81" s="52" t="s">
        <v>170</v>
      </c>
      <c r="L81" s="103"/>
    </row>
    <row r="82" spans="1:12" ht="16.5" customHeight="1" x14ac:dyDescent="0.25">
      <c r="A82" s="139" t="str">
        <f t="shared" si="17"/>
        <v>7603</v>
      </c>
      <c r="B82" s="53" t="s">
        <v>122</v>
      </c>
      <c r="C82" s="50" t="s">
        <v>20</v>
      </c>
      <c r="D82" s="51">
        <v>1001303637603</v>
      </c>
      <c r="E82" s="24"/>
      <c r="F82" s="23">
        <v>0.33</v>
      </c>
      <c r="G82" s="23">
        <f t="shared" ref="G82:G95" si="18">E82*F82</f>
        <v>0</v>
      </c>
      <c r="H82" s="14">
        <v>2.64</v>
      </c>
      <c r="I82" s="14">
        <v>45</v>
      </c>
      <c r="J82" s="52" t="s">
        <v>171</v>
      </c>
      <c r="L82" s="103"/>
    </row>
    <row r="83" spans="1:12" ht="16.5" customHeight="1" x14ac:dyDescent="0.25">
      <c r="A83" s="139" t="str">
        <f t="shared" si="17"/>
        <v>7149</v>
      </c>
      <c r="B83" s="53" t="s">
        <v>19</v>
      </c>
      <c r="C83" s="50" t="s">
        <v>20</v>
      </c>
      <c r="D83" s="51">
        <v>1001303637149</v>
      </c>
      <c r="E83" s="24"/>
      <c r="F83" s="23">
        <v>0.84</v>
      </c>
      <c r="G83" s="23">
        <f t="shared" si="18"/>
        <v>0</v>
      </c>
      <c r="H83" s="14">
        <v>5.04</v>
      </c>
      <c r="I83" s="14">
        <v>50</v>
      </c>
      <c r="J83" s="29"/>
      <c r="L83" s="103"/>
    </row>
    <row r="84" spans="1:12" ht="16.5" customHeight="1" x14ac:dyDescent="0.25">
      <c r="A84" s="139" t="str">
        <f t="shared" si="17"/>
        <v>7233</v>
      </c>
      <c r="B84" s="53" t="s">
        <v>228</v>
      </c>
      <c r="C84" s="50" t="s">
        <v>20</v>
      </c>
      <c r="D84" s="51">
        <v>1001303637233</v>
      </c>
      <c r="E84" s="24"/>
      <c r="F84" s="140">
        <v>0.31</v>
      </c>
      <c r="G84" s="23">
        <f t="shared" si="18"/>
        <v>0</v>
      </c>
      <c r="H84" s="29">
        <v>2.48</v>
      </c>
      <c r="I84" s="29">
        <v>45</v>
      </c>
      <c r="J84" s="29"/>
      <c r="L84" s="103"/>
    </row>
    <row r="85" spans="1:12" ht="16.5" customHeight="1" x14ac:dyDescent="0.25">
      <c r="A85" s="139" t="str">
        <f t="shared" si="17"/>
        <v>7232</v>
      </c>
      <c r="B85" s="53" t="s">
        <v>61</v>
      </c>
      <c r="C85" s="50" t="s">
        <v>20</v>
      </c>
      <c r="D85" s="51">
        <v>1001302277232</v>
      </c>
      <c r="E85" s="24"/>
      <c r="F85" s="140">
        <v>0.28000000000000003</v>
      </c>
      <c r="G85" s="23">
        <f t="shared" si="18"/>
        <v>0</v>
      </c>
      <c r="H85" s="29">
        <v>2.2400000000000002</v>
      </c>
      <c r="I85" s="29">
        <v>50</v>
      </c>
      <c r="J85" s="29"/>
      <c r="L85" s="103"/>
    </row>
    <row r="86" spans="1:12" ht="16.5" customHeight="1" x14ac:dyDescent="0.25">
      <c r="A86" s="139" t="str">
        <f t="shared" si="17"/>
        <v>7241</v>
      </c>
      <c r="B86" s="53" t="s">
        <v>63</v>
      </c>
      <c r="C86" s="50" t="s">
        <v>20</v>
      </c>
      <c r="D86" s="51">
        <v>1001303107241</v>
      </c>
      <c r="E86" s="24"/>
      <c r="F86" s="140">
        <v>0.28000000000000003</v>
      </c>
      <c r="G86" s="23">
        <f t="shared" si="18"/>
        <v>0</v>
      </c>
      <c r="H86" s="29">
        <v>2.2400000000000002</v>
      </c>
      <c r="I86" s="29">
        <v>45</v>
      </c>
      <c r="J86" s="29"/>
      <c r="L86" s="103"/>
    </row>
    <row r="87" spans="1:12" ht="16.5" customHeight="1" x14ac:dyDescent="0.25">
      <c r="A87" s="139" t="str">
        <f t="shared" si="17"/>
        <v>7133</v>
      </c>
      <c r="B87" s="53" t="s">
        <v>73</v>
      </c>
      <c r="C87" s="50" t="s">
        <v>22</v>
      </c>
      <c r="D87" s="51">
        <v>1001300367133</v>
      </c>
      <c r="E87" s="24"/>
      <c r="F87" s="140">
        <v>0.84</v>
      </c>
      <c r="G87" s="23">
        <f>E87</f>
        <v>0</v>
      </c>
      <c r="H87" s="29">
        <v>5.04</v>
      </c>
      <c r="I87" s="29">
        <v>45</v>
      </c>
      <c r="J87" s="29"/>
      <c r="L87" s="103"/>
    </row>
    <row r="88" spans="1:12" ht="16.5" customHeight="1" x14ac:dyDescent="0.25">
      <c r="A88" s="139" t="str">
        <f t="shared" si="17"/>
        <v>6946</v>
      </c>
      <c r="B88" s="53" t="s">
        <v>179</v>
      </c>
      <c r="C88" s="50" t="s">
        <v>22</v>
      </c>
      <c r="D88" s="51">
        <v>1001300456946</v>
      </c>
      <c r="E88" s="24"/>
      <c r="F88" s="140"/>
      <c r="G88" s="23">
        <f>E88</f>
        <v>0</v>
      </c>
      <c r="H88" s="29"/>
      <c r="I88" s="29"/>
      <c r="J88" s="29"/>
      <c r="L88" s="103"/>
    </row>
    <row r="89" spans="1:12" ht="16.5" customHeight="1" x14ac:dyDescent="0.25">
      <c r="A89" s="139" t="str">
        <f t="shared" si="17"/>
        <v>6807</v>
      </c>
      <c r="B89" s="53" t="s">
        <v>75</v>
      </c>
      <c r="C89" s="50" t="s">
        <v>20</v>
      </c>
      <c r="D89" s="51">
        <v>1001300366807</v>
      </c>
      <c r="E89" s="24"/>
      <c r="F89" s="140">
        <v>0.33</v>
      </c>
      <c r="G89" s="23">
        <f t="shared" si="18"/>
        <v>0</v>
      </c>
      <c r="H89" s="29">
        <v>2.64</v>
      </c>
      <c r="I89" s="29">
        <v>45</v>
      </c>
      <c r="J89" s="29"/>
      <c r="L89" s="103"/>
    </row>
    <row r="90" spans="1:12" ht="16.5" customHeight="1" x14ac:dyDescent="0.25">
      <c r="A90" s="139" t="str">
        <f t="shared" si="17"/>
        <v>7154</v>
      </c>
      <c r="B90" s="53" t="s">
        <v>64</v>
      </c>
      <c r="C90" s="50" t="s">
        <v>20</v>
      </c>
      <c r="D90" s="51">
        <v>1001300387154</v>
      </c>
      <c r="E90" s="24"/>
      <c r="F90" s="23">
        <v>0.35</v>
      </c>
      <c r="G90" s="23">
        <f t="shared" si="18"/>
        <v>0</v>
      </c>
      <c r="H90" s="14">
        <v>2.8</v>
      </c>
      <c r="I90" s="14">
        <v>50</v>
      </c>
      <c r="J90" s="29"/>
      <c r="L90" s="103"/>
    </row>
    <row r="91" spans="1:12" ht="16.5" customHeight="1" x14ac:dyDescent="0.25">
      <c r="A91" s="139" t="str">
        <f t="shared" si="17"/>
        <v>7157</v>
      </c>
      <c r="B91" s="53" t="s">
        <v>74</v>
      </c>
      <c r="C91" s="50" t="s">
        <v>22</v>
      </c>
      <c r="D91" s="51">
        <v>1001300387157</v>
      </c>
      <c r="E91" s="24"/>
      <c r="F91" s="23">
        <v>0.63</v>
      </c>
      <c r="G91" s="23">
        <f>E91</f>
        <v>0</v>
      </c>
      <c r="H91" s="14">
        <v>5.04</v>
      </c>
      <c r="I91" s="14">
        <v>50</v>
      </c>
      <c r="J91" s="29"/>
      <c r="L91" s="103"/>
    </row>
    <row r="92" spans="1:12" ht="16.5" customHeight="1" x14ac:dyDescent="0.25">
      <c r="A92" s="139" t="str">
        <f t="shared" si="17"/>
        <v>7562</v>
      </c>
      <c r="B92" s="53" t="s">
        <v>229</v>
      </c>
      <c r="C92" s="50" t="s">
        <v>22</v>
      </c>
      <c r="D92" s="51">
        <v>1001307587562</v>
      </c>
      <c r="E92" s="24"/>
      <c r="F92" s="23"/>
      <c r="G92" s="23">
        <f>E92</f>
        <v>0</v>
      </c>
      <c r="H92" s="14"/>
      <c r="I92" s="14"/>
      <c r="J92" s="29"/>
      <c r="L92" s="103"/>
    </row>
    <row r="93" spans="1:12" ht="16.5" customHeight="1" x14ac:dyDescent="0.25">
      <c r="A93" s="139" t="str">
        <f t="shared" si="17"/>
        <v>7236</v>
      </c>
      <c r="B93" s="53" t="s">
        <v>68</v>
      </c>
      <c r="C93" s="50" t="s">
        <v>20</v>
      </c>
      <c r="D93" s="51">
        <v>1001304507236</v>
      </c>
      <c r="E93" s="24"/>
      <c r="F93" s="23">
        <v>0.28000000000000003</v>
      </c>
      <c r="G93" s="23">
        <f t="shared" si="18"/>
        <v>0</v>
      </c>
      <c r="H93" s="14">
        <v>2.2400000000000002</v>
      </c>
      <c r="I93" s="14">
        <v>45</v>
      </c>
      <c r="J93" s="29"/>
      <c r="L93" s="103"/>
    </row>
    <row r="94" spans="1:12" ht="16.5" customHeight="1" x14ac:dyDescent="0.25">
      <c r="A94" s="139" t="str">
        <f t="shared" si="17"/>
        <v>7489</v>
      </c>
      <c r="B94" s="53" t="s">
        <v>214</v>
      </c>
      <c r="C94" s="50" t="s">
        <v>20</v>
      </c>
      <c r="D94" s="51">
        <v>1001307357489</v>
      </c>
      <c r="E94" s="24"/>
      <c r="F94" s="23">
        <v>0.28000000000000003</v>
      </c>
      <c r="G94" s="23">
        <f t="shared" si="18"/>
        <v>0</v>
      </c>
      <c r="H94" s="14"/>
      <c r="I94" s="14"/>
      <c r="J94" s="29"/>
      <c r="L94" s="103"/>
    </row>
    <row r="95" spans="1:12" ht="16.5" customHeight="1" x14ac:dyDescent="0.25">
      <c r="A95" s="139" t="str">
        <f t="shared" si="17"/>
        <v>6787</v>
      </c>
      <c r="B95" s="143" t="s">
        <v>65</v>
      </c>
      <c r="C95" s="50" t="s">
        <v>20</v>
      </c>
      <c r="D95" s="51">
        <v>1001300456787</v>
      </c>
      <c r="E95" s="24"/>
      <c r="F95" s="23">
        <v>0.33</v>
      </c>
      <c r="G95" s="23">
        <f t="shared" si="18"/>
        <v>0</v>
      </c>
      <c r="H95" s="14">
        <v>2.64</v>
      </c>
      <c r="I95" s="14">
        <v>45</v>
      </c>
      <c r="J95" s="29"/>
      <c r="L95" s="103"/>
    </row>
    <row r="96" spans="1:12" ht="15.75" customHeight="1" x14ac:dyDescent="0.25">
      <c r="A96" s="139" t="str">
        <f t="shared" si="17"/>
        <v>7166</v>
      </c>
      <c r="B96" s="143" t="s">
        <v>71</v>
      </c>
      <c r="C96" s="50" t="s">
        <v>22</v>
      </c>
      <c r="D96" s="51">
        <v>1001303987166</v>
      </c>
      <c r="E96" s="24"/>
      <c r="F96" s="23">
        <v>0.7</v>
      </c>
      <c r="G96" s="23">
        <f>E96</f>
        <v>0</v>
      </c>
      <c r="H96" s="14">
        <v>5.6</v>
      </c>
      <c r="I96" s="14">
        <v>50</v>
      </c>
      <c r="J96" s="29"/>
      <c r="L96" s="103"/>
    </row>
    <row r="97" spans="1:67" ht="15.75" customHeight="1" x14ac:dyDescent="0.25">
      <c r="A97" s="139" t="str">
        <f t="shared" si="17"/>
        <v>7169</v>
      </c>
      <c r="B97" s="53" t="s">
        <v>70</v>
      </c>
      <c r="C97" s="50" t="s">
        <v>20</v>
      </c>
      <c r="D97" s="51">
        <v>1001303987169</v>
      </c>
      <c r="E97" s="24"/>
      <c r="F97" s="23">
        <v>0.35</v>
      </c>
      <c r="G97" s="23">
        <f>E97*F97</f>
        <v>0</v>
      </c>
      <c r="H97" s="14">
        <v>2.8</v>
      </c>
      <c r="I97" s="14">
        <v>50</v>
      </c>
      <c r="J97" s="29"/>
      <c r="L97" s="103"/>
    </row>
    <row r="98" spans="1:67" ht="15.75" customHeight="1" x14ac:dyDescent="0.25">
      <c r="A98" s="139" t="str">
        <f t="shared" si="17"/>
        <v>5544</v>
      </c>
      <c r="B98" s="53" t="s">
        <v>72</v>
      </c>
      <c r="C98" s="50" t="s">
        <v>22</v>
      </c>
      <c r="D98" s="51">
        <v>1001051875544</v>
      </c>
      <c r="E98" s="24"/>
      <c r="F98" s="23">
        <v>0.81</v>
      </c>
      <c r="G98" s="23">
        <f>E98</f>
        <v>0</v>
      </c>
      <c r="H98" s="14">
        <v>4.8600000000000003</v>
      </c>
      <c r="I98" s="14">
        <v>45</v>
      </c>
      <c r="J98" s="49"/>
      <c r="L98" s="103"/>
    </row>
    <row r="99" spans="1:67" ht="15.75" customHeight="1" x14ac:dyDescent="0.25">
      <c r="A99" s="139" t="str">
        <f t="shared" si="17"/>
        <v>6697</v>
      </c>
      <c r="B99" s="53" t="s">
        <v>66</v>
      </c>
      <c r="C99" s="50" t="s">
        <v>20</v>
      </c>
      <c r="D99" s="51">
        <v>1001301876697</v>
      </c>
      <c r="E99" s="24"/>
      <c r="F99" s="23">
        <v>0.35</v>
      </c>
      <c r="G99" s="23">
        <f t="shared" ref="G99:G108" si="19">E99*F99</f>
        <v>0</v>
      </c>
      <c r="H99" s="14">
        <v>2.8</v>
      </c>
      <c r="I99" s="14">
        <v>45</v>
      </c>
      <c r="J99" s="49"/>
      <c r="L99" s="103"/>
    </row>
    <row r="100" spans="1:67" ht="15.75" customHeight="1" x14ac:dyDescent="0.25">
      <c r="A100" s="139" t="str">
        <f t="shared" si="17"/>
        <v>7237</v>
      </c>
      <c r="B100" s="53" t="s">
        <v>67</v>
      </c>
      <c r="C100" s="50" t="s">
        <v>20</v>
      </c>
      <c r="D100" s="51">
        <v>1001304497237</v>
      </c>
      <c r="E100" s="24"/>
      <c r="F100" s="23">
        <v>0.28000000000000003</v>
      </c>
      <c r="G100" s="23">
        <f t="shared" si="19"/>
        <v>0</v>
      </c>
      <c r="H100" s="14">
        <v>2.2400000000000002</v>
      </c>
      <c r="I100" s="14">
        <v>45</v>
      </c>
      <c r="J100" s="49"/>
      <c r="L100" s="103"/>
    </row>
    <row r="101" spans="1:67" ht="15.75" customHeight="1" x14ac:dyDescent="0.25">
      <c r="A101" s="139" t="str">
        <f t="shared" si="17"/>
        <v>7238</v>
      </c>
      <c r="B101" s="53" t="s">
        <v>123</v>
      </c>
      <c r="C101" s="50" t="s">
        <v>20</v>
      </c>
      <c r="D101" s="51">
        <v>1001305197238</v>
      </c>
      <c r="E101" s="24"/>
      <c r="F101" s="23">
        <v>0.31</v>
      </c>
      <c r="G101" s="23">
        <f t="shared" si="19"/>
        <v>0</v>
      </c>
      <c r="H101" s="14">
        <v>2.48</v>
      </c>
      <c r="I101" s="14">
        <v>45</v>
      </c>
      <c r="J101" s="49"/>
      <c r="L101" s="103"/>
    </row>
    <row r="102" spans="1:67" ht="15.75" customHeight="1" x14ac:dyDescent="0.25">
      <c r="A102" s="139" t="str">
        <f t="shared" si="17"/>
        <v>7516</v>
      </c>
      <c r="B102" s="53" t="s">
        <v>230</v>
      </c>
      <c r="C102" s="50" t="s">
        <v>20</v>
      </c>
      <c r="D102" s="51">
        <v>1001307107516</v>
      </c>
      <c r="E102" s="24"/>
      <c r="F102" s="23">
        <v>0.31</v>
      </c>
      <c r="G102" s="23">
        <f t="shared" si="19"/>
        <v>0</v>
      </c>
      <c r="H102" s="14"/>
      <c r="I102" s="14"/>
      <c r="J102" s="49"/>
      <c r="L102" s="103"/>
    </row>
    <row r="103" spans="1:67" ht="15.75" customHeight="1" x14ac:dyDescent="0.25">
      <c r="A103" s="139" t="str">
        <f t="shared" si="17"/>
        <v>7177</v>
      </c>
      <c r="B103" s="53" t="s">
        <v>124</v>
      </c>
      <c r="C103" s="50" t="s">
        <v>20</v>
      </c>
      <c r="D103" s="51">
        <v>1001302347177</v>
      </c>
      <c r="E103" s="24"/>
      <c r="F103" s="23">
        <v>0.35</v>
      </c>
      <c r="G103" s="23">
        <f t="shared" si="19"/>
        <v>0</v>
      </c>
      <c r="H103" s="14">
        <v>2.8</v>
      </c>
      <c r="I103" s="14">
        <v>50</v>
      </c>
      <c r="J103" s="49"/>
      <c r="L103" s="103"/>
    </row>
    <row r="104" spans="1:67" ht="15.75" customHeight="1" x14ac:dyDescent="0.25">
      <c r="A104" s="139" t="str">
        <f t="shared" si="17"/>
        <v>7332</v>
      </c>
      <c r="B104" s="53" t="s">
        <v>62</v>
      </c>
      <c r="C104" s="50" t="s">
        <v>20</v>
      </c>
      <c r="D104" s="51">
        <v>1001301777332</v>
      </c>
      <c r="E104" s="24"/>
      <c r="F104" s="23">
        <v>0.28000000000000003</v>
      </c>
      <c r="G104" s="23">
        <f t="shared" si="19"/>
        <v>0</v>
      </c>
      <c r="H104" s="14">
        <v>2.2400000000000002</v>
      </c>
      <c r="I104" s="14">
        <v>50</v>
      </c>
      <c r="J104" s="49"/>
      <c r="L104" s="103"/>
    </row>
    <row r="105" spans="1:67" ht="15.75" customHeight="1" x14ac:dyDescent="0.25">
      <c r="A105" s="139" t="str">
        <f t="shared" si="17"/>
        <v>7513</v>
      </c>
      <c r="B105" s="53" t="s">
        <v>231</v>
      </c>
      <c r="C105" s="50" t="s">
        <v>20</v>
      </c>
      <c r="D105" s="51">
        <v>1001307077513</v>
      </c>
      <c r="E105" s="24"/>
      <c r="F105" s="23">
        <v>0.26</v>
      </c>
      <c r="G105" s="23">
        <f t="shared" si="19"/>
        <v>0</v>
      </c>
      <c r="H105" s="14"/>
      <c r="I105" s="14"/>
      <c r="J105" s="49"/>
      <c r="L105" s="103"/>
    </row>
    <row r="106" spans="1:67" ht="15.75" customHeight="1" x14ac:dyDescent="0.25">
      <c r="A106" s="139" t="str">
        <f t="shared" si="17"/>
        <v>7333</v>
      </c>
      <c r="B106" s="53" t="s">
        <v>69</v>
      </c>
      <c r="C106" s="50" t="s">
        <v>20</v>
      </c>
      <c r="D106" s="51">
        <v>1001303987333</v>
      </c>
      <c r="E106" s="24"/>
      <c r="F106" s="23">
        <v>0.28000000000000003</v>
      </c>
      <c r="G106" s="23">
        <f t="shared" si="19"/>
        <v>0</v>
      </c>
      <c r="H106" s="14">
        <v>2.2400000000000002</v>
      </c>
      <c r="I106" s="14">
        <v>50</v>
      </c>
      <c r="J106" s="49"/>
      <c r="L106" s="103"/>
    </row>
    <row r="107" spans="1:67" ht="15.75" customHeight="1" x14ac:dyDescent="0.25">
      <c r="A107" s="139" t="str">
        <f t="shared" si="17"/>
        <v>7608</v>
      </c>
      <c r="B107" s="53" t="s">
        <v>221</v>
      </c>
      <c r="C107" s="50" t="s">
        <v>20</v>
      </c>
      <c r="D107" s="51">
        <v>1001304197608</v>
      </c>
      <c r="E107" s="24"/>
      <c r="F107" s="23">
        <v>0.1</v>
      </c>
      <c r="G107" s="23">
        <f t="shared" si="19"/>
        <v>0</v>
      </c>
      <c r="H107" s="14">
        <v>1</v>
      </c>
      <c r="I107" s="14">
        <v>45</v>
      </c>
      <c r="J107" s="52" t="s">
        <v>208</v>
      </c>
      <c r="L107" s="103"/>
    </row>
    <row r="108" spans="1:67" s="55" customFormat="1" ht="16.5" customHeight="1" thickBot="1" x14ac:dyDescent="0.3">
      <c r="A108" s="139" t="str">
        <f t="shared" si="17"/>
        <v>7610</v>
      </c>
      <c r="B108" s="53" t="s">
        <v>209</v>
      </c>
      <c r="C108" s="50" t="s">
        <v>20</v>
      </c>
      <c r="D108" s="51">
        <v>1001306717610</v>
      </c>
      <c r="E108" s="24"/>
      <c r="F108" s="23">
        <v>0.1</v>
      </c>
      <c r="G108" s="23">
        <f t="shared" si="19"/>
        <v>0</v>
      </c>
      <c r="H108" s="14">
        <v>1</v>
      </c>
      <c r="I108" s="14">
        <v>45</v>
      </c>
      <c r="J108" s="52" t="s">
        <v>210</v>
      </c>
      <c r="K108" s="54"/>
      <c r="L108" s="103"/>
      <c r="M108" s="103"/>
      <c r="N108" s="103"/>
      <c r="O108" s="103"/>
      <c r="P108" s="103"/>
      <c r="Q108" s="103"/>
      <c r="R108" s="103"/>
      <c r="S108" s="103"/>
      <c r="T108" s="103"/>
      <c r="U108" s="103"/>
      <c r="V108" s="103"/>
      <c r="W108" s="103"/>
      <c r="X108" s="103"/>
      <c r="Y108" s="103"/>
      <c r="Z108" s="103"/>
      <c r="AA108" s="103"/>
      <c r="AB108" s="103"/>
      <c r="AC108" s="103"/>
      <c r="AD108" s="103"/>
      <c r="AE108" s="103"/>
      <c r="AF108" s="103"/>
      <c r="AG108" s="103"/>
      <c r="AH108" s="103"/>
      <c r="AI108" s="103"/>
      <c r="AJ108" s="103"/>
      <c r="AK108" s="103"/>
      <c r="AL108" s="103"/>
      <c r="AM108" s="103"/>
      <c r="AN108" s="103"/>
      <c r="AO108" s="103"/>
      <c r="AP108" s="103"/>
      <c r="AQ108" s="103"/>
      <c r="AR108" s="103"/>
      <c r="AS108" s="103"/>
      <c r="AT108" s="103"/>
      <c r="AU108" s="103"/>
      <c r="AV108" s="103"/>
      <c r="AW108" s="103"/>
      <c r="AX108" s="103"/>
      <c r="AY108" s="103"/>
      <c r="AZ108" s="103"/>
      <c r="BA108" s="103"/>
      <c r="BB108" s="103"/>
      <c r="BC108" s="103"/>
      <c r="BD108" s="103"/>
      <c r="BE108" s="103"/>
      <c r="BF108" s="103"/>
      <c r="BG108" s="103"/>
      <c r="BH108" s="103"/>
      <c r="BI108" s="103"/>
      <c r="BJ108" s="103"/>
      <c r="BK108" s="103"/>
      <c r="BL108" s="103"/>
      <c r="BM108" s="103"/>
      <c r="BN108" s="103"/>
      <c r="BO108" s="103"/>
    </row>
    <row r="109" spans="1:67" s="55" customFormat="1" ht="16.5" customHeight="1" thickTop="1" thickBot="1" x14ac:dyDescent="0.3">
      <c r="A109" s="47" t="s">
        <v>104</v>
      </c>
      <c r="B109" s="42" t="s">
        <v>76</v>
      </c>
      <c r="C109" s="42"/>
      <c r="D109" s="42"/>
      <c r="E109" s="42"/>
      <c r="F109" s="41"/>
      <c r="G109" s="42"/>
      <c r="H109" s="42"/>
      <c r="I109" s="42"/>
      <c r="J109" s="43"/>
      <c r="K109" s="54"/>
      <c r="L109" s="103"/>
      <c r="M109" s="103"/>
      <c r="N109" s="103"/>
      <c r="O109" s="103"/>
      <c r="P109" s="103"/>
      <c r="Q109" s="103"/>
      <c r="R109" s="103"/>
      <c r="S109" s="103"/>
      <c r="T109" s="103"/>
      <c r="U109" s="103"/>
      <c r="V109" s="103"/>
      <c r="W109" s="103"/>
      <c r="X109" s="103"/>
      <c r="Y109" s="103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3"/>
      <c r="AJ109" s="103"/>
      <c r="AK109" s="103"/>
      <c r="AL109" s="103"/>
      <c r="AM109" s="103"/>
      <c r="AN109" s="103"/>
      <c r="AO109" s="103"/>
      <c r="AP109" s="103"/>
      <c r="AQ109" s="103"/>
      <c r="AR109" s="103"/>
      <c r="AS109" s="103"/>
      <c r="AT109" s="103"/>
      <c r="AU109" s="103"/>
      <c r="AV109" s="103"/>
      <c r="AW109" s="103"/>
      <c r="AX109" s="103"/>
      <c r="AY109" s="103"/>
      <c r="AZ109" s="103"/>
      <c r="BA109" s="103"/>
      <c r="BB109" s="103"/>
      <c r="BC109" s="103"/>
      <c r="BD109" s="103"/>
      <c r="BE109" s="103"/>
      <c r="BF109" s="103"/>
      <c r="BG109" s="103"/>
      <c r="BH109" s="103"/>
      <c r="BI109" s="103"/>
      <c r="BJ109" s="103"/>
      <c r="BK109" s="103"/>
      <c r="BL109" s="103"/>
      <c r="BM109" s="103"/>
      <c r="BN109" s="103"/>
      <c r="BO109" s="103"/>
    </row>
    <row r="110" spans="1:67" s="55" customFormat="1" ht="16.5" customHeight="1" thickTop="1" x14ac:dyDescent="0.25">
      <c r="A110" s="139" t="str">
        <f t="shared" ref="A110:A141" si="20">RIGHT(D110,4)</f>
        <v>3582</v>
      </c>
      <c r="B110" s="53" t="s">
        <v>232</v>
      </c>
      <c r="C110" s="50" t="s">
        <v>22</v>
      </c>
      <c r="D110" s="51">
        <v>1001061973582</v>
      </c>
      <c r="E110" s="24"/>
      <c r="F110" s="140">
        <v>0.48799999999999999</v>
      </c>
      <c r="G110" s="23">
        <f>E110</f>
        <v>0</v>
      </c>
      <c r="H110" s="144">
        <v>3.9</v>
      </c>
      <c r="I110" s="145">
        <v>120</v>
      </c>
      <c r="J110" s="29"/>
      <c r="K110" s="54"/>
      <c r="L110" s="103"/>
      <c r="M110" s="103"/>
      <c r="N110" s="103"/>
      <c r="O110" s="103"/>
      <c r="P110" s="103"/>
      <c r="Q110" s="103"/>
      <c r="R110" s="103"/>
      <c r="S110" s="103"/>
      <c r="T110" s="103"/>
      <c r="U110" s="103"/>
      <c r="V110" s="103"/>
      <c r="W110" s="103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  <c r="AR110" s="103"/>
      <c r="AS110" s="103"/>
      <c r="AT110" s="103"/>
      <c r="AU110" s="103"/>
      <c r="AV110" s="103"/>
      <c r="AW110" s="103"/>
      <c r="AX110" s="103"/>
      <c r="AY110" s="103"/>
      <c r="AZ110" s="103"/>
      <c r="BA110" s="103"/>
      <c r="BB110" s="103"/>
      <c r="BC110" s="103"/>
      <c r="BD110" s="103"/>
      <c r="BE110" s="103"/>
      <c r="BF110" s="103"/>
      <c r="BG110" s="103"/>
      <c r="BH110" s="103"/>
      <c r="BI110" s="103"/>
      <c r="BJ110" s="103"/>
      <c r="BK110" s="103"/>
      <c r="BL110" s="103"/>
      <c r="BM110" s="103"/>
      <c r="BN110" s="103"/>
      <c r="BO110" s="103"/>
    </row>
    <row r="111" spans="1:67" ht="16.5" customHeight="1" x14ac:dyDescent="0.25">
      <c r="A111" s="139" t="str">
        <f t="shared" si="20"/>
        <v>3986</v>
      </c>
      <c r="B111" s="53" t="s">
        <v>79</v>
      </c>
      <c r="C111" s="50" t="s">
        <v>20</v>
      </c>
      <c r="D111" s="51">
        <v>1001061973986</v>
      </c>
      <c r="E111" s="24"/>
      <c r="F111" s="140">
        <v>0.25</v>
      </c>
      <c r="G111" s="23">
        <f t="shared" ref="G111:G116" si="21">E111*F111</f>
        <v>0</v>
      </c>
      <c r="H111" s="144">
        <v>2</v>
      </c>
      <c r="I111" s="145">
        <v>120</v>
      </c>
      <c r="J111" s="29"/>
      <c r="L111" s="103"/>
    </row>
    <row r="112" spans="1:67" ht="16.5" customHeight="1" x14ac:dyDescent="0.25">
      <c r="A112" s="139" t="str">
        <f t="shared" si="20"/>
        <v>5931</v>
      </c>
      <c r="B112" s="53" t="s">
        <v>77</v>
      </c>
      <c r="C112" s="50" t="s">
        <v>20</v>
      </c>
      <c r="D112" s="51">
        <v>1001060755931</v>
      </c>
      <c r="E112" s="24"/>
      <c r="F112" s="23">
        <v>0.22</v>
      </c>
      <c r="G112" s="23">
        <f t="shared" si="21"/>
        <v>0</v>
      </c>
      <c r="H112" s="98">
        <v>1.76</v>
      </c>
      <c r="I112" s="14">
        <v>120</v>
      </c>
      <c r="J112" s="29"/>
      <c r="L112" s="103"/>
    </row>
    <row r="113" spans="1:12" ht="16.5" customHeight="1" x14ac:dyDescent="0.25">
      <c r="A113" s="139" t="str">
        <f t="shared" si="20"/>
        <v>5708</v>
      </c>
      <c r="B113" s="53" t="s">
        <v>80</v>
      </c>
      <c r="C113" s="50" t="s">
        <v>22</v>
      </c>
      <c r="D113" s="51">
        <v>1001063145708</v>
      </c>
      <c r="E113" s="24"/>
      <c r="F113" s="23">
        <v>0.5</v>
      </c>
      <c r="G113" s="23">
        <f t="shared" ref="G113:G114" si="22">E113</f>
        <v>0</v>
      </c>
      <c r="H113" s="14">
        <v>4</v>
      </c>
      <c r="I113" s="14">
        <v>120</v>
      </c>
      <c r="J113" s="29"/>
      <c r="L113" s="103"/>
    </row>
    <row r="114" spans="1:12" ht="16.5" customHeight="1" x14ac:dyDescent="0.25">
      <c r="A114" s="139" t="str">
        <f t="shared" si="20"/>
        <v>3287</v>
      </c>
      <c r="B114" s="53" t="s">
        <v>90</v>
      </c>
      <c r="C114" s="50" t="s">
        <v>22</v>
      </c>
      <c r="D114" s="51">
        <v>1001060763287</v>
      </c>
      <c r="E114" s="24"/>
      <c r="F114" s="23">
        <v>0.48799999999999999</v>
      </c>
      <c r="G114" s="23">
        <f t="shared" si="22"/>
        <v>0</v>
      </c>
      <c r="H114" s="14">
        <v>3.9</v>
      </c>
      <c r="I114" s="14">
        <v>120</v>
      </c>
      <c r="J114" s="29"/>
      <c r="L114" s="103"/>
    </row>
    <row r="115" spans="1:12" ht="16.5" customHeight="1" x14ac:dyDescent="0.25">
      <c r="A115" s="139" t="str">
        <f t="shared" si="20"/>
        <v>4993</v>
      </c>
      <c r="B115" s="53" t="s">
        <v>139</v>
      </c>
      <c r="C115" s="50" t="s">
        <v>20</v>
      </c>
      <c r="D115" s="51">
        <v>1001060764993</v>
      </c>
      <c r="E115" s="24"/>
      <c r="F115" s="23">
        <v>0.25</v>
      </c>
      <c r="G115" s="23">
        <f t="shared" si="21"/>
        <v>0</v>
      </c>
      <c r="H115" s="14">
        <v>2</v>
      </c>
      <c r="I115" s="14">
        <v>120</v>
      </c>
      <c r="J115" s="29"/>
      <c r="L115" s="103"/>
    </row>
    <row r="116" spans="1:12" ht="16.5" customHeight="1" x14ac:dyDescent="0.25">
      <c r="A116" s="139" t="str">
        <f t="shared" si="20"/>
        <v>5483</v>
      </c>
      <c r="B116" s="53" t="s">
        <v>88</v>
      </c>
      <c r="C116" s="50" t="s">
        <v>20</v>
      </c>
      <c r="D116" s="51">
        <v>1001062505483</v>
      </c>
      <c r="E116" s="24"/>
      <c r="F116" s="23">
        <v>0.25</v>
      </c>
      <c r="G116" s="23">
        <f t="shared" si="21"/>
        <v>0</v>
      </c>
      <c r="H116" s="14">
        <v>2</v>
      </c>
      <c r="I116" s="14">
        <v>120</v>
      </c>
      <c r="J116" s="29"/>
      <c r="L116" s="103"/>
    </row>
    <row r="117" spans="1:12" ht="16.5" customHeight="1" x14ac:dyDescent="0.25">
      <c r="A117" s="139" t="str">
        <f t="shared" si="20"/>
        <v>4117</v>
      </c>
      <c r="B117" s="53" t="s">
        <v>87</v>
      </c>
      <c r="C117" s="50" t="s">
        <v>22</v>
      </c>
      <c r="D117" s="51">
        <v>1001062504117</v>
      </c>
      <c r="E117" s="24"/>
      <c r="F117" s="23">
        <v>0.49399999999999999</v>
      </c>
      <c r="G117" s="23">
        <f t="shared" ref="G117:G118" si="23">E117</f>
        <v>0</v>
      </c>
      <c r="H117" s="14">
        <v>3.95</v>
      </c>
      <c r="I117" s="14">
        <v>120</v>
      </c>
      <c r="J117" s="29"/>
      <c r="L117" s="103"/>
    </row>
    <row r="118" spans="1:12" ht="16.5" customHeight="1" x14ac:dyDescent="0.25">
      <c r="A118" s="139" t="str">
        <f t="shared" si="20"/>
        <v>0614</v>
      </c>
      <c r="B118" s="53" t="s">
        <v>140</v>
      </c>
      <c r="C118" s="50" t="s">
        <v>22</v>
      </c>
      <c r="D118" s="51">
        <v>1001060720614</v>
      </c>
      <c r="E118" s="24"/>
      <c r="F118" s="23">
        <v>0.52</v>
      </c>
      <c r="G118" s="23">
        <f t="shared" si="23"/>
        <v>0</v>
      </c>
      <c r="H118" s="14">
        <v>3.64</v>
      </c>
      <c r="I118" s="14">
        <v>120</v>
      </c>
      <c r="J118" s="29"/>
      <c r="L118" s="103"/>
    </row>
    <row r="119" spans="1:12" ht="16.5" customHeight="1" x14ac:dyDescent="0.25">
      <c r="A119" s="139" t="str">
        <f t="shared" si="20"/>
        <v>6967</v>
      </c>
      <c r="B119" s="53" t="s">
        <v>83</v>
      </c>
      <c r="C119" s="50" t="s">
        <v>20</v>
      </c>
      <c r="D119" s="51">
        <v>1001063656967</v>
      </c>
      <c r="E119" s="24"/>
      <c r="F119" s="23">
        <v>0.25</v>
      </c>
      <c r="G119" s="23">
        <f t="shared" ref="G119:G128" si="24">E119*F119</f>
        <v>0</v>
      </c>
      <c r="H119" s="14">
        <v>2</v>
      </c>
      <c r="I119" s="14">
        <v>120</v>
      </c>
      <c r="J119" s="29"/>
      <c r="L119" s="103"/>
    </row>
    <row r="120" spans="1:12" ht="16.5" customHeight="1" x14ac:dyDescent="0.25">
      <c r="A120" s="139" t="str">
        <f t="shared" si="20"/>
        <v>6937</v>
      </c>
      <c r="B120" s="53" t="s">
        <v>141</v>
      </c>
      <c r="C120" s="50" t="s">
        <v>20</v>
      </c>
      <c r="D120" s="51">
        <v>1001063106937</v>
      </c>
      <c r="E120" s="24"/>
      <c r="F120" s="23">
        <v>0.25</v>
      </c>
      <c r="G120" s="23">
        <f t="shared" si="24"/>
        <v>0</v>
      </c>
      <c r="H120" s="14">
        <v>2</v>
      </c>
      <c r="I120" s="14">
        <v>120</v>
      </c>
      <c r="J120" s="29"/>
      <c r="L120" s="103"/>
    </row>
    <row r="121" spans="1:12" ht="16.5" customHeight="1" x14ac:dyDescent="0.25">
      <c r="A121" s="139" t="str">
        <f t="shared" si="20"/>
        <v>7143</v>
      </c>
      <c r="B121" s="53" t="s">
        <v>142</v>
      </c>
      <c r="C121" s="50" t="s">
        <v>20</v>
      </c>
      <c r="D121" s="51">
        <v>1001060717143</v>
      </c>
      <c r="E121" s="24"/>
      <c r="F121" s="23">
        <v>0.22</v>
      </c>
      <c r="G121" s="23">
        <f t="shared" si="24"/>
        <v>0</v>
      </c>
      <c r="H121" s="14">
        <v>1.76</v>
      </c>
      <c r="I121" s="14">
        <v>120</v>
      </c>
      <c r="J121" s="29"/>
      <c r="L121" s="103"/>
    </row>
    <row r="122" spans="1:12" ht="16.5" customHeight="1" x14ac:dyDescent="0.25">
      <c r="A122" s="139" t="str">
        <f t="shared" si="20"/>
        <v>7147</v>
      </c>
      <c r="B122" s="53" t="s">
        <v>85</v>
      </c>
      <c r="C122" s="50" t="s">
        <v>20</v>
      </c>
      <c r="D122" s="51">
        <v>1001063237147</v>
      </c>
      <c r="E122" s="24"/>
      <c r="F122" s="23">
        <v>0.22</v>
      </c>
      <c r="G122" s="23">
        <f t="shared" si="24"/>
        <v>0</v>
      </c>
      <c r="H122" s="14">
        <v>1.76</v>
      </c>
      <c r="I122" s="14">
        <v>120</v>
      </c>
      <c r="J122" s="29"/>
      <c r="L122" s="103"/>
    </row>
    <row r="123" spans="1:12" ht="16.5" customHeight="1" x14ac:dyDescent="0.25">
      <c r="A123" s="139" t="str">
        <f t="shared" si="20"/>
        <v>7456</v>
      </c>
      <c r="B123" s="53" t="s">
        <v>143</v>
      </c>
      <c r="C123" s="50" t="s">
        <v>20</v>
      </c>
      <c r="D123" s="51">
        <v>1001063097456</v>
      </c>
      <c r="E123" s="24"/>
      <c r="F123" s="23">
        <v>0.15</v>
      </c>
      <c r="G123" s="23">
        <f t="shared" si="24"/>
        <v>0</v>
      </c>
      <c r="H123" s="14">
        <v>1.8</v>
      </c>
      <c r="I123" s="14">
        <v>90</v>
      </c>
      <c r="J123" s="29"/>
      <c r="L123" s="103"/>
    </row>
    <row r="124" spans="1:12" ht="16.5" customHeight="1" x14ac:dyDescent="0.25">
      <c r="A124" s="139" t="str">
        <f t="shared" si="20"/>
        <v>7364</v>
      </c>
      <c r="B124" s="53" t="s">
        <v>144</v>
      </c>
      <c r="C124" s="50" t="s">
        <v>20</v>
      </c>
      <c r="D124" s="51">
        <v>1001063217364</v>
      </c>
      <c r="E124" s="24"/>
      <c r="F124" s="23">
        <v>0.22</v>
      </c>
      <c r="G124" s="23">
        <f t="shared" si="24"/>
        <v>0</v>
      </c>
      <c r="H124" s="14">
        <v>1.76</v>
      </c>
      <c r="I124" s="14">
        <v>90</v>
      </c>
      <c r="J124" s="29"/>
      <c r="L124" s="103"/>
    </row>
    <row r="125" spans="1:12" ht="16.5" customHeight="1" x14ac:dyDescent="0.25">
      <c r="A125" s="139" t="str">
        <f t="shared" si="20"/>
        <v>7383</v>
      </c>
      <c r="B125" s="53" t="s">
        <v>145</v>
      </c>
      <c r="C125" s="50" t="s">
        <v>20</v>
      </c>
      <c r="D125" s="51">
        <v>1001065467383</v>
      </c>
      <c r="E125" s="24"/>
      <c r="F125" s="23">
        <v>0.22</v>
      </c>
      <c r="G125" s="23">
        <f t="shared" si="24"/>
        <v>0</v>
      </c>
      <c r="H125" s="14">
        <v>1.76</v>
      </c>
      <c r="I125" s="14">
        <v>90</v>
      </c>
      <c r="J125" s="29"/>
      <c r="L125" s="103"/>
    </row>
    <row r="126" spans="1:12" ht="16.5" customHeight="1" x14ac:dyDescent="0.25">
      <c r="A126" s="139" t="str">
        <f t="shared" si="20"/>
        <v>7317</v>
      </c>
      <c r="B126" s="53" t="s">
        <v>146</v>
      </c>
      <c r="C126" s="50" t="s">
        <v>20</v>
      </c>
      <c r="D126" s="51">
        <v>1001066567317</v>
      </c>
      <c r="E126" s="24"/>
      <c r="F126" s="23">
        <v>0.54</v>
      </c>
      <c r="G126" s="23">
        <f t="shared" si="24"/>
        <v>0</v>
      </c>
      <c r="H126" s="14">
        <v>3.78</v>
      </c>
      <c r="I126" s="14">
        <v>120</v>
      </c>
      <c r="J126" s="29"/>
      <c r="L126" s="103"/>
    </row>
    <row r="127" spans="1:12" ht="16.5" customHeight="1" x14ac:dyDescent="0.25">
      <c r="A127" s="139" t="str">
        <f t="shared" si="20"/>
        <v>7318</v>
      </c>
      <c r="B127" s="53" t="s">
        <v>147</v>
      </c>
      <c r="C127" s="50" t="s">
        <v>20</v>
      </c>
      <c r="D127" s="51">
        <v>1001060727318</v>
      </c>
      <c r="E127" s="24"/>
      <c r="F127" s="23">
        <v>0.27</v>
      </c>
      <c r="G127" s="23">
        <f t="shared" si="24"/>
        <v>0</v>
      </c>
      <c r="H127" s="14">
        <v>2.16</v>
      </c>
      <c r="I127" s="14">
        <v>120</v>
      </c>
      <c r="J127" s="29"/>
      <c r="L127" s="103"/>
    </row>
    <row r="128" spans="1:12" ht="16.5" customHeight="1" x14ac:dyDescent="0.25">
      <c r="A128" s="139" t="str">
        <f t="shared" si="20"/>
        <v>7316</v>
      </c>
      <c r="B128" s="53" t="s">
        <v>148</v>
      </c>
      <c r="C128" s="50" t="s">
        <v>20</v>
      </c>
      <c r="D128" s="51">
        <v>1001060727316</v>
      </c>
      <c r="E128" s="24"/>
      <c r="F128" s="23">
        <v>0.54</v>
      </c>
      <c r="G128" s="23">
        <f t="shared" si="24"/>
        <v>0</v>
      </c>
      <c r="H128" s="14">
        <v>3.78</v>
      </c>
      <c r="I128" s="14">
        <v>120</v>
      </c>
      <c r="J128" s="29"/>
      <c r="L128" s="103"/>
    </row>
    <row r="129" spans="1:67" ht="16.5" customHeight="1" x14ac:dyDescent="0.25">
      <c r="A129" s="139" t="str">
        <f t="shared" si="20"/>
        <v>6832</v>
      </c>
      <c r="B129" s="53" t="s">
        <v>81</v>
      </c>
      <c r="C129" s="50" t="s">
        <v>22</v>
      </c>
      <c r="D129" s="51">
        <v>1001065616832</v>
      </c>
      <c r="E129" s="24"/>
      <c r="F129" s="23">
        <v>0.215</v>
      </c>
      <c r="G129" s="23">
        <f t="shared" ref="G129:G130" si="25">E129</f>
        <v>0</v>
      </c>
      <c r="H129" s="14">
        <v>2.15</v>
      </c>
      <c r="I129" s="14">
        <v>30</v>
      </c>
      <c r="J129" s="29"/>
      <c r="L129" s="103"/>
    </row>
    <row r="130" spans="1:67" ht="16.5" customHeight="1" x14ac:dyDescent="0.25">
      <c r="A130" s="139" t="str">
        <f t="shared" si="20"/>
        <v>7299</v>
      </c>
      <c r="B130" s="53" t="s">
        <v>82</v>
      </c>
      <c r="C130" s="50" t="s">
        <v>22</v>
      </c>
      <c r="D130" s="51">
        <v>1001060677299</v>
      </c>
      <c r="E130" s="24"/>
      <c r="F130" s="23">
        <v>0.215</v>
      </c>
      <c r="G130" s="23">
        <f t="shared" si="25"/>
        <v>0</v>
      </c>
      <c r="H130" s="14">
        <v>2.15</v>
      </c>
      <c r="I130" s="14">
        <v>30</v>
      </c>
      <c r="J130" s="29"/>
      <c r="L130" s="103"/>
    </row>
    <row r="131" spans="1:67" ht="16.5" customHeight="1" x14ac:dyDescent="0.25">
      <c r="A131" s="139" t="str">
        <f t="shared" si="20"/>
        <v>7386</v>
      </c>
      <c r="B131" s="53" t="s">
        <v>150</v>
      </c>
      <c r="C131" s="50" t="s">
        <v>20</v>
      </c>
      <c r="D131" s="51">
        <v>1001067017386</v>
      </c>
      <c r="E131" s="24"/>
      <c r="F131" s="23">
        <v>0.15</v>
      </c>
      <c r="G131" s="23">
        <f t="shared" ref="G131:G141" si="26">E131*F131</f>
        <v>0</v>
      </c>
      <c r="H131" s="14">
        <v>1.35</v>
      </c>
      <c r="I131" s="14">
        <v>90</v>
      </c>
      <c r="J131" s="29"/>
      <c r="L131" s="103"/>
    </row>
    <row r="132" spans="1:67" ht="16.5" customHeight="1" x14ac:dyDescent="0.25">
      <c r="A132" s="139" t="str">
        <f t="shared" si="20"/>
        <v>7613</v>
      </c>
      <c r="B132" s="53" t="s">
        <v>215</v>
      </c>
      <c r="C132" s="50" t="s">
        <v>20</v>
      </c>
      <c r="D132" s="51">
        <v>1001061977613</v>
      </c>
      <c r="E132" s="24"/>
      <c r="F132" s="23">
        <v>0.1</v>
      </c>
      <c r="G132" s="23">
        <f t="shared" si="26"/>
        <v>0</v>
      </c>
      <c r="H132" s="14">
        <v>1</v>
      </c>
      <c r="I132" s="14">
        <v>60</v>
      </c>
      <c r="J132" s="52" t="s">
        <v>205</v>
      </c>
      <c r="L132" s="103"/>
    </row>
    <row r="133" spans="1:67" ht="16.5" customHeight="1" x14ac:dyDescent="0.25">
      <c r="A133" s="139" t="str">
        <f t="shared" si="20"/>
        <v>6834</v>
      </c>
      <c r="B133" s="127" t="s">
        <v>132</v>
      </c>
      <c r="C133" s="128" t="s">
        <v>20</v>
      </c>
      <c r="D133" s="129">
        <v>1001203146834</v>
      </c>
      <c r="E133" s="130"/>
      <c r="F133" s="131">
        <v>0.1</v>
      </c>
      <c r="G133" s="131">
        <f t="shared" si="26"/>
        <v>0</v>
      </c>
      <c r="H133" s="132">
        <v>1</v>
      </c>
      <c r="I133" s="132">
        <v>60</v>
      </c>
      <c r="J133" s="132" t="s">
        <v>204</v>
      </c>
      <c r="L133" s="103"/>
    </row>
    <row r="134" spans="1:67" ht="16.5" customHeight="1" x14ac:dyDescent="0.25">
      <c r="A134" s="139" t="str">
        <f t="shared" si="20"/>
        <v>7382</v>
      </c>
      <c r="B134" s="53" t="s">
        <v>84</v>
      </c>
      <c r="C134" s="50" t="s">
        <v>20</v>
      </c>
      <c r="D134" s="51">
        <v>1001203117382</v>
      </c>
      <c r="E134" s="24"/>
      <c r="F134" s="23">
        <v>0.12</v>
      </c>
      <c r="G134" s="23">
        <f t="shared" si="26"/>
        <v>0</v>
      </c>
      <c r="H134" s="14">
        <v>0.96</v>
      </c>
      <c r="I134" s="14">
        <v>60</v>
      </c>
      <c r="J134" s="29"/>
      <c r="L134" s="103"/>
    </row>
    <row r="135" spans="1:67" ht="16.5" customHeight="1" x14ac:dyDescent="0.25">
      <c r="A135" s="139" t="str">
        <f t="shared" si="20"/>
        <v>7616</v>
      </c>
      <c r="B135" s="53" t="s">
        <v>206</v>
      </c>
      <c r="C135" s="50" t="s">
        <v>20</v>
      </c>
      <c r="D135" s="51">
        <v>1001062507616</v>
      </c>
      <c r="E135" s="24"/>
      <c r="F135" s="23">
        <v>0.1</v>
      </c>
      <c r="G135" s="23">
        <f t="shared" si="26"/>
        <v>0</v>
      </c>
      <c r="H135" s="14">
        <v>1.4</v>
      </c>
      <c r="I135" s="14">
        <v>60</v>
      </c>
      <c r="J135" s="52" t="s">
        <v>207</v>
      </c>
      <c r="L135" s="103"/>
    </row>
    <row r="136" spans="1:67" ht="16.5" customHeight="1" x14ac:dyDescent="0.25">
      <c r="A136" s="139" t="str">
        <f t="shared" si="20"/>
        <v>6221</v>
      </c>
      <c r="B136" s="53" t="s">
        <v>86</v>
      </c>
      <c r="C136" s="50" t="s">
        <v>20</v>
      </c>
      <c r="D136" s="51">
        <v>1001205376221</v>
      </c>
      <c r="E136" s="24"/>
      <c r="F136" s="23">
        <v>0.09</v>
      </c>
      <c r="G136" s="23">
        <f t="shared" si="26"/>
        <v>0</v>
      </c>
      <c r="H136" s="14">
        <v>0.9</v>
      </c>
      <c r="I136" s="14">
        <v>60</v>
      </c>
      <c r="J136" s="29"/>
      <c r="L136" s="103"/>
    </row>
    <row r="137" spans="1:67" ht="16.5" customHeight="1" x14ac:dyDescent="0.25">
      <c r="A137" s="139" t="str">
        <f t="shared" si="20"/>
        <v>6222</v>
      </c>
      <c r="B137" s="53" t="s">
        <v>133</v>
      </c>
      <c r="C137" s="50" t="s">
        <v>20</v>
      </c>
      <c r="D137" s="51">
        <v>1001205386222</v>
      </c>
      <c r="E137" s="24"/>
      <c r="F137" s="23">
        <v>0.09</v>
      </c>
      <c r="G137" s="23">
        <f t="shared" si="26"/>
        <v>0</v>
      </c>
      <c r="H137" s="14">
        <v>0.9</v>
      </c>
      <c r="I137" s="14">
        <v>60</v>
      </c>
      <c r="J137" s="29"/>
      <c r="L137" s="103"/>
    </row>
    <row r="138" spans="1:67" ht="16.5" customHeight="1" x14ac:dyDescent="0.25">
      <c r="A138" s="139" t="str">
        <f t="shared" si="20"/>
        <v>6965</v>
      </c>
      <c r="B138" s="53" t="s">
        <v>134</v>
      </c>
      <c r="C138" s="50" t="s">
        <v>20</v>
      </c>
      <c r="D138" s="51">
        <v>1001206356965</v>
      </c>
      <c r="E138" s="24"/>
      <c r="F138" s="23">
        <v>7.0000000000000007E-2</v>
      </c>
      <c r="G138" s="23">
        <f t="shared" si="26"/>
        <v>0</v>
      </c>
      <c r="H138" s="14">
        <v>0.98</v>
      </c>
      <c r="I138" s="14">
        <v>60</v>
      </c>
      <c r="J138" s="29"/>
      <c r="L138" s="103"/>
    </row>
    <row r="139" spans="1:67" ht="16.5" customHeight="1" x14ac:dyDescent="0.25">
      <c r="A139" s="139" t="str">
        <f t="shared" si="20"/>
        <v>6557</v>
      </c>
      <c r="B139" s="53" t="s">
        <v>135</v>
      </c>
      <c r="C139" s="50" t="s">
        <v>20</v>
      </c>
      <c r="D139" s="51">
        <v>1001200756557</v>
      </c>
      <c r="E139" s="24"/>
      <c r="F139" s="23">
        <v>0.1</v>
      </c>
      <c r="G139" s="23">
        <f t="shared" si="26"/>
        <v>0</v>
      </c>
      <c r="H139" s="14">
        <v>1</v>
      </c>
      <c r="I139" s="14">
        <v>60</v>
      </c>
      <c r="J139" s="29"/>
      <c r="L139" s="103"/>
    </row>
    <row r="140" spans="1:67" ht="16.5" customHeight="1" x14ac:dyDescent="0.25">
      <c r="A140" s="139" t="str">
        <f t="shared" si="20"/>
        <v>5679</v>
      </c>
      <c r="B140" s="53" t="s">
        <v>136</v>
      </c>
      <c r="C140" s="50" t="s">
        <v>20</v>
      </c>
      <c r="D140" s="51">
        <v>1001190765679</v>
      </c>
      <c r="E140" s="24"/>
      <c r="F140" s="23">
        <v>0.15</v>
      </c>
      <c r="G140" s="23">
        <f t="shared" si="26"/>
        <v>0</v>
      </c>
      <c r="H140" s="14">
        <v>1.2</v>
      </c>
      <c r="I140" s="14">
        <v>60</v>
      </c>
      <c r="J140" s="29"/>
      <c r="L140" s="103"/>
    </row>
    <row r="141" spans="1:67" ht="16.149999999999999" customHeight="1" thickBot="1" x14ac:dyDescent="0.3">
      <c r="A141" s="139" t="str">
        <f t="shared" si="20"/>
        <v>7626</v>
      </c>
      <c r="B141" s="53" t="s">
        <v>202</v>
      </c>
      <c r="C141" s="50" t="s">
        <v>20</v>
      </c>
      <c r="D141" s="51">
        <v>1001066607626</v>
      </c>
      <c r="E141" s="24"/>
      <c r="F141" s="23">
        <v>0.1</v>
      </c>
      <c r="G141" s="23">
        <f t="shared" si="26"/>
        <v>0</v>
      </c>
      <c r="H141" s="14">
        <v>1</v>
      </c>
      <c r="I141" s="14">
        <v>60</v>
      </c>
      <c r="J141" s="52" t="s">
        <v>203</v>
      </c>
      <c r="L141" s="103"/>
    </row>
    <row r="142" spans="1:67" s="55" customFormat="1" ht="16.149999999999999" customHeight="1" thickTop="1" thickBot="1" x14ac:dyDescent="0.3">
      <c r="A142" s="47" t="s">
        <v>104</v>
      </c>
      <c r="B142" s="42" t="s">
        <v>91</v>
      </c>
      <c r="C142" s="42"/>
      <c r="D142" s="42"/>
      <c r="E142" s="42"/>
      <c r="F142" s="41"/>
      <c r="G142" s="42"/>
      <c r="H142" s="42"/>
      <c r="I142" s="42"/>
      <c r="J142" s="43"/>
      <c r="K142" s="54"/>
      <c r="L142" s="103"/>
      <c r="M142" s="103"/>
      <c r="N142" s="103"/>
      <c r="O142" s="103"/>
      <c r="P142" s="103"/>
      <c r="Q142" s="103"/>
      <c r="R142" s="103"/>
      <c r="S142" s="103"/>
      <c r="T142" s="103"/>
      <c r="U142" s="103"/>
      <c r="V142" s="103"/>
      <c r="W142" s="103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3"/>
      <c r="AJ142" s="103"/>
      <c r="AK142" s="103"/>
      <c r="AL142" s="103"/>
      <c r="AM142" s="103"/>
      <c r="AN142" s="103"/>
      <c r="AO142" s="103"/>
      <c r="AP142" s="103"/>
      <c r="AQ142" s="103"/>
      <c r="AR142" s="103"/>
      <c r="AS142" s="103"/>
      <c r="AT142" s="103"/>
      <c r="AU142" s="103"/>
      <c r="AV142" s="103"/>
      <c r="AW142" s="103"/>
      <c r="AX142" s="103"/>
      <c r="AY142" s="103"/>
      <c r="AZ142" s="103"/>
      <c r="BA142" s="103"/>
      <c r="BB142" s="103"/>
      <c r="BC142" s="103"/>
      <c r="BD142" s="103"/>
      <c r="BE142" s="103"/>
      <c r="BF142" s="103"/>
      <c r="BG142" s="103"/>
      <c r="BH142" s="103"/>
      <c r="BI142" s="103"/>
      <c r="BJ142" s="103"/>
      <c r="BK142" s="103"/>
      <c r="BL142" s="103"/>
      <c r="BM142" s="103"/>
      <c r="BN142" s="103"/>
      <c r="BO142" s="103"/>
    </row>
    <row r="143" spans="1:67" s="55" customFormat="1" ht="16.149999999999999" customHeight="1" thickTop="1" x14ac:dyDescent="0.25">
      <c r="A143" s="139" t="str">
        <f t="shared" ref="A143:A156" si="27">RIGHT(D143,4)</f>
        <v>4584</v>
      </c>
      <c r="B143" s="99" t="s">
        <v>233</v>
      </c>
      <c r="C143" s="50" t="s">
        <v>22</v>
      </c>
      <c r="D143" s="146">
        <v>1001092674584</v>
      </c>
      <c r="E143" s="24"/>
      <c r="F143" s="23">
        <v>2.5</v>
      </c>
      <c r="G143" s="23">
        <f>E143</f>
        <v>0</v>
      </c>
      <c r="H143" s="14">
        <v>7.5</v>
      </c>
      <c r="I143" s="14">
        <v>60</v>
      </c>
      <c r="J143" s="29"/>
      <c r="K143" s="54"/>
      <c r="L143" s="103"/>
      <c r="M143" s="103"/>
      <c r="N143" s="103"/>
      <c r="O143" s="103"/>
      <c r="P143" s="103"/>
      <c r="Q143" s="103"/>
      <c r="R143" s="103"/>
      <c r="S143" s="103"/>
      <c r="T143" s="103"/>
      <c r="U143" s="103"/>
      <c r="V143" s="103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  <c r="AL143" s="103"/>
      <c r="AM143" s="103"/>
      <c r="AN143" s="103"/>
      <c r="AO143" s="103"/>
      <c r="AP143" s="103"/>
      <c r="AQ143" s="103"/>
      <c r="AR143" s="103"/>
      <c r="AS143" s="103"/>
      <c r="AT143" s="103"/>
      <c r="AU143" s="103"/>
      <c r="AV143" s="103"/>
      <c r="AW143" s="103"/>
      <c r="AX143" s="103"/>
      <c r="AY143" s="103"/>
      <c r="AZ143" s="103"/>
      <c r="BA143" s="103"/>
      <c r="BB143" s="103"/>
      <c r="BC143" s="103"/>
      <c r="BD143" s="103"/>
      <c r="BE143" s="103"/>
      <c r="BF143" s="103"/>
      <c r="BG143" s="103"/>
      <c r="BH143" s="103"/>
      <c r="BI143" s="103"/>
      <c r="BJ143" s="103"/>
      <c r="BK143" s="103"/>
      <c r="BL143" s="103"/>
      <c r="BM143" s="103"/>
      <c r="BN143" s="103"/>
      <c r="BO143" s="103"/>
    </row>
    <row r="144" spans="1:67" s="55" customFormat="1" ht="16.149999999999999" customHeight="1" x14ac:dyDescent="0.25">
      <c r="A144" s="139" t="str">
        <f t="shared" si="27"/>
        <v>6495</v>
      </c>
      <c r="B144" s="99" t="s">
        <v>95</v>
      </c>
      <c r="C144" s="50" t="s">
        <v>20</v>
      </c>
      <c r="D144" s="51">
        <v>1001092436495</v>
      </c>
      <c r="E144" s="24"/>
      <c r="F144" s="140">
        <v>0.3</v>
      </c>
      <c r="G144" s="23">
        <f>E144*F144</f>
        <v>0</v>
      </c>
      <c r="H144" s="29">
        <v>1.8</v>
      </c>
      <c r="I144" s="29">
        <v>45</v>
      </c>
      <c r="J144" s="29"/>
      <c r="K144" s="54"/>
      <c r="L144" s="103"/>
      <c r="M144" s="103"/>
      <c r="N144" s="103"/>
      <c r="O144" s="103"/>
      <c r="P144" s="103"/>
      <c r="Q144" s="103"/>
      <c r="R144" s="103"/>
      <c r="S144" s="103"/>
      <c r="T144" s="103"/>
      <c r="U144" s="103"/>
      <c r="V144" s="103"/>
      <c r="W144" s="103"/>
      <c r="X144" s="103"/>
      <c r="Y144" s="103"/>
      <c r="Z144" s="103"/>
      <c r="AA144" s="103"/>
      <c r="AB144" s="103"/>
      <c r="AC144" s="103"/>
      <c r="AD144" s="103"/>
      <c r="AE144" s="103"/>
      <c r="AF144" s="103"/>
      <c r="AG144" s="103"/>
      <c r="AH144" s="103"/>
      <c r="AI144" s="103"/>
      <c r="AJ144" s="103"/>
      <c r="AK144" s="103"/>
      <c r="AL144" s="103"/>
      <c r="AM144" s="103"/>
      <c r="AN144" s="103"/>
      <c r="AO144" s="103"/>
      <c r="AP144" s="103"/>
      <c r="AQ144" s="103"/>
      <c r="AR144" s="103"/>
      <c r="AS144" s="103"/>
      <c r="AT144" s="103"/>
      <c r="AU144" s="103"/>
      <c r="AV144" s="103"/>
      <c r="AW144" s="103"/>
      <c r="AX144" s="103"/>
      <c r="AY144" s="103"/>
      <c r="AZ144" s="103"/>
      <c r="BA144" s="103"/>
      <c r="BB144" s="103"/>
      <c r="BC144" s="103"/>
      <c r="BD144" s="103"/>
      <c r="BE144" s="103"/>
      <c r="BF144" s="103"/>
      <c r="BG144" s="103"/>
      <c r="BH144" s="103"/>
      <c r="BI144" s="103"/>
      <c r="BJ144" s="103"/>
      <c r="BK144" s="103"/>
      <c r="BL144" s="103"/>
      <c r="BM144" s="103"/>
      <c r="BN144" s="103"/>
      <c r="BO144" s="103"/>
    </row>
    <row r="145" spans="1:67" s="55" customFormat="1" ht="16.149999999999999" customHeight="1" x14ac:dyDescent="0.25">
      <c r="A145" s="139" t="str">
        <f t="shared" si="27"/>
        <v>6470</v>
      </c>
      <c r="B145" s="147" t="s">
        <v>116</v>
      </c>
      <c r="C145" s="50" t="s">
        <v>22</v>
      </c>
      <c r="D145" s="51">
        <v>1001092436470</v>
      </c>
      <c r="E145" s="24"/>
      <c r="F145" s="140">
        <v>1.2</v>
      </c>
      <c r="G145" s="23">
        <f t="shared" ref="G145:G146" si="28">E145</f>
        <v>0</v>
      </c>
      <c r="H145" s="29">
        <v>4.8</v>
      </c>
      <c r="I145" s="29">
        <v>45</v>
      </c>
      <c r="J145" s="29"/>
      <c r="K145" s="54"/>
      <c r="L145" s="103"/>
      <c r="M145" s="103"/>
      <c r="N145" s="103"/>
      <c r="O145" s="103"/>
      <c r="P145" s="103"/>
      <c r="Q145" s="103"/>
      <c r="R145" s="103"/>
      <c r="S145" s="103"/>
      <c r="T145" s="103"/>
      <c r="U145" s="103"/>
      <c r="V145" s="103"/>
      <c r="W145" s="103"/>
      <c r="X145" s="103"/>
      <c r="Y145" s="103"/>
      <c r="Z145" s="103"/>
      <c r="AA145" s="103"/>
      <c r="AB145" s="103"/>
      <c r="AC145" s="103"/>
      <c r="AD145" s="103"/>
      <c r="AE145" s="103"/>
      <c r="AF145" s="103"/>
      <c r="AG145" s="103"/>
      <c r="AH145" s="103"/>
      <c r="AI145" s="103"/>
      <c r="AJ145" s="103"/>
      <c r="AK145" s="103"/>
      <c r="AL145" s="103"/>
      <c r="AM145" s="103"/>
      <c r="AN145" s="103"/>
      <c r="AO145" s="103"/>
      <c r="AP145" s="103"/>
      <c r="AQ145" s="103"/>
      <c r="AR145" s="103"/>
      <c r="AS145" s="103"/>
      <c r="AT145" s="103"/>
      <c r="AU145" s="103"/>
      <c r="AV145" s="103"/>
      <c r="AW145" s="103"/>
      <c r="AX145" s="103"/>
      <c r="AY145" s="103"/>
      <c r="AZ145" s="103"/>
      <c r="BA145" s="103"/>
      <c r="BB145" s="103"/>
      <c r="BC145" s="103"/>
      <c r="BD145" s="103"/>
      <c r="BE145" s="103"/>
      <c r="BF145" s="103"/>
      <c r="BG145" s="103"/>
      <c r="BH145" s="103"/>
      <c r="BI145" s="103"/>
      <c r="BJ145" s="103"/>
      <c r="BK145" s="103"/>
      <c r="BL145" s="103"/>
      <c r="BM145" s="103"/>
      <c r="BN145" s="103"/>
      <c r="BO145" s="103"/>
    </row>
    <row r="146" spans="1:67" s="55" customFormat="1" ht="16.149999999999999" customHeight="1" x14ac:dyDescent="0.25">
      <c r="A146" s="139" t="str">
        <f t="shared" si="27"/>
        <v>5452</v>
      </c>
      <c r="B146" s="147" t="s">
        <v>93</v>
      </c>
      <c r="C146" s="50" t="s">
        <v>22</v>
      </c>
      <c r="D146" s="51">
        <v>1001092485452</v>
      </c>
      <c r="E146" s="24"/>
      <c r="F146" s="140">
        <v>1.35</v>
      </c>
      <c r="G146" s="23">
        <f t="shared" si="28"/>
        <v>0</v>
      </c>
      <c r="H146" s="29">
        <v>4.05</v>
      </c>
      <c r="I146" s="29">
        <v>60</v>
      </c>
      <c r="J146" s="29"/>
      <c r="K146" s="54"/>
      <c r="L146" s="103"/>
      <c r="M146" s="103"/>
      <c r="N146" s="103"/>
      <c r="O146" s="103"/>
      <c r="P146" s="103"/>
      <c r="Q146" s="103"/>
      <c r="R146" s="103"/>
      <c r="S146" s="103"/>
      <c r="T146" s="103"/>
      <c r="U146" s="103"/>
      <c r="V146" s="103"/>
      <c r="W146" s="103"/>
      <c r="X146" s="103"/>
      <c r="Y146" s="103"/>
      <c r="Z146" s="103"/>
      <c r="AA146" s="103"/>
      <c r="AB146" s="103"/>
      <c r="AC146" s="103"/>
      <c r="AD146" s="103"/>
      <c r="AE146" s="103"/>
      <c r="AF146" s="103"/>
      <c r="AG146" s="103"/>
      <c r="AH146" s="103"/>
      <c r="AI146" s="103"/>
      <c r="AJ146" s="103"/>
      <c r="AK146" s="103"/>
      <c r="AL146" s="103"/>
      <c r="AM146" s="103"/>
      <c r="AN146" s="103"/>
      <c r="AO146" s="103"/>
      <c r="AP146" s="103"/>
      <c r="AQ146" s="103"/>
      <c r="AR146" s="103"/>
      <c r="AS146" s="103"/>
      <c r="AT146" s="103"/>
      <c r="AU146" s="103"/>
      <c r="AV146" s="103"/>
      <c r="AW146" s="103"/>
      <c r="AX146" s="103"/>
      <c r="AY146" s="103"/>
      <c r="AZ146" s="103"/>
      <c r="BA146" s="103"/>
      <c r="BB146" s="103"/>
      <c r="BC146" s="103"/>
      <c r="BD146" s="103"/>
      <c r="BE146" s="103"/>
      <c r="BF146" s="103"/>
      <c r="BG146" s="103"/>
      <c r="BH146" s="103"/>
      <c r="BI146" s="103"/>
      <c r="BJ146" s="103"/>
      <c r="BK146" s="103"/>
      <c r="BL146" s="103"/>
      <c r="BM146" s="103"/>
      <c r="BN146" s="103"/>
      <c r="BO146" s="103"/>
    </row>
    <row r="147" spans="1:67" s="55" customFormat="1" ht="16.5" customHeight="1" x14ac:dyDescent="0.25">
      <c r="A147" s="139" t="str">
        <f t="shared" si="27"/>
        <v>3215</v>
      </c>
      <c r="B147" s="147" t="s">
        <v>218</v>
      </c>
      <c r="C147" s="50" t="s">
        <v>20</v>
      </c>
      <c r="D147" s="51">
        <v>1001094053215</v>
      </c>
      <c r="E147" s="24"/>
      <c r="F147" s="140">
        <v>0.4</v>
      </c>
      <c r="G147" s="23">
        <f>E147*F147</f>
        <v>0</v>
      </c>
      <c r="H147" s="29">
        <v>3.2</v>
      </c>
      <c r="I147" s="29">
        <v>60</v>
      </c>
      <c r="J147" s="29"/>
      <c r="K147" s="54"/>
      <c r="L147" s="103"/>
      <c r="M147" s="103"/>
      <c r="N147" s="103"/>
      <c r="O147" s="103"/>
      <c r="P147" s="103"/>
      <c r="Q147" s="103"/>
      <c r="R147" s="103"/>
      <c r="S147" s="103"/>
      <c r="T147" s="103"/>
      <c r="U147" s="103"/>
      <c r="V147" s="103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3"/>
      <c r="AK147" s="103"/>
      <c r="AL147" s="103"/>
      <c r="AM147" s="103"/>
      <c r="AN147" s="103"/>
      <c r="AO147" s="103"/>
      <c r="AP147" s="103"/>
      <c r="AQ147" s="103"/>
      <c r="AR147" s="103"/>
      <c r="AS147" s="103"/>
      <c r="AT147" s="103"/>
      <c r="AU147" s="103"/>
      <c r="AV147" s="103"/>
      <c r="AW147" s="103"/>
      <c r="AX147" s="103"/>
      <c r="AY147" s="103"/>
      <c r="AZ147" s="103"/>
      <c r="BA147" s="103"/>
      <c r="BB147" s="103"/>
      <c r="BC147" s="103"/>
      <c r="BD147" s="103"/>
      <c r="BE147" s="103"/>
      <c r="BF147" s="103"/>
      <c r="BG147" s="103"/>
      <c r="BH147" s="103"/>
      <c r="BI147" s="103"/>
      <c r="BJ147" s="103"/>
      <c r="BK147" s="103"/>
      <c r="BL147" s="103"/>
      <c r="BM147" s="103"/>
      <c r="BN147" s="103"/>
      <c r="BO147" s="103"/>
    </row>
    <row r="148" spans="1:67" s="55" customFormat="1" ht="16.5" customHeight="1" x14ac:dyDescent="0.25">
      <c r="A148" s="139" t="str">
        <f t="shared" si="27"/>
        <v>6866</v>
      </c>
      <c r="B148" s="147" t="s">
        <v>92</v>
      </c>
      <c r="C148" s="50" t="s">
        <v>22</v>
      </c>
      <c r="D148" s="51">
        <v>1001095716866</v>
      </c>
      <c r="E148" s="24"/>
      <c r="F148" s="140">
        <v>1.5</v>
      </c>
      <c r="G148" s="23">
        <f>E148</f>
        <v>0</v>
      </c>
      <c r="H148" s="29">
        <v>6</v>
      </c>
      <c r="I148" s="29">
        <v>60</v>
      </c>
      <c r="J148" s="29"/>
      <c r="K148" s="54"/>
      <c r="L148" s="103"/>
      <c r="M148" s="103"/>
      <c r="N148" s="103"/>
      <c r="O148" s="103"/>
      <c r="P148" s="103"/>
      <c r="Q148" s="103"/>
      <c r="R148" s="103"/>
      <c r="S148" s="103"/>
      <c r="T148" s="103"/>
      <c r="U148" s="103"/>
      <c r="V148" s="103"/>
      <c r="W148" s="103"/>
      <c r="X148" s="103"/>
      <c r="Y148" s="103"/>
      <c r="Z148" s="103"/>
      <c r="AA148" s="103"/>
      <c r="AB148" s="103"/>
      <c r="AC148" s="103"/>
      <c r="AD148" s="103"/>
      <c r="AE148" s="103"/>
      <c r="AF148" s="103"/>
      <c r="AG148" s="103"/>
      <c r="AH148" s="103"/>
      <c r="AI148" s="103"/>
      <c r="AJ148" s="103"/>
      <c r="AK148" s="103"/>
      <c r="AL148" s="103"/>
      <c r="AM148" s="103"/>
      <c r="AN148" s="103"/>
      <c r="AO148" s="103"/>
      <c r="AP148" s="103"/>
      <c r="AQ148" s="103"/>
      <c r="AR148" s="103"/>
      <c r="AS148" s="103"/>
      <c r="AT148" s="103"/>
      <c r="AU148" s="103"/>
      <c r="AV148" s="103"/>
      <c r="AW148" s="103"/>
      <c r="AX148" s="103"/>
      <c r="AY148" s="103"/>
      <c r="AZ148" s="103"/>
      <c r="BA148" s="103"/>
      <c r="BB148" s="103"/>
      <c r="BC148" s="103"/>
      <c r="BD148" s="103"/>
      <c r="BE148" s="103"/>
      <c r="BF148" s="103"/>
      <c r="BG148" s="103"/>
      <c r="BH148" s="103"/>
      <c r="BI148" s="103"/>
      <c r="BJ148" s="103"/>
      <c r="BK148" s="103"/>
      <c r="BL148" s="103"/>
      <c r="BM148" s="103"/>
      <c r="BN148" s="103"/>
      <c r="BO148" s="103"/>
    </row>
    <row r="149" spans="1:67" s="55" customFormat="1" ht="16.5" customHeight="1" x14ac:dyDescent="0.25">
      <c r="A149" s="139" t="str">
        <f t="shared" si="27"/>
        <v>5495</v>
      </c>
      <c r="B149" s="53" t="s">
        <v>94</v>
      </c>
      <c r="C149" s="50" t="s">
        <v>20</v>
      </c>
      <c r="D149" s="148">
        <v>1001093345495</v>
      </c>
      <c r="E149" s="24"/>
      <c r="F149" s="140">
        <v>0.4</v>
      </c>
      <c r="G149" s="23">
        <f t="shared" ref="G149:G152" si="29">E149*F149</f>
        <v>0</v>
      </c>
      <c r="H149" s="29">
        <v>2.4</v>
      </c>
      <c r="I149" s="29">
        <v>60</v>
      </c>
      <c r="J149" s="29"/>
      <c r="K149" s="54"/>
      <c r="L149" s="103"/>
      <c r="M149" s="103"/>
      <c r="N149" s="103"/>
      <c r="O149" s="103"/>
      <c r="P149" s="103"/>
      <c r="Q149" s="103"/>
      <c r="R149" s="103"/>
      <c r="S149" s="103"/>
      <c r="T149" s="103"/>
      <c r="U149" s="103"/>
      <c r="V149" s="103"/>
      <c r="W149" s="103"/>
      <c r="X149" s="103"/>
      <c r="Y149" s="103"/>
      <c r="Z149" s="103"/>
      <c r="AA149" s="103"/>
      <c r="AB149" s="103"/>
      <c r="AC149" s="103"/>
      <c r="AD149" s="103"/>
      <c r="AE149" s="103"/>
      <c r="AF149" s="103"/>
      <c r="AG149" s="103"/>
      <c r="AH149" s="103"/>
      <c r="AI149" s="103"/>
      <c r="AJ149" s="103"/>
      <c r="AK149" s="103"/>
      <c r="AL149" s="103"/>
      <c r="AM149" s="103"/>
      <c r="AN149" s="103"/>
      <c r="AO149" s="103"/>
      <c r="AP149" s="103"/>
      <c r="AQ149" s="103"/>
      <c r="AR149" s="103"/>
      <c r="AS149" s="103"/>
      <c r="AT149" s="103"/>
      <c r="AU149" s="103"/>
      <c r="AV149" s="103"/>
      <c r="AW149" s="103"/>
      <c r="AX149" s="103"/>
      <c r="AY149" s="103"/>
      <c r="AZ149" s="103"/>
      <c r="BA149" s="103"/>
      <c r="BB149" s="103"/>
      <c r="BC149" s="103"/>
      <c r="BD149" s="103"/>
      <c r="BE149" s="103"/>
      <c r="BF149" s="103"/>
      <c r="BG149" s="103"/>
      <c r="BH149" s="103"/>
      <c r="BI149" s="103"/>
      <c r="BJ149" s="103"/>
      <c r="BK149" s="103"/>
      <c r="BL149" s="103"/>
      <c r="BM149" s="103"/>
      <c r="BN149" s="103"/>
      <c r="BO149" s="103"/>
    </row>
    <row r="150" spans="1:67" s="55" customFormat="1" ht="16.5" customHeight="1" x14ac:dyDescent="0.25">
      <c r="A150" s="139" t="str">
        <f t="shared" si="27"/>
        <v>7377</v>
      </c>
      <c r="B150" s="53" t="s">
        <v>117</v>
      </c>
      <c r="C150" s="50" t="s">
        <v>20</v>
      </c>
      <c r="D150" s="148">
        <v>1001095027377</v>
      </c>
      <c r="E150" s="24"/>
      <c r="F150" s="140">
        <v>0.3</v>
      </c>
      <c r="G150" s="23">
        <f t="shared" si="29"/>
        <v>0</v>
      </c>
      <c r="H150" s="29">
        <v>1.8</v>
      </c>
      <c r="I150" s="29">
        <v>45</v>
      </c>
      <c r="J150" s="29"/>
      <c r="K150" s="54"/>
      <c r="L150" s="103"/>
      <c r="M150" s="103"/>
      <c r="N150" s="103"/>
      <c r="O150" s="103"/>
      <c r="P150" s="103"/>
      <c r="Q150" s="103"/>
      <c r="R150" s="103"/>
      <c r="S150" s="103"/>
      <c r="T150" s="103"/>
      <c r="U150" s="103"/>
      <c r="V150" s="103"/>
      <c r="W150" s="103"/>
      <c r="X150" s="103"/>
      <c r="Y150" s="103"/>
      <c r="Z150" s="103"/>
      <c r="AA150" s="103"/>
      <c r="AB150" s="103"/>
      <c r="AC150" s="103"/>
      <c r="AD150" s="103"/>
      <c r="AE150" s="103"/>
      <c r="AF150" s="103"/>
      <c r="AG150" s="103"/>
      <c r="AH150" s="103"/>
      <c r="AI150" s="103"/>
      <c r="AJ150" s="103"/>
      <c r="AK150" s="103"/>
      <c r="AL150" s="103"/>
      <c r="AM150" s="103"/>
      <c r="AN150" s="103"/>
      <c r="AO150" s="103"/>
      <c r="AP150" s="103"/>
      <c r="AQ150" s="103"/>
      <c r="AR150" s="103"/>
      <c r="AS150" s="103"/>
      <c r="AT150" s="103"/>
      <c r="AU150" s="103"/>
      <c r="AV150" s="103"/>
      <c r="AW150" s="103"/>
      <c r="AX150" s="103"/>
      <c r="AY150" s="103"/>
      <c r="AZ150" s="103"/>
      <c r="BA150" s="103"/>
      <c r="BB150" s="103"/>
      <c r="BC150" s="103"/>
      <c r="BD150" s="103"/>
      <c r="BE150" s="103"/>
      <c r="BF150" s="103"/>
      <c r="BG150" s="103"/>
      <c r="BH150" s="103"/>
      <c r="BI150" s="103"/>
      <c r="BJ150" s="103"/>
      <c r="BK150" s="103"/>
      <c r="BL150" s="103"/>
      <c r="BM150" s="103"/>
      <c r="BN150" s="103"/>
      <c r="BO150" s="103"/>
    </row>
    <row r="151" spans="1:67" s="55" customFormat="1" ht="15.75" customHeight="1" x14ac:dyDescent="0.25">
      <c r="A151" s="139" t="str">
        <f t="shared" si="27"/>
        <v>6411</v>
      </c>
      <c r="B151" s="53" t="s">
        <v>217</v>
      </c>
      <c r="C151" s="50" t="s">
        <v>20</v>
      </c>
      <c r="D151" s="148">
        <v>1001093316411</v>
      </c>
      <c r="E151" s="24"/>
      <c r="F151" s="140">
        <v>0.3</v>
      </c>
      <c r="G151" s="23">
        <f t="shared" si="29"/>
        <v>0</v>
      </c>
      <c r="H151" s="29"/>
      <c r="I151" s="29"/>
      <c r="J151" s="29"/>
      <c r="K151" s="54"/>
      <c r="L151" s="103"/>
      <c r="M151" s="103"/>
      <c r="N151" s="103"/>
      <c r="O151" s="103"/>
      <c r="P151" s="103"/>
      <c r="Q151" s="103"/>
      <c r="R151" s="103"/>
      <c r="S151" s="103"/>
      <c r="T151" s="103"/>
      <c r="U151" s="103"/>
      <c r="V151" s="103"/>
      <c r="W151" s="103"/>
      <c r="X151" s="103"/>
      <c r="Y151" s="103"/>
      <c r="Z151" s="103"/>
      <c r="AA151" s="103"/>
      <c r="AB151" s="103"/>
      <c r="AC151" s="103"/>
      <c r="AD151" s="103"/>
      <c r="AE151" s="103"/>
      <c r="AF151" s="103"/>
      <c r="AG151" s="103"/>
      <c r="AH151" s="103"/>
      <c r="AI151" s="103"/>
      <c r="AJ151" s="103"/>
      <c r="AK151" s="103"/>
      <c r="AL151" s="103"/>
      <c r="AM151" s="103"/>
      <c r="AN151" s="103"/>
      <c r="AO151" s="103"/>
      <c r="AP151" s="103"/>
      <c r="AQ151" s="103"/>
      <c r="AR151" s="103"/>
      <c r="AS151" s="103"/>
      <c r="AT151" s="103"/>
      <c r="AU151" s="103"/>
      <c r="AV151" s="103"/>
      <c r="AW151" s="103"/>
      <c r="AX151" s="103"/>
      <c r="AY151" s="103"/>
      <c r="AZ151" s="103"/>
      <c r="BA151" s="103"/>
      <c r="BB151" s="103"/>
      <c r="BC151" s="103"/>
      <c r="BD151" s="103"/>
      <c r="BE151" s="103"/>
      <c r="BF151" s="103"/>
      <c r="BG151" s="103"/>
      <c r="BH151" s="103"/>
      <c r="BI151" s="103"/>
      <c r="BJ151" s="103"/>
      <c r="BK151" s="103"/>
      <c r="BL151" s="103"/>
      <c r="BM151" s="103"/>
      <c r="BN151" s="103"/>
      <c r="BO151" s="103"/>
    </row>
    <row r="152" spans="1:67" s="55" customFormat="1" ht="15.75" customHeight="1" x14ac:dyDescent="0.25">
      <c r="A152" s="139" t="str">
        <f t="shared" si="27"/>
        <v>6925</v>
      </c>
      <c r="B152" s="53" t="s">
        <v>103</v>
      </c>
      <c r="C152" s="50" t="s">
        <v>20</v>
      </c>
      <c r="D152" s="148">
        <v>1001095226925</v>
      </c>
      <c r="E152" s="24"/>
      <c r="F152" s="140">
        <v>0.6</v>
      </c>
      <c r="G152" s="23">
        <f t="shared" si="29"/>
        <v>0</v>
      </c>
      <c r="H152" s="29">
        <v>4.8</v>
      </c>
      <c r="I152" s="29">
        <v>45</v>
      </c>
      <c r="J152" s="29"/>
      <c r="K152" s="54"/>
      <c r="L152" s="103"/>
      <c r="M152" s="103"/>
      <c r="N152" s="103"/>
      <c r="O152" s="103"/>
      <c r="P152" s="103"/>
      <c r="Q152" s="103"/>
      <c r="R152" s="103"/>
      <c r="S152" s="103"/>
      <c r="T152" s="103"/>
      <c r="U152" s="103"/>
      <c r="V152" s="103"/>
      <c r="W152" s="103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  <c r="AL152" s="103"/>
      <c r="AM152" s="103"/>
      <c r="AN152" s="103"/>
      <c r="AO152" s="103"/>
      <c r="AP152" s="103"/>
      <c r="AQ152" s="103"/>
      <c r="AR152" s="103"/>
      <c r="AS152" s="103"/>
      <c r="AT152" s="103"/>
      <c r="AU152" s="103"/>
      <c r="AV152" s="103"/>
      <c r="AW152" s="103"/>
      <c r="AX152" s="103"/>
      <c r="AY152" s="103"/>
      <c r="AZ152" s="103"/>
      <c r="BA152" s="103"/>
      <c r="BB152" s="103"/>
      <c r="BC152" s="103"/>
      <c r="BD152" s="103"/>
      <c r="BE152" s="103"/>
      <c r="BF152" s="103"/>
      <c r="BG152" s="103"/>
      <c r="BH152" s="103"/>
      <c r="BI152" s="103"/>
      <c r="BJ152" s="103"/>
      <c r="BK152" s="103"/>
      <c r="BL152" s="103"/>
      <c r="BM152" s="103"/>
      <c r="BN152" s="103"/>
      <c r="BO152" s="103"/>
    </row>
    <row r="153" spans="1:67" s="55" customFormat="1" ht="15.75" customHeight="1" x14ac:dyDescent="0.25">
      <c r="A153" s="139" t="str">
        <f t="shared" si="27"/>
        <v>6025</v>
      </c>
      <c r="B153" s="53" t="s">
        <v>118</v>
      </c>
      <c r="C153" s="50" t="s">
        <v>22</v>
      </c>
      <c r="D153" s="148">
        <v>1001094966025</v>
      </c>
      <c r="E153" s="24"/>
      <c r="F153" s="140">
        <v>3</v>
      </c>
      <c r="G153" s="23">
        <f>E153</f>
        <v>0</v>
      </c>
      <c r="H153" s="29">
        <v>6</v>
      </c>
      <c r="I153" s="29">
        <v>60</v>
      </c>
      <c r="J153" s="29"/>
      <c r="K153" s="54"/>
      <c r="L153" s="103"/>
      <c r="M153" s="103"/>
      <c r="N153" s="103"/>
      <c r="O153" s="103"/>
      <c r="P153" s="103"/>
      <c r="Q153" s="103"/>
      <c r="R153" s="103"/>
      <c r="S153" s="103"/>
      <c r="T153" s="103"/>
      <c r="U153" s="103"/>
      <c r="V153" s="103"/>
      <c r="W153" s="103"/>
      <c r="X153" s="103"/>
      <c r="Y153" s="103"/>
      <c r="Z153" s="103"/>
      <c r="AA153" s="103"/>
      <c r="AB153" s="103"/>
      <c r="AC153" s="103"/>
      <c r="AD153" s="103"/>
      <c r="AE153" s="103"/>
      <c r="AF153" s="103"/>
      <c r="AG153" s="103"/>
      <c r="AH153" s="103"/>
      <c r="AI153" s="103"/>
      <c r="AJ153" s="103"/>
      <c r="AK153" s="103"/>
      <c r="AL153" s="103"/>
      <c r="AM153" s="103"/>
      <c r="AN153" s="103"/>
      <c r="AO153" s="103"/>
      <c r="AP153" s="103"/>
      <c r="AQ153" s="103"/>
      <c r="AR153" s="103"/>
      <c r="AS153" s="103"/>
      <c r="AT153" s="103"/>
      <c r="AU153" s="103"/>
      <c r="AV153" s="103"/>
      <c r="AW153" s="103"/>
      <c r="AX153" s="103"/>
      <c r="AY153" s="103"/>
      <c r="AZ153" s="103"/>
      <c r="BA153" s="103"/>
      <c r="BB153" s="103"/>
      <c r="BC153" s="103"/>
      <c r="BD153" s="103"/>
      <c r="BE153" s="103"/>
      <c r="BF153" s="103"/>
      <c r="BG153" s="103"/>
      <c r="BH153" s="103"/>
      <c r="BI153" s="103"/>
      <c r="BJ153" s="103"/>
      <c r="BK153" s="103"/>
      <c r="BL153" s="103"/>
      <c r="BM153" s="103"/>
      <c r="BN153" s="103"/>
      <c r="BO153" s="103"/>
    </row>
    <row r="154" spans="1:67" ht="16.5" customHeight="1" x14ac:dyDescent="0.25">
      <c r="A154" s="139" t="str">
        <f t="shared" si="27"/>
        <v>7485</v>
      </c>
      <c r="B154" s="53" t="s">
        <v>234</v>
      </c>
      <c r="C154" s="50" t="s">
        <v>20</v>
      </c>
      <c r="D154" s="148">
        <v>1001107397485</v>
      </c>
      <c r="E154" s="24"/>
      <c r="F154" s="140">
        <v>0.15</v>
      </c>
      <c r="G154" s="23">
        <f>F154*E154</f>
        <v>0</v>
      </c>
      <c r="H154" s="29"/>
      <c r="I154" s="29"/>
      <c r="J154" s="29"/>
      <c r="L154" s="103"/>
    </row>
    <row r="155" spans="1:67" ht="16.5" customHeight="1" x14ac:dyDescent="0.25">
      <c r="A155" s="139" t="str">
        <f t="shared" si="27"/>
        <v>7647</v>
      </c>
      <c r="B155" s="53" t="s">
        <v>196</v>
      </c>
      <c r="C155" s="50" t="s">
        <v>20</v>
      </c>
      <c r="D155" s="148">
        <v>1001097747647</v>
      </c>
      <c r="E155" s="24"/>
      <c r="F155" s="140">
        <v>0.1</v>
      </c>
      <c r="G155" s="23">
        <f>E155*F155</f>
        <v>0</v>
      </c>
      <c r="H155" s="29">
        <v>1</v>
      </c>
      <c r="I155" s="29">
        <v>30</v>
      </c>
      <c r="J155" s="126" t="s">
        <v>197</v>
      </c>
      <c r="L155" s="103"/>
    </row>
    <row r="156" spans="1:67" ht="16.5" customHeight="1" thickBot="1" x14ac:dyDescent="0.3">
      <c r="A156" s="139" t="str">
        <f t="shared" si="27"/>
        <v>7651</v>
      </c>
      <c r="B156" s="53" t="s">
        <v>198</v>
      </c>
      <c r="C156" s="50" t="s">
        <v>20</v>
      </c>
      <c r="D156" s="148">
        <v>1001097767651</v>
      </c>
      <c r="E156" s="24"/>
      <c r="F156" s="140">
        <v>0.1</v>
      </c>
      <c r="G156" s="23">
        <f>E156*F156</f>
        <v>0</v>
      </c>
      <c r="H156" s="29">
        <v>1</v>
      </c>
      <c r="I156" s="29">
        <v>30</v>
      </c>
      <c r="J156" s="126" t="s">
        <v>197</v>
      </c>
      <c r="L156" s="103"/>
    </row>
    <row r="157" spans="1:67" ht="16.5" customHeight="1" thickTop="1" thickBot="1" x14ac:dyDescent="0.3">
      <c r="A157" s="47" t="s">
        <v>104</v>
      </c>
      <c r="B157" s="42" t="s">
        <v>96</v>
      </c>
      <c r="C157" s="42"/>
      <c r="D157" s="42"/>
      <c r="E157" s="42"/>
      <c r="F157" s="41"/>
      <c r="G157" s="42"/>
      <c r="H157" s="42"/>
      <c r="I157" s="42"/>
      <c r="J157" s="43"/>
      <c r="L157" s="103"/>
    </row>
    <row r="158" spans="1:67" ht="16.5" customHeight="1" thickTop="1" x14ac:dyDescent="0.25">
      <c r="A158" s="139" t="str">
        <f t="shared" ref="A158:A169" si="30">RIGHT(D158,4)</f>
        <v>7090</v>
      </c>
      <c r="B158" s="35" t="s">
        <v>100</v>
      </c>
      <c r="C158" s="50" t="s">
        <v>20</v>
      </c>
      <c r="D158" s="51">
        <v>1001084217090</v>
      </c>
      <c r="E158" s="24"/>
      <c r="F158" s="23">
        <v>0.3</v>
      </c>
      <c r="G158" s="23">
        <f t="shared" ref="G158:G159" si="31">E158*F158</f>
        <v>0</v>
      </c>
      <c r="H158" s="14">
        <v>1.8</v>
      </c>
      <c r="I158" s="14">
        <v>50</v>
      </c>
      <c r="J158" s="29"/>
      <c r="L158" s="103"/>
    </row>
    <row r="159" spans="1:67" ht="16.5" customHeight="1" x14ac:dyDescent="0.25">
      <c r="A159" s="139" t="str">
        <f t="shared" si="30"/>
        <v>7187</v>
      </c>
      <c r="B159" s="35" t="s">
        <v>101</v>
      </c>
      <c r="C159" s="50" t="s">
        <v>20</v>
      </c>
      <c r="D159" s="51">
        <v>1001085637187</v>
      </c>
      <c r="E159" s="24"/>
      <c r="F159" s="23">
        <v>0.3</v>
      </c>
      <c r="G159" s="23">
        <f t="shared" si="31"/>
        <v>0</v>
      </c>
      <c r="H159" s="14">
        <v>1.8</v>
      </c>
      <c r="I159" s="14">
        <v>50</v>
      </c>
      <c r="J159" s="29"/>
      <c r="L159" s="103"/>
    </row>
    <row r="160" spans="1:67" ht="16.5" customHeight="1" x14ac:dyDescent="0.25">
      <c r="A160" s="139" t="str">
        <f t="shared" si="30"/>
        <v>6008</v>
      </c>
      <c r="B160" s="35" t="s">
        <v>199</v>
      </c>
      <c r="C160" s="50" t="s">
        <v>22</v>
      </c>
      <c r="D160" s="51">
        <v>1001084856008</v>
      </c>
      <c r="E160" s="24"/>
      <c r="F160" s="23">
        <v>0.3</v>
      </c>
      <c r="G160" s="23">
        <f>E160</f>
        <v>0</v>
      </c>
      <c r="H160" s="14">
        <v>1.8</v>
      </c>
      <c r="I160" s="14">
        <v>40</v>
      </c>
      <c r="J160" s="126" t="s">
        <v>197</v>
      </c>
      <c r="L160" s="103"/>
    </row>
    <row r="161" spans="1:12" ht="16.5" customHeight="1" x14ac:dyDescent="0.25">
      <c r="A161" s="139" t="str">
        <f t="shared" si="30"/>
        <v>6620</v>
      </c>
      <c r="B161" s="35" t="s">
        <v>97</v>
      </c>
      <c r="C161" s="50" t="s">
        <v>22</v>
      </c>
      <c r="D161" s="51">
        <v>1001081596620</v>
      </c>
      <c r="E161" s="24"/>
      <c r="F161" s="23">
        <v>1.05</v>
      </c>
      <c r="G161" s="23">
        <f>E161</f>
        <v>0</v>
      </c>
      <c r="H161" s="14">
        <v>3.15</v>
      </c>
      <c r="I161" s="14">
        <v>30</v>
      </c>
      <c r="J161" s="29"/>
      <c r="L161" s="103"/>
    </row>
    <row r="162" spans="1:12" ht="16.5" customHeight="1" x14ac:dyDescent="0.25">
      <c r="A162" s="139" t="str">
        <f t="shared" si="30"/>
        <v>7103</v>
      </c>
      <c r="B162" s="35" t="s">
        <v>219</v>
      </c>
      <c r="C162" s="50" t="s">
        <v>20</v>
      </c>
      <c r="D162" s="51">
        <v>1001223297103</v>
      </c>
      <c r="E162" s="24"/>
      <c r="F162" s="23">
        <v>0.18</v>
      </c>
      <c r="G162" s="23">
        <f t="shared" ref="G162:G169" si="32">E162*F162</f>
        <v>0</v>
      </c>
      <c r="H162" s="14">
        <v>1.8</v>
      </c>
      <c r="I162" s="14">
        <v>50</v>
      </c>
      <c r="J162" s="29"/>
      <c r="L162" s="103"/>
    </row>
    <row r="163" spans="1:12" ht="16.5" customHeight="1" x14ac:dyDescent="0.25">
      <c r="A163" s="139" t="str">
        <f t="shared" si="30"/>
        <v>7092</v>
      </c>
      <c r="B163" s="35" t="s">
        <v>78</v>
      </c>
      <c r="C163" s="50" t="s">
        <v>20</v>
      </c>
      <c r="D163" s="51">
        <v>1001223297092</v>
      </c>
      <c r="E163" s="24"/>
      <c r="F163" s="23">
        <v>0.14000000000000001</v>
      </c>
      <c r="G163" s="23">
        <f t="shared" si="32"/>
        <v>0</v>
      </c>
      <c r="H163" s="14">
        <v>1.4</v>
      </c>
      <c r="I163" s="14">
        <v>50</v>
      </c>
      <c r="J163" s="29"/>
      <c r="L163" s="103"/>
    </row>
    <row r="164" spans="1:12" ht="16.5" customHeight="1" x14ac:dyDescent="0.25">
      <c r="A164" s="139" t="str">
        <f t="shared" si="30"/>
        <v>6228</v>
      </c>
      <c r="B164" s="35" t="s">
        <v>89</v>
      </c>
      <c r="C164" s="50" t="s">
        <v>20</v>
      </c>
      <c r="D164" s="51">
        <v>1001225416228</v>
      </c>
      <c r="E164" s="24"/>
      <c r="F164" s="23">
        <v>0.09</v>
      </c>
      <c r="G164" s="23">
        <f t="shared" si="32"/>
        <v>0</v>
      </c>
      <c r="H164" s="14">
        <v>0.9</v>
      </c>
      <c r="I164" s="14">
        <v>45</v>
      </c>
      <c r="J164" s="29"/>
      <c r="L164" s="103"/>
    </row>
    <row r="165" spans="1:12" ht="16.5" customHeight="1" x14ac:dyDescent="0.25">
      <c r="A165" s="139" t="str">
        <f t="shared" si="30"/>
        <v>6448</v>
      </c>
      <c r="B165" s="35" t="s">
        <v>128</v>
      </c>
      <c r="C165" s="50" t="s">
        <v>20</v>
      </c>
      <c r="D165" s="51">
        <v>1001234146448</v>
      </c>
      <c r="E165" s="24"/>
      <c r="F165" s="23">
        <v>0.1</v>
      </c>
      <c r="G165" s="23">
        <f t="shared" si="32"/>
        <v>0</v>
      </c>
      <c r="H165" s="14">
        <v>1</v>
      </c>
      <c r="I165" s="14">
        <v>45</v>
      </c>
      <c r="J165" s="29"/>
      <c r="L165" s="103"/>
    </row>
    <row r="166" spans="1:12" ht="16.5" customHeight="1" x14ac:dyDescent="0.25">
      <c r="A166" s="139" t="str">
        <f t="shared" si="30"/>
        <v>6208</v>
      </c>
      <c r="B166" s="35" t="s">
        <v>99</v>
      </c>
      <c r="C166" s="50" t="s">
        <v>20</v>
      </c>
      <c r="D166" s="51">
        <v>1001220226208</v>
      </c>
      <c r="E166" s="24"/>
      <c r="F166" s="23">
        <v>0.15</v>
      </c>
      <c r="G166" s="23">
        <f t="shared" si="32"/>
        <v>0</v>
      </c>
      <c r="H166" s="14">
        <v>1.5</v>
      </c>
      <c r="I166" s="14">
        <v>45</v>
      </c>
      <c r="J166" s="29"/>
      <c r="L166" s="103"/>
    </row>
    <row r="167" spans="1:12" ht="16.5" customHeight="1" x14ac:dyDescent="0.25">
      <c r="A167" s="139" t="str">
        <f t="shared" si="30"/>
        <v>6754</v>
      </c>
      <c r="B167" s="35" t="s">
        <v>235</v>
      </c>
      <c r="C167" s="50" t="s">
        <v>20</v>
      </c>
      <c r="D167" s="51">
        <v>1001225406754</v>
      </c>
      <c r="E167" s="24"/>
      <c r="F167" s="23">
        <v>0.09</v>
      </c>
      <c r="G167" s="23">
        <f t="shared" si="32"/>
        <v>0</v>
      </c>
      <c r="H167" s="14">
        <v>0.72</v>
      </c>
      <c r="I167" s="14">
        <v>60</v>
      </c>
      <c r="J167" s="29"/>
    </row>
    <row r="168" spans="1:12" ht="15.75" customHeight="1" x14ac:dyDescent="0.25">
      <c r="A168" s="139" t="str">
        <f t="shared" si="30"/>
        <v>6279</v>
      </c>
      <c r="B168" s="35" t="s">
        <v>98</v>
      </c>
      <c r="C168" s="50" t="s">
        <v>20</v>
      </c>
      <c r="D168" s="51">
        <v>1001220286279</v>
      </c>
      <c r="E168" s="24"/>
      <c r="F168" s="23">
        <v>0.15</v>
      </c>
      <c r="G168" s="23">
        <f t="shared" si="32"/>
        <v>0</v>
      </c>
      <c r="H168" s="14">
        <v>1.2</v>
      </c>
      <c r="I168" s="14">
        <v>45</v>
      </c>
      <c r="J168" s="29"/>
    </row>
    <row r="169" spans="1:12" ht="15.75" thickBot="1" x14ac:dyDescent="0.3">
      <c r="A169" s="139" t="str">
        <f t="shared" si="30"/>
        <v>7612</v>
      </c>
      <c r="B169" s="35" t="s">
        <v>200</v>
      </c>
      <c r="C169" s="50" t="s">
        <v>20</v>
      </c>
      <c r="D169" s="51">
        <v>1001453907612</v>
      </c>
      <c r="E169" s="24"/>
      <c r="F169" s="23">
        <v>0.1</v>
      </c>
      <c r="G169" s="23">
        <f t="shared" si="32"/>
        <v>0</v>
      </c>
      <c r="H169" s="14">
        <v>1</v>
      </c>
      <c r="I169" s="14">
        <v>60</v>
      </c>
      <c r="J169" s="52" t="s">
        <v>201</v>
      </c>
    </row>
    <row r="170" spans="1:12" ht="16.5" thickTop="1" thickBot="1" x14ac:dyDescent="0.3">
      <c r="A170" s="48"/>
      <c r="B170" s="45" t="s">
        <v>102</v>
      </c>
      <c r="C170" s="16"/>
      <c r="D170" s="36"/>
      <c r="E170" s="17">
        <f>SUM(E10:E169)</f>
        <v>0</v>
      </c>
      <c r="F170" s="17"/>
      <c r="G170" s="17">
        <f>SUM(G11:G169)</f>
        <v>0</v>
      </c>
      <c r="H170" s="17"/>
      <c r="I170" s="17"/>
      <c r="J170" s="17"/>
    </row>
    <row r="171" spans="1:12" ht="15.75" thickTop="1" x14ac:dyDescent="0.25">
      <c r="B171" s="37"/>
      <c r="C171" s="18"/>
      <c r="D171" s="40"/>
      <c r="F171" s="19"/>
      <c r="G171" s="19"/>
      <c r="H171" s="20"/>
      <c r="I171" s="20"/>
      <c r="J171" s="21"/>
    </row>
    <row r="172" spans="1:12" x14ac:dyDescent="0.25">
      <c r="B172" s="37"/>
      <c r="C172" s="18"/>
      <c r="D172" s="40"/>
      <c r="F172" s="19"/>
      <c r="G172" s="19"/>
      <c r="H172" s="20"/>
      <c r="I172" s="20"/>
      <c r="J172" s="21"/>
    </row>
    <row r="173" spans="1:12" x14ac:dyDescent="0.25">
      <c r="B173" s="37"/>
      <c r="C173" s="18"/>
      <c r="D173" s="40"/>
      <c r="F173" s="19"/>
      <c r="G173" s="19"/>
      <c r="H173" s="20"/>
      <c r="I173" s="20"/>
      <c r="J173" s="21"/>
    </row>
    <row r="174" spans="1:12" x14ac:dyDescent="0.25">
      <c r="B174" s="37"/>
      <c r="C174" s="56"/>
      <c r="D174" s="57"/>
      <c r="E174" s="58"/>
      <c r="F174" s="59"/>
      <c r="G174" s="59"/>
      <c r="H174" s="60"/>
      <c r="I174" s="60"/>
      <c r="J174" s="21"/>
    </row>
    <row r="175" spans="1:12" x14ac:dyDescent="0.25">
      <c r="B175" s="37"/>
      <c r="C175" s="56"/>
      <c r="D175" s="57"/>
      <c r="E175" s="58"/>
      <c r="F175" s="59"/>
      <c r="G175" s="59"/>
      <c r="H175" s="60"/>
      <c r="I175" s="60"/>
      <c r="J175" s="21"/>
    </row>
    <row r="176" spans="1:12" x14ac:dyDescent="0.25">
      <c r="B176" s="37"/>
      <c r="C176" s="56"/>
      <c r="D176" s="61"/>
      <c r="E176" s="62"/>
      <c r="F176" s="61"/>
      <c r="G176" s="63"/>
      <c r="H176" s="64"/>
      <c r="I176" s="65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25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25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25">
      <c r="B1683" s="37"/>
      <c r="C1683" s="18"/>
      <c r="D1683" s="40"/>
      <c r="F1683" s="19"/>
      <c r="G1683" s="19"/>
      <c r="H1683" s="20"/>
      <c r="I1683" s="20"/>
      <c r="J1683" s="21"/>
    </row>
    <row r="1684" spans="2:10" x14ac:dyDescent="0.25">
      <c r="B1684" s="37"/>
      <c r="C1684" s="18"/>
      <c r="D1684" s="40"/>
      <c r="F1684" s="19"/>
      <c r="G1684" s="19"/>
      <c r="H1684" s="20"/>
      <c r="I1684" s="20"/>
      <c r="J1684" s="21"/>
    </row>
    <row r="1685" spans="2:10" x14ac:dyDescent="0.25">
      <c r="B1685" s="37"/>
      <c r="C1685" s="18"/>
      <c r="D1685" s="40"/>
      <c r="F1685" s="19"/>
      <c r="G1685" s="19"/>
      <c r="H1685" s="20"/>
      <c r="I1685" s="20"/>
      <c r="J1685" s="21"/>
    </row>
    <row r="1686" spans="2:10" x14ac:dyDescent="0.25">
      <c r="B1686" s="37"/>
      <c r="C1686" s="18"/>
      <c r="D1686" s="40"/>
      <c r="F1686" s="19"/>
      <c r="G1686" s="19"/>
      <c r="H1686" s="20"/>
      <c r="I1686" s="20"/>
      <c r="J1686" s="21"/>
    </row>
    <row r="1687" spans="2:10" x14ac:dyDescent="0.25">
      <c r="B1687" s="37"/>
      <c r="C1687" s="18"/>
      <c r="D1687" s="40"/>
      <c r="F1687" s="19"/>
      <c r="G1687" s="19"/>
      <c r="H1687" s="20"/>
      <c r="I1687" s="20"/>
      <c r="J1687" s="21"/>
    </row>
    <row r="1688" spans="2:10" x14ac:dyDescent="0.25">
      <c r="B1688" s="37"/>
      <c r="C1688" s="18"/>
      <c r="D1688" s="40"/>
      <c r="F1688" s="19"/>
      <c r="G1688" s="19"/>
      <c r="H1688" s="20"/>
      <c r="I1688" s="20"/>
      <c r="J1688" s="21"/>
    </row>
    <row r="1689" spans="2:10" x14ac:dyDescent="0.25">
      <c r="B1689" s="37"/>
      <c r="C1689" s="18"/>
      <c r="D1689" s="40"/>
      <c r="F1689" s="19"/>
      <c r="G1689" s="19"/>
      <c r="H1689" s="20"/>
      <c r="I1689" s="20"/>
      <c r="J1689" s="21"/>
    </row>
    <row r="1690" spans="2:10" x14ac:dyDescent="0.25">
      <c r="B1690" s="37"/>
      <c r="C1690" s="18"/>
      <c r="D1690" s="40"/>
      <c r="F1690" s="19"/>
      <c r="G1690" s="19"/>
      <c r="H1690" s="20"/>
      <c r="I1690" s="20"/>
      <c r="J1690" s="21"/>
    </row>
    <row r="1691" spans="2:10" x14ac:dyDescent="0.25">
      <c r="B1691" s="37"/>
      <c r="C1691" s="18"/>
      <c r="D1691" s="40"/>
      <c r="F1691" s="19"/>
      <c r="G1691" s="19"/>
      <c r="H1691" s="20"/>
      <c r="I1691" s="20"/>
      <c r="J1691" s="21"/>
    </row>
  </sheetData>
  <autoFilter ref="A9:J167" xr:uid="{00000000-0009-0000-0000-000000000000}"/>
  <mergeCells count="2">
    <mergeCell ref="E1:J1"/>
    <mergeCell ref="G3:J3"/>
  </mergeCells>
  <conditionalFormatting sqref="D176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7"/>
    <cfRule type="duplicateValues" dxfId="378" priority="8"/>
    <cfRule type="duplicateValues" dxfId="377" priority="9"/>
    <cfRule type="duplicateValues" dxfId="376" priority="10"/>
    <cfRule type="duplicateValues" dxfId="375" priority="11"/>
  </conditionalFormatting>
  <conditionalFormatting sqref="D176">
    <cfRule type="duplicateValues" dxfId="374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topLeftCell="A19" zoomScale="40" zoomScaleNormal="40" workbookViewId="0">
      <selection activeCell="C42" sqref="C42:C49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86">
        <v>4561</v>
      </c>
      <c r="C2" s="72">
        <v>1001010014561</v>
      </c>
      <c r="D2" s="70" t="s">
        <v>111</v>
      </c>
      <c r="E2" s="74"/>
      <c r="F2" s="77" t="s">
        <v>22</v>
      </c>
      <c r="G2" s="78">
        <v>1</v>
      </c>
    </row>
    <row r="3" spans="2:7" ht="21" x14ac:dyDescent="0.25">
      <c r="B3" s="66">
        <v>7536</v>
      </c>
      <c r="C3" s="73">
        <v>1001010017536</v>
      </c>
      <c r="D3" s="75" t="s">
        <v>107</v>
      </c>
      <c r="E3" s="79" t="s">
        <v>115</v>
      </c>
      <c r="F3" s="80" t="s">
        <v>22</v>
      </c>
      <c r="G3" s="81">
        <v>1</v>
      </c>
    </row>
    <row r="4" spans="2:7" ht="21" x14ac:dyDescent="0.25">
      <c r="B4" s="86">
        <v>5851</v>
      </c>
      <c r="C4" s="73">
        <v>1001012505851</v>
      </c>
      <c r="D4" s="74" t="s">
        <v>110</v>
      </c>
      <c r="E4" s="74"/>
      <c r="F4" s="77" t="s">
        <v>22</v>
      </c>
      <c r="G4" s="78">
        <v>1</v>
      </c>
    </row>
    <row r="5" spans="2:7" ht="21" x14ac:dyDescent="0.25">
      <c r="B5" s="86">
        <v>4813</v>
      </c>
      <c r="C5" s="73">
        <v>1001012564813</v>
      </c>
      <c r="D5" s="74" t="s">
        <v>29</v>
      </c>
      <c r="E5" s="74"/>
      <c r="F5" s="77" t="s">
        <v>22</v>
      </c>
      <c r="G5" s="78">
        <v>1</v>
      </c>
    </row>
    <row r="6" spans="2:7" ht="21" x14ac:dyDescent="0.25">
      <c r="B6" s="86">
        <v>4574</v>
      </c>
      <c r="C6" s="73">
        <v>1001012634574</v>
      </c>
      <c r="D6" s="74" t="s">
        <v>24</v>
      </c>
      <c r="E6" s="74"/>
      <c r="F6" s="77" t="s">
        <v>22</v>
      </c>
      <c r="G6" s="78">
        <v>1</v>
      </c>
    </row>
    <row r="7" spans="2:7" ht="21" x14ac:dyDescent="0.25">
      <c r="B7" s="86">
        <v>4063</v>
      </c>
      <c r="C7" s="73">
        <v>1001012484063</v>
      </c>
      <c r="D7" s="74" t="s">
        <v>21</v>
      </c>
      <c r="E7" s="74"/>
      <c r="F7" s="77" t="s">
        <v>22</v>
      </c>
      <c r="G7" s="78">
        <v>1</v>
      </c>
    </row>
    <row r="8" spans="2:7" ht="21" x14ac:dyDescent="0.25">
      <c r="B8" s="86">
        <v>6220</v>
      </c>
      <c r="C8" s="69">
        <v>1001012426220</v>
      </c>
      <c r="D8" s="70" t="s">
        <v>35</v>
      </c>
      <c r="E8" s="74"/>
      <c r="F8" s="77" t="s">
        <v>22</v>
      </c>
      <c r="G8" s="78">
        <v>1</v>
      </c>
    </row>
    <row r="9" spans="2:7" ht="21" x14ac:dyDescent="0.25">
      <c r="B9" s="86">
        <v>6498</v>
      </c>
      <c r="C9" s="72">
        <v>1001012456498</v>
      </c>
      <c r="D9" s="70" t="s">
        <v>34</v>
      </c>
      <c r="E9" s="74"/>
      <c r="F9" s="77" t="s">
        <v>22</v>
      </c>
      <c r="G9" s="78">
        <v>1</v>
      </c>
    </row>
    <row r="10" spans="2:7" ht="21" x14ac:dyDescent="0.25">
      <c r="B10" s="86">
        <v>6861</v>
      </c>
      <c r="C10" s="73">
        <v>1001015646861</v>
      </c>
      <c r="D10" s="74" t="s">
        <v>25</v>
      </c>
      <c r="E10" s="89"/>
      <c r="F10" s="77" t="s">
        <v>22</v>
      </c>
      <c r="G10" s="78">
        <v>1</v>
      </c>
    </row>
    <row r="11" spans="2:7" ht="21" x14ac:dyDescent="0.25">
      <c r="B11" s="86">
        <v>6862</v>
      </c>
      <c r="C11" s="73">
        <v>1001015706862</v>
      </c>
      <c r="D11" s="74" t="s">
        <v>28</v>
      </c>
      <c r="E11" s="74"/>
      <c r="F11" s="77" t="s">
        <v>22</v>
      </c>
      <c r="G11" s="78">
        <v>1</v>
      </c>
    </row>
    <row r="12" spans="2:7" ht="21" x14ac:dyDescent="0.25">
      <c r="B12" s="71">
        <v>7539</v>
      </c>
      <c r="C12" s="72">
        <v>1001010017539</v>
      </c>
      <c r="D12" s="68" t="s">
        <v>106</v>
      </c>
      <c r="E12" s="79" t="s">
        <v>115</v>
      </c>
      <c r="F12" s="80" t="s">
        <v>20</v>
      </c>
      <c r="G12" s="81">
        <v>0.35</v>
      </c>
    </row>
    <row r="13" spans="2:7" ht="21" x14ac:dyDescent="0.25">
      <c r="B13" s="66">
        <v>7334</v>
      </c>
      <c r="C13" s="72">
        <v>1001012637334</v>
      </c>
      <c r="D13" s="70" t="s">
        <v>108</v>
      </c>
      <c r="E13" s="67"/>
      <c r="F13" s="80" t="s">
        <v>20</v>
      </c>
      <c r="G13" s="81">
        <v>0.4</v>
      </c>
    </row>
    <row r="14" spans="2:7" ht="21" x14ac:dyDescent="0.25">
      <c r="B14" s="66">
        <v>6325</v>
      </c>
      <c r="C14" s="105">
        <v>1001010106325</v>
      </c>
      <c r="D14" s="70" t="s">
        <v>32</v>
      </c>
      <c r="E14" s="67"/>
      <c r="F14" s="80" t="s">
        <v>20</v>
      </c>
      <c r="G14" s="81">
        <v>0.4</v>
      </c>
    </row>
    <row r="15" spans="2:7" ht="21" x14ac:dyDescent="0.25">
      <c r="B15" s="71">
        <v>7303</v>
      </c>
      <c r="C15" s="72">
        <v>1001010857303</v>
      </c>
      <c r="D15" s="70" t="s">
        <v>112</v>
      </c>
      <c r="E15" s="70"/>
      <c r="F15" s="80" t="s">
        <v>22</v>
      </c>
      <c r="G15" s="81">
        <v>1</v>
      </c>
    </row>
    <row r="16" spans="2:7" ht="21" x14ac:dyDescent="0.25">
      <c r="B16" s="71">
        <v>8014</v>
      </c>
      <c r="C16" s="72">
        <v>1001010108014</v>
      </c>
      <c r="D16" s="70" t="s">
        <v>113</v>
      </c>
      <c r="E16" s="70"/>
      <c r="F16" s="80" t="s">
        <v>22</v>
      </c>
      <c r="G16" s="81">
        <v>1</v>
      </c>
    </row>
    <row r="17" spans="2:7" ht="21" x14ac:dyDescent="0.25">
      <c r="B17" s="66">
        <v>6353</v>
      </c>
      <c r="C17" s="105">
        <v>1001012506353</v>
      </c>
      <c r="D17" s="70" t="s">
        <v>30</v>
      </c>
      <c r="E17" s="67"/>
      <c r="F17" s="80" t="s">
        <v>20</v>
      </c>
      <c r="G17" s="81">
        <v>0.4</v>
      </c>
    </row>
    <row r="18" spans="2:7" ht="21" x14ac:dyDescent="0.25">
      <c r="B18" s="66">
        <v>7523</v>
      </c>
      <c r="C18" s="69">
        <v>1001012427523</v>
      </c>
      <c r="D18" s="68" t="s">
        <v>105</v>
      </c>
      <c r="E18" s="79" t="s">
        <v>115</v>
      </c>
      <c r="F18" s="77" t="s">
        <v>20</v>
      </c>
      <c r="G18" s="78">
        <v>0.4</v>
      </c>
    </row>
    <row r="19" spans="2:7" ht="21" x14ac:dyDescent="0.25">
      <c r="B19" s="86">
        <v>6340</v>
      </c>
      <c r="C19" s="72">
        <v>1001012816340</v>
      </c>
      <c r="D19" s="70" t="s">
        <v>26</v>
      </c>
      <c r="E19" s="74"/>
      <c r="F19" s="77" t="s">
        <v>20</v>
      </c>
      <c r="G19" s="78">
        <v>0.5</v>
      </c>
    </row>
    <row r="20" spans="2:7" ht="21" x14ac:dyDescent="0.25">
      <c r="B20" s="86">
        <v>6341</v>
      </c>
      <c r="C20" s="72">
        <v>1001012816341</v>
      </c>
      <c r="D20" s="70" t="s">
        <v>27</v>
      </c>
      <c r="E20" s="74"/>
      <c r="F20" s="77" t="s">
        <v>20</v>
      </c>
      <c r="G20" s="78">
        <v>0.5</v>
      </c>
    </row>
    <row r="21" spans="2:7" ht="21" x14ac:dyDescent="0.25">
      <c r="B21" s="66">
        <v>6333</v>
      </c>
      <c r="C21" s="105">
        <v>1001012486333</v>
      </c>
      <c r="D21" s="70" t="s">
        <v>23</v>
      </c>
      <c r="E21" s="67"/>
      <c r="F21" s="80" t="s">
        <v>20</v>
      </c>
      <c r="G21" s="81">
        <v>0.4</v>
      </c>
    </row>
    <row r="22" spans="2:7" ht="21" x14ac:dyDescent="0.25">
      <c r="B22" s="66">
        <v>6392</v>
      </c>
      <c r="C22" s="105">
        <v>1001012566392</v>
      </c>
      <c r="D22" s="70" t="s">
        <v>109</v>
      </c>
      <c r="E22" s="67"/>
      <c r="F22" s="80" t="s">
        <v>20</v>
      </c>
      <c r="G22" s="81">
        <v>0.4</v>
      </c>
    </row>
    <row r="23" spans="2:7" ht="21" x14ac:dyDescent="0.25">
      <c r="B23" s="66">
        <v>7343</v>
      </c>
      <c r="C23" s="72">
        <v>1001016747343</v>
      </c>
      <c r="D23" s="70" t="s">
        <v>31</v>
      </c>
      <c r="E23" s="74"/>
      <c r="F23" s="77" t="s">
        <v>20</v>
      </c>
      <c r="G23" s="78">
        <v>0.4</v>
      </c>
    </row>
    <row r="24" spans="2:7" ht="21" x14ac:dyDescent="0.25">
      <c r="B24" s="66">
        <v>6797</v>
      </c>
      <c r="C24" s="72">
        <v>1001015026797</v>
      </c>
      <c r="D24" s="106" t="s">
        <v>114</v>
      </c>
      <c r="E24" s="106" t="s">
        <v>174</v>
      </c>
      <c r="F24" s="80" t="s">
        <v>20</v>
      </c>
      <c r="G24" s="81">
        <v>0.4</v>
      </c>
    </row>
    <row r="25" spans="2:7" ht="21" x14ac:dyDescent="0.25">
      <c r="B25" s="66">
        <v>7231</v>
      </c>
      <c r="C25" s="72">
        <v>1001013957231</v>
      </c>
      <c r="D25" s="70" t="s">
        <v>33</v>
      </c>
      <c r="E25" s="74"/>
      <c r="F25" s="77" t="s">
        <v>20</v>
      </c>
      <c r="G25" s="78">
        <v>0.3</v>
      </c>
    </row>
    <row r="26" spans="2:7" ht="23.25" x14ac:dyDescent="0.25">
      <c r="B26" s="84"/>
      <c r="C26" s="107"/>
      <c r="D26" s="108" t="s">
        <v>91</v>
      </c>
      <c r="E26" s="109"/>
      <c r="F26" s="110"/>
      <c r="G26" s="111"/>
    </row>
    <row r="27" spans="2:7" ht="21" x14ac:dyDescent="0.25">
      <c r="B27" s="86">
        <v>6470</v>
      </c>
      <c r="C27" s="73">
        <v>1001092436470</v>
      </c>
      <c r="D27" s="74" t="s">
        <v>116</v>
      </c>
      <c r="E27" s="74"/>
      <c r="F27" s="77" t="s">
        <v>22</v>
      </c>
      <c r="G27" s="78">
        <v>1</v>
      </c>
    </row>
    <row r="28" spans="2:7" ht="21" x14ac:dyDescent="0.25">
      <c r="B28" s="66">
        <v>6495</v>
      </c>
      <c r="C28" s="72">
        <v>1001092436495</v>
      </c>
      <c r="D28" s="87" t="s">
        <v>95</v>
      </c>
      <c r="E28" s="74"/>
      <c r="F28" s="77" t="s">
        <v>20</v>
      </c>
      <c r="G28" s="78">
        <v>0.3</v>
      </c>
    </row>
    <row r="29" spans="2:7" ht="21" x14ac:dyDescent="0.25">
      <c r="B29" s="66">
        <v>5452</v>
      </c>
      <c r="C29" s="72">
        <v>1001092485452</v>
      </c>
      <c r="D29" s="87" t="s">
        <v>93</v>
      </c>
      <c r="E29" s="74"/>
      <c r="F29" s="77" t="s">
        <v>22</v>
      </c>
      <c r="G29" s="78">
        <v>1</v>
      </c>
    </row>
    <row r="30" spans="2:7" ht="21" x14ac:dyDescent="0.25">
      <c r="B30" s="86">
        <v>6866</v>
      </c>
      <c r="C30" s="73">
        <v>1001095716866</v>
      </c>
      <c r="D30" s="74" t="s">
        <v>92</v>
      </c>
      <c r="E30" s="89"/>
      <c r="F30" s="77" t="s">
        <v>22</v>
      </c>
      <c r="G30" s="78">
        <v>1</v>
      </c>
    </row>
    <row r="31" spans="2:7" ht="21" x14ac:dyDescent="0.25">
      <c r="B31" s="86">
        <v>6025</v>
      </c>
      <c r="C31" s="73">
        <v>1001094966025</v>
      </c>
      <c r="D31" s="74" t="s">
        <v>118</v>
      </c>
      <c r="E31" s="74"/>
      <c r="F31" s="77" t="s">
        <v>22</v>
      </c>
      <c r="G31" s="78">
        <v>1</v>
      </c>
    </row>
    <row r="32" spans="2:7" ht="21" x14ac:dyDescent="0.25">
      <c r="B32" s="86">
        <v>4584</v>
      </c>
      <c r="C32" s="73">
        <v>1001092674584</v>
      </c>
      <c r="D32" s="74" t="s">
        <v>175</v>
      </c>
      <c r="E32" s="74"/>
      <c r="F32" s="77" t="s">
        <v>22</v>
      </c>
      <c r="G32" s="78">
        <v>1</v>
      </c>
    </row>
    <row r="33" spans="2:7" ht="21" x14ac:dyDescent="0.25">
      <c r="B33" s="66">
        <v>3215</v>
      </c>
      <c r="C33" s="105">
        <v>1001094053215</v>
      </c>
      <c r="D33" s="70" t="s">
        <v>176</v>
      </c>
      <c r="E33" s="67"/>
      <c r="F33" s="80" t="s">
        <v>20</v>
      </c>
      <c r="G33" s="81">
        <v>0.4</v>
      </c>
    </row>
    <row r="34" spans="2:7" ht="21" x14ac:dyDescent="0.25">
      <c r="B34" s="66">
        <v>5495</v>
      </c>
      <c r="C34" s="72">
        <v>1001093345495</v>
      </c>
      <c r="D34" s="87" t="s">
        <v>94</v>
      </c>
      <c r="E34" s="74"/>
      <c r="F34" s="77" t="s">
        <v>20</v>
      </c>
      <c r="G34" s="78">
        <v>0.4</v>
      </c>
    </row>
    <row r="35" spans="2:7" ht="21" x14ac:dyDescent="0.25">
      <c r="B35" s="66">
        <v>7377</v>
      </c>
      <c r="C35" s="76">
        <v>1001095027377</v>
      </c>
      <c r="D35" s="87" t="s">
        <v>117</v>
      </c>
      <c r="E35" s="112"/>
      <c r="F35" s="77" t="s">
        <v>20</v>
      </c>
      <c r="G35" s="78">
        <v>0.3</v>
      </c>
    </row>
    <row r="36" spans="2:7" ht="21" x14ac:dyDescent="0.25">
      <c r="B36" s="71">
        <v>6925</v>
      </c>
      <c r="C36" s="72">
        <v>1001095226925</v>
      </c>
      <c r="D36" s="70" t="s">
        <v>103</v>
      </c>
      <c r="E36" s="88"/>
      <c r="F36" s="80" t="s">
        <v>20</v>
      </c>
      <c r="G36" s="81">
        <v>0.6</v>
      </c>
    </row>
    <row r="37" spans="2:7" ht="23.25" x14ac:dyDescent="0.25">
      <c r="B37" s="113"/>
      <c r="C37" s="114"/>
      <c r="D37" s="115" t="s">
        <v>119</v>
      </c>
      <c r="E37" s="116"/>
      <c r="F37" s="117"/>
      <c r="G37" s="118"/>
    </row>
    <row r="38" spans="2:7" ht="21" x14ac:dyDescent="0.25">
      <c r="B38" s="86">
        <v>6620</v>
      </c>
      <c r="C38" s="73">
        <v>1001081596620</v>
      </c>
      <c r="D38" s="74" t="s">
        <v>97</v>
      </c>
      <c r="E38" s="89"/>
      <c r="F38" s="77" t="s">
        <v>22</v>
      </c>
      <c r="G38" s="78">
        <v>1</v>
      </c>
    </row>
    <row r="39" spans="2:7" ht="21" x14ac:dyDescent="0.25">
      <c r="B39" s="66">
        <v>7187</v>
      </c>
      <c r="C39" s="69">
        <v>1001085637187</v>
      </c>
      <c r="D39" s="70" t="s">
        <v>101</v>
      </c>
      <c r="E39" s="70"/>
      <c r="F39" s="77" t="s">
        <v>20</v>
      </c>
      <c r="G39" s="78">
        <v>0.3</v>
      </c>
    </row>
    <row r="40" spans="2:7" ht="21" x14ac:dyDescent="0.25">
      <c r="B40" s="86">
        <v>7090</v>
      </c>
      <c r="C40" s="73">
        <v>1001084217090</v>
      </c>
      <c r="D40" s="74" t="s">
        <v>100</v>
      </c>
      <c r="E40" s="89"/>
      <c r="F40" s="77" t="s">
        <v>20</v>
      </c>
      <c r="G40" s="78">
        <v>0.3</v>
      </c>
    </row>
    <row r="41" spans="2:7" ht="23.25" x14ac:dyDescent="0.25">
      <c r="B41" s="84"/>
      <c r="C41" s="107"/>
      <c r="D41" s="108" t="s">
        <v>127</v>
      </c>
      <c r="E41" s="109"/>
      <c r="F41" s="110"/>
      <c r="G41" s="111"/>
    </row>
    <row r="42" spans="2:7" ht="23.25" x14ac:dyDescent="0.25">
      <c r="B42" s="66">
        <v>7103</v>
      </c>
      <c r="C42" s="105">
        <v>1001223297103</v>
      </c>
      <c r="D42" s="70" t="s">
        <v>177</v>
      </c>
      <c r="E42" s="119"/>
      <c r="F42" s="66" t="s">
        <v>20</v>
      </c>
      <c r="G42" s="78">
        <v>0.18</v>
      </c>
    </row>
    <row r="43" spans="2:7" ht="21" x14ac:dyDescent="0.25">
      <c r="B43" s="86">
        <v>6279</v>
      </c>
      <c r="C43" s="73">
        <v>1001220286279</v>
      </c>
      <c r="D43" s="74" t="s">
        <v>98</v>
      </c>
      <c r="E43" s="89"/>
      <c r="F43" s="77" t="s">
        <v>20</v>
      </c>
      <c r="G43" s="78">
        <v>0.15</v>
      </c>
    </row>
    <row r="44" spans="2:7" ht="21" x14ac:dyDescent="0.25">
      <c r="B44" s="66">
        <v>7092</v>
      </c>
      <c r="C44" s="72">
        <v>1001223297092</v>
      </c>
      <c r="D44" s="70" t="s">
        <v>78</v>
      </c>
      <c r="E44" s="70"/>
      <c r="F44" s="80" t="s">
        <v>20</v>
      </c>
      <c r="G44" s="81">
        <v>0.14000000000000001</v>
      </c>
    </row>
    <row r="45" spans="2:7" ht="21" x14ac:dyDescent="0.25">
      <c r="B45" s="86">
        <v>6448</v>
      </c>
      <c r="C45" s="73">
        <v>1001234146448</v>
      </c>
      <c r="D45" s="74" t="s">
        <v>128</v>
      </c>
      <c r="E45" s="89"/>
      <c r="F45" s="77" t="s">
        <v>20</v>
      </c>
      <c r="G45" s="78">
        <v>0.1</v>
      </c>
    </row>
    <row r="46" spans="2:7" ht="21" x14ac:dyDescent="0.25">
      <c r="B46" s="66">
        <v>6754</v>
      </c>
      <c r="C46" s="105">
        <v>1001225406754</v>
      </c>
      <c r="D46" s="70" t="s">
        <v>178</v>
      </c>
      <c r="E46" s="67"/>
      <c r="F46" s="80" t="s">
        <v>20</v>
      </c>
      <c r="G46" s="81">
        <v>0.09</v>
      </c>
    </row>
    <row r="47" spans="2:7" ht="23.25" x14ac:dyDescent="0.25">
      <c r="B47" s="66">
        <v>6208</v>
      </c>
      <c r="C47" s="105">
        <v>1001220226208</v>
      </c>
      <c r="D47" s="70" t="s">
        <v>99</v>
      </c>
      <c r="E47" s="119"/>
      <c r="F47" s="66" t="s">
        <v>20</v>
      </c>
      <c r="G47" s="78">
        <v>0.15</v>
      </c>
    </row>
    <row r="48" spans="2:7" ht="23.25" x14ac:dyDescent="0.25">
      <c r="B48" s="66">
        <v>6228</v>
      </c>
      <c r="C48" s="105">
        <v>1001225416228</v>
      </c>
      <c r="D48" s="70" t="s">
        <v>89</v>
      </c>
      <c r="E48" s="119"/>
      <c r="F48" s="66" t="s">
        <v>20</v>
      </c>
      <c r="G48" s="78">
        <v>0.09</v>
      </c>
    </row>
    <row r="49" spans="2:7" ht="21" x14ac:dyDescent="0.25">
      <c r="B49" s="71">
        <v>7288</v>
      </c>
      <c r="C49" s="72">
        <v>1001223907288</v>
      </c>
      <c r="D49" s="70" t="s">
        <v>129</v>
      </c>
      <c r="E49" s="112"/>
      <c r="F49" s="80" t="s">
        <v>20</v>
      </c>
      <c r="G49" s="81">
        <v>0.1</v>
      </c>
    </row>
    <row r="50" spans="2:7" ht="23.25" x14ac:dyDescent="0.25">
      <c r="B50" s="84"/>
      <c r="C50" s="107"/>
      <c r="D50" s="108" t="s">
        <v>120</v>
      </c>
      <c r="E50" s="109"/>
      <c r="F50" s="110"/>
      <c r="G50" s="111"/>
    </row>
    <row r="51" spans="2:7" ht="21" x14ac:dyDescent="0.25">
      <c r="B51" s="66">
        <v>7564</v>
      </c>
      <c r="C51" s="72">
        <v>1001303637564</v>
      </c>
      <c r="D51" s="68" t="s">
        <v>121</v>
      </c>
      <c r="E51" s="68" t="s">
        <v>115</v>
      </c>
      <c r="F51" s="80" t="s">
        <v>22</v>
      </c>
      <c r="G51" s="81">
        <v>1</v>
      </c>
    </row>
    <row r="52" spans="2:7" ht="21" x14ac:dyDescent="0.25">
      <c r="B52" s="66">
        <v>7133</v>
      </c>
      <c r="C52" s="72">
        <v>1001300367133</v>
      </c>
      <c r="D52" s="70" t="s">
        <v>73</v>
      </c>
      <c r="E52" s="74"/>
      <c r="F52" s="77" t="s">
        <v>22</v>
      </c>
      <c r="G52" s="78">
        <v>1</v>
      </c>
    </row>
    <row r="53" spans="2:7" ht="21" x14ac:dyDescent="0.25">
      <c r="B53" s="86">
        <v>6946</v>
      </c>
      <c r="C53" s="73">
        <v>1001300456946</v>
      </c>
      <c r="D53" s="74" t="s">
        <v>179</v>
      </c>
      <c r="E53" s="74"/>
      <c r="F53" s="77" t="s">
        <v>22</v>
      </c>
      <c r="G53" s="78">
        <v>1</v>
      </c>
    </row>
    <row r="54" spans="2:7" ht="21" x14ac:dyDescent="0.25">
      <c r="B54" s="86">
        <v>7132</v>
      </c>
      <c r="C54" s="73">
        <v>1001300517132</v>
      </c>
      <c r="D54" s="74" t="s">
        <v>180</v>
      </c>
      <c r="E54" s="74"/>
      <c r="F54" s="77" t="s">
        <v>22</v>
      </c>
      <c r="G54" s="78">
        <v>1</v>
      </c>
    </row>
    <row r="55" spans="2:7" ht="21" x14ac:dyDescent="0.25">
      <c r="B55" s="86">
        <v>5544</v>
      </c>
      <c r="C55" s="73">
        <v>1001051875544</v>
      </c>
      <c r="D55" s="74" t="s">
        <v>72</v>
      </c>
      <c r="E55" s="74"/>
      <c r="F55" s="77" t="s">
        <v>22</v>
      </c>
      <c r="G55" s="78">
        <v>1</v>
      </c>
    </row>
    <row r="56" spans="2:7" ht="21" x14ac:dyDescent="0.25">
      <c r="B56" s="66">
        <v>7149</v>
      </c>
      <c r="C56" s="69">
        <v>1001303637149</v>
      </c>
      <c r="D56" s="70" t="s">
        <v>19</v>
      </c>
      <c r="E56" s="74"/>
      <c r="F56" s="77" t="s">
        <v>20</v>
      </c>
      <c r="G56" s="78">
        <v>0.84</v>
      </c>
    </row>
    <row r="57" spans="2:7" ht="21" x14ac:dyDescent="0.25">
      <c r="B57" s="66">
        <v>7157</v>
      </c>
      <c r="C57" s="72">
        <v>1001300387157</v>
      </c>
      <c r="D57" s="70" t="s">
        <v>74</v>
      </c>
      <c r="E57" s="74"/>
      <c r="F57" s="77" t="s">
        <v>22</v>
      </c>
      <c r="G57" s="78">
        <v>1</v>
      </c>
    </row>
    <row r="58" spans="2:7" ht="21" x14ac:dyDescent="0.25">
      <c r="B58" s="86">
        <v>7166</v>
      </c>
      <c r="C58" s="73">
        <v>1001303987166</v>
      </c>
      <c r="D58" s="74" t="s">
        <v>71</v>
      </c>
      <c r="E58" s="74"/>
      <c r="F58" s="77" t="s">
        <v>22</v>
      </c>
      <c r="G58" s="78">
        <v>1</v>
      </c>
    </row>
    <row r="59" spans="2:7" ht="21" x14ac:dyDescent="0.25">
      <c r="B59" s="66">
        <v>7603</v>
      </c>
      <c r="C59" s="72">
        <v>1001303637603</v>
      </c>
      <c r="D59" s="68" t="s">
        <v>122</v>
      </c>
      <c r="E59" s="68" t="s">
        <v>115</v>
      </c>
      <c r="F59" s="80" t="s">
        <v>20</v>
      </c>
      <c r="G59" s="81">
        <v>0.33</v>
      </c>
    </row>
    <row r="60" spans="2:7" ht="21" x14ac:dyDescent="0.25">
      <c r="B60" s="86">
        <v>6807</v>
      </c>
      <c r="C60" s="73">
        <v>1001300366807</v>
      </c>
      <c r="D60" s="74" t="s">
        <v>75</v>
      </c>
      <c r="E60" s="74"/>
      <c r="F60" s="77" t="s">
        <v>20</v>
      </c>
      <c r="G60" s="78">
        <v>0.33</v>
      </c>
    </row>
    <row r="61" spans="2:7" ht="21" x14ac:dyDescent="0.25">
      <c r="B61" s="86">
        <v>6787</v>
      </c>
      <c r="C61" s="73">
        <v>1001300456787</v>
      </c>
      <c r="D61" s="74" t="s">
        <v>65</v>
      </c>
      <c r="E61" s="74"/>
      <c r="F61" s="77" t="s">
        <v>20</v>
      </c>
      <c r="G61" s="78">
        <v>0.33</v>
      </c>
    </row>
    <row r="62" spans="2:7" ht="21" x14ac:dyDescent="0.25">
      <c r="B62" s="86">
        <v>6697</v>
      </c>
      <c r="C62" s="73">
        <v>1001301876697</v>
      </c>
      <c r="D62" s="74" t="s">
        <v>66</v>
      </c>
      <c r="E62" s="74"/>
      <c r="F62" s="77" t="s">
        <v>20</v>
      </c>
      <c r="G62" s="78">
        <v>0.35</v>
      </c>
    </row>
    <row r="63" spans="2:7" ht="21" x14ac:dyDescent="0.25">
      <c r="B63" s="86">
        <v>7169</v>
      </c>
      <c r="C63" s="73">
        <v>1001303987169</v>
      </c>
      <c r="D63" s="74" t="s">
        <v>70</v>
      </c>
      <c r="E63" s="74"/>
      <c r="F63" s="77" t="s">
        <v>20</v>
      </c>
      <c r="G63" s="78">
        <v>0.35</v>
      </c>
    </row>
    <row r="64" spans="2:7" ht="21" x14ac:dyDescent="0.25">
      <c r="B64" s="66">
        <v>7233</v>
      </c>
      <c r="C64" s="69">
        <v>1001303637233</v>
      </c>
      <c r="D64" s="70" t="s">
        <v>181</v>
      </c>
      <c r="E64" s="70"/>
      <c r="F64" s="77" t="s">
        <v>20</v>
      </c>
      <c r="G64" s="78">
        <v>0.31</v>
      </c>
    </row>
    <row r="65" spans="2:7" ht="21" x14ac:dyDescent="0.25">
      <c r="B65" s="86">
        <v>7236</v>
      </c>
      <c r="C65" s="73">
        <v>1001304507236</v>
      </c>
      <c r="D65" s="74" t="s">
        <v>68</v>
      </c>
      <c r="E65" s="74"/>
      <c r="F65" s="77" t="s">
        <v>20</v>
      </c>
      <c r="G65" s="78">
        <v>0.28000000000000003</v>
      </c>
    </row>
    <row r="66" spans="2:7" ht="21" x14ac:dyDescent="0.25">
      <c r="B66" s="66">
        <v>7177</v>
      </c>
      <c r="C66" s="69">
        <v>1001302347177</v>
      </c>
      <c r="D66" s="70" t="s">
        <v>124</v>
      </c>
      <c r="E66" s="70"/>
      <c r="F66" s="77" t="s">
        <v>20</v>
      </c>
      <c r="G66" s="78">
        <v>0.35</v>
      </c>
    </row>
    <row r="67" spans="2:7" ht="21" x14ac:dyDescent="0.25">
      <c r="B67" s="86">
        <v>7232</v>
      </c>
      <c r="C67" s="73">
        <v>1001302277232</v>
      </c>
      <c r="D67" s="74" t="s">
        <v>61</v>
      </c>
      <c r="E67" s="74"/>
      <c r="F67" s="77" t="s">
        <v>20</v>
      </c>
      <c r="G67" s="78">
        <v>0.28000000000000003</v>
      </c>
    </row>
    <row r="68" spans="2:7" ht="21" x14ac:dyDescent="0.25">
      <c r="B68" s="66">
        <v>7154</v>
      </c>
      <c r="C68" s="69">
        <v>1001300387154</v>
      </c>
      <c r="D68" s="70" t="s">
        <v>64</v>
      </c>
      <c r="E68" s="70"/>
      <c r="F68" s="77" t="s">
        <v>20</v>
      </c>
      <c r="G68" s="78">
        <v>0.35</v>
      </c>
    </row>
    <row r="69" spans="2:7" ht="21" x14ac:dyDescent="0.25">
      <c r="B69" s="66">
        <v>7238</v>
      </c>
      <c r="C69" s="72">
        <v>1001305197238</v>
      </c>
      <c r="D69" s="70" t="s">
        <v>123</v>
      </c>
      <c r="E69" s="74"/>
      <c r="F69" s="77" t="s">
        <v>20</v>
      </c>
      <c r="G69" s="78">
        <v>0.31</v>
      </c>
    </row>
    <row r="70" spans="2:7" ht="21" x14ac:dyDescent="0.25">
      <c r="B70" s="66">
        <v>7237</v>
      </c>
      <c r="C70" s="72">
        <v>1001304497237</v>
      </c>
      <c r="D70" s="70" t="s">
        <v>67</v>
      </c>
      <c r="E70" s="74"/>
      <c r="F70" s="77" t="s">
        <v>20</v>
      </c>
      <c r="G70" s="78">
        <v>0.28000000000000003</v>
      </c>
    </row>
    <row r="71" spans="2:7" ht="21" x14ac:dyDescent="0.25">
      <c r="B71" s="86">
        <v>7241</v>
      </c>
      <c r="C71" s="73">
        <v>1001303107241</v>
      </c>
      <c r="D71" s="74" t="s">
        <v>63</v>
      </c>
      <c r="E71" s="74"/>
      <c r="F71" s="77" t="s">
        <v>20</v>
      </c>
      <c r="G71" s="78">
        <v>0.28000000000000003</v>
      </c>
    </row>
    <row r="72" spans="2:7" ht="21" x14ac:dyDescent="0.25">
      <c r="B72" s="86">
        <v>7332</v>
      </c>
      <c r="C72" s="73">
        <v>1001301777332</v>
      </c>
      <c r="D72" s="74" t="s">
        <v>62</v>
      </c>
      <c r="E72" s="74"/>
      <c r="F72" s="77" t="s">
        <v>20</v>
      </c>
      <c r="G72" s="78">
        <v>0.28000000000000003</v>
      </c>
    </row>
    <row r="73" spans="2:7" ht="21" x14ac:dyDescent="0.25">
      <c r="B73" s="86">
        <v>7333</v>
      </c>
      <c r="C73" s="73">
        <v>1001303987333</v>
      </c>
      <c r="D73" s="74" t="s">
        <v>69</v>
      </c>
      <c r="E73" s="74"/>
      <c r="F73" s="77" t="s">
        <v>20</v>
      </c>
      <c r="G73" s="78">
        <v>0.28000000000000003</v>
      </c>
    </row>
    <row r="74" spans="2:7" ht="23.25" x14ac:dyDescent="0.25">
      <c r="B74" s="90"/>
      <c r="C74" s="82"/>
      <c r="D74" s="83" t="s">
        <v>125</v>
      </c>
      <c r="E74" s="83"/>
      <c r="F74" s="84"/>
      <c r="G74" s="85"/>
    </row>
    <row r="75" spans="2:7" ht="21" x14ac:dyDescent="0.25">
      <c r="B75" s="66">
        <v>6459</v>
      </c>
      <c r="C75" s="72">
        <v>1001214196459</v>
      </c>
      <c r="D75" s="70" t="s">
        <v>60</v>
      </c>
      <c r="E75" s="67"/>
      <c r="F75" s="80" t="s">
        <v>20</v>
      </c>
      <c r="G75" s="81">
        <v>0.1</v>
      </c>
    </row>
    <row r="76" spans="2:7" ht="21" x14ac:dyDescent="0.25">
      <c r="B76" s="66">
        <v>7474</v>
      </c>
      <c r="C76" s="76">
        <v>1001216717474</v>
      </c>
      <c r="D76" s="70" t="s">
        <v>126</v>
      </c>
      <c r="E76" s="91"/>
      <c r="F76" s="80" t="s">
        <v>20</v>
      </c>
      <c r="G76" s="81">
        <v>0.1</v>
      </c>
    </row>
    <row r="77" spans="2:7" ht="23.25" x14ac:dyDescent="0.25">
      <c r="B77" s="84"/>
      <c r="C77" s="107"/>
      <c r="D77" s="108" t="s">
        <v>130</v>
      </c>
      <c r="E77" s="109"/>
      <c r="F77" s="110"/>
      <c r="G77" s="111"/>
    </row>
    <row r="78" spans="2:7" ht="21" x14ac:dyDescent="0.25">
      <c r="B78" s="66">
        <v>5679</v>
      </c>
      <c r="C78" s="72">
        <v>1001190765679</v>
      </c>
      <c r="D78" s="70" t="s">
        <v>136</v>
      </c>
      <c r="E78" s="70"/>
      <c r="F78" s="80" t="s">
        <v>20</v>
      </c>
      <c r="G78" s="81">
        <v>0.15</v>
      </c>
    </row>
    <row r="79" spans="2:7" ht="21" x14ac:dyDescent="0.25">
      <c r="B79" s="66">
        <v>7382</v>
      </c>
      <c r="C79" s="72">
        <v>1001203117382</v>
      </c>
      <c r="D79" s="70" t="s">
        <v>84</v>
      </c>
      <c r="E79" s="70"/>
      <c r="F79" s="77" t="s">
        <v>20</v>
      </c>
      <c r="G79" s="78">
        <v>0.12</v>
      </c>
    </row>
    <row r="80" spans="2:7" ht="21" x14ac:dyDescent="0.25">
      <c r="B80" s="86">
        <v>6454</v>
      </c>
      <c r="C80" s="73">
        <v>1001201976454</v>
      </c>
      <c r="D80" s="74" t="s">
        <v>131</v>
      </c>
      <c r="E80" s="89"/>
      <c r="F80" s="77" t="s">
        <v>20</v>
      </c>
      <c r="G80" s="78">
        <v>0.1</v>
      </c>
    </row>
    <row r="81" spans="2:7" ht="21" x14ac:dyDescent="0.25">
      <c r="B81" s="86">
        <v>6453</v>
      </c>
      <c r="C81" s="73">
        <v>1001202506453</v>
      </c>
      <c r="D81" s="74" t="s">
        <v>182</v>
      </c>
      <c r="E81" s="89"/>
      <c r="F81" s="77" t="s">
        <v>20</v>
      </c>
      <c r="G81" s="78">
        <v>0.1</v>
      </c>
    </row>
    <row r="82" spans="2:7" ht="21" x14ac:dyDescent="0.25">
      <c r="B82" s="66">
        <v>6221</v>
      </c>
      <c r="C82" s="69">
        <v>1001205376221</v>
      </c>
      <c r="D82" s="70" t="s">
        <v>86</v>
      </c>
      <c r="E82" s="67"/>
      <c r="F82" s="77" t="s">
        <v>20</v>
      </c>
      <c r="G82" s="78">
        <v>0.09</v>
      </c>
    </row>
    <row r="83" spans="2:7" ht="21" x14ac:dyDescent="0.25">
      <c r="B83" s="66">
        <v>6222</v>
      </c>
      <c r="C83" s="69">
        <v>1001205386222</v>
      </c>
      <c r="D83" s="70" t="s">
        <v>133</v>
      </c>
      <c r="E83" s="67"/>
      <c r="F83" s="77" t="s">
        <v>20</v>
      </c>
      <c r="G83" s="78">
        <v>0.09</v>
      </c>
    </row>
    <row r="84" spans="2:7" ht="21" x14ac:dyDescent="0.25">
      <c r="B84" s="66">
        <v>6834</v>
      </c>
      <c r="C84" s="72">
        <v>1001203146834</v>
      </c>
      <c r="D84" s="70" t="s">
        <v>132</v>
      </c>
      <c r="E84" s="70"/>
      <c r="F84" s="80" t="s">
        <v>20</v>
      </c>
      <c r="G84" s="81">
        <v>0.1</v>
      </c>
    </row>
    <row r="85" spans="2:7" ht="21" x14ac:dyDescent="0.25">
      <c r="B85" s="86">
        <v>6965</v>
      </c>
      <c r="C85" s="73">
        <v>1001206356965</v>
      </c>
      <c r="D85" s="74" t="s">
        <v>134</v>
      </c>
      <c r="E85" s="89"/>
      <c r="F85" s="77" t="s">
        <v>20</v>
      </c>
      <c r="G85" s="78">
        <v>7.0000000000000007E-2</v>
      </c>
    </row>
    <row r="86" spans="2:7" ht="21" x14ac:dyDescent="0.25">
      <c r="B86" s="66">
        <v>6557</v>
      </c>
      <c r="C86" s="72">
        <v>1001200756557</v>
      </c>
      <c r="D86" s="70" t="s">
        <v>135</v>
      </c>
      <c r="E86" s="67"/>
      <c r="F86" s="80" t="s">
        <v>20</v>
      </c>
      <c r="G86" s="81">
        <v>0.1</v>
      </c>
    </row>
    <row r="87" spans="2:7" ht="21" x14ac:dyDescent="0.25">
      <c r="B87" s="66">
        <v>5677</v>
      </c>
      <c r="C87" s="72">
        <v>1001190715677</v>
      </c>
      <c r="D87" s="70" t="s">
        <v>137</v>
      </c>
      <c r="E87" s="112"/>
      <c r="F87" s="80" t="s">
        <v>20</v>
      </c>
      <c r="G87" s="81">
        <v>0.1</v>
      </c>
    </row>
    <row r="88" spans="2:7" ht="21" x14ac:dyDescent="0.25">
      <c r="B88" s="66">
        <v>7414</v>
      </c>
      <c r="C88" s="72">
        <v>1001204447414</v>
      </c>
      <c r="D88" s="70" t="s">
        <v>138</v>
      </c>
      <c r="E88" s="112"/>
      <c r="F88" s="80" t="s">
        <v>22</v>
      </c>
      <c r="G88" s="81">
        <v>1</v>
      </c>
    </row>
    <row r="89" spans="2:7" ht="23.25" x14ac:dyDescent="0.25">
      <c r="B89" s="84"/>
      <c r="C89" s="107"/>
      <c r="D89" s="108" t="s">
        <v>76</v>
      </c>
      <c r="E89" s="109"/>
      <c r="F89" s="110"/>
      <c r="G89" s="111"/>
    </row>
    <row r="90" spans="2:7" ht="21" x14ac:dyDescent="0.25">
      <c r="B90" s="66">
        <v>614</v>
      </c>
      <c r="C90" s="72">
        <v>1001060720614</v>
      </c>
      <c r="D90" s="70" t="s">
        <v>140</v>
      </c>
      <c r="E90" s="67"/>
      <c r="F90" s="80" t="s">
        <v>22</v>
      </c>
      <c r="G90" s="81">
        <v>1</v>
      </c>
    </row>
    <row r="91" spans="2:7" ht="21" x14ac:dyDescent="0.25">
      <c r="B91" s="66">
        <v>3287</v>
      </c>
      <c r="C91" s="72">
        <v>1001060763287</v>
      </c>
      <c r="D91" s="70" t="s">
        <v>90</v>
      </c>
      <c r="E91" s="67"/>
      <c r="F91" s="80" t="s">
        <v>22</v>
      </c>
      <c r="G91" s="81">
        <v>1</v>
      </c>
    </row>
    <row r="92" spans="2:7" ht="21" x14ac:dyDescent="0.25">
      <c r="B92" s="86">
        <v>5708</v>
      </c>
      <c r="C92" s="73">
        <v>1001063145708</v>
      </c>
      <c r="D92" s="74" t="s">
        <v>80</v>
      </c>
      <c r="E92" s="89"/>
      <c r="F92" s="77" t="s">
        <v>22</v>
      </c>
      <c r="G92" s="78">
        <v>1</v>
      </c>
    </row>
    <row r="93" spans="2:7" ht="21" x14ac:dyDescent="0.25">
      <c r="B93" s="86">
        <v>4117</v>
      </c>
      <c r="C93" s="73">
        <v>1001062504117</v>
      </c>
      <c r="D93" s="74" t="s">
        <v>87</v>
      </c>
      <c r="E93" s="89"/>
      <c r="F93" s="77" t="s">
        <v>22</v>
      </c>
      <c r="G93" s="78">
        <v>1</v>
      </c>
    </row>
    <row r="94" spans="2:7" ht="21" x14ac:dyDescent="0.25">
      <c r="B94" s="66">
        <v>7316</v>
      </c>
      <c r="C94" s="72">
        <v>1001060727316</v>
      </c>
      <c r="D94" s="70" t="s">
        <v>148</v>
      </c>
      <c r="E94" s="70"/>
      <c r="F94" s="80" t="s">
        <v>20</v>
      </c>
      <c r="G94" s="81">
        <v>0.54</v>
      </c>
    </row>
    <row r="95" spans="2:7" ht="21" x14ac:dyDescent="0.25">
      <c r="B95" s="66">
        <v>7317</v>
      </c>
      <c r="C95" s="72">
        <v>1001066567317</v>
      </c>
      <c r="D95" s="70" t="s">
        <v>146</v>
      </c>
      <c r="E95" s="70"/>
      <c r="F95" s="80" t="s">
        <v>20</v>
      </c>
      <c r="G95" s="81">
        <v>0.54</v>
      </c>
    </row>
    <row r="96" spans="2:7" ht="21" x14ac:dyDescent="0.25">
      <c r="B96" s="66">
        <v>7143</v>
      </c>
      <c r="C96" s="72">
        <v>1001060717143</v>
      </c>
      <c r="D96" s="70" t="s">
        <v>142</v>
      </c>
      <c r="E96" s="70"/>
      <c r="F96" s="80" t="s">
        <v>20</v>
      </c>
      <c r="G96" s="81">
        <v>0.22</v>
      </c>
    </row>
    <row r="97" spans="2:7" ht="21" x14ac:dyDescent="0.25">
      <c r="B97" s="66">
        <v>7147</v>
      </c>
      <c r="C97" s="72">
        <v>1001063237147</v>
      </c>
      <c r="D97" s="70" t="s">
        <v>85</v>
      </c>
      <c r="E97" s="70"/>
      <c r="F97" s="80" t="s">
        <v>20</v>
      </c>
      <c r="G97" s="81">
        <v>0.22</v>
      </c>
    </row>
    <row r="98" spans="2:7" ht="21" x14ac:dyDescent="0.25">
      <c r="B98" s="66">
        <v>7456</v>
      </c>
      <c r="C98" s="72">
        <v>1001063097456</v>
      </c>
      <c r="D98" s="70" t="s">
        <v>143</v>
      </c>
      <c r="E98" s="70"/>
      <c r="F98" s="80" t="s">
        <v>20</v>
      </c>
      <c r="G98" s="81">
        <v>0.15</v>
      </c>
    </row>
    <row r="99" spans="2:7" ht="21" x14ac:dyDescent="0.25">
      <c r="B99" s="66">
        <v>7318</v>
      </c>
      <c r="C99" s="72">
        <v>1001060727318</v>
      </c>
      <c r="D99" s="70" t="s">
        <v>147</v>
      </c>
      <c r="E99" s="70"/>
      <c r="F99" s="80" t="s">
        <v>20</v>
      </c>
      <c r="G99" s="81">
        <v>0.27</v>
      </c>
    </row>
    <row r="100" spans="2:7" ht="21" x14ac:dyDescent="0.25">
      <c r="B100" s="86">
        <v>3986</v>
      </c>
      <c r="C100" s="73">
        <v>1001061973986</v>
      </c>
      <c r="D100" s="74" t="s">
        <v>79</v>
      </c>
      <c r="E100" s="74"/>
      <c r="F100" s="77" t="s">
        <v>20</v>
      </c>
      <c r="G100" s="78">
        <v>0.25</v>
      </c>
    </row>
    <row r="101" spans="2:7" ht="21" x14ac:dyDescent="0.25">
      <c r="B101" s="66">
        <v>7364</v>
      </c>
      <c r="C101" s="72">
        <v>1001063217364</v>
      </c>
      <c r="D101" s="70" t="s">
        <v>144</v>
      </c>
      <c r="E101" s="70"/>
      <c r="F101" s="80" t="s">
        <v>20</v>
      </c>
      <c r="G101" s="81">
        <v>0.22</v>
      </c>
    </row>
    <row r="102" spans="2:7" ht="21" x14ac:dyDescent="0.25">
      <c r="B102" s="71">
        <v>7383</v>
      </c>
      <c r="C102" s="72">
        <v>1001065467383</v>
      </c>
      <c r="D102" s="70" t="s">
        <v>145</v>
      </c>
      <c r="E102" s="70"/>
      <c r="F102" s="80" t="s">
        <v>20</v>
      </c>
      <c r="G102" s="81">
        <v>0.22</v>
      </c>
    </row>
    <row r="103" spans="2:7" ht="21" x14ac:dyDescent="0.25">
      <c r="B103" s="120">
        <v>6967</v>
      </c>
      <c r="C103" s="69">
        <v>1001063656967</v>
      </c>
      <c r="D103" s="74" t="s">
        <v>83</v>
      </c>
      <c r="E103" s="74"/>
      <c r="F103" s="77" t="s">
        <v>20</v>
      </c>
      <c r="G103" s="78">
        <v>0.25</v>
      </c>
    </row>
    <row r="104" spans="2:7" ht="21" x14ac:dyDescent="0.25">
      <c r="B104" s="66">
        <v>4993</v>
      </c>
      <c r="C104" s="72">
        <v>1001060764993</v>
      </c>
      <c r="D104" s="70" t="s">
        <v>139</v>
      </c>
      <c r="E104" s="70"/>
      <c r="F104" s="80" t="s">
        <v>20</v>
      </c>
      <c r="G104" s="81">
        <v>0.25</v>
      </c>
    </row>
    <row r="105" spans="2:7" ht="21" x14ac:dyDescent="0.25">
      <c r="B105" s="66">
        <v>6937</v>
      </c>
      <c r="C105" s="72">
        <v>1001063106937</v>
      </c>
      <c r="D105" s="70" t="s">
        <v>141</v>
      </c>
      <c r="E105" s="70"/>
      <c r="F105" s="80" t="s">
        <v>20</v>
      </c>
      <c r="G105" s="81">
        <v>0.25</v>
      </c>
    </row>
    <row r="106" spans="2:7" ht="21" x14ac:dyDescent="0.25">
      <c r="B106" s="66">
        <v>5483</v>
      </c>
      <c r="C106" s="72">
        <v>1001062505483</v>
      </c>
      <c r="D106" s="70" t="s">
        <v>88</v>
      </c>
      <c r="E106" s="70"/>
      <c r="F106" s="80" t="s">
        <v>20</v>
      </c>
      <c r="G106" s="81">
        <v>0.25</v>
      </c>
    </row>
    <row r="107" spans="2:7" ht="21" x14ac:dyDescent="0.25">
      <c r="B107" s="66">
        <v>5931</v>
      </c>
      <c r="C107" s="72">
        <v>1001060755931</v>
      </c>
      <c r="D107" s="70" t="s">
        <v>77</v>
      </c>
      <c r="E107" s="70"/>
      <c r="F107" s="80" t="s">
        <v>20</v>
      </c>
      <c r="G107" s="81">
        <v>0.22</v>
      </c>
    </row>
    <row r="108" spans="2:7" ht="21" x14ac:dyDescent="0.25">
      <c r="B108" s="66">
        <v>7417</v>
      </c>
      <c r="C108" s="72">
        <v>1001307147417</v>
      </c>
      <c r="D108" s="70" t="s">
        <v>149</v>
      </c>
      <c r="E108" s="70"/>
      <c r="F108" s="81" t="s">
        <v>20</v>
      </c>
      <c r="G108" s="81">
        <v>0.44</v>
      </c>
    </row>
    <row r="109" spans="2:7" ht="21" x14ac:dyDescent="0.25">
      <c r="B109" s="66">
        <v>6832</v>
      </c>
      <c r="C109" s="72">
        <v>1001065616832</v>
      </c>
      <c r="D109" s="70" t="s">
        <v>81</v>
      </c>
      <c r="E109" s="70"/>
      <c r="F109" s="80" t="s">
        <v>22</v>
      </c>
      <c r="G109" s="81">
        <v>1</v>
      </c>
    </row>
    <row r="110" spans="2:7" ht="21" x14ac:dyDescent="0.25">
      <c r="B110" s="66">
        <v>7299</v>
      </c>
      <c r="C110" s="72">
        <v>1001060677299</v>
      </c>
      <c r="D110" s="70" t="s">
        <v>82</v>
      </c>
      <c r="E110" s="70"/>
      <c r="F110" s="80" t="s">
        <v>22</v>
      </c>
      <c r="G110" s="81">
        <v>1</v>
      </c>
    </row>
    <row r="111" spans="2:7" ht="21" x14ac:dyDescent="0.25">
      <c r="B111" s="66">
        <v>7386</v>
      </c>
      <c r="C111" s="72">
        <v>1001067017386</v>
      </c>
      <c r="D111" s="70" t="s">
        <v>150</v>
      </c>
      <c r="E111" s="91"/>
      <c r="F111" s="80" t="s">
        <v>20</v>
      </c>
      <c r="G111" s="81">
        <v>0.15</v>
      </c>
    </row>
    <row r="112" spans="2:7" ht="23.25" x14ac:dyDescent="0.25">
      <c r="B112" s="113"/>
      <c r="C112" s="114"/>
      <c r="D112" s="115" t="s">
        <v>183</v>
      </c>
      <c r="E112" s="116"/>
      <c r="F112" s="117"/>
      <c r="G112" s="118"/>
    </row>
    <row r="113" spans="2:7" ht="21" x14ac:dyDescent="0.25">
      <c r="B113" s="120">
        <v>6527</v>
      </c>
      <c r="C113" s="69">
        <v>1001031076527</v>
      </c>
      <c r="D113" s="74" t="s">
        <v>152</v>
      </c>
      <c r="E113" s="89"/>
      <c r="F113" s="77" t="s">
        <v>22</v>
      </c>
      <c r="G113" s="78">
        <v>1</v>
      </c>
    </row>
    <row r="114" spans="2:7" ht="21" x14ac:dyDescent="0.25">
      <c r="B114" s="86">
        <v>6550</v>
      </c>
      <c r="C114" s="73">
        <v>1001032736550</v>
      </c>
      <c r="D114" s="74" t="s">
        <v>151</v>
      </c>
      <c r="E114" s="89"/>
      <c r="F114" s="77" t="s">
        <v>22</v>
      </c>
      <c r="G114" s="78">
        <v>1</v>
      </c>
    </row>
    <row r="115" spans="2:7" ht="21" x14ac:dyDescent="0.25">
      <c r="B115" s="86">
        <v>6549</v>
      </c>
      <c r="C115" s="73">
        <v>1001032736549</v>
      </c>
      <c r="D115" s="74" t="s">
        <v>184</v>
      </c>
      <c r="E115" s="91"/>
      <c r="F115" s="77" t="s">
        <v>22</v>
      </c>
      <c r="G115" s="78">
        <v>1</v>
      </c>
    </row>
    <row r="116" spans="2:7" ht="21" x14ac:dyDescent="0.25">
      <c r="B116" s="120">
        <v>7001</v>
      </c>
      <c r="C116" s="69">
        <v>1001035937001</v>
      </c>
      <c r="D116" s="74" t="s">
        <v>57</v>
      </c>
      <c r="E116" s="74"/>
      <c r="F116" s="77" t="s">
        <v>22</v>
      </c>
      <c r="G116" s="78">
        <v>1</v>
      </c>
    </row>
    <row r="117" spans="2:7" ht="21" x14ac:dyDescent="0.25">
      <c r="B117" s="86">
        <v>6608</v>
      </c>
      <c r="C117" s="73">
        <v>1001033856608</v>
      </c>
      <c r="D117" s="74" t="s">
        <v>58</v>
      </c>
      <c r="E117" s="74"/>
      <c r="F117" s="77" t="s">
        <v>22</v>
      </c>
      <c r="G117" s="78">
        <v>1</v>
      </c>
    </row>
    <row r="118" spans="2:7" ht="21" x14ac:dyDescent="0.25">
      <c r="B118" s="66">
        <v>7059</v>
      </c>
      <c r="C118" s="93">
        <v>1001035277059</v>
      </c>
      <c r="D118" s="70" t="s">
        <v>154</v>
      </c>
      <c r="E118" s="91"/>
      <c r="F118" s="80" t="s">
        <v>20</v>
      </c>
      <c r="G118" s="81">
        <v>0.3</v>
      </c>
    </row>
    <row r="119" spans="2:7" ht="21" x14ac:dyDescent="0.25">
      <c r="B119" s="66">
        <v>6609</v>
      </c>
      <c r="C119" s="72">
        <v>1001033856609</v>
      </c>
      <c r="D119" s="70" t="s">
        <v>153</v>
      </c>
      <c r="E119" s="70"/>
      <c r="F119" s="80" t="s">
        <v>20</v>
      </c>
      <c r="G119" s="81">
        <v>0.4</v>
      </c>
    </row>
    <row r="120" spans="2:7" ht="23.25" x14ac:dyDescent="0.25">
      <c r="B120" s="84"/>
      <c r="C120" s="107"/>
      <c r="D120" s="108" t="s">
        <v>185</v>
      </c>
      <c r="E120" s="109"/>
      <c r="F120" s="110"/>
      <c r="G120" s="111"/>
    </row>
    <row r="121" spans="2:7" ht="21" x14ac:dyDescent="0.25">
      <c r="B121" s="86">
        <v>6767</v>
      </c>
      <c r="C121" s="73">
        <v>1001023696767</v>
      </c>
      <c r="D121" s="74" t="s">
        <v>43</v>
      </c>
      <c r="E121" s="89"/>
      <c r="F121" s="77" t="s">
        <v>22</v>
      </c>
      <c r="G121" s="78">
        <v>1</v>
      </c>
    </row>
    <row r="122" spans="2:7" ht="21" x14ac:dyDescent="0.25">
      <c r="B122" s="66">
        <v>6761</v>
      </c>
      <c r="C122" s="72">
        <v>1001020836761</v>
      </c>
      <c r="D122" s="70" t="s">
        <v>52</v>
      </c>
      <c r="E122" s="70"/>
      <c r="F122" s="80" t="s">
        <v>22</v>
      </c>
      <c r="G122" s="81">
        <v>1</v>
      </c>
    </row>
    <row r="123" spans="2:7" ht="21" x14ac:dyDescent="0.25">
      <c r="B123" s="66">
        <v>6764</v>
      </c>
      <c r="C123" s="72">
        <v>1001020846764</v>
      </c>
      <c r="D123" s="70" t="s">
        <v>48</v>
      </c>
      <c r="E123" s="67"/>
      <c r="F123" s="80" t="s">
        <v>22</v>
      </c>
      <c r="G123" s="81">
        <v>1</v>
      </c>
    </row>
    <row r="124" spans="2:7" ht="21" x14ac:dyDescent="0.25">
      <c r="B124" s="86">
        <v>6254</v>
      </c>
      <c r="C124" s="73">
        <v>1001022556254</v>
      </c>
      <c r="D124" s="74" t="s">
        <v>162</v>
      </c>
      <c r="E124" s="74"/>
      <c r="F124" s="77" t="s">
        <v>22</v>
      </c>
      <c r="G124" s="78">
        <v>1</v>
      </c>
    </row>
    <row r="125" spans="2:7" ht="21" x14ac:dyDescent="0.25">
      <c r="B125" s="66">
        <v>7075</v>
      </c>
      <c r="C125" s="72">
        <v>1001022657075</v>
      </c>
      <c r="D125" s="70" t="s">
        <v>49</v>
      </c>
      <c r="E125" s="70"/>
      <c r="F125" s="80" t="s">
        <v>22</v>
      </c>
      <c r="G125" s="81">
        <v>1</v>
      </c>
    </row>
    <row r="126" spans="2:7" ht="21" x14ac:dyDescent="0.25">
      <c r="B126" s="120">
        <v>7083</v>
      </c>
      <c r="C126" s="72">
        <v>1001022467083</v>
      </c>
      <c r="D126" s="70" t="s">
        <v>160</v>
      </c>
      <c r="E126" s="89"/>
      <c r="F126" s="80" t="s">
        <v>22</v>
      </c>
      <c r="G126" s="81">
        <v>1</v>
      </c>
    </row>
    <row r="127" spans="2:7" ht="21" x14ac:dyDescent="0.25">
      <c r="B127" s="86">
        <v>6829</v>
      </c>
      <c r="C127" s="73">
        <v>1001024976829</v>
      </c>
      <c r="D127" s="74" t="s">
        <v>156</v>
      </c>
      <c r="E127" s="89"/>
      <c r="F127" s="77" t="s">
        <v>22</v>
      </c>
      <c r="G127" s="78">
        <v>1</v>
      </c>
    </row>
    <row r="128" spans="2:7" ht="21" x14ac:dyDescent="0.25">
      <c r="B128" s="120">
        <v>7070</v>
      </c>
      <c r="C128" s="73">
        <v>1001022377070</v>
      </c>
      <c r="D128" s="74" t="s">
        <v>44</v>
      </c>
      <c r="E128" s="74"/>
      <c r="F128" s="77" t="s">
        <v>22</v>
      </c>
      <c r="G128" s="78">
        <v>1</v>
      </c>
    </row>
    <row r="129" spans="2:7" ht="21" x14ac:dyDescent="0.25">
      <c r="B129" s="86">
        <v>7076</v>
      </c>
      <c r="C129" s="73">
        <v>1001022657076</v>
      </c>
      <c r="D129" s="74" t="s">
        <v>186</v>
      </c>
      <c r="E129" s="89"/>
      <c r="F129" s="77" t="s">
        <v>22</v>
      </c>
      <c r="G129" s="78">
        <v>1</v>
      </c>
    </row>
    <row r="130" spans="2:7" ht="21" x14ac:dyDescent="0.25">
      <c r="B130" s="66">
        <v>7271</v>
      </c>
      <c r="C130" s="72">
        <v>1001025507271</v>
      </c>
      <c r="D130" s="70" t="s">
        <v>159</v>
      </c>
      <c r="E130" s="70"/>
      <c r="F130" s="80" t="s">
        <v>22</v>
      </c>
      <c r="G130" s="81">
        <v>1</v>
      </c>
    </row>
    <row r="131" spans="2:7" ht="21" x14ac:dyDescent="0.25">
      <c r="B131" s="86">
        <v>6303</v>
      </c>
      <c r="C131" s="73">
        <v>1001022726303</v>
      </c>
      <c r="D131" s="74" t="s">
        <v>158</v>
      </c>
      <c r="E131" s="89"/>
      <c r="F131" s="77" t="s">
        <v>22</v>
      </c>
      <c r="G131" s="78">
        <v>1</v>
      </c>
    </row>
    <row r="132" spans="2:7" ht="21" x14ac:dyDescent="0.25">
      <c r="B132" s="86">
        <v>6661</v>
      </c>
      <c r="C132" s="73">
        <v>1001022246661</v>
      </c>
      <c r="D132" s="74" t="s">
        <v>161</v>
      </c>
      <c r="E132" s="74"/>
      <c r="F132" s="77" t="s">
        <v>22</v>
      </c>
      <c r="G132" s="78">
        <v>1</v>
      </c>
    </row>
    <row r="133" spans="2:7" ht="21" x14ac:dyDescent="0.25">
      <c r="B133" s="66">
        <v>6759</v>
      </c>
      <c r="C133" s="72">
        <v>1001020836759</v>
      </c>
      <c r="D133" s="70" t="s">
        <v>41</v>
      </c>
      <c r="E133" s="67"/>
      <c r="F133" s="80" t="s">
        <v>20</v>
      </c>
      <c r="G133" s="81">
        <v>0.4</v>
      </c>
    </row>
    <row r="134" spans="2:7" ht="21" x14ac:dyDescent="0.25">
      <c r="B134" s="66">
        <v>6762</v>
      </c>
      <c r="C134" s="72">
        <v>1001020846762</v>
      </c>
      <c r="D134" s="70" t="s">
        <v>39</v>
      </c>
      <c r="E134" s="67"/>
      <c r="F134" s="80" t="s">
        <v>20</v>
      </c>
      <c r="G134" s="81">
        <v>0.41</v>
      </c>
    </row>
    <row r="135" spans="2:7" ht="21" x14ac:dyDescent="0.25">
      <c r="B135" s="86">
        <v>6765</v>
      </c>
      <c r="C135" s="73">
        <v>1001023696765</v>
      </c>
      <c r="D135" s="74" t="s">
        <v>40</v>
      </c>
      <c r="E135" s="89"/>
      <c r="F135" s="77" t="s">
        <v>20</v>
      </c>
      <c r="G135" s="78">
        <v>0.36</v>
      </c>
    </row>
    <row r="136" spans="2:7" ht="21" x14ac:dyDescent="0.25">
      <c r="B136" s="66">
        <v>7074</v>
      </c>
      <c r="C136" s="69">
        <v>1001022657074</v>
      </c>
      <c r="D136" s="70" t="s">
        <v>157</v>
      </c>
      <c r="E136" s="67"/>
      <c r="F136" s="80" t="s">
        <v>20</v>
      </c>
      <c r="G136" s="81">
        <v>0.6</v>
      </c>
    </row>
    <row r="137" spans="2:7" ht="21" x14ac:dyDescent="0.25">
      <c r="B137" s="66">
        <v>7123</v>
      </c>
      <c r="C137" s="72">
        <v>1001020867123</v>
      </c>
      <c r="D137" s="70" t="s">
        <v>187</v>
      </c>
      <c r="E137" s="74"/>
      <c r="F137" s="77" t="s">
        <v>20</v>
      </c>
      <c r="G137" s="78">
        <v>0.3</v>
      </c>
    </row>
    <row r="138" spans="2:7" ht="21" x14ac:dyDescent="0.25">
      <c r="B138" s="86">
        <v>5819</v>
      </c>
      <c r="C138" s="73">
        <v>1001022725819</v>
      </c>
      <c r="D138" s="74" t="s">
        <v>38</v>
      </c>
      <c r="E138" s="89"/>
      <c r="F138" s="77" t="s">
        <v>20</v>
      </c>
      <c r="G138" s="78">
        <v>0.4</v>
      </c>
    </row>
    <row r="139" spans="2:7" ht="21" x14ac:dyDescent="0.25">
      <c r="B139" s="66">
        <v>6475</v>
      </c>
      <c r="C139" s="69">
        <v>1001025176475</v>
      </c>
      <c r="D139" s="70" t="s">
        <v>45</v>
      </c>
      <c r="E139" s="70"/>
      <c r="F139" s="77" t="s">
        <v>20</v>
      </c>
      <c r="G139" s="78">
        <v>0.4</v>
      </c>
    </row>
    <row r="140" spans="2:7" ht="21" x14ac:dyDescent="0.25">
      <c r="B140" s="121">
        <v>7284</v>
      </c>
      <c r="C140" s="93">
        <v>1001025767284</v>
      </c>
      <c r="D140" s="112" t="s">
        <v>188</v>
      </c>
      <c r="E140" s="92"/>
      <c r="F140" s="122" t="s">
        <v>20</v>
      </c>
      <c r="G140" s="123">
        <v>0.33</v>
      </c>
    </row>
    <row r="141" spans="2:7" ht="21" x14ac:dyDescent="0.25">
      <c r="B141" s="66">
        <v>7601</v>
      </c>
      <c r="C141" s="72">
        <v>1001025767601</v>
      </c>
      <c r="D141" s="70" t="s">
        <v>189</v>
      </c>
      <c r="E141" s="91"/>
      <c r="F141" s="80" t="s">
        <v>20</v>
      </c>
      <c r="G141" s="81">
        <v>0.26</v>
      </c>
    </row>
    <row r="142" spans="2:7" ht="21" x14ac:dyDescent="0.25">
      <c r="B142" s="121">
        <v>7461</v>
      </c>
      <c r="C142" s="95">
        <v>1001025767461</v>
      </c>
      <c r="D142" s="112" t="s">
        <v>190</v>
      </c>
      <c r="E142" s="91"/>
      <c r="F142" s="124" t="s">
        <v>20</v>
      </c>
      <c r="G142" s="97">
        <v>0.33</v>
      </c>
    </row>
    <row r="143" spans="2:7" ht="21" x14ac:dyDescent="0.25">
      <c r="B143" s="71">
        <v>7371</v>
      </c>
      <c r="C143" s="76">
        <v>1001026947371</v>
      </c>
      <c r="D143" s="70" t="s">
        <v>191</v>
      </c>
      <c r="E143" s="88"/>
      <c r="F143" s="80" t="s">
        <v>20</v>
      </c>
      <c r="G143" s="81">
        <v>0.3</v>
      </c>
    </row>
    <row r="144" spans="2:7" ht="21" x14ac:dyDescent="0.25">
      <c r="B144" s="121">
        <v>6837</v>
      </c>
      <c r="C144" s="95">
        <v>1001022556837</v>
      </c>
      <c r="D144" s="112" t="s">
        <v>47</v>
      </c>
      <c r="E144" s="112"/>
      <c r="F144" s="122" t="s">
        <v>20</v>
      </c>
      <c r="G144" s="123">
        <v>0.4</v>
      </c>
    </row>
    <row r="145" spans="2:7" ht="21" x14ac:dyDescent="0.25">
      <c r="B145" s="121">
        <v>7080</v>
      </c>
      <c r="C145" s="95">
        <v>1001022467080</v>
      </c>
      <c r="D145" s="96" t="s">
        <v>53</v>
      </c>
      <c r="E145" s="96"/>
      <c r="F145" s="124" t="s">
        <v>20</v>
      </c>
      <c r="G145" s="97">
        <v>0.41</v>
      </c>
    </row>
    <row r="146" spans="2:7" ht="21" x14ac:dyDescent="0.25">
      <c r="B146" s="66">
        <v>6724</v>
      </c>
      <c r="C146" s="72">
        <v>1001020836724</v>
      </c>
      <c r="D146" s="70" t="s">
        <v>51</v>
      </c>
      <c r="E146" s="70"/>
      <c r="F146" s="80" t="s">
        <v>20</v>
      </c>
      <c r="G146" s="81">
        <v>0.41</v>
      </c>
    </row>
    <row r="147" spans="2:7" ht="21" x14ac:dyDescent="0.25">
      <c r="B147" s="66">
        <v>7066</v>
      </c>
      <c r="C147" s="72">
        <v>1001022377066</v>
      </c>
      <c r="D147" s="70" t="s">
        <v>55</v>
      </c>
      <c r="E147" s="70"/>
      <c r="F147" s="80" t="s">
        <v>20</v>
      </c>
      <c r="G147" s="81">
        <v>0.41</v>
      </c>
    </row>
    <row r="148" spans="2:7" ht="21" x14ac:dyDescent="0.25">
      <c r="B148" s="86">
        <v>6713</v>
      </c>
      <c r="C148" s="69">
        <v>1001022246713</v>
      </c>
      <c r="D148" s="70" t="s">
        <v>46</v>
      </c>
      <c r="E148" s="70"/>
      <c r="F148" s="77" t="s">
        <v>20</v>
      </c>
      <c r="G148" s="78">
        <v>0.41</v>
      </c>
    </row>
    <row r="149" spans="2:7" ht="21" x14ac:dyDescent="0.25">
      <c r="B149" s="66">
        <v>7255</v>
      </c>
      <c r="C149" s="72">
        <v>1001025507255</v>
      </c>
      <c r="D149" s="70" t="s">
        <v>37</v>
      </c>
      <c r="E149" s="74"/>
      <c r="F149" s="80" t="s">
        <v>20</v>
      </c>
      <c r="G149" s="81">
        <v>0.4</v>
      </c>
    </row>
    <row r="150" spans="2:7" ht="21" x14ac:dyDescent="0.25">
      <c r="B150" s="66">
        <v>6602</v>
      </c>
      <c r="C150" s="72">
        <v>1001021966602</v>
      </c>
      <c r="D150" s="70" t="s">
        <v>155</v>
      </c>
      <c r="E150" s="67"/>
      <c r="F150" s="80" t="s">
        <v>20</v>
      </c>
      <c r="G150" s="81">
        <v>0.35</v>
      </c>
    </row>
    <row r="151" spans="2:7" ht="21" x14ac:dyDescent="0.25">
      <c r="B151" s="66">
        <v>7073</v>
      </c>
      <c r="C151" s="72">
        <v>1001022657073</v>
      </c>
      <c r="D151" s="70" t="s">
        <v>50</v>
      </c>
      <c r="E151" s="70"/>
      <c r="F151" s="80" t="s">
        <v>20</v>
      </c>
      <c r="G151" s="81">
        <v>0.35</v>
      </c>
    </row>
    <row r="152" spans="2:7" ht="21" x14ac:dyDescent="0.25">
      <c r="B152" s="121">
        <v>7276</v>
      </c>
      <c r="C152" s="95">
        <v>1001022467276</v>
      </c>
      <c r="D152" s="96" t="s">
        <v>54</v>
      </c>
      <c r="E152" s="96"/>
      <c r="F152" s="124" t="s">
        <v>20</v>
      </c>
      <c r="G152" s="97">
        <v>0.3</v>
      </c>
    </row>
    <row r="153" spans="2:7" ht="21" x14ac:dyDescent="0.25">
      <c r="B153" s="66">
        <v>6616</v>
      </c>
      <c r="C153" s="69">
        <v>1001024976616</v>
      </c>
      <c r="D153" s="70" t="s">
        <v>42</v>
      </c>
      <c r="E153" s="67"/>
      <c r="F153" s="80" t="s">
        <v>20</v>
      </c>
      <c r="G153" s="81">
        <v>0.3</v>
      </c>
    </row>
    <row r="154" spans="2:7" ht="21" x14ac:dyDescent="0.25">
      <c r="B154" s="71">
        <v>7385</v>
      </c>
      <c r="C154" s="72">
        <v>1001027067385</v>
      </c>
      <c r="D154" s="88" t="s">
        <v>163</v>
      </c>
      <c r="E154" s="70"/>
      <c r="F154" s="80" t="s">
        <v>20</v>
      </c>
      <c r="G154" s="81">
        <v>0.33</v>
      </c>
    </row>
    <row r="155" spans="2:7" ht="21" x14ac:dyDescent="0.25">
      <c r="B155" s="94">
        <v>7044</v>
      </c>
      <c r="C155" s="95">
        <v>1001025167044</v>
      </c>
      <c r="D155" s="96" t="s">
        <v>164</v>
      </c>
      <c r="E155" s="91"/>
      <c r="F155" s="80" t="s">
        <v>20</v>
      </c>
      <c r="G155" s="97">
        <v>0.32</v>
      </c>
    </row>
    <row r="156" spans="2:7" ht="21" x14ac:dyDescent="0.25">
      <c r="B156" s="94">
        <v>7460</v>
      </c>
      <c r="C156" s="95">
        <v>1001027247460</v>
      </c>
      <c r="D156" s="96" t="s">
        <v>165</v>
      </c>
      <c r="E156" s="91"/>
      <c r="F156" s="80" t="s">
        <v>20</v>
      </c>
      <c r="G156" s="97">
        <v>0.33</v>
      </c>
    </row>
  </sheetData>
  <conditionalFormatting sqref="B18">
    <cfRule type="duplicateValues" dxfId="373" priority="800"/>
    <cfRule type="duplicateValues" dxfId="372" priority="801"/>
    <cfRule type="duplicateValues" dxfId="371" priority="802"/>
    <cfRule type="duplicateValues" dxfId="370" priority="803"/>
    <cfRule type="duplicateValues" dxfId="369" priority="804"/>
    <cfRule type="duplicateValues" dxfId="368" priority="805"/>
    <cfRule type="duplicateValues" dxfId="367" priority="806"/>
    <cfRule type="duplicateValues" dxfId="366" priority="807"/>
    <cfRule type="duplicateValues" dxfId="365" priority="808"/>
    <cfRule type="duplicateValues" dxfId="364" priority="809"/>
  </conditionalFormatting>
  <conditionalFormatting sqref="B125">
    <cfRule type="duplicateValues" dxfId="363" priority="286"/>
    <cfRule type="duplicateValues" dxfId="362" priority="287"/>
    <cfRule type="duplicateValues" dxfId="361" priority="288"/>
  </conditionalFormatting>
  <conditionalFormatting sqref="B77:B78 B120:B123 B125:B127 B26:B27 B89 B45 B50">
    <cfRule type="duplicateValues" dxfId="360" priority="285"/>
  </conditionalFormatting>
  <conditionalFormatting sqref="B127 B77:B78 B120:B123 B26:B27 B89 B45 B50">
    <cfRule type="duplicateValues" dxfId="359" priority="289"/>
  </conditionalFormatting>
  <conditionalFormatting sqref="B127">
    <cfRule type="duplicateValues" dxfId="358" priority="292"/>
  </conditionalFormatting>
  <conditionalFormatting sqref="B127">
    <cfRule type="duplicateValues" dxfId="357" priority="290"/>
  </conditionalFormatting>
  <conditionalFormatting sqref="B127:C127 B77:C78 C124 B120:C123 B26:C27 B89:C89 B45:C45 B50:C50">
    <cfRule type="duplicateValues" dxfId="356" priority="291"/>
  </conditionalFormatting>
  <conditionalFormatting sqref="B2">
    <cfRule type="duplicateValues" dxfId="355" priority="284"/>
  </conditionalFormatting>
  <conditionalFormatting sqref="B4:B6 B2">
    <cfRule type="duplicateValues" dxfId="354" priority="293"/>
  </conditionalFormatting>
  <conditionalFormatting sqref="B80">
    <cfRule type="duplicateValues" dxfId="353" priority="282"/>
  </conditionalFormatting>
  <conditionalFormatting sqref="B80">
    <cfRule type="duplicateValues" dxfId="352" priority="281"/>
  </conditionalFormatting>
  <conditionalFormatting sqref="B80">
    <cfRule type="duplicateValues" dxfId="351" priority="279"/>
    <cfRule type="duplicateValues" dxfId="350" priority="280"/>
  </conditionalFormatting>
  <conditionalFormatting sqref="B80">
    <cfRule type="duplicateValues" dxfId="349" priority="283"/>
  </conditionalFormatting>
  <conditionalFormatting sqref="B90">
    <cfRule type="duplicateValues" dxfId="348" priority="275"/>
    <cfRule type="duplicateValues" dxfId="347" priority="276"/>
    <cfRule type="duplicateValues" dxfId="346" priority="277"/>
    <cfRule type="duplicateValues" dxfId="345" priority="278"/>
  </conditionalFormatting>
  <conditionalFormatting sqref="B91">
    <cfRule type="duplicateValues" dxfId="344" priority="271"/>
    <cfRule type="duplicateValues" dxfId="343" priority="272"/>
  </conditionalFormatting>
  <conditionalFormatting sqref="B91">
    <cfRule type="duplicateValues" dxfId="342" priority="273"/>
  </conditionalFormatting>
  <conditionalFormatting sqref="B91">
    <cfRule type="duplicateValues" dxfId="341" priority="274"/>
  </conditionalFormatting>
  <conditionalFormatting sqref="B81">
    <cfRule type="duplicateValues" dxfId="340" priority="294"/>
  </conditionalFormatting>
  <conditionalFormatting sqref="B81">
    <cfRule type="duplicateValues" dxfId="339" priority="295"/>
    <cfRule type="duplicateValues" dxfId="338" priority="296"/>
  </conditionalFormatting>
  <conditionalFormatting sqref="B6">
    <cfRule type="duplicateValues" dxfId="337" priority="297"/>
    <cfRule type="duplicateValues" dxfId="336" priority="298"/>
    <cfRule type="duplicateValues" dxfId="335" priority="299"/>
  </conditionalFormatting>
  <conditionalFormatting sqref="B52">
    <cfRule type="duplicateValues" dxfId="334" priority="300"/>
    <cfRule type="duplicateValues" dxfId="333" priority="301"/>
    <cfRule type="duplicateValues" dxfId="332" priority="302"/>
    <cfRule type="duplicateValues" dxfId="331" priority="303"/>
    <cfRule type="duplicateValues" dxfId="330" priority="304"/>
    <cfRule type="duplicateValues" dxfId="329" priority="305"/>
    <cfRule type="duplicateValues" dxfId="328" priority="306"/>
    <cfRule type="duplicateValues" dxfId="327" priority="307"/>
    <cfRule type="duplicateValues" dxfId="326" priority="308"/>
  </conditionalFormatting>
  <conditionalFormatting sqref="B52:C52">
    <cfRule type="duplicateValues" dxfId="325" priority="309"/>
  </conditionalFormatting>
  <conditionalFormatting sqref="B41:B44">
    <cfRule type="duplicateValues" dxfId="324" priority="264"/>
  </conditionalFormatting>
  <conditionalFormatting sqref="B41:B44">
    <cfRule type="duplicateValues" dxfId="323" priority="265"/>
  </conditionalFormatting>
  <conditionalFormatting sqref="B41:B44">
    <cfRule type="duplicateValues" dxfId="322" priority="266"/>
  </conditionalFormatting>
  <conditionalFormatting sqref="B41:C44">
    <cfRule type="duplicateValues" dxfId="321" priority="267"/>
  </conditionalFormatting>
  <conditionalFormatting sqref="B41:B44">
    <cfRule type="duplicateValues" dxfId="320" priority="268"/>
    <cfRule type="duplicateValues" dxfId="319" priority="269"/>
    <cfRule type="duplicateValues" dxfId="318" priority="270"/>
  </conditionalFormatting>
  <conditionalFormatting sqref="B10">
    <cfRule type="duplicateValues" dxfId="317" priority="260"/>
  </conditionalFormatting>
  <conditionalFormatting sqref="B10">
    <cfRule type="duplicateValues" dxfId="316" priority="261"/>
  </conditionalFormatting>
  <conditionalFormatting sqref="B10">
    <cfRule type="duplicateValues" dxfId="315" priority="262"/>
  </conditionalFormatting>
  <conditionalFormatting sqref="B10">
    <cfRule type="duplicateValues" dxfId="314" priority="263"/>
  </conditionalFormatting>
  <conditionalFormatting sqref="B29:B31">
    <cfRule type="duplicateValues" dxfId="313" priority="256"/>
  </conditionalFormatting>
  <conditionalFormatting sqref="B29:B31">
    <cfRule type="duplicateValues" dxfId="312" priority="257"/>
  </conditionalFormatting>
  <conditionalFormatting sqref="B29:B31">
    <cfRule type="duplicateValues" dxfId="311" priority="258"/>
  </conditionalFormatting>
  <conditionalFormatting sqref="B29:B31">
    <cfRule type="duplicateValues" dxfId="310" priority="259"/>
  </conditionalFormatting>
  <conditionalFormatting sqref="B37:B39">
    <cfRule type="duplicateValues" dxfId="309" priority="241"/>
  </conditionalFormatting>
  <conditionalFormatting sqref="B37:B39">
    <cfRule type="duplicateValues" dxfId="308" priority="242"/>
  </conditionalFormatting>
  <conditionalFormatting sqref="B37:B39">
    <cfRule type="duplicateValues" dxfId="307" priority="243"/>
  </conditionalFormatting>
  <conditionalFormatting sqref="C40">
    <cfRule type="duplicateValues" dxfId="306" priority="244"/>
  </conditionalFormatting>
  <conditionalFormatting sqref="B40">
    <cfRule type="duplicateValues" dxfId="305" priority="245"/>
  </conditionalFormatting>
  <conditionalFormatting sqref="B40">
    <cfRule type="duplicateValues" dxfId="304" priority="246"/>
    <cfRule type="duplicateValues" dxfId="303" priority="247"/>
    <cfRule type="duplicateValues" dxfId="302" priority="248"/>
    <cfRule type="duplicateValues" dxfId="301" priority="249"/>
    <cfRule type="duplicateValues" dxfId="300" priority="250"/>
    <cfRule type="duplicateValues" dxfId="299" priority="251"/>
    <cfRule type="duplicateValues" dxfId="298" priority="252"/>
    <cfRule type="duplicateValues" dxfId="297" priority="253"/>
    <cfRule type="duplicateValues" dxfId="296" priority="254"/>
  </conditionalFormatting>
  <conditionalFormatting sqref="B38:B39">
    <cfRule type="duplicateValues" dxfId="295" priority="255"/>
  </conditionalFormatting>
  <conditionalFormatting sqref="B46:B47">
    <cfRule type="duplicateValues" dxfId="294" priority="237"/>
  </conditionalFormatting>
  <conditionalFormatting sqref="B46:B47">
    <cfRule type="duplicateValues" dxfId="293" priority="238"/>
  </conditionalFormatting>
  <conditionalFormatting sqref="B46:B47">
    <cfRule type="duplicateValues" dxfId="292" priority="239"/>
  </conditionalFormatting>
  <conditionalFormatting sqref="B46:B47">
    <cfRule type="duplicateValues" dxfId="291" priority="240"/>
  </conditionalFormatting>
  <conditionalFormatting sqref="B60 B54:B58">
    <cfRule type="duplicateValues" dxfId="290" priority="229"/>
  </conditionalFormatting>
  <conditionalFormatting sqref="B60">
    <cfRule type="duplicateValues" dxfId="289" priority="230"/>
  </conditionalFormatting>
  <conditionalFormatting sqref="B60">
    <cfRule type="duplicateValues" dxfId="288" priority="231"/>
  </conditionalFormatting>
  <conditionalFormatting sqref="B53">
    <cfRule type="duplicateValues" dxfId="287" priority="232"/>
    <cfRule type="duplicateValues" dxfId="286" priority="233"/>
    <cfRule type="duplicateValues" dxfId="285" priority="234"/>
    <cfRule type="duplicateValues" dxfId="284" priority="235"/>
  </conditionalFormatting>
  <conditionalFormatting sqref="B60">
    <cfRule type="duplicateValues" dxfId="283" priority="236"/>
  </conditionalFormatting>
  <conditionalFormatting sqref="B82:B84">
    <cfRule type="duplicateValues" dxfId="282" priority="225"/>
  </conditionalFormatting>
  <conditionalFormatting sqref="B82:B84">
    <cfRule type="duplicateValues" dxfId="281" priority="226"/>
  </conditionalFormatting>
  <conditionalFormatting sqref="B82:B84">
    <cfRule type="duplicateValues" dxfId="280" priority="227"/>
  </conditionalFormatting>
  <conditionalFormatting sqref="B82:B84">
    <cfRule type="duplicateValues" dxfId="279" priority="228"/>
  </conditionalFormatting>
  <conditionalFormatting sqref="B114:B115">
    <cfRule type="duplicateValues" dxfId="278" priority="212"/>
    <cfRule type="duplicateValues" dxfId="277" priority="213"/>
    <cfRule type="duplicateValues" dxfId="276" priority="214"/>
    <cfRule type="duplicateValues" dxfId="275" priority="215"/>
  </conditionalFormatting>
  <conditionalFormatting sqref="B116">
    <cfRule type="duplicateValues" dxfId="274" priority="202"/>
    <cfRule type="duplicateValues" dxfId="273" priority="203"/>
    <cfRule type="duplicateValues" dxfId="272" priority="204"/>
    <cfRule type="duplicateValues" dxfId="271" priority="205"/>
    <cfRule type="duplicateValues" dxfId="270" priority="206"/>
    <cfRule type="duplicateValues" dxfId="269" priority="208"/>
    <cfRule type="duplicateValues" dxfId="268" priority="209"/>
    <cfRule type="duplicateValues" dxfId="267" priority="210"/>
    <cfRule type="duplicateValues" dxfId="266" priority="211"/>
  </conditionalFormatting>
  <conditionalFormatting sqref="B112:B113">
    <cfRule type="duplicateValues" dxfId="265" priority="216"/>
  </conditionalFormatting>
  <conditionalFormatting sqref="B112:B113">
    <cfRule type="duplicateValues" dxfId="264" priority="217"/>
  </conditionalFormatting>
  <conditionalFormatting sqref="B112:B113">
    <cfRule type="duplicateValues" dxfId="263" priority="218"/>
  </conditionalFormatting>
  <conditionalFormatting sqref="B116:C116">
    <cfRule type="duplicateValues" dxfId="262" priority="207"/>
  </conditionalFormatting>
  <conditionalFormatting sqref="B117">
    <cfRule type="duplicateValues" dxfId="261" priority="219"/>
    <cfRule type="duplicateValues" dxfId="260" priority="220"/>
    <cfRule type="duplicateValues" dxfId="259" priority="221"/>
    <cfRule type="duplicateValues" dxfId="258" priority="222"/>
    <cfRule type="duplicateValues" dxfId="257" priority="223"/>
  </conditionalFormatting>
  <conditionalFormatting sqref="B113">
    <cfRule type="duplicateValues" dxfId="256" priority="224"/>
  </conditionalFormatting>
  <conditionalFormatting sqref="B134">
    <cfRule type="duplicateValues" dxfId="255" priority="198"/>
    <cfRule type="duplicateValues" dxfId="254" priority="199"/>
    <cfRule type="duplicateValues" dxfId="253" priority="200"/>
    <cfRule type="duplicateValues" dxfId="252" priority="201"/>
  </conditionalFormatting>
  <conditionalFormatting sqref="B133">
    <cfRule type="duplicateValues" dxfId="251" priority="195"/>
    <cfRule type="duplicateValues" dxfId="250" priority="196"/>
  </conditionalFormatting>
  <conditionalFormatting sqref="B133">
    <cfRule type="duplicateValues" dxfId="249" priority="197"/>
  </conditionalFormatting>
  <conditionalFormatting sqref="B135:B137 B128:B132">
    <cfRule type="duplicateValues" dxfId="248" priority="310"/>
  </conditionalFormatting>
  <conditionalFormatting sqref="B135:B137">
    <cfRule type="duplicateValues" dxfId="247" priority="311"/>
  </conditionalFormatting>
  <conditionalFormatting sqref="B92:B95">
    <cfRule type="duplicateValues" dxfId="246" priority="312"/>
  </conditionalFormatting>
  <conditionalFormatting sqref="B93:B95">
    <cfRule type="duplicateValues" dxfId="245" priority="313"/>
  </conditionalFormatting>
  <conditionalFormatting sqref="B92:B95">
    <cfRule type="duplicateValues" dxfId="244" priority="314"/>
  </conditionalFormatting>
  <conditionalFormatting sqref="B19:B22 B17 B14">
    <cfRule type="duplicateValues" dxfId="243" priority="194"/>
  </conditionalFormatting>
  <conditionalFormatting sqref="C14">
    <cfRule type="duplicateValues" dxfId="242" priority="193"/>
  </conditionalFormatting>
  <conditionalFormatting sqref="C22">
    <cfRule type="duplicateValues" dxfId="241" priority="192"/>
  </conditionalFormatting>
  <conditionalFormatting sqref="B32">
    <cfRule type="duplicateValues" dxfId="240" priority="190"/>
  </conditionalFormatting>
  <conditionalFormatting sqref="B32">
    <cfRule type="duplicateValues" dxfId="239" priority="188"/>
    <cfRule type="duplicateValues" dxfId="238" priority="189"/>
  </conditionalFormatting>
  <conditionalFormatting sqref="B32">
    <cfRule type="duplicateValues" dxfId="237" priority="191"/>
  </conditionalFormatting>
  <conditionalFormatting sqref="B33">
    <cfRule type="duplicateValues" dxfId="236" priority="187"/>
  </conditionalFormatting>
  <conditionalFormatting sqref="B33">
    <cfRule type="duplicateValues" dxfId="235" priority="184"/>
  </conditionalFormatting>
  <conditionalFormatting sqref="B33">
    <cfRule type="duplicateValues" dxfId="234" priority="185"/>
  </conditionalFormatting>
  <conditionalFormatting sqref="B33">
    <cfRule type="duplicateValues" dxfId="233" priority="186"/>
  </conditionalFormatting>
  <conditionalFormatting sqref="B34">
    <cfRule type="duplicateValues" dxfId="232" priority="182"/>
  </conditionalFormatting>
  <conditionalFormatting sqref="B34">
    <cfRule type="duplicateValues" dxfId="231" priority="180"/>
    <cfRule type="duplicateValues" dxfId="230" priority="181"/>
  </conditionalFormatting>
  <conditionalFormatting sqref="B34">
    <cfRule type="duplicateValues" dxfId="229" priority="183"/>
  </conditionalFormatting>
  <conditionalFormatting sqref="B28">
    <cfRule type="duplicateValues" dxfId="228" priority="178"/>
  </conditionalFormatting>
  <conditionalFormatting sqref="B28">
    <cfRule type="duplicateValues" dxfId="227" priority="176"/>
    <cfRule type="duplicateValues" dxfId="226" priority="177"/>
  </conditionalFormatting>
  <conditionalFormatting sqref="B28">
    <cfRule type="duplicateValues" dxfId="225" priority="179"/>
  </conditionalFormatting>
  <conditionalFormatting sqref="B61">
    <cfRule type="duplicateValues" dxfId="224" priority="174"/>
  </conditionalFormatting>
  <conditionalFormatting sqref="B61">
    <cfRule type="duplicateValues" dxfId="223" priority="172"/>
    <cfRule type="duplicateValues" dxfId="222" priority="173"/>
  </conditionalFormatting>
  <conditionalFormatting sqref="B61">
    <cfRule type="duplicateValues" dxfId="221" priority="175"/>
  </conditionalFormatting>
  <conditionalFormatting sqref="B63">
    <cfRule type="duplicateValues" dxfId="220" priority="162"/>
    <cfRule type="duplicateValues" dxfId="219" priority="163"/>
    <cfRule type="duplicateValues" dxfId="218" priority="164"/>
    <cfRule type="duplicateValues" dxfId="217" priority="165"/>
    <cfRule type="duplicateValues" dxfId="216" priority="166"/>
    <cfRule type="duplicateValues" dxfId="215" priority="168"/>
    <cfRule type="duplicateValues" dxfId="214" priority="169"/>
    <cfRule type="duplicateValues" dxfId="213" priority="170"/>
    <cfRule type="duplicateValues" dxfId="212" priority="171"/>
  </conditionalFormatting>
  <conditionalFormatting sqref="B63:C63">
    <cfRule type="duplicateValues" dxfId="211" priority="167"/>
  </conditionalFormatting>
  <conditionalFormatting sqref="B64">
    <cfRule type="duplicateValues" dxfId="210" priority="161"/>
  </conditionalFormatting>
  <conditionalFormatting sqref="B65">
    <cfRule type="duplicateValues" dxfId="209" priority="160"/>
  </conditionalFormatting>
  <conditionalFormatting sqref="B66">
    <cfRule type="duplicateValues" dxfId="208" priority="158"/>
  </conditionalFormatting>
  <conditionalFormatting sqref="B66">
    <cfRule type="duplicateValues" dxfId="207" priority="156"/>
    <cfRule type="duplicateValues" dxfId="206" priority="157"/>
  </conditionalFormatting>
  <conditionalFormatting sqref="B66">
    <cfRule type="duplicateValues" dxfId="205" priority="159"/>
  </conditionalFormatting>
  <conditionalFormatting sqref="B67">
    <cfRule type="duplicateValues" dxfId="204" priority="152"/>
    <cfRule type="duplicateValues" dxfId="203" priority="153"/>
    <cfRule type="duplicateValues" dxfId="202" priority="154"/>
    <cfRule type="duplicateValues" dxfId="201" priority="155"/>
  </conditionalFormatting>
  <conditionalFormatting sqref="B68">
    <cfRule type="duplicateValues" dxfId="200" priority="150"/>
  </conditionalFormatting>
  <conditionalFormatting sqref="B68">
    <cfRule type="duplicateValues" dxfId="199" priority="148"/>
    <cfRule type="duplicateValues" dxfId="198" priority="149"/>
  </conditionalFormatting>
  <conditionalFormatting sqref="B68">
    <cfRule type="duplicateValues" dxfId="197" priority="151"/>
  </conditionalFormatting>
  <conditionalFormatting sqref="B69">
    <cfRule type="duplicateValues" dxfId="196" priority="146"/>
  </conditionalFormatting>
  <conditionalFormatting sqref="B69">
    <cfRule type="duplicateValues" dxfId="195" priority="144"/>
    <cfRule type="duplicateValues" dxfId="194" priority="145"/>
  </conditionalFormatting>
  <conditionalFormatting sqref="B69">
    <cfRule type="duplicateValues" dxfId="193" priority="147"/>
  </conditionalFormatting>
  <conditionalFormatting sqref="B70">
    <cfRule type="duplicateValues" dxfId="192" priority="139"/>
    <cfRule type="duplicateValues" dxfId="191" priority="140"/>
  </conditionalFormatting>
  <conditionalFormatting sqref="B70">
    <cfRule type="duplicateValues" dxfId="190" priority="141"/>
  </conditionalFormatting>
  <conditionalFormatting sqref="B70">
    <cfRule type="duplicateValues" dxfId="189" priority="142"/>
    <cfRule type="duplicateValues" dxfId="188" priority="143"/>
  </conditionalFormatting>
  <conditionalFormatting sqref="B74">
    <cfRule type="duplicateValues" dxfId="187" priority="135"/>
  </conditionalFormatting>
  <conditionalFormatting sqref="B74:B75">
    <cfRule type="duplicateValues" dxfId="186" priority="133"/>
    <cfRule type="duplicateValues" dxfId="185" priority="134"/>
  </conditionalFormatting>
  <conditionalFormatting sqref="B74:B75">
    <cfRule type="duplicateValues" dxfId="184" priority="136"/>
  </conditionalFormatting>
  <conditionalFormatting sqref="B75">
    <cfRule type="duplicateValues" dxfId="183" priority="137"/>
    <cfRule type="duplicateValues" dxfId="182" priority="138"/>
  </conditionalFormatting>
  <conditionalFormatting sqref="B85">
    <cfRule type="duplicateValues" dxfId="181" priority="132"/>
  </conditionalFormatting>
  <conditionalFormatting sqref="B105">
    <cfRule type="duplicateValues" dxfId="180" priority="128"/>
    <cfRule type="duplicateValues" dxfId="179" priority="129"/>
    <cfRule type="duplicateValues" dxfId="178" priority="130"/>
  </conditionalFormatting>
  <conditionalFormatting sqref="B105">
    <cfRule type="duplicateValues" dxfId="177" priority="131"/>
  </conditionalFormatting>
  <conditionalFormatting sqref="B106">
    <cfRule type="duplicateValues" dxfId="176" priority="124"/>
    <cfRule type="duplicateValues" dxfId="175" priority="125"/>
    <cfRule type="duplicateValues" dxfId="174" priority="126"/>
    <cfRule type="duplicateValues" dxfId="173" priority="127"/>
  </conditionalFormatting>
  <conditionalFormatting sqref="B107">
    <cfRule type="duplicateValues" dxfId="172" priority="120"/>
    <cfRule type="duplicateValues" dxfId="171" priority="121"/>
    <cfRule type="duplicateValues" dxfId="170" priority="122"/>
    <cfRule type="duplicateValues" dxfId="169" priority="123"/>
  </conditionalFormatting>
  <conditionalFormatting sqref="B119">
    <cfRule type="duplicateValues" dxfId="168" priority="119"/>
  </conditionalFormatting>
  <conditionalFormatting sqref="B146">
    <cfRule type="duplicateValues" dxfId="167" priority="115"/>
    <cfRule type="duplicateValues" dxfId="166" priority="116"/>
  </conditionalFormatting>
  <conditionalFormatting sqref="B146">
    <cfRule type="duplicateValues" dxfId="165" priority="118"/>
  </conditionalFormatting>
  <conditionalFormatting sqref="B146">
    <cfRule type="duplicateValues" dxfId="164" priority="117"/>
  </conditionalFormatting>
  <conditionalFormatting sqref="B147:B148">
    <cfRule type="duplicateValues" dxfId="163" priority="111"/>
    <cfRule type="duplicateValues" dxfId="162" priority="112"/>
  </conditionalFormatting>
  <conditionalFormatting sqref="B147:B148">
    <cfRule type="duplicateValues" dxfId="161" priority="114"/>
  </conditionalFormatting>
  <conditionalFormatting sqref="B147:B148">
    <cfRule type="duplicateValues" dxfId="160" priority="113"/>
  </conditionalFormatting>
  <conditionalFormatting sqref="B25">
    <cfRule type="duplicateValues" dxfId="159" priority="315"/>
    <cfRule type="duplicateValues" dxfId="158" priority="316"/>
    <cfRule type="duplicateValues" dxfId="157" priority="317"/>
    <cfRule type="duplicateValues" dxfId="156" priority="318"/>
  </conditionalFormatting>
  <conditionalFormatting sqref="B48">
    <cfRule type="duplicateValues" dxfId="155" priority="319"/>
    <cfRule type="duplicateValues" dxfId="154" priority="320"/>
    <cfRule type="duplicateValues" dxfId="153" priority="321"/>
    <cfRule type="duplicateValues" dxfId="152" priority="322"/>
  </conditionalFormatting>
  <conditionalFormatting sqref="B71:B73">
    <cfRule type="duplicateValues" dxfId="151" priority="323"/>
    <cfRule type="duplicateValues" dxfId="150" priority="324"/>
    <cfRule type="duplicateValues" dxfId="149" priority="325"/>
    <cfRule type="duplicateValues" dxfId="148" priority="326"/>
  </conditionalFormatting>
  <conditionalFormatting sqref="B85:B87">
    <cfRule type="duplicateValues" dxfId="147" priority="327"/>
    <cfRule type="duplicateValues" dxfId="146" priority="328"/>
    <cfRule type="duplicateValues" dxfId="145" priority="329"/>
  </conditionalFormatting>
  <conditionalFormatting sqref="B86:B87">
    <cfRule type="duplicateValues" dxfId="144" priority="330"/>
  </conditionalFormatting>
  <conditionalFormatting sqref="B151">
    <cfRule type="duplicateValues" dxfId="143" priority="331"/>
    <cfRule type="duplicateValues" dxfId="142" priority="332"/>
  </conditionalFormatting>
  <conditionalFormatting sqref="B151">
    <cfRule type="duplicateValues" dxfId="141" priority="333"/>
  </conditionalFormatting>
  <conditionalFormatting sqref="B13">
    <cfRule type="duplicateValues" dxfId="140" priority="109"/>
  </conditionalFormatting>
  <conditionalFormatting sqref="B13">
    <cfRule type="duplicateValues" dxfId="139" priority="107"/>
    <cfRule type="duplicateValues" dxfId="138" priority="108"/>
  </conditionalFormatting>
  <conditionalFormatting sqref="B13">
    <cfRule type="duplicateValues" dxfId="137" priority="110"/>
  </conditionalFormatting>
  <conditionalFormatting sqref="B15:B16">
    <cfRule type="duplicateValues" dxfId="136" priority="96"/>
    <cfRule type="duplicateValues" dxfId="135" priority="97"/>
    <cfRule type="duplicateValues" dxfId="134" priority="98"/>
    <cfRule type="duplicateValues" dxfId="133" priority="99"/>
    <cfRule type="duplicateValues" dxfId="132" priority="100"/>
    <cfRule type="duplicateValues" dxfId="131" priority="101"/>
    <cfRule type="duplicateValues" dxfId="130" priority="102"/>
    <cfRule type="duplicateValues" dxfId="129" priority="103"/>
    <cfRule type="duplicateValues" dxfId="128" priority="104"/>
    <cfRule type="duplicateValues" dxfId="127" priority="105"/>
  </conditionalFormatting>
  <conditionalFormatting sqref="B15:B16">
    <cfRule type="duplicateValues" dxfId="126" priority="106"/>
  </conditionalFormatting>
  <conditionalFormatting sqref="B4:B5 B2">
    <cfRule type="duplicateValues" dxfId="125" priority="334"/>
  </conditionalFormatting>
  <conditionalFormatting sqref="B4:B5 B2">
    <cfRule type="duplicateValues" dxfId="124" priority="335"/>
    <cfRule type="duplicateValues" dxfId="123" priority="336"/>
    <cfRule type="duplicateValues" dxfId="122" priority="337"/>
  </conditionalFormatting>
  <conditionalFormatting sqref="B4:C6 B2:C2">
    <cfRule type="duplicateValues" dxfId="121" priority="338"/>
  </conditionalFormatting>
  <conditionalFormatting sqref="B7:B9">
    <cfRule type="duplicateValues" dxfId="120" priority="339"/>
  </conditionalFormatting>
  <conditionalFormatting sqref="B79">
    <cfRule type="duplicateValues" dxfId="119" priority="94"/>
  </conditionalFormatting>
  <conditionalFormatting sqref="B79">
    <cfRule type="duplicateValues" dxfId="118" priority="93"/>
  </conditionalFormatting>
  <conditionalFormatting sqref="B79">
    <cfRule type="duplicateValues" dxfId="117" priority="91"/>
    <cfRule type="duplicateValues" dxfId="116" priority="92"/>
  </conditionalFormatting>
  <conditionalFormatting sqref="B79">
    <cfRule type="duplicateValues" dxfId="115" priority="95"/>
  </conditionalFormatting>
  <conditionalFormatting sqref="B100:B101 B103:B104">
    <cfRule type="duplicateValues" dxfId="114" priority="340"/>
    <cfRule type="duplicateValues" dxfId="113" priority="341"/>
  </conditionalFormatting>
  <conditionalFormatting sqref="B100:B101 B103:B104">
    <cfRule type="duplicateValues" dxfId="112" priority="342"/>
  </conditionalFormatting>
  <conditionalFormatting sqref="B11 B7:B9">
    <cfRule type="duplicateValues" dxfId="111" priority="343"/>
  </conditionalFormatting>
  <conditionalFormatting sqref="B124">
    <cfRule type="duplicateValues" dxfId="110" priority="344"/>
    <cfRule type="duplicateValues" dxfId="109" priority="345"/>
    <cfRule type="duplicateValues" dxfId="108" priority="346"/>
  </conditionalFormatting>
  <conditionalFormatting sqref="B150">
    <cfRule type="duplicateValues" dxfId="107" priority="347"/>
    <cfRule type="duplicateValues" dxfId="106" priority="348"/>
  </conditionalFormatting>
  <conditionalFormatting sqref="B150">
    <cfRule type="duplicateValues" dxfId="105" priority="349"/>
  </conditionalFormatting>
  <conditionalFormatting sqref="B102">
    <cfRule type="duplicateValues" dxfId="104" priority="87"/>
    <cfRule type="duplicateValues" dxfId="103" priority="88"/>
    <cfRule type="duplicateValues" dxfId="102" priority="89"/>
  </conditionalFormatting>
  <conditionalFormatting sqref="B102">
    <cfRule type="duplicateValues" dxfId="101" priority="90"/>
  </conditionalFormatting>
  <conditionalFormatting sqref="B109:B110">
    <cfRule type="duplicateValues" dxfId="100" priority="84"/>
    <cfRule type="duplicateValues" dxfId="99" priority="85"/>
  </conditionalFormatting>
  <conditionalFormatting sqref="B109:B110">
    <cfRule type="duplicateValues" dxfId="98" priority="86"/>
  </conditionalFormatting>
  <conditionalFormatting sqref="B35">
    <cfRule type="duplicateValues" dxfId="97" priority="82"/>
  </conditionalFormatting>
  <conditionalFormatting sqref="B35">
    <cfRule type="duplicateValues" dxfId="96" priority="80"/>
    <cfRule type="duplicateValues" dxfId="95" priority="81"/>
  </conditionalFormatting>
  <conditionalFormatting sqref="B35">
    <cfRule type="duplicateValues" dxfId="94" priority="83"/>
  </conditionalFormatting>
  <conditionalFormatting sqref="B23">
    <cfRule type="duplicateValues" dxfId="93" priority="350"/>
    <cfRule type="duplicateValues" dxfId="92" priority="351"/>
    <cfRule type="duplicateValues" dxfId="91" priority="352"/>
    <cfRule type="duplicateValues" dxfId="90" priority="353"/>
  </conditionalFormatting>
  <conditionalFormatting sqref="B120:B123 B77:B78 B26:B27 B89 B45 B50">
    <cfRule type="duplicateValues" dxfId="89" priority="354"/>
    <cfRule type="duplicateValues" dxfId="88" priority="355"/>
    <cfRule type="duplicateValues" dxfId="87" priority="356"/>
  </conditionalFormatting>
  <conditionalFormatting sqref="B154">
    <cfRule type="duplicateValues" dxfId="86" priority="76"/>
    <cfRule type="duplicateValues" dxfId="85" priority="77"/>
  </conditionalFormatting>
  <conditionalFormatting sqref="B154">
    <cfRule type="duplicateValues" dxfId="84" priority="78"/>
  </conditionalFormatting>
  <conditionalFormatting sqref="B154">
    <cfRule type="duplicateValues" dxfId="83" priority="79"/>
  </conditionalFormatting>
  <conditionalFormatting sqref="B49">
    <cfRule type="duplicateValues" dxfId="82" priority="71"/>
    <cfRule type="duplicateValues" dxfId="81" priority="72"/>
  </conditionalFormatting>
  <conditionalFormatting sqref="B49">
    <cfRule type="duplicateValues" dxfId="80" priority="73"/>
    <cfRule type="duplicateValues" dxfId="79" priority="74"/>
    <cfRule type="duplicateValues" dxfId="78" priority="75"/>
  </conditionalFormatting>
  <conditionalFormatting sqref="B88">
    <cfRule type="duplicateValues" dxfId="77" priority="67"/>
    <cfRule type="duplicateValues" dxfId="76" priority="68"/>
    <cfRule type="duplicateValues" dxfId="75" priority="69"/>
  </conditionalFormatting>
  <conditionalFormatting sqref="B88">
    <cfRule type="duplicateValues" dxfId="74" priority="70"/>
  </conditionalFormatting>
  <conditionalFormatting sqref="B108">
    <cfRule type="duplicateValues" dxfId="73" priority="63"/>
    <cfRule type="duplicateValues" dxfId="72" priority="64"/>
    <cfRule type="duplicateValues" dxfId="71" priority="65"/>
    <cfRule type="duplicateValues" dxfId="70" priority="66"/>
  </conditionalFormatting>
  <conditionalFormatting sqref="B62">
    <cfRule type="duplicateValues" dxfId="69" priority="357"/>
  </conditionalFormatting>
  <conditionalFormatting sqref="B62">
    <cfRule type="duplicateValues" dxfId="68" priority="358"/>
    <cfRule type="duplicateValues" dxfId="67" priority="359"/>
  </conditionalFormatting>
  <conditionalFormatting sqref="B149">
    <cfRule type="duplicateValues" dxfId="66" priority="360"/>
    <cfRule type="duplicateValues" dxfId="65" priority="361"/>
  </conditionalFormatting>
  <conditionalFormatting sqref="B149">
    <cfRule type="duplicateValues" dxfId="64" priority="362"/>
  </conditionalFormatting>
  <conditionalFormatting sqref="B126">
    <cfRule type="duplicateValues" dxfId="63" priority="363"/>
    <cfRule type="duplicateValues" dxfId="62" priority="364"/>
    <cfRule type="duplicateValues" dxfId="61" priority="365"/>
  </conditionalFormatting>
  <conditionalFormatting sqref="B76">
    <cfRule type="duplicateValues" dxfId="60" priority="58"/>
    <cfRule type="duplicateValues" dxfId="59" priority="59"/>
  </conditionalFormatting>
  <conditionalFormatting sqref="B76">
    <cfRule type="duplicateValues" dxfId="58" priority="60"/>
  </conditionalFormatting>
  <conditionalFormatting sqref="B76">
    <cfRule type="duplicateValues" dxfId="57" priority="61"/>
    <cfRule type="duplicateValues" dxfId="56" priority="62"/>
  </conditionalFormatting>
  <conditionalFormatting sqref="B96:B99">
    <cfRule type="duplicateValues" dxfId="55" priority="366"/>
    <cfRule type="duplicateValues" dxfId="54" priority="367"/>
    <cfRule type="duplicateValues" dxfId="53" priority="368"/>
    <cfRule type="duplicateValues" dxfId="52" priority="369"/>
  </conditionalFormatting>
  <conditionalFormatting sqref="B155:B156">
    <cfRule type="duplicateValues" dxfId="51" priority="54"/>
    <cfRule type="duplicateValues" dxfId="50" priority="55"/>
  </conditionalFormatting>
  <conditionalFormatting sqref="B155:B156">
    <cfRule type="duplicateValues" dxfId="49" priority="56"/>
  </conditionalFormatting>
  <conditionalFormatting sqref="B155:B156">
    <cfRule type="duplicateValues" dxfId="48" priority="57"/>
  </conditionalFormatting>
  <conditionalFormatting sqref="B141:B142">
    <cfRule type="duplicateValues" dxfId="47" priority="50"/>
    <cfRule type="duplicateValues" dxfId="46" priority="51"/>
  </conditionalFormatting>
  <conditionalFormatting sqref="B141:B142">
    <cfRule type="duplicateValues" dxfId="45" priority="53"/>
  </conditionalFormatting>
  <conditionalFormatting sqref="B141:B142">
    <cfRule type="duplicateValues" dxfId="44" priority="52"/>
  </conditionalFormatting>
  <conditionalFormatting sqref="B111">
    <cfRule type="duplicateValues" dxfId="43" priority="47"/>
    <cfRule type="duplicateValues" dxfId="42" priority="48"/>
  </conditionalFormatting>
  <conditionalFormatting sqref="B111">
    <cfRule type="duplicateValues" dxfId="41" priority="49"/>
  </conditionalFormatting>
  <conditionalFormatting sqref="B152:B153 B138:B140 B144:B145">
    <cfRule type="duplicateValues" dxfId="40" priority="370"/>
    <cfRule type="duplicateValues" dxfId="39" priority="371"/>
    <cfRule type="duplicateValues" dxfId="38" priority="372"/>
  </conditionalFormatting>
  <conditionalFormatting sqref="B143">
    <cfRule type="duplicateValues" dxfId="37" priority="17"/>
    <cfRule type="duplicateValues" dxfId="36" priority="18"/>
  </conditionalFormatting>
  <conditionalFormatting sqref="B143">
    <cfRule type="duplicateValues" dxfId="35" priority="19"/>
  </conditionalFormatting>
  <conditionalFormatting sqref="B143">
    <cfRule type="duplicateValues" dxfId="34" priority="20"/>
  </conditionalFormatting>
  <conditionalFormatting sqref="B36">
    <cfRule type="duplicateValues" dxfId="33" priority="15"/>
  </conditionalFormatting>
  <conditionalFormatting sqref="B36">
    <cfRule type="duplicateValues" dxfId="32" priority="13"/>
    <cfRule type="duplicateValues" dxfId="31" priority="14"/>
  </conditionalFormatting>
  <conditionalFormatting sqref="B36">
    <cfRule type="duplicateValues" dxfId="30" priority="16"/>
  </conditionalFormatting>
  <conditionalFormatting sqref="B118:B119">
    <cfRule type="duplicateValues" dxfId="29" priority="373"/>
    <cfRule type="duplicateValues" dxfId="28" priority="374"/>
  </conditionalFormatting>
  <conditionalFormatting sqref="B118">
    <cfRule type="duplicateValues" dxfId="27" priority="375"/>
    <cfRule type="duplicateValues" dxfId="26" priority="376"/>
    <cfRule type="duplicateValues" dxfId="25" priority="377"/>
  </conditionalFormatting>
  <conditionalFormatting sqref="B24">
    <cfRule type="duplicateValues" dxfId="24" priority="1"/>
    <cfRule type="duplicateValues" dxfId="23" priority="2"/>
    <cfRule type="duplicateValues" dxfId="22" priority="3"/>
    <cfRule type="duplicateValues" dxfId="21" priority="4"/>
  </conditionalFormatting>
  <conditionalFormatting sqref="B18:C18">
    <cfRule type="duplicateValues" dxfId="20" priority="441"/>
  </conditionalFormatting>
  <conditionalFormatting sqref="B12">
    <cfRule type="duplicateValues" dxfId="19" priority="857"/>
    <cfRule type="duplicateValues" dxfId="18" priority="858"/>
    <cfRule type="duplicateValues" dxfId="17" priority="859"/>
    <cfRule type="duplicateValues" dxfId="16" priority="860"/>
    <cfRule type="duplicateValues" dxfId="15" priority="861"/>
    <cfRule type="duplicateValues" dxfId="14" priority="862"/>
    <cfRule type="duplicateValues" dxfId="13" priority="863"/>
    <cfRule type="duplicateValues" dxfId="12" priority="864"/>
    <cfRule type="duplicateValues" dxfId="11" priority="865"/>
    <cfRule type="duplicateValues" dxfId="10" priority="866"/>
  </conditionalFormatting>
  <conditionalFormatting sqref="B12">
    <cfRule type="duplicateValues" dxfId="9" priority="867"/>
  </conditionalFormatting>
  <conditionalFormatting sqref="B3">
    <cfRule type="duplicateValues" dxfId="8" priority="922"/>
    <cfRule type="duplicateValues" dxfId="7" priority="923"/>
  </conditionalFormatting>
  <conditionalFormatting sqref="B3">
    <cfRule type="duplicateValues" dxfId="6" priority="924"/>
  </conditionalFormatting>
  <conditionalFormatting sqref="B51">
    <cfRule type="duplicateValues" dxfId="5" priority="970"/>
    <cfRule type="duplicateValues" dxfId="4" priority="971"/>
  </conditionalFormatting>
  <conditionalFormatting sqref="B51">
    <cfRule type="duplicateValues" dxfId="3" priority="972"/>
  </conditionalFormatting>
  <conditionalFormatting sqref="B59">
    <cfRule type="duplicateValues" dxfId="2" priority="1018"/>
    <cfRule type="duplicateValues" dxfId="1" priority="1019"/>
  </conditionalFormatting>
  <conditionalFormatting sqref="B59">
    <cfRule type="duplicateValues" dxfId="0" priority="1020"/>
  </conditionalFormatting>
  <dataValidations count="1">
    <dataValidation type="textLength" operator="lessThanOrEqual" allowBlank="1" showInputMessage="1" showErrorMessage="1" sqref="D125:E125 D52:E52 D133:E134 D22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2026-07-29T11:12:53Z</dcterms:modified>
</cp:coreProperties>
</file>