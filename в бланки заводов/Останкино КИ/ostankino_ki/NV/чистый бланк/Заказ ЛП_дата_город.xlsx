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aer4\Downloads\"/>
    </mc:Choice>
  </mc:AlternateContent>
  <xr:revisionPtr revIDLastSave="0" documentId="13_ncr:1_{C5C99AF9-696A-4926-9CCA-D602215E51A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Бланк!$A$9:$J$152</definedName>
    <definedName name="кол_во_инд.__упак_к">Бланк!$AC$3:$AC$585</definedName>
    <definedName name="номин.вес_нетто__кг">Бланк!$W$3:$W$585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151" i="1" l="1"/>
  <c r="A150" i="1"/>
  <c r="A149" i="1"/>
  <c r="A148" i="1"/>
  <c r="A147" i="1"/>
  <c r="A146" i="1"/>
  <c r="A145" i="1"/>
  <c r="A144" i="1"/>
  <c r="A143" i="1"/>
  <c r="A142" i="1"/>
  <c r="A141" i="1"/>
  <c r="A140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0" i="1"/>
  <c r="A69" i="1"/>
  <c r="A68" i="1"/>
  <c r="A67" i="1"/>
  <c r="A66" i="1"/>
  <c r="A65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1" i="1"/>
  <c r="E152" i="1" l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0" i="1"/>
  <c r="G69" i="1"/>
  <c r="G68" i="1"/>
  <c r="G67" i="1"/>
  <c r="G66" i="1"/>
  <c r="G65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52" i="1" l="1"/>
  <c r="F3" i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<sst xmlns="http://schemas.openxmlformats.org/spreadsheetml/2006/main" count="635" uniqueCount="224">
  <si>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</si>
  <si>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</si>
  <si>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</si>
  <si>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</si>
  <si>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</si>
  <si>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</si>
  <si>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</si>
  <si>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</si>
  <si>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</si>
  <si>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</si>
  <si>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</si>
  <si>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</si>
  <si>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</si>
  <si>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</si>
  <si>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</si>
  <si>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</si>
  <si>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</si>
  <si>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</si>
  <si>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</si>
  <si>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</si>
  <si>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</si>
  <si>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</si>
  <si>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</si>
  <si>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</si>
  <si>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</si>
  <si>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</si>
  <si>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</si>
  <si>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</si>
  <si>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</si>
  <si>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</si>
  <si>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</si>
  <si>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</si>
  <si>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</si>
  <si>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</si>
  <si>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</si>
  <si>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</si>
  <si>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</si>
  <si>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</si>
  <si>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</si>
  <si>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</si>
  <si>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</si>
  <si>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</si>
  <si>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</si>
  <si>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</si>
  <si>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</si>
  <si>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</si>
  <si>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</si>
  <si>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</si>
  <si>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</si>
  <si>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</si>
  <si>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</si>
  <si>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</si>
  <si>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</si>
  <si>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</si>
  <si>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</si>
  <si>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</si>
  <si>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</si>
  <si>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</si>
  <si>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</si>
  <si>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</si>
  <si>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</si>
  <si>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</si>
  <si>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</si>
  <si>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</si>
  <si>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</si>
  <si>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</si>
  <si>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</si>
  <si>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</si>
  <si>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</si>
  <si>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</si>
  <si>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</si>
  <si>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</si>
  <si>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</si>
  <si>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</si>
  <si>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</si>
  <si>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</si>
  <si>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</si>
  <si>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</si>
  <si>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</si>
  <si>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</si>
  <si>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</si>
  <si>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</si>
  <si>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</si>
  <si>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</si>
  <si>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</si>
  <si>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</si>
  <si>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</si>
  <si>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</si>
  <si>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</si>
  <si>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</si>
  <si>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</si>
  <si>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</si>
  <si>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</si>
  <si>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</si>
  <si>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</si>
  <si>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</si>
  <si>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</si>
  <si>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</si>
  <si>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</si>
  <si>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</si>
  <si>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</si>
  <si>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</si>
  <si>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</si>
  <si>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</si>
  <si>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</si>
  <si>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</si>
  <si>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</si>
  <si>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</si>
  <si>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</si>
  <si>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</si>
  <si>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</si>
  <si>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</si>
  <si>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</si>
  <si>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</si>
  <si>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</si>
  <si>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</si>
  <si>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</si>
  <si>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</si>
  <si>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</si>
  <si>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</si>
  <si>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</si>
  <si>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</si>
  <si>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</si>
  <si>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</si>
  <si>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</si>
  <si>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</si>
  <si>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</si>
  <si>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</si>
  <si>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</si>
  <si>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</si>
  <si>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</si>
  <si>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</si>
  <si>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</si>
  <si>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</si>
  <si>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</si>
  <si>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</si>
  <si>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</si>
  <si>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</si>
  <si>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</si>
  <si>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</si>
  <si>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</si>
  <si>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</si>
  <si>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</si>
  <si>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</si>
  <si>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</si>
  <si>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</si>
  <si>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</si>
  <si>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</si>
  <si>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</si>
  <si>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</si>
  <si>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</si>
  <si>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</si>
  <si>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</si>
  <si>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</si>
  <si>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</si>
  <si>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</si>
  <si>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</si>
  <si>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</si>
  <si>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</si>
  <si>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</si>
  <si>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</si>
  <si>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</si>
  <si>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</si>
  <si>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</si>
  <si>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</si>
  <si>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</si>
  <si>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</si>
  <si>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</si>
  <si>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</si>
  <si>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</si>
  <si>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</si>
  <si>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</si>
  <si>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</si>
  <si>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</si>
  <si>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</si>
  <si>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</si>
  <si>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</si>
  <si>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</si>
  <si>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</si>
  <si>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</si>
  <si>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</si>
  <si>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</si>
  <si>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</si>
  <si>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</si>
  <si>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</si>
  <si>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</si>
  <si>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</si>
  <si>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</si>
  <si>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</si>
  <si>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</si>
  <si>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</si>
  <si>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</si>
  <si>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</si>
  <si>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</si>
  <si>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</si>
  <si>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</si>
  <si>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</si>
  <si>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</si>
  <si>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</si>
  <si>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</si>
  <si>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</si>
  <si>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</si>
  <si>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</si>
  <si>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Ротация кода 6454</t>
  </si>
  <si>
    <t>ЭКСТРА Папа может с/к с/н в/у 1/100_Л10</t>
  </si>
  <si>
    <t>Ротация кода 6453</t>
  </si>
  <si>
    <t>Ротация кода 6459</t>
  </si>
  <si>
    <t>СЕРВЕЛАТ БАВАРСКИЙ в/к с/н в/у 1/100_Л11</t>
  </si>
  <si>
    <t>Ротация кода 7474</t>
  </si>
  <si>
    <t xml:space="preserve">ЛП Луганск </t>
  </si>
  <si>
    <t>Луганск</t>
  </si>
  <si>
    <t>Грация</t>
  </si>
  <si>
    <t>СЫРРРВЕЛАТ Папа может в/к в/у 0.28кг 8шт</t>
  </si>
  <si>
    <t>АРОМАТНАЯ с/к с/н в/у 1/100 10шт_Л10 (7613)</t>
  </si>
  <si>
    <t>С ИНДЕЙКОЙ ПМ сос ц/о в/у 1/270 8шт.</t>
  </si>
  <si>
    <t>ВЕТЧ.МЯСНАЯ Папа может п/о 0.4кг 8шт.</t>
  </si>
  <si>
    <t>БЕКОН Останкино с/к с/н в/у 1/180_50с</t>
  </si>
  <si>
    <t>СЕРВЕЛАТ ШВЕЙЦАРСК.в/к с/н в/у 1/100_Л11</t>
  </si>
  <si>
    <t>ДЛЯ ДЕТЕЙ Папа может сос п/о мгс 0.264кг</t>
  </si>
  <si>
    <t>БАЛЫКОВАЯ ПМ п/к в/у 0.31кг 8шт_209к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</si>
  <si>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</si>
  <si>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</si>
  <si>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</si>
  <si>
    <t>Ротация кода 7284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</si>
</sst>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73"/>
  <sheetViews>
    <sheetView tabSelected="1" zoomScale="85" zoomScaleNormal="85" workbookViewId="0">
      <pane ySplit="9" topLeftCell="A148" activePane="bottomLeft" state="frozen"/>
      <selection pane="bottomLeft" activeCell="L158" sqref="L158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4">
      <c r="C1" s="1" t="s">
        <v>0</v>
      </c>
      <c r="D1" s="127">
        <v>130438644</v>
      </c>
      <c r="E1" s="138" t="s">
        <v>209</v>
      </c>
      <c r="F1" s="139"/>
      <c r="G1" s="139"/>
      <c r="H1" s="139"/>
      <c r="I1" s="139"/>
      <c r="J1" s="140"/>
      <c r="K1" s="103">
        <v>130438384</v>
      </c>
      <c r="L1" s="99" t="s">
        <v>171</v>
      </c>
    </row>
    <row r="2" spans="1:67" ht="16.5" customHeight="1" thickTop="1" thickBot="1" x14ac:dyDescent="0.3">
      <c r="K2" s="103">
        <v>130438644</v>
      </c>
      <c r="L2" s="99" t="s">
        <v>172</v>
      </c>
    </row>
    <row r="3" spans="1:67" ht="19.5" customHeight="1" thickTop="1" thickBot="1" x14ac:dyDescent="0.3">
      <c r="B3" s="32"/>
      <c r="C3" s="7" t="s">
        <v>1</v>
      </c>
      <c r="D3" s="126">
        <v>46209</v>
      </c>
      <c r="E3" s="7" t="s">
        <v>2</v>
      </c>
      <c r="F3" s="126">
        <f>D3+3</f>
        <v>46212</v>
      </c>
      <c r="G3" s="141" t="s">
        <v>210</v>
      </c>
      <c r="H3" s="139"/>
      <c r="I3" s="139"/>
      <c r="J3" s="140"/>
      <c r="K3" s="103">
        <v>130439106</v>
      </c>
      <c r="L3" s="99" t="s">
        <v>191</v>
      </c>
    </row>
    <row r="4" spans="1:67" ht="15.75" customHeight="1" thickTop="1" x14ac:dyDescent="0.25">
      <c r="K4" s="124">
        <v>130439107</v>
      </c>
      <c r="L4" s="99" t="s">
        <v>192</v>
      </c>
      <c r="O4" s="99" t="s">
        <v>211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7" t="str">
        <f>RIGHT(D11,4)</f>
        <v>7523</v>
      </c>
      <c r="B11" s="53" t="s">
        <v>105</v>
      </c>
      <c r="C11" s="50" t="s">
        <v>20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166</v>
      </c>
      <c r="K11" s="27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</row>
    <row r="12" spans="1:67" s="15" customFormat="1" ht="16.5" customHeight="1" x14ac:dyDescent="0.25">
      <c r="A12" s="137" t="str">
        <f t="shared" ref="A12:A67" si="1">RIGHT(D12,4)</f>
        <v>6220</v>
      </c>
      <c r="B12" s="53" t="s">
        <v>35</v>
      </c>
      <c r="C12" s="50" t="s">
        <v>22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</row>
    <row r="13" spans="1:67" s="15" customFormat="1" ht="16.5" customHeight="1" x14ac:dyDescent="0.25">
      <c r="A13" s="137" t="str">
        <f t="shared" si="1"/>
        <v>7539</v>
      </c>
      <c r="B13" s="53" t="s">
        <v>106</v>
      </c>
      <c r="C13" s="50" t="s">
        <v>20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167</v>
      </c>
      <c r="K13" s="27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</row>
    <row r="14" spans="1:67" s="15" customFormat="1" ht="16.5" customHeight="1" x14ac:dyDescent="0.25">
      <c r="A14" s="137" t="str">
        <f t="shared" si="1"/>
        <v>7536</v>
      </c>
      <c r="B14" s="53" t="s">
        <v>107</v>
      </c>
      <c r="C14" s="50" t="s">
        <v>22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168</v>
      </c>
      <c r="K14" s="27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</row>
    <row r="15" spans="1:67" ht="16.5" customHeight="1" x14ac:dyDescent="0.25">
      <c r="A15" s="137" t="str">
        <f t="shared" si="1"/>
        <v>6861</v>
      </c>
      <c r="B15" s="53" t="s">
        <v>25</v>
      </c>
      <c r="C15" s="50" t="s">
        <v>22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</row>
    <row r="16" spans="1:67" ht="16.5" customHeight="1" x14ac:dyDescent="0.25">
      <c r="A16" s="137" t="str">
        <f t="shared" si="1"/>
        <v>6862</v>
      </c>
      <c r="B16" s="53" t="s">
        <v>28</v>
      </c>
      <c r="C16" s="50" t="s">
        <v>22</v>
      </c>
      <c r="D16" s="51">
        <v>1001015706862</v>
      </c>
      <c r="E16" s="24"/>
      <c r="F16" s="23">
        <v>1.95</v>
      </c>
      <c r="G16" s="23">
        <f t="shared" ref="G16" si="2">E16</f>
        <v>0</v>
      </c>
      <c r="H16" s="14">
        <v>3.9</v>
      </c>
      <c r="I16" s="14">
        <v>60</v>
      </c>
      <c r="J16" s="29"/>
      <c r="L16" s="102"/>
    </row>
    <row r="17" spans="1:67" ht="16.5" customHeight="1" x14ac:dyDescent="0.25">
      <c r="A17" s="137" t="str">
        <f t="shared" si="1"/>
        <v>6498</v>
      </c>
      <c r="B17" s="53" t="s">
        <v>34</v>
      </c>
      <c r="C17" s="50" t="s">
        <v>22</v>
      </c>
      <c r="D17" s="51">
        <v>1001012456498</v>
      </c>
      <c r="E17" s="24"/>
      <c r="F17" s="23">
        <v>1</v>
      </c>
      <c r="G17" s="23">
        <f t="shared" ref="G17:G18" si="3">E17</f>
        <v>0</v>
      </c>
      <c r="H17" s="14">
        <v>4</v>
      </c>
      <c r="I17" s="14">
        <v>60</v>
      </c>
      <c r="J17" s="29"/>
      <c r="L17" s="102"/>
    </row>
    <row r="18" spans="1:67" ht="16.5" customHeight="1" x14ac:dyDescent="0.25">
      <c r="A18" s="137" t="str">
        <f t="shared" si="1"/>
        <v>4063</v>
      </c>
      <c r="B18" s="53" t="s">
        <v>21</v>
      </c>
      <c r="C18" s="50" t="s">
        <v>22</v>
      </c>
      <c r="D18" s="51">
        <v>1001012484063</v>
      </c>
      <c r="E18" s="24"/>
      <c r="F18" s="23">
        <v>1.35</v>
      </c>
      <c r="G18" s="23">
        <f t="shared" si="3"/>
        <v>0</v>
      </c>
      <c r="H18" s="14">
        <v>4.05</v>
      </c>
      <c r="I18" s="14">
        <v>60</v>
      </c>
      <c r="J18" s="29"/>
      <c r="L18" s="102"/>
    </row>
    <row r="19" spans="1:67" ht="16.5" customHeight="1" x14ac:dyDescent="0.25">
      <c r="A19" s="137" t="str">
        <f t="shared" si="1"/>
        <v>6333</v>
      </c>
      <c r="B19" s="53" t="s">
        <v>23</v>
      </c>
      <c r="C19" s="50" t="s">
        <v>20</v>
      </c>
      <c r="D19" s="51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2"/>
    </row>
    <row r="20" spans="1:67" ht="16.5" customHeight="1" x14ac:dyDescent="0.25">
      <c r="A20" s="137" t="str">
        <f t="shared" si="1"/>
        <v>4574</v>
      </c>
      <c r="B20" s="53" t="s">
        <v>24</v>
      </c>
      <c r="C20" s="50" t="s">
        <v>22</v>
      </c>
      <c r="D20" s="51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L20" s="102"/>
    </row>
    <row r="21" spans="1:67" ht="16.5" customHeight="1" x14ac:dyDescent="0.25">
      <c r="A21" s="137" t="str">
        <f t="shared" si="1"/>
        <v>7334</v>
      </c>
      <c r="B21" s="53" t="s">
        <v>108</v>
      </c>
      <c r="C21" s="50" t="s">
        <v>20</v>
      </c>
      <c r="D21" s="51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02"/>
    </row>
    <row r="22" spans="1:67" s="54" customFormat="1" ht="16.5" customHeight="1" x14ac:dyDescent="0.25">
      <c r="A22" s="137" t="str">
        <f t="shared" si="1"/>
        <v>4813</v>
      </c>
      <c r="B22" s="53" t="s">
        <v>29</v>
      </c>
      <c r="C22" s="50" t="s">
        <v>22</v>
      </c>
      <c r="D22" s="51">
        <v>1001012564813</v>
      </c>
      <c r="E22" s="24"/>
      <c r="F22" s="128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</row>
    <row r="23" spans="1:67" s="54" customFormat="1" ht="16.5" customHeight="1" x14ac:dyDescent="0.25">
      <c r="A23" s="137" t="str">
        <f t="shared" si="1"/>
        <v>6392</v>
      </c>
      <c r="B23" s="53" t="s">
        <v>109</v>
      </c>
      <c r="C23" s="50" t="s">
        <v>20</v>
      </c>
      <c r="D23" s="51">
        <v>1001012566392</v>
      </c>
      <c r="E23" s="24"/>
      <c r="F23" s="128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</row>
    <row r="24" spans="1:67" s="54" customFormat="1" ht="16.5" customHeight="1" x14ac:dyDescent="0.25">
      <c r="A24" s="137" t="str">
        <f t="shared" si="1"/>
        <v>5851</v>
      </c>
      <c r="B24" s="53" t="s">
        <v>110</v>
      </c>
      <c r="C24" s="50" t="s">
        <v>22</v>
      </c>
      <c r="D24" s="51">
        <v>1001012505851</v>
      </c>
      <c r="E24" s="24"/>
      <c r="F24" s="128">
        <v>1.35</v>
      </c>
      <c r="G24" s="23">
        <f>E24</f>
        <v>0</v>
      </c>
      <c r="H24" s="29">
        <v>4.05</v>
      </c>
      <c r="I24" s="29">
        <v>60</v>
      </c>
      <c r="J24" s="29"/>
      <c r="K24" s="27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</row>
    <row r="25" spans="1:67" ht="16.5" customHeight="1" x14ac:dyDescent="0.25">
      <c r="A25" s="137" t="str">
        <f t="shared" si="1"/>
        <v>7632</v>
      </c>
      <c r="B25" s="53" t="s">
        <v>194</v>
      </c>
      <c r="C25" s="50" t="s">
        <v>20</v>
      </c>
      <c r="D25" s="51">
        <v>1001012507632</v>
      </c>
      <c r="E25" s="24"/>
      <c r="F25" s="128">
        <v>0.4</v>
      </c>
      <c r="G25" s="23">
        <f>E25*F25</f>
        <v>0</v>
      </c>
      <c r="H25" s="29">
        <v>3.2</v>
      </c>
      <c r="I25" s="29">
        <v>60</v>
      </c>
      <c r="J25" s="52" t="s">
        <v>193</v>
      </c>
      <c r="L25" s="102"/>
    </row>
    <row r="26" spans="1:67" ht="16.5" customHeight="1" x14ac:dyDescent="0.25">
      <c r="A26" s="137" t="str">
        <f t="shared" si="1"/>
        <v>4561</v>
      </c>
      <c r="B26" s="53" t="s">
        <v>111</v>
      </c>
      <c r="C26" s="50" t="s">
        <v>22</v>
      </c>
      <c r="D26" s="51">
        <v>1001010014561</v>
      </c>
      <c r="E26" s="24"/>
      <c r="F26" s="23">
        <v>1.35</v>
      </c>
      <c r="G26" s="23">
        <f t="shared" ref="G26" si="4">E26</f>
        <v>0</v>
      </c>
      <c r="H26" s="14">
        <v>4.05</v>
      </c>
      <c r="I26" s="14">
        <v>60</v>
      </c>
      <c r="J26" s="29"/>
      <c r="L26" s="102"/>
    </row>
    <row r="27" spans="1:67" ht="16.5" customHeight="1" x14ac:dyDescent="0.25">
      <c r="A27" s="137" t="str">
        <f t="shared" si="1"/>
        <v>6325</v>
      </c>
      <c r="B27" s="53" t="s">
        <v>32</v>
      </c>
      <c r="C27" s="50" t="s">
        <v>20</v>
      </c>
      <c r="D27" s="51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2"/>
    </row>
    <row r="28" spans="1:67" s="54" customFormat="1" ht="16.5" customHeight="1" x14ac:dyDescent="0.25">
      <c r="A28" s="137" t="str">
        <f t="shared" si="1"/>
        <v>8014</v>
      </c>
      <c r="B28" s="53" t="s">
        <v>113</v>
      </c>
      <c r="C28" s="50" t="s">
        <v>22</v>
      </c>
      <c r="D28" s="51">
        <v>1001010108014</v>
      </c>
      <c r="E28" s="24"/>
      <c r="F28" s="128">
        <v>1.35</v>
      </c>
      <c r="G28" s="23">
        <f t="shared" ref="G28" si="5">E28</f>
        <v>0</v>
      </c>
      <c r="H28" s="29">
        <v>5.4</v>
      </c>
      <c r="I28" s="29">
        <v>60</v>
      </c>
      <c r="J28" s="29"/>
      <c r="K28" s="2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</row>
    <row r="29" spans="1:67" s="54" customFormat="1" ht="16.5" customHeight="1" x14ac:dyDescent="0.25">
      <c r="A29" s="137" t="str">
        <f t="shared" si="1"/>
        <v>7343</v>
      </c>
      <c r="B29" s="53" t="s">
        <v>31</v>
      </c>
      <c r="C29" s="50" t="s">
        <v>20</v>
      </c>
      <c r="D29" s="51">
        <v>1001016747343</v>
      </c>
      <c r="E29" s="24"/>
      <c r="F29" s="128">
        <v>0.4</v>
      </c>
      <c r="G29" s="23">
        <f t="shared" ref="G29:G31" si="6">E29*F29</f>
        <v>0</v>
      </c>
      <c r="H29" s="29">
        <v>3.2</v>
      </c>
      <c r="I29" s="29">
        <v>60</v>
      </c>
      <c r="J29" s="29"/>
      <c r="K29" s="2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</row>
    <row r="30" spans="1:67" ht="16.5" customHeight="1" x14ac:dyDescent="0.25">
      <c r="A30" s="137" t="str">
        <f t="shared" si="1"/>
        <v>6797</v>
      </c>
      <c r="B30" s="53" t="s">
        <v>114</v>
      </c>
      <c r="C30" s="50" t="s">
        <v>20</v>
      </c>
      <c r="D30" s="51">
        <v>1001015026797</v>
      </c>
      <c r="E30" s="24"/>
      <c r="F30" s="128">
        <v>0.4</v>
      </c>
      <c r="G30" s="23">
        <f t="shared" si="6"/>
        <v>0</v>
      </c>
      <c r="H30" s="29">
        <v>3.2</v>
      </c>
      <c r="I30" s="29">
        <v>60</v>
      </c>
      <c r="J30" s="29"/>
      <c r="L30" s="102"/>
    </row>
    <row r="31" spans="1:67" s="54" customFormat="1" ht="16.5" customHeight="1" thickBot="1" x14ac:dyDescent="0.3">
      <c r="A31" s="137" t="str">
        <f t="shared" si="1"/>
        <v>7231</v>
      </c>
      <c r="B31" s="53" t="s">
        <v>33</v>
      </c>
      <c r="C31" s="50" t="s">
        <v>20</v>
      </c>
      <c r="D31" s="51">
        <v>1001013957231</v>
      </c>
      <c r="E31" s="24"/>
      <c r="F31" s="128">
        <v>0.3</v>
      </c>
      <c r="G31" s="23">
        <f t="shared" si="6"/>
        <v>0</v>
      </c>
      <c r="H31" s="29">
        <v>2.4</v>
      </c>
      <c r="I31" s="29">
        <v>60</v>
      </c>
      <c r="J31" s="29"/>
      <c r="K31" s="2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</row>
    <row r="32" spans="1:67" s="54" customFormat="1" ht="16.5" customHeight="1" thickTop="1" thickBot="1" x14ac:dyDescent="0.3">
      <c r="A32" s="47" t="s">
        <v>104</v>
      </c>
      <c r="B32" s="42" t="s">
        <v>36</v>
      </c>
      <c r="C32" s="42"/>
      <c r="D32" s="42"/>
      <c r="E32" s="42"/>
      <c r="F32" s="41"/>
      <c r="G32" s="42"/>
      <c r="H32" s="42"/>
      <c r="I32" s="42"/>
      <c r="J32" s="43"/>
      <c r="K32" s="27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  <c r="AA32" s="102"/>
      <c r="AB32" s="102"/>
      <c r="AC32" s="102"/>
      <c r="AD32" s="102"/>
      <c r="AE32" s="102"/>
      <c r="AF32" s="102"/>
      <c r="AG32" s="102"/>
      <c r="AH32" s="102"/>
      <c r="AI32" s="102"/>
      <c r="AJ32" s="102"/>
      <c r="AK32" s="102"/>
      <c r="AL32" s="102"/>
      <c r="AM32" s="102"/>
      <c r="AN32" s="102"/>
      <c r="AO32" s="102"/>
      <c r="AP32" s="102"/>
      <c r="AQ32" s="102"/>
      <c r="AR32" s="102"/>
      <c r="AS32" s="102"/>
      <c r="AT32" s="102"/>
      <c r="AU32" s="102"/>
      <c r="AV32" s="102"/>
      <c r="AW32" s="102"/>
      <c r="AX32" s="102"/>
      <c r="AY32" s="102"/>
      <c r="AZ32" s="102"/>
      <c r="BA32" s="102"/>
      <c r="BB32" s="102"/>
      <c r="BC32" s="102"/>
      <c r="BD32" s="102"/>
      <c r="BE32" s="102"/>
      <c r="BF32" s="102"/>
      <c r="BG32" s="102"/>
      <c r="BH32" s="102"/>
      <c r="BI32" s="102"/>
      <c r="BJ32" s="102"/>
      <c r="BK32" s="102"/>
      <c r="BL32" s="102"/>
      <c r="BM32" s="102"/>
      <c r="BN32" s="102"/>
      <c r="BO32" s="102"/>
    </row>
    <row r="33" spans="1:67" s="54" customFormat="1" ht="16.5" customHeight="1" thickTop="1" x14ac:dyDescent="0.25">
      <c r="A33" s="137" t="str">
        <f t="shared" si="1"/>
        <v>6602</v>
      </c>
      <c r="B33" s="53" t="s">
        <v>155</v>
      </c>
      <c r="C33" s="50" t="s">
        <v>20</v>
      </c>
      <c r="D33" s="51">
        <v>1001021966602</v>
      </c>
      <c r="E33" s="24"/>
      <c r="F33" s="128">
        <v>0.35</v>
      </c>
      <c r="G33" s="23">
        <f t="shared" ref="G33:G37" si="7">E33*F33</f>
        <v>0</v>
      </c>
      <c r="H33" s="29">
        <v>2.8</v>
      </c>
      <c r="I33" s="29">
        <v>45</v>
      </c>
      <c r="J33" s="29"/>
      <c r="K33" s="2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</row>
    <row r="34" spans="1:67" s="54" customFormat="1" ht="16.5" customHeight="1" x14ac:dyDescent="0.25">
      <c r="A34" s="137" t="str">
        <f t="shared" si="1"/>
        <v>7601</v>
      </c>
      <c r="B34" s="53" t="s">
        <v>218</v>
      </c>
      <c r="C34" s="50" t="s">
        <v>20</v>
      </c>
      <c r="D34" s="51">
        <v>1001025767601</v>
      </c>
      <c r="E34" s="24"/>
      <c r="F34" s="128">
        <v>0.26400000000000001</v>
      </c>
      <c r="G34" s="23">
        <f t="shared" si="7"/>
        <v>0</v>
      </c>
      <c r="H34" s="29">
        <v>1.58</v>
      </c>
      <c r="I34" s="29">
        <v>30</v>
      </c>
      <c r="J34" s="29"/>
      <c r="K34" s="2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</row>
    <row r="35" spans="1:67" s="54" customFormat="1" ht="16.5" customHeight="1" x14ac:dyDescent="0.25">
      <c r="A35" s="137" t="str">
        <f t="shared" si="1"/>
        <v>7461</v>
      </c>
      <c r="B35" s="53" t="s">
        <v>189</v>
      </c>
      <c r="C35" s="50" t="s">
        <v>20</v>
      </c>
      <c r="D35" s="51">
        <v>1001025767461</v>
      </c>
      <c r="E35" s="24"/>
      <c r="F35" s="128">
        <v>0.33</v>
      </c>
      <c r="G35" s="23">
        <f t="shared" si="7"/>
        <v>0</v>
      </c>
      <c r="H35" s="29">
        <v>1.98</v>
      </c>
      <c r="I35" s="29">
        <v>30</v>
      </c>
      <c r="J35" s="52" t="s">
        <v>223</v>
      </c>
      <c r="K35" s="2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</row>
    <row r="36" spans="1:67" s="54" customFormat="1" ht="16.5" customHeight="1" x14ac:dyDescent="0.25">
      <c r="A36" s="137" t="str">
        <f t="shared" si="1"/>
        <v>7040</v>
      </c>
      <c r="B36" s="53" t="s">
        <v>214</v>
      </c>
      <c r="C36" s="50" t="s">
        <v>20</v>
      </c>
      <c r="D36" s="51">
        <v>1001025027040</v>
      </c>
      <c r="E36" s="24"/>
      <c r="F36" s="128">
        <v>0.27</v>
      </c>
      <c r="G36" s="23">
        <f t="shared" si="7"/>
        <v>0</v>
      </c>
      <c r="H36" s="29"/>
      <c r="I36" s="29"/>
      <c r="J36" s="125" t="s">
        <v>196</v>
      </c>
      <c r="K36" s="2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</row>
    <row r="37" spans="1:67" s="54" customFormat="1" ht="16.5" customHeight="1" x14ac:dyDescent="0.25">
      <c r="A37" s="137" t="str">
        <f t="shared" si="1"/>
        <v>6759</v>
      </c>
      <c r="B37" s="53" t="s">
        <v>41</v>
      </c>
      <c r="C37" s="50" t="s">
        <v>20</v>
      </c>
      <c r="D37" s="51">
        <v>1001020836759</v>
      </c>
      <c r="E37" s="24"/>
      <c r="F37" s="128">
        <v>0.4</v>
      </c>
      <c r="G37" s="23">
        <f t="shared" si="7"/>
        <v>0</v>
      </c>
      <c r="H37" s="29">
        <v>2.8</v>
      </c>
      <c r="I37" s="29">
        <v>30</v>
      </c>
      <c r="J37" s="29"/>
      <c r="K37" s="27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</row>
    <row r="38" spans="1:67" s="54" customFormat="1" ht="16.5" customHeight="1" x14ac:dyDescent="0.25">
      <c r="A38" s="137" t="str">
        <f t="shared" si="1"/>
        <v>6761</v>
      </c>
      <c r="B38" s="53" t="s">
        <v>52</v>
      </c>
      <c r="C38" s="50" t="s">
        <v>22</v>
      </c>
      <c r="D38" s="51">
        <v>1001020836761</v>
      </c>
      <c r="E38" s="24"/>
      <c r="F38" s="128">
        <v>1</v>
      </c>
      <c r="G38" s="23">
        <f t="shared" ref="G38:G39" si="8">E38</f>
        <v>0</v>
      </c>
      <c r="H38" s="29">
        <v>4</v>
      </c>
      <c r="I38" s="29">
        <v>30</v>
      </c>
      <c r="J38" s="29"/>
      <c r="K38" s="27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</row>
    <row r="39" spans="1:67" s="54" customFormat="1" ht="16.5" customHeight="1" x14ac:dyDescent="0.25">
      <c r="A39" s="137" t="str">
        <f t="shared" si="1"/>
        <v>6829</v>
      </c>
      <c r="B39" s="53" t="s">
        <v>156</v>
      </c>
      <c r="C39" s="50" t="s">
        <v>22</v>
      </c>
      <c r="D39" s="51">
        <v>1001024976829</v>
      </c>
      <c r="E39" s="24"/>
      <c r="F39" s="128">
        <v>2.1</v>
      </c>
      <c r="G39" s="23">
        <f t="shared" si="8"/>
        <v>0</v>
      </c>
      <c r="H39" s="29">
        <v>8.4</v>
      </c>
      <c r="I39" s="29">
        <v>45</v>
      </c>
      <c r="J39" s="29"/>
      <c r="K39" s="27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</row>
    <row r="40" spans="1:67" s="54" customFormat="1" ht="16.5" customHeight="1" x14ac:dyDescent="0.25">
      <c r="A40" s="137" t="str">
        <f t="shared" si="1"/>
        <v>6616</v>
      </c>
      <c r="B40" s="53" t="s">
        <v>42</v>
      </c>
      <c r="C40" s="50" t="s">
        <v>20</v>
      </c>
      <c r="D40" s="51">
        <v>1001024976616</v>
      </c>
      <c r="E40" s="24"/>
      <c r="F40" s="128">
        <v>0.3</v>
      </c>
      <c r="G40" s="23">
        <f>E40*F40</f>
        <v>0</v>
      </c>
      <c r="H40" s="29">
        <v>2.4</v>
      </c>
      <c r="I40" s="29">
        <v>45</v>
      </c>
      <c r="J40" s="29"/>
      <c r="K40" s="27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</row>
    <row r="41" spans="1:67" s="54" customFormat="1" ht="16.5" customHeight="1" x14ac:dyDescent="0.25">
      <c r="A41" s="137" t="str">
        <f t="shared" si="1"/>
        <v>7075</v>
      </c>
      <c r="B41" s="53" t="s">
        <v>49</v>
      </c>
      <c r="C41" s="50" t="s">
        <v>22</v>
      </c>
      <c r="D41" s="51">
        <v>1001022657075</v>
      </c>
      <c r="E41" s="24"/>
      <c r="F41" s="128">
        <v>1.5</v>
      </c>
      <c r="G41" s="23">
        <f>E41</f>
        <v>0</v>
      </c>
      <c r="H41" s="29">
        <v>6</v>
      </c>
      <c r="I41" s="29">
        <v>50</v>
      </c>
      <c r="J41" s="29"/>
      <c r="K41" s="27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</row>
    <row r="42" spans="1:67" s="54" customFormat="1" ht="16.5" customHeight="1" x14ac:dyDescent="0.25">
      <c r="A42" s="137" t="str">
        <f t="shared" si="1"/>
        <v>7074</v>
      </c>
      <c r="B42" s="53" t="s">
        <v>157</v>
      </c>
      <c r="C42" s="50" t="s">
        <v>20</v>
      </c>
      <c r="D42" s="51">
        <v>1001022657074</v>
      </c>
      <c r="E42" s="24"/>
      <c r="F42" s="128">
        <v>0.6</v>
      </c>
      <c r="G42" s="23">
        <f t="shared" ref="G42:G45" si="9">E42*F42</f>
        <v>0</v>
      </c>
      <c r="H42" s="29">
        <v>4.8</v>
      </c>
      <c r="I42" s="29">
        <v>50</v>
      </c>
      <c r="J42" s="29"/>
      <c r="K42" s="27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</row>
    <row r="43" spans="1:67" s="54" customFormat="1" ht="16.5" customHeight="1" x14ac:dyDescent="0.25">
      <c r="A43" s="137" t="str">
        <f t="shared" si="1"/>
        <v>7073</v>
      </c>
      <c r="B43" s="53" t="s">
        <v>50</v>
      </c>
      <c r="C43" s="50" t="s">
        <v>20</v>
      </c>
      <c r="D43" s="51">
        <v>1001022657073</v>
      </c>
      <c r="E43" s="24"/>
      <c r="F43" s="128">
        <v>0.35</v>
      </c>
      <c r="G43" s="23">
        <f t="shared" si="9"/>
        <v>0</v>
      </c>
      <c r="H43" s="29">
        <v>2.8</v>
      </c>
      <c r="I43" s="29">
        <v>50</v>
      </c>
      <c r="J43" s="29"/>
      <c r="K43" s="27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</row>
    <row r="44" spans="1:67" s="54" customFormat="1" ht="16.5" customHeight="1" x14ac:dyDescent="0.25">
      <c r="A44" s="137" t="str">
        <f t="shared" si="1"/>
        <v>6724</v>
      </c>
      <c r="B44" s="53" t="s">
        <v>51</v>
      </c>
      <c r="C44" s="50" t="s">
        <v>20</v>
      </c>
      <c r="D44" s="51">
        <v>1001020836724</v>
      </c>
      <c r="E44" s="24"/>
      <c r="F44" s="128">
        <v>0.41</v>
      </c>
      <c r="G44" s="23">
        <f t="shared" si="9"/>
        <v>0</v>
      </c>
      <c r="H44" s="29">
        <v>4.0999999999999996</v>
      </c>
      <c r="I44" s="29">
        <v>45</v>
      </c>
      <c r="J44" s="29"/>
      <c r="K44" s="27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</row>
    <row r="45" spans="1:67" s="54" customFormat="1" ht="16.5" customHeight="1" x14ac:dyDescent="0.25">
      <c r="A45" s="137" t="str">
        <f t="shared" si="1"/>
        <v>5819</v>
      </c>
      <c r="B45" s="53" t="s">
        <v>38</v>
      </c>
      <c r="C45" s="50" t="s">
        <v>20</v>
      </c>
      <c r="D45" s="51">
        <v>1001022725819</v>
      </c>
      <c r="E45" s="24"/>
      <c r="F45" s="128">
        <v>0.4</v>
      </c>
      <c r="G45" s="23">
        <f t="shared" si="9"/>
        <v>0</v>
      </c>
      <c r="H45" s="29">
        <v>3.2</v>
      </c>
      <c r="I45" s="29">
        <v>45</v>
      </c>
      <c r="J45" s="29"/>
      <c r="K45" s="27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</row>
    <row r="46" spans="1:67" s="54" customFormat="1" ht="16.5" customHeight="1" x14ac:dyDescent="0.25">
      <c r="A46" s="137" t="str">
        <f t="shared" si="1"/>
        <v>6303</v>
      </c>
      <c r="B46" s="53" t="s">
        <v>158</v>
      </c>
      <c r="C46" s="50" t="s">
        <v>22</v>
      </c>
      <c r="D46" s="51">
        <v>1001022726303</v>
      </c>
      <c r="E46" s="24"/>
      <c r="F46" s="128">
        <v>1.5</v>
      </c>
      <c r="G46" s="23">
        <f>E46</f>
        <v>0</v>
      </c>
      <c r="H46" s="29">
        <v>4.5</v>
      </c>
      <c r="I46" s="29">
        <v>45</v>
      </c>
      <c r="J46" s="29"/>
      <c r="K46" s="27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</row>
    <row r="47" spans="1:67" s="54" customFormat="1" ht="16.5" customHeight="1" x14ac:dyDescent="0.25">
      <c r="A47" s="137" t="str">
        <f t="shared" si="1"/>
        <v>7255</v>
      </c>
      <c r="B47" s="53" t="s">
        <v>37</v>
      </c>
      <c r="C47" s="50" t="s">
        <v>20</v>
      </c>
      <c r="D47" s="51">
        <v>1001025507255</v>
      </c>
      <c r="E47" s="24"/>
      <c r="F47" s="128">
        <v>0.4</v>
      </c>
      <c r="G47" s="23">
        <f>E47*F47</f>
        <v>0</v>
      </c>
      <c r="H47" s="29">
        <v>2.4</v>
      </c>
      <c r="I47" s="29">
        <v>50</v>
      </c>
      <c r="J47" s="29"/>
      <c r="K47" s="27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</row>
    <row r="48" spans="1:67" s="54" customFormat="1" ht="16.5" customHeight="1" x14ac:dyDescent="0.25">
      <c r="A48" s="137" t="str">
        <f t="shared" si="1"/>
        <v>7271</v>
      </c>
      <c r="B48" s="53" t="s">
        <v>159</v>
      </c>
      <c r="C48" s="50" t="s">
        <v>22</v>
      </c>
      <c r="D48" s="51">
        <v>1001025507271</v>
      </c>
      <c r="E48" s="24"/>
      <c r="F48" s="128">
        <v>1.5</v>
      </c>
      <c r="G48" s="23">
        <f>E48</f>
        <v>0</v>
      </c>
      <c r="H48" s="29">
        <v>6</v>
      </c>
      <c r="I48" s="29">
        <v>50</v>
      </c>
      <c r="J48" s="29"/>
      <c r="K48" s="27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</row>
    <row r="49" spans="1:67" s="54" customFormat="1" ht="16.5" customHeight="1" x14ac:dyDescent="0.25">
      <c r="A49" s="137" t="str">
        <f t="shared" si="1"/>
        <v>6765</v>
      </c>
      <c r="B49" s="53" t="s">
        <v>40</v>
      </c>
      <c r="C49" s="50" t="s">
        <v>20</v>
      </c>
      <c r="D49" s="51">
        <v>1001023696765</v>
      </c>
      <c r="E49" s="24"/>
      <c r="F49" s="128">
        <v>0.36</v>
      </c>
      <c r="G49" s="23">
        <f>E49*F49</f>
        <v>0</v>
      </c>
      <c r="H49" s="29">
        <v>2.16</v>
      </c>
      <c r="I49" s="29">
        <v>45</v>
      </c>
      <c r="J49" s="29"/>
      <c r="K49" s="27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</row>
    <row r="50" spans="1:67" s="54" customFormat="1" ht="16.5" customHeight="1" x14ac:dyDescent="0.25">
      <c r="A50" s="137" t="str">
        <f t="shared" si="1"/>
        <v>6767</v>
      </c>
      <c r="B50" s="53" t="s">
        <v>43</v>
      </c>
      <c r="C50" s="50" t="s">
        <v>22</v>
      </c>
      <c r="D50" s="51">
        <v>1001023696767</v>
      </c>
      <c r="E50" s="24"/>
      <c r="F50" s="128">
        <v>1.04</v>
      </c>
      <c r="G50" s="23">
        <f>E50</f>
        <v>0</v>
      </c>
      <c r="H50" s="29">
        <v>4.16</v>
      </c>
      <c r="I50" s="29">
        <v>45</v>
      </c>
      <c r="J50" s="29"/>
      <c r="K50" s="27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</row>
    <row r="51" spans="1:67" s="54" customFormat="1" ht="16.5" customHeight="1" x14ac:dyDescent="0.25">
      <c r="A51" s="137" t="str">
        <f t="shared" si="1"/>
        <v>6475</v>
      </c>
      <c r="B51" s="53" t="s">
        <v>45</v>
      </c>
      <c r="C51" s="50" t="s">
        <v>20</v>
      </c>
      <c r="D51" s="51">
        <v>1001025176475</v>
      </c>
      <c r="E51" s="24"/>
      <c r="F51" s="128">
        <v>0.4</v>
      </c>
      <c r="G51" s="23">
        <f>E51*F51</f>
        <v>0</v>
      </c>
      <c r="H51" s="29">
        <v>2.4</v>
      </c>
      <c r="I51" s="29">
        <v>45</v>
      </c>
      <c r="J51" s="29"/>
      <c r="K51" s="27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</row>
    <row r="52" spans="1:67" s="54" customFormat="1" ht="16.5" customHeight="1" x14ac:dyDescent="0.25">
      <c r="A52" s="137" t="str">
        <f t="shared" si="1"/>
        <v>7083</v>
      </c>
      <c r="B52" s="53" t="s">
        <v>160</v>
      </c>
      <c r="C52" s="50" t="s">
        <v>22</v>
      </c>
      <c r="D52" s="51">
        <v>1001022467083</v>
      </c>
      <c r="E52" s="24"/>
      <c r="F52" s="128">
        <v>1.5</v>
      </c>
      <c r="G52" s="23">
        <f>E52</f>
        <v>0</v>
      </c>
      <c r="H52" s="29">
        <v>6</v>
      </c>
      <c r="I52" s="29">
        <v>50</v>
      </c>
      <c r="J52" s="29"/>
      <c r="K52" s="27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2"/>
      <c r="AJ52" s="102"/>
      <c r="AK52" s="102"/>
      <c r="AL52" s="102"/>
      <c r="AM52" s="102"/>
      <c r="AN52" s="102"/>
      <c r="AO52" s="102"/>
      <c r="AP52" s="102"/>
      <c r="AQ52" s="102"/>
      <c r="AR52" s="102"/>
      <c r="AS52" s="102"/>
      <c r="AT52" s="102"/>
      <c r="AU52" s="102"/>
      <c r="AV52" s="102"/>
      <c r="AW52" s="102"/>
      <c r="AX52" s="102"/>
      <c r="AY52" s="102"/>
      <c r="AZ52" s="102"/>
      <c r="BA52" s="102"/>
      <c r="BB52" s="102"/>
      <c r="BC52" s="102"/>
      <c r="BD52" s="102"/>
      <c r="BE52" s="102"/>
      <c r="BF52" s="102"/>
      <c r="BG52" s="102"/>
      <c r="BH52" s="102"/>
      <c r="BI52" s="102"/>
      <c r="BJ52" s="102"/>
      <c r="BK52" s="102"/>
      <c r="BL52" s="102"/>
      <c r="BM52" s="102"/>
      <c r="BN52" s="102"/>
      <c r="BO52" s="102"/>
    </row>
    <row r="53" spans="1:67" s="54" customFormat="1" ht="16.5" customHeight="1" x14ac:dyDescent="0.25">
      <c r="A53" s="137" t="str">
        <f t="shared" si="1"/>
        <v>7080</v>
      </c>
      <c r="B53" s="53" t="s">
        <v>53</v>
      </c>
      <c r="C53" s="50" t="s">
        <v>20</v>
      </c>
      <c r="D53" s="51">
        <v>1001022467080</v>
      </c>
      <c r="E53" s="24"/>
      <c r="F53" s="128">
        <v>0.41</v>
      </c>
      <c r="G53" s="23">
        <f t="shared" ref="G53:G55" si="10">E53*F53</f>
        <v>0</v>
      </c>
      <c r="H53" s="29">
        <v>4.0999999999999996</v>
      </c>
      <c r="I53" s="29">
        <v>50</v>
      </c>
      <c r="J53" s="29"/>
      <c r="K53" s="27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  <c r="AM53" s="102"/>
      <c r="AN53" s="102"/>
      <c r="AO53" s="102"/>
      <c r="AP53" s="102"/>
      <c r="AQ53" s="102"/>
      <c r="AR53" s="102"/>
      <c r="AS53" s="102"/>
      <c r="AT53" s="102"/>
      <c r="AU53" s="102"/>
      <c r="AV53" s="102"/>
      <c r="AW53" s="102"/>
      <c r="AX53" s="102"/>
      <c r="AY53" s="102"/>
      <c r="AZ53" s="102"/>
      <c r="BA53" s="102"/>
      <c r="BB53" s="102"/>
      <c r="BC53" s="102"/>
      <c r="BD53" s="102"/>
      <c r="BE53" s="102"/>
      <c r="BF53" s="102"/>
      <c r="BG53" s="102"/>
      <c r="BH53" s="102"/>
      <c r="BI53" s="102"/>
      <c r="BJ53" s="102"/>
      <c r="BK53" s="102"/>
      <c r="BL53" s="102"/>
      <c r="BM53" s="102"/>
      <c r="BN53" s="102"/>
      <c r="BO53" s="102"/>
    </row>
    <row r="54" spans="1:67" ht="16.5" customHeight="1" x14ac:dyDescent="0.25">
      <c r="A54" s="137" t="str">
        <f t="shared" si="1"/>
        <v>7276</v>
      </c>
      <c r="B54" s="53" t="s">
        <v>54</v>
      </c>
      <c r="C54" s="50" t="s">
        <v>20</v>
      </c>
      <c r="D54" s="51">
        <v>1001022467276</v>
      </c>
      <c r="E54" s="24"/>
      <c r="F54" s="128">
        <v>0.3</v>
      </c>
      <c r="G54" s="23">
        <f t="shared" si="10"/>
        <v>0</v>
      </c>
      <c r="H54" s="29">
        <v>2.1</v>
      </c>
      <c r="I54" s="29">
        <v>50</v>
      </c>
      <c r="J54" s="29"/>
      <c r="L54" s="102"/>
    </row>
    <row r="55" spans="1:67" ht="16.5" customHeight="1" x14ac:dyDescent="0.25">
      <c r="A55" s="137" t="str">
        <f t="shared" si="1"/>
        <v>6762</v>
      </c>
      <c r="B55" s="53" t="s">
        <v>39</v>
      </c>
      <c r="C55" s="50" t="s">
        <v>20</v>
      </c>
      <c r="D55" s="51">
        <v>1001020846762</v>
      </c>
      <c r="E55" s="24"/>
      <c r="F55" s="128">
        <v>0.41</v>
      </c>
      <c r="G55" s="23">
        <f t="shared" si="10"/>
        <v>0</v>
      </c>
      <c r="H55" s="29">
        <v>3.28</v>
      </c>
      <c r="I55" s="29">
        <v>45</v>
      </c>
      <c r="J55" s="29"/>
      <c r="L55" s="102"/>
    </row>
    <row r="56" spans="1:67" ht="16.5" customHeight="1" x14ac:dyDescent="0.25">
      <c r="A56" s="137" t="str">
        <f t="shared" si="1"/>
        <v>6764</v>
      </c>
      <c r="B56" s="53" t="s">
        <v>48</v>
      </c>
      <c r="C56" s="50" t="s">
        <v>22</v>
      </c>
      <c r="D56" s="51">
        <v>1001020846764</v>
      </c>
      <c r="E56" s="24"/>
      <c r="F56" s="23">
        <v>1</v>
      </c>
      <c r="G56" s="23">
        <f>E56</f>
        <v>0</v>
      </c>
      <c r="H56" s="14">
        <v>4</v>
      </c>
      <c r="I56" s="14">
        <v>45</v>
      </c>
      <c r="J56" s="29"/>
      <c r="L56" s="102"/>
    </row>
    <row r="57" spans="1:67" ht="16.5" customHeight="1" x14ac:dyDescent="0.25">
      <c r="A57" s="137" t="str">
        <f t="shared" si="1"/>
        <v>7066</v>
      </c>
      <c r="B57" s="53" t="s">
        <v>55</v>
      </c>
      <c r="C57" s="50" t="s">
        <v>20</v>
      </c>
      <c r="D57" s="51">
        <v>1001022377066</v>
      </c>
      <c r="E57" s="24"/>
      <c r="F57" s="23">
        <v>0.41</v>
      </c>
      <c r="G57" s="23">
        <f>E57*F57</f>
        <v>0</v>
      </c>
      <c r="H57" s="14">
        <v>4.0999999999999996</v>
      </c>
      <c r="I57" s="14">
        <v>50</v>
      </c>
      <c r="J57" s="29"/>
      <c r="L57" s="102"/>
    </row>
    <row r="58" spans="1:67" ht="16.5" customHeight="1" x14ac:dyDescent="0.25">
      <c r="A58" s="137" t="str">
        <f t="shared" si="1"/>
        <v>7070</v>
      </c>
      <c r="B58" s="53" t="s">
        <v>44</v>
      </c>
      <c r="C58" s="50" t="s">
        <v>22</v>
      </c>
      <c r="D58" s="51">
        <v>1001022377070</v>
      </c>
      <c r="E58" s="24"/>
      <c r="F58" s="23">
        <v>1.5</v>
      </c>
      <c r="G58" s="23">
        <f>E58</f>
        <v>0</v>
      </c>
      <c r="H58" s="14">
        <v>6</v>
      </c>
      <c r="I58" s="14">
        <v>50</v>
      </c>
      <c r="J58" s="29"/>
      <c r="L58" s="102"/>
    </row>
    <row r="59" spans="1:67" ht="16.5" customHeight="1" x14ac:dyDescent="0.25">
      <c r="A59" s="137" t="str">
        <f t="shared" si="1"/>
        <v>6713</v>
      </c>
      <c r="B59" s="53" t="s">
        <v>46</v>
      </c>
      <c r="C59" s="50" t="s">
        <v>20</v>
      </c>
      <c r="D59" s="51">
        <v>1001022246713</v>
      </c>
      <c r="E59" s="24"/>
      <c r="F59" s="23">
        <v>0.41</v>
      </c>
      <c r="G59" s="23">
        <f>E59*F59</f>
        <v>0</v>
      </c>
      <c r="H59" s="14">
        <v>3.28</v>
      </c>
      <c r="I59" s="14">
        <v>45</v>
      </c>
      <c r="J59" s="29"/>
      <c r="L59" s="102"/>
    </row>
    <row r="60" spans="1:67" ht="16.5" customHeight="1" x14ac:dyDescent="0.25">
      <c r="A60" s="137" t="str">
        <f t="shared" si="1"/>
        <v>6661</v>
      </c>
      <c r="B60" s="53" t="s">
        <v>161</v>
      </c>
      <c r="C60" s="50" t="s">
        <v>22</v>
      </c>
      <c r="D60" s="51">
        <v>1001022246661</v>
      </c>
      <c r="E60" s="24"/>
      <c r="F60" s="23">
        <v>1.5</v>
      </c>
      <c r="G60" s="23">
        <f t="shared" ref="G60:G61" si="11">E60</f>
        <v>0</v>
      </c>
      <c r="H60" s="14">
        <v>6</v>
      </c>
      <c r="I60" s="14">
        <v>45</v>
      </c>
      <c r="J60" s="29"/>
      <c r="L60" s="102"/>
    </row>
    <row r="61" spans="1:67" ht="16.5" customHeight="1" x14ac:dyDescent="0.25">
      <c r="A61" s="137" t="str">
        <f t="shared" si="1"/>
        <v>6254</v>
      </c>
      <c r="B61" s="53" t="s">
        <v>162</v>
      </c>
      <c r="C61" s="50" t="s">
        <v>22</v>
      </c>
      <c r="D61" s="51">
        <v>1001022556254</v>
      </c>
      <c r="E61" s="24"/>
      <c r="F61" s="23">
        <v>1.5</v>
      </c>
      <c r="G61" s="23">
        <f t="shared" si="11"/>
        <v>0</v>
      </c>
      <c r="H61" s="14">
        <v>3</v>
      </c>
      <c r="I61" s="14">
        <v>45</v>
      </c>
      <c r="J61" s="29"/>
      <c r="L61" s="102"/>
    </row>
    <row r="62" spans="1:67" ht="16.5" customHeight="1" x14ac:dyDescent="0.25">
      <c r="A62" s="137" t="str">
        <f t="shared" si="1"/>
        <v>6837</v>
      </c>
      <c r="B62" s="53" t="s">
        <v>47</v>
      </c>
      <c r="C62" s="50" t="s">
        <v>20</v>
      </c>
      <c r="D62" s="51">
        <v>1001022556837</v>
      </c>
      <c r="E62" s="24"/>
      <c r="F62" s="23">
        <v>0.4</v>
      </c>
      <c r="G62" s="23">
        <f t="shared" ref="G62:G63" si="12">E62*F62</f>
        <v>0</v>
      </c>
      <c r="H62" s="14">
        <v>2.4</v>
      </c>
      <c r="I62" s="14">
        <v>45</v>
      </c>
      <c r="J62" s="29"/>
      <c r="L62" s="102"/>
    </row>
    <row r="63" spans="1:67" ht="16.5" customHeight="1" thickBot="1" x14ac:dyDescent="0.3">
      <c r="A63" s="137" t="str">
        <f t="shared" si="1"/>
        <v>7044</v>
      </c>
      <c r="B63" s="53" t="s">
        <v>164</v>
      </c>
      <c r="C63" s="50" t="s">
        <v>20</v>
      </c>
      <c r="D63" s="51">
        <v>1001025167044</v>
      </c>
      <c r="E63" s="24"/>
      <c r="F63" s="23">
        <v>0.32</v>
      </c>
      <c r="G63" s="23">
        <f t="shared" si="12"/>
        <v>0</v>
      </c>
      <c r="H63" s="14">
        <v>2.56</v>
      </c>
      <c r="I63" s="14">
        <v>45</v>
      </c>
      <c r="J63" s="29"/>
      <c r="L63" s="102"/>
    </row>
    <row r="64" spans="1:67" ht="16.5" customHeight="1" thickTop="1" thickBot="1" x14ac:dyDescent="0.3">
      <c r="A64" s="47" t="s">
        <v>104</v>
      </c>
      <c r="B64" s="42" t="s">
        <v>56</v>
      </c>
      <c r="C64" s="42"/>
      <c r="D64" s="42"/>
      <c r="E64" s="42"/>
      <c r="F64" s="41"/>
      <c r="G64" s="42"/>
      <c r="H64" s="42"/>
      <c r="I64" s="42"/>
      <c r="J64" s="43"/>
      <c r="L64" s="102"/>
    </row>
    <row r="65" spans="1:12" ht="16.5" customHeight="1" thickTop="1" x14ac:dyDescent="0.25">
      <c r="A65" s="137" t="str">
        <f t="shared" si="1"/>
        <v>6550</v>
      </c>
      <c r="B65" s="129" t="s">
        <v>151</v>
      </c>
      <c r="C65" s="130" t="s">
        <v>22</v>
      </c>
      <c r="D65" s="51">
        <v>1001032736550</v>
      </c>
      <c r="E65" s="24"/>
      <c r="F65" s="128">
        <v>1</v>
      </c>
      <c r="G65" s="23">
        <f t="shared" ref="G65:G68" si="13">E65</f>
        <v>0</v>
      </c>
      <c r="H65" s="29">
        <v>3</v>
      </c>
      <c r="I65" s="29">
        <v>45</v>
      </c>
      <c r="J65" s="29"/>
      <c r="L65" s="102"/>
    </row>
    <row r="66" spans="1:12" ht="16.5" customHeight="1" x14ac:dyDescent="0.25">
      <c r="A66" s="137" t="str">
        <f t="shared" si="1"/>
        <v>6608</v>
      </c>
      <c r="B66" s="129" t="s">
        <v>58</v>
      </c>
      <c r="C66" s="50" t="s">
        <v>22</v>
      </c>
      <c r="D66" s="51">
        <v>1001033856608</v>
      </c>
      <c r="E66" s="24"/>
      <c r="F66" s="23">
        <v>1</v>
      </c>
      <c r="G66" s="23">
        <f t="shared" si="13"/>
        <v>0</v>
      </c>
      <c r="H66" s="14">
        <v>3</v>
      </c>
      <c r="I66" s="14">
        <v>45</v>
      </c>
      <c r="J66" s="29"/>
      <c r="L66" s="102"/>
    </row>
    <row r="67" spans="1:12" ht="16.5" customHeight="1" x14ac:dyDescent="0.25">
      <c r="A67" s="137" t="str">
        <f t="shared" si="1"/>
        <v>7001</v>
      </c>
      <c r="B67" s="129" t="s">
        <v>57</v>
      </c>
      <c r="C67" s="50" t="s">
        <v>22</v>
      </c>
      <c r="D67" s="51">
        <v>1001035937001</v>
      </c>
      <c r="E67" s="24"/>
      <c r="F67" s="23">
        <v>1</v>
      </c>
      <c r="G67" s="23">
        <f t="shared" si="13"/>
        <v>0</v>
      </c>
      <c r="H67" s="14">
        <v>3</v>
      </c>
      <c r="I67" s="14">
        <v>45</v>
      </c>
      <c r="J67" s="29"/>
      <c r="L67" s="102"/>
    </row>
    <row r="68" spans="1:12" ht="16.5" customHeight="1" x14ac:dyDescent="0.25">
      <c r="A68" s="137" t="str">
        <f t="shared" ref="A68:A70" si="14">RIGHT(D68,4)</f>
        <v>6527</v>
      </c>
      <c r="B68" s="129" t="s">
        <v>152</v>
      </c>
      <c r="C68" s="50" t="s">
        <v>22</v>
      </c>
      <c r="D68" s="51">
        <v>1001031076527</v>
      </c>
      <c r="E68" s="24"/>
      <c r="F68" s="23">
        <v>1</v>
      </c>
      <c r="G68" s="23">
        <f t="shared" si="13"/>
        <v>0</v>
      </c>
      <c r="H68" s="14">
        <v>3</v>
      </c>
      <c r="I68" s="14">
        <v>45</v>
      </c>
      <c r="J68" s="29"/>
      <c r="L68" s="102"/>
    </row>
    <row r="69" spans="1:12" ht="16.5" customHeight="1" x14ac:dyDescent="0.25">
      <c r="A69" s="137" t="str">
        <f t="shared" si="14"/>
        <v>6609</v>
      </c>
      <c r="B69" s="129" t="s">
        <v>153</v>
      </c>
      <c r="C69" s="50" t="s">
        <v>20</v>
      </c>
      <c r="D69" s="51">
        <v>1001033856609</v>
      </c>
      <c r="E69" s="24"/>
      <c r="F69" s="23">
        <v>0.4</v>
      </c>
      <c r="G69" s="23">
        <f t="shared" ref="G69:G70" si="15">E69*F69</f>
        <v>0</v>
      </c>
      <c r="H69" s="14">
        <v>2.4</v>
      </c>
      <c r="I69" s="14">
        <v>45</v>
      </c>
      <c r="J69" s="29"/>
      <c r="L69" s="102"/>
    </row>
    <row r="70" spans="1:12" ht="16.5" customHeight="1" thickBot="1" x14ac:dyDescent="0.3">
      <c r="A70" s="137" t="str">
        <f t="shared" si="14"/>
        <v>7059</v>
      </c>
      <c r="B70" s="129" t="s">
        <v>154</v>
      </c>
      <c r="C70" s="50" t="s">
        <v>20</v>
      </c>
      <c r="D70" s="51">
        <v>1001035277059</v>
      </c>
      <c r="E70" s="24"/>
      <c r="F70" s="23">
        <v>0.3</v>
      </c>
      <c r="G70" s="23">
        <f t="shared" si="15"/>
        <v>0</v>
      </c>
      <c r="H70" s="14">
        <v>2.4</v>
      </c>
      <c r="I70" s="14">
        <v>60</v>
      </c>
      <c r="J70" s="29"/>
      <c r="L70" s="102"/>
    </row>
    <row r="71" spans="1:12" ht="16.5" customHeight="1" thickTop="1" thickBot="1" x14ac:dyDescent="0.3">
      <c r="A71" s="47" t="s">
        <v>104</v>
      </c>
      <c r="B71" s="42" t="s">
        <v>59</v>
      </c>
      <c r="C71" s="42"/>
      <c r="D71" s="42"/>
      <c r="E71" s="42"/>
      <c r="F71" s="41"/>
      <c r="G71" s="42"/>
      <c r="H71" s="42"/>
      <c r="I71" s="42"/>
      <c r="J71" s="43"/>
      <c r="L71" s="102"/>
    </row>
    <row r="72" spans="1:12" ht="16.5" customHeight="1" thickTop="1" x14ac:dyDescent="0.25">
      <c r="A72" s="137" t="str">
        <f t="shared" ref="A72:A95" si="16">RIGHT(D72,4)</f>
        <v>7564</v>
      </c>
      <c r="B72" s="53" t="s">
        <v>121</v>
      </c>
      <c r="C72" s="50" t="s">
        <v>22</v>
      </c>
      <c r="D72" s="51">
        <v>1001303637564</v>
      </c>
      <c r="E72" s="24"/>
      <c r="F72" s="23">
        <v>0.84</v>
      </c>
      <c r="G72" s="23">
        <f>E72</f>
        <v>0</v>
      </c>
      <c r="H72" s="14">
        <v>5.04</v>
      </c>
      <c r="I72" s="14">
        <v>45</v>
      </c>
      <c r="J72" s="52" t="s">
        <v>169</v>
      </c>
      <c r="L72" s="102"/>
    </row>
    <row r="73" spans="1:12" ht="16.5" customHeight="1" x14ac:dyDescent="0.25">
      <c r="A73" s="137" t="str">
        <f t="shared" si="16"/>
        <v>7603</v>
      </c>
      <c r="B73" s="53" t="s">
        <v>122</v>
      </c>
      <c r="C73" s="50" t="s">
        <v>20</v>
      </c>
      <c r="D73" s="51">
        <v>1001303637603</v>
      </c>
      <c r="E73" s="24"/>
      <c r="F73" s="23">
        <v>0.33</v>
      </c>
      <c r="G73" s="23">
        <f t="shared" ref="G73:G85" si="17">E73*F73</f>
        <v>0</v>
      </c>
      <c r="H73" s="14">
        <v>2.64</v>
      </c>
      <c r="I73" s="14">
        <v>45</v>
      </c>
      <c r="J73" s="52" t="s">
        <v>170</v>
      </c>
      <c r="L73" s="102"/>
    </row>
    <row r="74" spans="1:12" ht="16.5" customHeight="1" x14ac:dyDescent="0.25">
      <c r="A74" s="137" t="str">
        <f t="shared" si="16"/>
        <v>7149</v>
      </c>
      <c r="B74" s="53" t="s">
        <v>19</v>
      </c>
      <c r="C74" s="50" t="s">
        <v>20</v>
      </c>
      <c r="D74" s="51">
        <v>1001303637149</v>
      </c>
      <c r="E74" s="24"/>
      <c r="F74" s="23">
        <v>0.84</v>
      </c>
      <c r="G74" s="23">
        <f t="shared" si="17"/>
        <v>0</v>
      </c>
      <c r="H74" s="14">
        <v>5.04</v>
      </c>
      <c r="I74" s="14">
        <v>50</v>
      </c>
      <c r="J74" s="29"/>
      <c r="L74" s="102"/>
    </row>
    <row r="75" spans="1:12" ht="16.5" customHeight="1" x14ac:dyDescent="0.25">
      <c r="A75" s="137" t="str">
        <f t="shared" si="16"/>
        <v>7233</v>
      </c>
      <c r="B75" s="53" t="s">
        <v>219</v>
      </c>
      <c r="C75" s="50" t="s">
        <v>20</v>
      </c>
      <c r="D75" s="51">
        <v>1001303637233</v>
      </c>
      <c r="E75" s="24"/>
      <c r="F75" s="128">
        <v>0.31</v>
      </c>
      <c r="G75" s="23">
        <f t="shared" si="17"/>
        <v>0</v>
      </c>
      <c r="H75" s="29">
        <v>2.48</v>
      </c>
      <c r="I75" s="29">
        <v>45</v>
      </c>
      <c r="J75" s="29"/>
      <c r="L75" s="102"/>
    </row>
    <row r="76" spans="1:12" ht="16.5" customHeight="1" x14ac:dyDescent="0.25">
      <c r="A76" s="137" t="str">
        <f t="shared" si="16"/>
        <v>7232</v>
      </c>
      <c r="B76" s="53" t="s">
        <v>61</v>
      </c>
      <c r="C76" s="50" t="s">
        <v>20</v>
      </c>
      <c r="D76" s="51">
        <v>1001302277232</v>
      </c>
      <c r="E76" s="24"/>
      <c r="F76" s="128">
        <v>0.28000000000000003</v>
      </c>
      <c r="G76" s="23">
        <f t="shared" si="17"/>
        <v>0</v>
      </c>
      <c r="H76" s="29">
        <v>2.2400000000000002</v>
      </c>
      <c r="I76" s="29">
        <v>50</v>
      </c>
      <c r="J76" s="29"/>
      <c r="L76" s="102"/>
    </row>
    <row r="77" spans="1:12" ht="16.5" customHeight="1" x14ac:dyDescent="0.25">
      <c r="A77" s="137" t="str">
        <f t="shared" si="16"/>
        <v>7241</v>
      </c>
      <c r="B77" s="53" t="s">
        <v>63</v>
      </c>
      <c r="C77" s="50" t="s">
        <v>20</v>
      </c>
      <c r="D77" s="51">
        <v>1001303107241</v>
      </c>
      <c r="E77" s="24"/>
      <c r="F77" s="128">
        <v>0.28000000000000003</v>
      </c>
      <c r="G77" s="23">
        <f t="shared" si="17"/>
        <v>0</v>
      </c>
      <c r="H77" s="29">
        <v>2.2400000000000002</v>
      </c>
      <c r="I77" s="29">
        <v>45</v>
      </c>
      <c r="J77" s="29"/>
      <c r="L77" s="102"/>
    </row>
    <row r="78" spans="1:12" ht="16.5" customHeight="1" x14ac:dyDescent="0.25">
      <c r="A78" s="137" t="str">
        <f t="shared" si="16"/>
        <v>7133</v>
      </c>
      <c r="B78" s="53" t="s">
        <v>73</v>
      </c>
      <c r="C78" s="50" t="s">
        <v>22</v>
      </c>
      <c r="D78" s="51">
        <v>1001300367133</v>
      </c>
      <c r="E78" s="24"/>
      <c r="F78" s="128">
        <v>0.84</v>
      </c>
      <c r="G78" s="23">
        <f>E78</f>
        <v>0</v>
      </c>
      <c r="H78" s="29">
        <v>5.04</v>
      </c>
      <c r="I78" s="29">
        <v>45</v>
      </c>
      <c r="J78" s="29"/>
      <c r="L78" s="102"/>
    </row>
    <row r="79" spans="1:12" ht="16.5" customHeight="1" x14ac:dyDescent="0.25">
      <c r="A79" s="137" t="str">
        <f t="shared" si="16"/>
        <v>6946</v>
      </c>
      <c r="B79" s="53" t="s">
        <v>178</v>
      </c>
      <c r="C79" s="50" t="s">
        <v>22</v>
      </c>
      <c r="D79" s="51">
        <v>1001300456946</v>
      </c>
      <c r="E79" s="24"/>
      <c r="F79" s="128"/>
      <c r="G79" s="23">
        <f>E79</f>
        <v>0</v>
      </c>
      <c r="H79" s="29"/>
      <c r="I79" s="29"/>
      <c r="J79" s="29"/>
      <c r="L79" s="102"/>
    </row>
    <row r="80" spans="1:12" ht="16.5" customHeight="1" x14ac:dyDescent="0.25">
      <c r="A80" s="137" t="str">
        <f t="shared" si="16"/>
        <v>6807</v>
      </c>
      <c r="B80" s="53" t="s">
        <v>75</v>
      </c>
      <c r="C80" s="50" t="s">
        <v>20</v>
      </c>
      <c r="D80" s="51">
        <v>1001300366807</v>
      </c>
      <c r="E80" s="24"/>
      <c r="F80" s="128">
        <v>0.33</v>
      </c>
      <c r="G80" s="23">
        <f t="shared" si="17"/>
        <v>0</v>
      </c>
      <c r="H80" s="29">
        <v>2.64</v>
      </c>
      <c r="I80" s="29">
        <v>45</v>
      </c>
      <c r="J80" s="29"/>
      <c r="L80" s="102"/>
    </row>
    <row r="81" spans="1:67" ht="16.5" customHeight="1" x14ac:dyDescent="0.25">
      <c r="A81" s="137" t="str">
        <f t="shared" si="16"/>
        <v>7154</v>
      </c>
      <c r="B81" s="53" t="s">
        <v>64</v>
      </c>
      <c r="C81" s="50" t="s">
        <v>20</v>
      </c>
      <c r="D81" s="51">
        <v>1001300387154</v>
      </c>
      <c r="E81" s="24"/>
      <c r="F81" s="23">
        <v>0.35</v>
      </c>
      <c r="G81" s="23">
        <f t="shared" si="17"/>
        <v>0</v>
      </c>
      <c r="H81" s="14">
        <v>2.8</v>
      </c>
      <c r="I81" s="14">
        <v>50</v>
      </c>
      <c r="J81" s="29"/>
      <c r="L81" s="102"/>
    </row>
    <row r="82" spans="1:67" ht="16.5" customHeight="1" x14ac:dyDescent="0.25">
      <c r="A82" s="137" t="str">
        <f t="shared" si="16"/>
        <v>7157</v>
      </c>
      <c r="B82" s="53" t="s">
        <v>74</v>
      </c>
      <c r="C82" s="50" t="s">
        <v>22</v>
      </c>
      <c r="D82" s="51">
        <v>1001300387157</v>
      </c>
      <c r="E82" s="24"/>
      <c r="F82" s="23">
        <v>0.63</v>
      </c>
      <c r="G82" s="23">
        <f>E82</f>
        <v>0</v>
      </c>
      <c r="H82" s="14">
        <v>5.04</v>
      </c>
      <c r="I82" s="14">
        <v>50</v>
      </c>
      <c r="J82" s="29"/>
      <c r="L82" s="102"/>
    </row>
    <row r="83" spans="1:67" ht="16.5" customHeight="1" x14ac:dyDescent="0.25">
      <c r="A83" s="137" t="str">
        <f t="shared" si="16"/>
        <v>7236</v>
      </c>
      <c r="B83" s="53" t="s">
        <v>68</v>
      </c>
      <c r="C83" s="50" t="s">
        <v>20</v>
      </c>
      <c r="D83" s="51">
        <v>1001304507236</v>
      </c>
      <c r="E83" s="24"/>
      <c r="F83" s="23">
        <v>0.28000000000000003</v>
      </c>
      <c r="G83" s="23">
        <f t="shared" si="17"/>
        <v>0</v>
      </c>
      <c r="H83" s="14">
        <v>2.2400000000000002</v>
      </c>
      <c r="I83" s="14">
        <v>45</v>
      </c>
      <c r="J83" s="29"/>
      <c r="L83" s="102"/>
    </row>
    <row r="84" spans="1:67" ht="16.5" customHeight="1" x14ac:dyDescent="0.25">
      <c r="A84" s="137" t="str">
        <f t="shared" si="16"/>
        <v>7489</v>
      </c>
      <c r="B84" s="53" t="s">
        <v>212</v>
      </c>
      <c r="C84" s="50" t="s">
        <v>20</v>
      </c>
      <c r="D84" s="51">
        <v>1001307357489</v>
      </c>
      <c r="E84" s="24"/>
      <c r="F84" s="23">
        <v>0.28000000000000003</v>
      </c>
      <c r="G84" s="23">
        <f t="shared" si="17"/>
        <v>0</v>
      </c>
      <c r="H84" s="14"/>
      <c r="I84" s="14"/>
      <c r="J84" s="125" t="s">
        <v>196</v>
      </c>
      <c r="L84" s="102"/>
    </row>
    <row r="85" spans="1:67" ht="16.5" customHeight="1" x14ac:dyDescent="0.25">
      <c r="A85" s="137" t="str">
        <f t="shared" si="16"/>
        <v>6787</v>
      </c>
      <c r="B85" s="131" t="s">
        <v>65</v>
      </c>
      <c r="C85" s="50" t="s">
        <v>20</v>
      </c>
      <c r="D85" s="51">
        <v>1001300456787</v>
      </c>
      <c r="E85" s="24"/>
      <c r="F85" s="23">
        <v>0.33</v>
      </c>
      <c r="G85" s="23">
        <f t="shared" si="17"/>
        <v>0</v>
      </c>
      <c r="H85" s="14">
        <v>2.64</v>
      </c>
      <c r="I85" s="14">
        <v>45</v>
      </c>
      <c r="J85" s="29"/>
      <c r="L85" s="102"/>
    </row>
    <row r="86" spans="1:67" ht="15.75" customHeight="1" x14ac:dyDescent="0.25">
      <c r="A86" s="137" t="str">
        <f t="shared" si="16"/>
        <v>7166</v>
      </c>
      <c r="B86" s="131" t="s">
        <v>71</v>
      </c>
      <c r="C86" s="50" t="s">
        <v>22</v>
      </c>
      <c r="D86" s="51">
        <v>1001303987166</v>
      </c>
      <c r="E86" s="24"/>
      <c r="F86" s="23">
        <v>0.7</v>
      </c>
      <c r="G86" s="23">
        <f>E86</f>
        <v>0</v>
      </c>
      <c r="H86" s="14">
        <v>5.6</v>
      </c>
      <c r="I86" s="14">
        <v>50</v>
      </c>
      <c r="J86" s="29"/>
      <c r="L86" s="102"/>
    </row>
    <row r="87" spans="1:67" ht="15.75" customHeight="1" x14ac:dyDescent="0.25">
      <c r="A87" s="137" t="str">
        <f t="shared" si="16"/>
        <v>7169</v>
      </c>
      <c r="B87" s="53" t="s">
        <v>70</v>
      </c>
      <c r="C87" s="50" t="s">
        <v>20</v>
      </c>
      <c r="D87" s="51">
        <v>1001303987169</v>
      </c>
      <c r="E87" s="24"/>
      <c r="F87" s="23">
        <v>0.35</v>
      </c>
      <c r="G87" s="23">
        <f>E87*F87</f>
        <v>0</v>
      </c>
      <c r="H87" s="14">
        <v>2.8</v>
      </c>
      <c r="I87" s="14">
        <v>50</v>
      </c>
      <c r="J87" s="29"/>
      <c r="L87" s="102"/>
    </row>
    <row r="88" spans="1:67" ht="15.75" customHeight="1" x14ac:dyDescent="0.25">
      <c r="A88" s="137" t="str">
        <f t="shared" si="16"/>
        <v>5544</v>
      </c>
      <c r="B88" s="53" t="s">
        <v>72</v>
      </c>
      <c r="C88" s="50" t="s">
        <v>22</v>
      </c>
      <c r="D88" s="51">
        <v>1001051875544</v>
      </c>
      <c r="E88" s="24"/>
      <c r="F88" s="23">
        <v>0.81</v>
      </c>
      <c r="G88" s="23">
        <f>E88</f>
        <v>0</v>
      </c>
      <c r="H88" s="14">
        <v>4.8600000000000003</v>
      </c>
      <c r="I88" s="14">
        <v>45</v>
      </c>
      <c r="J88" s="49"/>
      <c r="L88" s="102"/>
    </row>
    <row r="89" spans="1:67" ht="15.75" customHeight="1" x14ac:dyDescent="0.25">
      <c r="A89" s="137" t="str">
        <f t="shared" si="16"/>
        <v>6697</v>
      </c>
      <c r="B89" s="53" t="s">
        <v>66</v>
      </c>
      <c r="C89" s="50" t="s">
        <v>20</v>
      </c>
      <c r="D89" s="51">
        <v>1001301876697</v>
      </c>
      <c r="E89" s="24"/>
      <c r="F89" s="23">
        <v>0.35</v>
      </c>
      <c r="G89" s="23">
        <f t="shared" ref="G89:G95" si="18">E89*F89</f>
        <v>0</v>
      </c>
      <c r="H89" s="14">
        <v>2.8</v>
      </c>
      <c r="I89" s="14">
        <v>45</v>
      </c>
      <c r="J89" s="49"/>
      <c r="L89" s="102"/>
    </row>
    <row r="90" spans="1:67" ht="15.75" customHeight="1" x14ac:dyDescent="0.25">
      <c r="A90" s="137" t="str">
        <f t="shared" si="16"/>
        <v>7238</v>
      </c>
      <c r="B90" s="53" t="s">
        <v>123</v>
      </c>
      <c r="C90" s="50" t="s">
        <v>20</v>
      </c>
      <c r="D90" s="51">
        <v>1001305197238</v>
      </c>
      <c r="E90" s="24"/>
      <c r="F90" s="23">
        <v>0.31</v>
      </c>
      <c r="G90" s="23">
        <f t="shared" si="18"/>
        <v>0</v>
      </c>
      <c r="H90" s="14">
        <v>2.48</v>
      </c>
      <c r="I90" s="14">
        <v>45</v>
      </c>
      <c r="J90" s="49"/>
      <c r="L90" s="102"/>
    </row>
    <row r="91" spans="1:67" ht="15.75" customHeight="1" x14ac:dyDescent="0.25">
      <c r="A91" s="137" t="str">
        <f t="shared" si="16"/>
        <v>7177</v>
      </c>
      <c r="B91" s="53" t="s">
        <v>124</v>
      </c>
      <c r="C91" s="50" t="s">
        <v>20</v>
      </c>
      <c r="D91" s="51">
        <v>1001302347177</v>
      </c>
      <c r="E91" s="24"/>
      <c r="F91" s="23">
        <v>0.35</v>
      </c>
      <c r="G91" s="23">
        <f t="shared" si="18"/>
        <v>0</v>
      </c>
      <c r="H91" s="14">
        <v>2.8</v>
      </c>
      <c r="I91" s="14">
        <v>50</v>
      </c>
      <c r="J91" s="49"/>
      <c r="L91" s="102"/>
    </row>
    <row r="92" spans="1:67" ht="15.75" customHeight="1" x14ac:dyDescent="0.25">
      <c r="A92" s="137" t="str">
        <f t="shared" si="16"/>
        <v>7332</v>
      </c>
      <c r="B92" s="53" t="s">
        <v>62</v>
      </c>
      <c r="C92" s="50" t="s">
        <v>20</v>
      </c>
      <c r="D92" s="51">
        <v>1001301777332</v>
      </c>
      <c r="E92" s="24"/>
      <c r="F92" s="23">
        <v>0.28000000000000003</v>
      </c>
      <c r="G92" s="23">
        <f t="shared" si="18"/>
        <v>0</v>
      </c>
      <c r="H92" s="14">
        <v>2.2400000000000002</v>
      </c>
      <c r="I92" s="14">
        <v>50</v>
      </c>
      <c r="J92" s="49"/>
      <c r="L92" s="102"/>
    </row>
    <row r="93" spans="1:67" ht="15.75" customHeight="1" x14ac:dyDescent="0.25">
      <c r="A93" s="137" t="str">
        <f t="shared" si="16"/>
        <v>7333</v>
      </c>
      <c r="B93" s="53" t="s">
        <v>69</v>
      </c>
      <c r="C93" s="50" t="s">
        <v>20</v>
      </c>
      <c r="D93" s="51">
        <v>1001303987333</v>
      </c>
      <c r="E93" s="24"/>
      <c r="F93" s="23">
        <v>0.28000000000000003</v>
      </c>
      <c r="G93" s="23">
        <f t="shared" si="18"/>
        <v>0</v>
      </c>
      <c r="H93" s="14">
        <v>2.2400000000000002</v>
      </c>
      <c r="I93" s="14">
        <v>50</v>
      </c>
      <c r="J93" s="49"/>
      <c r="L93" s="102"/>
    </row>
    <row r="94" spans="1:67" ht="15.75" customHeight="1" x14ac:dyDescent="0.25">
      <c r="A94" s="137" t="str">
        <f t="shared" si="16"/>
        <v>7608</v>
      </c>
      <c r="B94" s="53" t="s">
        <v>217</v>
      </c>
      <c r="C94" s="50" t="s">
        <v>20</v>
      </c>
      <c r="D94" s="51">
        <v>1001304197608</v>
      </c>
      <c r="E94" s="24"/>
      <c r="F94" s="23">
        <v>0.1</v>
      </c>
      <c r="G94" s="23">
        <f t="shared" si="18"/>
        <v>0</v>
      </c>
      <c r="H94" s="14">
        <v>1</v>
      </c>
      <c r="I94" s="14">
        <v>45</v>
      </c>
      <c r="J94" s="52" t="s">
        <v>206</v>
      </c>
      <c r="L94" s="102"/>
    </row>
    <row r="95" spans="1:67" s="54" customFormat="1" ht="16.5" customHeight="1" thickBot="1" x14ac:dyDescent="0.3">
      <c r="A95" s="137" t="str">
        <f t="shared" si="16"/>
        <v>7610</v>
      </c>
      <c r="B95" s="53" t="s">
        <v>207</v>
      </c>
      <c r="C95" s="50" t="s">
        <v>20</v>
      </c>
      <c r="D95" s="51">
        <v>1001306717610</v>
      </c>
      <c r="E95" s="24"/>
      <c r="F95" s="23">
        <v>0.1</v>
      </c>
      <c r="G95" s="23">
        <f t="shared" si="18"/>
        <v>0</v>
      </c>
      <c r="H95" s="14">
        <v>1</v>
      </c>
      <c r="I95" s="14">
        <v>45</v>
      </c>
      <c r="J95" s="52" t="s">
        <v>208</v>
      </c>
      <c r="K95" s="27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  <c r="AA95" s="102"/>
      <c r="AB95" s="102"/>
      <c r="AC95" s="102"/>
      <c r="AD95" s="102"/>
      <c r="AE95" s="102"/>
      <c r="AF95" s="102"/>
      <c r="AG95" s="102"/>
      <c r="AH95" s="102"/>
      <c r="AI95" s="102"/>
      <c r="AJ95" s="102"/>
      <c r="AK95" s="102"/>
      <c r="AL95" s="102"/>
      <c r="AM95" s="102"/>
      <c r="AN95" s="102"/>
      <c r="AO95" s="102"/>
      <c r="AP95" s="102"/>
      <c r="AQ95" s="102"/>
      <c r="AR95" s="102"/>
      <c r="AS95" s="102"/>
      <c r="AT95" s="102"/>
      <c r="AU95" s="102"/>
      <c r="AV95" s="102"/>
      <c r="AW95" s="102"/>
      <c r="AX95" s="102"/>
      <c r="AY95" s="102"/>
      <c r="AZ95" s="102"/>
      <c r="BA95" s="102"/>
      <c r="BB95" s="102"/>
      <c r="BC95" s="102"/>
      <c r="BD95" s="102"/>
      <c r="BE95" s="102"/>
      <c r="BF95" s="102"/>
      <c r="BG95" s="102"/>
      <c r="BH95" s="102"/>
      <c r="BI95" s="102"/>
      <c r="BJ95" s="102"/>
      <c r="BK95" s="102"/>
      <c r="BL95" s="102"/>
      <c r="BM95" s="102"/>
      <c r="BN95" s="102"/>
      <c r="BO95" s="102"/>
    </row>
    <row r="96" spans="1:67" s="54" customFormat="1" ht="16.5" customHeight="1" thickTop="1" thickBot="1" x14ac:dyDescent="0.3">
      <c r="A96" s="47" t="s">
        <v>104</v>
      </c>
      <c r="B96" s="42" t="s">
        <v>76</v>
      </c>
      <c r="C96" s="42"/>
      <c r="D96" s="42"/>
      <c r="E96" s="42"/>
      <c r="F96" s="41"/>
      <c r="G96" s="42"/>
      <c r="H96" s="42"/>
      <c r="I96" s="42"/>
      <c r="J96" s="43"/>
      <c r="K96" s="27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  <c r="AA96" s="102"/>
      <c r="AB96" s="102"/>
      <c r="AC96" s="102"/>
      <c r="AD96" s="102"/>
      <c r="AE96" s="102"/>
      <c r="AF96" s="102"/>
      <c r="AG96" s="102"/>
      <c r="AH96" s="102"/>
      <c r="AI96" s="102"/>
      <c r="AJ96" s="102"/>
      <c r="AK96" s="102"/>
      <c r="AL96" s="102"/>
      <c r="AM96" s="102"/>
      <c r="AN96" s="102"/>
      <c r="AO96" s="102"/>
      <c r="AP96" s="102"/>
      <c r="AQ96" s="102"/>
      <c r="AR96" s="102"/>
      <c r="AS96" s="102"/>
      <c r="AT96" s="102"/>
      <c r="AU96" s="102"/>
      <c r="AV96" s="102"/>
      <c r="AW96" s="102"/>
      <c r="AX96" s="102"/>
      <c r="AY96" s="102"/>
      <c r="AZ96" s="102"/>
      <c r="BA96" s="102"/>
      <c r="BB96" s="102"/>
      <c r="BC96" s="102"/>
      <c r="BD96" s="102"/>
      <c r="BE96" s="102"/>
      <c r="BF96" s="102"/>
      <c r="BG96" s="102"/>
      <c r="BH96" s="102"/>
      <c r="BI96" s="102"/>
      <c r="BJ96" s="102"/>
      <c r="BK96" s="102"/>
      <c r="BL96" s="102"/>
      <c r="BM96" s="102"/>
      <c r="BN96" s="102"/>
      <c r="BO96" s="102"/>
    </row>
    <row r="97" spans="1:12" ht="16.5" customHeight="1" thickTop="1" x14ac:dyDescent="0.25">
      <c r="A97" s="137" t="str">
        <f t="shared" ref="A97:A124" si="19">RIGHT(D97,4)</f>
        <v>3986</v>
      </c>
      <c r="B97" s="53" t="s">
        <v>79</v>
      </c>
      <c r="C97" s="50" t="s">
        <v>20</v>
      </c>
      <c r="D97" s="51">
        <v>1001061973986</v>
      </c>
      <c r="E97" s="24"/>
      <c r="F97" s="128">
        <v>0.25</v>
      </c>
      <c r="G97" s="23">
        <f t="shared" ref="G97:G102" si="20">E97*F97</f>
        <v>0</v>
      </c>
      <c r="H97" s="132">
        <v>2</v>
      </c>
      <c r="I97" s="133">
        <v>120</v>
      </c>
      <c r="J97" s="29"/>
      <c r="L97" s="102"/>
    </row>
    <row r="98" spans="1:12" ht="16.5" customHeight="1" x14ac:dyDescent="0.25">
      <c r="A98" s="137" t="str">
        <f t="shared" si="19"/>
        <v>5931</v>
      </c>
      <c r="B98" s="53" t="s">
        <v>77</v>
      </c>
      <c r="C98" s="50" t="s">
        <v>20</v>
      </c>
      <c r="D98" s="51">
        <v>1001060755931</v>
      </c>
      <c r="E98" s="24"/>
      <c r="F98" s="23">
        <v>0.22</v>
      </c>
      <c r="G98" s="23">
        <f t="shared" si="20"/>
        <v>0</v>
      </c>
      <c r="H98" s="97">
        <v>1.76</v>
      </c>
      <c r="I98" s="14">
        <v>120</v>
      </c>
      <c r="J98" s="29"/>
      <c r="L98" s="102"/>
    </row>
    <row r="99" spans="1:12" ht="16.5" customHeight="1" x14ac:dyDescent="0.25">
      <c r="A99" s="137" t="str">
        <f t="shared" si="19"/>
        <v>5708</v>
      </c>
      <c r="B99" s="53" t="s">
        <v>80</v>
      </c>
      <c r="C99" s="50" t="s">
        <v>22</v>
      </c>
      <c r="D99" s="51">
        <v>1001063145708</v>
      </c>
      <c r="E99" s="24"/>
      <c r="F99" s="23">
        <v>0.5</v>
      </c>
      <c r="G99" s="23">
        <f t="shared" ref="G99:G100" si="21">E99</f>
        <v>0</v>
      </c>
      <c r="H99" s="14">
        <v>4</v>
      </c>
      <c r="I99" s="14">
        <v>120</v>
      </c>
      <c r="J99" s="29"/>
      <c r="L99" s="102"/>
    </row>
    <row r="100" spans="1:12" ht="16.5" customHeight="1" x14ac:dyDescent="0.25">
      <c r="A100" s="137" t="str">
        <f t="shared" si="19"/>
        <v>3287</v>
      </c>
      <c r="B100" s="53" t="s">
        <v>90</v>
      </c>
      <c r="C100" s="50" t="s">
        <v>22</v>
      </c>
      <c r="D100" s="51">
        <v>1001060763287</v>
      </c>
      <c r="E100" s="24"/>
      <c r="F100" s="23">
        <v>0.48799999999999999</v>
      </c>
      <c r="G100" s="23">
        <f t="shared" si="21"/>
        <v>0</v>
      </c>
      <c r="H100" s="14">
        <v>3.9</v>
      </c>
      <c r="I100" s="14">
        <v>120</v>
      </c>
      <c r="J100" s="29"/>
      <c r="L100" s="102"/>
    </row>
    <row r="101" spans="1:12" ht="16.5" customHeight="1" x14ac:dyDescent="0.25">
      <c r="A101" s="137" t="str">
        <f t="shared" si="19"/>
        <v>4993</v>
      </c>
      <c r="B101" s="53" t="s">
        <v>139</v>
      </c>
      <c r="C101" s="50" t="s">
        <v>20</v>
      </c>
      <c r="D101" s="51">
        <v>1001060764993</v>
      </c>
      <c r="E101" s="24"/>
      <c r="F101" s="23">
        <v>0.25</v>
      </c>
      <c r="G101" s="23">
        <f t="shared" si="20"/>
        <v>0</v>
      </c>
      <c r="H101" s="14">
        <v>2</v>
      </c>
      <c r="I101" s="14">
        <v>120</v>
      </c>
      <c r="J101" s="29"/>
      <c r="L101" s="102"/>
    </row>
    <row r="102" spans="1:12" ht="16.5" customHeight="1" x14ac:dyDescent="0.25">
      <c r="A102" s="137" t="str">
        <f t="shared" si="19"/>
        <v>5483</v>
      </c>
      <c r="B102" s="53" t="s">
        <v>88</v>
      </c>
      <c r="C102" s="50" t="s">
        <v>20</v>
      </c>
      <c r="D102" s="51">
        <v>1001062505483</v>
      </c>
      <c r="E102" s="24"/>
      <c r="F102" s="23">
        <v>0.25</v>
      </c>
      <c r="G102" s="23">
        <f t="shared" si="20"/>
        <v>0</v>
      </c>
      <c r="H102" s="14">
        <v>2</v>
      </c>
      <c r="I102" s="14">
        <v>120</v>
      </c>
      <c r="J102" s="29"/>
      <c r="L102" s="102"/>
    </row>
    <row r="103" spans="1:12" ht="16.5" customHeight="1" x14ac:dyDescent="0.25">
      <c r="A103" s="137" t="str">
        <f t="shared" si="19"/>
        <v>4117</v>
      </c>
      <c r="B103" s="53" t="s">
        <v>87</v>
      </c>
      <c r="C103" s="50" t="s">
        <v>22</v>
      </c>
      <c r="D103" s="51">
        <v>1001062504117</v>
      </c>
      <c r="E103" s="24"/>
      <c r="F103" s="23">
        <v>0.49399999999999999</v>
      </c>
      <c r="G103" s="23">
        <f t="shared" ref="G103:G104" si="22">E103</f>
        <v>0</v>
      </c>
      <c r="H103" s="14">
        <v>3.95</v>
      </c>
      <c r="I103" s="14">
        <v>120</v>
      </c>
      <c r="J103" s="29"/>
      <c r="L103" s="102"/>
    </row>
    <row r="104" spans="1:12" ht="16.5" customHeight="1" x14ac:dyDescent="0.25">
      <c r="A104" s="137" t="str">
        <f t="shared" si="19"/>
        <v>0614</v>
      </c>
      <c r="B104" s="53" t="s">
        <v>140</v>
      </c>
      <c r="C104" s="50" t="s">
        <v>22</v>
      </c>
      <c r="D104" s="51">
        <v>1001060720614</v>
      </c>
      <c r="E104" s="24"/>
      <c r="F104" s="23">
        <v>0.52</v>
      </c>
      <c r="G104" s="23">
        <f t="shared" si="22"/>
        <v>0</v>
      </c>
      <c r="H104" s="14">
        <v>3.64</v>
      </c>
      <c r="I104" s="14">
        <v>120</v>
      </c>
      <c r="J104" s="29"/>
      <c r="L104" s="102"/>
    </row>
    <row r="105" spans="1:12" ht="16.5" customHeight="1" x14ac:dyDescent="0.25">
      <c r="A105" s="137" t="str">
        <f t="shared" si="19"/>
        <v>6967</v>
      </c>
      <c r="B105" s="53" t="s">
        <v>83</v>
      </c>
      <c r="C105" s="50" t="s">
        <v>20</v>
      </c>
      <c r="D105" s="51">
        <v>1001063656967</v>
      </c>
      <c r="E105" s="24"/>
      <c r="F105" s="23">
        <v>0.25</v>
      </c>
      <c r="G105" s="23">
        <f t="shared" ref="G105:G114" si="23">E105*F105</f>
        <v>0</v>
      </c>
      <c r="H105" s="14">
        <v>2</v>
      </c>
      <c r="I105" s="14">
        <v>120</v>
      </c>
      <c r="J105" s="29"/>
      <c r="L105" s="102"/>
    </row>
    <row r="106" spans="1:12" ht="16.5" customHeight="1" x14ac:dyDescent="0.25">
      <c r="A106" s="137" t="str">
        <f t="shared" si="19"/>
        <v>6937</v>
      </c>
      <c r="B106" s="53" t="s">
        <v>141</v>
      </c>
      <c r="C106" s="50" t="s">
        <v>20</v>
      </c>
      <c r="D106" s="51">
        <v>1001063106937</v>
      </c>
      <c r="E106" s="24"/>
      <c r="F106" s="23">
        <v>0.25</v>
      </c>
      <c r="G106" s="23">
        <f t="shared" si="23"/>
        <v>0</v>
      </c>
      <c r="H106" s="14">
        <v>2</v>
      </c>
      <c r="I106" s="14">
        <v>120</v>
      </c>
      <c r="J106" s="29"/>
      <c r="L106" s="102"/>
    </row>
    <row r="107" spans="1:12" ht="16.5" customHeight="1" x14ac:dyDescent="0.25">
      <c r="A107" s="137" t="str">
        <f t="shared" si="19"/>
        <v>7143</v>
      </c>
      <c r="B107" s="53" t="s">
        <v>142</v>
      </c>
      <c r="C107" s="50" t="s">
        <v>20</v>
      </c>
      <c r="D107" s="51">
        <v>1001060717143</v>
      </c>
      <c r="E107" s="24"/>
      <c r="F107" s="23">
        <v>0.22</v>
      </c>
      <c r="G107" s="23">
        <f t="shared" si="23"/>
        <v>0</v>
      </c>
      <c r="H107" s="14">
        <v>1.76</v>
      </c>
      <c r="I107" s="14">
        <v>120</v>
      </c>
      <c r="J107" s="29"/>
      <c r="L107" s="102"/>
    </row>
    <row r="108" spans="1:12" ht="16.5" customHeight="1" x14ac:dyDescent="0.25">
      <c r="A108" s="137" t="str">
        <f t="shared" si="19"/>
        <v>7147</v>
      </c>
      <c r="B108" s="53" t="s">
        <v>85</v>
      </c>
      <c r="C108" s="50" t="s">
        <v>20</v>
      </c>
      <c r="D108" s="51">
        <v>1001063237147</v>
      </c>
      <c r="E108" s="24"/>
      <c r="F108" s="23">
        <v>0.22</v>
      </c>
      <c r="G108" s="23">
        <f t="shared" si="23"/>
        <v>0</v>
      </c>
      <c r="H108" s="14">
        <v>1.76</v>
      </c>
      <c r="I108" s="14">
        <v>120</v>
      </c>
      <c r="J108" s="29"/>
      <c r="L108" s="102"/>
    </row>
    <row r="109" spans="1:12" ht="16.5" customHeight="1" x14ac:dyDescent="0.25">
      <c r="A109" s="137" t="str">
        <f t="shared" si="19"/>
        <v>7456</v>
      </c>
      <c r="B109" s="53" t="s">
        <v>143</v>
      </c>
      <c r="C109" s="50" t="s">
        <v>20</v>
      </c>
      <c r="D109" s="51">
        <v>1001063097456</v>
      </c>
      <c r="E109" s="24"/>
      <c r="F109" s="23">
        <v>0.15</v>
      </c>
      <c r="G109" s="23">
        <f t="shared" si="23"/>
        <v>0</v>
      </c>
      <c r="H109" s="14">
        <v>1.8</v>
      </c>
      <c r="I109" s="14">
        <v>90</v>
      </c>
      <c r="J109" s="29"/>
      <c r="L109" s="102"/>
    </row>
    <row r="110" spans="1:12" ht="16.5" customHeight="1" x14ac:dyDescent="0.25">
      <c r="A110" s="137" t="str">
        <f t="shared" si="19"/>
        <v>7364</v>
      </c>
      <c r="B110" s="53" t="s">
        <v>144</v>
      </c>
      <c r="C110" s="50" t="s">
        <v>20</v>
      </c>
      <c r="D110" s="51">
        <v>1001063217364</v>
      </c>
      <c r="E110" s="24"/>
      <c r="F110" s="23">
        <v>0.22</v>
      </c>
      <c r="G110" s="23">
        <f t="shared" si="23"/>
        <v>0</v>
      </c>
      <c r="H110" s="14">
        <v>1.76</v>
      </c>
      <c r="I110" s="14">
        <v>90</v>
      </c>
      <c r="J110" s="29"/>
      <c r="L110" s="102"/>
    </row>
    <row r="111" spans="1:12" ht="16.5" customHeight="1" x14ac:dyDescent="0.25">
      <c r="A111" s="137" t="str">
        <f t="shared" si="19"/>
        <v>7383</v>
      </c>
      <c r="B111" s="53" t="s">
        <v>145</v>
      </c>
      <c r="C111" s="50" t="s">
        <v>20</v>
      </c>
      <c r="D111" s="51">
        <v>1001065467383</v>
      </c>
      <c r="E111" s="24"/>
      <c r="F111" s="23">
        <v>0.22</v>
      </c>
      <c r="G111" s="23">
        <f t="shared" si="23"/>
        <v>0</v>
      </c>
      <c r="H111" s="14">
        <v>1.76</v>
      </c>
      <c r="I111" s="14">
        <v>90</v>
      </c>
      <c r="J111" s="29"/>
      <c r="L111" s="102"/>
    </row>
    <row r="112" spans="1:12" ht="16.5" customHeight="1" x14ac:dyDescent="0.25">
      <c r="A112" s="137" t="str">
        <f t="shared" si="19"/>
        <v>7317</v>
      </c>
      <c r="B112" s="53" t="s">
        <v>146</v>
      </c>
      <c r="C112" s="50" t="s">
        <v>20</v>
      </c>
      <c r="D112" s="51">
        <v>1001066567317</v>
      </c>
      <c r="E112" s="24"/>
      <c r="F112" s="23">
        <v>0.54</v>
      </c>
      <c r="G112" s="23">
        <f t="shared" si="23"/>
        <v>0</v>
      </c>
      <c r="H112" s="14">
        <v>3.78</v>
      </c>
      <c r="I112" s="14">
        <v>120</v>
      </c>
      <c r="J112" s="29"/>
      <c r="L112" s="102"/>
    </row>
    <row r="113" spans="1:67" ht="16.5" customHeight="1" x14ac:dyDescent="0.25">
      <c r="A113" s="137" t="str">
        <f t="shared" si="19"/>
        <v>7318</v>
      </c>
      <c r="B113" s="53" t="s">
        <v>147</v>
      </c>
      <c r="C113" s="50" t="s">
        <v>20</v>
      </c>
      <c r="D113" s="51">
        <v>1001060727318</v>
      </c>
      <c r="E113" s="24"/>
      <c r="F113" s="23">
        <v>0.27</v>
      </c>
      <c r="G113" s="23">
        <f t="shared" si="23"/>
        <v>0</v>
      </c>
      <c r="H113" s="14">
        <v>2.16</v>
      </c>
      <c r="I113" s="14">
        <v>120</v>
      </c>
      <c r="J113" s="29"/>
      <c r="L113" s="102"/>
    </row>
    <row r="114" spans="1:67" ht="16.5" customHeight="1" x14ac:dyDescent="0.25">
      <c r="A114" s="137" t="str">
        <f t="shared" si="19"/>
        <v>7316</v>
      </c>
      <c r="B114" s="53" t="s">
        <v>148</v>
      </c>
      <c r="C114" s="50" t="s">
        <v>20</v>
      </c>
      <c r="D114" s="51">
        <v>1001060727316</v>
      </c>
      <c r="E114" s="24"/>
      <c r="F114" s="23">
        <v>0.54</v>
      </c>
      <c r="G114" s="23">
        <f t="shared" si="23"/>
        <v>0</v>
      </c>
      <c r="H114" s="14">
        <v>3.78</v>
      </c>
      <c r="I114" s="14">
        <v>120</v>
      </c>
      <c r="J114" s="29"/>
      <c r="L114" s="102"/>
    </row>
    <row r="115" spans="1:67" ht="16.5" customHeight="1" x14ac:dyDescent="0.25">
      <c r="A115" s="137" t="str">
        <f t="shared" si="19"/>
        <v>6832</v>
      </c>
      <c r="B115" s="53" t="s">
        <v>81</v>
      </c>
      <c r="C115" s="50" t="s">
        <v>22</v>
      </c>
      <c r="D115" s="51">
        <v>1001065616832</v>
      </c>
      <c r="E115" s="24"/>
      <c r="F115" s="23">
        <v>0.215</v>
      </c>
      <c r="G115" s="23">
        <f t="shared" ref="G115:G116" si="24">E115</f>
        <v>0</v>
      </c>
      <c r="H115" s="14">
        <v>2.15</v>
      </c>
      <c r="I115" s="14">
        <v>30</v>
      </c>
      <c r="J115" s="29"/>
      <c r="L115" s="102"/>
    </row>
    <row r="116" spans="1:67" ht="16.5" customHeight="1" x14ac:dyDescent="0.25">
      <c r="A116" s="137" t="str">
        <f t="shared" si="19"/>
        <v>7299</v>
      </c>
      <c r="B116" s="53" t="s">
        <v>82</v>
      </c>
      <c r="C116" s="50" t="s">
        <v>22</v>
      </c>
      <c r="D116" s="51">
        <v>1001060677299</v>
      </c>
      <c r="E116" s="24"/>
      <c r="F116" s="23">
        <v>0.215</v>
      </c>
      <c r="G116" s="23">
        <f t="shared" si="24"/>
        <v>0</v>
      </c>
      <c r="H116" s="14">
        <v>2.15</v>
      </c>
      <c r="I116" s="14">
        <v>30</v>
      </c>
      <c r="J116" s="29"/>
      <c r="L116" s="102"/>
    </row>
    <row r="117" spans="1:67" ht="16.5" customHeight="1" x14ac:dyDescent="0.25">
      <c r="A117" s="137" t="str">
        <f t="shared" si="19"/>
        <v>7386</v>
      </c>
      <c r="B117" s="53" t="s">
        <v>150</v>
      </c>
      <c r="C117" s="50" t="s">
        <v>20</v>
      </c>
      <c r="D117" s="51">
        <v>1001067017386</v>
      </c>
      <c r="E117" s="24"/>
      <c r="F117" s="23">
        <v>0.15</v>
      </c>
      <c r="G117" s="23">
        <f t="shared" ref="G117:G124" si="25">E117*F117</f>
        <v>0</v>
      </c>
      <c r="H117" s="14">
        <v>1.35</v>
      </c>
      <c r="I117" s="14">
        <v>90</v>
      </c>
      <c r="J117" s="29"/>
      <c r="L117" s="102"/>
    </row>
    <row r="118" spans="1:67" ht="16.5" customHeight="1" x14ac:dyDescent="0.25">
      <c r="A118" s="137" t="str">
        <f t="shared" si="19"/>
        <v>7613</v>
      </c>
      <c r="B118" s="53" t="s">
        <v>213</v>
      </c>
      <c r="C118" s="50" t="s">
        <v>20</v>
      </c>
      <c r="D118" s="51">
        <v>1001061977613</v>
      </c>
      <c r="E118" s="24"/>
      <c r="F118" s="23">
        <v>0.1</v>
      </c>
      <c r="G118" s="23">
        <f t="shared" si="25"/>
        <v>0</v>
      </c>
      <c r="H118" s="14">
        <v>1</v>
      </c>
      <c r="I118" s="14">
        <v>60</v>
      </c>
      <c r="J118" s="52" t="s">
        <v>203</v>
      </c>
      <c r="L118" s="102"/>
    </row>
    <row r="119" spans="1:67" ht="16.5" customHeight="1" x14ac:dyDescent="0.25">
      <c r="A119" s="137" t="str">
        <f t="shared" si="19"/>
        <v>7382</v>
      </c>
      <c r="B119" s="53" t="s">
        <v>84</v>
      </c>
      <c r="C119" s="50" t="s">
        <v>20</v>
      </c>
      <c r="D119" s="51">
        <v>1001203117382</v>
      </c>
      <c r="E119" s="24"/>
      <c r="F119" s="23">
        <v>0.12</v>
      </c>
      <c r="G119" s="23">
        <f t="shared" si="25"/>
        <v>0</v>
      </c>
      <c r="H119" s="14">
        <v>0.96</v>
      </c>
      <c r="I119" s="14">
        <v>60</v>
      </c>
      <c r="J119" s="29"/>
      <c r="L119" s="102"/>
    </row>
    <row r="120" spans="1:67" ht="16.5" customHeight="1" x14ac:dyDescent="0.25">
      <c r="A120" s="137" t="str">
        <f t="shared" si="19"/>
        <v>7616</v>
      </c>
      <c r="B120" s="53" t="s">
        <v>204</v>
      </c>
      <c r="C120" s="50" t="s">
        <v>20</v>
      </c>
      <c r="D120" s="51">
        <v>1001062507616</v>
      </c>
      <c r="E120" s="24"/>
      <c r="F120" s="23">
        <v>0.1</v>
      </c>
      <c r="G120" s="23">
        <f t="shared" si="25"/>
        <v>0</v>
      </c>
      <c r="H120" s="14">
        <v>1.4</v>
      </c>
      <c r="I120" s="14">
        <v>60</v>
      </c>
      <c r="J120" s="52" t="s">
        <v>205</v>
      </c>
      <c r="L120" s="102"/>
    </row>
    <row r="121" spans="1:67" ht="16.5" customHeight="1" x14ac:dyDescent="0.25">
      <c r="A121" s="137" t="str">
        <f t="shared" si="19"/>
        <v>6221</v>
      </c>
      <c r="B121" s="53" t="s">
        <v>86</v>
      </c>
      <c r="C121" s="50" t="s">
        <v>20</v>
      </c>
      <c r="D121" s="51">
        <v>1001205376221</v>
      </c>
      <c r="E121" s="24"/>
      <c r="F121" s="23">
        <v>0.09</v>
      </c>
      <c r="G121" s="23">
        <f t="shared" si="25"/>
        <v>0</v>
      </c>
      <c r="H121" s="14">
        <v>0.9</v>
      </c>
      <c r="I121" s="14">
        <v>60</v>
      </c>
      <c r="J121" s="29"/>
      <c r="L121" s="102"/>
    </row>
    <row r="122" spans="1:67" ht="16.5" customHeight="1" x14ac:dyDescent="0.25">
      <c r="A122" s="137" t="str">
        <f t="shared" si="19"/>
        <v>6222</v>
      </c>
      <c r="B122" s="53" t="s">
        <v>133</v>
      </c>
      <c r="C122" s="50" t="s">
        <v>20</v>
      </c>
      <c r="D122" s="51">
        <v>1001205386222</v>
      </c>
      <c r="E122" s="24"/>
      <c r="F122" s="23">
        <v>0.09</v>
      </c>
      <c r="G122" s="23">
        <f t="shared" si="25"/>
        <v>0</v>
      </c>
      <c r="H122" s="14">
        <v>0.9</v>
      </c>
      <c r="I122" s="14">
        <v>60</v>
      </c>
      <c r="J122" s="29"/>
      <c r="L122" s="102"/>
    </row>
    <row r="123" spans="1:67" ht="16.5" customHeight="1" x14ac:dyDescent="0.25">
      <c r="A123" s="137" t="str">
        <f t="shared" si="19"/>
        <v>5679</v>
      </c>
      <c r="B123" s="53" t="s">
        <v>136</v>
      </c>
      <c r="C123" s="50" t="s">
        <v>20</v>
      </c>
      <c r="D123" s="51">
        <v>1001190765679</v>
      </c>
      <c r="E123" s="24"/>
      <c r="F123" s="23">
        <v>0.15</v>
      </c>
      <c r="G123" s="23">
        <f t="shared" si="25"/>
        <v>0</v>
      </c>
      <c r="H123" s="14">
        <v>1.2</v>
      </c>
      <c r="I123" s="14">
        <v>60</v>
      </c>
      <c r="J123" s="29"/>
      <c r="L123" s="102"/>
    </row>
    <row r="124" spans="1:67" ht="16.149999999999999" customHeight="1" thickBot="1" x14ac:dyDescent="0.3">
      <c r="A124" s="137" t="str">
        <f t="shared" si="19"/>
        <v>7626</v>
      </c>
      <c r="B124" s="53" t="s">
        <v>201</v>
      </c>
      <c r="C124" s="50" t="s">
        <v>20</v>
      </c>
      <c r="D124" s="51">
        <v>1001066607626</v>
      </c>
      <c r="E124" s="24"/>
      <c r="F124" s="23">
        <v>0.1</v>
      </c>
      <c r="G124" s="23">
        <f t="shared" si="25"/>
        <v>0</v>
      </c>
      <c r="H124" s="14">
        <v>1</v>
      </c>
      <c r="I124" s="14">
        <v>60</v>
      </c>
      <c r="J124" s="52" t="s">
        <v>202</v>
      </c>
      <c r="L124" s="102"/>
    </row>
    <row r="125" spans="1:67" s="54" customFormat="1" ht="16.149999999999999" customHeight="1" thickTop="1" thickBot="1" x14ac:dyDescent="0.3">
      <c r="A125" s="47" t="s">
        <v>104</v>
      </c>
      <c r="B125" s="42" t="s">
        <v>91</v>
      </c>
      <c r="C125" s="42"/>
      <c r="D125" s="42"/>
      <c r="E125" s="42"/>
      <c r="F125" s="41"/>
      <c r="G125" s="42"/>
      <c r="H125" s="42"/>
      <c r="I125" s="42"/>
      <c r="J125" s="43"/>
      <c r="K125" s="27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  <c r="AA125" s="102"/>
      <c r="AB125" s="102"/>
      <c r="AC125" s="102"/>
      <c r="AD125" s="102"/>
      <c r="AE125" s="102"/>
      <c r="AF125" s="102"/>
      <c r="AG125" s="102"/>
      <c r="AH125" s="102"/>
      <c r="AI125" s="102"/>
      <c r="AJ125" s="102"/>
      <c r="AK125" s="102"/>
      <c r="AL125" s="102"/>
      <c r="AM125" s="102"/>
      <c r="AN125" s="102"/>
      <c r="AO125" s="102"/>
      <c r="AP125" s="102"/>
      <c r="AQ125" s="102"/>
      <c r="AR125" s="102"/>
      <c r="AS125" s="102"/>
      <c r="AT125" s="102"/>
      <c r="AU125" s="102"/>
      <c r="AV125" s="102"/>
      <c r="AW125" s="102"/>
      <c r="AX125" s="102"/>
      <c r="AY125" s="102"/>
      <c r="AZ125" s="102"/>
      <c r="BA125" s="102"/>
      <c r="BB125" s="102"/>
      <c r="BC125" s="102"/>
      <c r="BD125" s="102"/>
      <c r="BE125" s="102"/>
      <c r="BF125" s="102"/>
      <c r="BG125" s="102"/>
      <c r="BH125" s="102"/>
      <c r="BI125" s="102"/>
      <c r="BJ125" s="102"/>
      <c r="BK125" s="102"/>
      <c r="BL125" s="102"/>
      <c r="BM125" s="102"/>
      <c r="BN125" s="102"/>
      <c r="BO125" s="102"/>
    </row>
    <row r="126" spans="1:67" s="54" customFormat="1" ht="16.149999999999999" customHeight="1" thickTop="1" x14ac:dyDescent="0.25">
      <c r="A126" s="137" t="str">
        <f t="shared" ref="A126:A138" si="26">RIGHT(D126,4)</f>
        <v>4584</v>
      </c>
      <c r="B126" s="98" t="s">
        <v>220</v>
      </c>
      <c r="C126" s="50" t="s">
        <v>22</v>
      </c>
      <c r="D126" s="134">
        <v>1001092674584</v>
      </c>
      <c r="E126" s="24"/>
      <c r="F126" s="23">
        <v>2.5</v>
      </c>
      <c r="G126" s="23">
        <f>E126</f>
        <v>0</v>
      </c>
      <c r="H126" s="14">
        <v>7.5</v>
      </c>
      <c r="I126" s="14">
        <v>60</v>
      </c>
      <c r="J126" s="29"/>
      <c r="K126" s="27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  <c r="AA126" s="102"/>
      <c r="AB126" s="102"/>
      <c r="AC126" s="102"/>
      <c r="AD126" s="102"/>
      <c r="AE126" s="102"/>
      <c r="AF126" s="102"/>
      <c r="AG126" s="102"/>
      <c r="AH126" s="102"/>
      <c r="AI126" s="102"/>
      <c r="AJ126" s="102"/>
      <c r="AK126" s="102"/>
      <c r="AL126" s="102"/>
      <c r="AM126" s="102"/>
      <c r="AN126" s="102"/>
      <c r="AO126" s="102"/>
      <c r="AP126" s="102"/>
      <c r="AQ126" s="102"/>
      <c r="AR126" s="102"/>
      <c r="AS126" s="102"/>
      <c r="AT126" s="102"/>
      <c r="AU126" s="102"/>
      <c r="AV126" s="102"/>
      <c r="AW126" s="102"/>
      <c r="AX126" s="102"/>
      <c r="AY126" s="102"/>
      <c r="AZ126" s="102"/>
      <c r="BA126" s="102"/>
      <c r="BB126" s="102"/>
      <c r="BC126" s="102"/>
      <c r="BD126" s="102"/>
      <c r="BE126" s="102"/>
      <c r="BF126" s="102"/>
      <c r="BG126" s="102"/>
      <c r="BH126" s="102"/>
      <c r="BI126" s="102"/>
      <c r="BJ126" s="102"/>
      <c r="BK126" s="102"/>
      <c r="BL126" s="102"/>
      <c r="BM126" s="102"/>
      <c r="BN126" s="102"/>
      <c r="BO126" s="102"/>
    </row>
    <row r="127" spans="1:67" s="54" customFormat="1" ht="16.149999999999999" customHeight="1" x14ac:dyDescent="0.25">
      <c r="A127" s="137" t="str">
        <f t="shared" si="26"/>
        <v>6495</v>
      </c>
      <c r="B127" s="98" t="s">
        <v>95</v>
      </c>
      <c r="C127" s="50" t="s">
        <v>20</v>
      </c>
      <c r="D127" s="51">
        <v>1001092436495</v>
      </c>
      <c r="E127" s="24"/>
      <c r="F127" s="128">
        <v>0.3</v>
      </c>
      <c r="G127" s="23">
        <f>E127*F127</f>
        <v>0</v>
      </c>
      <c r="H127" s="29">
        <v>1.8</v>
      </c>
      <c r="I127" s="29">
        <v>45</v>
      </c>
      <c r="J127" s="29"/>
      <c r="K127" s="27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  <c r="AA127" s="102"/>
      <c r="AB127" s="102"/>
      <c r="AC127" s="102"/>
      <c r="AD127" s="102"/>
      <c r="AE127" s="102"/>
      <c r="AF127" s="102"/>
      <c r="AG127" s="102"/>
      <c r="AH127" s="102"/>
      <c r="AI127" s="102"/>
      <c r="AJ127" s="102"/>
      <c r="AK127" s="102"/>
      <c r="AL127" s="102"/>
      <c r="AM127" s="102"/>
      <c r="AN127" s="102"/>
      <c r="AO127" s="102"/>
      <c r="AP127" s="102"/>
      <c r="AQ127" s="102"/>
      <c r="AR127" s="102"/>
      <c r="AS127" s="102"/>
      <c r="AT127" s="102"/>
      <c r="AU127" s="102"/>
      <c r="AV127" s="102"/>
      <c r="AW127" s="102"/>
      <c r="AX127" s="102"/>
      <c r="AY127" s="102"/>
      <c r="AZ127" s="102"/>
      <c r="BA127" s="102"/>
      <c r="BB127" s="102"/>
      <c r="BC127" s="102"/>
      <c r="BD127" s="102"/>
      <c r="BE127" s="102"/>
      <c r="BF127" s="102"/>
      <c r="BG127" s="102"/>
      <c r="BH127" s="102"/>
      <c r="BI127" s="102"/>
      <c r="BJ127" s="102"/>
      <c r="BK127" s="102"/>
      <c r="BL127" s="102"/>
      <c r="BM127" s="102"/>
      <c r="BN127" s="102"/>
      <c r="BO127" s="102"/>
    </row>
    <row r="128" spans="1:67" s="54" customFormat="1" ht="16.149999999999999" customHeight="1" x14ac:dyDescent="0.25">
      <c r="A128" s="137" t="str">
        <f t="shared" si="26"/>
        <v>6470</v>
      </c>
      <c r="B128" s="135" t="s">
        <v>116</v>
      </c>
      <c r="C128" s="50" t="s">
        <v>22</v>
      </c>
      <c r="D128" s="51">
        <v>1001092436470</v>
      </c>
      <c r="E128" s="24"/>
      <c r="F128" s="128">
        <v>1.2</v>
      </c>
      <c r="G128" s="23">
        <f t="shared" ref="G128:G129" si="27">E128</f>
        <v>0</v>
      </c>
      <c r="H128" s="29">
        <v>4.8</v>
      </c>
      <c r="I128" s="29">
        <v>45</v>
      </c>
      <c r="J128" s="29"/>
      <c r="K128" s="27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  <c r="AA128" s="102"/>
      <c r="AB128" s="102"/>
      <c r="AC128" s="102"/>
      <c r="AD128" s="102"/>
      <c r="AE128" s="102"/>
      <c r="AF128" s="102"/>
      <c r="AG128" s="102"/>
      <c r="AH128" s="102"/>
      <c r="AI128" s="102"/>
      <c r="AJ128" s="102"/>
      <c r="AK128" s="102"/>
      <c r="AL128" s="102"/>
      <c r="AM128" s="102"/>
      <c r="AN128" s="102"/>
      <c r="AO128" s="102"/>
      <c r="AP128" s="102"/>
      <c r="AQ128" s="102"/>
      <c r="AR128" s="102"/>
      <c r="AS128" s="102"/>
      <c r="AT128" s="102"/>
      <c r="AU128" s="102"/>
      <c r="AV128" s="102"/>
      <c r="AW128" s="102"/>
      <c r="AX128" s="102"/>
      <c r="AY128" s="102"/>
      <c r="AZ128" s="102"/>
      <c r="BA128" s="102"/>
      <c r="BB128" s="102"/>
      <c r="BC128" s="102"/>
      <c r="BD128" s="102"/>
      <c r="BE128" s="102"/>
      <c r="BF128" s="102"/>
      <c r="BG128" s="102"/>
      <c r="BH128" s="102"/>
      <c r="BI128" s="102"/>
      <c r="BJ128" s="102"/>
      <c r="BK128" s="102"/>
      <c r="BL128" s="102"/>
      <c r="BM128" s="102"/>
      <c r="BN128" s="102"/>
      <c r="BO128" s="102"/>
    </row>
    <row r="129" spans="1:67" s="54" customFormat="1" ht="16.149999999999999" customHeight="1" x14ac:dyDescent="0.25">
      <c r="A129" s="137" t="str">
        <f t="shared" si="26"/>
        <v>5452</v>
      </c>
      <c r="B129" s="135" t="s">
        <v>93</v>
      </c>
      <c r="C129" s="50" t="s">
        <v>22</v>
      </c>
      <c r="D129" s="51">
        <v>1001092485452</v>
      </c>
      <c r="E129" s="24"/>
      <c r="F129" s="128">
        <v>1.35</v>
      </c>
      <c r="G129" s="23">
        <f t="shared" si="27"/>
        <v>0</v>
      </c>
      <c r="H129" s="29">
        <v>4.05</v>
      </c>
      <c r="I129" s="29">
        <v>60</v>
      </c>
      <c r="J129" s="29"/>
      <c r="K129" s="27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  <c r="AA129" s="102"/>
      <c r="AB129" s="102"/>
      <c r="AC129" s="102"/>
      <c r="AD129" s="102"/>
      <c r="AE129" s="102"/>
      <c r="AF129" s="102"/>
      <c r="AG129" s="102"/>
      <c r="AH129" s="102"/>
      <c r="AI129" s="102"/>
      <c r="AJ129" s="102"/>
      <c r="AK129" s="102"/>
      <c r="AL129" s="102"/>
      <c r="AM129" s="102"/>
      <c r="AN129" s="102"/>
      <c r="AO129" s="102"/>
      <c r="AP129" s="102"/>
      <c r="AQ129" s="102"/>
      <c r="AR129" s="102"/>
      <c r="AS129" s="102"/>
      <c r="AT129" s="102"/>
      <c r="AU129" s="102"/>
      <c r="AV129" s="102"/>
      <c r="AW129" s="102"/>
      <c r="AX129" s="102"/>
      <c r="AY129" s="102"/>
      <c r="AZ129" s="102"/>
      <c r="BA129" s="102"/>
      <c r="BB129" s="102"/>
      <c r="BC129" s="102"/>
      <c r="BD129" s="102"/>
      <c r="BE129" s="102"/>
      <c r="BF129" s="102"/>
      <c r="BG129" s="102"/>
      <c r="BH129" s="102"/>
      <c r="BI129" s="102"/>
      <c r="BJ129" s="102"/>
      <c r="BK129" s="102"/>
      <c r="BL129" s="102"/>
      <c r="BM129" s="102"/>
      <c r="BN129" s="102"/>
      <c r="BO129" s="102"/>
    </row>
    <row r="130" spans="1:67" s="54" customFormat="1" ht="16.5" customHeight="1" x14ac:dyDescent="0.25">
      <c r="A130" s="137" t="str">
        <f t="shared" si="26"/>
        <v>3215</v>
      </c>
      <c r="B130" s="135" t="s">
        <v>215</v>
      </c>
      <c r="C130" s="50" t="s">
        <v>20</v>
      </c>
      <c r="D130" s="51">
        <v>1001094053215</v>
      </c>
      <c r="E130" s="24"/>
      <c r="F130" s="128">
        <v>0.4</v>
      </c>
      <c r="G130" s="23">
        <f>E130*F130</f>
        <v>0</v>
      </c>
      <c r="H130" s="29">
        <v>3.2</v>
      </c>
      <c r="I130" s="29">
        <v>60</v>
      </c>
      <c r="J130" s="29"/>
      <c r="K130" s="27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  <c r="AA130" s="102"/>
      <c r="AB130" s="102"/>
      <c r="AC130" s="102"/>
      <c r="AD130" s="102"/>
      <c r="AE130" s="102"/>
      <c r="AF130" s="102"/>
      <c r="AG130" s="102"/>
      <c r="AH130" s="102"/>
      <c r="AI130" s="102"/>
      <c r="AJ130" s="102"/>
      <c r="AK130" s="102"/>
      <c r="AL130" s="102"/>
      <c r="AM130" s="102"/>
      <c r="AN130" s="102"/>
      <c r="AO130" s="102"/>
      <c r="AP130" s="102"/>
      <c r="AQ130" s="102"/>
      <c r="AR130" s="102"/>
      <c r="AS130" s="102"/>
      <c r="AT130" s="102"/>
      <c r="AU130" s="102"/>
      <c r="AV130" s="102"/>
      <c r="AW130" s="102"/>
      <c r="AX130" s="102"/>
      <c r="AY130" s="102"/>
      <c r="AZ130" s="102"/>
      <c r="BA130" s="102"/>
      <c r="BB130" s="102"/>
      <c r="BC130" s="102"/>
      <c r="BD130" s="102"/>
      <c r="BE130" s="102"/>
      <c r="BF130" s="102"/>
      <c r="BG130" s="102"/>
      <c r="BH130" s="102"/>
      <c r="BI130" s="102"/>
      <c r="BJ130" s="102"/>
      <c r="BK130" s="102"/>
      <c r="BL130" s="102"/>
      <c r="BM130" s="102"/>
      <c r="BN130" s="102"/>
      <c r="BO130" s="102"/>
    </row>
    <row r="131" spans="1:67" s="54" customFormat="1" ht="16.5" customHeight="1" x14ac:dyDescent="0.25">
      <c r="A131" s="137" t="str">
        <f t="shared" si="26"/>
        <v>6866</v>
      </c>
      <c r="B131" s="135" t="s">
        <v>92</v>
      </c>
      <c r="C131" s="50" t="s">
        <v>22</v>
      </c>
      <c r="D131" s="51">
        <v>1001095716866</v>
      </c>
      <c r="E131" s="24"/>
      <c r="F131" s="128">
        <v>1.5</v>
      </c>
      <c r="G131" s="23">
        <f>E131</f>
        <v>0</v>
      </c>
      <c r="H131" s="29">
        <v>6</v>
      </c>
      <c r="I131" s="29">
        <v>60</v>
      </c>
      <c r="J131" s="29"/>
      <c r="K131" s="27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2"/>
      <c r="AJ131" s="102"/>
      <c r="AK131" s="102"/>
      <c r="AL131" s="102"/>
      <c r="AM131" s="102"/>
      <c r="AN131" s="102"/>
      <c r="AO131" s="102"/>
      <c r="AP131" s="102"/>
      <c r="AQ131" s="102"/>
      <c r="AR131" s="102"/>
      <c r="AS131" s="102"/>
      <c r="AT131" s="102"/>
      <c r="AU131" s="102"/>
      <c r="AV131" s="102"/>
      <c r="AW131" s="102"/>
      <c r="AX131" s="102"/>
      <c r="AY131" s="102"/>
      <c r="AZ131" s="102"/>
      <c r="BA131" s="102"/>
      <c r="BB131" s="102"/>
      <c r="BC131" s="102"/>
      <c r="BD131" s="102"/>
      <c r="BE131" s="102"/>
      <c r="BF131" s="102"/>
      <c r="BG131" s="102"/>
      <c r="BH131" s="102"/>
      <c r="BI131" s="102"/>
      <c r="BJ131" s="102"/>
      <c r="BK131" s="102"/>
      <c r="BL131" s="102"/>
      <c r="BM131" s="102"/>
      <c r="BN131" s="102"/>
      <c r="BO131" s="102"/>
    </row>
    <row r="132" spans="1:67" s="54" customFormat="1" ht="16.5" customHeight="1" x14ac:dyDescent="0.25">
      <c r="A132" s="137" t="str">
        <f t="shared" si="26"/>
        <v>5495</v>
      </c>
      <c r="B132" s="53" t="s">
        <v>94</v>
      </c>
      <c r="C132" s="50" t="s">
        <v>20</v>
      </c>
      <c r="D132" s="136">
        <v>1001093345495</v>
      </c>
      <c r="E132" s="24"/>
      <c r="F132" s="128">
        <v>0.4</v>
      </c>
      <c r="G132" s="23">
        <f t="shared" ref="G132:G134" si="28">E132*F132</f>
        <v>0</v>
      </c>
      <c r="H132" s="29">
        <v>2.4</v>
      </c>
      <c r="I132" s="29">
        <v>60</v>
      </c>
      <c r="J132" s="29"/>
      <c r="K132" s="27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2"/>
      <c r="AJ132" s="102"/>
      <c r="AK132" s="102"/>
      <c r="AL132" s="102"/>
      <c r="AM132" s="102"/>
      <c r="AN132" s="102"/>
      <c r="AO132" s="102"/>
      <c r="AP132" s="102"/>
      <c r="AQ132" s="102"/>
      <c r="AR132" s="102"/>
      <c r="AS132" s="102"/>
      <c r="AT132" s="102"/>
      <c r="AU132" s="102"/>
      <c r="AV132" s="102"/>
      <c r="AW132" s="102"/>
      <c r="AX132" s="102"/>
      <c r="AY132" s="102"/>
      <c r="AZ132" s="102"/>
      <c r="BA132" s="102"/>
      <c r="BB132" s="102"/>
      <c r="BC132" s="102"/>
      <c r="BD132" s="102"/>
      <c r="BE132" s="102"/>
      <c r="BF132" s="102"/>
      <c r="BG132" s="102"/>
      <c r="BH132" s="102"/>
      <c r="BI132" s="102"/>
      <c r="BJ132" s="102"/>
      <c r="BK132" s="102"/>
      <c r="BL132" s="102"/>
      <c r="BM132" s="102"/>
      <c r="BN132" s="102"/>
      <c r="BO132" s="102"/>
    </row>
    <row r="133" spans="1:67" s="54" customFormat="1" ht="16.5" customHeight="1" x14ac:dyDescent="0.25">
      <c r="A133" s="137" t="str">
        <f t="shared" si="26"/>
        <v>7377</v>
      </c>
      <c r="B133" s="53" t="s">
        <v>117</v>
      </c>
      <c r="C133" s="50" t="s">
        <v>20</v>
      </c>
      <c r="D133" s="136">
        <v>1001095027377</v>
      </c>
      <c r="E133" s="24"/>
      <c r="F133" s="128">
        <v>0.3</v>
      </c>
      <c r="G133" s="23">
        <f t="shared" si="28"/>
        <v>0</v>
      </c>
      <c r="H133" s="29">
        <v>1.8</v>
      </c>
      <c r="I133" s="29">
        <v>45</v>
      </c>
      <c r="J133" s="29"/>
      <c r="K133" s="27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2"/>
      <c r="AJ133" s="102"/>
      <c r="AK133" s="102"/>
      <c r="AL133" s="102"/>
      <c r="AM133" s="102"/>
      <c r="AN133" s="102"/>
      <c r="AO133" s="102"/>
      <c r="AP133" s="102"/>
      <c r="AQ133" s="102"/>
      <c r="AR133" s="102"/>
      <c r="AS133" s="102"/>
      <c r="AT133" s="102"/>
      <c r="AU133" s="102"/>
      <c r="AV133" s="102"/>
      <c r="AW133" s="102"/>
      <c r="AX133" s="102"/>
      <c r="AY133" s="102"/>
      <c r="AZ133" s="102"/>
      <c r="BA133" s="102"/>
      <c r="BB133" s="102"/>
      <c r="BC133" s="102"/>
      <c r="BD133" s="102"/>
      <c r="BE133" s="102"/>
      <c r="BF133" s="102"/>
      <c r="BG133" s="102"/>
      <c r="BH133" s="102"/>
      <c r="BI133" s="102"/>
      <c r="BJ133" s="102"/>
      <c r="BK133" s="102"/>
      <c r="BL133" s="102"/>
      <c r="BM133" s="102"/>
      <c r="BN133" s="102"/>
      <c r="BO133" s="102"/>
    </row>
    <row r="134" spans="1:67" s="54" customFormat="1" ht="15.75" customHeight="1" x14ac:dyDescent="0.25">
      <c r="A134" s="137" t="str">
        <f t="shared" si="26"/>
        <v>6925</v>
      </c>
      <c r="B134" s="53" t="s">
        <v>103</v>
      </c>
      <c r="C134" s="50" t="s">
        <v>20</v>
      </c>
      <c r="D134" s="136">
        <v>1001095226925</v>
      </c>
      <c r="E134" s="24"/>
      <c r="F134" s="128">
        <v>0.6</v>
      </c>
      <c r="G134" s="23">
        <f t="shared" si="28"/>
        <v>0</v>
      </c>
      <c r="H134" s="29">
        <v>4.8</v>
      </c>
      <c r="I134" s="29">
        <v>45</v>
      </c>
      <c r="J134" s="29"/>
      <c r="K134" s="27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2"/>
      <c r="AJ134" s="102"/>
      <c r="AK134" s="102"/>
      <c r="AL134" s="102"/>
      <c r="AM134" s="102"/>
      <c r="AN134" s="102"/>
      <c r="AO134" s="102"/>
      <c r="AP134" s="102"/>
      <c r="AQ134" s="102"/>
      <c r="AR134" s="102"/>
      <c r="AS134" s="102"/>
      <c r="AT134" s="102"/>
      <c r="AU134" s="102"/>
      <c r="AV134" s="102"/>
      <c r="AW134" s="102"/>
      <c r="AX134" s="102"/>
      <c r="AY134" s="102"/>
      <c r="AZ134" s="102"/>
      <c r="BA134" s="102"/>
      <c r="BB134" s="102"/>
      <c r="BC134" s="102"/>
      <c r="BD134" s="102"/>
      <c r="BE134" s="102"/>
      <c r="BF134" s="102"/>
      <c r="BG134" s="102"/>
      <c r="BH134" s="102"/>
      <c r="BI134" s="102"/>
      <c r="BJ134" s="102"/>
      <c r="BK134" s="102"/>
      <c r="BL134" s="102"/>
      <c r="BM134" s="102"/>
      <c r="BN134" s="102"/>
      <c r="BO134" s="102"/>
    </row>
    <row r="135" spans="1:67" s="54" customFormat="1" ht="15.75" customHeight="1" x14ac:dyDescent="0.25">
      <c r="A135" s="137" t="str">
        <f t="shared" si="26"/>
        <v>6025</v>
      </c>
      <c r="B135" s="53" t="s">
        <v>118</v>
      </c>
      <c r="C135" s="50" t="s">
        <v>22</v>
      </c>
      <c r="D135" s="136">
        <v>1001094966025</v>
      </c>
      <c r="E135" s="24"/>
      <c r="F135" s="128">
        <v>3</v>
      </c>
      <c r="G135" s="23">
        <f>E135</f>
        <v>0</v>
      </c>
      <c r="H135" s="29">
        <v>6</v>
      </c>
      <c r="I135" s="29">
        <v>60</v>
      </c>
      <c r="J135" s="29"/>
      <c r="K135" s="27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</row>
    <row r="136" spans="1:67" ht="16.5" customHeight="1" x14ac:dyDescent="0.25">
      <c r="A136" s="137" t="str">
        <f t="shared" si="26"/>
        <v>7485</v>
      </c>
      <c r="B136" s="53" t="s">
        <v>221</v>
      </c>
      <c r="C136" s="50" t="s">
        <v>20</v>
      </c>
      <c r="D136" s="136">
        <v>1001107397485</v>
      </c>
      <c r="E136" s="24"/>
      <c r="F136" s="128">
        <v>0.15</v>
      </c>
      <c r="G136" s="23">
        <f>F136*E136</f>
        <v>0</v>
      </c>
      <c r="H136" s="29"/>
      <c r="I136" s="29"/>
      <c r="J136" s="125" t="s">
        <v>196</v>
      </c>
      <c r="L136" s="102"/>
    </row>
    <row r="137" spans="1:67" ht="16.5" customHeight="1" x14ac:dyDescent="0.25">
      <c r="A137" s="137" t="str">
        <f t="shared" si="26"/>
        <v>7647</v>
      </c>
      <c r="B137" s="53" t="s">
        <v>195</v>
      </c>
      <c r="C137" s="50" t="s">
        <v>20</v>
      </c>
      <c r="D137" s="136">
        <v>1001097747647</v>
      </c>
      <c r="E137" s="24"/>
      <c r="F137" s="128">
        <v>0.1</v>
      </c>
      <c r="G137" s="23">
        <f>E137*F137</f>
        <v>0</v>
      </c>
      <c r="H137" s="29">
        <v>1</v>
      </c>
      <c r="I137" s="29">
        <v>30</v>
      </c>
      <c r="J137" s="125" t="s">
        <v>196</v>
      </c>
      <c r="L137" s="102"/>
    </row>
    <row r="138" spans="1:67" ht="16.5" customHeight="1" thickBot="1" x14ac:dyDescent="0.3">
      <c r="A138" s="137" t="str">
        <f t="shared" si="26"/>
        <v>7651</v>
      </c>
      <c r="B138" s="53" t="s">
        <v>197</v>
      </c>
      <c r="C138" s="50" t="s">
        <v>20</v>
      </c>
      <c r="D138" s="136">
        <v>1001097767651</v>
      </c>
      <c r="E138" s="24"/>
      <c r="F138" s="128">
        <v>0.1</v>
      </c>
      <c r="G138" s="23">
        <f>E138*F138</f>
        <v>0</v>
      </c>
      <c r="H138" s="29">
        <v>1</v>
      </c>
      <c r="I138" s="29">
        <v>30</v>
      </c>
      <c r="J138" s="125" t="s">
        <v>196</v>
      </c>
      <c r="L138" s="102"/>
    </row>
    <row r="139" spans="1:67" ht="16.5" customHeight="1" thickTop="1" thickBot="1" x14ac:dyDescent="0.3">
      <c r="A139" s="47" t="s">
        <v>104</v>
      </c>
      <c r="B139" s="42" t="s">
        <v>96</v>
      </c>
      <c r="C139" s="42"/>
      <c r="D139" s="42"/>
      <c r="E139" s="42"/>
      <c r="F139" s="41"/>
      <c r="G139" s="42"/>
      <c r="H139" s="42"/>
      <c r="I139" s="42"/>
      <c r="J139" s="43"/>
      <c r="L139" s="102"/>
    </row>
    <row r="140" spans="1:67" ht="16.5" customHeight="1" thickTop="1" x14ac:dyDescent="0.25">
      <c r="A140" s="137" t="str">
        <f t="shared" ref="A140:A151" si="29">RIGHT(D140,4)</f>
        <v>7090</v>
      </c>
      <c r="B140" s="35" t="s">
        <v>100</v>
      </c>
      <c r="C140" s="50" t="s">
        <v>20</v>
      </c>
      <c r="D140" s="51">
        <v>1001084217090</v>
      </c>
      <c r="E140" s="24"/>
      <c r="F140" s="23">
        <v>0.3</v>
      </c>
      <c r="G140" s="23">
        <f t="shared" ref="G140:G141" si="30">E140*F140</f>
        <v>0</v>
      </c>
      <c r="H140" s="14">
        <v>1.8</v>
      </c>
      <c r="I140" s="14">
        <v>50</v>
      </c>
      <c r="J140" s="29"/>
      <c r="L140" s="102"/>
    </row>
    <row r="141" spans="1:67" ht="16.5" customHeight="1" x14ac:dyDescent="0.25">
      <c r="A141" s="137" t="str">
        <f t="shared" si="29"/>
        <v>7187</v>
      </c>
      <c r="B141" s="35" t="s">
        <v>101</v>
      </c>
      <c r="C141" s="50" t="s">
        <v>20</v>
      </c>
      <c r="D141" s="51">
        <v>1001085637187</v>
      </c>
      <c r="E141" s="24"/>
      <c r="F141" s="23">
        <v>0.3</v>
      </c>
      <c r="G141" s="23">
        <f t="shared" si="30"/>
        <v>0</v>
      </c>
      <c r="H141" s="14">
        <v>1.8</v>
      </c>
      <c r="I141" s="14">
        <v>50</v>
      </c>
      <c r="J141" s="29"/>
      <c r="L141" s="102"/>
    </row>
    <row r="142" spans="1:67" ht="16.5" customHeight="1" x14ac:dyDescent="0.25">
      <c r="A142" s="137" t="str">
        <f t="shared" si="29"/>
        <v>6008</v>
      </c>
      <c r="B142" s="35" t="s">
        <v>198</v>
      </c>
      <c r="C142" s="50" t="s">
        <v>22</v>
      </c>
      <c r="D142" s="51">
        <v>1001084856008</v>
      </c>
      <c r="E142" s="24"/>
      <c r="F142" s="23">
        <v>0.3</v>
      </c>
      <c r="G142" s="23">
        <f>E142</f>
        <v>0</v>
      </c>
      <c r="H142" s="14">
        <v>1.8</v>
      </c>
      <c r="I142" s="14">
        <v>40</v>
      </c>
      <c r="J142" s="125" t="s">
        <v>196</v>
      </c>
      <c r="L142" s="102"/>
    </row>
    <row r="143" spans="1:67" ht="16.5" customHeight="1" x14ac:dyDescent="0.25">
      <c r="A143" s="137" t="str">
        <f t="shared" si="29"/>
        <v>6620</v>
      </c>
      <c r="B143" s="35" t="s">
        <v>97</v>
      </c>
      <c r="C143" s="50" t="s">
        <v>22</v>
      </c>
      <c r="D143" s="51">
        <v>1001081596620</v>
      </c>
      <c r="E143" s="24"/>
      <c r="F143" s="23">
        <v>1.05</v>
      </c>
      <c r="G143" s="23">
        <f>E143</f>
        <v>0</v>
      </c>
      <c r="H143" s="14">
        <v>3.15</v>
      </c>
      <c r="I143" s="14">
        <v>30</v>
      </c>
      <c r="J143" s="29"/>
      <c r="L143" s="102"/>
    </row>
    <row r="144" spans="1:67" ht="16.5" customHeight="1" x14ac:dyDescent="0.25">
      <c r="A144" s="137" t="str">
        <f t="shared" si="29"/>
        <v>7103</v>
      </c>
      <c r="B144" s="35" t="s">
        <v>216</v>
      </c>
      <c r="C144" s="50" t="s">
        <v>20</v>
      </c>
      <c r="D144" s="51">
        <v>1001223297103</v>
      </c>
      <c r="E144" s="24"/>
      <c r="F144" s="23">
        <v>0.18</v>
      </c>
      <c r="G144" s="23">
        <f t="shared" ref="G144:G151" si="31">E144*F144</f>
        <v>0</v>
      </c>
      <c r="H144" s="14">
        <v>1.8</v>
      </c>
      <c r="I144" s="14">
        <v>50</v>
      </c>
      <c r="J144" s="29"/>
      <c r="L144" s="102"/>
    </row>
    <row r="145" spans="1:12" ht="16.5" customHeight="1" x14ac:dyDescent="0.25">
      <c r="A145" s="137" t="str">
        <f t="shared" si="29"/>
        <v>7092</v>
      </c>
      <c r="B145" s="35" t="s">
        <v>78</v>
      </c>
      <c r="C145" s="50" t="s">
        <v>20</v>
      </c>
      <c r="D145" s="51">
        <v>1001223297092</v>
      </c>
      <c r="E145" s="24"/>
      <c r="F145" s="23">
        <v>0.14000000000000001</v>
      </c>
      <c r="G145" s="23">
        <f t="shared" si="31"/>
        <v>0</v>
      </c>
      <c r="H145" s="14">
        <v>1.4</v>
      </c>
      <c r="I145" s="14">
        <v>50</v>
      </c>
      <c r="J145" s="29"/>
      <c r="L145" s="102"/>
    </row>
    <row r="146" spans="1:12" ht="16.5" customHeight="1" x14ac:dyDescent="0.25">
      <c r="A146" s="137" t="str">
        <f t="shared" si="29"/>
        <v>6228</v>
      </c>
      <c r="B146" s="35" t="s">
        <v>89</v>
      </c>
      <c r="C146" s="50" t="s">
        <v>20</v>
      </c>
      <c r="D146" s="51">
        <v>1001225416228</v>
      </c>
      <c r="E146" s="24"/>
      <c r="F146" s="23">
        <v>0.09</v>
      </c>
      <c r="G146" s="23">
        <f t="shared" si="31"/>
        <v>0</v>
      </c>
      <c r="H146" s="14">
        <v>0.9</v>
      </c>
      <c r="I146" s="14">
        <v>45</v>
      </c>
      <c r="J146" s="29"/>
      <c r="L146" s="102"/>
    </row>
    <row r="147" spans="1:12" ht="16.5" customHeight="1" x14ac:dyDescent="0.25">
      <c r="A147" s="137" t="str">
        <f t="shared" si="29"/>
        <v>6448</v>
      </c>
      <c r="B147" s="35" t="s">
        <v>128</v>
      </c>
      <c r="C147" s="50" t="s">
        <v>20</v>
      </c>
      <c r="D147" s="51">
        <v>1001234146448</v>
      </c>
      <c r="E147" s="24"/>
      <c r="F147" s="23">
        <v>0.1</v>
      </c>
      <c r="G147" s="23">
        <f t="shared" si="31"/>
        <v>0</v>
      </c>
      <c r="H147" s="14">
        <v>1</v>
      </c>
      <c r="I147" s="14">
        <v>45</v>
      </c>
      <c r="J147" s="29"/>
      <c r="L147" s="102"/>
    </row>
    <row r="148" spans="1:12" ht="16.5" customHeight="1" x14ac:dyDescent="0.25">
      <c r="A148" s="137" t="str">
        <f t="shared" si="29"/>
        <v>6208</v>
      </c>
      <c r="B148" s="35" t="s">
        <v>99</v>
      </c>
      <c r="C148" s="50" t="s">
        <v>20</v>
      </c>
      <c r="D148" s="51">
        <v>1001220226208</v>
      </c>
      <c r="E148" s="24"/>
      <c r="F148" s="23">
        <v>0.15</v>
      </c>
      <c r="G148" s="23">
        <f t="shared" si="31"/>
        <v>0</v>
      </c>
      <c r="H148" s="14">
        <v>1.5</v>
      </c>
      <c r="I148" s="14">
        <v>45</v>
      </c>
      <c r="J148" s="29"/>
      <c r="L148" s="102"/>
    </row>
    <row r="149" spans="1:12" ht="16.5" customHeight="1" x14ac:dyDescent="0.25">
      <c r="A149" s="137" t="str">
        <f t="shared" si="29"/>
        <v>6754</v>
      </c>
      <c r="B149" s="35" t="s">
        <v>222</v>
      </c>
      <c r="C149" s="50" t="s">
        <v>20</v>
      </c>
      <c r="D149" s="51">
        <v>1001225406754</v>
      </c>
      <c r="E149" s="24"/>
      <c r="F149" s="23">
        <v>0.09</v>
      </c>
      <c r="G149" s="23">
        <f t="shared" si="31"/>
        <v>0</v>
      </c>
      <c r="H149" s="14">
        <v>0.72</v>
      </c>
      <c r="I149" s="14">
        <v>60</v>
      </c>
      <c r="J149" s="29"/>
    </row>
    <row r="150" spans="1:12" ht="15.75" customHeight="1" x14ac:dyDescent="0.25">
      <c r="A150" s="137" t="str">
        <f t="shared" si="29"/>
        <v>6279</v>
      </c>
      <c r="B150" s="35" t="s">
        <v>98</v>
      </c>
      <c r="C150" s="50" t="s">
        <v>20</v>
      </c>
      <c r="D150" s="51">
        <v>1001220286279</v>
      </c>
      <c r="E150" s="24"/>
      <c r="F150" s="23">
        <v>0.15</v>
      </c>
      <c r="G150" s="23">
        <f t="shared" si="31"/>
        <v>0</v>
      </c>
      <c r="H150" s="14">
        <v>1.2</v>
      </c>
      <c r="I150" s="14">
        <v>45</v>
      </c>
      <c r="J150" s="29"/>
    </row>
    <row r="151" spans="1:12" ht="15.75" thickBot="1" x14ac:dyDescent="0.3">
      <c r="A151" s="137" t="str">
        <f t="shared" si="29"/>
        <v>7612</v>
      </c>
      <c r="B151" s="35" t="s">
        <v>199</v>
      </c>
      <c r="C151" s="50" t="s">
        <v>20</v>
      </c>
      <c r="D151" s="51">
        <v>1001453907612</v>
      </c>
      <c r="E151" s="24"/>
      <c r="F151" s="23">
        <v>0.1</v>
      </c>
      <c r="G151" s="23">
        <f t="shared" si="31"/>
        <v>0</v>
      </c>
      <c r="H151" s="14">
        <v>1</v>
      </c>
      <c r="I151" s="14">
        <v>60</v>
      </c>
      <c r="J151" s="52" t="s">
        <v>200</v>
      </c>
    </row>
    <row r="152" spans="1:12" ht="16.5" thickTop="1" thickBot="1" x14ac:dyDescent="0.3">
      <c r="A152" s="48"/>
      <c r="B152" s="45" t="s">
        <v>102</v>
      </c>
      <c r="C152" s="16"/>
      <c r="D152" s="36"/>
      <c r="E152" s="17">
        <f>SUM(E10:E151)</f>
        <v>0</v>
      </c>
      <c r="F152" s="17"/>
      <c r="G152" s="17">
        <f>SUM(G11:G151)</f>
        <v>0</v>
      </c>
      <c r="H152" s="17"/>
      <c r="I152" s="17"/>
      <c r="J152" s="17"/>
    </row>
    <row r="153" spans="1:12" ht="15.75" thickTop="1" x14ac:dyDescent="0.25">
      <c r="B153" s="37"/>
      <c r="C153" s="18"/>
      <c r="D153" s="40"/>
      <c r="F153" s="19"/>
      <c r="G153" s="19"/>
      <c r="H153" s="20"/>
      <c r="I153" s="20"/>
      <c r="J153" s="21"/>
    </row>
    <row r="154" spans="1:12" x14ac:dyDescent="0.25">
      <c r="B154" s="37"/>
      <c r="C154" s="18"/>
      <c r="D154" s="40"/>
      <c r="F154" s="19"/>
      <c r="G154" s="19"/>
      <c r="H154" s="20"/>
      <c r="I154" s="20"/>
      <c r="J154" s="21"/>
    </row>
    <row r="155" spans="1:12" x14ac:dyDescent="0.25">
      <c r="B155" s="37"/>
      <c r="C155" s="18"/>
      <c r="D155" s="40"/>
      <c r="F155" s="19"/>
      <c r="G155" s="19"/>
      <c r="H155" s="20"/>
      <c r="I155" s="20"/>
      <c r="J155" s="21"/>
    </row>
    <row r="156" spans="1:12" x14ac:dyDescent="0.25">
      <c r="B156" s="37"/>
      <c r="C156" s="55"/>
      <c r="D156" s="56"/>
      <c r="E156" s="57"/>
      <c r="F156" s="58"/>
      <c r="G156" s="58"/>
      <c r="H156" s="59"/>
      <c r="I156" s="59"/>
      <c r="J156" s="21"/>
    </row>
    <row r="157" spans="1:12" x14ac:dyDescent="0.25">
      <c r="B157" s="37"/>
      <c r="C157" s="55"/>
      <c r="D157" s="56"/>
      <c r="E157" s="57"/>
      <c r="F157" s="58"/>
      <c r="G157" s="58"/>
      <c r="H157" s="59"/>
      <c r="I157" s="59"/>
      <c r="J157" s="21"/>
    </row>
    <row r="158" spans="1:12" x14ac:dyDescent="0.25">
      <c r="B158" s="37"/>
      <c r="C158" s="55"/>
      <c r="D158" s="60"/>
      <c r="E158" s="61"/>
      <c r="F158" s="60"/>
      <c r="G158" s="62"/>
      <c r="H158" s="63"/>
      <c r="I158" s="64"/>
      <c r="J158" s="21"/>
    </row>
    <row r="159" spans="1:12" x14ac:dyDescent="0.25">
      <c r="B159" s="37"/>
      <c r="C159" s="18"/>
      <c r="D159" s="40"/>
      <c r="F159" s="19"/>
      <c r="G159" s="19"/>
      <c r="H159" s="20"/>
      <c r="I159" s="20"/>
      <c r="J159" s="21"/>
    </row>
    <row r="160" spans="1:12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</sheetData>
  <autoFilter ref="A9:J152" xr:uid="{00000000-0009-0000-0000-000000000000}"/>
  <mergeCells count="2">
    <mergeCell ref="E1:J1"/>
    <mergeCell ref="G3:J3"/>
  </mergeCells>
  <conditionalFormatting sqref="D158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58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5">
        <v>4561</v>
      </c>
      <c r="C2" s="71">
        <v>1001010014561</v>
      </c>
      <c r="D2" s="69" t="s">
        <v>111</v>
      </c>
      <c r="E2" s="73"/>
      <c r="F2" s="76" t="s">
        <v>22</v>
      </c>
      <c r="G2" s="77">
        <v>1</v>
      </c>
    </row>
    <row r="3" spans="2:7" ht="21" x14ac:dyDescent="0.25">
      <c r="B3" s="65">
        <v>7536</v>
      </c>
      <c r="C3" s="72">
        <v>1001010017536</v>
      </c>
      <c r="D3" s="74" t="s">
        <v>107</v>
      </c>
      <c r="E3" s="78" t="s">
        <v>115</v>
      </c>
      <c r="F3" s="79" t="s">
        <v>22</v>
      </c>
      <c r="G3" s="80">
        <v>1</v>
      </c>
    </row>
    <row r="4" spans="2:7" ht="21" x14ac:dyDescent="0.25">
      <c r="B4" s="85">
        <v>5851</v>
      </c>
      <c r="C4" s="72">
        <v>1001012505851</v>
      </c>
      <c r="D4" s="73" t="s">
        <v>110</v>
      </c>
      <c r="E4" s="73"/>
      <c r="F4" s="76" t="s">
        <v>22</v>
      </c>
      <c r="G4" s="77">
        <v>1</v>
      </c>
    </row>
    <row r="5" spans="2:7" ht="21" x14ac:dyDescent="0.25">
      <c r="B5" s="85">
        <v>4813</v>
      </c>
      <c r="C5" s="72">
        <v>1001012564813</v>
      </c>
      <c r="D5" s="73" t="s">
        <v>29</v>
      </c>
      <c r="E5" s="73"/>
      <c r="F5" s="76" t="s">
        <v>22</v>
      </c>
      <c r="G5" s="77">
        <v>1</v>
      </c>
    </row>
    <row r="6" spans="2:7" ht="21" x14ac:dyDescent="0.25">
      <c r="B6" s="85">
        <v>4574</v>
      </c>
      <c r="C6" s="72">
        <v>1001012634574</v>
      </c>
      <c r="D6" s="73" t="s">
        <v>24</v>
      </c>
      <c r="E6" s="73"/>
      <c r="F6" s="76" t="s">
        <v>22</v>
      </c>
      <c r="G6" s="77">
        <v>1</v>
      </c>
    </row>
    <row r="7" spans="2:7" ht="21" x14ac:dyDescent="0.25">
      <c r="B7" s="85">
        <v>4063</v>
      </c>
      <c r="C7" s="72">
        <v>1001012484063</v>
      </c>
      <c r="D7" s="73" t="s">
        <v>21</v>
      </c>
      <c r="E7" s="73"/>
      <c r="F7" s="76" t="s">
        <v>22</v>
      </c>
      <c r="G7" s="77">
        <v>1</v>
      </c>
    </row>
    <row r="8" spans="2:7" ht="21" x14ac:dyDescent="0.25">
      <c r="B8" s="85">
        <v>6220</v>
      </c>
      <c r="C8" s="68">
        <v>1001012426220</v>
      </c>
      <c r="D8" s="69" t="s">
        <v>35</v>
      </c>
      <c r="E8" s="73"/>
      <c r="F8" s="76" t="s">
        <v>22</v>
      </c>
      <c r="G8" s="77">
        <v>1</v>
      </c>
    </row>
    <row r="9" spans="2:7" ht="21" x14ac:dyDescent="0.25">
      <c r="B9" s="85">
        <v>6498</v>
      </c>
      <c r="C9" s="71">
        <v>1001012456498</v>
      </c>
      <c r="D9" s="69" t="s">
        <v>34</v>
      </c>
      <c r="E9" s="73"/>
      <c r="F9" s="76" t="s">
        <v>22</v>
      </c>
      <c r="G9" s="77">
        <v>1</v>
      </c>
    </row>
    <row r="10" spans="2:7" ht="21" x14ac:dyDescent="0.25">
      <c r="B10" s="85">
        <v>6861</v>
      </c>
      <c r="C10" s="72">
        <v>1001015646861</v>
      </c>
      <c r="D10" s="73" t="s">
        <v>25</v>
      </c>
      <c r="E10" s="88"/>
      <c r="F10" s="76" t="s">
        <v>22</v>
      </c>
      <c r="G10" s="77">
        <v>1</v>
      </c>
    </row>
    <row r="11" spans="2:7" ht="21" x14ac:dyDescent="0.25">
      <c r="B11" s="85">
        <v>6862</v>
      </c>
      <c r="C11" s="72">
        <v>1001015706862</v>
      </c>
      <c r="D11" s="73" t="s">
        <v>28</v>
      </c>
      <c r="E11" s="73"/>
      <c r="F11" s="76" t="s">
        <v>22</v>
      </c>
      <c r="G11" s="77">
        <v>1</v>
      </c>
    </row>
    <row r="12" spans="2:7" ht="21" x14ac:dyDescent="0.25">
      <c r="B12" s="70">
        <v>7539</v>
      </c>
      <c r="C12" s="71">
        <v>1001010017539</v>
      </c>
      <c r="D12" s="67" t="s">
        <v>106</v>
      </c>
      <c r="E12" s="78" t="s">
        <v>115</v>
      </c>
      <c r="F12" s="79" t="s">
        <v>20</v>
      </c>
      <c r="G12" s="80">
        <v>0.35</v>
      </c>
    </row>
    <row r="13" spans="2:7" ht="21" x14ac:dyDescent="0.25">
      <c r="B13" s="65">
        <v>7334</v>
      </c>
      <c r="C13" s="71">
        <v>1001012637334</v>
      </c>
      <c r="D13" s="69" t="s">
        <v>108</v>
      </c>
      <c r="E13" s="66"/>
      <c r="F13" s="79" t="s">
        <v>20</v>
      </c>
      <c r="G13" s="80">
        <v>0.4</v>
      </c>
    </row>
    <row r="14" spans="2:7" ht="21" x14ac:dyDescent="0.25">
      <c r="B14" s="65">
        <v>6325</v>
      </c>
      <c r="C14" s="104">
        <v>1001010106325</v>
      </c>
      <c r="D14" s="69" t="s">
        <v>32</v>
      </c>
      <c r="E14" s="66"/>
      <c r="F14" s="79" t="s">
        <v>20</v>
      </c>
      <c r="G14" s="80">
        <v>0.4</v>
      </c>
    </row>
    <row r="15" spans="2:7" ht="21" x14ac:dyDescent="0.25">
      <c r="B15" s="70">
        <v>7303</v>
      </c>
      <c r="C15" s="71">
        <v>1001010857303</v>
      </c>
      <c r="D15" s="69" t="s">
        <v>112</v>
      </c>
      <c r="E15" s="69"/>
      <c r="F15" s="79" t="s">
        <v>22</v>
      </c>
      <c r="G15" s="80">
        <v>1</v>
      </c>
    </row>
    <row r="16" spans="2:7" ht="21" x14ac:dyDescent="0.25">
      <c r="B16" s="70">
        <v>8014</v>
      </c>
      <c r="C16" s="71">
        <v>1001010108014</v>
      </c>
      <c r="D16" s="69" t="s">
        <v>113</v>
      </c>
      <c r="E16" s="69"/>
      <c r="F16" s="79" t="s">
        <v>22</v>
      </c>
      <c r="G16" s="80">
        <v>1</v>
      </c>
    </row>
    <row r="17" spans="2:7" ht="21" x14ac:dyDescent="0.25">
      <c r="B17" s="65">
        <v>6353</v>
      </c>
      <c r="C17" s="104">
        <v>1001012506353</v>
      </c>
      <c r="D17" s="69" t="s">
        <v>30</v>
      </c>
      <c r="E17" s="66"/>
      <c r="F17" s="79" t="s">
        <v>20</v>
      </c>
      <c r="G17" s="80">
        <v>0.4</v>
      </c>
    </row>
    <row r="18" spans="2:7" ht="21" x14ac:dyDescent="0.25">
      <c r="B18" s="65">
        <v>7523</v>
      </c>
      <c r="C18" s="68">
        <v>1001012427523</v>
      </c>
      <c r="D18" s="67" t="s">
        <v>105</v>
      </c>
      <c r="E18" s="78" t="s">
        <v>115</v>
      </c>
      <c r="F18" s="76" t="s">
        <v>20</v>
      </c>
      <c r="G18" s="77">
        <v>0.4</v>
      </c>
    </row>
    <row r="19" spans="2:7" ht="21" x14ac:dyDescent="0.25">
      <c r="B19" s="85">
        <v>6340</v>
      </c>
      <c r="C19" s="71">
        <v>1001012816340</v>
      </c>
      <c r="D19" s="69" t="s">
        <v>26</v>
      </c>
      <c r="E19" s="73"/>
      <c r="F19" s="76" t="s">
        <v>20</v>
      </c>
      <c r="G19" s="77">
        <v>0.5</v>
      </c>
    </row>
    <row r="20" spans="2:7" ht="21" x14ac:dyDescent="0.25">
      <c r="B20" s="85">
        <v>6341</v>
      </c>
      <c r="C20" s="71">
        <v>1001012816341</v>
      </c>
      <c r="D20" s="69" t="s">
        <v>27</v>
      </c>
      <c r="E20" s="73"/>
      <c r="F20" s="76" t="s">
        <v>20</v>
      </c>
      <c r="G20" s="77">
        <v>0.5</v>
      </c>
    </row>
    <row r="21" spans="2:7" ht="21" x14ac:dyDescent="0.25">
      <c r="B21" s="65">
        <v>6333</v>
      </c>
      <c r="C21" s="104">
        <v>1001012486333</v>
      </c>
      <c r="D21" s="69" t="s">
        <v>23</v>
      </c>
      <c r="E21" s="66"/>
      <c r="F21" s="79" t="s">
        <v>20</v>
      </c>
      <c r="G21" s="80">
        <v>0.4</v>
      </c>
    </row>
    <row r="22" spans="2:7" ht="21" x14ac:dyDescent="0.25">
      <c r="B22" s="65">
        <v>6392</v>
      </c>
      <c r="C22" s="104">
        <v>1001012566392</v>
      </c>
      <c r="D22" s="69" t="s">
        <v>109</v>
      </c>
      <c r="E22" s="66"/>
      <c r="F22" s="79" t="s">
        <v>20</v>
      </c>
      <c r="G22" s="80">
        <v>0.4</v>
      </c>
    </row>
    <row r="23" spans="2:7" ht="21" x14ac:dyDescent="0.25">
      <c r="B23" s="65">
        <v>7343</v>
      </c>
      <c r="C23" s="71">
        <v>1001016747343</v>
      </c>
      <c r="D23" s="69" t="s">
        <v>31</v>
      </c>
      <c r="E23" s="73"/>
      <c r="F23" s="76" t="s">
        <v>20</v>
      </c>
      <c r="G23" s="77">
        <v>0.4</v>
      </c>
    </row>
    <row r="24" spans="2:7" ht="21" x14ac:dyDescent="0.25">
      <c r="B24" s="65">
        <v>6797</v>
      </c>
      <c r="C24" s="71">
        <v>1001015026797</v>
      </c>
      <c r="D24" s="105" t="s">
        <v>114</v>
      </c>
      <c r="E24" s="105" t="s">
        <v>173</v>
      </c>
      <c r="F24" s="79" t="s">
        <v>20</v>
      </c>
      <c r="G24" s="80">
        <v>0.4</v>
      </c>
    </row>
    <row r="25" spans="2:7" ht="21" x14ac:dyDescent="0.25">
      <c r="B25" s="65">
        <v>7231</v>
      </c>
      <c r="C25" s="71">
        <v>1001013957231</v>
      </c>
      <c r="D25" s="69" t="s">
        <v>33</v>
      </c>
      <c r="E25" s="73"/>
      <c r="F25" s="76" t="s">
        <v>20</v>
      </c>
      <c r="G25" s="77">
        <v>0.3</v>
      </c>
    </row>
    <row r="26" spans="2:7" ht="23.25" x14ac:dyDescent="0.25">
      <c r="B26" s="83"/>
      <c r="C26" s="106"/>
      <c r="D26" s="107" t="s">
        <v>91</v>
      </c>
      <c r="E26" s="108"/>
      <c r="F26" s="109"/>
      <c r="G26" s="110"/>
    </row>
    <row r="27" spans="2:7" ht="21" x14ac:dyDescent="0.25">
      <c r="B27" s="85">
        <v>6470</v>
      </c>
      <c r="C27" s="72">
        <v>1001092436470</v>
      </c>
      <c r="D27" s="73" t="s">
        <v>116</v>
      </c>
      <c r="E27" s="73"/>
      <c r="F27" s="76" t="s">
        <v>22</v>
      </c>
      <c r="G27" s="77">
        <v>1</v>
      </c>
    </row>
    <row r="28" spans="2:7" ht="21" x14ac:dyDescent="0.25">
      <c r="B28" s="65">
        <v>6495</v>
      </c>
      <c r="C28" s="71">
        <v>1001092436495</v>
      </c>
      <c r="D28" s="86" t="s">
        <v>95</v>
      </c>
      <c r="E28" s="73"/>
      <c r="F28" s="76" t="s">
        <v>20</v>
      </c>
      <c r="G28" s="77">
        <v>0.3</v>
      </c>
    </row>
    <row r="29" spans="2:7" ht="21" x14ac:dyDescent="0.25">
      <c r="B29" s="65">
        <v>5452</v>
      </c>
      <c r="C29" s="71">
        <v>1001092485452</v>
      </c>
      <c r="D29" s="86" t="s">
        <v>93</v>
      </c>
      <c r="E29" s="73"/>
      <c r="F29" s="76" t="s">
        <v>22</v>
      </c>
      <c r="G29" s="77">
        <v>1</v>
      </c>
    </row>
    <row r="30" spans="2:7" ht="21" x14ac:dyDescent="0.25">
      <c r="B30" s="85">
        <v>6866</v>
      </c>
      <c r="C30" s="72">
        <v>1001095716866</v>
      </c>
      <c r="D30" s="73" t="s">
        <v>92</v>
      </c>
      <c r="E30" s="88"/>
      <c r="F30" s="76" t="s">
        <v>22</v>
      </c>
      <c r="G30" s="77">
        <v>1</v>
      </c>
    </row>
    <row r="31" spans="2:7" ht="21" x14ac:dyDescent="0.25">
      <c r="B31" s="85">
        <v>6025</v>
      </c>
      <c r="C31" s="72">
        <v>1001094966025</v>
      </c>
      <c r="D31" s="73" t="s">
        <v>118</v>
      </c>
      <c r="E31" s="73"/>
      <c r="F31" s="76" t="s">
        <v>22</v>
      </c>
      <c r="G31" s="77">
        <v>1</v>
      </c>
    </row>
    <row r="32" spans="2:7" ht="21" x14ac:dyDescent="0.25">
      <c r="B32" s="85">
        <v>4584</v>
      </c>
      <c r="C32" s="72">
        <v>1001092674584</v>
      </c>
      <c r="D32" s="73" t="s">
        <v>174</v>
      </c>
      <c r="E32" s="73"/>
      <c r="F32" s="76" t="s">
        <v>22</v>
      </c>
      <c r="G32" s="77">
        <v>1</v>
      </c>
    </row>
    <row r="33" spans="2:7" ht="21" x14ac:dyDescent="0.25">
      <c r="B33" s="65">
        <v>3215</v>
      </c>
      <c r="C33" s="104">
        <v>1001094053215</v>
      </c>
      <c r="D33" s="69" t="s">
        <v>175</v>
      </c>
      <c r="E33" s="66"/>
      <c r="F33" s="79" t="s">
        <v>20</v>
      </c>
      <c r="G33" s="80">
        <v>0.4</v>
      </c>
    </row>
    <row r="34" spans="2:7" ht="21" x14ac:dyDescent="0.25">
      <c r="B34" s="65">
        <v>5495</v>
      </c>
      <c r="C34" s="71">
        <v>1001093345495</v>
      </c>
      <c r="D34" s="86" t="s">
        <v>94</v>
      </c>
      <c r="E34" s="73"/>
      <c r="F34" s="76" t="s">
        <v>20</v>
      </c>
      <c r="G34" s="77">
        <v>0.4</v>
      </c>
    </row>
    <row r="35" spans="2:7" ht="21" x14ac:dyDescent="0.25">
      <c r="B35" s="65">
        <v>7377</v>
      </c>
      <c r="C35" s="75">
        <v>1001095027377</v>
      </c>
      <c r="D35" s="86" t="s">
        <v>117</v>
      </c>
      <c r="E35" s="111"/>
      <c r="F35" s="76" t="s">
        <v>20</v>
      </c>
      <c r="G35" s="77">
        <v>0.3</v>
      </c>
    </row>
    <row r="36" spans="2:7" ht="21" x14ac:dyDescent="0.25">
      <c r="B36" s="70">
        <v>6925</v>
      </c>
      <c r="C36" s="71">
        <v>1001095226925</v>
      </c>
      <c r="D36" s="69" t="s">
        <v>103</v>
      </c>
      <c r="E36" s="87"/>
      <c r="F36" s="79" t="s">
        <v>20</v>
      </c>
      <c r="G36" s="80">
        <v>0.6</v>
      </c>
    </row>
    <row r="37" spans="2:7" ht="23.25" x14ac:dyDescent="0.25">
      <c r="B37" s="112"/>
      <c r="C37" s="113"/>
      <c r="D37" s="114" t="s">
        <v>119</v>
      </c>
      <c r="E37" s="115"/>
      <c r="F37" s="116"/>
      <c r="G37" s="117"/>
    </row>
    <row r="38" spans="2:7" ht="21" x14ac:dyDescent="0.25">
      <c r="B38" s="85">
        <v>6620</v>
      </c>
      <c r="C38" s="72">
        <v>1001081596620</v>
      </c>
      <c r="D38" s="73" t="s">
        <v>97</v>
      </c>
      <c r="E38" s="88"/>
      <c r="F38" s="76" t="s">
        <v>22</v>
      </c>
      <c r="G38" s="77">
        <v>1</v>
      </c>
    </row>
    <row r="39" spans="2:7" ht="21" x14ac:dyDescent="0.25">
      <c r="B39" s="65">
        <v>7187</v>
      </c>
      <c r="C39" s="68">
        <v>1001085637187</v>
      </c>
      <c r="D39" s="69" t="s">
        <v>101</v>
      </c>
      <c r="E39" s="69"/>
      <c r="F39" s="76" t="s">
        <v>20</v>
      </c>
      <c r="G39" s="77">
        <v>0.3</v>
      </c>
    </row>
    <row r="40" spans="2:7" ht="21" x14ac:dyDescent="0.25">
      <c r="B40" s="85">
        <v>7090</v>
      </c>
      <c r="C40" s="72">
        <v>1001084217090</v>
      </c>
      <c r="D40" s="73" t="s">
        <v>100</v>
      </c>
      <c r="E40" s="88"/>
      <c r="F40" s="76" t="s">
        <v>20</v>
      </c>
      <c r="G40" s="77">
        <v>0.3</v>
      </c>
    </row>
    <row r="41" spans="2:7" ht="23.25" x14ac:dyDescent="0.25">
      <c r="B41" s="83"/>
      <c r="C41" s="106"/>
      <c r="D41" s="107" t="s">
        <v>127</v>
      </c>
      <c r="E41" s="108"/>
      <c r="F41" s="109"/>
      <c r="G41" s="110"/>
    </row>
    <row r="42" spans="2:7" ht="23.25" x14ac:dyDescent="0.25">
      <c r="B42" s="65">
        <v>7103</v>
      </c>
      <c r="C42" s="104">
        <v>1001223297103</v>
      </c>
      <c r="D42" s="69" t="s">
        <v>176</v>
      </c>
      <c r="E42" s="118"/>
      <c r="F42" s="65" t="s">
        <v>20</v>
      </c>
      <c r="G42" s="77">
        <v>0.18</v>
      </c>
    </row>
    <row r="43" spans="2:7" ht="21" x14ac:dyDescent="0.25">
      <c r="B43" s="85">
        <v>6279</v>
      </c>
      <c r="C43" s="72">
        <v>1001220286279</v>
      </c>
      <c r="D43" s="73" t="s">
        <v>98</v>
      </c>
      <c r="E43" s="88"/>
      <c r="F43" s="76" t="s">
        <v>20</v>
      </c>
      <c r="G43" s="77">
        <v>0.15</v>
      </c>
    </row>
    <row r="44" spans="2:7" ht="21" x14ac:dyDescent="0.25">
      <c r="B44" s="65">
        <v>7092</v>
      </c>
      <c r="C44" s="71">
        <v>1001223297092</v>
      </c>
      <c r="D44" s="69" t="s">
        <v>78</v>
      </c>
      <c r="E44" s="69"/>
      <c r="F44" s="79" t="s">
        <v>20</v>
      </c>
      <c r="G44" s="80">
        <v>0.14000000000000001</v>
      </c>
    </row>
    <row r="45" spans="2:7" ht="21" x14ac:dyDescent="0.25">
      <c r="B45" s="85">
        <v>6448</v>
      </c>
      <c r="C45" s="72">
        <v>1001234146448</v>
      </c>
      <c r="D45" s="73" t="s">
        <v>128</v>
      </c>
      <c r="E45" s="88"/>
      <c r="F45" s="76" t="s">
        <v>20</v>
      </c>
      <c r="G45" s="77">
        <v>0.1</v>
      </c>
    </row>
    <row r="46" spans="2:7" ht="21" x14ac:dyDescent="0.25">
      <c r="B46" s="65">
        <v>6754</v>
      </c>
      <c r="C46" s="104">
        <v>1001225406754</v>
      </c>
      <c r="D46" s="69" t="s">
        <v>177</v>
      </c>
      <c r="E46" s="66"/>
      <c r="F46" s="79" t="s">
        <v>20</v>
      </c>
      <c r="G46" s="80">
        <v>0.09</v>
      </c>
    </row>
    <row r="47" spans="2:7" ht="23.25" x14ac:dyDescent="0.25">
      <c r="B47" s="65">
        <v>6208</v>
      </c>
      <c r="C47" s="104">
        <v>1001220226208</v>
      </c>
      <c r="D47" s="69" t="s">
        <v>99</v>
      </c>
      <c r="E47" s="118"/>
      <c r="F47" s="65" t="s">
        <v>20</v>
      </c>
      <c r="G47" s="77">
        <v>0.15</v>
      </c>
    </row>
    <row r="48" spans="2:7" ht="23.25" x14ac:dyDescent="0.25">
      <c r="B48" s="65">
        <v>6228</v>
      </c>
      <c r="C48" s="104">
        <v>1001225416228</v>
      </c>
      <c r="D48" s="69" t="s">
        <v>89</v>
      </c>
      <c r="E48" s="118"/>
      <c r="F48" s="65" t="s">
        <v>20</v>
      </c>
      <c r="G48" s="77">
        <v>0.09</v>
      </c>
    </row>
    <row r="49" spans="2:7" ht="21" x14ac:dyDescent="0.25">
      <c r="B49" s="70">
        <v>7288</v>
      </c>
      <c r="C49" s="71">
        <v>1001223907288</v>
      </c>
      <c r="D49" s="69" t="s">
        <v>129</v>
      </c>
      <c r="E49" s="111"/>
      <c r="F49" s="79" t="s">
        <v>20</v>
      </c>
      <c r="G49" s="80">
        <v>0.1</v>
      </c>
    </row>
    <row r="50" spans="2:7" ht="23.25" x14ac:dyDescent="0.25">
      <c r="B50" s="83"/>
      <c r="C50" s="106"/>
      <c r="D50" s="107" t="s">
        <v>120</v>
      </c>
      <c r="E50" s="108"/>
      <c r="F50" s="109"/>
      <c r="G50" s="110"/>
    </row>
    <row r="51" spans="2:7" ht="21" x14ac:dyDescent="0.25">
      <c r="B51" s="65">
        <v>7564</v>
      </c>
      <c r="C51" s="71">
        <v>1001303637564</v>
      </c>
      <c r="D51" s="67" t="s">
        <v>121</v>
      </c>
      <c r="E51" s="67" t="s">
        <v>115</v>
      </c>
      <c r="F51" s="79" t="s">
        <v>22</v>
      </c>
      <c r="G51" s="80">
        <v>1</v>
      </c>
    </row>
    <row r="52" spans="2:7" ht="21" x14ac:dyDescent="0.25">
      <c r="B52" s="65">
        <v>7133</v>
      </c>
      <c r="C52" s="71">
        <v>1001300367133</v>
      </c>
      <c r="D52" s="69" t="s">
        <v>73</v>
      </c>
      <c r="E52" s="73"/>
      <c r="F52" s="76" t="s">
        <v>22</v>
      </c>
      <c r="G52" s="77">
        <v>1</v>
      </c>
    </row>
    <row r="53" spans="2:7" ht="21" x14ac:dyDescent="0.25">
      <c r="B53" s="85">
        <v>6946</v>
      </c>
      <c r="C53" s="72">
        <v>1001300456946</v>
      </c>
      <c r="D53" s="73" t="s">
        <v>178</v>
      </c>
      <c r="E53" s="73"/>
      <c r="F53" s="76" t="s">
        <v>22</v>
      </c>
      <c r="G53" s="77">
        <v>1</v>
      </c>
    </row>
    <row r="54" spans="2:7" ht="21" x14ac:dyDescent="0.25">
      <c r="B54" s="85">
        <v>7132</v>
      </c>
      <c r="C54" s="72">
        <v>1001300517132</v>
      </c>
      <c r="D54" s="73" t="s">
        <v>179</v>
      </c>
      <c r="E54" s="73"/>
      <c r="F54" s="76" t="s">
        <v>22</v>
      </c>
      <c r="G54" s="77">
        <v>1</v>
      </c>
    </row>
    <row r="55" spans="2:7" ht="21" x14ac:dyDescent="0.25">
      <c r="B55" s="85">
        <v>5544</v>
      </c>
      <c r="C55" s="72">
        <v>1001051875544</v>
      </c>
      <c r="D55" s="73" t="s">
        <v>72</v>
      </c>
      <c r="E55" s="73"/>
      <c r="F55" s="76" t="s">
        <v>22</v>
      </c>
      <c r="G55" s="77">
        <v>1</v>
      </c>
    </row>
    <row r="56" spans="2:7" ht="21" x14ac:dyDescent="0.25">
      <c r="B56" s="65">
        <v>7149</v>
      </c>
      <c r="C56" s="68">
        <v>1001303637149</v>
      </c>
      <c r="D56" s="69" t="s">
        <v>19</v>
      </c>
      <c r="E56" s="73"/>
      <c r="F56" s="76" t="s">
        <v>20</v>
      </c>
      <c r="G56" s="77">
        <v>0.84</v>
      </c>
    </row>
    <row r="57" spans="2:7" ht="21" x14ac:dyDescent="0.25">
      <c r="B57" s="65">
        <v>7157</v>
      </c>
      <c r="C57" s="71">
        <v>1001300387157</v>
      </c>
      <c r="D57" s="69" t="s">
        <v>74</v>
      </c>
      <c r="E57" s="73"/>
      <c r="F57" s="76" t="s">
        <v>22</v>
      </c>
      <c r="G57" s="77">
        <v>1</v>
      </c>
    </row>
    <row r="58" spans="2:7" ht="21" x14ac:dyDescent="0.25">
      <c r="B58" s="85">
        <v>7166</v>
      </c>
      <c r="C58" s="72">
        <v>1001303987166</v>
      </c>
      <c r="D58" s="73" t="s">
        <v>71</v>
      </c>
      <c r="E58" s="73"/>
      <c r="F58" s="76" t="s">
        <v>22</v>
      </c>
      <c r="G58" s="77">
        <v>1</v>
      </c>
    </row>
    <row r="59" spans="2:7" ht="21" x14ac:dyDescent="0.25">
      <c r="B59" s="65">
        <v>7603</v>
      </c>
      <c r="C59" s="71">
        <v>1001303637603</v>
      </c>
      <c r="D59" s="67" t="s">
        <v>122</v>
      </c>
      <c r="E59" s="67" t="s">
        <v>115</v>
      </c>
      <c r="F59" s="79" t="s">
        <v>20</v>
      </c>
      <c r="G59" s="80">
        <v>0.33</v>
      </c>
    </row>
    <row r="60" spans="2:7" ht="21" x14ac:dyDescent="0.25">
      <c r="B60" s="85">
        <v>6807</v>
      </c>
      <c r="C60" s="72">
        <v>1001300366807</v>
      </c>
      <c r="D60" s="73" t="s">
        <v>75</v>
      </c>
      <c r="E60" s="73"/>
      <c r="F60" s="76" t="s">
        <v>20</v>
      </c>
      <c r="G60" s="77">
        <v>0.33</v>
      </c>
    </row>
    <row r="61" spans="2:7" ht="21" x14ac:dyDescent="0.25">
      <c r="B61" s="85">
        <v>6787</v>
      </c>
      <c r="C61" s="72">
        <v>1001300456787</v>
      </c>
      <c r="D61" s="73" t="s">
        <v>65</v>
      </c>
      <c r="E61" s="73"/>
      <c r="F61" s="76" t="s">
        <v>20</v>
      </c>
      <c r="G61" s="77">
        <v>0.33</v>
      </c>
    </row>
    <row r="62" spans="2:7" ht="21" x14ac:dyDescent="0.25">
      <c r="B62" s="85">
        <v>6697</v>
      </c>
      <c r="C62" s="72">
        <v>1001301876697</v>
      </c>
      <c r="D62" s="73" t="s">
        <v>66</v>
      </c>
      <c r="E62" s="73"/>
      <c r="F62" s="76" t="s">
        <v>20</v>
      </c>
      <c r="G62" s="77">
        <v>0.35</v>
      </c>
    </row>
    <row r="63" spans="2:7" ht="21" x14ac:dyDescent="0.25">
      <c r="B63" s="85">
        <v>7169</v>
      </c>
      <c r="C63" s="72">
        <v>1001303987169</v>
      </c>
      <c r="D63" s="73" t="s">
        <v>70</v>
      </c>
      <c r="E63" s="73"/>
      <c r="F63" s="76" t="s">
        <v>20</v>
      </c>
      <c r="G63" s="77">
        <v>0.35</v>
      </c>
    </row>
    <row r="64" spans="2:7" ht="21" x14ac:dyDescent="0.25">
      <c r="B64" s="65">
        <v>7233</v>
      </c>
      <c r="C64" s="68">
        <v>1001303637233</v>
      </c>
      <c r="D64" s="69" t="s">
        <v>180</v>
      </c>
      <c r="E64" s="69"/>
      <c r="F64" s="76" t="s">
        <v>20</v>
      </c>
      <c r="G64" s="77">
        <v>0.31</v>
      </c>
    </row>
    <row r="65" spans="2:7" ht="21" x14ac:dyDescent="0.25">
      <c r="B65" s="85">
        <v>7236</v>
      </c>
      <c r="C65" s="72">
        <v>1001304507236</v>
      </c>
      <c r="D65" s="73" t="s">
        <v>68</v>
      </c>
      <c r="E65" s="73"/>
      <c r="F65" s="76" t="s">
        <v>20</v>
      </c>
      <c r="G65" s="77">
        <v>0.28000000000000003</v>
      </c>
    </row>
    <row r="66" spans="2:7" ht="21" x14ac:dyDescent="0.25">
      <c r="B66" s="65">
        <v>7177</v>
      </c>
      <c r="C66" s="68">
        <v>1001302347177</v>
      </c>
      <c r="D66" s="69" t="s">
        <v>124</v>
      </c>
      <c r="E66" s="69"/>
      <c r="F66" s="76" t="s">
        <v>20</v>
      </c>
      <c r="G66" s="77">
        <v>0.35</v>
      </c>
    </row>
    <row r="67" spans="2:7" ht="21" x14ac:dyDescent="0.25">
      <c r="B67" s="85">
        <v>7232</v>
      </c>
      <c r="C67" s="72">
        <v>1001302277232</v>
      </c>
      <c r="D67" s="73" t="s">
        <v>61</v>
      </c>
      <c r="E67" s="73"/>
      <c r="F67" s="76" t="s">
        <v>20</v>
      </c>
      <c r="G67" s="77">
        <v>0.28000000000000003</v>
      </c>
    </row>
    <row r="68" spans="2:7" ht="21" x14ac:dyDescent="0.25">
      <c r="B68" s="65">
        <v>7154</v>
      </c>
      <c r="C68" s="68">
        <v>1001300387154</v>
      </c>
      <c r="D68" s="69" t="s">
        <v>64</v>
      </c>
      <c r="E68" s="69"/>
      <c r="F68" s="76" t="s">
        <v>20</v>
      </c>
      <c r="G68" s="77">
        <v>0.35</v>
      </c>
    </row>
    <row r="69" spans="2:7" ht="21" x14ac:dyDescent="0.25">
      <c r="B69" s="65">
        <v>7238</v>
      </c>
      <c r="C69" s="71">
        <v>1001305197238</v>
      </c>
      <c r="D69" s="69" t="s">
        <v>123</v>
      </c>
      <c r="E69" s="73"/>
      <c r="F69" s="76" t="s">
        <v>20</v>
      </c>
      <c r="G69" s="77">
        <v>0.31</v>
      </c>
    </row>
    <row r="70" spans="2:7" ht="21" x14ac:dyDescent="0.25">
      <c r="B70" s="65">
        <v>7237</v>
      </c>
      <c r="C70" s="71">
        <v>1001304497237</v>
      </c>
      <c r="D70" s="69" t="s">
        <v>67</v>
      </c>
      <c r="E70" s="73"/>
      <c r="F70" s="76" t="s">
        <v>20</v>
      </c>
      <c r="G70" s="77">
        <v>0.28000000000000003</v>
      </c>
    </row>
    <row r="71" spans="2:7" ht="21" x14ac:dyDescent="0.25">
      <c r="B71" s="85">
        <v>7241</v>
      </c>
      <c r="C71" s="72">
        <v>1001303107241</v>
      </c>
      <c r="D71" s="73" t="s">
        <v>63</v>
      </c>
      <c r="E71" s="73"/>
      <c r="F71" s="76" t="s">
        <v>20</v>
      </c>
      <c r="G71" s="77">
        <v>0.28000000000000003</v>
      </c>
    </row>
    <row r="72" spans="2:7" ht="21" x14ac:dyDescent="0.25">
      <c r="B72" s="85">
        <v>7332</v>
      </c>
      <c r="C72" s="72">
        <v>1001301777332</v>
      </c>
      <c r="D72" s="73" t="s">
        <v>62</v>
      </c>
      <c r="E72" s="73"/>
      <c r="F72" s="76" t="s">
        <v>20</v>
      </c>
      <c r="G72" s="77">
        <v>0.28000000000000003</v>
      </c>
    </row>
    <row r="73" spans="2:7" ht="21" x14ac:dyDescent="0.25">
      <c r="B73" s="85">
        <v>7333</v>
      </c>
      <c r="C73" s="72">
        <v>1001303987333</v>
      </c>
      <c r="D73" s="73" t="s">
        <v>69</v>
      </c>
      <c r="E73" s="73"/>
      <c r="F73" s="76" t="s">
        <v>20</v>
      </c>
      <c r="G73" s="77">
        <v>0.28000000000000003</v>
      </c>
    </row>
    <row r="74" spans="2:7" ht="23.25" x14ac:dyDescent="0.25">
      <c r="B74" s="89"/>
      <c r="C74" s="81"/>
      <c r="D74" s="82" t="s">
        <v>125</v>
      </c>
      <c r="E74" s="82"/>
      <c r="F74" s="83"/>
      <c r="G74" s="84"/>
    </row>
    <row r="75" spans="2:7" ht="21" x14ac:dyDescent="0.25">
      <c r="B75" s="65">
        <v>6459</v>
      </c>
      <c r="C75" s="71">
        <v>1001214196459</v>
      </c>
      <c r="D75" s="69" t="s">
        <v>60</v>
      </c>
      <c r="E75" s="66"/>
      <c r="F75" s="79" t="s">
        <v>20</v>
      </c>
      <c r="G75" s="80">
        <v>0.1</v>
      </c>
    </row>
    <row r="76" spans="2:7" ht="21" x14ac:dyDescent="0.25">
      <c r="B76" s="65">
        <v>7474</v>
      </c>
      <c r="C76" s="75">
        <v>1001216717474</v>
      </c>
      <c r="D76" s="69" t="s">
        <v>126</v>
      </c>
      <c r="E76" s="90"/>
      <c r="F76" s="79" t="s">
        <v>20</v>
      </c>
      <c r="G76" s="80">
        <v>0.1</v>
      </c>
    </row>
    <row r="77" spans="2:7" ht="23.25" x14ac:dyDescent="0.25">
      <c r="B77" s="83"/>
      <c r="C77" s="106"/>
      <c r="D77" s="107" t="s">
        <v>130</v>
      </c>
      <c r="E77" s="108"/>
      <c r="F77" s="109"/>
      <c r="G77" s="110"/>
    </row>
    <row r="78" spans="2:7" ht="21" x14ac:dyDescent="0.25">
      <c r="B78" s="65">
        <v>5679</v>
      </c>
      <c r="C78" s="71">
        <v>1001190765679</v>
      </c>
      <c r="D78" s="69" t="s">
        <v>136</v>
      </c>
      <c r="E78" s="69"/>
      <c r="F78" s="79" t="s">
        <v>20</v>
      </c>
      <c r="G78" s="80">
        <v>0.15</v>
      </c>
    </row>
    <row r="79" spans="2:7" ht="21" x14ac:dyDescent="0.25">
      <c r="B79" s="65">
        <v>7382</v>
      </c>
      <c r="C79" s="71">
        <v>1001203117382</v>
      </c>
      <c r="D79" s="69" t="s">
        <v>84</v>
      </c>
      <c r="E79" s="69"/>
      <c r="F79" s="76" t="s">
        <v>20</v>
      </c>
      <c r="G79" s="77">
        <v>0.12</v>
      </c>
    </row>
    <row r="80" spans="2:7" ht="21" x14ac:dyDescent="0.25">
      <c r="B80" s="85">
        <v>6454</v>
      </c>
      <c r="C80" s="72">
        <v>1001201976454</v>
      </c>
      <c r="D80" s="73" t="s">
        <v>131</v>
      </c>
      <c r="E80" s="88"/>
      <c r="F80" s="76" t="s">
        <v>20</v>
      </c>
      <c r="G80" s="77">
        <v>0.1</v>
      </c>
    </row>
    <row r="81" spans="2:7" ht="21" x14ac:dyDescent="0.25">
      <c r="B81" s="85">
        <v>6453</v>
      </c>
      <c r="C81" s="72">
        <v>1001202506453</v>
      </c>
      <c r="D81" s="73" t="s">
        <v>181</v>
      </c>
      <c r="E81" s="88"/>
      <c r="F81" s="76" t="s">
        <v>20</v>
      </c>
      <c r="G81" s="77">
        <v>0.1</v>
      </c>
    </row>
    <row r="82" spans="2:7" ht="21" x14ac:dyDescent="0.25">
      <c r="B82" s="65">
        <v>6221</v>
      </c>
      <c r="C82" s="68">
        <v>1001205376221</v>
      </c>
      <c r="D82" s="69" t="s">
        <v>86</v>
      </c>
      <c r="E82" s="66"/>
      <c r="F82" s="76" t="s">
        <v>20</v>
      </c>
      <c r="G82" s="77">
        <v>0.09</v>
      </c>
    </row>
    <row r="83" spans="2:7" ht="21" x14ac:dyDescent="0.25">
      <c r="B83" s="65">
        <v>6222</v>
      </c>
      <c r="C83" s="68">
        <v>1001205386222</v>
      </c>
      <c r="D83" s="69" t="s">
        <v>133</v>
      </c>
      <c r="E83" s="66"/>
      <c r="F83" s="76" t="s">
        <v>20</v>
      </c>
      <c r="G83" s="77">
        <v>0.09</v>
      </c>
    </row>
    <row r="84" spans="2:7" ht="21" x14ac:dyDescent="0.25">
      <c r="B84" s="65">
        <v>6834</v>
      </c>
      <c r="C84" s="71">
        <v>1001203146834</v>
      </c>
      <c r="D84" s="69" t="s">
        <v>132</v>
      </c>
      <c r="E84" s="69"/>
      <c r="F84" s="79" t="s">
        <v>20</v>
      </c>
      <c r="G84" s="80">
        <v>0.1</v>
      </c>
    </row>
    <row r="85" spans="2:7" ht="21" x14ac:dyDescent="0.25">
      <c r="B85" s="85">
        <v>6965</v>
      </c>
      <c r="C85" s="72">
        <v>1001206356965</v>
      </c>
      <c r="D85" s="73" t="s">
        <v>134</v>
      </c>
      <c r="E85" s="88"/>
      <c r="F85" s="76" t="s">
        <v>20</v>
      </c>
      <c r="G85" s="77">
        <v>7.0000000000000007E-2</v>
      </c>
    </row>
    <row r="86" spans="2:7" ht="21" x14ac:dyDescent="0.25">
      <c r="B86" s="65">
        <v>6557</v>
      </c>
      <c r="C86" s="71">
        <v>1001200756557</v>
      </c>
      <c r="D86" s="69" t="s">
        <v>135</v>
      </c>
      <c r="E86" s="66"/>
      <c r="F86" s="79" t="s">
        <v>20</v>
      </c>
      <c r="G86" s="80">
        <v>0.1</v>
      </c>
    </row>
    <row r="87" spans="2:7" ht="21" x14ac:dyDescent="0.25">
      <c r="B87" s="65">
        <v>5677</v>
      </c>
      <c r="C87" s="71">
        <v>1001190715677</v>
      </c>
      <c r="D87" s="69" t="s">
        <v>137</v>
      </c>
      <c r="E87" s="111"/>
      <c r="F87" s="79" t="s">
        <v>20</v>
      </c>
      <c r="G87" s="80">
        <v>0.1</v>
      </c>
    </row>
    <row r="88" spans="2:7" ht="21" x14ac:dyDescent="0.25">
      <c r="B88" s="65">
        <v>7414</v>
      </c>
      <c r="C88" s="71">
        <v>1001204447414</v>
      </c>
      <c r="D88" s="69" t="s">
        <v>138</v>
      </c>
      <c r="E88" s="111"/>
      <c r="F88" s="79" t="s">
        <v>22</v>
      </c>
      <c r="G88" s="80">
        <v>1</v>
      </c>
    </row>
    <row r="89" spans="2:7" ht="23.25" x14ac:dyDescent="0.25">
      <c r="B89" s="83"/>
      <c r="C89" s="106"/>
      <c r="D89" s="107" t="s">
        <v>76</v>
      </c>
      <c r="E89" s="108"/>
      <c r="F89" s="109"/>
      <c r="G89" s="110"/>
    </row>
    <row r="90" spans="2:7" ht="21" x14ac:dyDescent="0.25">
      <c r="B90" s="65">
        <v>614</v>
      </c>
      <c r="C90" s="71">
        <v>1001060720614</v>
      </c>
      <c r="D90" s="69" t="s">
        <v>140</v>
      </c>
      <c r="E90" s="66"/>
      <c r="F90" s="79" t="s">
        <v>22</v>
      </c>
      <c r="G90" s="80">
        <v>1</v>
      </c>
    </row>
    <row r="91" spans="2:7" ht="21" x14ac:dyDescent="0.25">
      <c r="B91" s="65">
        <v>3287</v>
      </c>
      <c r="C91" s="71">
        <v>1001060763287</v>
      </c>
      <c r="D91" s="69" t="s">
        <v>90</v>
      </c>
      <c r="E91" s="66"/>
      <c r="F91" s="79" t="s">
        <v>22</v>
      </c>
      <c r="G91" s="80">
        <v>1</v>
      </c>
    </row>
    <row r="92" spans="2:7" ht="21" x14ac:dyDescent="0.25">
      <c r="B92" s="85">
        <v>5708</v>
      </c>
      <c r="C92" s="72">
        <v>1001063145708</v>
      </c>
      <c r="D92" s="73" t="s">
        <v>80</v>
      </c>
      <c r="E92" s="88"/>
      <c r="F92" s="76" t="s">
        <v>22</v>
      </c>
      <c r="G92" s="77">
        <v>1</v>
      </c>
    </row>
    <row r="93" spans="2:7" ht="21" x14ac:dyDescent="0.25">
      <c r="B93" s="85">
        <v>4117</v>
      </c>
      <c r="C93" s="72">
        <v>1001062504117</v>
      </c>
      <c r="D93" s="73" t="s">
        <v>87</v>
      </c>
      <c r="E93" s="88"/>
      <c r="F93" s="76" t="s">
        <v>22</v>
      </c>
      <c r="G93" s="77">
        <v>1</v>
      </c>
    </row>
    <row r="94" spans="2:7" ht="21" x14ac:dyDescent="0.25">
      <c r="B94" s="65">
        <v>7316</v>
      </c>
      <c r="C94" s="71">
        <v>1001060727316</v>
      </c>
      <c r="D94" s="69" t="s">
        <v>148</v>
      </c>
      <c r="E94" s="69"/>
      <c r="F94" s="79" t="s">
        <v>20</v>
      </c>
      <c r="G94" s="80">
        <v>0.54</v>
      </c>
    </row>
    <row r="95" spans="2:7" ht="21" x14ac:dyDescent="0.25">
      <c r="B95" s="65">
        <v>7317</v>
      </c>
      <c r="C95" s="71">
        <v>1001066567317</v>
      </c>
      <c r="D95" s="69" t="s">
        <v>146</v>
      </c>
      <c r="E95" s="69"/>
      <c r="F95" s="79" t="s">
        <v>20</v>
      </c>
      <c r="G95" s="80">
        <v>0.54</v>
      </c>
    </row>
    <row r="96" spans="2:7" ht="21" x14ac:dyDescent="0.25">
      <c r="B96" s="65">
        <v>7143</v>
      </c>
      <c r="C96" s="71">
        <v>1001060717143</v>
      </c>
      <c r="D96" s="69" t="s">
        <v>142</v>
      </c>
      <c r="E96" s="69"/>
      <c r="F96" s="79" t="s">
        <v>20</v>
      </c>
      <c r="G96" s="80">
        <v>0.22</v>
      </c>
    </row>
    <row r="97" spans="2:7" ht="21" x14ac:dyDescent="0.25">
      <c r="B97" s="65">
        <v>7147</v>
      </c>
      <c r="C97" s="71">
        <v>1001063237147</v>
      </c>
      <c r="D97" s="69" t="s">
        <v>85</v>
      </c>
      <c r="E97" s="69"/>
      <c r="F97" s="79" t="s">
        <v>20</v>
      </c>
      <c r="G97" s="80">
        <v>0.22</v>
      </c>
    </row>
    <row r="98" spans="2:7" ht="21" x14ac:dyDescent="0.25">
      <c r="B98" s="65">
        <v>7456</v>
      </c>
      <c r="C98" s="71">
        <v>1001063097456</v>
      </c>
      <c r="D98" s="69" t="s">
        <v>143</v>
      </c>
      <c r="E98" s="69"/>
      <c r="F98" s="79" t="s">
        <v>20</v>
      </c>
      <c r="G98" s="80">
        <v>0.15</v>
      </c>
    </row>
    <row r="99" spans="2:7" ht="21" x14ac:dyDescent="0.25">
      <c r="B99" s="65">
        <v>7318</v>
      </c>
      <c r="C99" s="71">
        <v>1001060727318</v>
      </c>
      <c r="D99" s="69" t="s">
        <v>147</v>
      </c>
      <c r="E99" s="69"/>
      <c r="F99" s="79" t="s">
        <v>20</v>
      </c>
      <c r="G99" s="80">
        <v>0.27</v>
      </c>
    </row>
    <row r="100" spans="2:7" ht="21" x14ac:dyDescent="0.25">
      <c r="B100" s="85">
        <v>3986</v>
      </c>
      <c r="C100" s="72">
        <v>1001061973986</v>
      </c>
      <c r="D100" s="73" t="s">
        <v>79</v>
      </c>
      <c r="E100" s="73"/>
      <c r="F100" s="76" t="s">
        <v>20</v>
      </c>
      <c r="G100" s="77">
        <v>0.25</v>
      </c>
    </row>
    <row r="101" spans="2:7" ht="21" x14ac:dyDescent="0.25">
      <c r="B101" s="65">
        <v>7364</v>
      </c>
      <c r="C101" s="71">
        <v>1001063217364</v>
      </c>
      <c r="D101" s="69" t="s">
        <v>144</v>
      </c>
      <c r="E101" s="69"/>
      <c r="F101" s="79" t="s">
        <v>20</v>
      </c>
      <c r="G101" s="80">
        <v>0.22</v>
      </c>
    </row>
    <row r="102" spans="2:7" ht="21" x14ac:dyDescent="0.25">
      <c r="B102" s="70">
        <v>7383</v>
      </c>
      <c r="C102" s="71">
        <v>1001065467383</v>
      </c>
      <c r="D102" s="69" t="s">
        <v>145</v>
      </c>
      <c r="E102" s="69"/>
      <c r="F102" s="79" t="s">
        <v>20</v>
      </c>
      <c r="G102" s="80">
        <v>0.22</v>
      </c>
    </row>
    <row r="103" spans="2:7" ht="21" x14ac:dyDescent="0.25">
      <c r="B103" s="119">
        <v>6967</v>
      </c>
      <c r="C103" s="68">
        <v>1001063656967</v>
      </c>
      <c r="D103" s="73" t="s">
        <v>83</v>
      </c>
      <c r="E103" s="73"/>
      <c r="F103" s="76" t="s">
        <v>20</v>
      </c>
      <c r="G103" s="77">
        <v>0.25</v>
      </c>
    </row>
    <row r="104" spans="2:7" ht="21" x14ac:dyDescent="0.25">
      <c r="B104" s="65">
        <v>4993</v>
      </c>
      <c r="C104" s="71">
        <v>1001060764993</v>
      </c>
      <c r="D104" s="69" t="s">
        <v>139</v>
      </c>
      <c r="E104" s="69"/>
      <c r="F104" s="79" t="s">
        <v>20</v>
      </c>
      <c r="G104" s="80">
        <v>0.25</v>
      </c>
    </row>
    <row r="105" spans="2:7" ht="21" x14ac:dyDescent="0.25">
      <c r="B105" s="65">
        <v>6937</v>
      </c>
      <c r="C105" s="71">
        <v>1001063106937</v>
      </c>
      <c r="D105" s="69" t="s">
        <v>141</v>
      </c>
      <c r="E105" s="69"/>
      <c r="F105" s="79" t="s">
        <v>20</v>
      </c>
      <c r="G105" s="80">
        <v>0.25</v>
      </c>
    </row>
    <row r="106" spans="2:7" ht="21" x14ac:dyDescent="0.25">
      <c r="B106" s="65">
        <v>5483</v>
      </c>
      <c r="C106" s="71">
        <v>1001062505483</v>
      </c>
      <c r="D106" s="69" t="s">
        <v>88</v>
      </c>
      <c r="E106" s="69"/>
      <c r="F106" s="79" t="s">
        <v>20</v>
      </c>
      <c r="G106" s="80">
        <v>0.25</v>
      </c>
    </row>
    <row r="107" spans="2:7" ht="21" x14ac:dyDescent="0.25">
      <c r="B107" s="65">
        <v>5931</v>
      </c>
      <c r="C107" s="71">
        <v>1001060755931</v>
      </c>
      <c r="D107" s="69" t="s">
        <v>77</v>
      </c>
      <c r="E107" s="69"/>
      <c r="F107" s="79" t="s">
        <v>20</v>
      </c>
      <c r="G107" s="80">
        <v>0.22</v>
      </c>
    </row>
    <row r="108" spans="2:7" ht="21" x14ac:dyDescent="0.25">
      <c r="B108" s="65">
        <v>7417</v>
      </c>
      <c r="C108" s="71">
        <v>1001307147417</v>
      </c>
      <c r="D108" s="69" t="s">
        <v>149</v>
      </c>
      <c r="E108" s="69"/>
      <c r="F108" s="80" t="s">
        <v>20</v>
      </c>
      <c r="G108" s="80">
        <v>0.44</v>
      </c>
    </row>
    <row r="109" spans="2:7" ht="21" x14ac:dyDescent="0.25">
      <c r="B109" s="65">
        <v>6832</v>
      </c>
      <c r="C109" s="71">
        <v>1001065616832</v>
      </c>
      <c r="D109" s="69" t="s">
        <v>81</v>
      </c>
      <c r="E109" s="69"/>
      <c r="F109" s="79" t="s">
        <v>22</v>
      </c>
      <c r="G109" s="80">
        <v>1</v>
      </c>
    </row>
    <row r="110" spans="2:7" ht="21" x14ac:dyDescent="0.25">
      <c r="B110" s="65">
        <v>7299</v>
      </c>
      <c r="C110" s="71">
        <v>1001060677299</v>
      </c>
      <c r="D110" s="69" t="s">
        <v>82</v>
      </c>
      <c r="E110" s="69"/>
      <c r="F110" s="79" t="s">
        <v>22</v>
      </c>
      <c r="G110" s="80">
        <v>1</v>
      </c>
    </row>
    <row r="111" spans="2:7" ht="21" x14ac:dyDescent="0.25">
      <c r="B111" s="65">
        <v>7386</v>
      </c>
      <c r="C111" s="71">
        <v>1001067017386</v>
      </c>
      <c r="D111" s="69" t="s">
        <v>150</v>
      </c>
      <c r="E111" s="90"/>
      <c r="F111" s="79" t="s">
        <v>20</v>
      </c>
      <c r="G111" s="80">
        <v>0.15</v>
      </c>
    </row>
    <row r="112" spans="2:7" ht="23.25" x14ac:dyDescent="0.25">
      <c r="B112" s="112"/>
      <c r="C112" s="113"/>
      <c r="D112" s="114" t="s">
        <v>182</v>
      </c>
      <c r="E112" s="115"/>
      <c r="F112" s="116"/>
      <c r="G112" s="117"/>
    </row>
    <row r="113" spans="2:7" ht="21" x14ac:dyDescent="0.25">
      <c r="B113" s="119">
        <v>6527</v>
      </c>
      <c r="C113" s="68">
        <v>1001031076527</v>
      </c>
      <c r="D113" s="73" t="s">
        <v>152</v>
      </c>
      <c r="E113" s="88"/>
      <c r="F113" s="76" t="s">
        <v>22</v>
      </c>
      <c r="G113" s="77">
        <v>1</v>
      </c>
    </row>
    <row r="114" spans="2:7" ht="21" x14ac:dyDescent="0.25">
      <c r="B114" s="85">
        <v>6550</v>
      </c>
      <c r="C114" s="72">
        <v>1001032736550</v>
      </c>
      <c r="D114" s="73" t="s">
        <v>151</v>
      </c>
      <c r="E114" s="88"/>
      <c r="F114" s="76" t="s">
        <v>22</v>
      </c>
      <c r="G114" s="77">
        <v>1</v>
      </c>
    </row>
    <row r="115" spans="2:7" ht="21" x14ac:dyDescent="0.25">
      <c r="B115" s="85">
        <v>6549</v>
      </c>
      <c r="C115" s="72">
        <v>1001032736549</v>
      </c>
      <c r="D115" s="73" t="s">
        <v>183</v>
      </c>
      <c r="E115" s="90"/>
      <c r="F115" s="76" t="s">
        <v>22</v>
      </c>
      <c r="G115" s="77">
        <v>1</v>
      </c>
    </row>
    <row r="116" spans="2:7" ht="21" x14ac:dyDescent="0.25">
      <c r="B116" s="119">
        <v>7001</v>
      </c>
      <c r="C116" s="68">
        <v>1001035937001</v>
      </c>
      <c r="D116" s="73" t="s">
        <v>57</v>
      </c>
      <c r="E116" s="73"/>
      <c r="F116" s="76" t="s">
        <v>22</v>
      </c>
      <c r="G116" s="77">
        <v>1</v>
      </c>
    </row>
    <row r="117" spans="2:7" ht="21" x14ac:dyDescent="0.25">
      <c r="B117" s="85">
        <v>6608</v>
      </c>
      <c r="C117" s="72">
        <v>1001033856608</v>
      </c>
      <c r="D117" s="73" t="s">
        <v>58</v>
      </c>
      <c r="E117" s="73"/>
      <c r="F117" s="76" t="s">
        <v>22</v>
      </c>
      <c r="G117" s="77">
        <v>1</v>
      </c>
    </row>
    <row r="118" spans="2:7" ht="21" x14ac:dyDescent="0.25">
      <c r="B118" s="65">
        <v>7059</v>
      </c>
      <c r="C118" s="92">
        <v>1001035277059</v>
      </c>
      <c r="D118" s="69" t="s">
        <v>154</v>
      </c>
      <c r="E118" s="90"/>
      <c r="F118" s="79" t="s">
        <v>20</v>
      </c>
      <c r="G118" s="80">
        <v>0.3</v>
      </c>
    </row>
    <row r="119" spans="2:7" ht="21" x14ac:dyDescent="0.25">
      <c r="B119" s="65">
        <v>6609</v>
      </c>
      <c r="C119" s="71">
        <v>1001033856609</v>
      </c>
      <c r="D119" s="69" t="s">
        <v>153</v>
      </c>
      <c r="E119" s="69"/>
      <c r="F119" s="79" t="s">
        <v>20</v>
      </c>
      <c r="G119" s="80">
        <v>0.4</v>
      </c>
    </row>
    <row r="120" spans="2:7" ht="23.25" x14ac:dyDescent="0.25">
      <c r="B120" s="83"/>
      <c r="C120" s="106"/>
      <c r="D120" s="107" t="s">
        <v>184</v>
      </c>
      <c r="E120" s="108"/>
      <c r="F120" s="109"/>
      <c r="G120" s="110"/>
    </row>
    <row r="121" spans="2:7" ht="21" x14ac:dyDescent="0.25">
      <c r="B121" s="85">
        <v>6767</v>
      </c>
      <c r="C121" s="72">
        <v>1001023696767</v>
      </c>
      <c r="D121" s="73" t="s">
        <v>43</v>
      </c>
      <c r="E121" s="88"/>
      <c r="F121" s="76" t="s">
        <v>22</v>
      </c>
      <c r="G121" s="77">
        <v>1</v>
      </c>
    </row>
    <row r="122" spans="2:7" ht="21" x14ac:dyDescent="0.25">
      <c r="B122" s="65">
        <v>6761</v>
      </c>
      <c r="C122" s="71">
        <v>1001020836761</v>
      </c>
      <c r="D122" s="69" t="s">
        <v>52</v>
      </c>
      <c r="E122" s="69"/>
      <c r="F122" s="79" t="s">
        <v>22</v>
      </c>
      <c r="G122" s="80">
        <v>1</v>
      </c>
    </row>
    <row r="123" spans="2:7" ht="21" x14ac:dyDescent="0.25">
      <c r="B123" s="65">
        <v>6764</v>
      </c>
      <c r="C123" s="71">
        <v>1001020846764</v>
      </c>
      <c r="D123" s="69" t="s">
        <v>48</v>
      </c>
      <c r="E123" s="66"/>
      <c r="F123" s="79" t="s">
        <v>22</v>
      </c>
      <c r="G123" s="80">
        <v>1</v>
      </c>
    </row>
    <row r="124" spans="2:7" ht="21" x14ac:dyDescent="0.25">
      <c r="B124" s="85">
        <v>6254</v>
      </c>
      <c r="C124" s="72">
        <v>1001022556254</v>
      </c>
      <c r="D124" s="73" t="s">
        <v>162</v>
      </c>
      <c r="E124" s="73"/>
      <c r="F124" s="76" t="s">
        <v>22</v>
      </c>
      <c r="G124" s="77">
        <v>1</v>
      </c>
    </row>
    <row r="125" spans="2:7" ht="21" x14ac:dyDescent="0.25">
      <c r="B125" s="65">
        <v>7075</v>
      </c>
      <c r="C125" s="71">
        <v>1001022657075</v>
      </c>
      <c r="D125" s="69" t="s">
        <v>49</v>
      </c>
      <c r="E125" s="69"/>
      <c r="F125" s="79" t="s">
        <v>22</v>
      </c>
      <c r="G125" s="80">
        <v>1</v>
      </c>
    </row>
    <row r="126" spans="2:7" ht="21" x14ac:dyDescent="0.25">
      <c r="B126" s="119">
        <v>7083</v>
      </c>
      <c r="C126" s="71">
        <v>1001022467083</v>
      </c>
      <c r="D126" s="69" t="s">
        <v>160</v>
      </c>
      <c r="E126" s="88"/>
      <c r="F126" s="79" t="s">
        <v>22</v>
      </c>
      <c r="G126" s="80">
        <v>1</v>
      </c>
    </row>
    <row r="127" spans="2:7" ht="21" x14ac:dyDescent="0.25">
      <c r="B127" s="85">
        <v>6829</v>
      </c>
      <c r="C127" s="72">
        <v>1001024976829</v>
      </c>
      <c r="D127" s="73" t="s">
        <v>156</v>
      </c>
      <c r="E127" s="88"/>
      <c r="F127" s="76" t="s">
        <v>22</v>
      </c>
      <c r="G127" s="77">
        <v>1</v>
      </c>
    </row>
    <row r="128" spans="2:7" ht="21" x14ac:dyDescent="0.25">
      <c r="B128" s="119">
        <v>7070</v>
      </c>
      <c r="C128" s="72">
        <v>1001022377070</v>
      </c>
      <c r="D128" s="73" t="s">
        <v>44</v>
      </c>
      <c r="E128" s="73"/>
      <c r="F128" s="76" t="s">
        <v>22</v>
      </c>
      <c r="G128" s="77">
        <v>1</v>
      </c>
    </row>
    <row r="129" spans="2:7" ht="21" x14ac:dyDescent="0.25">
      <c r="B129" s="85">
        <v>7076</v>
      </c>
      <c r="C129" s="72">
        <v>1001022657076</v>
      </c>
      <c r="D129" s="73" t="s">
        <v>185</v>
      </c>
      <c r="E129" s="88"/>
      <c r="F129" s="76" t="s">
        <v>22</v>
      </c>
      <c r="G129" s="77">
        <v>1</v>
      </c>
    </row>
    <row r="130" spans="2:7" ht="21" x14ac:dyDescent="0.25">
      <c r="B130" s="65">
        <v>7271</v>
      </c>
      <c r="C130" s="71">
        <v>1001025507271</v>
      </c>
      <c r="D130" s="69" t="s">
        <v>159</v>
      </c>
      <c r="E130" s="69"/>
      <c r="F130" s="79" t="s">
        <v>22</v>
      </c>
      <c r="G130" s="80">
        <v>1</v>
      </c>
    </row>
    <row r="131" spans="2:7" ht="21" x14ac:dyDescent="0.25">
      <c r="B131" s="85">
        <v>6303</v>
      </c>
      <c r="C131" s="72">
        <v>1001022726303</v>
      </c>
      <c r="D131" s="73" t="s">
        <v>158</v>
      </c>
      <c r="E131" s="88"/>
      <c r="F131" s="76" t="s">
        <v>22</v>
      </c>
      <c r="G131" s="77">
        <v>1</v>
      </c>
    </row>
    <row r="132" spans="2:7" ht="21" x14ac:dyDescent="0.25">
      <c r="B132" s="85">
        <v>6661</v>
      </c>
      <c r="C132" s="72">
        <v>1001022246661</v>
      </c>
      <c r="D132" s="73" t="s">
        <v>161</v>
      </c>
      <c r="E132" s="73"/>
      <c r="F132" s="76" t="s">
        <v>22</v>
      </c>
      <c r="G132" s="77">
        <v>1</v>
      </c>
    </row>
    <row r="133" spans="2:7" ht="21" x14ac:dyDescent="0.25">
      <c r="B133" s="65">
        <v>6759</v>
      </c>
      <c r="C133" s="71">
        <v>1001020836759</v>
      </c>
      <c r="D133" s="69" t="s">
        <v>41</v>
      </c>
      <c r="E133" s="66"/>
      <c r="F133" s="79" t="s">
        <v>20</v>
      </c>
      <c r="G133" s="80">
        <v>0.4</v>
      </c>
    </row>
    <row r="134" spans="2:7" ht="21" x14ac:dyDescent="0.25">
      <c r="B134" s="65">
        <v>6762</v>
      </c>
      <c r="C134" s="71">
        <v>1001020846762</v>
      </c>
      <c r="D134" s="69" t="s">
        <v>39</v>
      </c>
      <c r="E134" s="66"/>
      <c r="F134" s="79" t="s">
        <v>20</v>
      </c>
      <c r="G134" s="80">
        <v>0.41</v>
      </c>
    </row>
    <row r="135" spans="2:7" ht="21" x14ac:dyDescent="0.25">
      <c r="B135" s="85">
        <v>6765</v>
      </c>
      <c r="C135" s="72">
        <v>1001023696765</v>
      </c>
      <c r="D135" s="73" t="s">
        <v>40</v>
      </c>
      <c r="E135" s="88"/>
      <c r="F135" s="76" t="s">
        <v>20</v>
      </c>
      <c r="G135" s="77">
        <v>0.36</v>
      </c>
    </row>
    <row r="136" spans="2:7" ht="21" x14ac:dyDescent="0.25">
      <c r="B136" s="65">
        <v>7074</v>
      </c>
      <c r="C136" s="68">
        <v>1001022657074</v>
      </c>
      <c r="D136" s="69" t="s">
        <v>157</v>
      </c>
      <c r="E136" s="66"/>
      <c r="F136" s="79" t="s">
        <v>20</v>
      </c>
      <c r="G136" s="80">
        <v>0.6</v>
      </c>
    </row>
    <row r="137" spans="2:7" ht="21" x14ac:dyDescent="0.25">
      <c r="B137" s="65">
        <v>7123</v>
      </c>
      <c r="C137" s="71">
        <v>1001020867123</v>
      </c>
      <c r="D137" s="69" t="s">
        <v>186</v>
      </c>
      <c r="E137" s="73"/>
      <c r="F137" s="76" t="s">
        <v>20</v>
      </c>
      <c r="G137" s="77">
        <v>0.3</v>
      </c>
    </row>
    <row r="138" spans="2:7" ht="21" x14ac:dyDescent="0.25">
      <c r="B138" s="85">
        <v>5819</v>
      </c>
      <c r="C138" s="72">
        <v>1001022725819</v>
      </c>
      <c r="D138" s="73" t="s">
        <v>38</v>
      </c>
      <c r="E138" s="88"/>
      <c r="F138" s="76" t="s">
        <v>20</v>
      </c>
      <c r="G138" s="77">
        <v>0.4</v>
      </c>
    </row>
    <row r="139" spans="2:7" ht="21" x14ac:dyDescent="0.25">
      <c r="B139" s="65">
        <v>6475</v>
      </c>
      <c r="C139" s="68">
        <v>1001025176475</v>
      </c>
      <c r="D139" s="69" t="s">
        <v>45</v>
      </c>
      <c r="E139" s="69"/>
      <c r="F139" s="76" t="s">
        <v>20</v>
      </c>
      <c r="G139" s="77">
        <v>0.4</v>
      </c>
    </row>
    <row r="140" spans="2:7" ht="21" x14ac:dyDescent="0.25">
      <c r="B140" s="120">
        <v>7284</v>
      </c>
      <c r="C140" s="92">
        <v>1001025767284</v>
      </c>
      <c r="D140" s="111" t="s">
        <v>187</v>
      </c>
      <c r="E140" s="91"/>
      <c r="F140" s="121" t="s">
        <v>20</v>
      </c>
      <c r="G140" s="122">
        <v>0.33</v>
      </c>
    </row>
    <row r="141" spans="2:7" ht="21" x14ac:dyDescent="0.25">
      <c r="B141" s="65">
        <v>7601</v>
      </c>
      <c r="C141" s="71">
        <v>1001025767601</v>
      </c>
      <c r="D141" s="69" t="s">
        <v>188</v>
      </c>
      <c r="E141" s="90"/>
      <c r="F141" s="79" t="s">
        <v>20</v>
      </c>
      <c r="G141" s="80">
        <v>0.26</v>
      </c>
    </row>
    <row r="142" spans="2:7" ht="21" x14ac:dyDescent="0.25">
      <c r="B142" s="120">
        <v>7461</v>
      </c>
      <c r="C142" s="94">
        <v>1001025767461</v>
      </c>
      <c r="D142" s="111" t="s">
        <v>189</v>
      </c>
      <c r="E142" s="90"/>
      <c r="F142" s="123" t="s">
        <v>20</v>
      </c>
      <c r="G142" s="96">
        <v>0.33</v>
      </c>
    </row>
    <row r="143" spans="2:7" ht="21" x14ac:dyDescent="0.25">
      <c r="B143" s="70">
        <v>7371</v>
      </c>
      <c r="C143" s="75">
        <v>1001026947371</v>
      </c>
      <c r="D143" s="69" t="s">
        <v>190</v>
      </c>
      <c r="E143" s="87"/>
      <c r="F143" s="79" t="s">
        <v>20</v>
      </c>
      <c r="G143" s="80">
        <v>0.3</v>
      </c>
    </row>
    <row r="144" spans="2:7" ht="21" x14ac:dyDescent="0.25">
      <c r="B144" s="120">
        <v>6837</v>
      </c>
      <c r="C144" s="94">
        <v>1001022556837</v>
      </c>
      <c r="D144" s="111" t="s">
        <v>47</v>
      </c>
      <c r="E144" s="111"/>
      <c r="F144" s="121" t="s">
        <v>20</v>
      </c>
      <c r="G144" s="122">
        <v>0.4</v>
      </c>
    </row>
    <row r="145" spans="2:7" ht="21" x14ac:dyDescent="0.25">
      <c r="B145" s="120">
        <v>7080</v>
      </c>
      <c r="C145" s="94">
        <v>1001022467080</v>
      </c>
      <c r="D145" s="95" t="s">
        <v>53</v>
      </c>
      <c r="E145" s="95"/>
      <c r="F145" s="123" t="s">
        <v>20</v>
      </c>
      <c r="G145" s="96">
        <v>0.41</v>
      </c>
    </row>
    <row r="146" spans="2:7" ht="21" x14ac:dyDescent="0.25">
      <c r="B146" s="65">
        <v>6724</v>
      </c>
      <c r="C146" s="71">
        <v>1001020836724</v>
      </c>
      <c r="D146" s="69" t="s">
        <v>51</v>
      </c>
      <c r="E146" s="69"/>
      <c r="F146" s="79" t="s">
        <v>20</v>
      </c>
      <c r="G146" s="80">
        <v>0.41</v>
      </c>
    </row>
    <row r="147" spans="2:7" ht="21" x14ac:dyDescent="0.25">
      <c r="B147" s="65">
        <v>7066</v>
      </c>
      <c r="C147" s="71">
        <v>1001022377066</v>
      </c>
      <c r="D147" s="69" t="s">
        <v>55</v>
      </c>
      <c r="E147" s="69"/>
      <c r="F147" s="79" t="s">
        <v>20</v>
      </c>
      <c r="G147" s="80">
        <v>0.41</v>
      </c>
    </row>
    <row r="148" spans="2:7" ht="21" x14ac:dyDescent="0.25">
      <c r="B148" s="85">
        <v>6713</v>
      </c>
      <c r="C148" s="68">
        <v>1001022246713</v>
      </c>
      <c r="D148" s="69" t="s">
        <v>46</v>
      </c>
      <c r="E148" s="69"/>
      <c r="F148" s="76" t="s">
        <v>20</v>
      </c>
      <c r="G148" s="77">
        <v>0.41</v>
      </c>
    </row>
    <row r="149" spans="2:7" ht="21" x14ac:dyDescent="0.25">
      <c r="B149" s="65">
        <v>7255</v>
      </c>
      <c r="C149" s="71">
        <v>1001025507255</v>
      </c>
      <c r="D149" s="69" t="s">
        <v>37</v>
      </c>
      <c r="E149" s="73"/>
      <c r="F149" s="79" t="s">
        <v>20</v>
      </c>
      <c r="G149" s="80">
        <v>0.4</v>
      </c>
    </row>
    <row r="150" spans="2:7" ht="21" x14ac:dyDescent="0.25">
      <c r="B150" s="65">
        <v>6602</v>
      </c>
      <c r="C150" s="71">
        <v>1001021966602</v>
      </c>
      <c r="D150" s="69" t="s">
        <v>155</v>
      </c>
      <c r="E150" s="66"/>
      <c r="F150" s="79" t="s">
        <v>20</v>
      </c>
      <c r="G150" s="80">
        <v>0.35</v>
      </c>
    </row>
    <row r="151" spans="2:7" ht="21" x14ac:dyDescent="0.25">
      <c r="B151" s="65">
        <v>7073</v>
      </c>
      <c r="C151" s="71">
        <v>1001022657073</v>
      </c>
      <c r="D151" s="69" t="s">
        <v>50</v>
      </c>
      <c r="E151" s="69"/>
      <c r="F151" s="79" t="s">
        <v>20</v>
      </c>
      <c r="G151" s="80">
        <v>0.35</v>
      </c>
    </row>
    <row r="152" spans="2:7" ht="21" x14ac:dyDescent="0.25">
      <c r="B152" s="120">
        <v>7276</v>
      </c>
      <c r="C152" s="94">
        <v>1001022467276</v>
      </c>
      <c r="D152" s="95" t="s">
        <v>54</v>
      </c>
      <c r="E152" s="95"/>
      <c r="F152" s="123" t="s">
        <v>20</v>
      </c>
      <c r="G152" s="96">
        <v>0.3</v>
      </c>
    </row>
    <row r="153" spans="2:7" ht="21" x14ac:dyDescent="0.25">
      <c r="B153" s="65">
        <v>6616</v>
      </c>
      <c r="C153" s="68">
        <v>1001024976616</v>
      </c>
      <c r="D153" s="69" t="s">
        <v>42</v>
      </c>
      <c r="E153" s="66"/>
      <c r="F153" s="79" t="s">
        <v>20</v>
      </c>
      <c r="G153" s="80">
        <v>0.3</v>
      </c>
    </row>
    <row r="154" spans="2:7" ht="21" x14ac:dyDescent="0.25">
      <c r="B154" s="70">
        <v>7385</v>
      </c>
      <c r="C154" s="71">
        <v>1001027067385</v>
      </c>
      <c r="D154" s="87" t="s">
        <v>163</v>
      </c>
      <c r="E154" s="69"/>
      <c r="F154" s="79" t="s">
        <v>20</v>
      </c>
      <c r="G154" s="80">
        <v>0.33</v>
      </c>
    </row>
    <row r="155" spans="2:7" ht="21" x14ac:dyDescent="0.25">
      <c r="B155" s="93">
        <v>7044</v>
      </c>
      <c r="C155" s="94">
        <v>1001025167044</v>
      </c>
      <c r="D155" s="95" t="s">
        <v>164</v>
      </c>
      <c r="E155" s="90"/>
      <c r="F155" s="79" t="s">
        <v>20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165</v>
      </c>
      <c r="E156" s="90"/>
      <c r="F156" s="79" t="s">
        <v>20</v>
      </c>
      <c r="G156" s="96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2026-08-05T11:46:10Z</dcterms:modified>
</cp:coreProperties>
</file>