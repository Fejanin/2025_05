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E239A513-8616-4598-B54F-11F9AB62ED5B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Бланк!$A$9:$J$133</definedName>
    <definedName name="кол_во_инд.__упак_к">Бланк!$AC$3:$AC$569</definedName>
    <definedName name="номин.вес_нетто__кг">Бланк!$W$3:$W$569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16" i="1" l="1"/>
  <c r="A116" i="1"/>
  <c r="D1" i="1" l="1"/>
  <c r="G63" i="1" l="1"/>
  <c r="A63" i="1"/>
  <c r="A132" i="1" l="1"/>
  <c r="A131" i="1"/>
  <c r="A130" i="1"/>
  <c r="A129" i="1"/>
  <c r="A128" i="1"/>
  <c r="A127" i="1"/>
  <c r="A126" i="1"/>
  <c r="A125" i="1"/>
  <c r="A124" i="1"/>
  <c r="A123" i="1"/>
  <c r="A121" i="1"/>
  <c r="A120" i="1"/>
  <c r="A119" i="1"/>
  <c r="A118" i="1"/>
  <c r="A117" i="1"/>
  <c r="A115" i="1"/>
  <c r="A114" i="1"/>
  <c r="A113" i="1"/>
  <c r="A112" i="1"/>
  <c r="A111" i="1"/>
  <c r="A110" i="1"/>
  <c r="A109" i="1"/>
  <c r="A108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2" i="1"/>
  <c r="A61" i="1"/>
  <c r="A60" i="1"/>
  <c r="A59" i="1"/>
  <c r="A58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11" i="1"/>
  <c r="G119" i="1" l="1"/>
  <c r="G83" i="1"/>
  <c r="G75" i="1"/>
  <c r="G85" i="1"/>
  <c r="G36" i="1" l="1"/>
  <c r="G71" i="1" l="1"/>
  <c r="G125" i="1" l="1"/>
  <c r="G77" i="1" l="1"/>
  <c r="G3" i="1" l="1"/>
  <c r="F3" i="1"/>
  <c r="E133" i="1" l="1"/>
  <c r="G121" i="1" l="1"/>
  <c r="G120" i="1"/>
  <c r="K5" i="1" l="1"/>
  <c r="K6" i="1"/>
  <c r="K7" i="1"/>
  <c r="G126" i="1"/>
  <c r="G118" i="1"/>
  <c r="G113" i="1"/>
  <c r="G111" i="1"/>
  <c r="G110" i="1"/>
  <c r="G108" i="1"/>
  <c r="G100" i="1"/>
  <c r="G99" i="1"/>
  <c r="G96" i="1"/>
  <c r="G93" i="1"/>
  <c r="G92" i="1"/>
  <c r="G81" i="1"/>
  <c r="G79" i="1"/>
  <c r="G74" i="1"/>
  <c r="G65" i="1"/>
  <c r="G61" i="1"/>
  <c r="G60" i="1"/>
  <c r="G59" i="1"/>
  <c r="G58" i="1"/>
  <c r="G55" i="1"/>
  <c r="G53" i="1"/>
  <c r="G49" i="1"/>
  <c r="G47" i="1"/>
  <c r="G45" i="1"/>
  <c r="G43" i="1"/>
  <c r="G39" i="1"/>
  <c r="G37" i="1"/>
  <c r="G28" i="1"/>
  <c r="G27" i="1"/>
  <c r="G25" i="1"/>
  <c r="G24" i="1"/>
  <c r="G22" i="1"/>
  <c r="G20" i="1"/>
  <c r="G19" i="1"/>
  <c r="G17" i="1"/>
  <c r="G16" i="1"/>
  <c r="G14" i="1"/>
  <c r="G12" i="1"/>
  <c r="G132" i="1"/>
  <c r="G131" i="1"/>
  <c r="G130" i="1"/>
  <c r="G129" i="1"/>
  <c r="G128" i="1"/>
  <c r="G127" i="1"/>
  <c r="G124" i="1"/>
  <c r="G123" i="1"/>
  <c r="G117" i="1"/>
  <c r="G115" i="1"/>
  <c r="G114" i="1"/>
  <c r="G112" i="1"/>
  <c r="G109" i="1"/>
  <c r="G106" i="1"/>
  <c r="G105" i="1"/>
  <c r="G104" i="1"/>
  <c r="G103" i="1"/>
  <c r="G102" i="1"/>
  <c r="G101" i="1"/>
  <c r="G98" i="1"/>
  <c r="G97" i="1"/>
  <c r="G95" i="1"/>
  <c r="G94" i="1"/>
  <c r="G91" i="1"/>
  <c r="G90" i="1"/>
  <c r="G88" i="1"/>
  <c r="G87" i="1"/>
  <c r="G86" i="1"/>
  <c r="G84" i="1"/>
  <c r="G82" i="1"/>
  <c r="G80" i="1"/>
  <c r="G78" i="1"/>
  <c r="G76" i="1"/>
  <c r="G73" i="1"/>
  <c r="G72" i="1"/>
  <c r="G70" i="1"/>
  <c r="G69" i="1"/>
  <c r="G68" i="1"/>
  <c r="G67" i="1"/>
  <c r="G66" i="1"/>
  <c r="G62" i="1"/>
  <c r="G56" i="1"/>
  <c r="G54" i="1"/>
  <c r="G52" i="1"/>
  <c r="G51" i="1"/>
  <c r="G50" i="1"/>
  <c r="G48" i="1"/>
  <c r="G46" i="1"/>
  <c r="G44" i="1"/>
  <c r="G42" i="1"/>
  <c r="G41" i="1"/>
  <c r="G40" i="1"/>
  <c r="G38" i="1"/>
  <c r="G35" i="1"/>
  <c r="G34" i="1"/>
  <c r="G33" i="1"/>
  <c r="G31" i="1"/>
  <c r="G30" i="1"/>
  <c r="G29" i="1"/>
  <c r="G26" i="1"/>
  <c r="G23" i="1"/>
  <c r="G21" i="1"/>
  <c r="G18" i="1"/>
  <c r="G13" i="1"/>
  <c r="G15" i="1" l="1"/>
  <c r="G11" i="1"/>
  <c r="G13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2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4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5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4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20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5246 на код 7555</t>
        </r>
      </text>
    </comment>
    <comment ref="D22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5247 на код 7556</t>
        </r>
      </text>
    </comment>
    <comment ref="D25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44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45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7" authorId="0" shapeId="0" xr:uid="{00000000-0006-0000-0100-00000A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7288 на код 7612</t>
        </r>
      </text>
    </comment>
    <comment ref="D81" authorId="0" shapeId="0" xr:uid="{00000000-0006-0000-0100-00000B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 с 1.11.25</t>
        </r>
      </text>
    </comment>
    <comment ref="D91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1146 с 01.11.25</t>
        </r>
      </text>
    </comment>
    <comment ref="D92" authorId="0" shapeId="0" xr:uid="{00000000-0006-0000-0100-00000D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5706 с 01.11.25
</t>
        </r>
      </text>
    </comment>
    <comment ref="D104" authorId="0" shapeId="0" xr:uid="{00000000-0006-0000-0100-00000E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</t>
        </r>
      </text>
    </comment>
    <comment ref="D124" authorId="0" shapeId="0" xr:uid="{00000000-0006-0000-0100-00000F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6909 с 20.05.25</t>
        </r>
      </text>
    </comment>
    <comment ref="D138" authorId="0" shapeId="0" xr:uid="{00000000-0006-0000-0100-000010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01.11.25</t>
        </r>
      </text>
    </comment>
    <comment ref="D143" authorId="0" shapeId="0" xr:uid="{00000000-0006-0000-0100-000011000000}">
      <text>
        <r>
          <rPr>
            <sz val="14"/>
            <color indexed="81"/>
            <rFont val="Tahoma"/>
            <family val="2"/>
            <charset val="204"/>
          </rPr>
          <t>Ротация с кода 7082 с 18.02.26</t>
        </r>
      </text>
    </comment>
    <comment ref="D153" authorId="0" shapeId="0" xr:uid="{00000000-0006-0000-0100-000012000000}">
      <text>
        <r>
          <rPr>
            <sz val="14"/>
            <color indexed="81"/>
            <rFont val="Tahoma"/>
            <family val="2"/>
            <charset val="204"/>
          </rPr>
          <t>Ротация кода 7257 с 1 сентября</t>
        </r>
      </text>
    </comment>
  </commentList>
</comments>
</file>

<file path=xl/sharedStrings.xml><?xml version="1.0" encoding="utf-8"?>
<sst xmlns="http://schemas.openxmlformats.org/spreadsheetml/2006/main" count="610" uniqueCount="230">
  <si>
    <t xml:space="preserve">Грузополучатель: </t>
  </si>
  <si>
    <t>ООО "НОВОЕ ВРЕМЯ"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</si>
  <si>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</si>
  <si>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</si>
  <si>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</si>
  <si>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</si>
  <si>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</si>
  <si>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</si>
  <si>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</si>
  <si>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</si>
  <si>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</si>
  <si>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</si>
  <si>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</si>
  <si>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</si>
  <si>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</si>
  <si>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</si>
  <si>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</si>
  <si>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</si>
  <si>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</si>
  <si>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</si>
  <si>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</si>
  <si>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</si>
  <si>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</si>
  <si>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</si>
  <si>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</si>
  <si>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</si>
  <si>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</si>
  <si>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</si>
  <si>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</si>
  <si>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</si>
  <si>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</si>
  <si>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</si>
  <si>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</si>
  <si>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</si>
  <si>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</si>
  <si>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</si>
  <si>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</si>
  <si>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</si>
  <si>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</si>
  <si>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</si>
  <si>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</si>
  <si>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</si>
  <si>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</si>
  <si>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</si>
  <si>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</si>
  <si>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</si>
  <si>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</si>
  <si>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</si>
  <si>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</si>
  <si>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</si>
  <si>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</si>
  <si>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</si>
  <si>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</si>
  <si>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</si>
  <si>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</si>
  <si>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</si>
  <si>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</si>
  <si>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</si>
  <si>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</si>
  <si>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</si>
  <si>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</si>
  <si>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</si>
  <si>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</si>
  <si>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</si>
  <si>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</si>
  <si>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</si>
  <si>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</si>
  <si>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</si>
  <si>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</si>
  <si>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</si>
  <si>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</si>
  <si>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</si>
  <si>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</si>
  <si>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</si>
  <si>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</si>
  <si>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</si>
  <si>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</si>
  <si>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</si>
  <si>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</si>
  <si>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</si>
  <si>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</si>
  <si>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</si>
  <si>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</si>
  <si>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</si>
  <si>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</si>
  <si>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</si>
  <si>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</si>
  <si>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</si>
  <si>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</si>
  <si>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</si>
  <si>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</si>
  <si>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</si>
  <si>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</si>
  <si>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</si>
  <si>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 0.4кг 8шт.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</si>
  <si>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</si>
  <si>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</si>
  <si>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</si>
  <si>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</si>
  <si>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</si>
  <si>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</si>
  <si>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</si>
  <si>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</si>
  <si>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</si>
  <si>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БЕКОН Останкино с/к с/н в/у 1/180_50с</t>
  </si>
  <si>
    <t>ВСЕГО:</t>
  </si>
  <si>
    <t xml:space="preserve">ДЛЯ ДЕТЕЙ Папа может сос п/о мгс 0.33кг </t>
  </si>
  <si>
    <t>БРЕСТСКИЕ сос п/о в/у 0.3кг 8шт.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</si>
  <si>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</si>
  <si>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</si>
  <si>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</si>
  <si>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</si>
  <si>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</si>
  <si>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</si>
  <si>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</si>
  <si>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</si>
  <si>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</si>
  <si>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ДОКТОРСКАЯ ПО-ОСТАНКИНСКИ вар б/о в/у</t>
  </si>
  <si>
    <t>РУССКАЯ ПО-ОСТАНКИНСКИ вар б/о в/у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</si>
  <si>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</si>
  <si>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</si>
  <si>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</si>
  <si>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</si>
  <si>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Ротация на код 7632</t>
  </si>
  <si>
    <t>260654543581 (с 03.06 по 30.06)</t>
  </si>
  <si>
    <t xml:space="preserve">ВЕТЧ.ИЗ ЛОПАТКИ Папа может п/о_HRC 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</si>
  <si>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</si>
  <si>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</si>
  <si>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</si>
  <si>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</si>
  <si>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</si>
  <si>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</si>
  <si>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</si>
  <si>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БАЛЫКОВАЯ ПМ п/к в/у 0.31кг 8шт_209к</t>
  </si>
  <si>
    <t>СЕРВЕЛАТ ОРЕХОВЫЙ в/к в/у 0.31кг_209к</t>
  </si>
  <si>
    <t>ЧЕСНОЧНАЯ ПМ п/к в/у 0.35кг 8шт_50с</t>
  </si>
  <si>
    <t>Нарезка в/к колбас</t>
  </si>
  <si>
    <t>Ротация на код 7608</t>
  </si>
  <si>
    <t>СЕРВЕЛАТ БАВАРСКИЙ в/к с/н в/у 1/100*10</t>
  </si>
  <si>
    <t>Ротация на код 7610</t>
  </si>
  <si>
    <t>Нарезка копченостей</t>
  </si>
  <si>
    <t>СВИНИНА МАДЕРА с/к с/н в/у 1/100 10шт.</t>
  </si>
  <si>
    <t>БАЛЫК И ШЕЙКА с/в с/н мгс 1/90 8шт.</t>
  </si>
  <si>
    <t>БАЛЫК с/к с/н в/у 1/100 10шт. (7288)</t>
  </si>
  <si>
    <t>Ротация на код 7612</t>
  </si>
  <si>
    <t>БАЛЫК с/к с/н в/у 1/100 10шт_Л11</t>
  </si>
  <si>
    <t>Нарезка с/к колбас</t>
  </si>
  <si>
    <t>АРОМАТНАЯ с/к с/н в/у 1/100 10шт.</t>
  </si>
  <si>
    <t>Ротация на код 7613</t>
  </si>
  <si>
    <t>ПОСОЛЬСКАЯ ПМ с/к с/н в/у 1/100 10шт.</t>
  </si>
  <si>
    <t>Ротация на код 7607</t>
  </si>
  <si>
    <t>ЭКСТРА Папа может с/к с/н в/у 1/100 14шт</t>
  </si>
  <si>
    <t>Ротация на код 7616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</si>
  <si>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</si>
  <si>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</si>
  <si>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</si>
  <si>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</si>
  <si>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</si>
  <si>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Ротация на код 7626</t>
  </si>
  <si>
    <t>ПЕППЕРОНИ с/к с/н мгс 1*8_HRC</t>
  </si>
  <si>
    <t>С/к колбасы</t>
  </si>
  <si>
    <t>АРОМАТНАЯ с/к в/у_А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</si>
  <si>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</si>
  <si>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</si>
  <si>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</si>
  <si>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</si>
  <si>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</si>
  <si>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</si>
  <si>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</si>
  <si>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</si>
  <si>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</si>
  <si>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</si>
  <si>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</si>
  <si>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</si>
  <si>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</si>
  <si>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</si>
  <si>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</si>
  <si>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</si>
  <si>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ШПИКАЧКИ СОЧНЫЕ ПМ сар б/о мгс 0.4кг_45с</t>
  </si>
  <si>
    <t>БАВАРСКИЕ ПМ сос ц/о мгс 0.35кг 8шт.</t>
  </si>
  <si>
    <t>ДЛЯ ДЕТЕЙ сос п/о мгс 0.33кг 6шт.</t>
  </si>
  <si>
    <t>ДЛЯ ДЕТЕЙ Папа может сос п/о мгс 0.264кг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</si>
  <si>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</si>
  <si>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</si>
  <si>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</si>
  <si>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</si>
  <si>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</si>
  <si>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</si>
  <si>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</si>
  <si>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</si>
  <si>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</si>
  <si>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</si>
  <si>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</si>
  <si>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</si>
  <si>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</si>
  <si>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5246</t>
  </si>
  <si>
    <t>Ротация кода 5247</t>
  </si>
  <si>
    <t>Ротация кода 7131</t>
  </si>
  <si>
    <t>Ротация кода 6793</t>
  </si>
  <si>
    <t>130438122 ООО "НОВОЕ ВРЕМЯ"  272151 Бердянский р-н 90  Трояны</t>
  </si>
  <si>
    <t xml:space="preserve">130438119 ООО "НОВОЕ ВРЕМЯ" 90 Мелитопольский р-н с. Семеновка, Северный переезд, стр.3 </t>
  </si>
  <si>
    <t xml:space="preserve">130438120 ООО "НОВОЕ ВРЕМЯ"  93 Донецк г      Чаадаева ул.д.1        </t>
  </si>
  <si>
    <t xml:space="preserve">130439104 ООО "НОВОЕ ВРЕМЯ"  Мариуполь (Бердянский р-н 90  Трояны)   
</t>
  </si>
  <si>
    <t>Ротация кода 6353</t>
  </si>
  <si>
    <t>ЭКСТРА Папа может вар п/о 0.4кг 8шт_195к</t>
  </si>
  <si>
    <t>ХОЧУ ВЕТЧ. ИЗ СВИН.ОТРУБА с/н мгс 1/100</t>
  </si>
  <si>
    <t>ХОЧУ ВЕТЧ. МРАМОР. ПМ с/н мгс 1/100_Л11</t>
  </si>
  <si>
    <t>Новинка</t>
  </si>
  <si>
    <t>САЛО СОЛЕНОЕ С ЧЕРНЫМ ПЕРЦЕМ мл/к в/у</t>
  </si>
  <si>
    <t>Ротация кода 6459</t>
  </si>
  <si>
    <t>СЕРВЕЛАТ БАВАРСКИЙ в/к с/н в/у 1/100_Л11</t>
  </si>
  <si>
    <t>Ротация кода 7474</t>
  </si>
  <si>
    <t>Ротация кода 7288</t>
  </si>
  <si>
    <t>Ротация кода 6454</t>
  </si>
  <si>
    <t>Ротация кода 6453</t>
  </si>
  <si>
    <t>Ротация кода 5677</t>
  </si>
  <si>
    <t>БРАУНШВЕЙГСКАЯ с/к с/н мгс 1/100_Л10</t>
  </si>
  <si>
    <t>ЭКСТРА Папа может с/к с/н в/у 1/100_Л10</t>
  </si>
  <si>
    <t>СЕРВЕЛАТ ШВЕЙЦАРСК.в/к с/н в/у 1/100_Л11</t>
  </si>
  <si>
    <t>СЫРРРВЕЛАТ Папа может в/к в/у 0.28кг 8шт</t>
  </si>
  <si>
    <t>СЕРВЕЛАТ КРЕМЛЕВСКИЙ в/к в/у 0.84кг</t>
  </si>
  <si>
    <t>АРОМАТНАЯ с/к с/н в/у 1/100 10шт_Л10 (7613)</t>
  </si>
  <si>
    <t>ДЛЯ ДЕТЕЙ Папа может сос п/о мгс 0.33кг</t>
  </si>
  <si>
    <t>С ИНДЕЙКОЙ ПМ сос ц/о в/у 1/270 8шт.</t>
  </si>
  <si>
    <t>ВОСКРЕСЕНСКАЯ ВЯЛЕНАЯ в/к в/у срез 1/260</t>
  </si>
  <si>
    <t>КРАКОВСКАЯ ГОСТ Останкино п/к н/о мгс</t>
  </si>
  <si>
    <t>НОВОМОСКОВСКАЯ в/к в/у срез 0.31кг</t>
  </si>
  <si>
    <t>РИЕТ МЯСНОЙ С ГРИБАМИ ПМ п/о 1/150</t>
  </si>
  <si>
    <t>Ротация кода 7284</t>
  </si>
  <si>
    <t>ВЕТЧ.РУБЛЕНАЯ ПМ в/у срез 0.3кг 6шт.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</si>
</sst>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27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42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0" fontId="8" fillId="0" borderId="0" xfId="0" applyFont="1" applyFill="1" applyAlignment="1">
      <alignment vertical="center"/>
    </xf>
    <xf numFmtId="0" fontId="11" fillId="0" borderId="7" xfId="0" applyFont="1" applyFill="1" applyBorder="1" applyAlignment="1">
      <alignment horizontal="center" vertical="center"/>
    </xf>
    <xf numFmtId="0" fontId="0" fillId="5" borderId="8" xfId="0" applyNumberFormat="1" applyFill="1" applyBorder="1" applyAlignment="1">
      <alignment horizontal="right"/>
    </xf>
    <xf numFmtId="1" fontId="8" fillId="0" borderId="0" xfId="0" applyNumberFormat="1" applyFont="1" applyFill="1" applyAlignment="1">
      <alignment horizontal="center" vertical="center"/>
    </xf>
    <xf numFmtId="2" fontId="6" fillId="0" borderId="4" xfId="0" applyNumberFormat="1" applyFont="1" applyFill="1" applyBorder="1" applyAlignment="1">
      <alignment horizontal="right"/>
    </xf>
    <xf numFmtId="0" fontId="6" fillId="0" borderId="4" xfId="0" applyFont="1" applyFill="1" applyBorder="1" applyAlignment="1">
      <alignment horizontal="right"/>
    </xf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0" fillId="0" borderId="8" xfId="0" applyFont="1" applyFill="1" applyBorder="1" applyAlignment="1">
      <alignment horizontal="center" vertical="center"/>
    </xf>
    <xf numFmtId="1" fontId="21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1" fontId="21" fillId="9" borderId="8" xfId="0" applyNumberFormat="1" applyFont="1" applyFill="1" applyBorder="1" applyAlignment="1">
      <alignment horizontal="center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0" fillId="9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1" fontId="22" fillId="9" borderId="8" xfId="0" applyNumberFormat="1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0" fillId="10" borderId="8" xfId="0" applyFont="1" applyFill="1" applyBorder="1" applyAlignment="1">
      <alignment horizontal="left" vertical="center"/>
    </xf>
    <xf numFmtId="0" fontId="20" fillId="11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2" borderId="8" xfId="0" applyNumberFormat="1" applyFont="1" applyFill="1" applyBorder="1" applyAlignment="1">
      <alignment horizontal="center" vertical="center"/>
    </xf>
    <xf numFmtId="0" fontId="25" fillId="12" borderId="8" xfId="0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2" fontId="20" fillId="12" borderId="8" xfId="4" applyNumberFormat="1" applyFont="1" applyFill="1" applyBorder="1" applyAlignment="1">
      <alignment horizontal="center" vertical="center"/>
    </xf>
    <xf numFmtId="0" fontId="20" fillId="0" borderId="8" xfId="0" applyFont="1" applyBorder="1" applyAlignment="1">
      <alignment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1" fontId="22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left" vertical="center"/>
    </xf>
    <xf numFmtId="0" fontId="20" fillId="12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1" fontId="21" fillId="0" borderId="15" xfId="0" applyNumberFormat="1" applyFont="1" applyBorder="1" applyAlignment="1">
      <alignment horizontal="center" vertical="center"/>
    </xf>
    <xf numFmtId="0" fontId="20" fillId="0" borderId="15" xfId="0" applyFont="1" applyBorder="1" applyAlignment="1">
      <alignment horizontal="left" vertical="center"/>
    </xf>
    <xf numFmtId="1" fontId="21" fillId="0" borderId="15" xfId="0" applyNumberFormat="1" applyFont="1" applyFill="1" applyBorder="1" applyAlignment="1">
      <alignment horizontal="center" vertical="center"/>
    </xf>
    <xf numFmtId="0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0" fontId="8" fillId="0" borderId="0" xfId="0" applyFont="1" applyFill="1" applyAlignment="1">
      <alignment horizontal="left" vertical="center"/>
    </xf>
    <xf numFmtId="0" fontId="6" fillId="5" borderId="16" xfId="0" applyFont="1" applyFill="1" applyBorder="1" applyAlignment="1">
      <alignment horizontal="right"/>
    </xf>
    <xf numFmtId="0" fontId="6" fillId="0" borderId="17" xfId="0" applyFont="1" applyFill="1" applyBorder="1" applyAlignment="1">
      <alignment horizontal="right"/>
    </xf>
    <xf numFmtId="2" fontId="0" fillId="0" borderId="7" xfId="0" applyNumberFormat="1" applyFill="1" applyBorder="1" applyAlignment="1">
      <alignment vertical="top"/>
    </xf>
    <xf numFmtId="0" fontId="0" fillId="0" borderId="0" xfId="0" applyFill="1" applyBorder="1" applyAlignment="1">
      <alignment vertical="top"/>
    </xf>
    <xf numFmtId="1" fontId="8" fillId="0" borderId="6" xfId="0" applyNumberFormat="1" applyFont="1" applyFill="1" applyBorder="1" applyAlignment="1">
      <alignment horizontal="center" vertical="center"/>
    </xf>
    <xf numFmtId="1" fontId="8" fillId="5" borderId="0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vertical="top"/>
    </xf>
    <xf numFmtId="0" fontId="0" fillId="0" borderId="7" xfId="0" applyFill="1" applyBorder="1" applyAlignment="1">
      <alignment vertical="top"/>
    </xf>
    <xf numFmtId="49" fontId="8" fillId="0" borderId="0" xfId="0" applyNumberFormat="1" applyFont="1" applyFill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0" fontId="11" fillId="0" borderId="18" xfId="0" applyFont="1" applyFill="1" applyBorder="1" applyAlignment="1">
      <alignment horizontal="center" vertical="center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0" fontId="0" fillId="0" borderId="0" xfId="0" applyNumberFormat="1" applyFill="1" applyBorder="1"/>
    <xf numFmtId="0" fontId="6" fillId="9" borderId="4" xfId="0" applyFont="1" applyFill="1" applyBorder="1" applyAlignment="1">
      <alignment horizontal="right"/>
    </xf>
    <xf numFmtId="165" fontId="15" fillId="3" borderId="2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  <xf numFmtId="0" fontId="0" fillId="5" borderId="8" xfId="0" applyFill="1" applyBorder="1" applyAlignment="1">
      <alignment horizontal="right"/>
    </xf>
    <xf numFmtId="1" fontId="8" fillId="0" borderId="6" xfId="0" applyNumberFormat="1" applyFont="1" applyBorder="1" applyAlignment="1">
      <alignment horizontal="center" vertical="center"/>
    </xf>
    <xf numFmtId="2" fontId="6" fillId="0" borderId="4" xfId="0" applyNumberFormat="1" applyFont="1" applyBorder="1" applyAlignment="1">
      <alignment horizontal="right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57"/>
  <sheetViews>
    <sheetView tabSelected="1" zoomScale="85" zoomScaleNormal="85" workbookViewId="0">
      <pane ySplit="9" topLeftCell="A130" activePane="bottomLeft" state="frozen"/>
      <selection pane="bottomLeft" activeCell="J149" sqref="J149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125" customWidth="1"/>
    <col min="13" max="14" width="8.85546875" style="125" customWidth="1"/>
    <col min="15" max="67" width="8.85546875" style="125"/>
  </cols>
  <sheetData>
    <row r="1" spans="1:67" ht="27" customHeight="1" thickTop="1" thickBot="1" x14ac:dyDescent="0.3">
      <c r="C1" s="1" t="s">
        <v>0</v>
      </c>
      <c r="D1" s="133">
        <f>K1</f>
        <v>130438122</v>
      </c>
      <c r="E1" s="135" t="s">
        <v>1</v>
      </c>
      <c r="F1" s="136"/>
      <c r="G1" s="136"/>
      <c r="H1" s="136"/>
      <c r="I1" s="136"/>
      <c r="J1" s="137"/>
      <c r="K1" s="129">
        <v>130438122</v>
      </c>
      <c r="L1" s="125" t="s">
        <v>199</v>
      </c>
    </row>
    <row r="2" spans="1:67" ht="16.5" customHeight="1" thickTop="1" thickBot="1" x14ac:dyDescent="0.3">
      <c r="K2" s="129">
        <v>130438119</v>
      </c>
      <c r="L2" s="125" t="s">
        <v>200</v>
      </c>
    </row>
    <row r="3" spans="1:67" ht="19.5" customHeight="1" thickTop="1" thickBot="1" x14ac:dyDescent="0.3">
      <c r="B3" s="32"/>
      <c r="C3" s="7" t="s">
        <v>2</v>
      </c>
      <c r="D3" s="132">
        <v>46216</v>
      </c>
      <c r="E3" s="7" t="s">
        <v>3</v>
      </c>
      <c r="F3" s="132">
        <f>D3+3</f>
        <v>46219</v>
      </c>
      <c r="G3" s="138" t="str">
        <f>VLOOKUP(D1,K:L,2,0)</f>
        <v>130438122 ООО "НОВОЕ ВРЕМЯ"  272151 Бердянский р-н 90  Трояны</v>
      </c>
      <c r="H3" s="136"/>
      <c r="I3" s="136"/>
      <c r="J3" s="137"/>
      <c r="K3" s="129">
        <v>130438120</v>
      </c>
      <c r="L3" s="125" t="s">
        <v>201</v>
      </c>
    </row>
    <row r="4" spans="1:67" ht="15.75" customHeight="1" thickTop="1" x14ac:dyDescent="0.25">
      <c r="K4" s="130">
        <v>130439104</v>
      </c>
      <c r="L4" s="125" t="s">
        <v>202</v>
      </c>
    </row>
    <row r="5" spans="1:67" x14ac:dyDescent="0.25">
      <c r="C5" s="7" t="s">
        <v>4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5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6</v>
      </c>
      <c r="D7" s="38" t="s">
        <v>7</v>
      </c>
      <c r="E7" s="11" t="s">
        <v>8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9</v>
      </c>
      <c r="B9" s="44" t="s">
        <v>10</v>
      </c>
      <c r="C9" s="12" t="s">
        <v>11</v>
      </c>
      <c r="D9" s="34" t="s">
        <v>12</v>
      </c>
      <c r="E9" s="26" t="s">
        <v>13</v>
      </c>
      <c r="F9" s="12" t="s">
        <v>14</v>
      </c>
      <c r="G9" s="12" t="s">
        <v>15</v>
      </c>
      <c r="H9" s="12" t="s">
        <v>16</v>
      </c>
      <c r="I9" s="12" t="s">
        <v>17</v>
      </c>
      <c r="J9" s="30" t="s">
        <v>18</v>
      </c>
      <c r="K9" s="28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  <c r="AD9" s="126"/>
      <c r="AE9" s="126"/>
      <c r="AF9" s="126"/>
      <c r="AG9" s="126"/>
      <c r="AH9" s="126"/>
      <c r="AI9" s="126"/>
      <c r="AJ9" s="126"/>
      <c r="AK9" s="126"/>
      <c r="AL9" s="126"/>
      <c r="AM9" s="126"/>
      <c r="AN9" s="126"/>
      <c r="AO9" s="126"/>
      <c r="AP9" s="126"/>
      <c r="AQ9" s="126"/>
      <c r="AR9" s="126"/>
      <c r="AS9" s="126"/>
      <c r="AT9" s="126"/>
      <c r="AU9" s="126"/>
      <c r="AV9" s="126"/>
      <c r="AW9" s="126"/>
      <c r="AX9" s="126"/>
      <c r="AY9" s="126"/>
      <c r="AZ9" s="126"/>
      <c r="BA9" s="126"/>
      <c r="BB9" s="126"/>
      <c r="BC9" s="126"/>
      <c r="BD9" s="126"/>
      <c r="BE9" s="126"/>
      <c r="BF9" s="126"/>
      <c r="BG9" s="126"/>
      <c r="BH9" s="126"/>
      <c r="BI9" s="126"/>
      <c r="BJ9" s="126"/>
      <c r="BK9" s="126"/>
      <c r="BL9" s="126"/>
      <c r="BM9" s="126"/>
      <c r="BN9" s="126"/>
      <c r="BO9" s="126"/>
    </row>
    <row r="10" spans="1:67" ht="16.5" customHeight="1" thickTop="1" thickBot="1" x14ac:dyDescent="0.3">
      <c r="A10" s="47"/>
      <c r="B10" s="42" t="s">
        <v>19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56" t="str">
        <f>RIGHT(D11,4)</f>
        <v>7523</v>
      </c>
      <c r="B11" s="53" t="s">
        <v>110</v>
      </c>
      <c r="C11" s="50" t="s">
        <v>21</v>
      </c>
      <c r="D11" s="51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52" t="s">
        <v>192</v>
      </c>
      <c r="K11" s="27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  <c r="AB11" s="128"/>
      <c r="AC11" s="128"/>
      <c r="AD11" s="128"/>
      <c r="AE11" s="128"/>
      <c r="AF11" s="128"/>
      <c r="AG11" s="128"/>
      <c r="AH11" s="128"/>
      <c r="AI11" s="128"/>
      <c r="AJ11" s="128"/>
      <c r="AK11" s="128"/>
      <c r="AL11" s="128"/>
      <c r="AM11" s="128"/>
      <c r="AN11" s="128"/>
      <c r="AO11" s="128"/>
      <c r="AP11" s="128"/>
      <c r="AQ11" s="128"/>
      <c r="AR11" s="128"/>
      <c r="AS11" s="128"/>
      <c r="AT11" s="128"/>
      <c r="AU11" s="128"/>
      <c r="AV11" s="128"/>
      <c r="AW11" s="128"/>
      <c r="AX11" s="128"/>
      <c r="AY11" s="127"/>
      <c r="AZ11" s="127"/>
      <c r="BA11" s="127"/>
      <c r="BB11" s="127"/>
      <c r="BC11" s="127"/>
      <c r="BD11" s="127"/>
      <c r="BE11" s="127"/>
      <c r="BF11" s="127"/>
      <c r="BG11" s="127"/>
      <c r="BH11" s="127"/>
      <c r="BI11" s="127"/>
      <c r="BJ11" s="127"/>
      <c r="BK11" s="127"/>
      <c r="BL11" s="127"/>
      <c r="BM11" s="127"/>
      <c r="BN11" s="127"/>
      <c r="BO11" s="127"/>
    </row>
    <row r="12" spans="1:67" s="15" customFormat="1" ht="16.5" customHeight="1" x14ac:dyDescent="0.25">
      <c r="A12" s="56" t="str">
        <f t="shared" ref="A12:A60" si="1">RIGHT(D12,4)</f>
        <v>6220</v>
      </c>
      <c r="B12" s="53" t="s">
        <v>36</v>
      </c>
      <c r="C12" s="50" t="s">
        <v>23</v>
      </c>
      <c r="D12" s="51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  <c r="AB12" s="128"/>
      <c r="AC12" s="128"/>
      <c r="AD12" s="128"/>
      <c r="AE12" s="128"/>
      <c r="AF12" s="128"/>
      <c r="AG12" s="128"/>
      <c r="AH12" s="128"/>
      <c r="AI12" s="128"/>
      <c r="AJ12" s="128"/>
      <c r="AK12" s="128"/>
      <c r="AL12" s="128"/>
      <c r="AM12" s="128"/>
      <c r="AN12" s="128"/>
      <c r="AO12" s="128"/>
      <c r="AP12" s="128"/>
      <c r="AQ12" s="128"/>
      <c r="AR12" s="128"/>
      <c r="AS12" s="128"/>
      <c r="AT12" s="128"/>
      <c r="AU12" s="128"/>
      <c r="AV12" s="128"/>
      <c r="AW12" s="128"/>
      <c r="AX12" s="128"/>
      <c r="AY12" s="127"/>
      <c r="AZ12" s="127"/>
      <c r="BA12" s="127"/>
      <c r="BB12" s="127"/>
      <c r="BC12" s="127"/>
      <c r="BD12" s="127"/>
      <c r="BE12" s="127"/>
      <c r="BF12" s="127"/>
      <c r="BG12" s="127"/>
      <c r="BH12" s="127"/>
      <c r="BI12" s="127"/>
      <c r="BJ12" s="127"/>
      <c r="BK12" s="127"/>
      <c r="BL12" s="127"/>
      <c r="BM12" s="127"/>
      <c r="BN12" s="127"/>
      <c r="BO12" s="127"/>
    </row>
    <row r="13" spans="1:67" s="15" customFormat="1" ht="16.5" customHeight="1" x14ac:dyDescent="0.25">
      <c r="A13" s="56" t="str">
        <f t="shared" si="1"/>
        <v>7539</v>
      </c>
      <c r="B13" s="53" t="s">
        <v>111</v>
      </c>
      <c r="C13" s="50" t="s">
        <v>21</v>
      </c>
      <c r="D13" s="51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52" t="s">
        <v>193</v>
      </c>
      <c r="K13" s="27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28"/>
      <c r="AC13" s="128"/>
      <c r="AD13" s="128"/>
      <c r="AE13" s="128"/>
      <c r="AF13" s="128"/>
      <c r="AG13" s="128"/>
      <c r="AH13" s="128"/>
      <c r="AI13" s="128"/>
      <c r="AJ13" s="128"/>
      <c r="AK13" s="128"/>
      <c r="AL13" s="128"/>
      <c r="AM13" s="128"/>
      <c r="AN13" s="128"/>
      <c r="AO13" s="128"/>
      <c r="AP13" s="128"/>
      <c r="AQ13" s="128"/>
      <c r="AR13" s="128"/>
      <c r="AS13" s="128"/>
      <c r="AT13" s="128"/>
      <c r="AU13" s="128"/>
      <c r="AV13" s="128"/>
      <c r="AW13" s="128"/>
      <c r="AX13" s="128"/>
      <c r="AY13" s="127"/>
      <c r="AZ13" s="127"/>
      <c r="BA13" s="127"/>
      <c r="BB13" s="127"/>
      <c r="BC13" s="127"/>
      <c r="BD13" s="127"/>
      <c r="BE13" s="127"/>
      <c r="BF13" s="127"/>
      <c r="BG13" s="127"/>
      <c r="BH13" s="127"/>
      <c r="BI13" s="127"/>
      <c r="BJ13" s="127"/>
      <c r="BK13" s="127"/>
      <c r="BL13" s="127"/>
      <c r="BM13" s="127"/>
      <c r="BN13" s="127"/>
      <c r="BO13" s="127"/>
    </row>
    <row r="14" spans="1:67" s="15" customFormat="1" ht="16.5" customHeight="1" x14ac:dyDescent="0.25">
      <c r="A14" s="56" t="str">
        <f t="shared" si="1"/>
        <v>7536</v>
      </c>
      <c r="B14" s="53" t="s">
        <v>112</v>
      </c>
      <c r="C14" s="50" t="s">
        <v>23</v>
      </c>
      <c r="D14" s="51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52" t="s">
        <v>194</v>
      </c>
      <c r="K14" s="27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  <c r="AD14" s="128"/>
      <c r="AE14" s="128"/>
      <c r="AF14" s="128"/>
      <c r="AG14" s="128"/>
      <c r="AH14" s="128"/>
      <c r="AI14" s="128"/>
      <c r="AJ14" s="128"/>
      <c r="AK14" s="128"/>
      <c r="AL14" s="128"/>
      <c r="AM14" s="128"/>
      <c r="AN14" s="128"/>
      <c r="AO14" s="128"/>
      <c r="AP14" s="128"/>
      <c r="AQ14" s="128"/>
      <c r="AR14" s="128"/>
      <c r="AS14" s="128"/>
      <c r="AT14" s="128"/>
      <c r="AU14" s="128"/>
      <c r="AV14" s="128"/>
      <c r="AW14" s="128"/>
      <c r="AX14" s="128"/>
      <c r="AY14" s="127"/>
      <c r="AZ14" s="127"/>
      <c r="BA14" s="127"/>
      <c r="BB14" s="127"/>
      <c r="BC14" s="127"/>
      <c r="BD14" s="127"/>
      <c r="BE14" s="127"/>
      <c r="BF14" s="127"/>
      <c r="BG14" s="127"/>
      <c r="BH14" s="127"/>
      <c r="BI14" s="127"/>
      <c r="BJ14" s="127"/>
      <c r="BK14" s="127"/>
      <c r="BL14" s="127"/>
      <c r="BM14" s="127"/>
      <c r="BN14" s="127"/>
      <c r="BO14" s="127"/>
    </row>
    <row r="15" spans="1:67" ht="16.5" customHeight="1" x14ac:dyDescent="0.25">
      <c r="A15" s="56" t="str">
        <f t="shared" si="1"/>
        <v>6861</v>
      </c>
      <c r="B15" s="53" t="s">
        <v>26</v>
      </c>
      <c r="C15" s="50" t="s">
        <v>23</v>
      </c>
      <c r="D15" s="51">
        <v>1001015646861</v>
      </c>
      <c r="E15" s="24"/>
      <c r="F15" s="23">
        <v>1.95</v>
      </c>
      <c r="G15" s="23">
        <f>E15</f>
        <v>0</v>
      </c>
      <c r="H15" s="14">
        <v>3.9</v>
      </c>
      <c r="I15" s="14">
        <v>60</v>
      </c>
      <c r="J15" s="29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  <c r="AB15" s="128"/>
      <c r="AC15" s="128"/>
      <c r="AD15" s="128"/>
      <c r="AE15" s="128"/>
      <c r="AF15" s="128"/>
      <c r="AG15" s="128"/>
      <c r="AH15" s="128"/>
      <c r="AI15" s="128"/>
      <c r="AJ15" s="128"/>
      <c r="AK15" s="128"/>
      <c r="AL15" s="128"/>
      <c r="AM15" s="128"/>
      <c r="AN15" s="128"/>
      <c r="AO15" s="128"/>
      <c r="AP15" s="128"/>
      <c r="AQ15" s="128"/>
      <c r="AR15" s="128"/>
      <c r="AS15" s="128"/>
      <c r="AT15" s="128"/>
      <c r="AU15" s="128"/>
      <c r="AV15" s="128"/>
      <c r="AW15" s="128"/>
      <c r="AX15" s="128"/>
    </row>
    <row r="16" spans="1:67" ht="16.5" customHeight="1" x14ac:dyDescent="0.25">
      <c r="A16" s="56" t="str">
        <f t="shared" si="1"/>
        <v>6498</v>
      </c>
      <c r="B16" s="53" t="s">
        <v>35</v>
      </c>
      <c r="C16" s="50" t="s">
        <v>23</v>
      </c>
      <c r="D16" s="51">
        <v>1001012456498</v>
      </c>
      <c r="E16" s="24"/>
      <c r="F16" s="23">
        <v>1</v>
      </c>
      <c r="G16" s="23">
        <f t="shared" ref="G16:G17" si="2">E16</f>
        <v>0</v>
      </c>
      <c r="H16" s="14">
        <v>4</v>
      </c>
      <c r="I16" s="14">
        <v>60</v>
      </c>
      <c r="J16" s="29"/>
      <c r="L16" s="128"/>
    </row>
    <row r="17" spans="1:67" ht="16.5" customHeight="1" x14ac:dyDescent="0.25">
      <c r="A17" s="56" t="str">
        <f t="shared" si="1"/>
        <v>4063</v>
      </c>
      <c r="B17" s="53" t="s">
        <v>22</v>
      </c>
      <c r="C17" s="50" t="s">
        <v>23</v>
      </c>
      <c r="D17" s="51">
        <v>1001012484063</v>
      </c>
      <c r="E17" s="24"/>
      <c r="F17" s="23">
        <v>1.35</v>
      </c>
      <c r="G17" s="23">
        <f t="shared" si="2"/>
        <v>0</v>
      </c>
      <c r="H17" s="14">
        <v>4.05</v>
      </c>
      <c r="I17" s="14">
        <v>60</v>
      </c>
      <c r="J17" s="29"/>
      <c r="L17" s="128"/>
    </row>
    <row r="18" spans="1:67" ht="16.5" customHeight="1" x14ac:dyDescent="0.25">
      <c r="A18" s="56" t="str">
        <f t="shared" si="1"/>
        <v>6333</v>
      </c>
      <c r="B18" s="53" t="s">
        <v>24</v>
      </c>
      <c r="C18" s="50" t="s">
        <v>21</v>
      </c>
      <c r="D18" s="51">
        <v>1001012486333</v>
      </c>
      <c r="E18" s="24"/>
      <c r="F18" s="23">
        <v>0.4</v>
      </c>
      <c r="G18" s="23">
        <f>E18*F18</f>
        <v>0</v>
      </c>
      <c r="H18" s="14">
        <v>3.2</v>
      </c>
      <c r="I18" s="14">
        <v>60</v>
      </c>
      <c r="J18" s="29"/>
      <c r="L18" s="128"/>
    </row>
    <row r="19" spans="1:67" ht="16.5" customHeight="1" x14ac:dyDescent="0.25">
      <c r="A19" s="56" t="str">
        <f t="shared" si="1"/>
        <v>4574</v>
      </c>
      <c r="B19" s="53" t="s">
        <v>25</v>
      </c>
      <c r="C19" s="50" t="s">
        <v>23</v>
      </c>
      <c r="D19" s="51">
        <v>1001012634574</v>
      </c>
      <c r="E19" s="24"/>
      <c r="F19" s="23">
        <v>1.35</v>
      </c>
      <c r="G19" s="23">
        <f>E19</f>
        <v>0</v>
      </c>
      <c r="H19" s="14">
        <v>4.05</v>
      </c>
      <c r="I19" s="14">
        <v>60</v>
      </c>
      <c r="J19" s="29"/>
      <c r="L19" s="128"/>
    </row>
    <row r="20" spans="1:67" s="60" customFormat="1" ht="16.5" customHeight="1" x14ac:dyDescent="0.25">
      <c r="A20" s="56" t="str">
        <f t="shared" si="1"/>
        <v>4813</v>
      </c>
      <c r="B20" s="54" t="s">
        <v>30</v>
      </c>
      <c r="C20" s="55" t="s">
        <v>23</v>
      </c>
      <c r="D20" s="57">
        <v>1001012564813</v>
      </c>
      <c r="E20" s="24"/>
      <c r="F20" s="58">
        <v>1.35</v>
      </c>
      <c r="G20" s="23">
        <f>E20</f>
        <v>0</v>
      </c>
      <c r="H20" s="59">
        <v>4.05</v>
      </c>
      <c r="I20" s="59">
        <v>60</v>
      </c>
      <c r="J20" s="59"/>
      <c r="K20" s="27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  <c r="AB20" s="128"/>
      <c r="AC20" s="128"/>
      <c r="AD20" s="128"/>
      <c r="AE20" s="128"/>
      <c r="AF20" s="128"/>
      <c r="AG20" s="128"/>
      <c r="AH20" s="128"/>
      <c r="AI20" s="128"/>
      <c r="AJ20" s="128"/>
      <c r="AK20" s="128"/>
      <c r="AL20" s="128"/>
      <c r="AM20" s="128"/>
      <c r="AN20" s="128"/>
      <c r="AO20" s="128"/>
      <c r="AP20" s="128"/>
      <c r="AQ20" s="128"/>
      <c r="AR20" s="128"/>
      <c r="AS20" s="128"/>
      <c r="AT20" s="128"/>
      <c r="AU20" s="128"/>
      <c r="AV20" s="128"/>
      <c r="AW20" s="128"/>
      <c r="AX20" s="128"/>
      <c r="AY20" s="128"/>
      <c r="AZ20" s="128"/>
      <c r="BA20" s="128"/>
      <c r="BB20" s="128"/>
      <c r="BC20" s="128"/>
      <c r="BD20" s="128"/>
      <c r="BE20" s="128"/>
      <c r="BF20" s="128"/>
      <c r="BG20" s="128"/>
      <c r="BH20" s="128"/>
      <c r="BI20" s="128"/>
      <c r="BJ20" s="128"/>
      <c r="BK20" s="128"/>
      <c r="BL20" s="128"/>
      <c r="BM20" s="128"/>
      <c r="BN20" s="128"/>
      <c r="BO20" s="128"/>
    </row>
    <row r="21" spans="1:67" s="60" customFormat="1" ht="16.5" customHeight="1" x14ac:dyDescent="0.25">
      <c r="A21" s="56" t="str">
        <f t="shared" si="1"/>
        <v>6392</v>
      </c>
      <c r="B21" s="54" t="s">
        <v>114</v>
      </c>
      <c r="C21" s="55" t="s">
        <v>21</v>
      </c>
      <c r="D21" s="57">
        <v>1001012566392</v>
      </c>
      <c r="E21" s="24"/>
      <c r="F21" s="58">
        <v>0.4</v>
      </c>
      <c r="G21" s="23">
        <f>E21*F21</f>
        <v>0</v>
      </c>
      <c r="H21" s="59">
        <v>3.2</v>
      </c>
      <c r="I21" s="59">
        <v>60</v>
      </c>
      <c r="J21" s="59"/>
      <c r="K21" s="27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  <c r="AB21" s="128"/>
      <c r="AC21" s="128"/>
      <c r="AD21" s="128"/>
      <c r="AE21" s="128"/>
      <c r="AF21" s="128"/>
      <c r="AG21" s="128"/>
      <c r="AH21" s="128"/>
      <c r="AI21" s="128"/>
      <c r="AJ21" s="128"/>
      <c r="AK21" s="128"/>
      <c r="AL21" s="128"/>
      <c r="AM21" s="128"/>
      <c r="AN21" s="128"/>
      <c r="AO21" s="128"/>
      <c r="AP21" s="128"/>
      <c r="AQ21" s="128"/>
      <c r="AR21" s="128"/>
      <c r="AS21" s="128"/>
      <c r="AT21" s="128"/>
      <c r="AU21" s="128"/>
      <c r="AV21" s="128"/>
      <c r="AW21" s="128"/>
      <c r="AX21" s="128"/>
      <c r="AY21" s="128"/>
      <c r="AZ21" s="128"/>
      <c r="BA21" s="128"/>
      <c r="BB21" s="128"/>
      <c r="BC21" s="128"/>
      <c r="BD21" s="128"/>
      <c r="BE21" s="128"/>
      <c r="BF21" s="128"/>
      <c r="BG21" s="128"/>
      <c r="BH21" s="128"/>
      <c r="BI21" s="128"/>
      <c r="BJ21" s="128"/>
      <c r="BK21" s="128"/>
      <c r="BL21" s="128"/>
      <c r="BM21" s="128"/>
      <c r="BN21" s="128"/>
      <c r="BO21" s="128"/>
    </row>
    <row r="22" spans="1:67" s="60" customFormat="1" ht="16.5" customHeight="1" x14ac:dyDescent="0.25">
      <c r="A22" s="56" t="str">
        <f t="shared" si="1"/>
        <v>5851</v>
      </c>
      <c r="B22" s="54" t="s">
        <v>115</v>
      </c>
      <c r="C22" s="55" t="s">
        <v>23</v>
      </c>
      <c r="D22" s="57">
        <v>1001012505851</v>
      </c>
      <c r="E22" s="24"/>
      <c r="F22" s="58">
        <v>1.35</v>
      </c>
      <c r="G22" s="23">
        <f>E22</f>
        <v>0</v>
      </c>
      <c r="H22" s="59">
        <v>4.05</v>
      </c>
      <c r="I22" s="59">
        <v>60</v>
      </c>
      <c r="J22" s="59"/>
      <c r="K22" s="27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  <c r="AB22" s="128"/>
      <c r="AC22" s="128"/>
      <c r="AD22" s="128"/>
      <c r="AE22" s="128"/>
      <c r="AF22" s="128"/>
      <c r="AG22" s="128"/>
      <c r="AH22" s="128"/>
      <c r="AI22" s="128"/>
      <c r="AJ22" s="128"/>
      <c r="AK22" s="128"/>
      <c r="AL22" s="128"/>
      <c r="AM22" s="128"/>
      <c r="AN22" s="128"/>
      <c r="AO22" s="128"/>
      <c r="AP22" s="128"/>
      <c r="AQ22" s="128"/>
      <c r="AR22" s="128"/>
      <c r="AS22" s="128"/>
      <c r="AT22" s="128"/>
      <c r="AU22" s="128"/>
      <c r="AV22" s="128"/>
      <c r="AW22" s="128"/>
      <c r="AX22" s="128"/>
      <c r="AY22" s="128"/>
      <c r="AZ22" s="128"/>
      <c r="BA22" s="128"/>
      <c r="BB22" s="128"/>
      <c r="BC22" s="128"/>
      <c r="BD22" s="128"/>
      <c r="BE22" s="128"/>
      <c r="BF22" s="128"/>
      <c r="BG22" s="128"/>
      <c r="BH22" s="128"/>
      <c r="BI22" s="128"/>
      <c r="BJ22" s="128"/>
      <c r="BK22" s="128"/>
      <c r="BL22" s="128"/>
      <c r="BM22" s="128"/>
      <c r="BN22" s="128"/>
      <c r="BO22" s="128"/>
    </row>
    <row r="23" spans="1:67" s="60" customFormat="1" ht="16.5" customHeight="1" x14ac:dyDescent="0.25">
      <c r="A23" s="56" t="str">
        <f t="shared" si="1"/>
        <v>7632</v>
      </c>
      <c r="B23" s="54" t="s">
        <v>204</v>
      </c>
      <c r="C23" s="55" t="s">
        <v>21</v>
      </c>
      <c r="D23" s="57">
        <v>1001012507632</v>
      </c>
      <c r="E23" s="24"/>
      <c r="F23" s="58">
        <v>0.4</v>
      </c>
      <c r="G23" s="23">
        <f>E23*F23</f>
        <v>0</v>
      </c>
      <c r="H23" s="59">
        <v>3.2</v>
      </c>
      <c r="I23" s="59">
        <v>60</v>
      </c>
      <c r="J23" s="52" t="s">
        <v>203</v>
      </c>
      <c r="K23" s="27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28"/>
      <c r="AC23" s="128"/>
      <c r="AD23" s="128"/>
      <c r="AE23" s="128"/>
      <c r="AF23" s="128"/>
      <c r="AG23" s="128"/>
      <c r="AH23" s="128"/>
      <c r="AI23" s="128"/>
      <c r="AJ23" s="128"/>
      <c r="AK23" s="128"/>
      <c r="AL23" s="128"/>
      <c r="AM23" s="128"/>
      <c r="AN23" s="128"/>
      <c r="AO23" s="128"/>
      <c r="AP23" s="128"/>
      <c r="AQ23" s="128"/>
      <c r="AR23" s="128"/>
      <c r="AS23" s="128"/>
      <c r="AT23" s="128"/>
      <c r="AU23" s="128"/>
      <c r="AV23" s="128"/>
      <c r="AW23" s="128"/>
      <c r="AX23" s="128"/>
      <c r="AY23" s="128"/>
      <c r="AZ23" s="128"/>
      <c r="BA23" s="128"/>
      <c r="BB23" s="128"/>
      <c r="BC23" s="128"/>
      <c r="BD23" s="128"/>
      <c r="BE23" s="128"/>
      <c r="BF23" s="128"/>
      <c r="BG23" s="128"/>
      <c r="BH23" s="128"/>
      <c r="BI23" s="128"/>
      <c r="BJ23" s="128"/>
      <c r="BK23" s="128"/>
      <c r="BL23" s="128"/>
      <c r="BM23" s="128"/>
      <c r="BN23" s="128"/>
      <c r="BO23" s="128"/>
    </row>
    <row r="24" spans="1:67" ht="16.5" customHeight="1" x14ac:dyDescent="0.25">
      <c r="A24" s="56" t="str">
        <f t="shared" si="1"/>
        <v>4561</v>
      </c>
      <c r="B24" s="53" t="s">
        <v>116</v>
      </c>
      <c r="C24" s="50" t="s">
        <v>23</v>
      </c>
      <c r="D24" s="51">
        <v>1001010014561</v>
      </c>
      <c r="E24" s="24"/>
      <c r="F24" s="23">
        <v>1.35</v>
      </c>
      <c r="G24" s="23">
        <f t="shared" ref="G24:G25" si="3">E24</f>
        <v>0</v>
      </c>
      <c r="H24" s="14">
        <v>4.05</v>
      </c>
      <c r="I24" s="14">
        <v>60</v>
      </c>
      <c r="J24" s="29"/>
      <c r="L24" s="128"/>
    </row>
    <row r="25" spans="1:67" ht="16.5" customHeight="1" x14ac:dyDescent="0.25">
      <c r="A25" s="56" t="str">
        <f t="shared" si="1"/>
        <v>7555</v>
      </c>
      <c r="B25" s="53" t="s">
        <v>117</v>
      </c>
      <c r="C25" s="50" t="s">
        <v>23</v>
      </c>
      <c r="D25" s="51">
        <v>1001012497555</v>
      </c>
      <c r="E25" s="24"/>
      <c r="F25" s="23">
        <v>1.5</v>
      </c>
      <c r="G25" s="23">
        <f t="shared" si="3"/>
        <v>0</v>
      </c>
      <c r="H25" s="14">
        <v>3</v>
      </c>
      <c r="I25" s="14">
        <v>30</v>
      </c>
      <c r="J25" s="52" t="s">
        <v>195</v>
      </c>
      <c r="L25" s="128"/>
    </row>
    <row r="26" spans="1:67" ht="16.5" customHeight="1" x14ac:dyDescent="0.25">
      <c r="A26" s="56" t="str">
        <f t="shared" si="1"/>
        <v>6325</v>
      </c>
      <c r="B26" s="53" t="s">
        <v>33</v>
      </c>
      <c r="C26" s="50" t="s">
        <v>21</v>
      </c>
      <c r="D26" s="51">
        <v>1001010106325</v>
      </c>
      <c r="E26" s="24"/>
      <c r="F26" s="23">
        <v>0.4</v>
      </c>
      <c r="G26" s="23">
        <f>E26*F26</f>
        <v>0</v>
      </c>
      <c r="H26" s="14">
        <v>3.2</v>
      </c>
      <c r="I26" s="14">
        <v>60</v>
      </c>
      <c r="J26" s="29"/>
      <c r="L26" s="128"/>
    </row>
    <row r="27" spans="1:67" ht="16.5" customHeight="1" x14ac:dyDescent="0.25">
      <c r="A27" s="56" t="str">
        <f t="shared" si="1"/>
        <v>7556</v>
      </c>
      <c r="B27" s="53" t="s">
        <v>118</v>
      </c>
      <c r="C27" s="50" t="s">
        <v>23</v>
      </c>
      <c r="D27" s="51">
        <v>1001017597556</v>
      </c>
      <c r="E27" s="24"/>
      <c r="F27" s="23">
        <v>1.5</v>
      </c>
      <c r="G27" s="23">
        <f t="shared" ref="G27:G28" si="4">E27</f>
        <v>0</v>
      </c>
      <c r="H27" s="14">
        <v>3</v>
      </c>
      <c r="I27" s="14">
        <v>30</v>
      </c>
      <c r="J27" s="52" t="s">
        <v>196</v>
      </c>
      <c r="L27" s="128"/>
    </row>
    <row r="28" spans="1:67" s="60" customFormat="1" ht="16.5" customHeight="1" x14ac:dyDescent="0.25">
      <c r="A28" s="56" t="str">
        <f t="shared" si="1"/>
        <v>8014</v>
      </c>
      <c r="B28" s="54" t="s">
        <v>120</v>
      </c>
      <c r="C28" s="55" t="s">
        <v>23</v>
      </c>
      <c r="D28" s="69">
        <v>1001010108014</v>
      </c>
      <c r="E28" s="24"/>
      <c r="F28" s="58">
        <v>1.35</v>
      </c>
      <c r="G28" s="23">
        <f t="shared" si="4"/>
        <v>0</v>
      </c>
      <c r="H28" s="59">
        <v>5.4</v>
      </c>
      <c r="I28" s="59">
        <v>60</v>
      </c>
      <c r="J28" s="59"/>
      <c r="K28" s="27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  <c r="AD28" s="128"/>
      <c r="AE28" s="128"/>
      <c r="AF28" s="128"/>
      <c r="AG28" s="128"/>
      <c r="AH28" s="128"/>
      <c r="AI28" s="128"/>
      <c r="AJ28" s="128"/>
      <c r="AK28" s="128"/>
      <c r="AL28" s="128"/>
      <c r="AM28" s="128"/>
      <c r="AN28" s="128"/>
      <c r="AO28" s="128"/>
      <c r="AP28" s="128"/>
      <c r="AQ28" s="128"/>
      <c r="AR28" s="128"/>
      <c r="AS28" s="128"/>
      <c r="AT28" s="128"/>
      <c r="AU28" s="128"/>
      <c r="AV28" s="128"/>
      <c r="AW28" s="128"/>
      <c r="AX28" s="128"/>
      <c r="AY28" s="128"/>
      <c r="AZ28" s="128"/>
      <c r="BA28" s="128"/>
      <c r="BB28" s="128"/>
      <c r="BC28" s="128"/>
      <c r="BD28" s="128"/>
      <c r="BE28" s="128"/>
      <c r="BF28" s="128"/>
      <c r="BG28" s="128"/>
      <c r="BH28" s="128"/>
      <c r="BI28" s="128"/>
      <c r="BJ28" s="128"/>
      <c r="BK28" s="128"/>
      <c r="BL28" s="128"/>
      <c r="BM28" s="128"/>
      <c r="BN28" s="128"/>
      <c r="BO28" s="128"/>
    </row>
    <row r="29" spans="1:67" s="60" customFormat="1" ht="16.5" customHeight="1" x14ac:dyDescent="0.25">
      <c r="A29" s="56" t="str">
        <f t="shared" si="1"/>
        <v>7343</v>
      </c>
      <c r="B29" s="54" t="s">
        <v>32</v>
      </c>
      <c r="C29" s="55" t="s">
        <v>21</v>
      </c>
      <c r="D29" s="69">
        <v>1001016747343</v>
      </c>
      <c r="E29" s="24"/>
      <c r="F29" s="58">
        <v>0.4</v>
      </c>
      <c r="G29" s="23">
        <f t="shared" ref="G29:G31" si="5">E29*F29</f>
        <v>0</v>
      </c>
      <c r="H29" s="59">
        <v>3.2</v>
      </c>
      <c r="I29" s="59">
        <v>60</v>
      </c>
      <c r="J29" s="59"/>
      <c r="K29" s="27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  <c r="AD29" s="128"/>
      <c r="AE29" s="128"/>
      <c r="AF29" s="128"/>
      <c r="AG29" s="128"/>
      <c r="AH29" s="128"/>
      <c r="AI29" s="128"/>
      <c r="AJ29" s="128"/>
      <c r="AK29" s="128"/>
      <c r="AL29" s="128"/>
      <c r="AM29" s="128"/>
      <c r="AN29" s="128"/>
      <c r="AO29" s="128"/>
      <c r="AP29" s="128"/>
      <c r="AQ29" s="128"/>
      <c r="AR29" s="128"/>
      <c r="AS29" s="128"/>
      <c r="AT29" s="128"/>
      <c r="AU29" s="128"/>
      <c r="AV29" s="128"/>
      <c r="AW29" s="128"/>
      <c r="AX29" s="128"/>
      <c r="AY29" s="128"/>
      <c r="AZ29" s="128"/>
      <c r="BA29" s="128"/>
      <c r="BB29" s="128"/>
      <c r="BC29" s="128"/>
      <c r="BD29" s="128"/>
      <c r="BE29" s="128"/>
      <c r="BF29" s="128"/>
      <c r="BG29" s="128"/>
      <c r="BH29" s="128"/>
      <c r="BI29" s="128"/>
      <c r="BJ29" s="128"/>
      <c r="BK29" s="128"/>
      <c r="BL29" s="128"/>
      <c r="BM29" s="128"/>
      <c r="BN29" s="128"/>
      <c r="BO29" s="128"/>
    </row>
    <row r="30" spans="1:67" s="60" customFormat="1" ht="16.5" customHeight="1" x14ac:dyDescent="0.25">
      <c r="A30" s="56" t="str">
        <f t="shared" si="1"/>
        <v>6797</v>
      </c>
      <c r="B30" s="54" t="s">
        <v>121</v>
      </c>
      <c r="C30" s="55" t="s">
        <v>21</v>
      </c>
      <c r="D30" s="69">
        <v>1001015026797</v>
      </c>
      <c r="E30" s="24"/>
      <c r="F30" s="58">
        <v>0.4</v>
      </c>
      <c r="G30" s="23">
        <f t="shared" si="5"/>
        <v>0</v>
      </c>
      <c r="H30" s="59">
        <v>3.2</v>
      </c>
      <c r="I30" s="59">
        <v>60</v>
      </c>
      <c r="J30" s="59"/>
      <c r="K30" s="27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  <c r="AC30" s="128"/>
      <c r="AD30" s="128"/>
      <c r="AE30" s="128"/>
      <c r="AF30" s="128"/>
      <c r="AG30" s="128"/>
      <c r="AH30" s="128"/>
      <c r="AI30" s="128"/>
      <c r="AJ30" s="128"/>
      <c r="AK30" s="128"/>
      <c r="AL30" s="128"/>
      <c r="AM30" s="128"/>
      <c r="AN30" s="128"/>
      <c r="AO30" s="128"/>
      <c r="AP30" s="128"/>
      <c r="AQ30" s="128"/>
      <c r="AR30" s="128"/>
      <c r="AS30" s="128"/>
      <c r="AT30" s="128"/>
      <c r="AU30" s="128"/>
      <c r="AV30" s="128"/>
      <c r="AW30" s="128"/>
      <c r="AX30" s="128"/>
      <c r="AY30" s="128"/>
      <c r="AZ30" s="128"/>
      <c r="BA30" s="128"/>
      <c r="BB30" s="128"/>
      <c r="BC30" s="128"/>
      <c r="BD30" s="128"/>
      <c r="BE30" s="128"/>
      <c r="BF30" s="128"/>
      <c r="BG30" s="128"/>
      <c r="BH30" s="128"/>
      <c r="BI30" s="128"/>
      <c r="BJ30" s="128"/>
      <c r="BK30" s="128"/>
      <c r="BL30" s="128"/>
      <c r="BM30" s="128"/>
      <c r="BN30" s="128"/>
      <c r="BO30" s="128"/>
    </row>
    <row r="31" spans="1:67" s="60" customFormat="1" ht="16.5" customHeight="1" thickBot="1" x14ac:dyDescent="0.3">
      <c r="A31" s="56" t="str">
        <f t="shared" si="1"/>
        <v>7231</v>
      </c>
      <c r="B31" s="54" t="s">
        <v>34</v>
      </c>
      <c r="C31" s="55" t="s">
        <v>21</v>
      </c>
      <c r="D31" s="69">
        <v>1001013957231</v>
      </c>
      <c r="E31" s="24"/>
      <c r="F31" s="58">
        <v>0.3</v>
      </c>
      <c r="G31" s="23">
        <f t="shared" si="5"/>
        <v>0</v>
      </c>
      <c r="H31" s="59">
        <v>2.4</v>
      </c>
      <c r="I31" s="59">
        <v>60</v>
      </c>
      <c r="J31" s="59"/>
      <c r="K31" s="27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  <c r="AC31" s="128"/>
      <c r="AD31" s="128"/>
      <c r="AE31" s="128"/>
      <c r="AF31" s="128"/>
      <c r="AG31" s="128"/>
      <c r="AH31" s="128"/>
      <c r="AI31" s="128"/>
      <c r="AJ31" s="128"/>
      <c r="AK31" s="128"/>
      <c r="AL31" s="128"/>
      <c r="AM31" s="128"/>
      <c r="AN31" s="128"/>
      <c r="AO31" s="128"/>
      <c r="AP31" s="128"/>
      <c r="AQ31" s="128"/>
      <c r="AR31" s="128"/>
      <c r="AS31" s="128"/>
      <c r="AT31" s="128"/>
      <c r="AU31" s="128"/>
      <c r="AV31" s="128"/>
      <c r="AW31" s="128"/>
      <c r="AX31" s="128"/>
      <c r="AY31" s="128"/>
      <c r="AZ31" s="128"/>
      <c r="BA31" s="128"/>
      <c r="BB31" s="128"/>
      <c r="BC31" s="128"/>
      <c r="BD31" s="128"/>
      <c r="BE31" s="128"/>
      <c r="BF31" s="128"/>
      <c r="BG31" s="128"/>
      <c r="BH31" s="128"/>
      <c r="BI31" s="128"/>
      <c r="BJ31" s="128"/>
      <c r="BK31" s="128"/>
      <c r="BL31" s="128"/>
      <c r="BM31" s="128"/>
      <c r="BN31" s="128"/>
      <c r="BO31" s="128"/>
    </row>
    <row r="32" spans="1:67" ht="16.5" customHeight="1" thickTop="1" thickBot="1" x14ac:dyDescent="0.3">
      <c r="A32" s="47" t="s">
        <v>109</v>
      </c>
      <c r="B32" s="42" t="s">
        <v>37</v>
      </c>
      <c r="C32" s="42"/>
      <c r="D32" s="42"/>
      <c r="E32" s="42"/>
      <c r="F32" s="41"/>
      <c r="G32" s="42"/>
      <c r="H32" s="42"/>
      <c r="I32" s="42"/>
      <c r="J32" s="43"/>
      <c r="L32" s="128"/>
    </row>
    <row r="33" spans="1:67" s="60" customFormat="1" ht="16.5" customHeight="1" thickTop="1" x14ac:dyDescent="0.25">
      <c r="A33" s="56" t="str">
        <f t="shared" si="1"/>
        <v>6602</v>
      </c>
      <c r="B33" s="54" t="s">
        <v>179</v>
      </c>
      <c r="C33" s="55" t="s">
        <v>21</v>
      </c>
      <c r="D33" s="69">
        <v>1001021966602</v>
      </c>
      <c r="E33" s="24"/>
      <c r="F33" s="58">
        <v>0.35</v>
      </c>
      <c r="G33" s="23">
        <f t="shared" ref="G33:G36" si="6">E33*F33</f>
        <v>0</v>
      </c>
      <c r="H33" s="59">
        <v>2.8</v>
      </c>
      <c r="I33" s="59">
        <v>45</v>
      </c>
      <c r="J33" s="59"/>
      <c r="K33" s="27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  <c r="AD33" s="128"/>
      <c r="AE33" s="128"/>
      <c r="AF33" s="128"/>
      <c r="AG33" s="128"/>
      <c r="AH33" s="128"/>
      <c r="AI33" s="128"/>
      <c r="AJ33" s="128"/>
      <c r="AK33" s="128"/>
      <c r="AL33" s="128"/>
      <c r="AM33" s="128"/>
      <c r="AN33" s="128"/>
      <c r="AO33" s="128"/>
      <c r="AP33" s="128"/>
      <c r="AQ33" s="128"/>
      <c r="AR33" s="128"/>
      <c r="AS33" s="128"/>
      <c r="AT33" s="128"/>
      <c r="AU33" s="128"/>
      <c r="AV33" s="128"/>
      <c r="AW33" s="128"/>
      <c r="AX33" s="128"/>
      <c r="AY33" s="128"/>
      <c r="AZ33" s="128"/>
      <c r="BA33" s="128"/>
      <c r="BB33" s="128"/>
      <c r="BC33" s="128"/>
      <c r="BD33" s="128"/>
      <c r="BE33" s="128"/>
      <c r="BF33" s="128"/>
      <c r="BG33" s="128"/>
      <c r="BH33" s="128"/>
      <c r="BI33" s="128"/>
      <c r="BJ33" s="128"/>
      <c r="BK33" s="128"/>
      <c r="BL33" s="128"/>
      <c r="BM33" s="128"/>
      <c r="BN33" s="128"/>
      <c r="BO33" s="128"/>
    </row>
    <row r="34" spans="1:67" s="60" customFormat="1" ht="16.5" customHeight="1" x14ac:dyDescent="0.25">
      <c r="A34" s="56" t="str">
        <f t="shared" si="1"/>
        <v>7601</v>
      </c>
      <c r="B34" s="54" t="s">
        <v>181</v>
      </c>
      <c r="C34" s="55" t="s">
        <v>21</v>
      </c>
      <c r="D34" s="69">
        <v>1001025767601</v>
      </c>
      <c r="E34" s="24"/>
      <c r="F34" s="58">
        <v>0.26400000000000001</v>
      </c>
      <c r="G34" s="23">
        <f t="shared" si="6"/>
        <v>0</v>
      </c>
      <c r="H34" s="59">
        <v>1.58</v>
      </c>
      <c r="I34" s="59">
        <v>30</v>
      </c>
      <c r="J34" s="59"/>
      <c r="K34" s="27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  <c r="AD34" s="128"/>
      <c r="AE34" s="128"/>
      <c r="AF34" s="128"/>
      <c r="AG34" s="128"/>
      <c r="AH34" s="128"/>
      <c r="AI34" s="128"/>
      <c r="AJ34" s="128"/>
      <c r="AK34" s="128"/>
      <c r="AL34" s="128"/>
      <c r="AM34" s="128"/>
      <c r="AN34" s="128"/>
      <c r="AO34" s="128"/>
      <c r="AP34" s="128"/>
      <c r="AQ34" s="128"/>
      <c r="AR34" s="128"/>
      <c r="AS34" s="128"/>
      <c r="AT34" s="128"/>
      <c r="AU34" s="128"/>
      <c r="AV34" s="128"/>
      <c r="AW34" s="128"/>
      <c r="AX34" s="128"/>
      <c r="AY34" s="128"/>
      <c r="AZ34" s="128"/>
      <c r="BA34" s="128"/>
      <c r="BB34" s="128"/>
      <c r="BC34" s="128"/>
      <c r="BD34" s="128"/>
      <c r="BE34" s="128"/>
      <c r="BF34" s="128"/>
      <c r="BG34" s="128"/>
      <c r="BH34" s="128"/>
      <c r="BI34" s="128"/>
      <c r="BJ34" s="128"/>
      <c r="BK34" s="128"/>
      <c r="BL34" s="128"/>
      <c r="BM34" s="128"/>
      <c r="BN34" s="128"/>
      <c r="BO34" s="128"/>
    </row>
    <row r="35" spans="1:67" s="60" customFormat="1" ht="16.5" customHeight="1" x14ac:dyDescent="0.25">
      <c r="A35" s="56" t="str">
        <f t="shared" si="1"/>
        <v>7461</v>
      </c>
      <c r="B35" s="54" t="s">
        <v>222</v>
      </c>
      <c r="C35" s="55" t="s">
        <v>21</v>
      </c>
      <c r="D35" s="69">
        <v>1001025767461</v>
      </c>
      <c r="E35" s="24"/>
      <c r="F35" s="58">
        <v>0.33</v>
      </c>
      <c r="G35" s="23">
        <f t="shared" si="6"/>
        <v>0</v>
      </c>
      <c r="H35" s="59">
        <v>1.98</v>
      </c>
      <c r="I35" s="59">
        <v>30</v>
      </c>
      <c r="J35" s="52" t="s">
        <v>228</v>
      </c>
      <c r="K35" s="27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28"/>
      <c r="AE35" s="128"/>
      <c r="AF35" s="128"/>
      <c r="AG35" s="128"/>
      <c r="AH35" s="128"/>
      <c r="AI35" s="128"/>
      <c r="AJ35" s="128"/>
      <c r="AK35" s="128"/>
      <c r="AL35" s="128"/>
      <c r="AM35" s="128"/>
      <c r="AN35" s="128"/>
      <c r="AO35" s="128"/>
      <c r="AP35" s="128"/>
      <c r="AQ35" s="128"/>
      <c r="AR35" s="128"/>
      <c r="AS35" s="128"/>
      <c r="AT35" s="128"/>
      <c r="AU35" s="128"/>
      <c r="AV35" s="128"/>
      <c r="AW35" s="128"/>
      <c r="AX35" s="128"/>
      <c r="AY35" s="128"/>
      <c r="AZ35" s="128"/>
      <c r="BA35" s="128"/>
      <c r="BB35" s="128"/>
      <c r="BC35" s="128"/>
      <c r="BD35" s="128"/>
      <c r="BE35" s="128"/>
      <c r="BF35" s="128"/>
      <c r="BG35" s="128"/>
      <c r="BH35" s="128"/>
      <c r="BI35" s="128"/>
      <c r="BJ35" s="128"/>
      <c r="BK35" s="128"/>
      <c r="BL35" s="128"/>
      <c r="BM35" s="128"/>
      <c r="BN35" s="128"/>
      <c r="BO35" s="128"/>
    </row>
    <row r="36" spans="1:67" s="60" customFormat="1" ht="16.5" customHeight="1" x14ac:dyDescent="0.25">
      <c r="A36" s="56" t="str">
        <f t="shared" si="1"/>
        <v>7040</v>
      </c>
      <c r="B36" s="54" t="s">
        <v>223</v>
      </c>
      <c r="C36" s="55" t="s">
        <v>21</v>
      </c>
      <c r="D36" s="69">
        <v>1001025027040</v>
      </c>
      <c r="E36" s="24"/>
      <c r="F36" s="58">
        <v>0.27</v>
      </c>
      <c r="G36" s="23">
        <f t="shared" si="6"/>
        <v>0</v>
      </c>
      <c r="H36" s="59"/>
      <c r="I36" s="59"/>
      <c r="J36" s="59"/>
      <c r="K36" s="27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  <c r="AD36" s="128"/>
      <c r="AE36" s="128"/>
      <c r="AF36" s="128"/>
      <c r="AG36" s="128"/>
      <c r="AH36" s="128"/>
      <c r="AI36" s="128"/>
      <c r="AJ36" s="128"/>
      <c r="AK36" s="128"/>
      <c r="AL36" s="128"/>
      <c r="AM36" s="128"/>
      <c r="AN36" s="128"/>
      <c r="AO36" s="128"/>
      <c r="AP36" s="128"/>
      <c r="AQ36" s="128"/>
      <c r="AR36" s="128"/>
      <c r="AS36" s="128"/>
      <c r="AT36" s="128"/>
      <c r="AU36" s="128"/>
      <c r="AV36" s="128"/>
      <c r="AW36" s="128"/>
      <c r="AX36" s="128"/>
      <c r="AY36" s="128"/>
      <c r="AZ36" s="128"/>
      <c r="BA36" s="128"/>
      <c r="BB36" s="128"/>
      <c r="BC36" s="128"/>
      <c r="BD36" s="128"/>
      <c r="BE36" s="128"/>
      <c r="BF36" s="128"/>
      <c r="BG36" s="128"/>
      <c r="BH36" s="128"/>
      <c r="BI36" s="128"/>
      <c r="BJ36" s="128"/>
      <c r="BK36" s="128"/>
      <c r="BL36" s="128"/>
      <c r="BM36" s="128"/>
      <c r="BN36" s="128"/>
      <c r="BO36" s="128"/>
    </row>
    <row r="37" spans="1:67" s="60" customFormat="1" ht="16.5" customHeight="1" x14ac:dyDescent="0.25">
      <c r="A37" s="56" t="str">
        <f t="shared" si="1"/>
        <v>6829</v>
      </c>
      <c r="B37" s="54" t="s">
        <v>182</v>
      </c>
      <c r="C37" s="55" t="s">
        <v>23</v>
      </c>
      <c r="D37" s="69">
        <v>1001024976829</v>
      </c>
      <c r="E37" s="24"/>
      <c r="F37" s="58">
        <v>2.1</v>
      </c>
      <c r="G37" s="23">
        <f t="shared" ref="G37" si="7">E37</f>
        <v>0</v>
      </c>
      <c r="H37" s="59">
        <v>8.4</v>
      </c>
      <c r="I37" s="59">
        <v>45</v>
      </c>
      <c r="J37" s="59"/>
      <c r="K37" s="27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  <c r="AD37" s="128"/>
      <c r="AE37" s="128"/>
      <c r="AF37" s="128"/>
      <c r="AG37" s="128"/>
      <c r="AH37" s="128"/>
      <c r="AI37" s="128"/>
      <c r="AJ37" s="128"/>
      <c r="AK37" s="128"/>
      <c r="AL37" s="128"/>
      <c r="AM37" s="128"/>
      <c r="AN37" s="128"/>
      <c r="AO37" s="128"/>
      <c r="AP37" s="128"/>
      <c r="AQ37" s="128"/>
      <c r="AR37" s="128"/>
      <c r="AS37" s="128"/>
      <c r="AT37" s="128"/>
      <c r="AU37" s="128"/>
      <c r="AV37" s="128"/>
      <c r="AW37" s="128"/>
      <c r="AX37" s="128"/>
      <c r="AY37" s="128"/>
      <c r="AZ37" s="128"/>
      <c r="BA37" s="128"/>
      <c r="BB37" s="128"/>
      <c r="BC37" s="128"/>
      <c r="BD37" s="128"/>
      <c r="BE37" s="128"/>
      <c r="BF37" s="128"/>
      <c r="BG37" s="128"/>
      <c r="BH37" s="128"/>
      <c r="BI37" s="128"/>
      <c r="BJ37" s="128"/>
      <c r="BK37" s="128"/>
      <c r="BL37" s="128"/>
      <c r="BM37" s="128"/>
      <c r="BN37" s="128"/>
      <c r="BO37" s="128"/>
    </row>
    <row r="38" spans="1:67" s="60" customFormat="1" ht="16.5" customHeight="1" x14ac:dyDescent="0.25">
      <c r="A38" s="56" t="str">
        <f t="shared" si="1"/>
        <v>6616</v>
      </c>
      <c r="B38" s="54" t="s">
        <v>43</v>
      </c>
      <c r="C38" s="55" t="s">
        <v>21</v>
      </c>
      <c r="D38" s="69">
        <v>1001024976616</v>
      </c>
      <c r="E38" s="24"/>
      <c r="F38" s="58">
        <v>0.3</v>
      </c>
      <c r="G38" s="23">
        <f>E38*F38</f>
        <v>0</v>
      </c>
      <c r="H38" s="59">
        <v>2.4</v>
      </c>
      <c r="I38" s="59">
        <v>45</v>
      </c>
      <c r="J38" s="59"/>
      <c r="K38" s="27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  <c r="AD38" s="128"/>
      <c r="AE38" s="128"/>
      <c r="AF38" s="128"/>
      <c r="AG38" s="128"/>
      <c r="AH38" s="128"/>
      <c r="AI38" s="128"/>
      <c r="AJ38" s="128"/>
      <c r="AK38" s="128"/>
      <c r="AL38" s="128"/>
      <c r="AM38" s="128"/>
      <c r="AN38" s="128"/>
      <c r="AO38" s="128"/>
      <c r="AP38" s="128"/>
      <c r="AQ38" s="128"/>
      <c r="AR38" s="128"/>
      <c r="AS38" s="128"/>
      <c r="AT38" s="128"/>
      <c r="AU38" s="128"/>
      <c r="AV38" s="128"/>
      <c r="AW38" s="128"/>
      <c r="AX38" s="128"/>
      <c r="AY38" s="128"/>
      <c r="AZ38" s="128"/>
      <c r="BA38" s="128"/>
      <c r="BB38" s="128"/>
      <c r="BC38" s="128"/>
      <c r="BD38" s="128"/>
      <c r="BE38" s="128"/>
      <c r="BF38" s="128"/>
      <c r="BG38" s="128"/>
      <c r="BH38" s="128"/>
      <c r="BI38" s="128"/>
      <c r="BJ38" s="128"/>
      <c r="BK38" s="128"/>
      <c r="BL38" s="128"/>
      <c r="BM38" s="128"/>
      <c r="BN38" s="128"/>
      <c r="BO38" s="128"/>
    </row>
    <row r="39" spans="1:67" s="60" customFormat="1" ht="16.5" customHeight="1" x14ac:dyDescent="0.25">
      <c r="A39" s="56" t="str">
        <f t="shared" si="1"/>
        <v>7075</v>
      </c>
      <c r="B39" s="54" t="s">
        <v>50</v>
      </c>
      <c r="C39" s="55" t="s">
        <v>23</v>
      </c>
      <c r="D39" s="69">
        <v>1001022657075</v>
      </c>
      <c r="E39" s="24"/>
      <c r="F39" s="58">
        <v>1.5</v>
      </c>
      <c r="G39" s="23">
        <f>E39</f>
        <v>0</v>
      </c>
      <c r="H39" s="59">
        <v>6</v>
      </c>
      <c r="I39" s="59">
        <v>50</v>
      </c>
      <c r="J39" s="59"/>
      <c r="K39" s="27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  <c r="AD39" s="128"/>
      <c r="AE39" s="128"/>
      <c r="AF39" s="128"/>
      <c r="AG39" s="128"/>
      <c r="AH39" s="128"/>
      <c r="AI39" s="128"/>
      <c r="AJ39" s="128"/>
      <c r="AK39" s="128"/>
      <c r="AL39" s="128"/>
      <c r="AM39" s="128"/>
      <c r="AN39" s="128"/>
      <c r="AO39" s="128"/>
      <c r="AP39" s="128"/>
      <c r="AQ39" s="128"/>
      <c r="AR39" s="128"/>
      <c r="AS39" s="128"/>
      <c r="AT39" s="128"/>
      <c r="AU39" s="128"/>
      <c r="AV39" s="128"/>
      <c r="AW39" s="128"/>
      <c r="AX39" s="128"/>
      <c r="AY39" s="128"/>
      <c r="AZ39" s="128"/>
      <c r="BA39" s="128"/>
      <c r="BB39" s="128"/>
      <c r="BC39" s="128"/>
      <c r="BD39" s="128"/>
      <c r="BE39" s="128"/>
      <c r="BF39" s="128"/>
      <c r="BG39" s="128"/>
      <c r="BH39" s="128"/>
      <c r="BI39" s="128"/>
      <c r="BJ39" s="128"/>
      <c r="BK39" s="128"/>
      <c r="BL39" s="128"/>
      <c r="BM39" s="128"/>
      <c r="BN39" s="128"/>
      <c r="BO39" s="128"/>
    </row>
    <row r="40" spans="1:67" s="60" customFormat="1" ht="16.5" customHeight="1" x14ac:dyDescent="0.25">
      <c r="A40" s="56" t="str">
        <f t="shared" si="1"/>
        <v>7073</v>
      </c>
      <c r="B40" s="54" t="s">
        <v>51</v>
      </c>
      <c r="C40" s="55" t="s">
        <v>21</v>
      </c>
      <c r="D40" s="69">
        <v>1001022657073</v>
      </c>
      <c r="E40" s="24"/>
      <c r="F40" s="58">
        <v>0.35</v>
      </c>
      <c r="G40" s="23">
        <f t="shared" ref="G40:G42" si="8">E40*F40</f>
        <v>0</v>
      </c>
      <c r="H40" s="59">
        <v>2.8</v>
      </c>
      <c r="I40" s="59">
        <v>50</v>
      </c>
      <c r="J40" s="59"/>
      <c r="K40" s="27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  <c r="AD40" s="128"/>
      <c r="AE40" s="128"/>
      <c r="AF40" s="128"/>
      <c r="AG40" s="128"/>
      <c r="AH40" s="128"/>
      <c r="AI40" s="128"/>
      <c r="AJ40" s="128"/>
      <c r="AK40" s="128"/>
      <c r="AL40" s="128"/>
      <c r="AM40" s="128"/>
      <c r="AN40" s="128"/>
      <c r="AO40" s="128"/>
      <c r="AP40" s="128"/>
      <c r="AQ40" s="128"/>
      <c r="AR40" s="128"/>
      <c r="AS40" s="128"/>
      <c r="AT40" s="128"/>
      <c r="AU40" s="128"/>
      <c r="AV40" s="128"/>
      <c r="AW40" s="128"/>
      <c r="AX40" s="128"/>
      <c r="AY40" s="128"/>
      <c r="AZ40" s="128"/>
      <c r="BA40" s="128"/>
      <c r="BB40" s="128"/>
      <c r="BC40" s="128"/>
      <c r="BD40" s="128"/>
      <c r="BE40" s="128"/>
      <c r="BF40" s="128"/>
      <c r="BG40" s="128"/>
      <c r="BH40" s="128"/>
      <c r="BI40" s="128"/>
      <c r="BJ40" s="128"/>
      <c r="BK40" s="128"/>
      <c r="BL40" s="128"/>
      <c r="BM40" s="128"/>
      <c r="BN40" s="128"/>
      <c r="BO40" s="128"/>
    </row>
    <row r="41" spans="1:67" s="60" customFormat="1" ht="16.5" customHeight="1" x14ac:dyDescent="0.25">
      <c r="A41" s="56" t="str">
        <f t="shared" si="1"/>
        <v>6724</v>
      </c>
      <c r="B41" s="54" t="s">
        <v>52</v>
      </c>
      <c r="C41" s="55" t="s">
        <v>21</v>
      </c>
      <c r="D41" s="69">
        <v>1001020836724</v>
      </c>
      <c r="E41" s="24"/>
      <c r="F41" s="58">
        <v>0.41</v>
      </c>
      <c r="G41" s="23">
        <f t="shared" si="8"/>
        <v>0</v>
      </c>
      <c r="H41" s="59">
        <v>4.0999999999999996</v>
      </c>
      <c r="I41" s="59">
        <v>45</v>
      </c>
      <c r="J41" s="59"/>
      <c r="K41" s="27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  <c r="AD41" s="128"/>
      <c r="AE41" s="128"/>
      <c r="AF41" s="128"/>
      <c r="AG41" s="128"/>
      <c r="AH41" s="128"/>
      <c r="AI41" s="128"/>
      <c r="AJ41" s="128"/>
      <c r="AK41" s="128"/>
      <c r="AL41" s="128"/>
      <c r="AM41" s="128"/>
      <c r="AN41" s="128"/>
      <c r="AO41" s="128"/>
      <c r="AP41" s="128"/>
      <c r="AQ41" s="128"/>
      <c r="AR41" s="128"/>
      <c r="AS41" s="128"/>
      <c r="AT41" s="128"/>
      <c r="AU41" s="128"/>
      <c r="AV41" s="128"/>
      <c r="AW41" s="128"/>
      <c r="AX41" s="128"/>
      <c r="AY41" s="128"/>
      <c r="AZ41" s="128"/>
      <c r="BA41" s="128"/>
      <c r="BB41" s="128"/>
      <c r="BC41" s="128"/>
      <c r="BD41" s="128"/>
      <c r="BE41" s="128"/>
      <c r="BF41" s="128"/>
      <c r="BG41" s="128"/>
      <c r="BH41" s="128"/>
      <c r="BI41" s="128"/>
      <c r="BJ41" s="128"/>
      <c r="BK41" s="128"/>
      <c r="BL41" s="128"/>
      <c r="BM41" s="128"/>
      <c r="BN41" s="128"/>
      <c r="BO41" s="128"/>
    </row>
    <row r="42" spans="1:67" s="60" customFormat="1" ht="16.5" customHeight="1" x14ac:dyDescent="0.25">
      <c r="A42" s="56" t="str">
        <f t="shared" si="1"/>
        <v>5819</v>
      </c>
      <c r="B42" s="54" t="s">
        <v>39</v>
      </c>
      <c r="C42" s="55" t="s">
        <v>21</v>
      </c>
      <c r="D42" s="69">
        <v>1001022725819</v>
      </c>
      <c r="E42" s="24"/>
      <c r="F42" s="58">
        <v>0.4</v>
      </c>
      <c r="G42" s="23">
        <f t="shared" si="8"/>
        <v>0</v>
      </c>
      <c r="H42" s="59">
        <v>3.2</v>
      </c>
      <c r="I42" s="59">
        <v>45</v>
      </c>
      <c r="J42" s="59"/>
      <c r="K42" s="27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  <c r="AD42" s="128"/>
      <c r="AE42" s="128"/>
      <c r="AF42" s="128"/>
      <c r="AG42" s="128"/>
      <c r="AH42" s="128"/>
      <c r="AI42" s="128"/>
      <c r="AJ42" s="128"/>
      <c r="AK42" s="128"/>
      <c r="AL42" s="128"/>
      <c r="AM42" s="128"/>
      <c r="AN42" s="128"/>
      <c r="AO42" s="128"/>
      <c r="AP42" s="128"/>
      <c r="AQ42" s="128"/>
      <c r="AR42" s="128"/>
      <c r="AS42" s="128"/>
      <c r="AT42" s="128"/>
      <c r="AU42" s="128"/>
      <c r="AV42" s="128"/>
      <c r="AW42" s="128"/>
      <c r="AX42" s="128"/>
      <c r="AY42" s="128"/>
      <c r="AZ42" s="128"/>
      <c r="BA42" s="128"/>
      <c r="BB42" s="128"/>
      <c r="BC42" s="128"/>
      <c r="BD42" s="128"/>
      <c r="BE42" s="128"/>
      <c r="BF42" s="128"/>
      <c r="BG42" s="128"/>
      <c r="BH42" s="128"/>
      <c r="BI42" s="128"/>
      <c r="BJ42" s="128"/>
      <c r="BK42" s="128"/>
      <c r="BL42" s="128"/>
      <c r="BM42" s="128"/>
      <c r="BN42" s="128"/>
      <c r="BO42" s="128"/>
    </row>
    <row r="43" spans="1:67" s="60" customFormat="1" ht="16.5" customHeight="1" x14ac:dyDescent="0.25">
      <c r="A43" s="56" t="str">
        <f t="shared" si="1"/>
        <v>6303</v>
      </c>
      <c r="B43" s="54" t="s">
        <v>184</v>
      </c>
      <c r="C43" s="55" t="s">
        <v>23</v>
      </c>
      <c r="D43" s="69">
        <v>1001022726303</v>
      </c>
      <c r="E43" s="24"/>
      <c r="F43" s="58">
        <v>1.5</v>
      </c>
      <c r="G43" s="23">
        <f>E43</f>
        <v>0</v>
      </c>
      <c r="H43" s="59">
        <v>4.5</v>
      </c>
      <c r="I43" s="59">
        <v>45</v>
      </c>
      <c r="J43" s="59"/>
      <c r="K43" s="27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  <c r="AD43" s="128"/>
      <c r="AE43" s="128"/>
      <c r="AF43" s="128"/>
      <c r="AG43" s="128"/>
      <c r="AH43" s="128"/>
      <c r="AI43" s="128"/>
      <c r="AJ43" s="128"/>
      <c r="AK43" s="128"/>
      <c r="AL43" s="128"/>
      <c r="AM43" s="128"/>
      <c r="AN43" s="128"/>
      <c r="AO43" s="128"/>
      <c r="AP43" s="128"/>
      <c r="AQ43" s="128"/>
      <c r="AR43" s="128"/>
      <c r="AS43" s="128"/>
      <c r="AT43" s="128"/>
      <c r="AU43" s="128"/>
      <c r="AV43" s="128"/>
      <c r="AW43" s="128"/>
      <c r="AX43" s="128"/>
      <c r="AY43" s="128"/>
      <c r="AZ43" s="128"/>
      <c r="BA43" s="128"/>
      <c r="BB43" s="128"/>
      <c r="BC43" s="128"/>
      <c r="BD43" s="128"/>
      <c r="BE43" s="128"/>
      <c r="BF43" s="128"/>
      <c r="BG43" s="128"/>
      <c r="BH43" s="128"/>
      <c r="BI43" s="128"/>
      <c r="BJ43" s="128"/>
      <c r="BK43" s="128"/>
      <c r="BL43" s="128"/>
      <c r="BM43" s="128"/>
      <c r="BN43" s="128"/>
      <c r="BO43" s="128"/>
    </row>
    <row r="44" spans="1:67" s="60" customFormat="1" ht="16.5" customHeight="1" x14ac:dyDescent="0.25">
      <c r="A44" s="56" t="str">
        <f t="shared" si="1"/>
        <v>7255</v>
      </c>
      <c r="B44" s="54" t="s">
        <v>38</v>
      </c>
      <c r="C44" s="55" t="s">
        <v>21</v>
      </c>
      <c r="D44" s="69">
        <v>1001025507255</v>
      </c>
      <c r="E44" s="24"/>
      <c r="F44" s="58">
        <v>0.4</v>
      </c>
      <c r="G44" s="23">
        <f>E44*F44</f>
        <v>0</v>
      </c>
      <c r="H44" s="59">
        <v>2.4</v>
      </c>
      <c r="I44" s="59">
        <v>50</v>
      </c>
      <c r="J44" s="59"/>
      <c r="K44" s="27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  <c r="AD44" s="128"/>
      <c r="AE44" s="128"/>
      <c r="AF44" s="128"/>
      <c r="AG44" s="128"/>
      <c r="AH44" s="128"/>
      <c r="AI44" s="128"/>
      <c r="AJ44" s="128"/>
      <c r="AK44" s="128"/>
      <c r="AL44" s="128"/>
      <c r="AM44" s="128"/>
      <c r="AN44" s="128"/>
      <c r="AO44" s="128"/>
      <c r="AP44" s="128"/>
      <c r="AQ44" s="128"/>
      <c r="AR44" s="128"/>
      <c r="AS44" s="128"/>
      <c r="AT44" s="128"/>
      <c r="AU44" s="128"/>
      <c r="AV44" s="128"/>
      <c r="AW44" s="128"/>
      <c r="AX44" s="128"/>
      <c r="AY44" s="128"/>
      <c r="AZ44" s="128"/>
      <c r="BA44" s="128"/>
      <c r="BB44" s="128"/>
      <c r="BC44" s="128"/>
      <c r="BD44" s="128"/>
      <c r="BE44" s="128"/>
      <c r="BF44" s="128"/>
      <c r="BG44" s="128"/>
      <c r="BH44" s="128"/>
      <c r="BI44" s="128"/>
      <c r="BJ44" s="128"/>
      <c r="BK44" s="128"/>
      <c r="BL44" s="128"/>
      <c r="BM44" s="128"/>
      <c r="BN44" s="128"/>
      <c r="BO44" s="128"/>
    </row>
    <row r="45" spans="1:67" s="60" customFormat="1" ht="16.5" customHeight="1" x14ac:dyDescent="0.25">
      <c r="A45" s="56" t="str">
        <f t="shared" si="1"/>
        <v>7271</v>
      </c>
      <c r="B45" s="54" t="s">
        <v>185</v>
      </c>
      <c r="C45" s="55" t="s">
        <v>23</v>
      </c>
      <c r="D45" s="69">
        <v>1001025507271</v>
      </c>
      <c r="E45" s="24"/>
      <c r="F45" s="58">
        <v>1.5</v>
      </c>
      <c r="G45" s="23">
        <f>E45</f>
        <v>0</v>
      </c>
      <c r="H45" s="59">
        <v>6</v>
      </c>
      <c r="I45" s="59">
        <v>50</v>
      </c>
      <c r="J45" s="59"/>
      <c r="K45" s="27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  <c r="AD45" s="128"/>
      <c r="AE45" s="128"/>
      <c r="AF45" s="128"/>
      <c r="AG45" s="128"/>
      <c r="AH45" s="128"/>
      <c r="AI45" s="128"/>
      <c r="AJ45" s="128"/>
      <c r="AK45" s="128"/>
      <c r="AL45" s="128"/>
      <c r="AM45" s="128"/>
      <c r="AN45" s="128"/>
      <c r="AO45" s="128"/>
      <c r="AP45" s="128"/>
      <c r="AQ45" s="128"/>
      <c r="AR45" s="128"/>
      <c r="AS45" s="128"/>
      <c r="AT45" s="128"/>
      <c r="AU45" s="128"/>
      <c r="AV45" s="128"/>
      <c r="AW45" s="128"/>
      <c r="AX45" s="128"/>
      <c r="AY45" s="128"/>
      <c r="AZ45" s="128"/>
      <c r="BA45" s="128"/>
      <c r="BB45" s="128"/>
      <c r="BC45" s="128"/>
      <c r="BD45" s="128"/>
      <c r="BE45" s="128"/>
      <c r="BF45" s="128"/>
      <c r="BG45" s="128"/>
      <c r="BH45" s="128"/>
      <c r="BI45" s="128"/>
      <c r="BJ45" s="128"/>
      <c r="BK45" s="128"/>
      <c r="BL45" s="128"/>
      <c r="BM45" s="128"/>
      <c r="BN45" s="128"/>
      <c r="BO45" s="128"/>
    </row>
    <row r="46" spans="1:67" s="60" customFormat="1" ht="16.5" customHeight="1" x14ac:dyDescent="0.25">
      <c r="A46" s="56" t="str">
        <f t="shared" si="1"/>
        <v>6765</v>
      </c>
      <c r="B46" s="54" t="s">
        <v>41</v>
      </c>
      <c r="C46" s="55" t="s">
        <v>21</v>
      </c>
      <c r="D46" s="69">
        <v>1001023696765</v>
      </c>
      <c r="E46" s="24"/>
      <c r="F46" s="58">
        <v>0.36</v>
      </c>
      <c r="G46" s="23">
        <f>E46*F46</f>
        <v>0</v>
      </c>
      <c r="H46" s="59">
        <v>2.16</v>
      </c>
      <c r="I46" s="59">
        <v>45</v>
      </c>
      <c r="J46" s="59"/>
      <c r="K46" s="27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28"/>
      <c r="AC46" s="128"/>
      <c r="AD46" s="128"/>
      <c r="AE46" s="128"/>
      <c r="AF46" s="128"/>
      <c r="AG46" s="128"/>
      <c r="AH46" s="128"/>
      <c r="AI46" s="128"/>
      <c r="AJ46" s="128"/>
      <c r="AK46" s="128"/>
      <c r="AL46" s="128"/>
      <c r="AM46" s="128"/>
      <c r="AN46" s="128"/>
      <c r="AO46" s="128"/>
      <c r="AP46" s="128"/>
      <c r="AQ46" s="128"/>
      <c r="AR46" s="128"/>
      <c r="AS46" s="128"/>
      <c r="AT46" s="128"/>
      <c r="AU46" s="128"/>
      <c r="AV46" s="128"/>
      <c r="AW46" s="128"/>
      <c r="AX46" s="128"/>
      <c r="AY46" s="128"/>
      <c r="AZ46" s="128"/>
      <c r="BA46" s="128"/>
      <c r="BB46" s="128"/>
      <c r="BC46" s="128"/>
      <c r="BD46" s="128"/>
      <c r="BE46" s="128"/>
      <c r="BF46" s="128"/>
      <c r="BG46" s="128"/>
      <c r="BH46" s="128"/>
      <c r="BI46" s="128"/>
      <c r="BJ46" s="128"/>
      <c r="BK46" s="128"/>
      <c r="BL46" s="128"/>
      <c r="BM46" s="128"/>
      <c r="BN46" s="128"/>
      <c r="BO46" s="128"/>
    </row>
    <row r="47" spans="1:67" s="60" customFormat="1" ht="16.5" customHeight="1" x14ac:dyDescent="0.25">
      <c r="A47" s="56" t="str">
        <f t="shared" si="1"/>
        <v>6767</v>
      </c>
      <c r="B47" s="54" t="s">
        <v>44</v>
      </c>
      <c r="C47" s="55" t="s">
        <v>23</v>
      </c>
      <c r="D47" s="69">
        <v>1001023696767</v>
      </c>
      <c r="E47" s="24"/>
      <c r="F47" s="58">
        <v>1.04</v>
      </c>
      <c r="G47" s="23">
        <f>E47</f>
        <v>0</v>
      </c>
      <c r="H47" s="59">
        <v>4.16</v>
      </c>
      <c r="I47" s="59">
        <v>45</v>
      </c>
      <c r="J47" s="59"/>
      <c r="K47" s="27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28"/>
      <c r="AE47" s="128"/>
      <c r="AF47" s="128"/>
      <c r="AG47" s="128"/>
      <c r="AH47" s="128"/>
      <c r="AI47" s="128"/>
      <c r="AJ47" s="128"/>
      <c r="AK47" s="128"/>
      <c r="AL47" s="128"/>
      <c r="AM47" s="128"/>
      <c r="AN47" s="128"/>
      <c r="AO47" s="128"/>
      <c r="AP47" s="128"/>
      <c r="AQ47" s="128"/>
      <c r="AR47" s="128"/>
      <c r="AS47" s="128"/>
      <c r="AT47" s="128"/>
      <c r="AU47" s="128"/>
      <c r="AV47" s="128"/>
      <c r="AW47" s="128"/>
      <c r="AX47" s="128"/>
      <c r="AY47" s="128"/>
      <c r="AZ47" s="128"/>
      <c r="BA47" s="128"/>
      <c r="BB47" s="128"/>
      <c r="BC47" s="128"/>
      <c r="BD47" s="128"/>
      <c r="BE47" s="128"/>
      <c r="BF47" s="128"/>
      <c r="BG47" s="128"/>
      <c r="BH47" s="128"/>
      <c r="BI47" s="128"/>
      <c r="BJ47" s="128"/>
      <c r="BK47" s="128"/>
      <c r="BL47" s="128"/>
      <c r="BM47" s="128"/>
      <c r="BN47" s="128"/>
      <c r="BO47" s="128"/>
    </row>
    <row r="48" spans="1:67" s="60" customFormat="1" ht="16.5" customHeight="1" x14ac:dyDescent="0.25">
      <c r="A48" s="56" t="str">
        <f t="shared" si="1"/>
        <v>6475</v>
      </c>
      <c r="B48" s="54" t="s">
        <v>46</v>
      </c>
      <c r="C48" s="55" t="s">
        <v>21</v>
      </c>
      <c r="D48" s="69">
        <v>1001025176475</v>
      </c>
      <c r="E48" s="24"/>
      <c r="F48" s="58">
        <v>0.4</v>
      </c>
      <c r="G48" s="23">
        <f>E48*F48</f>
        <v>0</v>
      </c>
      <c r="H48" s="59">
        <v>2.4</v>
      </c>
      <c r="I48" s="59">
        <v>45</v>
      </c>
      <c r="J48" s="59"/>
      <c r="K48" s="27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  <c r="AD48" s="128"/>
      <c r="AE48" s="128"/>
      <c r="AF48" s="128"/>
      <c r="AG48" s="128"/>
      <c r="AH48" s="128"/>
      <c r="AI48" s="128"/>
      <c r="AJ48" s="128"/>
      <c r="AK48" s="128"/>
      <c r="AL48" s="128"/>
      <c r="AM48" s="128"/>
      <c r="AN48" s="128"/>
      <c r="AO48" s="128"/>
      <c r="AP48" s="128"/>
      <c r="AQ48" s="128"/>
      <c r="AR48" s="128"/>
      <c r="AS48" s="128"/>
      <c r="AT48" s="128"/>
      <c r="AU48" s="128"/>
      <c r="AV48" s="128"/>
      <c r="AW48" s="128"/>
      <c r="AX48" s="128"/>
      <c r="AY48" s="128"/>
      <c r="AZ48" s="128"/>
      <c r="BA48" s="128"/>
      <c r="BB48" s="128"/>
      <c r="BC48" s="128"/>
      <c r="BD48" s="128"/>
      <c r="BE48" s="128"/>
      <c r="BF48" s="128"/>
      <c r="BG48" s="128"/>
      <c r="BH48" s="128"/>
      <c r="BI48" s="128"/>
      <c r="BJ48" s="128"/>
      <c r="BK48" s="128"/>
      <c r="BL48" s="128"/>
      <c r="BM48" s="128"/>
      <c r="BN48" s="128"/>
      <c r="BO48" s="128"/>
    </row>
    <row r="49" spans="1:67" s="60" customFormat="1" ht="16.5" customHeight="1" x14ac:dyDescent="0.25">
      <c r="A49" s="56" t="str">
        <f t="shared" si="1"/>
        <v>7083</v>
      </c>
      <c r="B49" s="54" t="s">
        <v>186</v>
      </c>
      <c r="C49" s="55" t="s">
        <v>23</v>
      </c>
      <c r="D49" s="69">
        <v>1001022467083</v>
      </c>
      <c r="E49" s="24"/>
      <c r="F49" s="58">
        <v>1.5</v>
      </c>
      <c r="G49" s="23">
        <f>E49</f>
        <v>0</v>
      </c>
      <c r="H49" s="59">
        <v>6</v>
      </c>
      <c r="I49" s="59">
        <v>50</v>
      </c>
      <c r="J49" s="59"/>
      <c r="K49" s="27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28"/>
      <c r="AC49" s="128"/>
      <c r="AD49" s="128"/>
      <c r="AE49" s="128"/>
      <c r="AF49" s="128"/>
      <c r="AG49" s="128"/>
      <c r="AH49" s="128"/>
      <c r="AI49" s="128"/>
      <c r="AJ49" s="128"/>
      <c r="AK49" s="128"/>
      <c r="AL49" s="128"/>
      <c r="AM49" s="128"/>
      <c r="AN49" s="128"/>
      <c r="AO49" s="128"/>
      <c r="AP49" s="128"/>
      <c r="AQ49" s="128"/>
      <c r="AR49" s="128"/>
      <c r="AS49" s="128"/>
      <c r="AT49" s="128"/>
      <c r="AU49" s="128"/>
      <c r="AV49" s="128"/>
      <c r="AW49" s="128"/>
      <c r="AX49" s="128"/>
      <c r="AY49" s="128"/>
      <c r="AZ49" s="128"/>
      <c r="BA49" s="128"/>
      <c r="BB49" s="128"/>
      <c r="BC49" s="128"/>
      <c r="BD49" s="128"/>
      <c r="BE49" s="128"/>
      <c r="BF49" s="128"/>
      <c r="BG49" s="128"/>
      <c r="BH49" s="128"/>
      <c r="BI49" s="128"/>
      <c r="BJ49" s="128"/>
      <c r="BK49" s="128"/>
      <c r="BL49" s="128"/>
      <c r="BM49" s="128"/>
      <c r="BN49" s="128"/>
      <c r="BO49" s="128"/>
    </row>
    <row r="50" spans="1:67" s="60" customFormat="1" ht="16.5" customHeight="1" x14ac:dyDescent="0.25">
      <c r="A50" s="56" t="str">
        <f t="shared" si="1"/>
        <v>7080</v>
      </c>
      <c r="B50" s="54" t="s">
        <v>54</v>
      </c>
      <c r="C50" s="55" t="s">
        <v>21</v>
      </c>
      <c r="D50" s="69">
        <v>1001022467080</v>
      </c>
      <c r="E50" s="24"/>
      <c r="F50" s="58">
        <v>0.41</v>
      </c>
      <c r="G50" s="23">
        <f t="shared" ref="G50:G51" si="9">E50*F50</f>
        <v>0</v>
      </c>
      <c r="H50" s="59">
        <v>4.0999999999999996</v>
      </c>
      <c r="I50" s="59">
        <v>50</v>
      </c>
      <c r="J50" s="59"/>
      <c r="K50" s="27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/>
      <c r="AC50" s="128"/>
      <c r="AD50" s="128"/>
      <c r="AE50" s="128"/>
      <c r="AF50" s="128"/>
      <c r="AG50" s="128"/>
      <c r="AH50" s="128"/>
      <c r="AI50" s="128"/>
      <c r="AJ50" s="128"/>
      <c r="AK50" s="128"/>
      <c r="AL50" s="128"/>
      <c r="AM50" s="128"/>
      <c r="AN50" s="128"/>
      <c r="AO50" s="128"/>
      <c r="AP50" s="128"/>
      <c r="AQ50" s="128"/>
      <c r="AR50" s="128"/>
      <c r="AS50" s="128"/>
      <c r="AT50" s="128"/>
      <c r="AU50" s="128"/>
      <c r="AV50" s="128"/>
      <c r="AW50" s="128"/>
      <c r="AX50" s="128"/>
      <c r="AY50" s="128"/>
      <c r="AZ50" s="128"/>
      <c r="BA50" s="128"/>
      <c r="BB50" s="128"/>
      <c r="BC50" s="128"/>
      <c r="BD50" s="128"/>
      <c r="BE50" s="128"/>
      <c r="BF50" s="128"/>
      <c r="BG50" s="128"/>
      <c r="BH50" s="128"/>
      <c r="BI50" s="128"/>
      <c r="BJ50" s="128"/>
      <c r="BK50" s="128"/>
      <c r="BL50" s="128"/>
      <c r="BM50" s="128"/>
      <c r="BN50" s="128"/>
      <c r="BO50" s="128"/>
    </row>
    <row r="51" spans="1:67" s="60" customFormat="1" ht="16.5" customHeight="1" x14ac:dyDescent="0.25">
      <c r="A51" s="56" t="str">
        <f t="shared" si="1"/>
        <v>7276</v>
      </c>
      <c r="B51" s="54" t="s">
        <v>55</v>
      </c>
      <c r="C51" s="55" t="s">
        <v>21</v>
      </c>
      <c r="D51" s="69">
        <v>1001022467276</v>
      </c>
      <c r="E51" s="24"/>
      <c r="F51" s="58">
        <v>0.3</v>
      </c>
      <c r="G51" s="23">
        <f t="shared" si="9"/>
        <v>0</v>
      </c>
      <c r="H51" s="59">
        <v>2.1</v>
      </c>
      <c r="I51" s="59">
        <v>50</v>
      </c>
      <c r="J51" s="59"/>
      <c r="K51" s="27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  <c r="AC51" s="128"/>
      <c r="AD51" s="128"/>
      <c r="AE51" s="128"/>
      <c r="AF51" s="128"/>
      <c r="AG51" s="128"/>
      <c r="AH51" s="128"/>
      <c r="AI51" s="128"/>
      <c r="AJ51" s="128"/>
      <c r="AK51" s="128"/>
      <c r="AL51" s="128"/>
      <c r="AM51" s="128"/>
      <c r="AN51" s="128"/>
      <c r="AO51" s="128"/>
      <c r="AP51" s="128"/>
      <c r="AQ51" s="128"/>
      <c r="AR51" s="128"/>
      <c r="AS51" s="128"/>
      <c r="AT51" s="128"/>
      <c r="AU51" s="128"/>
      <c r="AV51" s="128"/>
      <c r="AW51" s="128"/>
      <c r="AX51" s="128"/>
      <c r="AY51" s="128"/>
      <c r="AZ51" s="128"/>
      <c r="BA51" s="128"/>
      <c r="BB51" s="128"/>
      <c r="BC51" s="128"/>
      <c r="BD51" s="128"/>
      <c r="BE51" s="128"/>
      <c r="BF51" s="128"/>
      <c r="BG51" s="128"/>
      <c r="BH51" s="128"/>
      <c r="BI51" s="128"/>
      <c r="BJ51" s="128"/>
      <c r="BK51" s="128"/>
      <c r="BL51" s="128"/>
      <c r="BM51" s="128"/>
      <c r="BN51" s="128"/>
      <c r="BO51" s="128"/>
    </row>
    <row r="52" spans="1:67" ht="16.5" customHeight="1" x14ac:dyDescent="0.25">
      <c r="A52" s="56" t="str">
        <f t="shared" si="1"/>
        <v>7066</v>
      </c>
      <c r="B52" s="54" t="s">
        <v>56</v>
      </c>
      <c r="C52" s="55" t="s">
        <v>21</v>
      </c>
      <c r="D52" s="69">
        <v>1001022377066</v>
      </c>
      <c r="E52" s="24"/>
      <c r="F52" s="23">
        <v>0.41</v>
      </c>
      <c r="G52" s="23">
        <f>E52*F52</f>
        <v>0</v>
      </c>
      <c r="H52" s="14">
        <v>4.0999999999999996</v>
      </c>
      <c r="I52" s="14">
        <v>50</v>
      </c>
      <c r="J52" s="29"/>
      <c r="L52" s="128"/>
    </row>
    <row r="53" spans="1:67" ht="16.5" customHeight="1" x14ac:dyDescent="0.25">
      <c r="A53" s="56" t="str">
        <f t="shared" si="1"/>
        <v>7070</v>
      </c>
      <c r="B53" s="54" t="s">
        <v>45</v>
      </c>
      <c r="C53" s="55" t="s">
        <v>23</v>
      </c>
      <c r="D53" s="69">
        <v>1001022377070</v>
      </c>
      <c r="E53" s="24"/>
      <c r="F53" s="23">
        <v>1.5</v>
      </c>
      <c r="G53" s="23">
        <f>E53</f>
        <v>0</v>
      </c>
      <c r="H53" s="14">
        <v>6</v>
      </c>
      <c r="I53" s="14">
        <v>50</v>
      </c>
      <c r="J53" s="29"/>
      <c r="L53" s="128"/>
    </row>
    <row r="54" spans="1:67" ht="16.5" customHeight="1" x14ac:dyDescent="0.25">
      <c r="A54" s="56" t="str">
        <f t="shared" si="1"/>
        <v>6713</v>
      </c>
      <c r="B54" s="54" t="s">
        <v>47</v>
      </c>
      <c r="C54" s="55" t="s">
        <v>21</v>
      </c>
      <c r="D54" s="69">
        <v>1001022246713</v>
      </c>
      <c r="E54" s="24"/>
      <c r="F54" s="23">
        <v>0.41</v>
      </c>
      <c r="G54" s="23">
        <f>E54*F54</f>
        <v>0</v>
      </c>
      <c r="H54" s="14">
        <v>3.28</v>
      </c>
      <c r="I54" s="14">
        <v>45</v>
      </c>
      <c r="J54" s="29"/>
      <c r="L54" s="128"/>
    </row>
    <row r="55" spans="1:67" ht="16.5" customHeight="1" x14ac:dyDescent="0.25">
      <c r="A55" s="56" t="str">
        <f t="shared" si="1"/>
        <v>6661</v>
      </c>
      <c r="B55" s="54" t="s">
        <v>187</v>
      </c>
      <c r="C55" s="55" t="s">
        <v>23</v>
      </c>
      <c r="D55" s="69">
        <v>1001022246661</v>
      </c>
      <c r="E55" s="24"/>
      <c r="F55" s="23">
        <v>1.5</v>
      </c>
      <c r="G55" s="23">
        <f t="shared" ref="G55" si="10">E55</f>
        <v>0</v>
      </c>
      <c r="H55" s="14">
        <v>6</v>
      </c>
      <c r="I55" s="14">
        <v>45</v>
      </c>
      <c r="J55" s="29"/>
      <c r="L55" s="128"/>
    </row>
    <row r="56" spans="1:67" ht="16.5" customHeight="1" thickBot="1" x14ac:dyDescent="0.3">
      <c r="A56" s="56" t="str">
        <f t="shared" si="1"/>
        <v>6837</v>
      </c>
      <c r="B56" s="54" t="s">
        <v>48</v>
      </c>
      <c r="C56" s="55" t="s">
        <v>21</v>
      </c>
      <c r="D56" s="69">
        <v>1001022556837</v>
      </c>
      <c r="E56" s="24"/>
      <c r="F56" s="23">
        <v>0.4</v>
      </c>
      <c r="G56" s="23">
        <f t="shared" ref="G56" si="11">E56*F56</f>
        <v>0</v>
      </c>
      <c r="H56" s="14">
        <v>2.4</v>
      </c>
      <c r="I56" s="14">
        <v>45</v>
      </c>
      <c r="J56" s="29"/>
      <c r="L56" s="128"/>
    </row>
    <row r="57" spans="1:67" ht="16.5" customHeight="1" thickTop="1" thickBot="1" x14ac:dyDescent="0.3">
      <c r="A57" s="47" t="s">
        <v>109</v>
      </c>
      <c r="B57" s="42" t="s">
        <v>57</v>
      </c>
      <c r="C57" s="42"/>
      <c r="D57" s="42"/>
      <c r="E57" s="42"/>
      <c r="F57" s="41"/>
      <c r="G57" s="42"/>
      <c r="H57" s="42"/>
      <c r="I57" s="42"/>
      <c r="J57" s="43"/>
      <c r="L57" s="128"/>
    </row>
    <row r="58" spans="1:67" ht="16.5" customHeight="1" thickTop="1" x14ac:dyDescent="0.25">
      <c r="A58" s="56" t="str">
        <f t="shared" si="1"/>
        <v>6550</v>
      </c>
      <c r="B58" s="123" t="s">
        <v>174</v>
      </c>
      <c r="C58" s="124" t="s">
        <v>23</v>
      </c>
      <c r="D58" s="57">
        <v>1001032736550</v>
      </c>
      <c r="E58" s="24"/>
      <c r="F58" s="58">
        <v>1</v>
      </c>
      <c r="G58" s="23">
        <f t="shared" ref="G58:G61" si="12">E58</f>
        <v>0</v>
      </c>
      <c r="H58" s="59">
        <v>3</v>
      </c>
      <c r="I58" s="59">
        <v>45</v>
      </c>
      <c r="J58" s="59"/>
      <c r="L58" s="128"/>
    </row>
    <row r="59" spans="1:67" ht="16.5" customHeight="1" x14ac:dyDescent="0.25">
      <c r="A59" s="56" t="str">
        <f t="shared" si="1"/>
        <v>6608</v>
      </c>
      <c r="B59" s="123" t="s">
        <v>59</v>
      </c>
      <c r="C59" s="50" t="s">
        <v>23</v>
      </c>
      <c r="D59" s="51">
        <v>1001033856608</v>
      </c>
      <c r="E59" s="24"/>
      <c r="F59" s="23">
        <v>1</v>
      </c>
      <c r="G59" s="23">
        <f t="shared" si="12"/>
        <v>0</v>
      </c>
      <c r="H59" s="14">
        <v>3</v>
      </c>
      <c r="I59" s="14">
        <v>45</v>
      </c>
      <c r="J59" s="29"/>
      <c r="L59" s="128"/>
    </row>
    <row r="60" spans="1:67" ht="16.5" customHeight="1" x14ac:dyDescent="0.25">
      <c r="A60" s="56" t="str">
        <f t="shared" si="1"/>
        <v>7001</v>
      </c>
      <c r="B60" s="123" t="s">
        <v>58</v>
      </c>
      <c r="C60" s="50" t="s">
        <v>23</v>
      </c>
      <c r="D60" s="51">
        <v>1001035937001</v>
      </c>
      <c r="E60" s="24"/>
      <c r="F60" s="23">
        <v>1</v>
      </c>
      <c r="G60" s="23">
        <f t="shared" si="12"/>
        <v>0</v>
      </c>
      <c r="H60" s="14">
        <v>3</v>
      </c>
      <c r="I60" s="14">
        <v>45</v>
      </c>
      <c r="J60" s="29"/>
      <c r="L60" s="128"/>
    </row>
    <row r="61" spans="1:67" ht="16.5" customHeight="1" x14ac:dyDescent="0.25">
      <c r="A61" s="56" t="str">
        <f t="shared" ref="A61:A63" si="13">RIGHT(D61,4)</f>
        <v>6527</v>
      </c>
      <c r="B61" s="123" t="s">
        <v>175</v>
      </c>
      <c r="C61" s="50" t="s">
        <v>23</v>
      </c>
      <c r="D61" s="51">
        <v>1001031076527</v>
      </c>
      <c r="E61" s="24"/>
      <c r="F61" s="23">
        <v>1</v>
      </c>
      <c r="G61" s="23">
        <f t="shared" si="12"/>
        <v>0</v>
      </c>
      <c r="H61" s="14">
        <v>3</v>
      </c>
      <c r="I61" s="14">
        <v>45</v>
      </c>
      <c r="J61" s="29"/>
      <c r="L61" s="128"/>
    </row>
    <row r="62" spans="1:67" ht="16.5" customHeight="1" x14ac:dyDescent="0.25">
      <c r="A62" s="56" t="str">
        <f t="shared" si="13"/>
        <v>6528</v>
      </c>
      <c r="B62" s="113" t="s">
        <v>178</v>
      </c>
      <c r="C62" s="50" t="s">
        <v>21</v>
      </c>
      <c r="D62" s="51">
        <v>1001031076528</v>
      </c>
      <c r="E62" s="24"/>
      <c r="F62" s="23">
        <v>0.4</v>
      </c>
      <c r="G62" s="23">
        <f t="shared" ref="G62:G63" si="14">E62*F62</f>
        <v>0</v>
      </c>
      <c r="H62" s="14">
        <v>2.4</v>
      </c>
      <c r="I62" s="14">
        <v>45</v>
      </c>
      <c r="J62" s="29"/>
      <c r="L62" s="128"/>
    </row>
    <row r="63" spans="1:67" ht="16.5" customHeight="1" thickBot="1" x14ac:dyDescent="0.3">
      <c r="A63" s="56" t="str">
        <f t="shared" si="13"/>
        <v>7059</v>
      </c>
      <c r="B63" s="134" t="s">
        <v>177</v>
      </c>
      <c r="C63" s="50" t="s">
        <v>21</v>
      </c>
      <c r="D63" s="51">
        <v>1001035277059</v>
      </c>
      <c r="E63" s="24"/>
      <c r="F63" s="23">
        <v>0.3</v>
      </c>
      <c r="G63" s="23">
        <f t="shared" si="14"/>
        <v>0</v>
      </c>
      <c r="H63" s="14"/>
      <c r="I63" s="14"/>
      <c r="J63" s="29"/>
      <c r="L63" s="128"/>
    </row>
    <row r="64" spans="1:67" ht="16.5" customHeight="1" thickTop="1" thickBot="1" x14ac:dyDescent="0.3">
      <c r="A64" s="47" t="s">
        <v>109</v>
      </c>
      <c r="B64" s="42" t="s">
        <v>60</v>
      </c>
      <c r="C64" s="42"/>
      <c r="D64" s="42"/>
      <c r="E64" s="42"/>
      <c r="F64" s="41"/>
      <c r="G64" s="42"/>
      <c r="H64" s="42"/>
      <c r="I64" s="42"/>
      <c r="J64" s="43"/>
      <c r="L64" s="128"/>
    </row>
    <row r="65" spans="1:12" ht="16.5" customHeight="1" thickTop="1" x14ac:dyDescent="0.25">
      <c r="A65" s="56" t="str">
        <f t="shared" ref="A65:A88" si="15">RIGHT(D65,4)</f>
        <v>7564</v>
      </c>
      <c r="B65" s="53" t="s">
        <v>131</v>
      </c>
      <c r="C65" s="50" t="s">
        <v>23</v>
      </c>
      <c r="D65" s="51">
        <v>1001303637564</v>
      </c>
      <c r="E65" s="24"/>
      <c r="F65" s="23">
        <v>0.84</v>
      </c>
      <c r="G65" s="23">
        <f>E65</f>
        <v>0</v>
      </c>
      <c r="H65" s="14">
        <v>5.04</v>
      </c>
      <c r="I65" s="14">
        <v>45</v>
      </c>
      <c r="J65" s="52" t="s">
        <v>197</v>
      </c>
      <c r="L65" s="128"/>
    </row>
    <row r="66" spans="1:12" ht="16.5" customHeight="1" x14ac:dyDescent="0.25">
      <c r="A66" s="56" t="str">
        <f t="shared" si="15"/>
        <v>7603</v>
      </c>
      <c r="B66" s="54" t="s">
        <v>132</v>
      </c>
      <c r="C66" s="55" t="s">
        <v>21</v>
      </c>
      <c r="D66" s="57">
        <v>1001303637603</v>
      </c>
      <c r="E66" s="24"/>
      <c r="F66" s="23">
        <v>0.33</v>
      </c>
      <c r="G66" s="23">
        <f t="shared" ref="G66:G78" si="16">E66*F66</f>
        <v>0</v>
      </c>
      <c r="H66" s="14">
        <v>2.64</v>
      </c>
      <c r="I66" s="14">
        <v>45</v>
      </c>
      <c r="J66" s="52" t="s">
        <v>198</v>
      </c>
      <c r="L66" s="128"/>
    </row>
    <row r="67" spans="1:12" ht="16.5" customHeight="1" x14ac:dyDescent="0.25">
      <c r="A67" s="56" t="str">
        <f t="shared" si="15"/>
        <v>7149</v>
      </c>
      <c r="B67" s="54" t="s">
        <v>20</v>
      </c>
      <c r="C67" s="55" t="s">
        <v>21</v>
      </c>
      <c r="D67" s="57">
        <v>1001303637149</v>
      </c>
      <c r="E67" s="24"/>
      <c r="F67" s="23">
        <v>0.84</v>
      </c>
      <c r="G67" s="23">
        <f t="shared" si="16"/>
        <v>0</v>
      </c>
      <c r="H67" s="14">
        <v>5.04</v>
      </c>
      <c r="I67" s="14">
        <v>50</v>
      </c>
      <c r="J67" s="29"/>
      <c r="L67" s="128"/>
    </row>
    <row r="68" spans="1:12" ht="16.5" customHeight="1" x14ac:dyDescent="0.25">
      <c r="A68" s="56" t="str">
        <f t="shared" si="15"/>
        <v>7233</v>
      </c>
      <c r="B68" s="54" t="s">
        <v>133</v>
      </c>
      <c r="C68" s="55" t="s">
        <v>21</v>
      </c>
      <c r="D68" s="57">
        <v>1001303637233</v>
      </c>
      <c r="E68" s="24"/>
      <c r="F68" s="58">
        <v>0.31</v>
      </c>
      <c r="G68" s="23">
        <f t="shared" si="16"/>
        <v>0</v>
      </c>
      <c r="H68" s="59">
        <v>2.48</v>
      </c>
      <c r="I68" s="59">
        <v>45</v>
      </c>
      <c r="J68" s="59"/>
      <c r="L68" s="128"/>
    </row>
    <row r="69" spans="1:12" ht="16.5" customHeight="1" x14ac:dyDescent="0.25">
      <c r="A69" s="56" t="str">
        <f t="shared" si="15"/>
        <v>7232</v>
      </c>
      <c r="B69" s="54" t="s">
        <v>62</v>
      </c>
      <c r="C69" s="55" t="s">
        <v>21</v>
      </c>
      <c r="D69" s="57">
        <v>1001302277232</v>
      </c>
      <c r="E69" s="24"/>
      <c r="F69" s="58">
        <v>0.28000000000000003</v>
      </c>
      <c r="G69" s="23">
        <f t="shared" si="16"/>
        <v>0</v>
      </c>
      <c r="H69" s="59">
        <v>2.2400000000000002</v>
      </c>
      <c r="I69" s="59">
        <v>50</v>
      </c>
      <c r="J69" s="59"/>
      <c r="L69" s="128"/>
    </row>
    <row r="70" spans="1:12" ht="16.5" customHeight="1" x14ac:dyDescent="0.25">
      <c r="A70" s="56" t="str">
        <f t="shared" si="15"/>
        <v>7241</v>
      </c>
      <c r="B70" s="54" t="s">
        <v>64</v>
      </c>
      <c r="C70" s="55" t="s">
        <v>21</v>
      </c>
      <c r="D70" s="57">
        <v>1001303107241</v>
      </c>
      <c r="E70" s="24"/>
      <c r="F70" s="58">
        <v>0.28000000000000003</v>
      </c>
      <c r="G70" s="23">
        <f t="shared" si="16"/>
        <v>0</v>
      </c>
      <c r="H70" s="59">
        <v>2.2400000000000002</v>
      </c>
      <c r="I70" s="59">
        <v>45</v>
      </c>
      <c r="J70" s="59"/>
      <c r="L70" s="128"/>
    </row>
    <row r="71" spans="1:12" ht="16.5" customHeight="1" x14ac:dyDescent="0.25">
      <c r="A71" s="56" t="str">
        <f t="shared" si="15"/>
        <v>6946</v>
      </c>
      <c r="B71" s="54" t="s">
        <v>220</v>
      </c>
      <c r="C71" s="55" t="s">
        <v>23</v>
      </c>
      <c r="D71" s="57">
        <v>1001300456946</v>
      </c>
      <c r="E71" s="24"/>
      <c r="F71" s="58"/>
      <c r="G71" s="23">
        <f>E71</f>
        <v>0</v>
      </c>
      <c r="H71" s="59"/>
      <c r="I71" s="59"/>
      <c r="J71" s="131" t="s">
        <v>207</v>
      </c>
      <c r="L71" s="128"/>
    </row>
    <row r="72" spans="1:12" ht="16.5" customHeight="1" x14ac:dyDescent="0.25">
      <c r="A72" s="56" t="str">
        <f t="shared" si="15"/>
        <v>6807</v>
      </c>
      <c r="B72" s="54" t="s">
        <v>76</v>
      </c>
      <c r="C72" s="55" t="s">
        <v>21</v>
      </c>
      <c r="D72" s="57">
        <v>1001300366807</v>
      </c>
      <c r="E72" s="24"/>
      <c r="F72" s="58">
        <v>0.33</v>
      </c>
      <c r="G72" s="23">
        <f t="shared" si="16"/>
        <v>0</v>
      </c>
      <c r="H72" s="59">
        <v>2.64</v>
      </c>
      <c r="I72" s="59">
        <v>45</v>
      </c>
      <c r="J72" s="59"/>
      <c r="L72" s="128"/>
    </row>
    <row r="73" spans="1:12" ht="16.5" customHeight="1" x14ac:dyDescent="0.25">
      <c r="A73" s="56" t="str">
        <f t="shared" si="15"/>
        <v>7154</v>
      </c>
      <c r="B73" s="54" t="s">
        <v>65</v>
      </c>
      <c r="C73" s="55" t="s">
        <v>21</v>
      </c>
      <c r="D73" s="57">
        <v>1001300387154</v>
      </c>
      <c r="E73" s="24"/>
      <c r="F73" s="23">
        <v>0.35</v>
      </c>
      <c r="G73" s="23">
        <f t="shared" si="16"/>
        <v>0</v>
      </c>
      <c r="H73" s="14">
        <v>2.8</v>
      </c>
      <c r="I73" s="14">
        <v>50</v>
      </c>
      <c r="J73" s="29"/>
      <c r="L73" s="128"/>
    </row>
    <row r="74" spans="1:12" ht="16.5" customHeight="1" x14ac:dyDescent="0.25">
      <c r="A74" s="56" t="str">
        <f t="shared" si="15"/>
        <v>7157</v>
      </c>
      <c r="B74" s="54" t="s">
        <v>75</v>
      </c>
      <c r="C74" s="55" t="s">
        <v>23</v>
      </c>
      <c r="D74" s="57">
        <v>1001300387157</v>
      </c>
      <c r="E74" s="24"/>
      <c r="F74" s="23">
        <v>0.63</v>
      </c>
      <c r="G74" s="23">
        <f>E74</f>
        <v>0</v>
      </c>
      <c r="H74" s="14">
        <v>5.04</v>
      </c>
      <c r="I74" s="14">
        <v>50</v>
      </c>
      <c r="J74" s="29"/>
      <c r="L74" s="128"/>
    </row>
    <row r="75" spans="1:12" ht="16.5" customHeight="1" x14ac:dyDescent="0.25">
      <c r="A75" s="56" t="str">
        <f t="shared" si="15"/>
        <v>7562</v>
      </c>
      <c r="B75" s="54" t="s">
        <v>225</v>
      </c>
      <c r="C75" s="55" t="s">
        <v>23</v>
      </c>
      <c r="D75" s="57">
        <v>1001307587562</v>
      </c>
      <c r="E75" s="24"/>
      <c r="F75" s="23"/>
      <c r="G75" s="23">
        <f>E75</f>
        <v>0</v>
      </c>
      <c r="H75" s="14"/>
      <c r="I75" s="14"/>
      <c r="J75" s="131" t="s">
        <v>207</v>
      </c>
      <c r="L75" s="128"/>
    </row>
    <row r="76" spans="1:12" ht="16.5" customHeight="1" x14ac:dyDescent="0.25">
      <c r="A76" s="56" t="str">
        <f t="shared" si="15"/>
        <v>7236</v>
      </c>
      <c r="B76" s="54" t="s">
        <v>69</v>
      </c>
      <c r="C76" s="55" t="s">
        <v>21</v>
      </c>
      <c r="D76" s="57">
        <v>1001304507236</v>
      </c>
      <c r="E76" s="24"/>
      <c r="F76" s="23">
        <v>0.28000000000000003</v>
      </c>
      <c r="G76" s="23">
        <f t="shared" si="16"/>
        <v>0</v>
      </c>
      <c r="H76" s="14">
        <v>2.2400000000000002</v>
      </c>
      <c r="I76" s="14">
        <v>45</v>
      </c>
      <c r="J76" s="29"/>
      <c r="L76" s="128"/>
    </row>
    <row r="77" spans="1:12" ht="16.5" customHeight="1" x14ac:dyDescent="0.25">
      <c r="A77" s="56" t="str">
        <f t="shared" si="15"/>
        <v>7489</v>
      </c>
      <c r="B77" s="54" t="s">
        <v>219</v>
      </c>
      <c r="C77" s="55" t="s">
        <v>21</v>
      </c>
      <c r="D77" s="57">
        <v>1001307357489</v>
      </c>
      <c r="E77" s="24"/>
      <c r="F77" s="23">
        <v>0.28000000000000003</v>
      </c>
      <c r="G77" s="23">
        <f t="shared" ref="G77" si="17">E77*F77</f>
        <v>0</v>
      </c>
      <c r="H77" s="14"/>
      <c r="I77" s="14"/>
      <c r="J77" s="131" t="s">
        <v>207</v>
      </c>
      <c r="L77" s="128"/>
    </row>
    <row r="78" spans="1:12" ht="16.5" customHeight="1" x14ac:dyDescent="0.25">
      <c r="A78" s="56" t="str">
        <f t="shared" si="15"/>
        <v>6787</v>
      </c>
      <c r="B78" s="122" t="s">
        <v>66</v>
      </c>
      <c r="C78" s="55" t="s">
        <v>21</v>
      </c>
      <c r="D78" s="57">
        <v>1001300456787</v>
      </c>
      <c r="E78" s="24"/>
      <c r="F78" s="23">
        <v>0.33</v>
      </c>
      <c r="G78" s="23">
        <f t="shared" si="16"/>
        <v>0</v>
      </c>
      <c r="H78" s="14">
        <v>2.64</v>
      </c>
      <c r="I78" s="14">
        <v>45</v>
      </c>
      <c r="J78" s="29"/>
      <c r="L78" s="128"/>
    </row>
    <row r="79" spans="1:12" ht="16.5" customHeight="1" x14ac:dyDescent="0.25">
      <c r="A79" s="56" t="str">
        <f t="shared" si="15"/>
        <v>7166</v>
      </c>
      <c r="B79" s="122" t="s">
        <v>72</v>
      </c>
      <c r="C79" s="55" t="s">
        <v>23</v>
      </c>
      <c r="D79" s="57">
        <v>1001303987166</v>
      </c>
      <c r="E79" s="24"/>
      <c r="F79" s="23">
        <v>0.7</v>
      </c>
      <c r="G79" s="23">
        <f>E79</f>
        <v>0</v>
      </c>
      <c r="H79" s="14">
        <v>5.6</v>
      </c>
      <c r="I79" s="14">
        <v>50</v>
      </c>
      <c r="J79" s="29"/>
      <c r="L79" s="128"/>
    </row>
    <row r="80" spans="1:12" ht="15.75" customHeight="1" x14ac:dyDescent="0.25">
      <c r="A80" s="56" t="str">
        <f t="shared" si="15"/>
        <v>7169</v>
      </c>
      <c r="B80" s="53" t="s">
        <v>71</v>
      </c>
      <c r="C80" s="50" t="s">
        <v>21</v>
      </c>
      <c r="D80" s="51">
        <v>1001303987169</v>
      </c>
      <c r="E80" s="24"/>
      <c r="F80" s="23">
        <v>0.35</v>
      </c>
      <c r="G80" s="23">
        <f>E80*F80</f>
        <v>0</v>
      </c>
      <c r="H80" s="14">
        <v>2.8</v>
      </c>
      <c r="I80" s="14">
        <v>50</v>
      </c>
      <c r="J80" s="29"/>
      <c r="L80" s="128"/>
    </row>
    <row r="81" spans="1:67" ht="15.75" customHeight="1" x14ac:dyDescent="0.25">
      <c r="A81" s="56" t="str">
        <f t="shared" si="15"/>
        <v>5544</v>
      </c>
      <c r="B81" s="53" t="s">
        <v>73</v>
      </c>
      <c r="C81" s="50" t="s">
        <v>23</v>
      </c>
      <c r="D81" s="51">
        <v>1001051875544</v>
      </c>
      <c r="E81" s="24"/>
      <c r="F81" s="23">
        <v>0.81</v>
      </c>
      <c r="G81" s="23">
        <f>E81</f>
        <v>0</v>
      </c>
      <c r="H81" s="14">
        <v>4.8600000000000003</v>
      </c>
      <c r="I81" s="14">
        <v>45</v>
      </c>
      <c r="J81" s="49"/>
      <c r="L81" s="128"/>
    </row>
    <row r="82" spans="1:67" ht="15.75" customHeight="1" x14ac:dyDescent="0.25">
      <c r="A82" s="56" t="str">
        <f t="shared" si="15"/>
        <v>6697</v>
      </c>
      <c r="B82" s="53" t="s">
        <v>67</v>
      </c>
      <c r="C82" s="50" t="s">
        <v>21</v>
      </c>
      <c r="D82" s="51">
        <v>1001301876697</v>
      </c>
      <c r="E82" s="24"/>
      <c r="F82" s="23">
        <v>0.35</v>
      </c>
      <c r="G82" s="23">
        <f t="shared" ref="G82:G88" si="18">E82*F82</f>
        <v>0</v>
      </c>
      <c r="H82" s="14">
        <v>2.8</v>
      </c>
      <c r="I82" s="14">
        <v>45</v>
      </c>
      <c r="J82" s="49"/>
      <c r="L82" s="128"/>
    </row>
    <row r="83" spans="1:67" ht="15.75" customHeight="1" x14ac:dyDescent="0.25">
      <c r="A83" s="56" t="str">
        <f t="shared" si="15"/>
        <v>7516</v>
      </c>
      <c r="B83" s="53" t="s">
        <v>226</v>
      </c>
      <c r="C83" s="50" t="s">
        <v>21</v>
      </c>
      <c r="D83" s="51">
        <v>1001307107516</v>
      </c>
      <c r="E83" s="24"/>
      <c r="F83" s="23">
        <v>0.31</v>
      </c>
      <c r="G83" s="23">
        <f t="shared" ref="G83" si="19">E83*F83</f>
        <v>0</v>
      </c>
      <c r="H83" s="14"/>
      <c r="I83" s="14"/>
      <c r="J83" s="131" t="s">
        <v>207</v>
      </c>
      <c r="L83" s="128"/>
    </row>
    <row r="84" spans="1:67" ht="15.75" customHeight="1" x14ac:dyDescent="0.25">
      <c r="A84" s="56" t="str">
        <f t="shared" si="15"/>
        <v>7332</v>
      </c>
      <c r="B84" s="53" t="s">
        <v>63</v>
      </c>
      <c r="C84" s="50" t="s">
        <v>21</v>
      </c>
      <c r="D84" s="51">
        <v>1001301777332</v>
      </c>
      <c r="E84" s="24"/>
      <c r="F84" s="23">
        <v>0.28000000000000003</v>
      </c>
      <c r="G84" s="23">
        <f t="shared" si="18"/>
        <v>0</v>
      </c>
      <c r="H84" s="14">
        <v>2.2400000000000002</v>
      </c>
      <c r="I84" s="14">
        <v>50</v>
      </c>
      <c r="J84" s="49"/>
      <c r="L84" s="128"/>
    </row>
    <row r="85" spans="1:67" ht="15.75" customHeight="1" x14ac:dyDescent="0.25">
      <c r="A85" s="56" t="str">
        <f t="shared" si="15"/>
        <v>7513</v>
      </c>
      <c r="B85" s="53" t="s">
        <v>224</v>
      </c>
      <c r="C85" s="50" t="s">
        <v>21</v>
      </c>
      <c r="D85" s="51">
        <v>1001307077513</v>
      </c>
      <c r="E85" s="24"/>
      <c r="F85" s="23">
        <v>0.26</v>
      </c>
      <c r="G85" s="23">
        <f t="shared" si="18"/>
        <v>0</v>
      </c>
      <c r="H85" s="14"/>
      <c r="I85" s="14"/>
      <c r="J85" s="131" t="s">
        <v>207</v>
      </c>
      <c r="L85" s="128"/>
    </row>
    <row r="86" spans="1:67" ht="15.75" customHeight="1" x14ac:dyDescent="0.25">
      <c r="A86" s="56" t="str">
        <f t="shared" si="15"/>
        <v>7333</v>
      </c>
      <c r="B86" s="53" t="s">
        <v>70</v>
      </c>
      <c r="C86" s="50" t="s">
        <v>21</v>
      </c>
      <c r="D86" s="51">
        <v>1001303987333</v>
      </c>
      <c r="E86" s="24"/>
      <c r="F86" s="23">
        <v>0.28000000000000003</v>
      </c>
      <c r="G86" s="23">
        <f t="shared" si="18"/>
        <v>0</v>
      </c>
      <c r="H86" s="14">
        <v>2.2400000000000002</v>
      </c>
      <c r="I86" s="14">
        <v>50</v>
      </c>
      <c r="J86" s="49"/>
      <c r="L86" s="128"/>
    </row>
    <row r="87" spans="1:67" ht="15.75" customHeight="1" x14ac:dyDescent="0.25">
      <c r="A87" s="56" t="str">
        <f t="shared" si="15"/>
        <v>7608</v>
      </c>
      <c r="B87" s="53" t="s">
        <v>218</v>
      </c>
      <c r="C87" s="50" t="s">
        <v>21</v>
      </c>
      <c r="D87" s="51">
        <v>1001304197608</v>
      </c>
      <c r="E87" s="24"/>
      <c r="F87" s="23">
        <v>0.1</v>
      </c>
      <c r="G87" s="23">
        <f t="shared" si="18"/>
        <v>0</v>
      </c>
      <c r="H87" s="14">
        <v>1</v>
      </c>
      <c r="I87" s="14">
        <v>45</v>
      </c>
      <c r="J87" s="52" t="s">
        <v>209</v>
      </c>
      <c r="L87" s="128"/>
    </row>
    <row r="88" spans="1:67" ht="15.75" customHeight="1" thickBot="1" x14ac:dyDescent="0.3">
      <c r="A88" s="56" t="str">
        <f t="shared" si="15"/>
        <v>7610</v>
      </c>
      <c r="B88" s="53" t="s">
        <v>210</v>
      </c>
      <c r="C88" s="50" t="s">
        <v>21</v>
      </c>
      <c r="D88" s="51">
        <v>1001306717610</v>
      </c>
      <c r="E88" s="24"/>
      <c r="F88" s="23">
        <v>0.1</v>
      </c>
      <c r="G88" s="23">
        <f t="shared" si="18"/>
        <v>0</v>
      </c>
      <c r="H88" s="14">
        <v>1</v>
      </c>
      <c r="I88" s="14">
        <v>45</v>
      </c>
      <c r="J88" s="52" t="s">
        <v>211</v>
      </c>
      <c r="L88" s="128"/>
    </row>
    <row r="89" spans="1:67" s="60" customFormat="1" ht="16.5" customHeight="1" thickTop="1" thickBot="1" x14ac:dyDescent="0.3">
      <c r="A89" s="47" t="s">
        <v>109</v>
      </c>
      <c r="B89" s="42" t="s">
        <v>77</v>
      </c>
      <c r="C89" s="42"/>
      <c r="D89" s="42"/>
      <c r="E89" s="42"/>
      <c r="F89" s="41"/>
      <c r="G89" s="42"/>
      <c r="H89" s="42"/>
      <c r="I89" s="42"/>
      <c r="J89" s="43"/>
      <c r="K89" s="27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28"/>
      <c r="AC89" s="128"/>
      <c r="AD89" s="128"/>
      <c r="AE89" s="128"/>
      <c r="AF89" s="128"/>
      <c r="AG89" s="128"/>
      <c r="AH89" s="128"/>
      <c r="AI89" s="128"/>
      <c r="AJ89" s="128"/>
      <c r="AK89" s="128"/>
      <c r="AL89" s="128"/>
      <c r="AM89" s="128"/>
      <c r="AN89" s="128"/>
      <c r="AO89" s="128"/>
      <c r="AP89" s="128"/>
      <c r="AQ89" s="128"/>
      <c r="AR89" s="128"/>
      <c r="AS89" s="128"/>
      <c r="AT89" s="128"/>
      <c r="AU89" s="128"/>
      <c r="AV89" s="128"/>
      <c r="AW89" s="128"/>
      <c r="AX89" s="128"/>
      <c r="AY89" s="128"/>
      <c r="AZ89" s="128"/>
      <c r="BA89" s="128"/>
      <c r="BB89" s="128"/>
      <c r="BC89" s="128"/>
      <c r="BD89" s="128"/>
      <c r="BE89" s="128"/>
      <c r="BF89" s="128"/>
      <c r="BG89" s="128"/>
      <c r="BH89" s="128"/>
      <c r="BI89" s="128"/>
      <c r="BJ89" s="128"/>
      <c r="BK89" s="128"/>
      <c r="BL89" s="128"/>
      <c r="BM89" s="128"/>
      <c r="BN89" s="128"/>
      <c r="BO89" s="128"/>
    </row>
    <row r="90" spans="1:67" s="60" customFormat="1" ht="16.5" customHeight="1" thickTop="1" x14ac:dyDescent="0.25">
      <c r="A90" s="56" t="str">
        <f t="shared" ref="A90:A106" si="20">RIGHT(D90,4)</f>
        <v>3986</v>
      </c>
      <c r="B90" s="54" t="s">
        <v>80</v>
      </c>
      <c r="C90" s="55" t="s">
        <v>21</v>
      </c>
      <c r="D90" s="57">
        <v>1001061973986</v>
      </c>
      <c r="E90" s="24"/>
      <c r="F90" s="58">
        <v>0.25</v>
      </c>
      <c r="G90" s="23">
        <f t="shared" ref="G90:G95" si="21">E90*F90</f>
        <v>0</v>
      </c>
      <c r="H90" s="116">
        <v>2</v>
      </c>
      <c r="I90" s="115">
        <v>120</v>
      </c>
      <c r="J90" s="59"/>
      <c r="K90" s="27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28"/>
      <c r="AC90" s="128"/>
      <c r="AD90" s="128"/>
      <c r="AE90" s="128"/>
      <c r="AF90" s="128"/>
      <c r="AG90" s="128"/>
      <c r="AH90" s="128"/>
      <c r="AI90" s="128"/>
      <c r="AJ90" s="128"/>
      <c r="AK90" s="128"/>
      <c r="AL90" s="128"/>
      <c r="AM90" s="128"/>
      <c r="AN90" s="128"/>
      <c r="AO90" s="128"/>
      <c r="AP90" s="128"/>
      <c r="AQ90" s="128"/>
      <c r="AR90" s="128"/>
      <c r="AS90" s="128"/>
      <c r="AT90" s="128"/>
      <c r="AU90" s="128"/>
      <c r="AV90" s="128"/>
      <c r="AW90" s="128"/>
      <c r="AX90" s="128"/>
      <c r="AY90" s="128"/>
      <c r="AZ90" s="128"/>
      <c r="BA90" s="128"/>
      <c r="BB90" s="128"/>
      <c r="BC90" s="128"/>
      <c r="BD90" s="128"/>
      <c r="BE90" s="128"/>
      <c r="BF90" s="128"/>
      <c r="BG90" s="128"/>
      <c r="BH90" s="128"/>
      <c r="BI90" s="128"/>
      <c r="BJ90" s="128"/>
      <c r="BK90" s="128"/>
      <c r="BL90" s="128"/>
      <c r="BM90" s="128"/>
      <c r="BN90" s="128"/>
      <c r="BO90" s="128"/>
    </row>
    <row r="91" spans="1:67" ht="16.5" customHeight="1" x14ac:dyDescent="0.25">
      <c r="A91" s="56" t="str">
        <f t="shared" si="20"/>
        <v>5931</v>
      </c>
      <c r="B91" s="53" t="s">
        <v>78</v>
      </c>
      <c r="C91" s="50" t="s">
        <v>21</v>
      </c>
      <c r="D91" s="51">
        <v>1001060755931</v>
      </c>
      <c r="E91" s="24"/>
      <c r="F91" s="23">
        <v>0.22</v>
      </c>
      <c r="G91" s="23">
        <f t="shared" si="21"/>
        <v>0</v>
      </c>
      <c r="H91" s="114">
        <v>1.76</v>
      </c>
      <c r="I91" s="14">
        <v>120</v>
      </c>
      <c r="J91" s="29"/>
      <c r="L91" s="128"/>
    </row>
    <row r="92" spans="1:67" ht="16.5" customHeight="1" x14ac:dyDescent="0.25">
      <c r="A92" s="56" t="str">
        <f t="shared" si="20"/>
        <v>5708</v>
      </c>
      <c r="B92" s="53" t="s">
        <v>81</v>
      </c>
      <c r="C92" s="50" t="s">
        <v>23</v>
      </c>
      <c r="D92" s="51">
        <v>1001063145708</v>
      </c>
      <c r="E92" s="24"/>
      <c r="F92" s="23">
        <v>0.5</v>
      </c>
      <c r="G92" s="23">
        <f t="shared" ref="G92:G93" si="22">E92</f>
        <v>0</v>
      </c>
      <c r="H92" s="14">
        <v>4</v>
      </c>
      <c r="I92" s="14">
        <v>120</v>
      </c>
      <c r="J92" s="29"/>
      <c r="L92" s="128"/>
    </row>
    <row r="93" spans="1:67" ht="16.5" customHeight="1" x14ac:dyDescent="0.25">
      <c r="A93" s="56" t="str">
        <f t="shared" si="20"/>
        <v>3287</v>
      </c>
      <c r="B93" s="53" t="s">
        <v>91</v>
      </c>
      <c r="C93" s="50" t="s">
        <v>23</v>
      </c>
      <c r="D93" s="51">
        <v>1001060763287</v>
      </c>
      <c r="E93" s="24"/>
      <c r="F93" s="23">
        <v>0.48799999999999999</v>
      </c>
      <c r="G93" s="23">
        <f t="shared" si="22"/>
        <v>0</v>
      </c>
      <c r="H93" s="14">
        <v>3.9</v>
      </c>
      <c r="I93" s="14">
        <v>120</v>
      </c>
      <c r="J93" s="29"/>
      <c r="L93" s="128"/>
    </row>
    <row r="94" spans="1:67" ht="16.5" customHeight="1" x14ac:dyDescent="0.25">
      <c r="A94" s="56" t="str">
        <f t="shared" si="20"/>
        <v>4993</v>
      </c>
      <c r="B94" s="53" t="s">
        <v>162</v>
      </c>
      <c r="C94" s="50" t="s">
        <v>21</v>
      </c>
      <c r="D94" s="51">
        <v>1001060764993</v>
      </c>
      <c r="E94" s="24"/>
      <c r="F94" s="23">
        <v>0.25</v>
      </c>
      <c r="G94" s="23">
        <f t="shared" si="21"/>
        <v>0</v>
      </c>
      <c r="H94" s="14">
        <v>2</v>
      </c>
      <c r="I94" s="14">
        <v>120</v>
      </c>
      <c r="J94" s="29"/>
      <c r="L94" s="128"/>
    </row>
    <row r="95" spans="1:67" ht="16.5" customHeight="1" x14ac:dyDescent="0.25">
      <c r="A95" s="56" t="str">
        <f t="shared" si="20"/>
        <v>5483</v>
      </c>
      <c r="B95" s="53" t="s">
        <v>89</v>
      </c>
      <c r="C95" s="50" t="s">
        <v>21</v>
      </c>
      <c r="D95" s="51">
        <v>1001062505483</v>
      </c>
      <c r="E95" s="24"/>
      <c r="F95" s="23">
        <v>0.25</v>
      </c>
      <c r="G95" s="23">
        <f t="shared" si="21"/>
        <v>0</v>
      </c>
      <c r="H95" s="14">
        <v>2</v>
      </c>
      <c r="I95" s="14">
        <v>120</v>
      </c>
      <c r="J95" s="29"/>
      <c r="L95" s="128"/>
    </row>
    <row r="96" spans="1:67" ht="16.5" customHeight="1" x14ac:dyDescent="0.25">
      <c r="A96" s="56" t="str">
        <f t="shared" si="20"/>
        <v>4117</v>
      </c>
      <c r="B96" s="53" t="s">
        <v>88</v>
      </c>
      <c r="C96" s="50" t="s">
        <v>23</v>
      </c>
      <c r="D96" s="51">
        <v>1001062504117</v>
      </c>
      <c r="E96" s="24"/>
      <c r="F96" s="23">
        <v>0.49399999999999999</v>
      </c>
      <c r="G96" s="23">
        <f t="shared" ref="G96" si="23">E96</f>
        <v>0</v>
      </c>
      <c r="H96" s="14">
        <v>3.95</v>
      </c>
      <c r="I96" s="14">
        <v>120</v>
      </c>
      <c r="J96" s="29"/>
      <c r="L96" s="128"/>
    </row>
    <row r="97" spans="1:67" ht="16.5" customHeight="1" x14ac:dyDescent="0.25">
      <c r="A97" s="56" t="str">
        <f t="shared" si="20"/>
        <v>6967</v>
      </c>
      <c r="B97" s="53" t="s">
        <v>84</v>
      </c>
      <c r="C97" s="50" t="s">
        <v>21</v>
      </c>
      <c r="D97" s="51">
        <v>1001063656967</v>
      </c>
      <c r="E97" s="24"/>
      <c r="F97" s="23">
        <v>0.25</v>
      </c>
      <c r="G97" s="23">
        <f t="shared" ref="G97:G98" si="24">E97*F97</f>
        <v>0</v>
      </c>
      <c r="H97" s="14">
        <v>2</v>
      </c>
      <c r="I97" s="14">
        <v>120</v>
      </c>
      <c r="J97" s="29"/>
      <c r="L97" s="128"/>
    </row>
    <row r="98" spans="1:67" ht="16.5" customHeight="1" x14ac:dyDescent="0.25">
      <c r="A98" s="56" t="str">
        <f t="shared" si="20"/>
        <v>7147</v>
      </c>
      <c r="B98" s="53" t="s">
        <v>86</v>
      </c>
      <c r="C98" s="50" t="s">
        <v>21</v>
      </c>
      <c r="D98" s="51">
        <v>1001063237147</v>
      </c>
      <c r="E98" s="24"/>
      <c r="F98" s="23">
        <v>0.22</v>
      </c>
      <c r="G98" s="23">
        <f t="shared" si="24"/>
        <v>0</v>
      </c>
      <c r="H98" s="14">
        <v>1.76</v>
      </c>
      <c r="I98" s="14">
        <v>120</v>
      </c>
      <c r="J98" s="29"/>
      <c r="L98" s="128"/>
    </row>
    <row r="99" spans="1:67" ht="16.5" customHeight="1" x14ac:dyDescent="0.25">
      <c r="A99" s="56" t="str">
        <f t="shared" si="20"/>
        <v>6832</v>
      </c>
      <c r="B99" s="53" t="s">
        <v>82</v>
      </c>
      <c r="C99" s="50" t="s">
        <v>23</v>
      </c>
      <c r="D99" s="51">
        <v>1001065616832</v>
      </c>
      <c r="E99" s="24"/>
      <c r="F99" s="23">
        <v>0.215</v>
      </c>
      <c r="G99" s="23">
        <f t="shared" ref="G99:G100" si="25">E99</f>
        <v>0</v>
      </c>
      <c r="H99" s="14">
        <v>2.15</v>
      </c>
      <c r="I99" s="14">
        <v>30</v>
      </c>
      <c r="J99" s="29"/>
      <c r="L99" s="128"/>
    </row>
    <row r="100" spans="1:67" ht="16.5" customHeight="1" x14ac:dyDescent="0.25">
      <c r="A100" s="56" t="str">
        <f t="shared" si="20"/>
        <v>7299</v>
      </c>
      <c r="B100" s="53" t="s">
        <v>83</v>
      </c>
      <c r="C100" s="50" t="s">
        <v>23</v>
      </c>
      <c r="D100" s="51">
        <v>1001060677299</v>
      </c>
      <c r="E100" s="24"/>
      <c r="F100" s="23">
        <v>0.215</v>
      </c>
      <c r="G100" s="23">
        <f t="shared" si="25"/>
        <v>0</v>
      </c>
      <c r="H100" s="14">
        <v>2.15</v>
      </c>
      <c r="I100" s="14">
        <v>30</v>
      </c>
      <c r="J100" s="29"/>
      <c r="L100" s="128"/>
    </row>
    <row r="101" spans="1:67" ht="16.5" customHeight="1" x14ac:dyDescent="0.25">
      <c r="A101" s="56" t="str">
        <f t="shared" si="20"/>
        <v>7613</v>
      </c>
      <c r="B101" s="53" t="s">
        <v>221</v>
      </c>
      <c r="C101" s="50" t="s">
        <v>21</v>
      </c>
      <c r="D101" s="51">
        <v>1001061977613</v>
      </c>
      <c r="E101" s="24"/>
      <c r="F101" s="23">
        <v>0.1</v>
      </c>
      <c r="G101" s="23">
        <f t="shared" ref="G101:G106" si="26">E101*F101</f>
        <v>0</v>
      </c>
      <c r="H101" s="14">
        <v>1</v>
      </c>
      <c r="I101" s="14">
        <v>60</v>
      </c>
      <c r="J101" s="52" t="s">
        <v>213</v>
      </c>
      <c r="L101" s="128"/>
    </row>
    <row r="102" spans="1:67" ht="16.5" customHeight="1" x14ac:dyDescent="0.25">
      <c r="A102" s="56" t="str">
        <f t="shared" si="20"/>
        <v>7382</v>
      </c>
      <c r="B102" s="53" t="s">
        <v>85</v>
      </c>
      <c r="C102" s="50" t="s">
        <v>21</v>
      </c>
      <c r="D102" s="51">
        <v>1001203117382</v>
      </c>
      <c r="E102" s="24"/>
      <c r="F102" s="23">
        <v>0.12</v>
      </c>
      <c r="G102" s="23">
        <f t="shared" si="26"/>
        <v>0</v>
      </c>
      <c r="H102" s="14">
        <v>0.96</v>
      </c>
      <c r="I102" s="14">
        <v>60</v>
      </c>
      <c r="J102" s="29"/>
      <c r="L102" s="128"/>
    </row>
    <row r="103" spans="1:67" ht="16.5" customHeight="1" x14ac:dyDescent="0.25">
      <c r="A103" s="56" t="str">
        <f t="shared" si="20"/>
        <v>7616</v>
      </c>
      <c r="B103" s="53" t="s">
        <v>217</v>
      </c>
      <c r="C103" s="50" t="s">
        <v>21</v>
      </c>
      <c r="D103" s="51">
        <v>1001062507616</v>
      </c>
      <c r="E103" s="24"/>
      <c r="F103" s="23">
        <v>0.1</v>
      </c>
      <c r="G103" s="23">
        <f t="shared" si="26"/>
        <v>0</v>
      </c>
      <c r="H103" s="14">
        <v>1.4</v>
      </c>
      <c r="I103" s="14">
        <v>60</v>
      </c>
      <c r="J103" s="52" t="s">
        <v>214</v>
      </c>
      <c r="L103" s="128"/>
    </row>
    <row r="104" spans="1:67" ht="16.5" customHeight="1" x14ac:dyDescent="0.25">
      <c r="A104" s="56" t="str">
        <f t="shared" si="20"/>
        <v>6221</v>
      </c>
      <c r="B104" s="53" t="s">
        <v>87</v>
      </c>
      <c r="C104" s="50" t="s">
        <v>21</v>
      </c>
      <c r="D104" s="51">
        <v>1001205376221</v>
      </c>
      <c r="E104" s="24"/>
      <c r="F104" s="23">
        <v>0.09</v>
      </c>
      <c r="G104" s="23">
        <f t="shared" si="26"/>
        <v>0</v>
      </c>
      <c r="H104" s="14">
        <v>0.9</v>
      </c>
      <c r="I104" s="14">
        <v>60</v>
      </c>
      <c r="J104" s="29"/>
      <c r="L104" s="128"/>
    </row>
    <row r="105" spans="1:67" ht="16.5" customHeight="1" x14ac:dyDescent="0.25">
      <c r="A105" s="56" t="str">
        <f t="shared" si="20"/>
        <v>5679</v>
      </c>
      <c r="B105" s="53" t="s">
        <v>156</v>
      </c>
      <c r="C105" s="50" t="s">
        <v>21</v>
      </c>
      <c r="D105" s="51">
        <v>1001190765679</v>
      </c>
      <c r="E105" s="24"/>
      <c r="F105" s="23">
        <v>0.15</v>
      </c>
      <c r="G105" s="23">
        <f t="shared" si="26"/>
        <v>0</v>
      </c>
      <c r="H105" s="14">
        <v>1.2</v>
      </c>
      <c r="I105" s="14">
        <v>60</v>
      </c>
      <c r="J105" s="29"/>
      <c r="L105" s="128"/>
    </row>
    <row r="106" spans="1:67" ht="16.5" customHeight="1" thickBot="1" x14ac:dyDescent="0.3">
      <c r="A106" s="56" t="str">
        <f t="shared" si="20"/>
        <v>7626</v>
      </c>
      <c r="B106" s="53" t="s">
        <v>216</v>
      </c>
      <c r="C106" s="50" t="s">
        <v>21</v>
      </c>
      <c r="D106" s="51">
        <v>1001066607626</v>
      </c>
      <c r="E106" s="24"/>
      <c r="F106" s="23">
        <v>0.1</v>
      </c>
      <c r="G106" s="23">
        <f t="shared" si="26"/>
        <v>0</v>
      </c>
      <c r="H106" s="14">
        <v>1</v>
      </c>
      <c r="I106" s="14">
        <v>60</v>
      </c>
      <c r="J106" s="52" t="s">
        <v>215</v>
      </c>
      <c r="L106" s="128"/>
    </row>
    <row r="107" spans="1:67" ht="16.5" customHeight="1" thickTop="1" thickBot="1" x14ac:dyDescent="0.3">
      <c r="A107" s="47" t="s">
        <v>109</v>
      </c>
      <c r="B107" s="42" t="s">
        <v>92</v>
      </c>
      <c r="C107" s="42"/>
      <c r="D107" s="42"/>
      <c r="E107" s="42"/>
      <c r="F107" s="41"/>
      <c r="G107" s="42"/>
      <c r="H107" s="42"/>
      <c r="I107" s="42"/>
      <c r="J107" s="43"/>
      <c r="L107" s="128"/>
    </row>
    <row r="108" spans="1:67" ht="16.149999999999999" customHeight="1" thickTop="1" x14ac:dyDescent="0.25">
      <c r="A108" s="56" t="str">
        <f t="shared" ref="A108:A121" si="27">RIGHT(D108,4)</f>
        <v>4584</v>
      </c>
      <c r="B108" s="120" t="s">
        <v>125</v>
      </c>
      <c r="C108" s="50" t="s">
        <v>23</v>
      </c>
      <c r="D108" s="119">
        <v>1001092674584</v>
      </c>
      <c r="E108" s="24"/>
      <c r="F108" s="23">
        <v>2.5</v>
      </c>
      <c r="G108" s="23">
        <f>E108</f>
        <v>0</v>
      </c>
      <c r="H108" s="14">
        <v>7.5</v>
      </c>
      <c r="I108" s="14">
        <v>60</v>
      </c>
      <c r="J108" s="29"/>
      <c r="L108" s="128"/>
    </row>
    <row r="109" spans="1:67" s="60" customFormat="1" ht="16.149999999999999" customHeight="1" x14ac:dyDescent="0.25">
      <c r="A109" s="56" t="str">
        <f t="shared" si="27"/>
        <v>6495</v>
      </c>
      <c r="B109" s="121" t="s">
        <v>97</v>
      </c>
      <c r="C109" s="55" t="s">
        <v>21</v>
      </c>
      <c r="D109" s="69">
        <v>1001092436495</v>
      </c>
      <c r="E109" s="24"/>
      <c r="F109" s="58">
        <v>0.3</v>
      </c>
      <c r="G109" s="23">
        <f>E109*F109</f>
        <v>0</v>
      </c>
      <c r="H109" s="59">
        <v>1.8</v>
      </c>
      <c r="I109" s="59">
        <v>45</v>
      </c>
      <c r="J109" s="59"/>
      <c r="K109" s="27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  <c r="AB109" s="128"/>
      <c r="AC109" s="128"/>
      <c r="AD109" s="128"/>
      <c r="AE109" s="128"/>
      <c r="AF109" s="128"/>
      <c r="AG109" s="128"/>
      <c r="AH109" s="128"/>
      <c r="AI109" s="128"/>
      <c r="AJ109" s="128"/>
      <c r="AK109" s="128"/>
      <c r="AL109" s="128"/>
      <c r="AM109" s="128"/>
      <c r="AN109" s="128"/>
      <c r="AO109" s="128"/>
      <c r="AP109" s="128"/>
      <c r="AQ109" s="128"/>
      <c r="AR109" s="128"/>
      <c r="AS109" s="128"/>
      <c r="AT109" s="128"/>
      <c r="AU109" s="128"/>
      <c r="AV109" s="128"/>
      <c r="AW109" s="128"/>
      <c r="AX109" s="128"/>
      <c r="AY109" s="128"/>
      <c r="AZ109" s="128"/>
      <c r="BA109" s="128"/>
      <c r="BB109" s="128"/>
      <c r="BC109" s="128"/>
      <c r="BD109" s="128"/>
      <c r="BE109" s="128"/>
      <c r="BF109" s="128"/>
      <c r="BG109" s="128"/>
      <c r="BH109" s="128"/>
      <c r="BI109" s="128"/>
      <c r="BJ109" s="128"/>
      <c r="BK109" s="128"/>
      <c r="BL109" s="128"/>
      <c r="BM109" s="128"/>
      <c r="BN109" s="128"/>
      <c r="BO109" s="128"/>
    </row>
    <row r="110" spans="1:67" s="60" customFormat="1" ht="16.149999999999999" customHeight="1" x14ac:dyDescent="0.25">
      <c r="A110" s="56" t="str">
        <f t="shared" si="27"/>
        <v>6470</v>
      </c>
      <c r="B110" s="117" t="s">
        <v>126</v>
      </c>
      <c r="C110" s="55" t="s">
        <v>23</v>
      </c>
      <c r="D110" s="69">
        <v>1001092436470</v>
      </c>
      <c r="E110" s="24"/>
      <c r="F110" s="58">
        <v>1.2</v>
      </c>
      <c r="G110" s="23">
        <f t="shared" ref="G110:G111" si="28">E110</f>
        <v>0</v>
      </c>
      <c r="H110" s="59">
        <v>4.8</v>
      </c>
      <c r="I110" s="59">
        <v>45</v>
      </c>
      <c r="J110" s="59"/>
      <c r="K110" s="27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  <c r="AB110" s="128"/>
      <c r="AC110" s="128"/>
      <c r="AD110" s="128"/>
      <c r="AE110" s="128"/>
      <c r="AF110" s="128"/>
      <c r="AG110" s="128"/>
      <c r="AH110" s="128"/>
      <c r="AI110" s="128"/>
      <c r="AJ110" s="128"/>
      <c r="AK110" s="128"/>
      <c r="AL110" s="128"/>
      <c r="AM110" s="128"/>
      <c r="AN110" s="128"/>
      <c r="AO110" s="128"/>
      <c r="AP110" s="128"/>
      <c r="AQ110" s="128"/>
      <c r="AR110" s="128"/>
      <c r="AS110" s="128"/>
      <c r="AT110" s="128"/>
      <c r="AU110" s="128"/>
      <c r="AV110" s="128"/>
      <c r="AW110" s="128"/>
      <c r="AX110" s="128"/>
      <c r="AY110" s="128"/>
      <c r="AZ110" s="128"/>
      <c r="BA110" s="128"/>
      <c r="BB110" s="128"/>
      <c r="BC110" s="128"/>
      <c r="BD110" s="128"/>
      <c r="BE110" s="128"/>
      <c r="BF110" s="128"/>
      <c r="BG110" s="128"/>
      <c r="BH110" s="128"/>
      <c r="BI110" s="128"/>
      <c r="BJ110" s="128"/>
      <c r="BK110" s="128"/>
      <c r="BL110" s="128"/>
      <c r="BM110" s="128"/>
      <c r="BN110" s="128"/>
      <c r="BO110" s="128"/>
    </row>
    <row r="111" spans="1:67" s="60" customFormat="1" ht="16.149999999999999" customHeight="1" x14ac:dyDescent="0.25">
      <c r="A111" s="56" t="str">
        <f t="shared" si="27"/>
        <v>5452</v>
      </c>
      <c r="B111" s="117" t="s">
        <v>95</v>
      </c>
      <c r="C111" s="55" t="s">
        <v>23</v>
      </c>
      <c r="D111" s="69">
        <v>1001092485452</v>
      </c>
      <c r="E111" s="24"/>
      <c r="F111" s="58">
        <v>1.35</v>
      </c>
      <c r="G111" s="23">
        <f t="shared" si="28"/>
        <v>0</v>
      </c>
      <c r="H111" s="59">
        <v>4.05</v>
      </c>
      <c r="I111" s="59">
        <v>60</v>
      </c>
      <c r="J111" s="59"/>
      <c r="K111" s="27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  <c r="AB111" s="128"/>
      <c r="AC111" s="128"/>
      <c r="AD111" s="128"/>
      <c r="AE111" s="128"/>
      <c r="AF111" s="128"/>
      <c r="AG111" s="128"/>
      <c r="AH111" s="128"/>
      <c r="AI111" s="128"/>
      <c r="AJ111" s="128"/>
      <c r="AK111" s="128"/>
      <c r="AL111" s="128"/>
      <c r="AM111" s="128"/>
      <c r="AN111" s="128"/>
      <c r="AO111" s="128"/>
      <c r="AP111" s="128"/>
      <c r="AQ111" s="128"/>
      <c r="AR111" s="128"/>
      <c r="AS111" s="128"/>
      <c r="AT111" s="128"/>
      <c r="AU111" s="128"/>
      <c r="AV111" s="128"/>
      <c r="AW111" s="128"/>
      <c r="AX111" s="128"/>
      <c r="AY111" s="128"/>
      <c r="AZ111" s="128"/>
      <c r="BA111" s="128"/>
      <c r="BB111" s="128"/>
      <c r="BC111" s="128"/>
      <c r="BD111" s="128"/>
      <c r="BE111" s="128"/>
      <c r="BF111" s="128"/>
      <c r="BG111" s="128"/>
      <c r="BH111" s="128"/>
      <c r="BI111" s="128"/>
      <c r="BJ111" s="128"/>
      <c r="BK111" s="128"/>
      <c r="BL111" s="128"/>
      <c r="BM111" s="128"/>
      <c r="BN111" s="128"/>
      <c r="BO111" s="128"/>
    </row>
    <row r="112" spans="1:67" s="60" customFormat="1" ht="16.149999999999999" customHeight="1" x14ac:dyDescent="0.25">
      <c r="A112" s="56" t="str">
        <f t="shared" si="27"/>
        <v>3215</v>
      </c>
      <c r="B112" s="117" t="s">
        <v>94</v>
      </c>
      <c r="C112" s="55" t="s">
        <v>21</v>
      </c>
      <c r="D112" s="69">
        <v>1001094053215</v>
      </c>
      <c r="E112" s="24"/>
      <c r="F112" s="58">
        <v>0.4</v>
      </c>
      <c r="G112" s="23">
        <f>E112*F112</f>
        <v>0</v>
      </c>
      <c r="H112" s="59">
        <v>3.2</v>
      </c>
      <c r="I112" s="59">
        <v>60</v>
      </c>
      <c r="J112" s="59"/>
      <c r="K112" s="27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  <c r="AB112" s="128"/>
      <c r="AC112" s="128"/>
      <c r="AD112" s="128"/>
      <c r="AE112" s="128"/>
      <c r="AF112" s="128"/>
      <c r="AG112" s="128"/>
      <c r="AH112" s="128"/>
      <c r="AI112" s="128"/>
      <c r="AJ112" s="128"/>
      <c r="AK112" s="128"/>
      <c r="AL112" s="128"/>
      <c r="AM112" s="128"/>
      <c r="AN112" s="128"/>
      <c r="AO112" s="128"/>
      <c r="AP112" s="128"/>
      <c r="AQ112" s="128"/>
      <c r="AR112" s="128"/>
      <c r="AS112" s="128"/>
      <c r="AT112" s="128"/>
      <c r="AU112" s="128"/>
      <c r="AV112" s="128"/>
      <c r="AW112" s="128"/>
      <c r="AX112" s="128"/>
      <c r="AY112" s="128"/>
      <c r="AZ112" s="128"/>
      <c r="BA112" s="128"/>
      <c r="BB112" s="128"/>
      <c r="BC112" s="128"/>
      <c r="BD112" s="128"/>
      <c r="BE112" s="128"/>
      <c r="BF112" s="128"/>
      <c r="BG112" s="128"/>
      <c r="BH112" s="128"/>
      <c r="BI112" s="128"/>
      <c r="BJ112" s="128"/>
      <c r="BK112" s="128"/>
      <c r="BL112" s="128"/>
      <c r="BM112" s="128"/>
      <c r="BN112" s="128"/>
      <c r="BO112" s="128"/>
    </row>
    <row r="113" spans="1:67" s="60" customFormat="1" ht="16.149999999999999" customHeight="1" x14ac:dyDescent="0.25">
      <c r="A113" s="56" t="str">
        <f t="shared" si="27"/>
        <v>6866</v>
      </c>
      <c r="B113" s="117" t="s">
        <v>93</v>
      </c>
      <c r="C113" s="55" t="s">
        <v>23</v>
      </c>
      <c r="D113" s="69">
        <v>1001095716866</v>
      </c>
      <c r="E113" s="24"/>
      <c r="F113" s="58">
        <v>1.5</v>
      </c>
      <c r="G113" s="23">
        <f>E113</f>
        <v>0</v>
      </c>
      <c r="H113" s="59">
        <v>6</v>
      </c>
      <c r="I113" s="59">
        <v>60</v>
      </c>
      <c r="J113" s="59"/>
      <c r="K113" s="27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  <c r="AB113" s="128"/>
      <c r="AC113" s="128"/>
      <c r="AD113" s="128"/>
      <c r="AE113" s="128"/>
      <c r="AF113" s="128"/>
      <c r="AG113" s="128"/>
      <c r="AH113" s="128"/>
      <c r="AI113" s="128"/>
      <c r="AJ113" s="128"/>
      <c r="AK113" s="128"/>
      <c r="AL113" s="128"/>
      <c r="AM113" s="128"/>
      <c r="AN113" s="128"/>
      <c r="AO113" s="128"/>
      <c r="AP113" s="128"/>
      <c r="AQ113" s="128"/>
      <c r="AR113" s="128"/>
      <c r="AS113" s="128"/>
      <c r="AT113" s="128"/>
      <c r="AU113" s="128"/>
      <c r="AV113" s="128"/>
      <c r="AW113" s="128"/>
      <c r="AX113" s="128"/>
      <c r="AY113" s="128"/>
      <c r="AZ113" s="128"/>
      <c r="BA113" s="128"/>
      <c r="BB113" s="128"/>
      <c r="BC113" s="128"/>
      <c r="BD113" s="128"/>
      <c r="BE113" s="128"/>
      <c r="BF113" s="128"/>
      <c r="BG113" s="128"/>
      <c r="BH113" s="128"/>
      <c r="BI113" s="128"/>
      <c r="BJ113" s="128"/>
      <c r="BK113" s="128"/>
      <c r="BL113" s="128"/>
      <c r="BM113" s="128"/>
      <c r="BN113" s="128"/>
      <c r="BO113" s="128"/>
    </row>
    <row r="114" spans="1:67" s="60" customFormat="1" ht="16.5" customHeight="1" x14ac:dyDescent="0.25">
      <c r="A114" s="56" t="str">
        <f t="shared" si="27"/>
        <v>5495</v>
      </c>
      <c r="B114" s="54" t="s">
        <v>96</v>
      </c>
      <c r="C114" s="55" t="s">
        <v>21</v>
      </c>
      <c r="D114" s="118">
        <v>1001093345495</v>
      </c>
      <c r="E114" s="24"/>
      <c r="F114" s="58">
        <v>0.4</v>
      </c>
      <c r="G114" s="23">
        <f t="shared" ref="G114:G117" si="29">E114*F114</f>
        <v>0</v>
      </c>
      <c r="H114" s="59">
        <v>2.4</v>
      </c>
      <c r="I114" s="59">
        <v>60</v>
      </c>
      <c r="J114" s="59"/>
      <c r="K114" s="27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  <c r="AB114" s="128"/>
      <c r="AC114" s="128"/>
      <c r="AD114" s="128"/>
      <c r="AE114" s="128"/>
      <c r="AF114" s="128"/>
      <c r="AG114" s="128"/>
      <c r="AH114" s="128"/>
      <c r="AI114" s="128"/>
      <c r="AJ114" s="128"/>
      <c r="AK114" s="128"/>
      <c r="AL114" s="128"/>
      <c r="AM114" s="128"/>
      <c r="AN114" s="128"/>
      <c r="AO114" s="128"/>
      <c r="AP114" s="128"/>
      <c r="AQ114" s="128"/>
      <c r="AR114" s="128"/>
      <c r="AS114" s="128"/>
      <c r="AT114" s="128"/>
      <c r="AU114" s="128"/>
      <c r="AV114" s="128"/>
      <c r="AW114" s="128"/>
      <c r="AX114" s="128"/>
      <c r="AY114" s="128"/>
      <c r="AZ114" s="128"/>
      <c r="BA114" s="128"/>
      <c r="BB114" s="128"/>
      <c r="BC114" s="128"/>
      <c r="BD114" s="128"/>
      <c r="BE114" s="128"/>
      <c r="BF114" s="128"/>
      <c r="BG114" s="128"/>
      <c r="BH114" s="128"/>
      <c r="BI114" s="128"/>
      <c r="BJ114" s="128"/>
      <c r="BK114" s="128"/>
      <c r="BL114" s="128"/>
      <c r="BM114" s="128"/>
      <c r="BN114" s="128"/>
      <c r="BO114" s="128"/>
    </row>
    <row r="115" spans="1:67" s="60" customFormat="1" ht="16.5" customHeight="1" x14ac:dyDescent="0.25">
      <c r="A115" s="56" t="str">
        <f t="shared" si="27"/>
        <v>7377</v>
      </c>
      <c r="B115" s="54" t="s">
        <v>127</v>
      </c>
      <c r="C115" s="55" t="s">
        <v>21</v>
      </c>
      <c r="D115" s="118">
        <v>1001095027377</v>
      </c>
      <c r="E115" s="24"/>
      <c r="F115" s="58">
        <v>0.3</v>
      </c>
      <c r="G115" s="23">
        <f t="shared" si="29"/>
        <v>0</v>
      </c>
      <c r="H115" s="59">
        <v>1.8</v>
      </c>
      <c r="I115" s="59">
        <v>45</v>
      </c>
      <c r="J115" s="59"/>
      <c r="K115" s="27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  <c r="AB115" s="128"/>
      <c r="AC115" s="128"/>
      <c r="AD115" s="128"/>
      <c r="AE115" s="128"/>
      <c r="AF115" s="128"/>
      <c r="AG115" s="128"/>
      <c r="AH115" s="128"/>
      <c r="AI115" s="128"/>
      <c r="AJ115" s="128"/>
      <c r="AK115" s="128"/>
      <c r="AL115" s="128"/>
      <c r="AM115" s="128"/>
      <c r="AN115" s="128"/>
      <c r="AO115" s="128"/>
      <c r="AP115" s="128"/>
      <c r="AQ115" s="128"/>
      <c r="AR115" s="128"/>
      <c r="AS115" s="128"/>
      <c r="AT115" s="128"/>
      <c r="AU115" s="128"/>
      <c r="AV115" s="128"/>
      <c r="AW115" s="128"/>
      <c r="AX115" s="128"/>
      <c r="AY115" s="128"/>
      <c r="AZ115" s="128"/>
      <c r="BA115" s="128"/>
      <c r="BB115" s="128"/>
      <c r="BC115" s="128"/>
      <c r="BD115" s="128"/>
      <c r="BE115" s="128"/>
      <c r="BF115" s="128"/>
      <c r="BG115" s="128"/>
      <c r="BH115" s="128"/>
      <c r="BI115" s="128"/>
      <c r="BJ115" s="128"/>
      <c r="BK115" s="128"/>
      <c r="BL115" s="128"/>
      <c r="BM115" s="128"/>
      <c r="BN115" s="128"/>
      <c r="BO115" s="128"/>
    </row>
    <row r="116" spans="1:67" ht="16.5" customHeight="1" x14ac:dyDescent="0.25">
      <c r="A116" s="139" t="str">
        <f t="shared" si="27"/>
        <v>6411</v>
      </c>
      <c r="B116" s="53" t="s">
        <v>229</v>
      </c>
      <c r="C116" s="50" t="s">
        <v>21</v>
      </c>
      <c r="D116" s="140">
        <v>1001093316411</v>
      </c>
      <c r="E116" s="24"/>
      <c r="F116" s="141">
        <v>0.3</v>
      </c>
      <c r="G116" s="23">
        <f t="shared" si="29"/>
        <v>0</v>
      </c>
      <c r="H116" s="29"/>
      <c r="I116" s="29"/>
      <c r="J116" s="29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</row>
    <row r="117" spans="1:67" s="60" customFormat="1" ht="16.5" customHeight="1" x14ac:dyDescent="0.25">
      <c r="A117" s="56" t="str">
        <f t="shared" si="27"/>
        <v>6925</v>
      </c>
      <c r="B117" s="54" t="s">
        <v>108</v>
      </c>
      <c r="C117" s="55" t="s">
        <v>21</v>
      </c>
      <c r="D117" s="118">
        <v>1001095226925</v>
      </c>
      <c r="E117" s="24"/>
      <c r="F117" s="58">
        <v>0.6</v>
      </c>
      <c r="G117" s="23">
        <f t="shared" si="29"/>
        <v>0</v>
      </c>
      <c r="H117" s="59">
        <v>4.8</v>
      </c>
      <c r="I117" s="59">
        <v>45</v>
      </c>
      <c r="J117" s="59"/>
      <c r="K117" s="27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28"/>
      <c r="AC117" s="128"/>
      <c r="AD117" s="128"/>
      <c r="AE117" s="128"/>
      <c r="AF117" s="128"/>
      <c r="AG117" s="128"/>
      <c r="AH117" s="128"/>
      <c r="AI117" s="128"/>
      <c r="AJ117" s="128"/>
      <c r="AK117" s="128"/>
      <c r="AL117" s="128"/>
      <c r="AM117" s="128"/>
      <c r="AN117" s="128"/>
      <c r="AO117" s="128"/>
      <c r="AP117" s="128"/>
      <c r="AQ117" s="128"/>
      <c r="AR117" s="128"/>
      <c r="AS117" s="128"/>
      <c r="AT117" s="128"/>
      <c r="AU117" s="128"/>
      <c r="AV117" s="128"/>
      <c r="AW117" s="128"/>
      <c r="AX117" s="128"/>
      <c r="AY117" s="128"/>
      <c r="AZ117" s="128"/>
      <c r="BA117" s="128"/>
      <c r="BB117" s="128"/>
      <c r="BC117" s="128"/>
      <c r="BD117" s="128"/>
      <c r="BE117" s="128"/>
      <c r="BF117" s="128"/>
      <c r="BG117" s="128"/>
      <c r="BH117" s="128"/>
      <c r="BI117" s="128"/>
      <c r="BJ117" s="128"/>
      <c r="BK117" s="128"/>
      <c r="BL117" s="128"/>
      <c r="BM117" s="128"/>
      <c r="BN117" s="128"/>
      <c r="BO117" s="128"/>
    </row>
    <row r="118" spans="1:67" s="60" customFormat="1" ht="15.75" customHeight="1" x14ac:dyDescent="0.25">
      <c r="A118" s="56" t="str">
        <f t="shared" si="27"/>
        <v>6025</v>
      </c>
      <c r="B118" s="54" t="s">
        <v>128</v>
      </c>
      <c r="C118" s="55" t="s">
        <v>23</v>
      </c>
      <c r="D118" s="118">
        <v>1001094966025</v>
      </c>
      <c r="E118" s="24"/>
      <c r="F118" s="58">
        <v>3</v>
      </c>
      <c r="G118" s="23">
        <f>E118</f>
        <v>0</v>
      </c>
      <c r="H118" s="59">
        <v>6</v>
      </c>
      <c r="I118" s="59">
        <v>60</v>
      </c>
      <c r="J118" s="59"/>
      <c r="K118" s="27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  <c r="AB118" s="128"/>
      <c r="AC118" s="128"/>
      <c r="AD118" s="128"/>
      <c r="AE118" s="128"/>
      <c r="AF118" s="128"/>
      <c r="AG118" s="128"/>
      <c r="AH118" s="128"/>
      <c r="AI118" s="128"/>
      <c r="AJ118" s="128"/>
      <c r="AK118" s="128"/>
      <c r="AL118" s="128"/>
      <c r="AM118" s="128"/>
      <c r="AN118" s="128"/>
      <c r="AO118" s="128"/>
      <c r="AP118" s="128"/>
      <c r="AQ118" s="128"/>
      <c r="AR118" s="128"/>
      <c r="AS118" s="128"/>
      <c r="AT118" s="128"/>
      <c r="AU118" s="128"/>
      <c r="AV118" s="128"/>
      <c r="AW118" s="128"/>
      <c r="AX118" s="128"/>
      <c r="AY118" s="128"/>
      <c r="AZ118" s="128"/>
      <c r="BA118" s="128"/>
      <c r="BB118" s="128"/>
      <c r="BC118" s="128"/>
      <c r="BD118" s="128"/>
      <c r="BE118" s="128"/>
      <c r="BF118" s="128"/>
      <c r="BG118" s="128"/>
      <c r="BH118" s="128"/>
      <c r="BI118" s="128"/>
      <c r="BJ118" s="128"/>
      <c r="BK118" s="128"/>
      <c r="BL118" s="128"/>
      <c r="BM118" s="128"/>
      <c r="BN118" s="128"/>
      <c r="BO118" s="128"/>
    </row>
    <row r="119" spans="1:67" s="60" customFormat="1" ht="15.75" customHeight="1" x14ac:dyDescent="0.25">
      <c r="A119" s="56" t="str">
        <f t="shared" si="27"/>
        <v>7485</v>
      </c>
      <c r="B119" s="54" t="s">
        <v>227</v>
      </c>
      <c r="C119" s="55" t="s">
        <v>21</v>
      </c>
      <c r="D119" s="118">
        <v>1001107397485</v>
      </c>
      <c r="E119" s="24"/>
      <c r="F119" s="58">
        <v>0.15</v>
      </c>
      <c r="G119" s="23">
        <f>F119*E119</f>
        <v>0</v>
      </c>
      <c r="H119" s="59"/>
      <c r="I119" s="59"/>
      <c r="J119" s="131" t="s">
        <v>207</v>
      </c>
      <c r="K119" s="27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  <c r="AB119" s="128"/>
      <c r="AC119" s="128"/>
      <c r="AD119" s="128"/>
      <c r="AE119" s="128"/>
      <c r="AF119" s="128"/>
      <c r="AG119" s="128"/>
      <c r="AH119" s="128"/>
      <c r="AI119" s="128"/>
      <c r="AJ119" s="128"/>
      <c r="AK119" s="128"/>
      <c r="AL119" s="128"/>
      <c r="AM119" s="128"/>
      <c r="AN119" s="128"/>
      <c r="AO119" s="128"/>
      <c r="AP119" s="128"/>
      <c r="AQ119" s="128"/>
      <c r="AR119" s="128"/>
      <c r="AS119" s="128"/>
      <c r="AT119" s="128"/>
      <c r="AU119" s="128"/>
      <c r="AV119" s="128"/>
      <c r="AW119" s="128"/>
      <c r="AX119" s="128"/>
      <c r="AY119" s="128"/>
      <c r="AZ119" s="128"/>
      <c r="BA119" s="128"/>
      <c r="BB119" s="128"/>
      <c r="BC119" s="128"/>
      <c r="BD119" s="128"/>
      <c r="BE119" s="128"/>
      <c r="BF119" s="128"/>
      <c r="BG119" s="128"/>
      <c r="BH119" s="128"/>
      <c r="BI119" s="128"/>
      <c r="BJ119" s="128"/>
      <c r="BK119" s="128"/>
      <c r="BL119" s="128"/>
      <c r="BM119" s="128"/>
      <c r="BN119" s="128"/>
      <c r="BO119" s="128"/>
    </row>
    <row r="120" spans="1:67" s="60" customFormat="1" ht="15.75" customHeight="1" x14ac:dyDescent="0.25">
      <c r="A120" s="56" t="str">
        <f t="shared" si="27"/>
        <v>7647</v>
      </c>
      <c r="B120" s="54" t="s">
        <v>205</v>
      </c>
      <c r="C120" s="55" t="s">
        <v>21</v>
      </c>
      <c r="D120" s="118">
        <v>1001097747647</v>
      </c>
      <c r="E120" s="24"/>
      <c r="F120" s="58">
        <v>0.1</v>
      </c>
      <c r="G120" s="23">
        <f>E120*F120</f>
        <v>0</v>
      </c>
      <c r="H120" s="59">
        <v>1</v>
      </c>
      <c r="I120" s="59">
        <v>30</v>
      </c>
      <c r="J120" s="131" t="s">
        <v>207</v>
      </c>
      <c r="K120" s="27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28"/>
      <c r="AC120" s="128"/>
      <c r="AD120" s="128"/>
      <c r="AE120" s="128"/>
      <c r="AF120" s="128"/>
      <c r="AG120" s="128"/>
      <c r="AH120" s="128"/>
      <c r="AI120" s="128"/>
      <c r="AJ120" s="128"/>
      <c r="AK120" s="128"/>
      <c r="AL120" s="128"/>
      <c r="AM120" s="128"/>
      <c r="AN120" s="128"/>
      <c r="AO120" s="128"/>
      <c r="AP120" s="128"/>
      <c r="AQ120" s="128"/>
      <c r="AR120" s="128"/>
      <c r="AS120" s="128"/>
      <c r="AT120" s="128"/>
      <c r="AU120" s="128"/>
      <c r="AV120" s="128"/>
      <c r="AW120" s="128"/>
      <c r="AX120" s="128"/>
      <c r="AY120" s="128"/>
      <c r="AZ120" s="128"/>
      <c r="BA120" s="128"/>
      <c r="BB120" s="128"/>
      <c r="BC120" s="128"/>
      <c r="BD120" s="128"/>
      <c r="BE120" s="128"/>
      <c r="BF120" s="128"/>
      <c r="BG120" s="128"/>
      <c r="BH120" s="128"/>
      <c r="BI120" s="128"/>
      <c r="BJ120" s="128"/>
      <c r="BK120" s="128"/>
      <c r="BL120" s="128"/>
      <c r="BM120" s="128"/>
      <c r="BN120" s="128"/>
      <c r="BO120" s="128"/>
    </row>
    <row r="121" spans="1:67" s="60" customFormat="1" ht="15.75" customHeight="1" thickBot="1" x14ac:dyDescent="0.3">
      <c r="A121" s="56" t="str">
        <f t="shared" si="27"/>
        <v>7651</v>
      </c>
      <c r="B121" s="54" t="s">
        <v>206</v>
      </c>
      <c r="C121" s="55" t="s">
        <v>21</v>
      </c>
      <c r="D121" s="118">
        <v>1001097767651</v>
      </c>
      <c r="E121" s="24"/>
      <c r="F121" s="58">
        <v>0.1</v>
      </c>
      <c r="G121" s="23">
        <f>E121*F121</f>
        <v>0</v>
      </c>
      <c r="H121" s="59">
        <v>1</v>
      </c>
      <c r="I121" s="59">
        <v>30</v>
      </c>
      <c r="J121" s="131" t="s">
        <v>207</v>
      </c>
      <c r="K121" s="27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  <c r="AB121" s="128"/>
      <c r="AC121" s="128"/>
      <c r="AD121" s="128"/>
      <c r="AE121" s="128"/>
      <c r="AF121" s="128"/>
      <c r="AG121" s="128"/>
      <c r="AH121" s="128"/>
      <c r="AI121" s="128"/>
      <c r="AJ121" s="128"/>
      <c r="AK121" s="128"/>
      <c r="AL121" s="128"/>
      <c r="AM121" s="128"/>
      <c r="AN121" s="128"/>
      <c r="AO121" s="128"/>
      <c r="AP121" s="128"/>
      <c r="AQ121" s="128"/>
      <c r="AR121" s="128"/>
      <c r="AS121" s="128"/>
      <c r="AT121" s="128"/>
      <c r="AU121" s="128"/>
      <c r="AV121" s="128"/>
      <c r="AW121" s="128"/>
      <c r="AX121" s="128"/>
      <c r="AY121" s="128"/>
      <c r="AZ121" s="128"/>
      <c r="BA121" s="128"/>
      <c r="BB121" s="128"/>
      <c r="BC121" s="128"/>
      <c r="BD121" s="128"/>
      <c r="BE121" s="128"/>
      <c r="BF121" s="128"/>
      <c r="BG121" s="128"/>
      <c r="BH121" s="128"/>
      <c r="BI121" s="128"/>
      <c r="BJ121" s="128"/>
      <c r="BK121" s="128"/>
      <c r="BL121" s="128"/>
      <c r="BM121" s="128"/>
      <c r="BN121" s="128"/>
      <c r="BO121" s="128"/>
    </row>
    <row r="122" spans="1:67" ht="16.5" customHeight="1" thickTop="1" thickBot="1" x14ac:dyDescent="0.3">
      <c r="A122" s="47" t="s">
        <v>109</v>
      </c>
      <c r="B122" s="42" t="s">
        <v>98</v>
      </c>
      <c r="C122" s="42"/>
      <c r="D122" s="42"/>
      <c r="E122" s="42"/>
      <c r="F122" s="41"/>
      <c r="G122" s="42"/>
      <c r="H122" s="42"/>
      <c r="I122" s="42"/>
      <c r="J122" s="43"/>
      <c r="L122" s="128"/>
    </row>
    <row r="123" spans="1:67" ht="16.5" customHeight="1" thickTop="1" x14ac:dyDescent="0.25">
      <c r="A123" s="56" t="str">
        <f t="shared" ref="A123:A132" si="30">RIGHT(D123,4)</f>
        <v>7090</v>
      </c>
      <c r="B123" s="35" t="s">
        <v>102</v>
      </c>
      <c r="C123" s="50" t="s">
        <v>21</v>
      </c>
      <c r="D123" s="51">
        <v>1001084217090</v>
      </c>
      <c r="E123" s="24"/>
      <c r="F123" s="23">
        <v>0.3</v>
      </c>
      <c r="G123" s="23">
        <f t="shared" ref="G123:G124" si="31">E123*F123</f>
        <v>0</v>
      </c>
      <c r="H123" s="14">
        <v>1.8</v>
      </c>
      <c r="I123" s="14">
        <v>50</v>
      </c>
      <c r="J123" s="29"/>
      <c r="L123" s="128"/>
    </row>
    <row r="124" spans="1:67" ht="16.5" customHeight="1" x14ac:dyDescent="0.25">
      <c r="A124" s="56" t="str">
        <f t="shared" si="30"/>
        <v>7187</v>
      </c>
      <c r="B124" s="35" t="s">
        <v>103</v>
      </c>
      <c r="C124" s="50" t="s">
        <v>21</v>
      </c>
      <c r="D124" s="51">
        <v>1001085637187</v>
      </c>
      <c r="E124" s="24"/>
      <c r="F124" s="23">
        <v>0.3</v>
      </c>
      <c r="G124" s="23">
        <f t="shared" si="31"/>
        <v>0</v>
      </c>
      <c r="H124" s="14">
        <v>1.8</v>
      </c>
      <c r="I124" s="14">
        <v>50</v>
      </c>
      <c r="J124" s="29"/>
      <c r="L124" s="128"/>
    </row>
    <row r="125" spans="1:67" ht="16.5" customHeight="1" x14ac:dyDescent="0.25">
      <c r="A125" s="56" t="str">
        <f t="shared" si="30"/>
        <v>6008</v>
      </c>
      <c r="B125" s="35" t="s">
        <v>208</v>
      </c>
      <c r="C125" s="50" t="s">
        <v>23</v>
      </c>
      <c r="D125" s="51">
        <v>1001084856008</v>
      </c>
      <c r="E125" s="24"/>
      <c r="F125" s="23">
        <v>0.3</v>
      </c>
      <c r="G125" s="23">
        <f>E125</f>
        <v>0</v>
      </c>
      <c r="H125" s="14">
        <v>1.8</v>
      </c>
      <c r="I125" s="14">
        <v>40</v>
      </c>
      <c r="J125" s="131" t="s">
        <v>207</v>
      </c>
      <c r="L125" s="128"/>
    </row>
    <row r="126" spans="1:67" ht="16.5" customHeight="1" x14ac:dyDescent="0.25">
      <c r="A126" s="56" t="str">
        <f t="shared" si="30"/>
        <v>6620</v>
      </c>
      <c r="B126" s="35" t="s">
        <v>99</v>
      </c>
      <c r="C126" s="50" t="s">
        <v>23</v>
      </c>
      <c r="D126" s="51">
        <v>1001081596620</v>
      </c>
      <c r="E126" s="24"/>
      <c r="F126" s="23">
        <v>1.05</v>
      </c>
      <c r="G126" s="23">
        <f>E126</f>
        <v>0</v>
      </c>
      <c r="H126" s="14">
        <v>3.15</v>
      </c>
      <c r="I126" s="14">
        <v>30</v>
      </c>
      <c r="J126" s="29"/>
      <c r="L126" s="128"/>
    </row>
    <row r="127" spans="1:67" ht="16.5" customHeight="1" x14ac:dyDescent="0.25">
      <c r="A127" s="56" t="str">
        <f t="shared" si="30"/>
        <v>7103</v>
      </c>
      <c r="B127" s="35" t="s">
        <v>104</v>
      </c>
      <c r="C127" s="50" t="s">
        <v>21</v>
      </c>
      <c r="D127" s="51">
        <v>1001223297103</v>
      </c>
      <c r="E127" s="24"/>
      <c r="F127" s="23">
        <v>0.18</v>
      </c>
      <c r="G127" s="23">
        <f t="shared" ref="G127:G132" si="32">E127*F127</f>
        <v>0</v>
      </c>
      <c r="H127" s="14">
        <v>1.8</v>
      </c>
      <c r="I127" s="14">
        <v>50</v>
      </c>
      <c r="J127" s="29"/>
      <c r="L127" s="128"/>
    </row>
    <row r="128" spans="1:67" ht="16.5" customHeight="1" x14ac:dyDescent="0.25">
      <c r="A128" s="56" t="str">
        <f t="shared" si="30"/>
        <v>7092</v>
      </c>
      <c r="B128" s="35" t="s">
        <v>79</v>
      </c>
      <c r="C128" s="50" t="s">
        <v>21</v>
      </c>
      <c r="D128" s="51">
        <v>1001223297092</v>
      </c>
      <c r="E128" s="24"/>
      <c r="F128" s="23">
        <v>0.14000000000000001</v>
      </c>
      <c r="G128" s="23">
        <f t="shared" si="32"/>
        <v>0</v>
      </c>
      <c r="H128" s="14">
        <v>1.4</v>
      </c>
      <c r="I128" s="14">
        <v>50</v>
      </c>
      <c r="J128" s="29"/>
      <c r="L128" s="128"/>
    </row>
    <row r="129" spans="1:12" ht="16.5" customHeight="1" x14ac:dyDescent="0.25">
      <c r="A129" s="56" t="str">
        <f t="shared" si="30"/>
        <v>6228</v>
      </c>
      <c r="B129" s="35" t="s">
        <v>90</v>
      </c>
      <c r="C129" s="50" t="s">
        <v>21</v>
      </c>
      <c r="D129" s="51">
        <v>1001225416228</v>
      </c>
      <c r="E129" s="24"/>
      <c r="F129" s="23">
        <v>0.09</v>
      </c>
      <c r="G129" s="23">
        <f t="shared" si="32"/>
        <v>0</v>
      </c>
      <c r="H129" s="14">
        <v>0.9</v>
      </c>
      <c r="I129" s="14">
        <v>45</v>
      </c>
      <c r="J129" s="29"/>
      <c r="L129" s="128"/>
    </row>
    <row r="130" spans="1:12" ht="16.5" customHeight="1" x14ac:dyDescent="0.25">
      <c r="A130" s="56" t="str">
        <f t="shared" si="30"/>
        <v>6208</v>
      </c>
      <c r="B130" s="35" t="s">
        <v>101</v>
      </c>
      <c r="C130" s="50" t="s">
        <v>21</v>
      </c>
      <c r="D130" s="51">
        <v>1001220226208</v>
      </c>
      <c r="E130" s="24"/>
      <c r="F130" s="23">
        <v>0.15</v>
      </c>
      <c r="G130" s="23">
        <f t="shared" si="32"/>
        <v>0</v>
      </c>
      <c r="H130" s="14">
        <v>1.5</v>
      </c>
      <c r="I130" s="14">
        <v>45</v>
      </c>
      <c r="J130" s="29"/>
      <c r="L130" s="128"/>
    </row>
    <row r="131" spans="1:12" ht="16.5" customHeight="1" x14ac:dyDescent="0.25">
      <c r="A131" s="56" t="str">
        <f t="shared" si="30"/>
        <v>6279</v>
      </c>
      <c r="B131" s="35" t="s">
        <v>100</v>
      </c>
      <c r="C131" s="50" t="s">
        <v>21</v>
      </c>
      <c r="D131" s="51">
        <v>1001220286279</v>
      </c>
      <c r="E131" s="24"/>
      <c r="F131" s="23">
        <v>0.15</v>
      </c>
      <c r="G131" s="23">
        <f t="shared" si="32"/>
        <v>0</v>
      </c>
      <c r="H131" s="14">
        <v>1.2</v>
      </c>
      <c r="I131" s="14">
        <v>45</v>
      </c>
      <c r="J131" s="29"/>
      <c r="L131" s="128"/>
    </row>
    <row r="132" spans="1:12" ht="16.5" customHeight="1" thickBot="1" x14ac:dyDescent="0.3">
      <c r="A132" s="56" t="str">
        <f t="shared" si="30"/>
        <v>7612</v>
      </c>
      <c r="B132" s="35" t="s">
        <v>145</v>
      </c>
      <c r="C132" s="50" t="s">
        <v>21</v>
      </c>
      <c r="D132" s="51">
        <v>1001453907612</v>
      </c>
      <c r="E132" s="24"/>
      <c r="F132" s="23">
        <v>0.1</v>
      </c>
      <c r="G132" s="23">
        <f t="shared" si="32"/>
        <v>0</v>
      </c>
      <c r="H132" s="14">
        <v>1</v>
      </c>
      <c r="I132" s="14">
        <v>60</v>
      </c>
      <c r="J132" s="52" t="s">
        <v>212</v>
      </c>
      <c r="L132" s="128"/>
    </row>
    <row r="133" spans="1:12" ht="16.5" customHeight="1" thickTop="1" thickBot="1" x14ac:dyDescent="0.3">
      <c r="A133" s="48"/>
      <c r="B133" s="45" t="s">
        <v>105</v>
      </c>
      <c r="C133" s="16"/>
      <c r="D133" s="36"/>
      <c r="E133" s="17">
        <f>SUM(E10:E132)</f>
        <v>0</v>
      </c>
      <c r="F133" s="17"/>
      <c r="G133" s="17">
        <f>SUM(G11:G132)</f>
        <v>0</v>
      </c>
      <c r="H133" s="17"/>
      <c r="I133" s="17"/>
      <c r="J133" s="17"/>
    </row>
    <row r="134" spans="1:12" ht="15.75" customHeight="1" thickTop="1" x14ac:dyDescent="0.25">
      <c r="B134" s="37"/>
      <c r="C134" s="18"/>
      <c r="D134" s="40"/>
      <c r="F134" s="19"/>
      <c r="G134" s="19"/>
      <c r="H134" s="20"/>
      <c r="I134" s="20"/>
      <c r="J134" s="21"/>
    </row>
    <row r="135" spans="1:12" x14ac:dyDescent="0.25">
      <c r="B135" s="37"/>
      <c r="C135" s="18"/>
      <c r="D135" s="40"/>
      <c r="F135" s="19"/>
      <c r="G135" s="19"/>
      <c r="H135" s="20"/>
      <c r="I135" s="20"/>
      <c r="J135" s="21"/>
    </row>
    <row r="136" spans="1:12" x14ac:dyDescent="0.25">
      <c r="B136" s="37"/>
      <c r="C136" s="18"/>
      <c r="D136" s="40"/>
      <c r="F136" s="19"/>
      <c r="G136" s="19"/>
      <c r="H136" s="20"/>
      <c r="I136" s="20"/>
      <c r="J136" s="21"/>
    </row>
    <row r="137" spans="1:12" x14ac:dyDescent="0.25">
      <c r="B137" s="37"/>
      <c r="C137" s="18"/>
      <c r="D137" s="40"/>
      <c r="F137" s="19"/>
      <c r="G137" s="19"/>
      <c r="H137" s="20"/>
      <c r="I137" s="20"/>
      <c r="J137" s="21"/>
    </row>
    <row r="138" spans="1:12" x14ac:dyDescent="0.25">
      <c r="B138" s="37"/>
      <c r="C138" s="18"/>
      <c r="D138" s="40"/>
      <c r="F138" s="19"/>
      <c r="G138" s="19"/>
      <c r="H138" s="20"/>
      <c r="I138" s="20"/>
      <c r="J138" s="21"/>
    </row>
    <row r="139" spans="1:12" x14ac:dyDescent="0.25">
      <c r="B139" s="37"/>
      <c r="C139" s="18"/>
      <c r="D139" s="40"/>
      <c r="F139" s="19"/>
      <c r="G139" s="19"/>
      <c r="H139" s="20"/>
      <c r="I139" s="20"/>
      <c r="J139" s="21"/>
    </row>
    <row r="140" spans="1:12" x14ac:dyDescent="0.25">
      <c r="B140" s="37"/>
      <c r="C140" s="61"/>
      <c r="D140" s="62"/>
      <c r="E140" s="63"/>
      <c r="F140" s="64"/>
      <c r="G140" s="64"/>
      <c r="H140" s="65"/>
      <c r="I140" s="65"/>
      <c r="J140" s="21"/>
    </row>
    <row r="141" spans="1:12" x14ac:dyDescent="0.25">
      <c r="B141" s="37"/>
      <c r="C141" s="61"/>
      <c r="D141" s="62"/>
      <c r="E141" s="63"/>
      <c r="F141" s="64"/>
      <c r="G141" s="64"/>
      <c r="H141" s="65"/>
      <c r="I141" s="65"/>
      <c r="J141" s="21"/>
    </row>
    <row r="142" spans="1:12" x14ac:dyDescent="0.25">
      <c r="B142" s="37"/>
      <c r="C142" s="61"/>
      <c r="D142" s="66"/>
      <c r="E142" s="67"/>
      <c r="F142" s="66"/>
      <c r="G142" s="68"/>
      <c r="H142" s="69"/>
      <c r="I142" s="70"/>
      <c r="J142" s="21"/>
    </row>
    <row r="143" spans="1:12" x14ac:dyDescent="0.25">
      <c r="B143" s="37"/>
      <c r="C143" s="18"/>
      <c r="D143" s="40"/>
      <c r="F143" s="19"/>
      <c r="G143" s="19"/>
      <c r="H143" s="20"/>
      <c r="I143" s="20"/>
      <c r="J143" s="21"/>
    </row>
    <row r="144" spans="1:12" x14ac:dyDescent="0.25">
      <c r="B144" s="37"/>
      <c r="C144" s="18"/>
      <c r="D144" s="40"/>
      <c r="F144" s="19"/>
      <c r="G144" s="19"/>
      <c r="H144" s="20"/>
      <c r="I144" s="20"/>
      <c r="J144" s="21"/>
    </row>
    <row r="145" spans="2:10" x14ac:dyDescent="0.25">
      <c r="B145" s="37"/>
      <c r="C145" s="18"/>
      <c r="D145" s="40"/>
      <c r="F145" s="19"/>
      <c r="G145" s="19"/>
      <c r="H145" s="20"/>
      <c r="I145" s="20"/>
      <c r="J145" s="21"/>
    </row>
    <row r="146" spans="2:10" x14ac:dyDescent="0.25">
      <c r="B146" s="37"/>
      <c r="C146" s="18"/>
      <c r="D146" s="40"/>
      <c r="F146" s="19"/>
      <c r="G146" s="19"/>
      <c r="H146" s="20"/>
      <c r="I146" s="20"/>
      <c r="J146" s="21"/>
    </row>
    <row r="147" spans="2:10" x14ac:dyDescent="0.25">
      <c r="B147" s="37"/>
      <c r="C147" s="18"/>
      <c r="D147" s="40"/>
      <c r="F147" s="19"/>
      <c r="G147" s="19"/>
      <c r="H147" s="20"/>
      <c r="I147" s="20"/>
      <c r="J147" s="21"/>
    </row>
    <row r="148" spans="2:10" x14ac:dyDescent="0.25">
      <c r="B148" s="37"/>
      <c r="C148" s="18"/>
      <c r="D148" s="40"/>
      <c r="F148" s="19"/>
      <c r="G148" s="19"/>
      <c r="H148" s="20"/>
      <c r="I148" s="20"/>
      <c r="J148" s="21"/>
    </row>
    <row r="149" spans="2:10" x14ac:dyDescent="0.25">
      <c r="B149" s="37"/>
      <c r="C149" s="18"/>
      <c r="D149" s="40"/>
      <c r="F149" s="19"/>
      <c r="G149" s="19"/>
      <c r="H149" s="20"/>
      <c r="I149" s="20"/>
      <c r="J149" s="21"/>
    </row>
    <row r="150" spans="2:10" x14ac:dyDescent="0.25">
      <c r="B150" s="37"/>
      <c r="C150" s="18"/>
      <c r="D150" s="40"/>
      <c r="F150" s="19"/>
      <c r="G150" s="19"/>
      <c r="H150" s="20"/>
      <c r="I150" s="20"/>
      <c r="J150" s="21"/>
    </row>
    <row r="151" spans="2:10" x14ac:dyDescent="0.25">
      <c r="B151" s="37"/>
      <c r="C151" s="18"/>
      <c r="D151" s="40"/>
      <c r="F151" s="19"/>
      <c r="G151" s="19"/>
      <c r="H151" s="20"/>
      <c r="I151" s="20"/>
      <c r="J151" s="21"/>
    </row>
    <row r="152" spans="2:10" x14ac:dyDescent="0.25">
      <c r="B152" s="37"/>
      <c r="C152" s="18"/>
      <c r="D152" s="40"/>
      <c r="F152" s="19"/>
      <c r="G152" s="19"/>
      <c r="H152" s="20"/>
      <c r="I152" s="20"/>
      <c r="J152" s="21"/>
    </row>
    <row r="153" spans="2:10" x14ac:dyDescent="0.25">
      <c r="B153" s="37"/>
      <c r="C153" s="18"/>
      <c r="D153" s="40"/>
      <c r="F153" s="19"/>
      <c r="G153" s="19"/>
      <c r="H153" s="20"/>
      <c r="I153" s="20"/>
      <c r="J153" s="21"/>
    </row>
    <row r="154" spans="2:10" x14ac:dyDescent="0.25">
      <c r="B154" s="37"/>
      <c r="C154" s="18"/>
      <c r="D154" s="40"/>
      <c r="F154" s="19"/>
      <c r="G154" s="19"/>
      <c r="H154" s="20"/>
      <c r="I154" s="20"/>
      <c r="J154" s="21"/>
    </row>
    <row r="155" spans="2:10" x14ac:dyDescent="0.25">
      <c r="B155" s="37"/>
      <c r="C155" s="18"/>
      <c r="D155" s="40"/>
      <c r="F155" s="19"/>
      <c r="G155" s="19"/>
      <c r="H155" s="20"/>
      <c r="I155" s="20"/>
      <c r="J155" s="21"/>
    </row>
    <row r="156" spans="2:10" x14ac:dyDescent="0.25">
      <c r="B156" s="37"/>
      <c r="C156" s="18"/>
      <c r="D156" s="40"/>
      <c r="F156" s="19"/>
      <c r="G156" s="19"/>
      <c r="H156" s="20"/>
      <c r="I156" s="20"/>
      <c r="J156" s="21"/>
    </row>
    <row r="157" spans="2:10" x14ac:dyDescent="0.25">
      <c r="B157" s="37"/>
      <c r="C157" s="18"/>
      <c r="D157" s="40"/>
      <c r="F157" s="19"/>
      <c r="G157" s="19"/>
      <c r="H157" s="20"/>
      <c r="I157" s="20"/>
      <c r="J157" s="21"/>
    </row>
    <row r="158" spans="2:10" x14ac:dyDescent="0.25">
      <c r="B158" s="37"/>
      <c r="C158" s="18"/>
      <c r="D158" s="40"/>
      <c r="F158" s="19"/>
      <c r="G158" s="19"/>
      <c r="H158" s="20"/>
      <c r="I158" s="20"/>
      <c r="J158" s="21"/>
    </row>
    <row r="159" spans="2:10" x14ac:dyDescent="0.25">
      <c r="B159" s="37"/>
      <c r="C159" s="18"/>
      <c r="D159" s="40"/>
      <c r="F159" s="19"/>
      <c r="G159" s="19"/>
      <c r="H159" s="20"/>
      <c r="I159" s="20"/>
      <c r="J159" s="21"/>
    </row>
    <row r="160" spans="2:10" x14ac:dyDescent="0.25">
      <c r="B160" s="37"/>
      <c r="C160" s="18"/>
      <c r="D160" s="40"/>
      <c r="F160" s="19"/>
      <c r="G160" s="19"/>
      <c r="H160" s="20"/>
      <c r="I160" s="20"/>
      <c r="J160" s="21"/>
    </row>
    <row r="161" spans="2:10" x14ac:dyDescent="0.25">
      <c r="B161" s="37"/>
      <c r="C161" s="18"/>
      <c r="D161" s="40"/>
      <c r="F161" s="19"/>
      <c r="G161" s="19"/>
      <c r="H161" s="20"/>
      <c r="I161" s="20"/>
      <c r="J161" s="21"/>
    </row>
    <row r="162" spans="2:10" x14ac:dyDescent="0.25">
      <c r="B162" s="37"/>
      <c r="C162" s="18"/>
      <c r="D162" s="40"/>
      <c r="F162" s="19"/>
      <c r="G162" s="19"/>
      <c r="H162" s="20"/>
      <c r="I162" s="20"/>
      <c r="J162" s="21"/>
    </row>
    <row r="163" spans="2:10" x14ac:dyDescent="0.25">
      <c r="B163" s="37"/>
      <c r="C163" s="18"/>
      <c r="D163" s="40"/>
      <c r="F163" s="19"/>
      <c r="G163" s="19"/>
      <c r="H163" s="20"/>
      <c r="I163" s="20"/>
      <c r="J163" s="21"/>
    </row>
    <row r="164" spans="2:10" x14ac:dyDescent="0.25">
      <c r="B164" s="37"/>
      <c r="C164" s="18"/>
      <c r="D164" s="40"/>
      <c r="F164" s="19"/>
      <c r="G164" s="19"/>
      <c r="H164" s="20"/>
      <c r="I164" s="20"/>
      <c r="J164" s="21"/>
    </row>
    <row r="165" spans="2:10" x14ac:dyDescent="0.25">
      <c r="B165" s="37"/>
      <c r="C165" s="18"/>
      <c r="D165" s="40"/>
      <c r="F165" s="19"/>
      <c r="G165" s="19"/>
      <c r="H165" s="20"/>
      <c r="I165" s="20"/>
      <c r="J165" s="21"/>
    </row>
    <row r="166" spans="2:10" x14ac:dyDescent="0.25">
      <c r="B166" s="37"/>
      <c r="C166" s="18"/>
      <c r="D166" s="40"/>
      <c r="F166" s="19"/>
      <c r="G166" s="19"/>
      <c r="H166" s="20"/>
      <c r="I166" s="20"/>
      <c r="J166" s="21"/>
    </row>
    <row r="167" spans="2:10" x14ac:dyDescent="0.25">
      <c r="B167" s="37"/>
      <c r="C167" s="18"/>
      <c r="D167" s="40"/>
      <c r="F167" s="19"/>
      <c r="G167" s="19"/>
      <c r="H167" s="20"/>
      <c r="I167" s="20"/>
      <c r="J167" s="21"/>
    </row>
    <row r="168" spans="2:10" x14ac:dyDescent="0.25">
      <c r="B168" s="37"/>
      <c r="C168" s="18"/>
      <c r="D168" s="40"/>
      <c r="F168" s="19"/>
      <c r="G168" s="19"/>
      <c r="H168" s="20"/>
      <c r="I168" s="20"/>
      <c r="J168" s="21"/>
    </row>
    <row r="169" spans="2:10" x14ac:dyDescent="0.25">
      <c r="B169" s="37"/>
      <c r="C169" s="18"/>
      <c r="D169" s="40"/>
      <c r="F169" s="19"/>
      <c r="G169" s="19"/>
      <c r="H169" s="20"/>
      <c r="I169" s="20"/>
      <c r="J169" s="21"/>
    </row>
    <row r="170" spans="2:10" x14ac:dyDescent="0.25">
      <c r="B170" s="37"/>
      <c r="C170" s="18"/>
      <c r="D170" s="40"/>
      <c r="F170" s="19"/>
      <c r="G170" s="19"/>
      <c r="H170" s="20"/>
      <c r="I170" s="20"/>
      <c r="J170" s="21"/>
    </row>
    <row r="171" spans="2:10" x14ac:dyDescent="0.25">
      <c r="B171" s="37"/>
      <c r="C171" s="18"/>
      <c r="D171" s="40"/>
      <c r="F171" s="19"/>
      <c r="G171" s="19"/>
      <c r="H171" s="20"/>
      <c r="I171" s="20"/>
      <c r="J171" s="21"/>
    </row>
    <row r="172" spans="2:10" x14ac:dyDescent="0.25">
      <c r="B172" s="37"/>
      <c r="C172" s="18"/>
      <c r="D172" s="40"/>
      <c r="F172" s="19"/>
      <c r="G172" s="19"/>
      <c r="H172" s="20"/>
      <c r="I172" s="20"/>
      <c r="J172" s="21"/>
    </row>
    <row r="173" spans="2:10" x14ac:dyDescent="0.25">
      <c r="B173" s="37"/>
      <c r="C173" s="18"/>
      <c r="D173" s="40"/>
      <c r="F173" s="19"/>
      <c r="G173" s="19"/>
      <c r="H173" s="20"/>
      <c r="I173" s="20"/>
      <c r="J173" s="21"/>
    </row>
    <row r="174" spans="2:10" x14ac:dyDescent="0.25">
      <c r="B174" s="37"/>
      <c r="C174" s="18"/>
      <c r="D174" s="40"/>
      <c r="F174" s="19"/>
      <c r="G174" s="19"/>
      <c r="H174" s="20"/>
      <c r="I174" s="20"/>
      <c r="J174" s="21"/>
    </row>
    <row r="175" spans="2:10" x14ac:dyDescent="0.25">
      <c r="B175" s="37"/>
      <c r="C175" s="18"/>
      <c r="D175" s="40"/>
      <c r="F175" s="19"/>
      <c r="G175" s="19"/>
      <c r="H175" s="20"/>
      <c r="I175" s="20"/>
      <c r="J175" s="21"/>
    </row>
    <row r="176" spans="2:10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</sheetData>
  <autoFilter ref="A9:J133" xr:uid="{00000000-0009-0000-0000-000000000000}"/>
  <mergeCells count="2">
    <mergeCell ref="E1:J1"/>
    <mergeCell ref="G3:J3"/>
  </mergeCells>
  <conditionalFormatting sqref="D142">
    <cfRule type="duplicateValues" dxfId="312" priority="1"/>
    <cfRule type="duplicateValues" dxfId="311" priority="2"/>
    <cfRule type="duplicateValues" dxfId="310" priority="3"/>
    <cfRule type="duplicateValues" dxfId="309" priority="4"/>
    <cfRule type="duplicateValues" dxfId="308" priority="5"/>
    <cfRule type="duplicateValues" dxfId="307" priority="7"/>
    <cfRule type="duplicateValues" dxfId="306" priority="8"/>
    <cfRule type="duplicateValues" dxfId="305" priority="9"/>
    <cfRule type="duplicateValues" dxfId="304" priority="10"/>
    <cfRule type="duplicateValues" dxfId="303" priority="11"/>
  </conditionalFormatting>
  <conditionalFormatting sqref="D142">
    <cfRule type="duplicateValues" dxfId="302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zoomScale="40" zoomScaleNormal="40" workbookViewId="0">
      <selection activeCell="E18" sqref="E18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71">
        <v>7523</v>
      </c>
      <c r="C2" s="74">
        <v>1001012427523</v>
      </c>
      <c r="D2" s="75" t="s">
        <v>110</v>
      </c>
      <c r="E2" s="90" t="s">
        <v>122</v>
      </c>
      <c r="F2" s="88" t="s">
        <v>21</v>
      </c>
      <c r="G2" s="89">
        <v>0.4</v>
      </c>
    </row>
    <row r="3" spans="2:7" ht="21" x14ac:dyDescent="0.25">
      <c r="B3" s="71">
        <v>6220</v>
      </c>
      <c r="C3" s="76">
        <v>1001012426220</v>
      </c>
      <c r="D3" s="77" t="s">
        <v>36</v>
      </c>
      <c r="E3" s="77"/>
      <c r="F3" s="88" t="s">
        <v>23</v>
      </c>
      <c r="G3" s="89">
        <v>1</v>
      </c>
    </row>
    <row r="4" spans="2:7" ht="21" x14ac:dyDescent="0.25">
      <c r="B4" s="78">
        <v>7539</v>
      </c>
      <c r="C4" s="80">
        <v>1001010017539</v>
      </c>
      <c r="D4" s="75" t="s">
        <v>111</v>
      </c>
      <c r="E4" s="90" t="s">
        <v>122</v>
      </c>
      <c r="F4" s="91" t="s">
        <v>21</v>
      </c>
      <c r="G4" s="92">
        <v>0.35</v>
      </c>
    </row>
    <row r="5" spans="2:7" ht="21" x14ac:dyDescent="0.25">
      <c r="B5" s="71">
        <v>7536</v>
      </c>
      <c r="C5" s="83">
        <v>1001010017536</v>
      </c>
      <c r="D5" s="84" t="s">
        <v>112</v>
      </c>
      <c r="E5" s="90" t="s">
        <v>122</v>
      </c>
      <c r="F5" s="91" t="s">
        <v>23</v>
      </c>
      <c r="G5" s="92">
        <v>1</v>
      </c>
    </row>
    <row r="6" spans="2:7" ht="21" x14ac:dyDescent="0.25">
      <c r="B6" s="71">
        <v>6340</v>
      </c>
      <c r="C6" s="85">
        <v>1001012816340</v>
      </c>
      <c r="D6" s="73" t="s">
        <v>27</v>
      </c>
      <c r="E6" s="73"/>
      <c r="F6" s="91" t="s">
        <v>21</v>
      </c>
      <c r="G6" s="92">
        <v>0.5</v>
      </c>
    </row>
    <row r="7" spans="2:7" ht="21" x14ac:dyDescent="0.25">
      <c r="B7" s="71">
        <v>6861</v>
      </c>
      <c r="C7" s="85">
        <v>1001015646861</v>
      </c>
      <c r="D7" s="73" t="s">
        <v>26</v>
      </c>
      <c r="E7" s="73"/>
      <c r="F7" s="91" t="s">
        <v>23</v>
      </c>
      <c r="G7" s="92">
        <v>1</v>
      </c>
    </row>
    <row r="8" spans="2:7" ht="21" x14ac:dyDescent="0.25">
      <c r="B8" s="71">
        <v>6862</v>
      </c>
      <c r="C8" s="85">
        <v>1001015706862</v>
      </c>
      <c r="D8" s="73" t="s">
        <v>29</v>
      </c>
      <c r="E8" s="73"/>
      <c r="F8" s="91" t="s">
        <v>23</v>
      </c>
      <c r="G8" s="92">
        <v>1</v>
      </c>
    </row>
    <row r="9" spans="2:7" ht="21" x14ac:dyDescent="0.25">
      <c r="B9" s="71">
        <v>6341</v>
      </c>
      <c r="C9" s="85">
        <v>1001012816341</v>
      </c>
      <c r="D9" s="73" t="s">
        <v>28</v>
      </c>
      <c r="E9" s="73"/>
      <c r="F9" s="91" t="s">
        <v>21</v>
      </c>
      <c r="G9" s="92">
        <v>0.5</v>
      </c>
    </row>
    <row r="10" spans="2:7" ht="21" x14ac:dyDescent="0.25">
      <c r="B10" s="71">
        <v>6498</v>
      </c>
      <c r="C10" s="85">
        <v>1001012456498</v>
      </c>
      <c r="D10" s="73" t="s">
        <v>35</v>
      </c>
      <c r="E10" s="73"/>
      <c r="F10" s="91" t="s">
        <v>23</v>
      </c>
      <c r="G10" s="92">
        <v>1</v>
      </c>
    </row>
    <row r="11" spans="2:7" ht="21" x14ac:dyDescent="0.25">
      <c r="B11" s="71">
        <v>4063</v>
      </c>
      <c r="C11" s="85">
        <v>1001012484063</v>
      </c>
      <c r="D11" s="73" t="s">
        <v>22</v>
      </c>
      <c r="E11" s="73"/>
      <c r="F11" s="91" t="s">
        <v>23</v>
      </c>
      <c r="G11" s="92">
        <v>1</v>
      </c>
    </row>
    <row r="12" spans="2:7" ht="21" x14ac:dyDescent="0.25">
      <c r="B12" s="71">
        <v>6333</v>
      </c>
      <c r="C12" s="79">
        <v>1001012486333</v>
      </c>
      <c r="D12" s="77" t="s">
        <v>24</v>
      </c>
      <c r="E12" s="77"/>
      <c r="F12" s="91" t="s">
        <v>21</v>
      </c>
      <c r="G12" s="92">
        <v>0.4</v>
      </c>
    </row>
    <row r="13" spans="2:7" ht="21" x14ac:dyDescent="0.25">
      <c r="B13" s="71">
        <v>4574</v>
      </c>
      <c r="C13" s="79">
        <v>1001012634574</v>
      </c>
      <c r="D13" s="77" t="s">
        <v>25</v>
      </c>
      <c r="E13" s="77"/>
      <c r="F13" s="91" t="s">
        <v>23</v>
      </c>
      <c r="G13" s="92">
        <v>1</v>
      </c>
    </row>
    <row r="14" spans="2:7" ht="21" x14ac:dyDescent="0.25">
      <c r="B14" s="71">
        <v>7334</v>
      </c>
      <c r="C14" s="79">
        <v>1001012637334</v>
      </c>
      <c r="D14" s="77" t="s">
        <v>113</v>
      </c>
      <c r="E14" s="77"/>
      <c r="F14" s="91" t="s">
        <v>21</v>
      </c>
      <c r="G14" s="92">
        <v>0.4</v>
      </c>
    </row>
    <row r="15" spans="2:7" ht="21" x14ac:dyDescent="0.25">
      <c r="B15" s="71">
        <v>4813</v>
      </c>
      <c r="C15" s="79">
        <v>1001012564813</v>
      </c>
      <c r="D15" s="77" t="s">
        <v>30</v>
      </c>
      <c r="E15" s="77"/>
      <c r="F15" s="91" t="s">
        <v>23</v>
      </c>
      <c r="G15" s="92">
        <v>1</v>
      </c>
    </row>
    <row r="16" spans="2:7" ht="21" x14ac:dyDescent="0.25">
      <c r="B16" s="71">
        <v>6392</v>
      </c>
      <c r="C16" s="79">
        <v>1001012566392</v>
      </c>
      <c r="D16" s="77" t="s">
        <v>114</v>
      </c>
      <c r="E16" s="77"/>
      <c r="F16" s="91" t="s">
        <v>21</v>
      </c>
      <c r="G16" s="92">
        <v>0.4</v>
      </c>
    </row>
    <row r="17" spans="2:7" ht="21" x14ac:dyDescent="0.25">
      <c r="B17" s="71">
        <v>5851</v>
      </c>
      <c r="C17" s="79">
        <v>1001012505851</v>
      </c>
      <c r="D17" s="77" t="s">
        <v>115</v>
      </c>
      <c r="E17" s="77"/>
      <c r="F17" s="91" t="s">
        <v>23</v>
      </c>
      <c r="G17" s="92">
        <v>1</v>
      </c>
    </row>
    <row r="18" spans="2:7" ht="21" x14ac:dyDescent="0.25">
      <c r="B18" s="71">
        <v>6353</v>
      </c>
      <c r="C18" s="79">
        <v>1001012506353</v>
      </c>
      <c r="D18" s="77" t="s">
        <v>31</v>
      </c>
      <c r="E18" s="87" t="s">
        <v>123</v>
      </c>
      <c r="F18" s="91" t="s">
        <v>21</v>
      </c>
      <c r="G18" s="92">
        <v>0.4</v>
      </c>
    </row>
    <row r="19" spans="2:7" ht="21" x14ac:dyDescent="0.25">
      <c r="B19" s="71">
        <v>4561</v>
      </c>
      <c r="C19" s="79">
        <v>1001010014561</v>
      </c>
      <c r="D19" s="77" t="s">
        <v>116</v>
      </c>
      <c r="E19" s="77"/>
      <c r="F19" s="91" t="s">
        <v>23</v>
      </c>
      <c r="G19" s="92">
        <v>1</v>
      </c>
    </row>
    <row r="20" spans="2:7" ht="21" x14ac:dyDescent="0.25">
      <c r="B20" s="78">
        <v>7555</v>
      </c>
      <c r="C20" s="80">
        <v>1001012497555</v>
      </c>
      <c r="D20" s="75" t="s">
        <v>117</v>
      </c>
      <c r="E20" s="90" t="s">
        <v>122</v>
      </c>
      <c r="F20" s="91" t="s">
        <v>23</v>
      </c>
      <c r="G20" s="92">
        <v>1</v>
      </c>
    </row>
    <row r="21" spans="2:7" ht="21" x14ac:dyDescent="0.25">
      <c r="B21" s="71">
        <v>6325</v>
      </c>
      <c r="C21" s="79">
        <v>1001010106325</v>
      </c>
      <c r="D21" s="77" t="s">
        <v>33</v>
      </c>
      <c r="E21" s="77"/>
      <c r="F21" s="91" t="s">
        <v>21</v>
      </c>
      <c r="G21" s="92">
        <v>0.4</v>
      </c>
    </row>
    <row r="22" spans="2:7" ht="21" x14ac:dyDescent="0.25">
      <c r="B22" s="78">
        <v>7556</v>
      </c>
      <c r="C22" s="80">
        <v>1001017597556</v>
      </c>
      <c r="D22" s="75" t="s">
        <v>118</v>
      </c>
      <c r="E22" s="90" t="s">
        <v>122</v>
      </c>
      <c r="F22" s="91" t="s">
        <v>23</v>
      </c>
      <c r="G22" s="92">
        <v>1</v>
      </c>
    </row>
    <row r="23" spans="2:7" ht="21" x14ac:dyDescent="0.25">
      <c r="B23" s="78">
        <v>7303</v>
      </c>
      <c r="C23" s="79">
        <v>1001010857303</v>
      </c>
      <c r="D23" s="77" t="s">
        <v>119</v>
      </c>
      <c r="E23" s="77"/>
      <c r="F23" s="91" t="s">
        <v>23</v>
      </c>
      <c r="G23" s="92">
        <v>1</v>
      </c>
    </row>
    <row r="24" spans="2:7" ht="21" x14ac:dyDescent="0.25">
      <c r="B24" s="78">
        <v>8014</v>
      </c>
      <c r="C24" s="79">
        <v>1001010108014</v>
      </c>
      <c r="D24" s="77" t="s">
        <v>120</v>
      </c>
      <c r="E24" s="77"/>
      <c r="F24" s="91" t="s">
        <v>23</v>
      </c>
      <c r="G24" s="92">
        <v>1</v>
      </c>
    </row>
    <row r="25" spans="2:7" ht="21" x14ac:dyDescent="0.25">
      <c r="B25" s="71">
        <v>7343</v>
      </c>
      <c r="C25" s="79">
        <v>1001016747343</v>
      </c>
      <c r="D25" s="77" t="s">
        <v>32</v>
      </c>
      <c r="E25" s="77"/>
      <c r="F25" s="91" t="s">
        <v>21</v>
      </c>
      <c r="G25" s="92">
        <v>0.4</v>
      </c>
    </row>
    <row r="26" spans="2:7" ht="21" x14ac:dyDescent="0.25">
      <c r="B26" s="71">
        <v>6797</v>
      </c>
      <c r="C26" s="79">
        <v>1001015026797</v>
      </c>
      <c r="D26" s="77" t="s">
        <v>121</v>
      </c>
      <c r="E26" s="77"/>
      <c r="F26" s="91" t="s">
        <v>21</v>
      </c>
      <c r="G26" s="92">
        <v>0.4</v>
      </c>
    </row>
    <row r="27" spans="2:7" ht="21" x14ac:dyDescent="0.25">
      <c r="B27" s="71">
        <v>7231</v>
      </c>
      <c r="C27" s="79">
        <v>1001013957231</v>
      </c>
      <c r="D27" s="77" t="s">
        <v>34</v>
      </c>
      <c r="E27" s="77"/>
      <c r="F27" s="91" t="s">
        <v>21</v>
      </c>
      <c r="G27" s="92">
        <v>0.3</v>
      </c>
    </row>
    <row r="28" spans="2:7" ht="23.25" x14ac:dyDescent="0.25">
      <c r="B28" s="93"/>
      <c r="C28" s="93"/>
      <c r="D28" s="94" t="s">
        <v>92</v>
      </c>
      <c r="E28" s="94"/>
      <c r="F28" s="95"/>
      <c r="G28" s="96"/>
    </row>
    <row r="29" spans="2:7" ht="21" x14ac:dyDescent="0.25">
      <c r="B29" s="79">
        <v>4584</v>
      </c>
      <c r="C29" s="85">
        <v>1001092674584</v>
      </c>
      <c r="D29" s="97" t="s">
        <v>125</v>
      </c>
      <c r="E29" s="97"/>
      <c r="F29" s="91" t="s">
        <v>23</v>
      </c>
      <c r="G29" s="92">
        <v>1</v>
      </c>
    </row>
    <row r="30" spans="2:7" ht="21" x14ac:dyDescent="0.25">
      <c r="B30" s="71">
        <v>6495</v>
      </c>
      <c r="C30" s="85">
        <v>1001092436495</v>
      </c>
      <c r="D30" s="97" t="s">
        <v>97</v>
      </c>
      <c r="E30" s="97"/>
      <c r="F30" s="91" t="s">
        <v>21</v>
      </c>
      <c r="G30" s="92">
        <v>0.3</v>
      </c>
    </row>
    <row r="31" spans="2:7" ht="21" x14ac:dyDescent="0.25">
      <c r="B31" s="98">
        <v>6470</v>
      </c>
      <c r="C31" s="81">
        <v>1001092436470</v>
      </c>
      <c r="D31" s="82" t="s">
        <v>126</v>
      </c>
      <c r="E31" s="82"/>
      <c r="F31" s="91" t="s">
        <v>23</v>
      </c>
      <c r="G31" s="92">
        <v>1</v>
      </c>
    </row>
    <row r="32" spans="2:7" ht="21" x14ac:dyDescent="0.25">
      <c r="B32" s="71">
        <v>5452</v>
      </c>
      <c r="C32" s="85">
        <v>1001092485452</v>
      </c>
      <c r="D32" s="97" t="s">
        <v>95</v>
      </c>
      <c r="E32" s="97"/>
      <c r="F32" s="91" t="s">
        <v>23</v>
      </c>
      <c r="G32" s="92">
        <v>1</v>
      </c>
    </row>
    <row r="33" spans="2:7" ht="21" x14ac:dyDescent="0.25">
      <c r="B33" s="71">
        <v>3215</v>
      </c>
      <c r="C33" s="85">
        <v>1001094053215</v>
      </c>
      <c r="D33" s="97" t="s">
        <v>94</v>
      </c>
      <c r="E33" s="97"/>
      <c r="F33" s="91" t="s">
        <v>21</v>
      </c>
      <c r="G33" s="92">
        <v>0.4</v>
      </c>
    </row>
    <row r="34" spans="2:7" ht="21" x14ac:dyDescent="0.25">
      <c r="B34" s="79">
        <v>6866</v>
      </c>
      <c r="C34" s="85">
        <v>1001095716866</v>
      </c>
      <c r="D34" s="97" t="s">
        <v>93</v>
      </c>
      <c r="E34" s="97"/>
      <c r="F34" s="91" t="s">
        <v>23</v>
      </c>
      <c r="G34" s="92">
        <v>1</v>
      </c>
    </row>
    <row r="35" spans="2:7" ht="21" x14ac:dyDescent="0.25">
      <c r="B35" s="71">
        <v>5495</v>
      </c>
      <c r="C35" s="85">
        <v>1001093345495</v>
      </c>
      <c r="D35" s="97" t="s">
        <v>96</v>
      </c>
      <c r="E35" s="97"/>
      <c r="F35" s="91" t="s">
        <v>21</v>
      </c>
      <c r="G35" s="92">
        <v>0.4</v>
      </c>
    </row>
    <row r="36" spans="2:7" ht="21" x14ac:dyDescent="0.25">
      <c r="B36" s="71">
        <v>7377</v>
      </c>
      <c r="C36" s="85">
        <v>1001095027377</v>
      </c>
      <c r="D36" s="99" t="s">
        <v>127</v>
      </c>
      <c r="E36" s="77"/>
      <c r="F36" s="91" t="s">
        <v>21</v>
      </c>
      <c r="G36" s="92">
        <v>0.3</v>
      </c>
    </row>
    <row r="37" spans="2:7" ht="21" x14ac:dyDescent="0.25">
      <c r="B37" s="78">
        <v>6925</v>
      </c>
      <c r="C37" s="79">
        <v>1001095226925</v>
      </c>
      <c r="D37" s="77" t="s">
        <v>108</v>
      </c>
      <c r="E37" s="100"/>
      <c r="F37" s="91" t="s">
        <v>21</v>
      </c>
      <c r="G37" s="92">
        <v>0.6</v>
      </c>
    </row>
    <row r="38" spans="2:7" ht="21" x14ac:dyDescent="0.25">
      <c r="B38" s="71">
        <v>6025</v>
      </c>
      <c r="C38" s="85">
        <v>1001094966025</v>
      </c>
      <c r="D38" s="97" t="s">
        <v>128</v>
      </c>
      <c r="E38" s="97"/>
      <c r="F38" s="91" t="s">
        <v>23</v>
      </c>
      <c r="G38" s="92">
        <v>1</v>
      </c>
    </row>
    <row r="39" spans="2:7" ht="23.25" x14ac:dyDescent="0.25">
      <c r="B39" s="93"/>
      <c r="C39" s="93"/>
      <c r="D39" s="94" t="s">
        <v>129</v>
      </c>
      <c r="E39" s="94"/>
      <c r="F39" s="95"/>
      <c r="G39" s="96"/>
    </row>
    <row r="40" spans="2:7" ht="21" x14ac:dyDescent="0.25">
      <c r="B40" s="98">
        <v>7090</v>
      </c>
      <c r="C40" s="101">
        <v>1001084217090</v>
      </c>
      <c r="D40" s="102" t="s">
        <v>102</v>
      </c>
      <c r="E40" s="102"/>
      <c r="F40" s="88" t="s">
        <v>21</v>
      </c>
      <c r="G40" s="89">
        <v>0.3</v>
      </c>
    </row>
    <row r="41" spans="2:7" ht="21" x14ac:dyDescent="0.25">
      <c r="B41" s="71">
        <v>7187</v>
      </c>
      <c r="C41" s="76">
        <v>1001085637187</v>
      </c>
      <c r="D41" s="77" t="s">
        <v>103</v>
      </c>
      <c r="E41" s="77"/>
      <c r="F41" s="88" t="s">
        <v>21</v>
      </c>
      <c r="G41" s="89">
        <v>0.3</v>
      </c>
    </row>
    <row r="42" spans="2:7" ht="21" x14ac:dyDescent="0.25">
      <c r="B42" s="71">
        <v>6620</v>
      </c>
      <c r="C42" s="76">
        <v>1001081596620</v>
      </c>
      <c r="D42" s="77" t="s">
        <v>99</v>
      </c>
      <c r="E42" s="77"/>
      <c r="F42" s="88" t="s">
        <v>23</v>
      </c>
      <c r="G42" s="89">
        <v>1</v>
      </c>
    </row>
    <row r="43" spans="2:7" ht="23.25" x14ac:dyDescent="0.25">
      <c r="B43" s="103"/>
      <c r="C43" s="93"/>
      <c r="D43" s="94" t="s">
        <v>130</v>
      </c>
      <c r="E43" s="94"/>
      <c r="F43" s="95"/>
      <c r="G43" s="96"/>
    </row>
    <row r="44" spans="2:7" ht="21" x14ac:dyDescent="0.25">
      <c r="B44" s="71">
        <v>7564</v>
      </c>
      <c r="C44" s="79">
        <v>1001303637564</v>
      </c>
      <c r="D44" s="77" t="s">
        <v>131</v>
      </c>
      <c r="E44" s="90" t="s">
        <v>122</v>
      </c>
      <c r="F44" s="91" t="s">
        <v>23</v>
      </c>
      <c r="G44" s="92">
        <v>1</v>
      </c>
    </row>
    <row r="45" spans="2:7" ht="21" x14ac:dyDescent="0.25">
      <c r="B45" s="71">
        <v>7603</v>
      </c>
      <c r="C45" s="79">
        <v>1001303637603</v>
      </c>
      <c r="D45" s="77" t="s">
        <v>132</v>
      </c>
      <c r="E45" s="90" t="s">
        <v>122</v>
      </c>
      <c r="F45" s="91" t="s">
        <v>21</v>
      </c>
      <c r="G45" s="92">
        <v>0.33</v>
      </c>
    </row>
    <row r="46" spans="2:7" ht="21" x14ac:dyDescent="0.25">
      <c r="B46" s="71">
        <v>7149</v>
      </c>
      <c r="C46" s="76">
        <v>1001303637149</v>
      </c>
      <c r="D46" s="77" t="s">
        <v>20</v>
      </c>
      <c r="E46" s="77"/>
      <c r="F46" s="91" t="s">
        <v>21</v>
      </c>
      <c r="G46" s="92">
        <v>0.84</v>
      </c>
    </row>
    <row r="47" spans="2:7" ht="21" x14ac:dyDescent="0.25">
      <c r="B47" s="98">
        <v>7233</v>
      </c>
      <c r="C47" s="81">
        <v>1001303637233</v>
      </c>
      <c r="D47" s="82" t="s">
        <v>133</v>
      </c>
      <c r="E47" s="82"/>
      <c r="F47" s="91" t="s">
        <v>21</v>
      </c>
      <c r="G47" s="92">
        <v>0.31</v>
      </c>
    </row>
    <row r="48" spans="2:7" ht="21" x14ac:dyDescent="0.25">
      <c r="B48" s="98">
        <v>7232</v>
      </c>
      <c r="C48" s="81">
        <v>1001302277232</v>
      </c>
      <c r="D48" s="82" t="s">
        <v>62</v>
      </c>
      <c r="E48" s="82"/>
      <c r="F48" s="91" t="s">
        <v>21</v>
      </c>
      <c r="G48" s="92">
        <v>0.28000000000000003</v>
      </c>
    </row>
    <row r="49" spans="2:7" ht="21" x14ac:dyDescent="0.25">
      <c r="B49" s="98">
        <v>7241</v>
      </c>
      <c r="C49" s="81">
        <v>1001303107241</v>
      </c>
      <c r="D49" s="82" t="s">
        <v>64</v>
      </c>
      <c r="E49" s="82"/>
      <c r="F49" s="91" t="s">
        <v>21</v>
      </c>
      <c r="G49" s="92">
        <v>0.28000000000000003</v>
      </c>
    </row>
    <row r="50" spans="2:7" ht="21" x14ac:dyDescent="0.25">
      <c r="B50" s="71">
        <v>7133</v>
      </c>
      <c r="C50" s="79">
        <v>1001300367133</v>
      </c>
      <c r="D50" s="77" t="s">
        <v>74</v>
      </c>
      <c r="E50" s="77"/>
      <c r="F50" s="91" t="s">
        <v>23</v>
      </c>
      <c r="G50" s="92">
        <v>1</v>
      </c>
    </row>
    <row r="51" spans="2:7" ht="21" x14ac:dyDescent="0.25">
      <c r="B51" s="71">
        <v>6807</v>
      </c>
      <c r="C51" s="79">
        <v>1001300366807</v>
      </c>
      <c r="D51" s="77" t="s">
        <v>76</v>
      </c>
      <c r="E51" s="77"/>
      <c r="F51" s="91" t="s">
        <v>21</v>
      </c>
      <c r="G51" s="92">
        <v>0.33</v>
      </c>
    </row>
    <row r="52" spans="2:7" ht="21" x14ac:dyDescent="0.25">
      <c r="B52" s="71">
        <v>7154</v>
      </c>
      <c r="C52" s="79">
        <v>1001300387154</v>
      </c>
      <c r="D52" s="77" t="s">
        <v>65</v>
      </c>
      <c r="E52" s="77"/>
      <c r="F52" s="91" t="s">
        <v>21</v>
      </c>
      <c r="G52" s="92">
        <v>0.35</v>
      </c>
    </row>
    <row r="53" spans="2:7" ht="21" x14ac:dyDescent="0.25">
      <c r="B53" s="71">
        <v>7157</v>
      </c>
      <c r="C53" s="79">
        <v>1001300387157</v>
      </c>
      <c r="D53" s="77" t="s">
        <v>75</v>
      </c>
      <c r="E53" s="77"/>
      <c r="F53" s="91" t="s">
        <v>23</v>
      </c>
      <c r="G53" s="92">
        <v>1</v>
      </c>
    </row>
    <row r="54" spans="2:7" ht="21" x14ac:dyDescent="0.25">
      <c r="B54" s="98">
        <v>7236</v>
      </c>
      <c r="C54" s="81">
        <v>1001304507236</v>
      </c>
      <c r="D54" s="82" t="s">
        <v>69</v>
      </c>
      <c r="E54" s="82"/>
      <c r="F54" s="91" t="s">
        <v>21</v>
      </c>
      <c r="G54" s="92">
        <v>0.28000000000000003</v>
      </c>
    </row>
    <row r="55" spans="2:7" ht="21" x14ac:dyDescent="0.25">
      <c r="B55" s="71">
        <v>6787</v>
      </c>
      <c r="C55" s="79">
        <v>1001300456787</v>
      </c>
      <c r="D55" s="77" t="s">
        <v>66</v>
      </c>
      <c r="E55" s="77"/>
      <c r="F55" s="91" t="s">
        <v>21</v>
      </c>
      <c r="G55" s="92">
        <v>0.33</v>
      </c>
    </row>
    <row r="56" spans="2:7" ht="21" x14ac:dyDescent="0.25">
      <c r="B56" s="71">
        <v>7166</v>
      </c>
      <c r="C56" s="79">
        <v>1001303987166</v>
      </c>
      <c r="D56" s="77" t="s">
        <v>72</v>
      </c>
      <c r="E56" s="77"/>
      <c r="F56" s="91" t="s">
        <v>23</v>
      </c>
      <c r="G56" s="92">
        <v>1</v>
      </c>
    </row>
    <row r="57" spans="2:7" ht="21" x14ac:dyDescent="0.25">
      <c r="B57" s="71">
        <v>7169</v>
      </c>
      <c r="C57" s="76">
        <v>1001303987169</v>
      </c>
      <c r="D57" s="77" t="s">
        <v>71</v>
      </c>
      <c r="E57" s="77"/>
      <c r="F57" s="91" t="s">
        <v>21</v>
      </c>
      <c r="G57" s="92">
        <v>0.35</v>
      </c>
    </row>
    <row r="58" spans="2:7" ht="21" x14ac:dyDescent="0.25">
      <c r="B58" s="71">
        <v>5544</v>
      </c>
      <c r="C58" s="79">
        <v>1001051875544</v>
      </c>
      <c r="D58" s="77" t="s">
        <v>73</v>
      </c>
      <c r="E58" s="77"/>
      <c r="F58" s="91" t="s">
        <v>23</v>
      </c>
      <c r="G58" s="92">
        <v>1</v>
      </c>
    </row>
    <row r="59" spans="2:7" ht="21" x14ac:dyDescent="0.25">
      <c r="B59" s="71">
        <v>6697</v>
      </c>
      <c r="C59" s="79">
        <v>1001301876697</v>
      </c>
      <c r="D59" s="77" t="s">
        <v>67</v>
      </c>
      <c r="E59" s="77"/>
      <c r="F59" s="91" t="s">
        <v>21</v>
      </c>
      <c r="G59" s="92">
        <v>0.35</v>
      </c>
    </row>
    <row r="60" spans="2:7" ht="21" x14ac:dyDescent="0.25">
      <c r="B60" s="71">
        <v>7237</v>
      </c>
      <c r="C60" s="79">
        <v>1001304497237</v>
      </c>
      <c r="D60" s="77" t="s">
        <v>68</v>
      </c>
      <c r="E60" s="77"/>
      <c r="F60" s="91" t="s">
        <v>21</v>
      </c>
      <c r="G60" s="92">
        <v>0.28000000000000003</v>
      </c>
    </row>
    <row r="61" spans="2:7" ht="21" x14ac:dyDescent="0.25">
      <c r="B61" s="71">
        <v>7238</v>
      </c>
      <c r="C61" s="79">
        <v>1001305197238</v>
      </c>
      <c r="D61" s="77" t="s">
        <v>134</v>
      </c>
      <c r="E61" s="77"/>
      <c r="F61" s="91" t="s">
        <v>21</v>
      </c>
      <c r="G61" s="92">
        <v>0.31</v>
      </c>
    </row>
    <row r="62" spans="2:7" ht="21" x14ac:dyDescent="0.25">
      <c r="B62" s="71">
        <v>7177</v>
      </c>
      <c r="C62" s="79">
        <v>1001302347177</v>
      </c>
      <c r="D62" s="77" t="s">
        <v>135</v>
      </c>
      <c r="E62" s="77"/>
      <c r="F62" s="91" t="s">
        <v>21</v>
      </c>
      <c r="G62" s="92">
        <v>0.35</v>
      </c>
    </row>
    <row r="63" spans="2:7" ht="21" x14ac:dyDescent="0.25">
      <c r="B63" s="98">
        <v>7332</v>
      </c>
      <c r="C63" s="81">
        <v>1001301777332</v>
      </c>
      <c r="D63" s="82" t="s">
        <v>63</v>
      </c>
      <c r="E63" s="104"/>
      <c r="F63" s="88" t="s">
        <v>21</v>
      </c>
      <c r="G63" s="89">
        <v>0.28000000000000003</v>
      </c>
    </row>
    <row r="64" spans="2:7" ht="21" x14ac:dyDescent="0.25">
      <c r="B64" s="98">
        <v>7333</v>
      </c>
      <c r="C64" s="81">
        <v>1001303987333</v>
      </c>
      <c r="D64" s="82" t="s">
        <v>70</v>
      </c>
      <c r="E64" s="104"/>
      <c r="F64" s="88" t="s">
        <v>21</v>
      </c>
      <c r="G64" s="89">
        <v>0.28000000000000003</v>
      </c>
    </row>
    <row r="65" spans="2:7" ht="23.25" x14ac:dyDescent="0.25">
      <c r="B65" s="103"/>
      <c r="C65" s="93"/>
      <c r="D65" s="94" t="s">
        <v>136</v>
      </c>
      <c r="E65" s="94"/>
      <c r="F65" s="95"/>
      <c r="G65" s="96"/>
    </row>
    <row r="66" spans="2:7" ht="21" x14ac:dyDescent="0.25">
      <c r="B66" s="71">
        <v>6459</v>
      </c>
      <c r="C66" s="85">
        <v>1001214196459</v>
      </c>
      <c r="D66" s="73" t="s">
        <v>61</v>
      </c>
      <c r="E66" s="87" t="s">
        <v>137</v>
      </c>
      <c r="F66" s="91" t="s">
        <v>21</v>
      </c>
      <c r="G66" s="92">
        <v>0.1</v>
      </c>
    </row>
    <row r="67" spans="2:7" ht="21" x14ac:dyDescent="0.25">
      <c r="B67" s="71">
        <v>7474</v>
      </c>
      <c r="C67" s="85">
        <v>1001216717474</v>
      </c>
      <c r="D67" s="77" t="s">
        <v>138</v>
      </c>
      <c r="E67" s="87" t="s">
        <v>139</v>
      </c>
      <c r="F67" s="91" t="s">
        <v>21</v>
      </c>
      <c r="G67" s="92">
        <v>0.1</v>
      </c>
    </row>
    <row r="68" spans="2:7" ht="23.25" x14ac:dyDescent="0.25">
      <c r="B68" s="103"/>
      <c r="C68" s="93"/>
      <c r="D68" s="94" t="s">
        <v>140</v>
      </c>
      <c r="E68" s="94"/>
      <c r="F68" s="95"/>
      <c r="G68" s="96"/>
    </row>
    <row r="69" spans="2:7" ht="21" x14ac:dyDescent="0.25">
      <c r="B69" s="71">
        <v>7103</v>
      </c>
      <c r="C69" s="85">
        <v>1001223297103</v>
      </c>
      <c r="D69" s="73" t="s">
        <v>104</v>
      </c>
      <c r="E69" s="73"/>
      <c r="F69" s="91" t="s">
        <v>21</v>
      </c>
      <c r="G69" s="92">
        <v>0.18</v>
      </c>
    </row>
    <row r="70" spans="2:7" ht="21" x14ac:dyDescent="0.25">
      <c r="B70" s="71">
        <v>7092</v>
      </c>
      <c r="C70" s="79">
        <v>1001223297092</v>
      </c>
      <c r="D70" s="77" t="s">
        <v>79</v>
      </c>
      <c r="E70" s="77"/>
      <c r="F70" s="91" t="s">
        <v>21</v>
      </c>
      <c r="G70" s="92">
        <v>0.14000000000000001</v>
      </c>
    </row>
    <row r="71" spans="2:7" ht="21" x14ac:dyDescent="0.25">
      <c r="B71" s="71">
        <v>6228</v>
      </c>
      <c r="C71" s="85">
        <v>1001225416228</v>
      </c>
      <c r="D71" s="73" t="s">
        <v>90</v>
      </c>
      <c r="E71" s="73"/>
      <c r="F71" s="91" t="s">
        <v>21</v>
      </c>
      <c r="G71" s="92">
        <v>0.09</v>
      </c>
    </row>
    <row r="72" spans="2:7" ht="21" x14ac:dyDescent="0.25">
      <c r="B72" s="71">
        <v>6448</v>
      </c>
      <c r="C72" s="85">
        <v>1001234146448</v>
      </c>
      <c r="D72" s="73" t="s">
        <v>141</v>
      </c>
      <c r="E72" s="77"/>
      <c r="F72" s="91" t="s">
        <v>21</v>
      </c>
      <c r="G72" s="92">
        <v>0.1</v>
      </c>
    </row>
    <row r="73" spans="2:7" ht="21" x14ac:dyDescent="0.25">
      <c r="B73" s="71">
        <v>6208</v>
      </c>
      <c r="C73" s="79">
        <v>1001220226208</v>
      </c>
      <c r="D73" s="77" t="s">
        <v>101</v>
      </c>
      <c r="E73" s="77"/>
      <c r="F73" s="91" t="s">
        <v>21</v>
      </c>
      <c r="G73" s="92">
        <v>0.15</v>
      </c>
    </row>
    <row r="74" spans="2:7" ht="21" x14ac:dyDescent="0.25">
      <c r="B74" s="71">
        <v>6754</v>
      </c>
      <c r="C74" s="79">
        <v>1001225406754</v>
      </c>
      <c r="D74" s="77" t="s">
        <v>142</v>
      </c>
      <c r="E74" s="77"/>
      <c r="F74" s="91" t="s">
        <v>21</v>
      </c>
      <c r="G74" s="92">
        <v>0.09</v>
      </c>
    </row>
    <row r="75" spans="2:7" ht="21" x14ac:dyDescent="0.25">
      <c r="B75" s="71">
        <v>6279</v>
      </c>
      <c r="C75" s="76">
        <v>1001220286279</v>
      </c>
      <c r="D75" s="77" t="s">
        <v>100</v>
      </c>
      <c r="E75" s="77"/>
      <c r="F75" s="88" t="s">
        <v>21</v>
      </c>
      <c r="G75" s="89">
        <v>0.15</v>
      </c>
    </row>
    <row r="76" spans="2:7" ht="21" x14ac:dyDescent="0.25">
      <c r="B76" s="78">
        <v>7288</v>
      </c>
      <c r="C76" s="79">
        <v>1001223907288</v>
      </c>
      <c r="D76" s="77" t="s">
        <v>143</v>
      </c>
      <c r="E76" s="87" t="s">
        <v>144</v>
      </c>
      <c r="F76" s="91" t="s">
        <v>21</v>
      </c>
      <c r="G76" s="92">
        <v>0.1</v>
      </c>
    </row>
    <row r="77" spans="2:7" ht="21" x14ac:dyDescent="0.25">
      <c r="B77" s="78">
        <v>7612</v>
      </c>
      <c r="C77" s="79">
        <v>1001453907612</v>
      </c>
      <c r="D77" s="86" t="s">
        <v>145</v>
      </c>
      <c r="E77" s="86" t="s">
        <v>124</v>
      </c>
      <c r="F77" s="91" t="s">
        <v>21</v>
      </c>
      <c r="G77" s="92">
        <v>0.1</v>
      </c>
    </row>
    <row r="78" spans="2:7" ht="23.25" x14ac:dyDescent="0.25">
      <c r="B78" s="103"/>
      <c r="C78" s="93"/>
      <c r="D78" s="94" t="s">
        <v>146</v>
      </c>
      <c r="E78" s="94"/>
      <c r="F78" s="95"/>
      <c r="G78" s="96"/>
    </row>
    <row r="79" spans="2:7" ht="21" x14ac:dyDescent="0.25">
      <c r="B79" s="71">
        <v>6454</v>
      </c>
      <c r="C79" s="85">
        <v>1001201976454</v>
      </c>
      <c r="D79" s="73" t="s">
        <v>147</v>
      </c>
      <c r="E79" s="87" t="s">
        <v>148</v>
      </c>
      <c r="F79" s="91" t="s">
        <v>21</v>
      </c>
      <c r="G79" s="92">
        <v>0.1</v>
      </c>
    </row>
    <row r="80" spans="2:7" ht="21" x14ac:dyDescent="0.25">
      <c r="B80" s="71">
        <v>6834</v>
      </c>
      <c r="C80" s="85">
        <v>1001203146834</v>
      </c>
      <c r="D80" s="73" t="s">
        <v>149</v>
      </c>
      <c r="E80" s="73"/>
      <c r="F80" s="91" t="s">
        <v>21</v>
      </c>
      <c r="G80" s="92">
        <v>0.1</v>
      </c>
    </row>
    <row r="81" spans="2:7" ht="21" x14ac:dyDescent="0.25">
      <c r="B81" s="71">
        <v>7382</v>
      </c>
      <c r="C81" s="79">
        <v>1001203117382</v>
      </c>
      <c r="D81" s="77" t="s">
        <v>85</v>
      </c>
      <c r="E81" s="87" t="s">
        <v>150</v>
      </c>
      <c r="F81" s="91" t="s">
        <v>21</v>
      </c>
      <c r="G81" s="92">
        <v>0.12</v>
      </c>
    </row>
    <row r="82" spans="2:7" ht="21" x14ac:dyDescent="0.25">
      <c r="B82" s="71">
        <v>6453</v>
      </c>
      <c r="C82" s="85">
        <v>1001202506453</v>
      </c>
      <c r="D82" s="73" t="s">
        <v>151</v>
      </c>
      <c r="E82" s="87" t="s">
        <v>152</v>
      </c>
      <c r="F82" s="91" t="s">
        <v>21</v>
      </c>
      <c r="G82" s="92">
        <v>0.1</v>
      </c>
    </row>
    <row r="83" spans="2:7" ht="21" x14ac:dyDescent="0.25">
      <c r="B83" s="71">
        <v>6221</v>
      </c>
      <c r="C83" s="79">
        <v>1001205376221</v>
      </c>
      <c r="D83" s="77" t="s">
        <v>87</v>
      </c>
      <c r="E83" s="77"/>
      <c r="F83" s="91" t="s">
        <v>21</v>
      </c>
      <c r="G83" s="92">
        <v>0.09</v>
      </c>
    </row>
    <row r="84" spans="2:7" ht="21" x14ac:dyDescent="0.25">
      <c r="B84" s="71">
        <v>6222</v>
      </c>
      <c r="C84" s="79">
        <v>1001205386222</v>
      </c>
      <c r="D84" s="77" t="s">
        <v>153</v>
      </c>
      <c r="E84" s="77"/>
      <c r="F84" s="91" t="s">
        <v>21</v>
      </c>
      <c r="G84" s="92">
        <v>0.09</v>
      </c>
    </row>
    <row r="85" spans="2:7" ht="21" x14ac:dyDescent="0.25">
      <c r="B85" s="98">
        <v>6965</v>
      </c>
      <c r="C85" s="81">
        <v>1001206356965</v>
      </c>
      <c r="D85" s="82" t="s">
        <v>154</v>
      </c>
      <c r="E85" s="82"/>
      <c r="F85" s="91" t="s">
        <v>21</v>
      </c>
      <c r="G85" s="92">
        <v>7.0000000000000007E-2</v>
      </c>
    </row>
    <row r="86" spans="2:7" ht="21" x14ac:dyDescent="0.25">
      <c r="B86" s="71">
        <v>6557</v>
      </c>
      <c r="C86" s="85">
        <v>1001200756557</v>
      </c>
      <c r="D86" s="73" t="s">
        <v>155</v>
      </c>
      <c r="E86" s="73"/>
      <c r="F86" s="91" t="s">
        <v>21</v>
      </c>
      <c r="G86" s="92">
        <v>0.1</v>
      </c>
    </row>
    <row r="87" spans="2:7" ht="21" x14ac:dyDescent="0.25">
      <c r="B87" s="71">
        <v>5679</v>
      </c>
      <c r="C87" s="79">
        <v>1001190765679</v>
      </c>
      <c r="D87" s="77" t="s">
        <v>156</v>
      </c>
      <c r="E87" s="77"/>
      <c r="F87" s="91" t="s">
        <v>21</v>
      </c>
      <c r="G87" s="92">
        <v>0.15</v>
      </c>
    </row>
    <row r="88" spans="2:7" ht="21" x14ac:dyDescent="0.25">
      <c r="B88" s="71">
        <v>5677</v>
      </c>
      <c r="C88" s="79">
        <v>1001190715677</v>
      </c>
      <c r="D88" s="77" t="s">
        <v>157</v>
      </c>
      <c r="E88" s="87" t="s">
        <v>158</v>
      </c>
      <c r="F88" s="91" t="s">
        <v>21</v>
      </c>
      <c r="G88" s="92">
        <v>0.1</v>
      </c>
    </row>
    <row r="89" spans="2:7" ht="21" x14ac:dyDescent="0.25">
      <c r="B89" s="71">
        <v>7414</v>
      </c>
      <c r="C89" s="79">
        <v>1001204447414</v>
      </c>
      <c r="D89" s="77" t="s">
        <v>159</v>
      </c>
      <c r="E89" s="100"/>
      <c r="F89" s="91" t="s">
        <v>23</v>
      </c>
      <c r="G89" s="92">
        <v>1</v>
      </c>
    </row>
    <row r="90" spans="2:7" ht="23.25" x14ac:dyDescent="0.25">
      <c r="B90" s="103"/>
      <c r="C90" s="93"/>
      <c r="D90" s="94" t="s">
        <v>160</v>
      </c>
      <c r="E90" s="94"/>
      <c r="F90" s="95"/>
      <c r="G90" s="96"/>
    </row>
    <row r="91" spans="2:7" ht="21" x14ac:dyDescent="0.25">
      <c r="B91" s="71">
        <v>3582</v>
      </c>
      <c r="C91" s="79">
        <v>1001061973582</v>
      </c>
      <c r="D91" s="77" t="s">
        <v>161</v>
      </c>
      <c r="E91" s="77"/>
      <c r="F91" s="91" t="s">
        <v>23</v>
      </c>
      <c r="G91" s="92">
        <v>1</v>
      </c>
    </row>
    <row r="92" spans="2:7" ht="21" x14ac:dyDescent="0.25">
      <c r="B92" s="71">
        <v>3986</v>
      </c>
      <c r="C92" s="85">
        <v>1001061973986</v>
      </c>
      <c r="D92" s="73" t="s">
        <v>80</v>
      </c>
      <c r="E92" s="73"/>
      <c r="F92" s="91" t="s">
        <v>21</v>
      </c>
      <c r="G92" s="92">
        <v>0.25</v>
      </c>
    </row>
    <row r="93" spans="2:7" ht="21" x14ac:dyDescent="0.25">
      <c r="B93" s="71">
        <v>5931</v>
      </c>
      <c r="C93" s="85">
        <v>1001060755931</v>
      </c>
      <c r="D93" s="73" t="s">
        <v>78</v>
      </c>
      <c r="E93" s="73"/>
      <c r="F93" s="91" t="s">
        <v>21</v>
      </c>
      <c r="G93" s="92">
        <v>0.22</v>
      </c>
    </row>
    <row r="94" spans="2:7" ht="21" x14ac:dyDescent="0.25">
      <c r="B94" s="71">
        <v>5708</v>
      </c>
      <c r="C94" s="85">
        <v>1001063145708</v>
      </c>
      <c r="D94" s="73" t="s">
        <v>81</v>
      </c>
      <c r="E94" s="73"/>
      <c r="F94" s="91" t="s">
        <v>23</v>
      </c>
      <c r="G94" s="92">
        <v>1</v>
      </c>
    </row>
    <row r="95" spans="2:7" ht="21" x14ac:dyDescent="0.25">
      <c r="B95" s="71">
        <v>3287</v>
      </c>
      <c r="C95" s="85">
        <v>1001060763287</v>
      </c>
      <c r="D95" s="73" t="s">
        <v>91</v>
      </c>
      <c r="E95" s="73"/>
      <c r="F95" s="91" t="s">
        <v>23</v>
      </c>
      <c r="G95" s="92">
        <v>1</v>
      </c>
    </row>
    <row r="96" spans="2:7" ht="21" x14ac:dyDescent="0.25">
      <c r="B96" s="71">
        <v>4993</v>
      </c>
      <c r="C96" s="85">
        <v>1001060764993</v>
      </c>
      <c r="D96" s="73" t="s">
        <v>162</v>
      </c>
      <c r="E96" s="73"/>
      <c r="F96" s="91" t="s">
        <v>21</v>
      </c>
      <c r="G96" s="92">
        <v>0.25</v>
      </c>
    </row>
    <row r="97" spans="2:7" ht="21" x14ac:dyDescent="0.25">
      <c r="B97" s="71">
        <v>5483</v>
      </c>
      <c r="C97" s="85">
        <v>1001062505483</v>
      </c>
      <c r="D97" s="73" t="s">
        <v>89</v>
      </c>
      <c r="E97" s="73"/>
      <c r="F97" s="91" t="s">
        <v>21</v>
      </c>
      <c r="G97" s="92">
        <v>0.25</v>
      </c>
    </row>
    <row r="98" spans="2:7" ht="21" x14ac:dyDescent="0.25">
      <c r="B98" s="71">
        <v>4117</v>
      </c>
      <c r="C98" s="85">
        <v>1001062504117</v>
      </c>
      <c r="D98" s="73" t="s">
        <v>88</v>
      </c>
      <c r="E98" s="73"/>
      <c r="F98" s="91" t="s">
        <v>23</v>
      </c>
      <c r="G98" s="92">
        <v>1</v>
      </c>
    </row>
    <row r="99" spans="2:7" ht="21" x14ac:dyDescent="0.25">
      <c r="B99" s="71">
        <v>614</v>
      </c>
      <c r="C99" s="85">
        <v>1001060720614</v>
      </c>
      <c r="D99" s="73" t="s">
        <v>163</v>
      </c>
      <c r="E99" s="73"/>
      <c r="F99" s="91" t="s">
        <v>23</v>
      </c>
      <c r="G99" s="92">
        <v>1</v>
      </c>
    </row>
    <row r="100" spans="2:7" ht="21" x14ac:dyDescent="0.25">
      <c r="B100" s="71">
        <v>6967</v>
      </c>
      <c r="C100" s="79">
        <v>1001063656967</v>
      </c>
      <c r="D100" s="77" t="s">
        <v>84</v>
      </c>
      <c r="E100" s="77"/>
      <c r="F100" s="91" t="s">
        <v>21</v>
      </c>
      <c r="G100" s="92">
        <v>0.25</v>
      </c>
    </row>
    <row r="101" spans="2:7" ht="21" x14ac:dyDescent="0.25">
      <c r="B101" s="71">
        <v>6937</v>
      </c>
      <c r="C101" s="79">
        <v>1001063106937</v>
      </c>
      <c r="D101" s="77" t="s">
        <v>164</v>
      </c>
      <c r="E101" s="77"/>
      <c r="F101" s="91" t="s">
        <v>21</v>
      </c>
      <c r="G101" s="92">
        <v>0.25</v>
      </c>
    </row>
    <row r="102" spans="2:7" ht="21" x14ac:dyDescent="0.25">
      <c r="B102" s="71">
        <v>7143</v>
      </c>
      <c r="C102" s="79">
        <v>1001060717143</v>
      </c>
      <c r="D102" s="77" t="s">
        <v>165</v>
      </c>
      <c r="E102" s="77"/>
      <c r="F102" s="91" t="s">
        <v>21</v>
      </c>
      <c r="G102" s="92">
        <v>0.22</v>
      </c>
    </row>
    <row r="103" spans="2:7" ht="21" x14ac:dyDescent="0.25">
      <c r="B103" s="71">
        <v>7147</v>
      </c>
      <c r="C103" s="79">
        <v>1001063237147</v>
      </c>
      <c r="D103" s="77" t="s">
        <v>86</v>
      </c>
      <c r="E103" s="77"/>
      <c r="F103" s="91" t="s">
        <v>21</v>
      </c>
      <c r="G103" s="92">
        <v>0.22</v>
      </c>
    </row>
    <row r="104" spans="2:7" ht="21" x14ac:dyDescent="0.25">
      <c r="B104" s="71">
        <v>7456</v>
      </c>
      <c r="C104" s="79">
        <v>1001063097456</v>
      </c>
      <c r="D104" s="77" t="s">
        <v>166</v>
      </c>
      <c r="E104" s="77"/>
      <c r="F104" s="91" t="s">
        <v>21</v>
      </c>
      <c r="G104" s="92">
        <v>0.15</v>
      </c>
    </row>
    <row r="105" spans="2:7" ht="21" x14ac:dyDescent="0.25">
      <c r="B105" s="71">
        <v>7364</v>
      </c>
      <c r="C105" s="79">
        <v>1001063217364</v>
      </c>
      <c r="D105" s="77" t="s">
        <v>167</v>
      </c>
      <c r="E105" s="100"/>
      <c r="F105" s="91" t="s">
        <v>21</v>
      </c>
      <c r="G105" s="92">
        <v>0.22</v>
      </c>
    </row>
    <row r="106" spans="2:7" ht="21" x14ac:dyDescent="0.25">
      <c r="B106" s="78">
        <v>7383</v>
      </c>
      <c r="C106" s="79">
        <v>1001065467383</v>
      </c>
      <c r="D106" s="77" t="s">
        <v>168</v>
      </c>
      <c r="E106" s="100"/>
      <c r="F106" s="91" t="s">
        <v>21</v>
      </c>
      <c r="G106" s="92">
        <v>0.22</v>
      </c>
    </row>
    <row r="107" spans="2:7" ht="21" x14ac:dyDescent="0.25">
      <c r="B107" s="71">
        <v>7317</v>
      </c>
      <c r="C107" s="79">
        <v>1001066567317</v>
      </c>
      <c r="D107" s="77" t="s">
        <v>169</v>
      </c>
      <c r="E107" s="77"/>
      <c r="F107" s="91" t="s">
        <v>21</v>
      </c>
      <c r="G107" s="92">
        <v>0.54</v>
      </c>
    </row>
    <row r="108" spans="2:7" ht="21" x14ac:dyDescent="0.25">
      <c r="B108" s="71">
        <v>7318</v>
      </c>
      <c r="C108" s="79">
        <v>1001060727318</v>
      </c>
      <c r="D108" s="77" t="s">
        <v>170</v>
      </c>
      <c r="E108" s="77"/>
      <c r="F108" s="91" t="s">
        <v>21</v>
      </c>
      <c r="G108" s="92">
        <v>0.27</v>
      </c>
    </row>
    <row r="109" spans="2:7" ht="21" x14ac:dyDescent="0.25">
      <c r="B109" s="71">
        <v>7316</v>
      </c>
      <c r="C109" s="79">
        <v>1001060727316</v>
      </c>
      <c r="D109" s="77" t="s">
        <v>171</v>
      </c>
      <c r="E109" s="77"/>
      <c r="F109" s="91" t="s">
        <v>21</v>
      </c>
      <c r="G109" s="92">
        <v>0.54</v>
      </c>
    </row>
    <row r="110" spans="2:7" ht="21" x14ac:dyDescent="0.25">
      <c r="B110" s="71">
        <v>7417</v>
      </c>
      <c r="C110" s="79">
        <v>1001307147417</v>
      </c>
      <c r="D110" s="77" t="s">
        <v>172</v>
      </c>
      <c r="E110" s="100"/>
      <c r="F110" s="91" t="s">
        <v>21</v>
      </c>
      <c r="G110" s="92">
        <v>0.44</v>
      </c>
    </row>
    <row r="111" spans="2:7" ht="21" x14ac:dyDescent="0.25">
      <c r="B111" s="71">
        <v>6832</v>
      </c>
      <c r="C111" s="79">
        <v>1001065616832</v>
      </c>
      <c r="D111" s="77" t="s">
        <v>82</v>
      </c>
      <c r="E111" s="77"/>
      <c r="F111" s="91" t="s">
        <v>23</v>
      </c>
      <c r="G111" s="92">
        <v>1</v>
      </c>
    </row>
    <row r="112" spans="2:7" ht="21" x14ac:dyDescent="0.25">
      <c r="B112" s="71">
        <v>7299</v>
      </c>
      <c r="C112" s="79">
        <v>1001060677299</v>
      </c>
      <c r="D112" s="77" t="s">
        <v>83</v>
      </c>
      <c r="E112" s="77"/>
      <c r="F112" s="91" t="s">
        <v>23</v>
      </c>
      <c r="G112" s="92">
        <v>1</v>
      </c>
    </row>
    <row r="113" spans="2:7" ht="21" x14ac:dyDescent="0.25">
      <c r="B113" s="71">
        <v>7386</v>
      </c>
      <c r="C113" s="79">
        <v>1001067017386</v>
      </c>
      <c r="D113" s="77" t="s">
        <v>173</v>
      </c>
      <c r="E113" s="105"/>
      <c r="F113" s="91" t="s">
        <v>21</v>
      </c>
      <c r="G113" s="92">
        <v>0.15</v>
      </c>
    </row>
    <row r="114" spans="2:7" ht="23.25" x14ac:dyDescent="0.25">
      <c r="B114" s="103"/>
      <c r="C114" s="93"/>
      <c r="D114" s="94" t="s">
        <v>57</v>
      </c>
      <c r="E114" s="94"/>
      <c r="F114" s="95"/>
      <c r="G114" s="96"/>
    </row>
    <row r="115" spans="2:7" ht="21" x14ac:dyDescent="0.25">
      <c r="B115" s="71">
        <v>6550</v>
      </c>
      <c r="C115" s="85">
        <v>1001032736550</v>
      </c>
      <c r="D115" s="73" t="s">
        <v>174</v>
      </c>
      <c r="E115" s="73"/>
      <c r="F115" s="91" t="s">
        <v>23</v>
      </c>
      <c r="G115" s="92">
        <v>1</v>
      </c>
    </row>
    <row r="116" spans="2:7" ht="21" x14ac:dyDescent="0.25">
      <c r="B116" s="71">
        <v>6608</v>
      </c>
      <c r="C116" s="85">
        <v>1001033856608</v>
      </c>
      <c r="D116" s="73" t="s">
        <v>59</v>
      </c>
      <c r="E116" s="73"/>
      <c r="F116" s="91" t="s">
        <v>23</v>
      </c>
      <c r="G116" s="92">
        <v>1</v>
      </c>
    </row>
    <row r="117" spans="2:7" ht="21" x14ac:dyDescent="0.25">
      <c r="B117" s="71">
        <v>7001</v>
      </c>
      <c r="C117" s="72">
        <v>1001035937001</v>
      </c>
      <c r="D117" s="73" t="s">
        <v>58</v>
      </c>
      <c r="E117" s="73"/>
      <c r="F117" s="91" t="s">
        <v>23</v>
      </c>
      <c r="G117" s="92">
        <v>1</v>
      </c>
    </row>
    <row r="118" spans="2:7" ht="21" x14ac:dyDescent="0.25">
      <c r="B118" s="71">
        <v>6527</v>
      </c>
      <c r="C118" s="106">
        <v>1001031076527</v>
      </c>
      <c r="D118" s="107" t="s">
        <v>175</v>
      </c>
      <c r="E118" s="107"/>
      <c r="F118" s="91" t="s">
        <v>23</v>
      </c>
      <c r="G118" s="92">
        <v>1</v>
      </c>
    </row>
    <row r="119" spans="2:7" ht="21" x14ac:dyDescent="0.25">
      <c r="B119" s="71">
        <v>6609</v>
      </c>
      <c r="C119" s="79">
        <v>1001033856609</v>
      </c>
      <c r="D119" s="77" t="s">
        <v>176</v>
      </c>
      <c r="E119" s="77"/>
      <c r="F119" s="91" t="s">
        <v>21</v>
      </c>
      <c r="G119" s="92">
        <v>0.4</v>
      </c>
    </row>
    <row r="120" spans="2:7" ht="21" x14ac:dyDescent="0.25">
      <c r="B120" s="71">
        <v>7059</v>
      </c>
      <c r="C120" s="108">
        <v>1001035277059</v>
      </c>
      <c r="D120" s="77" t="s">
        <v>177</v>
      </c>
      <c r="E120" s="105"/>
      <c r="F120" s="91" t="s">
        <v>21</v>
      </c>
      <c r="G120" s="92">
        <v>0.3</v>
      </c>
    </row>
    <row r="121" spans="2:7" ht="21" x14ac:dyDescent="0.25">
      <c r="B121" s="71">
        <v>6528</v>
      </c>
      <c r="C121" s="79">
        <v>1001031076528</v>
      </c>
      <c r="D121" s="77" t="s">
        <v>178</v>
      </c>
      <c r="E121" s="105"/>
      <c r="F121" s="91" t="s">
        <v>21</v>
      </c>
      <c r="G121" s="92">
        <v>0.4</v>
      </c>
    </row>
    <row r="122" spans="2:7" ht="23.25" x14ac:dyDescent="0.25">
      <c r="B122" s="103"/>
      <c r="C122" s="93"/>
      <c r="D122" s="94" t="s">
        <v>37</v>
      </c>
      <c r="E122" s="94"/>
      <c r="F122" s="95"/>
      <c r="G122" s="96"/>
    </row>
    <row r="123" spans="2:7" ht="21" x14ac:dyDescent="0.25">
      <c r="B123" s="71">
        <v>6602</v>
      </c>
      <c r="C123" s="85">
        <v>1001021966602</v>
      </c>
      <c r="D123" s="73" t="s">
        <v>179</v>
      </c>
      <c r="E123" s="73"/>
      <c r="F123" s="91" t="s">
        <v>21</v>
      </c>
      <c r="G123" s="92">
        <v>0.35</v>
      </c>
    </row>
    <row r="124" spans="2:7" ht="21" x14ac:dyDescent="0.25">
      <c r="B124" s="71">
        <v>7284</v>
      </c>
      <c r="C124" s="79">
        <v>1001025767284</v>
      </c>
      <c r="D124" s="77" t="s">
        <v>180</v>
      </c>
      <c r="E124" s="77"/>
      <c r="F124" s="91" t="s">
        <v>21</v>
      </c>
      <c r="G124" s="92">
        <v>0.33</v>
      </c>
    </row>
    <row r="125" spans="2:7" ht="21" x14ac:dyDescent="0.25">
      <c r="B125" s="71">
        <v>7601</v>
      </c>
      <c r="C125" s="79">
        <v>1001025767601</v>
      </c>
      <c r="D125" s="77" t="s">
        <v>181</v>
      </c>
      <c r="E125" s="105"/>
      <c r="F125" s="91" t="s">
        <v>21</v>
      </c>
      <c r="G125" s="92">
        <v>0.26</v>
      </c>
    </row>
    <row r="126" spans="2:7" ht="21" x14ac:dyDescent="0.25">
      <c r="B126" s="78">
        <v>7461</v>
      </c>
      <c r="C126" s="85">
        <v>1001025767461</v>
      </c>
      <c r="D126" s="77" t="s">
        <v>106</v>
      </c>
      <c r="E126" s="100"/>
      <c r="F126" s="91" t="s">
        <v>21</v>
      </c>
      <c r="G126" s="92">
        <v>0.33</v>
      </c>
    </row>
    <row r="127" spans="2:7" ht="21" x14ac:dyDescent="0.25">
      <c r="B127" s="78">
        <v>7371</v>
      </c>
      <c r="C127" s="85">
        <v>1001026947371</v>
      </c>
      <c r="D127" s="77" t="s">
        <v>107</v>
      </c>
      <c r="E127" s="100"/>
      <c r="F127" s="91" t="s">
        <v>21</v>
      </c>
      <c r="G127" s="92">
        <v>0.3</v>
      </c>
    </row>
    <row r="128" spans="2:7" ht="21" x14ac:dyDescent="0.25">
      <c r="B128" s="71">
        <v>6759</v>
      </c>
      <c r="C128" s="85">
        <v>1001020836759</v>
      </c>
      <c r="D128" s="73" t="s">
        <v>42</v>
      </c>
      <c r="E128" s="73"/>
      <c r="F128" s="91" t="s">
        <v>21</v>
      </c>
      <c r="G128" s="92">
        <v>0.4</v>
      </c>
    </row>
    <row r="129" spans="2:7" ht="21" x14ac:dyDescent="0.25">
      <c r="B129" s="71">
        <v>6761</v>
      </c>
      <c r="C129" s="79">
        <v>1001020836761</v>
      </c>
      <c r="D129" s="77" t="s">
        <v>53</v>
      </c>
      <c r="E129" s="77"/>
      <c r="F129" s="91" t="s">
        <v>23</v>
      </c>
      <c r="G129" s="92">
        <v>1</v>
      </c>
    </row>
    <row r="130" spans="2:7" ht="21" x14ac:dyDescent="0.25">
      <c r="B130" s="71">
        <v>6829</v>
      </c>
      <c r="C130" s="79">
        <v>1001024976829</v>
      </c>
      <c r="D130" s="77" t="s">
        <v>182</v>
      </c>
      <c r="E130" s="77"/>
      <c r="F130" s="91" t="s">
        <v>23</v>
      </c>
      <c r="G130" s="92">
        <v>1</v>
      </c>
    </row>
    <row r="131" spans="2:7" ht="21" x14ac:dyDescent="0.25">
      <c r="B131" s="71">
        <v>6616</v>
      </c>
      <c r="C131" s="79">
        <v>1001024976616</v>
      </c>
      <c r="D131" s="77" t="s">
        <v>43</v>
      </c>
      <c r="E131" s="77"/>
      <c r="F131" s="91" t="s">
        <v>21</v>
      </c>
      <c r="G131" s="92">
        <v>0.3</v>
      </c>
    </row>
    <row r="132" spans="2:7" ht="21" x14ac:dyDescent="0.25">
      <c r="B132" s="71">
        <v>7075</v>
      </c>
      <c r="C132" s="79">
        <v>1001022657075</v>
      </c>
      <c r="D132" s="77" t="s">
        <v>50</v>
      </c>
      <c r="E132" s="77"/>
      <c r="F132" s="91" t="s">
        <v>23</v>
      </c>
      <c r="G132" s="92">
        <v>1</v>
      </c>
    </row>
    <row r="133" spans="2:7" ht="21" x14ac:dyDescent="0.25">
      <c r="B133" s="71">
        <v>7074</v>
      </c>
      <c r="C133" s="79">
        <v>1001022657074</v>
      </c>
      <c r="D133" s="77" t="s">
        <v>183</v>
      </c>
      <c r="E133" s="77"/>
      <c r="F133" s="91" t="s">
        <v>21</v>
      </c>
      <c r="G133" s="92">
        <v>0.6</v>
      </c>
    </row>
    <row r="134" spans="2:7" ht="21" x14ac:dyDescent="0.25">
      <c r="B134" s="71">
        <v>7073</v>
      </c>
      <c r="C134" s="79">
        <v>1001022657073</v>
      </c>
      <c r="D134" s="77" t="s">
        <v>51</v>
      </c>
      <c r="E134" s="77"/>
      <c r="F134" s="91" t="s">
        <v>21</v>
      </c>
      <c r="G134" s="92">
        <v>0.35</v>
      </c>
    </row>
    <row r="135" spans="2:7" ht="21" x14ac:dyDescent="0.25">
      <c r="B135" s="71">
        <v>6724</v>
      </c>
      <c r="C135" s="79">
        <v>1001020836724</v>
      </c>
      <c r="D135" s="77" t="s">
        <v>52</v>
      </c>
      <c r="E135" s="77"/>
      <c r="F135" s="91" t="s">
        <v>21</v>
      </c>
      <c r="G135" s="92">
        <v>0.41</v>
      </c>
    </row>
    <row r="136" spans="2:7" ht="21" x14ac:dyDescent="0.25">
      <c r="B136" s="71">
        <v>5819</v>
      </c>
      <c r="C136" s="79">
        <v>1001022725819</v>
      </c>
      <c r="D136" s="77" t="s">
        <v>39</v>
      </c>
      <c r="E136" s="77"/>
      <c r="F136" s="91" t="s">
        <v>21</v>
      </c>
      <c r="G136" s="92">
        <v>0.4</v>
      </c>
    </row>
    <row r="137" spans="2:7" ht="21" x14ac:dyDescent="0.25">
      <c r="B137" s="71">
        <v>6303</v>
      </c>
      <c r="C137" s="79">
        <v>1001022726303</v>
      </c>
      <c r="D137" s="77" t="s">
        <v>184</v>
      </c>
      <c r="E137" s="77"/>
      <c r="F137" s="91" t="s">
        <v>23</v>
      </c>
      <c r="G137" s="92">
        <v>1</v>
      </c>
    </row>
    <row r="138" spans="2:7" ht="21" x14ac:dyDescent="0.25">
      <c r="B138" s="71">
        <v>7255</v>
      </c>
      <c r="C138" s="79">
        <v>1001025507255</v>
      </c>
      <c r="D138" s="77" t="s">
        <v>38</v>
      </c>
      <c r="E138" s="77"/>
      <c r="F138" s="91" t="s">
        <v>21</v>
      </c>
      <c r="G138" s="92">
        <v>0.4</v>
      </c>
    </row>
    <row r="139" spans="2:7" ht="21" x14ac:dyDescent="0.25">
      <c r="B139" s="71">
        <v>7271</v>
      </c>
      <c r="C139" s="79">
        <v>1001025507271</v>
      </c>
      <c r="D139" s="77" t="s">
        <v>185</v>
      </c>
      <c r="E139" s="77"/>
      <c r="F139" s="91" t="s">
        <v>23</v>
      </c>
      <c r="G139" s="92">
        <v>1</v>
      </c>
    </row>
    <row r="140" spans="2:7" ht="21" x14ac:dyDescent="0.25">
      <c r="B140" s="71">
        <v>6765</v>
      </c>
      <c r="C140" s="79">
        <v>1001023696765</v>
      </c>
      <c r="D140" s="77" t="s">
        <v>41</v>
      </c>
      <c r="E140" s="77"/>
      <c r="F140" s="91" t="s">
        <v>21</v>
      </c>
      <c r="G140" s="92">
        <v>0.36</v>
      </c>
    </row>
    <row r="141" spans="2:7" ht="21" x14ac:dyDescent="0.25">
      <c r="B141" s="71">
        <v>6767</v>
      </c>
      <c r="C141" s="79">
        <v>1001023696767</v>
      </c>
      <c r="D141" s="77" t="s">
        <v>44</v>
      </c>
      <c r="E141" s="77"/>
      <c r="F141" s="91" t="s">
        <v>23</v>
      </c>
      <c r="G141" s="92">
        <v>1</v>
      </c>
    </row>
    <row r="142" spans="2:7" ht="21" x14ac:dyDescent="0.25">
      <c r="B142" s="71">
        <v>6475</v>
      </c>
      <c r="C142" s="79">
        <v>1001025176475</v>
      </c>
      <c r="D142" s="77" t="s">
        <v>46</v>
      </c>
      <c r="E142" s="77"/>
      <c r="F142" s="91" t="s">
        <v>21</v>
      </c>
      <c r="G142" s="92">
        <v>0.4</v>
      </c>
    </row>
    <row r="143" spans="2:7" ht="21" x14ac:dyDescent="0.25">
      <c r="B143" s="71">
        <v>7083</v>
      </c>
      <c r="C143" s="79">
        <v>1001022467083</v>
      </c>
      <c r="D143" s="77" t="s">
        <v>186</v>
      </c>
      <c r="E143" s="77"/>
      <c r="F143" s="91" t="s">
        <v>23</v>
      </c>
      <c r="G143" s="92">
        <v>1</v>
      </c>
    </row>
    <row r="144" spans="2:7" ht="21" x14ac:dyDescent="0.25">
      <c r="B144" s="71">
        <v>7080</v>
      </c>
      <c r="C144" s="79">
        <v>1001022467080</v>
      </c>
      <c r="D144" s="100" t="s">
        <v>54</v>
      </c>
      <c r="E144" s="100"/>
      <c r="F144" s="91" t="s">
        <v>21</v>
      </c>
      <c r="G144" s="92">
        <v>0.41</v>
      </c>
    </row>
    <row r="145" spans="2:7" ht="21" x14ac:dyDescent="0.25">
      <c r="B145" s="71">
        <v>7276</v>
      </c>
      <c r="C145" s="79">
        <v>1001022467276</v>
      </c>
      <c r="D145" s="100" t="s">
        <v>55</v>
      </c>
      <c r="E145" s="100"/>
      <c r="F145" s="91" t="s">
        <v>21</v>
      </c>
      <c r="G145" s="92">
        <v>0.3</v>
      </c>
    </row>
    <row r="146" spans="2:7" ht="21" x14ac:dyDescent="0.25">
      <c r="B146" s="71">
        <v>6762</v>
      </c>
      <c r="C146" s="85">
        <v>1001020846762</v>
      </c>
      <c r="D146" s="73" t="s">
        <v>40</v>
      </c>
      <c r="E146" s="73"/>
      <c r="F146" s="91" t="s">
        <v>21</v>
      </c>
      <c r="G146" s="92">
        <v>0.41</v>
      </c>
    </row>
    <row r="147" spans="2:7" ht="21" x14ac:dyDescent="0.25">
      <c r="B147" s="71">
        <v>6764</v>
      </c>
      <c r="C147" s="85">
        <v>1001020846764</v>
      </c>
      <c r="D147" s="73" t="s">
        <v>49</v>
      </c>
      <c r="E147" s="73"/>
      <c r="F147" s="91" t="s">
        <v>23</v>
      </c>
      <c r="G147" s="92">
        <v>1</v>
      </c>
    </row>
    <row r="148" spans="2:7" ht="21" x14ac:dyDescent="0.25">
      <c r="B148" s="71">
        <v>7066</v>
      </c>
      <c r="C148" s="79">
        <v>1001022377066</v>
      </c>
      <c r="D148" s="77" t="s">
        <v>56</v>
      </c>
      <c r="E148" s="77"/>
      <c r="F148" s="91" t="s">
        <v>21</v>
      </c>
      <c r="G148" s="92">
        <v>0.41</v>
      </c>
    </row>
    <row r="149" spans="2:7" ht="21" x14ac:dyDescent="0.25">
      <c r="B149" s="71">
        <v>7070</v>
      </c>
      <c r="C149" s="79">
        <v>1001022377070</v>
      </c>
      <c r="D149" s="77" t="s">
        <v>45</v>
      </c>
      <c r="E149" s="77"/>
      <c r="F149" s="91" t="s">
        <v>23</v>
      </c>
      <c r="G149" s="92">
        <v>1</v>
      </c>
    </row>
    <row r="150" spans="2:7" ht="21" x14ac:dyDescent="0.25">
      <c r="B150" s="71">
        <v>6713</v>
      </c>
      <c r="C150" s="85">
        <v>1001022246713</v>
      </c>
      <c r="D150" s="73" t="s">
        <v>47</v>
      </c>
      <c r="E150" s="73"/>
      <c r="F150" s="91" t="s">
        <v>21</v>
      </c>
      <c r="G150" s="92">
        <v>0.41</v>
      </c>
    </row>
    <row r="151" spans="2:7" ht="21" x14ac:dyDescent="0.25">
      <c r="B151" s="71">
        <v>6661</v>
      </c>
      <c r="C151" s="85">
        <v>1001022246661</v>
      </c>
      <c r="D151" s="73" t="s">
        <v>187</v>
      </c>
      <c r="E151" s="73"/>
      <c r="F151" s="91" t="s">
        <v>23</v>
      </c>
      <c r="G151" s="92">
        <v>1</v>
      </c>
    </row>
    <row r="152" spans="2:7" ht="21" x14ac:dyDescent="0.25">
      <c r="B152" s="98">
        <v>6254</v>
      </c>
      <c r="C152" s="81">
        <v>1001022556254</v>
      </c>
      <c r="D152" s="82" t="s">
        <v>188</v>
      </c>
      <c r="E152" s="77"/>
      <c r="F152" s="88" t="s">
        <v>23</v>
      </c>
      <c r="G152" s="89">
        <v>1</v>
      </c>
    </row>
    <row r="153" spans="2:7" ht="21" x14ac:dyDescent="0.25">
      <c r="B153" s="71">
        <v>6837</v>
      </c>
      <c r="C153" s="79">
        <v>1001022556837</v>
      </c>
      <c r="D153" s="77" t="s">
        <v>48</v>
      </c>
      <c r="E153" s="77"/>
      <c r="F153" s="91" t="s">
        <v>21</v>
      </c>
      <c r="G153" s="92">
        <v>0.4</v>
      </c>
    </row>
    <row r="154" spans="2:7" ht="21" x14ac:dyDescent="0.25">
      <c r="B154" s="78">
        <v>7385</v>
      </c>
      <c r="C154" s="79">
        <v>1001027067385</v>
      </c>
      <c r="D154" s="100" t="s">
        <v>189</v>
      </c>
      <c r="E154" s="77"/>
      <c r="F154" s="91" t="s">
        <v>21</v>
      </c>
      <c r="G154" s="92">
        <v>0.33</v>
      </c>
    </row>
    <row r="155" spans="2:7" ht="21" x14ac:dyDescent="0.25">
      <c r="B155" s="109">
        <v>7044</v>
      </c>
      <c r="C155" s="110">
        <v>1001025167044</v>
      </c>
      <c r="D155" s="111" t="s">
        <v>190</v>
      </c>
      <c r="E155" s="105"/>
      <c r="F155" s="91" t="s">
        <v>21</v>
      </c>
      <c r="G155" s="112">
        <v>0.32</v>
      </c>
    </row>
    <row r="156" spans="2:7" ht="21" x14ac:dyDescent="0.25">
      <c r="B156" s="109">
        <v>7460</v>
      </c>
      <c r="C156" s="110">
        <v>1001027247460</v>
      </c>
      <c r="D156" s="111" t="s">
        <v>191</v>
      </c>
      <c r="E156" s="105"/>
      <c r="F156" s="91" t="s">
        <v>21</v>
      </c>
      <c r="G156" s="112">
        <v>0.33</v>
      </c>
    </row>
  </sheetData>
  <conditionalFormatting sqref="B28:B29">
    <cfRule type="duplicateValues" dxfId="301" priority="236"/>
  </conditionalFormatting>
  <conditionalFormatting sqref="B33">
    <cfRule type="duplicateValues" dxfId="300" priority="234"/>
  </conditionalFormatting>
  <conditionalFormatting sqref="B34 B30 B32">
    <cfRule type="duplicateValues" dxfId="299" priority="235"/>
  </conditionalFormatting>
  <conditionalFormatting sqref="B35:B36">
    <cfRule type="duplicateValues" dxfId="298" priority="233"/>
  </conditionalFormatting>
  <conditionalFormatting sqref="B40">
    <cfRule type="duplicateValues" dxfId="297" priority="190"/>
    <cfRule type="duplicateValues" dxfId="296" priority="191"/>
    <cfRule type="duplicateValues" dxfId="295" priority="192"/>
    <cfRule type="duplicateValues" dxfId="294" priority="193"/>
  </conditionalFormatting>
  <conditionalFormatting sqref="B43 B39">
    <cfRule type="duplicateValues" dxfId="293" priority="231"/>
  </conditionalFormatting>
  <conditionalFormatting sqref="B43">
    <cfRule type="duplicateValues" dxfId="292" priority="232"/>
  </conditionalFormatting>
  <conditionalFormatting sqref="B46">
    <cfRule type="duplicateValues" dxfId="291" priority="147"/>
    <cfRule type="duplicateValues" dxfId="290" priority="148"/>
    <cfRule type="duplicateValues" dxfId="289" priority="149"/>
    <cfRule type="duplicateValues" dxfId="288" priority="150"/>
    <cfRule type="duplicateValues" dxfId="287" priority="151"/>
    <cfRule type="duplicateValues" dxfId="286" priority="153"/>
    <cfRule type="duplicateValues" dxfId="285" priority="154"/>
    <cfRule type="duplicateValues" dxfId="284" priority="155"/>
    <cfRule type="duplicateValues" dxfId="283" priority="156"/>
  </conditionalFormatting>
  <conditionalFormatting sqref="B52">
    <cfRule type="duplicateValues" dxfId="282" priority="176"/>
    <cfRule type="duplicateValues" dxfId="281" priority="177"/>
    <cfRule type="duplicateValues" dxfId="280" priority="178"/>
    <cfRule type="duplicateValues" dxfId="279" priority="179"/>
  </conditionalFormatting>
  <conditionalFormatting sqref="B53">
    <cfRule type="duplicateValues" dxfId="278" priority="172"/>
    <cfRule type="duplicateValues" dxfId="277" priority="173"/>
    <cfRule type="duplicateValues" dxfId="276" priority="174"/>
    <cfRule type="duplicateValues" dxfId="275" priority="175"/>
  </conditionalFormatting>
  <conditionalFormatting sqref="B56">
    <cfRule type="duplicateValues" dxfId="274" priority="168"/>
    <cfRule type="duplicateValues" dxfId="273" priority="169"/>
    <cfRule type="duplicateValues" dxfId="272" priority="170"/>
    <cfRule type="duplicateValues" dxfId="271" priority="171"/>
  </conditionalFormatting>
  <conditionalFormatting sqref="B57">
    <cfRule type="duplicateValues" dxfId="270" priority="158"/>
    <cfRule type="duplicateValues" dxfId="269" priority="159"/>
    <cfRule type="duplicateValues" dxfId="268" priority="160"/>
    <cfRule type="duplicateValues" dxfId="267" priority="161"/>
    <cfRule type="duplicateValues" dxfId="266" priority="162"/>
    <cfRule type="duplicateValues" dxfId="265" priority="164"/>
    <cfRule type="duplicateValues" dxfId="264" priority="165"/>
    <cfRule type="duplicateValues" dxfId="263" priority="166"/>
    <cfRule type="duplicateValues" dxfId="262" priority="167"/>
  </conditionalFormatting>
  <conditionalFormatting sqref="B68 B65">
    <cfRule type="duplicateValues" dxfId="261" priority="229"/>
  </conditionalFormatting>
  <conditionalFormatting sqref="B68">
    <cfRule type="duplicateValues" dxfId="260" priority="230"/>
  </conditionalFormatting>
  <conditionalFormatting sqref="B69">
    <cfRule type="duplicateValues" dxfId="259" priority="213"/>
    <cfRule type="duplicateValues" dxfId="258" priority="214"/>
    <cfRule type="duplicateValues" dxfId="257" priority="215"/>
  </conditionalFormatting>
  <conditionalFormatting sqref="B71:B72">
    <cfRule type="duplicateValues" dxfId="256" priority="228"/>
  </conditionalFormatting>
  <conditionalFormatting sqref="B78">
    <cfRule type="duplicateValues" dxfId="255" priority="226"/>
    <cfRule type="duplicateValues" dxfId="254" priority="227"/>
  </conditionalFormatting>
  <conditionalFormatting sqref="B83:B84 B86">
    <cfRule type="duplicateValues" dxfId="253" priority="157"/>
  </conditionalFormatting>
  <conditionalFormatting sqref="B90">
    <cfRule type="duplicateValues" dxfId="252" priority="223"/>
    <cfRule type="duplicateValues" dxfId="251" priority="224"/>
  </conditionalFormatting>
  <conditionalFormatting sqref="B114">
    <cfRule type="duplicateValues" dxfId="250" priority="221"/>
    <cfRule type="duplicateValues" dxfId="249" priority="222"/>
  </conditionalFormatting>
  <conditionalFormatting sqref="B115:B116">
    <cfRule type="duplicateValues" dxfId="248" priority="237"/>
  </conditionalFormatting>
  <conditionalFormatting sqref="B117">
    <cfRule type="duplicateValues" dxfId="247" priority="180"/>
    <cfRule type="duplicateValues" dxfId="246" priority="181"/>
    <cfRule type="duplicateValues" dxfId="245" priority="182"/>
    <cfRule type="duplicateValues" dxfId="244" priority="183"/>
    <cfRule type="duplicateValues" dxfId="243" priority="184"/>
    <cfRule type="duplicateValues" dxfId="242" priority="186"/>
    <cfRule type="duplicateValues" dxfId="241" priority="187"/>
    <cfRule type="duplicateValues" dxfId="240" priority="188"/>
    <cfRule type="duplicateValues" dxfId="239" priority="189"/>
  </conditionalFormatting>
  <conditionalFormatting sqref="B118">
    <cfRule type="duplicateValues" dxfId="238" priority="216"/>
    <cfRule type="duplicateValues" dxfId="237" priority="217"/>
    <cfRule type="duplicateValues" dxfId="236" priority="218"/>
  </conditionalFormatting>
  <conditionalFormatting sqref="B114:B116 B43:B45 B28:B30 B58:B60 B65:B66 B90 B78:B82 B32:B36 B92:B98 B55 B50:B51 B146:B151 B71:B72 B118 B128:B144 B5:B18 B68:B69 B120:B123 B38:B39">
    <cfRule type="duplicateValues" dxfId="235" priority="205"/>
    <cfRule type="duplicateValues" dxfId="234" priority="206"/>
  </conditionalFormatting>
  <conditionalFormatting sqref="B122">
    <cfRule type="duplicateValues" dxfId="233" priority="219"/>
    <cfRule type="duplicateValues" dxfId="232" priority="220"/>
  </conditionalFormatting>
  <conditionalFormatting sqref="B131">
    <cfRule type="duplicateValues" dxfId="231" priority="208"/>
    <cfRule type="duplicateValues" dxfId="230" priority="209"/>
  </conditionalFormatting>
  <conditionalFormatting sqref="B132:B133">
    <cfRule type="duplicateValues" dxfId="229" priority="210"/>
  </conditionalFormatting>
  <conditionalFormatting sqref="B134:B135">
    <cfRule type="duplicateValues" dxfId="228" priority="207"/>
  </conditionalFormatting>
  <conditionalFormatting sqref="B148">
    <cfRule type="duplicateValues" dxfId="227" priority="212"/>
  </conditionalFormatting>
  <conditionalFormatting sqref="B149">
    <cfRule type="duplicateValues" dxfId="226" priority="211"/>
  </conditionalFormatting>
  <conditionalFormatting sqref="B46:C46">
    <cfRule type="duplicateValues" dxfId="225" priority="152"/>
  </conditionalFormatting>
  <conditionalFormatting sqref="B57:C57">
    <cfRule type="duplicateValues" dxfId="224" priority="163"/>
  </conditionalFormatting>
  <conditionalFormatting sqref="B117:C117">
    <cfRule type="duplicateValues" dxfId="223" priority="185"/>
  </conditionalFormatting>
  <conditionalFormatting sqref="B31">
    <cfRule type="duplicateValues" dxfId="222" priority="146"/>
  </conditionalFormatting>
  <conditionalFormatting sqref="B31">
    <cfRule type="duplicateValues" dxfId="221" priority="143"/>
  </conditionalFormatting>
  <conditionalFormatting sqref="B31">
    <cfRule type="duplicateValues" dxfId="220" priority="144"/>
  </conditionalFormatting>
  <conditionalFormatting sqref="B31">
    <cfRule type="duplicateValues" dxfId="219" priority="145"/>
  </conditionalFormatting>
  <conditionalFormatting sqref="B47">
    <cfRule type="duplicateValues" dxfId="218" priority="142"/>
  </conditionalFormatting>
  <conditionalFormatting sqref="B47">
    <cfRule type="duplicateValues" dxfId="217" priority="139"/>
  </conditionalFormatting>
  <conditionalFormatting sqref="B47">
    <cfRule type="duplicateValues" dxfId="216" priority="140"/>
  </conditionalFormatting>
  <conditionalFormatting sqref="B47">
    <cfRule type="duplicateValues" dxfId="215" priority="141"/>
  </conditionalFormatting>
  <conditionalFormatting sqref="B54">
    <cfRule type="duplicateValues" dxfId="214" priority="138"/>
  </conditionalFormatting>
  <conditionalFormatting sqref="B54">
    <cfRule type="duplicateValues" dxfId="213" priority="135"/>
  </conditionalFormatting>
  <conditionalFormatting sqref="B54">
    <cfRule type="duplicateValues" dxfId="212" priority="136"/>
  </conditionalFormatting>
  <conditionalFormatting sqref="B54">
    <cfRule type="duplicateValues" dxfId="211" priority="137"/>
  </conditionalFormatting>
  <conditionalFormatting sqref="B49">
    <cfRule type="duplicateValues" dxfId="210" priority="134"/>
  </conditionalFormatting>
  <conditionalFormatting sqref="B49">
    <cfRule type="duplicateValues" dxfId="209" priority="131"/>
  </conditionalFormatting>
  <conditionalFormatting sqref="B49">
    <cfRule type="duplicateValues" dxfId="208" priority="132"/>
  </conditionalFormatting>
  <conditionalFormatting sqref="B49">
    <cfRule type="duplicateValues" dxfId="207" priority="133"/>
  </conditionalFormatting>
  <conditionalFormatting sqref="B60">
    <cfRule type="duplicateValues" dxfId="206" priority="238"/>
    <cfRule type="duplicateValues" dxfId="205" priority="239"/>
  </conditionalFormatting>
  <conditionalFormatting sqref="B150:B151 B144 B140:B142 B136:B137 B146:B147">
    <cfRule type="duplicateValues" dxfId="204" priority="240"/>
  </conditionalFormatting>
  <conditionalFormatting sqref="B124:B125">
    <cfRule type="duplicateValues" dxfId="203" priority="127"/>
    <cfRule type="duplicateValues" dxfId="202" priority="128"/>
  </conditionalFormatting>
  <conditionalFormatting sqref="B124:B125">
    <cfRule type="duplicateValues" dxfId="201" priority="130"/>
  </conditionalFormatting>
  <conditionalFormatting sqref="B124:B125">
    <cfRule type="duplicateValues" dxfId="200" priority="129"/>
  </conditionalFormatting>
  <conditionalFormatting sqref="B48">
    <cfRule type="duplicateValues" dxfId="199" priority="241"/>
    <cfRule type="duplicateValues" dxfId="198" priority="242"/>
    <cfRule type="duplicateValues" dxfId="197" priority="243"/>
    <cfRule type="duplicateValues" dxfId="196" priority="244"/>
  </conditionalFormatting>
  <conditionalFormatting sqref="B145">
    <cfRule type="duplicateValues" dxfId="195" priority="124"/>
    <cfRule type="duplicateValues" dxfId="194" priority="125"/>
  </conditionalFormatting>
  <conditionalFormatting sqref="B145">
    <cfRule type="duplicateValues" dxfId="193" priority="126"/>
  </conditionalFormatting>
  <conditionalFormatting sqref="B85">
    <cfRule type="duplicateValues" dxfId="192" priority="120"/>
  </conditionalFormatting>
  <conditionalFormatting sqref="B85">
    <cfRule type="duplicateValues" dxfId="191" priority="121"/>
  </conditionalFormatting>
  <conditionalFormatting sqref="B85">
    <cfRule type="duplicateValues" dxfId="190" priority="122"/>
  </conditionalFormatting>
  <conditionalFormatting sqref="B85">
    <cfRule type="duplicateValues" dxfId="189" priority="123"/>
  </conditionalFormatting>
  <conditionalFormatting sqref="C75">
    <cfRule type="duplicateValues" dxfId="188" priority="109"/>
  </conditionalFormatting>
  <conditionalFormatting sqref="B75">
    <cfRule type="duplicateValues" dxfId="187" priority="110"/>
  </conditionalFormatting>
  <conditionalFormatting sqref="B75">
    <cfRule type="duplicateValues" dxfId="186" priority="111"/>
    <cfRule type="duplicateValues" dxfId="185" priority="112"/>
    <cfRule type="duplicateValues" dxfId="184" priority="113"/>
    <cfRule type="duplicateValues" dxfId="183" priority="114"/>
    <cfRule type="duplicateValues" dxfId="182" priority="115"/>
    <cfRule type="duplicateValues" dxfId="181" priority="116"/>
    <cfRule type="duplicateValues" dxfId="180" priority="117"/>
    <cfRule type="duplicateValues" dxfId="179" priority="118"/>
    <cfRule type="duplicateValues" dxfId="178" priority="119"/>
  </conditionalFormatting>
  <conditionalFormatting sqref="B27 B19 B21">
    <cfRule type="duplicateValues" dxfId="177" priority="245"/>
    <cfRule type="duplicateValues" dxfId="176" priority="246"/>
    <cfRule type="duplicateValues" dxfId="175" priority="247"/>
    <cfRule type="duplicateValues" dxfId="174" priority="248"/>
  </conditionalFormatting>
  <conditionalFormatting sqref="B38">
    <cfRule type="duplicateValues" dxfId="173" priority="249"/>
    <cfRule type="duplicateValues" dxfId="172" priority="250"/>
  </conditionalFormatting>
  <conditionalFormatting sqref="C41:C42">
    <cfRule type="duplicateValues" dxfId="171" priority="251"/>
  </conditionalFormatting>
  <conditionalFormatting sqref="B41:B42">
    <cfRule type="duplicateValues" dxfId="170" priority="252"/>
  </conditionalFormatting>
  <conditionalFormatting sqref="B41:B42">
    <cfRule type="duplicateValues" dxfId="169" priority="253"/>
    <cfRule type="duplicateValues" dxfId="168" priority="254"/>
    <cfRule type="duplicateValues" dxfId="167" priority="255"/>
    <cfRule type="duplicateValues" dxfId="166" priority="256"/>
    <cfRule type="duplicateValues" dxfId="165" priority="257"/>
    <cfRule type="duplicateValues" dxfId="164" priority="258"/>
    <cfRule type="duplicateValues" dxfId="163" priority="259"/>
    <cfRule type="duplicateValues" dxfId="162" priority="260"/>
    <cfRule type="duplicateValues" dxfId="161" priority="261"/>
  </conditionalFormatting>
  <conditionalFormatting sqref="B73:B74 B70">
    <cfRule type="duplicateValues" dxfId="160" priority="262"/>
    <cfRule type="duplicateValues" dxfId="159" priority="263"/>
    <cfRule type="duplicateValues" dxfId="158" priority="264"/>
    <cfRule type="duplicateValues" dxfId="157" priority="265"/>
  </conditionalFormatting>
  <conditionalFormatting sqref="B120">
    <cfRule type="duplicateValues" dxfId="156" priority="266"/>
    <cfRule type="duplicateValues" dxfId="155" priority="267"/>
    <cfRule type="duplicateValues" dxfId="154" priority="268"/>
  </conditionalFormatting>
  <conditionalFormatting sqref="B99:B103">
    <cfRule type="duplicateValues" dxfId="153" priority="269"/>
    <cfRule type="duplicateValues" dxfId="152" priority="270"/>
    <cfRule type="duplicateValues" dxfId="151" priority="271"/>
    <cfRule type="duplicateValues" dxfId="150" priority="272"/>
  </conditionalFormatting>
  <conditionalFormatting sqref="B3">
    <cfRule type="duplicateValues" dxfId="149" priority="98"/>
    <cfRule type="duplicateValues" dxfId="148" priority="99"/>
    <cfRule type="duplicateValues" dxfId="147" priority="100"/>
    <cfRule type="duplicateValues" dxfId="146" priority="101"/>
    <cfRule type="duplicateValues" dxfId="145" priority="102"/>
    <cfRule type="duplicateValues" dxfId="144" priority="104"/>
    <cfRule type="duplicateValues" dxfId="143" priority="105"/>
    <cfRule type="duplicateValues" dxfId="142" priority="106"/>
    <cfRule type="duplicateValues" dxfId="141" priority="107"/>
    <cfRule type="duplicateValues" dxfId="140" priority="108"/>
  </conditionalFormatting>
  <conditionalFormatting sqref="B3:C3">
    <cfRule type="duplicateValues" dxfId="139" priority="103"/>
  </conditionalFormatting>
  <conditionalFormatting sqref="B63:B64">
    <cfRule type="duplicateValues" dxfId="138" priority="94"/>
    <cfRule type="duplicateValues" dxfId="137" priority="95"/>
    <cfRule type="duplicateValues" dxfId="136" priority="96"/>
    <cfRule type="duplicateValues" dxfId="135" priority="97"/>
  </conditionalFormatting>
  <conditionalFormatting sqref="B23:B24">
    <cfRule type="duplicateValues" dxfId="134" priority="83"/>
    <cfRule type="duplicateValues" dxfId="133" priority="84"/>
    <cfRule type="duplicateValues" dxfId="132" priority="85"/>
    <cfRule type="duplicateValues" dxfId="131" priority="86"/>
    <cfRule type="duplicateValues" dxfId="130" priority="87"/>
    <cfRule type="duplicateValues" dxfId="129" priority="88"/>
    <cfRule type="duplicateValues" dxfId="128" priority="89"/>
    <cfRule type="duplicateValues" dxfId="127" priority="90"/>
    <cfRule type="duplicateValues" dxfId="126" priority="91"/>
    <cfRule type="duplicateValues" dxfId="125" priority="92"/>
  </conditionalFormatting>
  <conditionalFormatting sqref="B23:B24">
    <cfRule type="duplicateValues" dxfId="124" priority="93"/>
  </conditionalFormatting>
  <conditionalFormatting sqref="B25">
    <cfRule type="duplicateValues" dxfId="123" priority="79"/>
    <cfRule type="duplicateValues" dxfId="122" priority="80"/>
    <cfRule type="duplicateValues" dxfId="121" priority="81"/>
    <cfRule type="duplicateValues" dxfId="120" priority="82"/>
  </conditionalFormatting>
  <conditionalFormatting sqref="B105 B107:B110">
    <cfRule type="duplicateValues" dxfId="119" priority="273"/>
    <cfRule type="duplicateValues" dxfId="118" priority="274"/>
    <cfRule type="duplicateValues" dxfId="117" priority="275"/>
    <cfRule type="duplicateValues" dxfId="116" priority="276"/>
  </conditionalFormatting>
  <conditionalFormatting sqref="B128:B130 B123">
    <cfRule type="duplicateValues" dxfId="115" priority="277"/>
  </conditionalFormatting>
  <conditionalFormatting sqref="B153">
    <cfRule type="duplicateValues" dxfId="114" priority="278"/>
    <cfRule type="duplicateValues" dxfId="113" priority="279"/>
  </conditionalFormatting>
  <conditionalFormatting sqref="B153">
    <cfRule type="duplicateValues" dxfId="112" priority="280"/>
  </conditionalFormatting>
  <conditionalFormatting sqref="B92:B98">
    <cfRule type="duplicateValues" dxfId="111" priority="281"/>
  </conditionalFormatting>
  <conditionalFormatting sqref="B106">
    <cfRule type="duplicateValues" dxfId="110" priority="75"/>
    <cfRule type="duplicateValues" dxfId="109" priority="76"/>
    <cfRule type="duplicateValues" dxfId="108" priority="77"/>
  </conditionalFormatting>
  <conditionalFormatting sqref="B106">
    <cfRule type="duplicateValues" dxfId="107" priority="78"/>
  </conditionalFormatting>
  <conditionalFormatting sqref="B111:B113">
    <cfRule type="duplicateValues" dxfId="106" priority="72"/>
    <cfRule type="duplicateValues" dxfId="105" priority="73"/>
  </conditionalFormatting>
  <conditionalFormatting sqref="B111:B113">
    <cfRule type="duplicateValues" dxfId="104" priority="74"/>
  </conditionalFormatting>
  <conditionalFormatting sqref="B138:B139 B121">
    <cfRule type="duplicateValues" dxfId="103" priority="282"/>
  </conditionalFormatting>
  <conditionalFormatting sqref="B154">
    <cfRule type="duplicateValues" dxfId="102" priority="68"/>
    <cfRule type="duplicateValues" dxfId="101" priority="69"/>
  </conditionalFormatting>
  <conditionalFormatting sqref="B154">
    <cfRule type="duplicateValues" dxfId="100" priority="70"/>
  </conditionalFormatting>
  <conditionalFormatting sqref="B154">
    <cfRule type="duplicateValues" dxfId="99" priority="71"/>
  </conditionalFormatting>
  <conditionalFormatting sqref="B91 B83:B84 B86:B87">
    <cfRule type="duplicateValues" dxfId="98" priority="285"/>
    <cfRule type="duplicateValues" dxfId="97" priority="286"/>
    <cfRule type="duplicateValues" dxfId="96" priority="287"/>
  </conditionalFormatting>
  <conditionalFormatting sqref="B91 B87">
    <cfRule type="duplicateValues" dxfId="95" priority="288"/>
  </conditionalFormatting>
  <conditionalFormatting sqref="B122:B123 B71:B72 B39 B43:B45 B114:B116 B28:B30 B58:B60 B65:B66 B78:B82 B90 B32:B36 B92:B98 B55 B50:B51 B128:B130 B5:B18 B68">
    <cfRule type="duplicateValues" dxfId="94" priority="289"/>
  </conditionalFormatting>
  <conditionalFormatting sqref="B26">
    <cfRule type="duplicateValues" dxfId="93" priority="64"/>
    <cfRule type="duplicateValues" dxfId="92" priority="65"/>
    <cfRule type="duplicateValues" dxfId="91" priority="66"/>
    <cfRule type="duplicateValues" dxfId="90" priority="67"/>
  </conditionalFormatting>
  <conditionalFormatting sqref="B76:B77">
    <cfRule type="duplicateValues" dxfId="89" priority="59"/>
    <cfRule type="duplicateValues" dxfId="88" priority="60"/>
  </conditionalFormatting>
  <conditionalFormatting sqref="B76:B77">
    <cfRule type="duplicateValues" dxfId="87" priority="61"/>
    <cfRule type="duplicateValues" dxfId="86" priority="62"/>
    <cfRule type="duplicateValues" dxfId="85" priority="63"/>
  </conditionalFormatting>
  <conditionalFormatting sqref="B89">
    <cfRule type="duplicateValues" dxfId="84" priority="55"/>
    <cfRule type="duplicateValues" dxfId="83" priority="56"/>
    <cfRule type="duplicateValues" dxfId="82" priority="57"/>
  </conditionalFormatting>
  <conditionalFormatting sqref="B89">
    <cfRule type="duplicateValues" dxfId="81" priority="58"/>
  </conditionalFormatting>
  <conditionalFormatting sqref="B61:B62">
    <cfRule type="duplicateValues" dxfId="80" priority="290"/>
    <cfRule type="duplicateValues" dxfId="79" priority="291"/>
    <cfRule type="duplicateValues" dxfId="78" priority="292"/>
    <cfRule type="duplicateValues" dxfId="77" priority="293"/>
  </conditionalFormatting>
  <conditionalFormatting sqref="B58:B59 B44:B45 B55 B50:B51">
    <cfRule type="duplicateValues" dxfId="76" priority="294"/>
  </conditionalFormatting>
  <conditionalFormatting sqref="B143">
    <cfRule type="duplicateValues" dxfId="75" priority="295"/>
  </conditionalFormatting>
  <conditionalFormatting sqref="B152">
    <cfRule type="duplicateValues" dxfId="74" priority="296"/>
  </conditionalFormatting>
  <conditionalFormatting sqref="B104">
    <cfRule type="duplicateValues" dxfId="73" priority="299"/>
    <cfRule type="duplicateValues" dxfId="72" priority="300"/>
    <cfRule type="duplicateValues" dxfId="71" priority="301"/>
    <cfRule type="duplicateValues" dxfId="70" priority="302"/>
  </conditionalFormatting>
  <conditionalFormatting sqref="B155:B156">
    <cfRule type="duplicateValues" dxfId="69" priority="43"/>
    <cfRule type="duplicateValues" dxfId="68" priority="44"/>
  </conditionalFormatting>
  <conditionalFormatting sqref="B155:B156">
    <cfRule type="duplicateValues" dxfId="67" priority="45"/>
  </conditionalFormatting>
  <conditionalFormatting sqref="B155:B156">
    <cfRule type="duplicateValues" dxfId="66" priority="46"/>
  </conditionalFormatting>
  <conditionalFormatting sqref="B119">
    <cfRule type="duplicateValues" dxfId="65" priority="42"/>
  </conditionalFormatting>
  <conditionalFormatting sqref="B37">
    <cfRule type="duplicateValues" dxfId="64" priority="7"/>
  </conditionalFormatting>
  <conditionalFormatting sqref="B37">
    <cfRule type="duplicateValues" dxfId="63" priority="5"/>
    <cfRule type="duplicateValues" dxfId="62" priority="6"/>
  </conditionalFormatting>
  <conditionalFormatting sqref="B37">
    <cfRule type="duplicateValues" dxfId="61" priority="8"/>
  </conditionalFormatting>
  <conditionalFormatting sqref="B126:B127">
    <cfRule type="duplicateValues" dxfId="60" priority="1"/>
    <cfRule type="duplicateValues" dxfId="59" priority="2"/>
  </conditionalFormatting>
  <conditionalFormatting sqref="B126:B127">
    <cfRule type="duplicateValues" dxfId="58" priority="3"/>
  </conditionalFormatting>
  <conditionalFormatting sqref="B126:B127">
    <cfRule type="duplicateValues" dxfId="57" priority="4"/>
  </conditionalFormatting>
  <conditionalFormatting sqref="B119">
    <cfRule type="duplicateValues" dxfId="56" priority="303"/>
    <cfRule type="duplicateValues" dxfId="55" priority="304"/>
  </conditionalFormatting>
  <conditionalFormatting sqref="B2">
    <cfRule type="duplicateValues" dxfId="54" priority="305"/>
    <cfRule type="duplicateValues" dxfId="53" priority="306"/>
    <cfRule type="duplicateValues" dxfId="52" priority="307"/>
    <cfRule type="duplicateValues" dxfId="51" priority="308"/>
    <cfRule type="duplicateValues" dxfId="50" priority="309"/>
    <cfRule type="duplicateValues" dxfId="49" priority="310"/>
    <cfRule type="duplicateValues" dxfId="48" priority="311"/>
    <cfRule type="duplicateValues" dxfId="47" priority="312"/>
    <cfRule type="duplicateValues" dxfId="46" priority="313"/>
    <cfRule type="duplicateValues" dxfId="45" priority="314"/>
  </conditionalFormatting>
  <conditionalFormatting sqref="B2:C2">
    <cfRule type="duplicateValues" dxfId="44" priority="356"/>
  </conditionalFormatting>
  <conditionalFormatting sqref="B4">
    <cfRule type="duplicateValues" dxfId="43" priority="446"/>
    <cfRule type="duplicateValues" dxfId="42" priority="447"/>
    <cfRule type="duplicateValues" dxfId="41" priority="448"/>
    <cfRule type="duplicateValues" dxfId="40" priority="449"/>
    <cfRule type="duplicateValues" dxfId="39" priority="450"/>
    <cfRule type="duplicateValues" dxfId="38" priority="451"/>
    <cfRule type="duplicateValues" dxfId="37" priority="452"/>
    <cfRule type="duplicateValues" dxfId="36" priority="453"/>
    <cfRule type="duplicateValues" dxfId="35" priority="454"/>
    <cfRule type="duplicateValues" dxfId="34" priority="455"/>
  </conditionalFormatting>
  <conditionalFormatting sqref="B4">
    <cfRule type="duplicateValues" dxfId="33" priority="456"/>
  </conditionalFormatting>
  <conditionalFormatting sqref="B5:B18">
    <cfRule type="duplicateValues" dxfId="32" priority="610"/>
  </conditionalFormatting>
  <conditionalFormatting sqref="B22">
    <cfRule type="duplicateValues" dxfId="31" priority="700"/>
    <cfRule type="duplicateValues" dxfId="30" priority="701"/>
    <cfRule type="duplicateValues" dxfId="29" priority="702"/>
    <cfRule type="duplicateValues" dxfId="28" priority="703"/>
    <cfRule type="duplicateValues" dxfId="27" priority="704"/>
    <cfRule type="duplicateValues" dxfId="26" priority="705"/>
    <cfRule type="duplicateValues" dxfId="25" priority="706"/>
    <cfRule type="duplicateValues" dxfId="24" priority="707"/>
    <cfRule type="duplicateValues" dxfId="23" priority="708"/>
    <cfRule type="duplicateValues" dxfId="22" priority="709"/>
  </conditionalFormatting>
  <conditionalFormatting sqref="B22">
    <cfRule type="duplicateValues" dxfId="21" priority="710"/>
  </conditionalFormatting>
  <conditionalFormatting sqref="B20">
    <cfRule type="duplicateValues" dxfId="20" priority="800"/>
    <cfRule type="duplicateValues" dxfId="19" priority="801"/>
    <cfRule type="duplicateValues" dxfId="18" priority="802"/>
    <cfRule type="duplicateValues" dxfId="17" priority="803"/>
    <cfRule type="duplicateValues" dxfId="16" priority="804"/>
    <cfRule type="duplicateValues" dxfId="15" priority="805"/>
    <cfRule type="duplicateValues" dxfId="14" priority="806"/>
    <cfRule type="duplicateValues" dxfId="13" priority="807"/>
    <cfRule type="duplicateValues" dxfId="12" priority="808"/>
    <cfRule type="duplicateValues" dxfId="11" priority="809"/>
  </conditionalFormatting>
  <conditionalFormatting sqref="B20">
    <cfRule type="duplicateValues" dxfId="10" priority="810"/>
  </conditionalFormatting>
  <conditionalFormatting sqref="B67">
    <cfRule type="duplicateValues" dxfId="9" priority="886"/>
    <cfRule type="duplicateValues" dxfId="8" priority="887"/>
  </conditionalFormatting>
  <conditionalFormatting sqref="B67">
    <cfRule type="duplicateValues" dxfId="7" priority="888"/>
  </conditionalFormatting>
  <conditionalFormatting sqref="B66">
    <cfRule type="duplicateValues" dxfId="6" priority="964"/>
    <cfRule type="duplicateValues" dxfId="5" priority="965"/>
  </conditionalFormatting>
  <conditionalFormatting sqref="B88">
    <cfRule type="duplicateValues" dxfId="4" priority="1035"/>
  </conditionalFormatting>
  <conditionalFormatting sqref="B88">
    <cfRule type="duplicateValues" dxfId="3" priority="1036"/>
    <cfRule type="duplicateValues" dxfId="2" priority="1037"/>
  </conditionalFormatting>
  <conditionalFormatting sqref="B79:B82">
    <cfRule type="duplicateValues" dxfId="1" priority="1088"/>
  </conditionalFormatting>
  <conditionalFormatting sqref="B79:B81">
    <cfRule type="duplicateValues" dxfId="0" priority="1164"/>
  </conditionalFormatting>
  <dataValidations count="1">
    <dataValidation type="textLength" operator="lessThanOrEqual" allowBlank="1" showInputMessage="1" showErrorMessage="1" sqref="D149:E149 D144:E145 D131:E131 D69:E69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2026-08-12T12:16:01Z</dcterms:modified>
</cp:coreProperties>
</file>