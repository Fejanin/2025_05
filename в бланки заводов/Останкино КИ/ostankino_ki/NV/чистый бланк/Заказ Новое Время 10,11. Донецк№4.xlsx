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7C57B814-2DEA-472C-A03E-3446862C83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29" i="1" l="1"/>
</calcChain>
</file>

<file path=xl/sharedStrings.xml><?xml version="1.0" encoding="utf-8"?>
<sst xmlns="http://schemas.openxmlformats.org/spreadsheetml/2006/main" count="251" uniqueCount="143">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</sst>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45971</v>
      </c>
      <c r="E3" s="7" t="s">
        <v>3</v>
      </c>
      <c r="F3" s="83">
        <f>D3+3</f>
        <v>45974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109</v>
      </c>
      <c r="C99" s="73" t="s">
        <v>32</v>
      </c>
      <c r="D99" s="74">
        <v>1001060764993</v>
      </c>
      <c r="E99" s="24"/>
      <c r="F99" s="23">
        <v>0.25</v>
      </c>
      <c r="G99" s="23">
        <f t="shared" ref="G99:G108" si="6">E99*F99</f>
        <v>0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110</v>
      </c>
      <c r="C100" s="73" t="s">
        <v>32</v>
      </c>
      <c r="D100" s="74">
        <v>1001063656967</v>
      </c>
      <c r="E100" s="24"/>
      <c r="F100" s="23">
        <v>0.25</v>
      </c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ref="A101:A128" si="7">RIGHT(D101,4)</f>
        <v>5682</v>
      </c>
      <c r="B101" s="80" t="s">
        <v>111</v>
      </c>
      <c r="C101" s="73" t="s">
        <v>21</v>
      </c>
      <c r="D101" s="74">
        <v>1001193115682</v>
      </c>
      <c r="E101" s="24"/>
      <c r="F101" s="23">
        <v>0.12</v>
      </c>
      <c r="G101" s="23">
        <f t="shared" si="6"/>
        <v>0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7"/>
        <v>7147</v>
      </c>
      <c r="B102" s="80" t="s">
        <v>112</v>
      </c>
      <c r="C102" s="73" t="s">
        <v>21</v>
      </c>
      <c r="D102" s="74">
        <v>1001063237147</v>
      </c>
      <c r="E102" s="24"/>
      <c r="F102" s="23">
        <v>0.22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7"/>
        <v>7229</v>
      </c>
      <c r="B103" s="80" t="s">
        <v>113</v>
      </c>
      <c r="C103" s="73" t="s">
        <v>21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7"/>
        <v>7150</v>
      </c>
      <c r="B104" s="80" t="s">
        <v>114</v>
      </c>
      <c r="C104" s="73" t="s">
        <v>23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7227</v>
      </c>
      <c r="B105" s="80" t="s">
        <v>115</v>
      </c>
      <c r="C105" s="73" t="s">
        <v>21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7"/>
        <v>7225</v>
      </c>
      <c r="B106" s="80" t="s">
        <v>116</v>
      </c>
      <c r="C106" s="73" t="s">
        <v>21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7228</v>
      </c>
      <c r="B107" s="80" t="s">
        <v>117</v>
      </c>
      <c r="C107" s="73" t="s">
        <v>21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6221</v>
      </c>
      <c r="B108" s="80" t="s">
        <v>118</v>
      </c>
      <c r="C108" s="73" t="s">
        <v>21</v>
      </c>
      <c r="D108" s="74">
        <v>1001205376221</v>
      </c>
      <c r="E108" s="24"/>
      <c r="F108" s="23">
        <v>0.09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4117</v>
      </c>
      <c r="B109" s="80" t="s">
        <v>119</v>
      </c>
      <c r="C109" s="73" t="s">
        <v>23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7"/>
        <v>5483</v>
      </c>
      <c r="B110" s="80" t="s">
        <v>120</v>
      </c>
      <c r="C110" s="73" t="s">
        <v>21</v>
      </c>
      <c r="D110" s="74">
        <v>1001062505483</v>
      </c>
      <c r="E110" s="24"/>
      <c r="F110" s="23">
        <v>0.25</v>
      </c>
      <c r="G110" s="23">
        <f>E110*F110</f>
        <v>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7"/>
        <v>6453</v>
      </c>
      <c r="B111" s="80" t="s">
        <v>121</v>
      </c>
      <c r="C111" s="73" t="s">
        <v>32</v>
      </c>
      <c r="D111" s="74">
        <v>1001202506453</v>
      </c>
      <c r="E111" s="24"/>
      <c r="F111" s="23">
        <v>0.1</v>
      </c>
      <c r="G111" s="23">
        <f>E111*F111</f>
        <v>0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7"/>
        <v>6228</v>
      </c>
      <c r="B112" s="80" t="s">
        <v>122</v>
      </c>
      <c r="C112" s="73" t="s">
        <v>32</v>
      </c>
      <c r="D112" s="74">
        <v>1001225416228</v>
      </c>
      <c r="E112" s="24"/>
      <c r="F112" s="23">
        <v>0.09</v>
      </c>
      <c r="G112" s="23">
        <f>E112*F112</f>
        <v>0</v>
      </c>
      <c r="H112" s="14"/>
      <c r="I112" s="14"/>
      <c r="J112" s="29"/>
    </row>
    <row r="113" spans="1:11" ht="16.5" customHeight="1" thickBot="1" x14ac:dyDescent="0.3">
      <c r="A113" s="60" t="str">
        <f t="shared" si="7"/>
        <v>3287</v>
      </c>
      <c r="B113" s="80" t="s">
        <v>123</v>
      </c>
      <c r="C113" s="73" t="s">
        <v>23</v>
      </c>
      <c r="D113" s="74">
        <v>1001060763287</v>
      </c>
      <c r="E113" s="24"/>
      <c r="F113" s="23">
        <v>0.51300000000000001</v>
      </c>
      <c r="G113" s="23">
        <f>E113</f>
        <v>0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7"/>
        <v/>
      </c>
      <c r="B114" s="47" t="s">
        <v>124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7"/>
        <v>6866</v>
      </c>
      <c r="B115" s="77" t="s">
        <v>125</v>
      </c>
      <c r="C115" s="73" t="s">
        <v>37</v>
      </c>
      <c r="D115" s="79">
        <v>1001095716866</v>
      </c>
      <c r="E115" s="24"/>
      <c r="F115" s="23"/>
      <c r="G115" s="23">
        <f>E115</f>
        <v>0</v>
      </c>
      <c r="H115" s="14"/>
      <c r="I115" s="14"/>
      <c r="J115" s="29"/>
    </row>
    <row r="116" spans="1:11" ht="16.5" customHeight="1" x14ac:dyDescent="0.25">
      <c r="A116" s="60" t="str">
        <f t="shared" si="7"/>
        <v>3215</v>
      </c>
      <c r="B116" s="80" t="s">
        <v>126</v>
      </c>
      <c r="C116" s="73" t="s">
        <v>32</v>
      </c>
      <c r="D116" s="42">
        <v>1001094053215</v>
      </c>
      <c r="E116" s="24"/>
      <c r="F116" s="23">
        <v>0.4</v>
      </c>
      <c r="G116" s="23">
        <f>E116*F116</f>
        <v>0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7"/>
        <v>5452</v>
      </c>
      <c r="B117" s="51" t="s">
        <v>127</v>
      </c>
      <c r="C117" s="73" t="s">
        <v>23</v>
      </c>
      <c r="D117" s="42">
        <v>1001092485452</v>
      </c>
      <c r="E117" s="24"/>
      <c r="F117" s="23">
        <v>1.367</v>
      </c>
      <c r="G117" s="23">
        <f>E117</f>
        <v>0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7"/>
        <v>5495</v>
      </c>
      <c r="B118" s="51" t="s">
        <v>128</v>
      </c>
      <c r="C118" s="73" t="s">
        <v>21</v>
      </c>
      <c r="D118" s="42">
        <v>1001093345495</v>
      </c>
      <c r="E118" s="24"/>
      <c r="F118" s="23">
        <v>0.4</v>
      </c>
      <c r="G118" s="23">
        <f>E118*F118</f>
        <v>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7"/>
        <v>6495</v>
      </c>
      <c r="B119" s="51" t="s">
        <v>129</v>
      </c>
      <c r="C119" s="73" t="s">
        <v>21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7"/>
        <v/>
      </c>
      <c r="B120" s="47" t="s">
        <v>130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7"/>
        <v>6448</v>
      </c>
      <c r="B121" s="37" t="s">
        <v>131</v>
      </c>
      <c r="C121" s="73" t="s">
        <v>32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7"/>
        <v>6620</v>
      </c>
      <c r="B122" s="37" t="s">
        <v>132</v>
      </c>
      <c r="C122" s="73" t="s">
        <v>23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si="7"/>
        <v>6279</v>
      </c>
      <c r="B123" s="37" t="s">
        <v>133</v>
      </c>
      <c r="C123" s="73" t="s">
        <v>21</v>
      </c>
      <c r="D123" s="74">
        <v>1001220286279</v>
      </c>
      <c r="E123" s="24"/>
      <c r="F123" s="23">
        <v>0.15</v>
      </c>
      <c r="G123" s="23">
        <f>F123*E123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134</v>
      </c>
      <c r="C124" s="73" t="s">
        <v>21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135</v>
      </c>
      <c r="C125" s="73" t="s">
        <v>32</v>
      </c>
      <c r="D125" s="74">
        <v>1001084217090</v>
      </c>
      <c r="E125" s="24"/>
      <c r="F125" s="23">
        <v>0.3</v>
      </c>
      <c r="G125" s="23">
        <f>E125*F125</f>
        <v>0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136</v>
      </c>
      <c r="C126" s="73" t="s">
        <v>32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137</v>
      </c>
      <c r="C127" s="54" t="s">
        <v>32</v>
      </c>
      <c r="D127" s="55">
        <v>1001223297103</v>
      </c>
      <c r="E127" s="24"/>
      <c r="F127" s="75">
        <v>0.18</v>
      </c>
      <c r="G127" s="23">
        <f>E127*F127</f>
        <v>0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138</v>
      </c>
      <c r="C128" s="73" t="s">
        <v>23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139</v>
      </c>
      <c r="C129" s="16"/>
      <c r="D129" s="38"/>
      <c r="E129" s="17">
        <f>SUM(E10:E128)</f>
        <v>0</v>
      </c>
      <c r="F129" s="17"/>
      <c r="G129" s="17">
        <f>SUM(G11:G128)</f>
        <v>0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2025-11-05T12:42:00Z</dcterms:modified>
</cp:coreProperties>
</file>