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4CDDD2FC-0B66-4D65-A738-DB57FED25D6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Бланк!$A$9:$J$165</definedName>
    <definedName name="кол_во_инд.__упак_к">Бланк!$AC$3:$AC$601</definedName>
    <definedName name="номин.вес_нетто__кг">Бланк!$W$3:$W$601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88" i="1" l="1"/>
  <c r="A88" i="1"/>
  <c r="G129" i="1" l="1"/>
  <c r="A129" i="1"/>
  <c r="G156" i="1" l="1"/>
  <c r="A156" i="1"/>
  <c r="G93" i="1" l="1"/>
  <c r="A93" i="1"/>
  <c r="A83" i="1" l="1"/>
  <c r="G83" i="1"/>
  <c r="F3" i="1" l="1"/>
  <c r="A158" i="1" l="1"/>
  <c r="A164" i="1"/>
  <c r="A163" i="1"/>
  <c r="A162" i="1"/>
  <c r="A161" i="1"/>
  <c r="A160" i="1"/>
  <c r="A159" i="1"/>
  <c r="A157" i="1"/>
  <c r="A155" i="1"/>
  <c r="A154" i="1"/>
  <c r="A153" i="1"/>
  <c r="A151" i="1"/>
  <c r="A150" i="1"/>
  <c r="A149" i="1"/>
  <c r="A148" i="1"/>
  <c r="A147" i="1"/>
  <c r="A146" i="1"/>
  <c r="A145" i="1"/>
  <c r="A144" i="1"/>
  <c r="A143" i="1"/>
  <c r="A142" i="1"/>
  <c r="A140" i="1"/>
  <c r="A139" i="1"/>
  <c r="A138" i="1"/>
  <c r="A137" i="1"/>
  <c r="A136" i="1"/>
  <c r="A135" i="1"/>
  <c r="A134" i="1"/>
  <c r="A133" i="1"/>
  <c r="A132" i="1"/>
  <c r="A131" i="1"/>
  <c r="A130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5" i="1"/>
  <c r="A104" i="1"/>
  <c r="A103" i="1"/>
  <c r="A102" i="1"/>
  <c r="A101" i="1"/>
  <c r="A100" i="1"/>
  <c r="A99" i="1"/>
  <c r="A98" i="1"/>
  <c r="A97" i="1"/>
  <c r="A96" i="1"/>
  <c r="A95" i="1"/>
  <c r="A94" i="1"/>
  <c r="A92" i="1"/>
  <c r="A91" i="1"/>
  <c r="A90" i="1"/>
  <c r="A89" i="1"/>
  <c r="A87" i="1"/>
  <c r="A86" i="1"/>
  <c r="A85" i="1"/>
  <c r="A84" i="1"/>
  <c r="A82" i="1"/>
  <c r="A81" i="1"/>
  <c r="A79" i="1"/>
  <c r="A78" i="1"/>
  <c r="A77" i="1"/>
  <c r="A76" i="1"/>
  <c r="A75" i="1"/>
  <c r="A74" i="1"/>
  <c r="A73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11" i="1"/>
  <c r="K5" i="1"/>
  <c r="K6" i="1"/>
  <c r="K7" i="1"/>
  <c r="E165" i="1"/>
  <c r="G155" i="1"/>
  <c r="G151" i="1"/>
  <c r="G147" i="1"/>
  <c r="G145" i="1"/>
  <c r="G144" i="1"/>
  <c r="G142" i="1"/>
  <c r="G140" i="1"/>
  <c r="G128" i="1"/>
  <c r="G127" i="1"/>
  <c r="G115" i="1"/>
  <c r="G114" i="1"/>
  <c r="G111" i="1"/>
  <c r="G110" i="1"/>
  <c r="G107" i="1"/>
  <c r="G97" i="1"/>
  <c r="G95" i="1"/>
  <c r="G91" i="1"/>
  <c r="G87" i="1"/>
  <c r="G81" i="1"/>
  <c r="G76" i="1"/>
  <c r="G75" i="1"/>
  <c r="G74" i="1"/>
  <c r="G73" i="1"/>
  <c r="G67" i="1"/>
  <c r="G66" i="1"/>
  <c r="G64" i="1"/>
  <c r="G62" i="1"/>
  <c r="G58" i="1"/>
  <c r="G56" i="1"/>
  <c r="G54" i="1"/>
  <c r="G52" i="1"/>
  <c r="G47" i="1"/>
  <c r="G45" i="1"/>
  <c r="G44" i="1"/>
  <c r="G33" i="1"/>
  <c r="G32" i="1"/>
  <c r="G31" i="1"/>
  <c r="G29" i="1"/>
  <c r="G28" i="1"/>
  <c r="G26" i="1"/>
  <c r="G24" i="1"/>
  <c r="G22" i="1"/>
  <c r="G20" i="1"/>
  <c r="G19" i="1"/>
  <c r="G17" i="1"/>
  <c r="G14" i="1"/>
  <c r="G12" i="1"/>
  <c r="G164" i="1"/>
  <c r="G163" i="1"/>
  <c r="G162" i="1"/>
  <c r="G161" i="1"/>
  <c r="G160" i="1"/>
  <c r="G159" i="1"/>
  <c r="G158" i="1"/>
  <c r="G157" i="1"/>
  <c r="G154" i="1"/>
  <c r="G153" i="1"/>
  <c r="G150" i="1"/>
  <c r="G149" i="1"/>
  <c r="G148" i="1"/>
  <c r="G146" i="1"/>
  <c r="G143" i="1"/>
  <c r="G139" i="1"/>
  <c r="G138" i="1"/>
  <c r="G137" i="1"/>
  <c r="G136" i="1"/>
  <c r="G135" i="1"/>
  <c r="G134" i="1"/>
  <c r="G133" i="1"/>
  <c r="G132" i="1"/>
  <c r="G131" i="1"/>
  <c r="G130" i="1"/>
  <c r="G126" i="1"/>
  <c r="G125" i="1"/>
  <c r="G124" i="1"/>
  <c r="G123" i="1"/>
  <c r="G122" i="1"/>
  <c r="G121" i="1"/>
  <c r="G120" i="1"/>
  <c r="G119" i="1"/>
  <c r="G118" i="1"/>
  <c r="G117" i="1"/>
  <c r="G116" i="1"/>
  <c r="G113" i="1"/>
  <c r="G112" i="1"/>
  <c r="G109" i="1"/>
  <c r="G108" i="1"/>
  <c r="G105" i="1"/>
  <c r="G104" i="1"/>
  <c r="G103" i="1"/>
  <c r="G102" i="1"/>
  <c r="G101" i="1"/>
  <c r="G100" i="1"/>
  <c r="G99" i="1"/>
  <c r="G98" i="1"/>
  <c r="G96" i="1"/>
  <c r="G94" i="1"/>
  <c r="G92" i="1"/>
  <c r="G90" i="1"/>
  <c r="G89" i="1"/>
  <c r="G86" i="1"/>
  <c r="G85" i="1"/>
  <c r="G84" i="1"/>
  <c r="G82" i="1"/>
  <c r="G79" i="1"/>
  <c r="G78" i="1"/>
  <c r="G77" i="1"/>
  <c r="G71" i="1"/>
  <c r="G70" i="1"/>
  <c r="G69" i="1"/>
  <c r="G68" i="1"/>
  <c r="G65" i="1"/>
  <c r="G63" i="1"/>
  <c r="G61" i="1"/>
  <c r="G60" i="1"/>
  <c r="G59" i="1"/>
  <c r="G57" i="1"/>
  <c r="G55" i="1"/>
  <c r="G53" i="1"/>
  <c r="G51" i="1"/>
  <c r="G50" i="1"/>
  <c r="G49" i="1"/>
  <c r="G48" i="1"/>
  <c r="G46" i="1"/>
  <c r="G43" i="1"/>
  <c r="G42" i="1"/>
  <c r="G41" i="1"/>
  <c r="G40" i="1"/>
  <c r="G39" i="1"/>
  <c r="G38" i="1"/>
  <c r="G36" i="1"/>
  <c r="G35" i="1"/>
  <c r="G34" i="1"/>
  <c r="G30" i="1"/>
  <c r="G27" i="1"/>
  <c r="G25" i="1"/>
  <c r="G23" i="1"/>
  <c r="G21" i="1"/>
  <c r="G18" i="1"/>
  <c r="G15" i="1"/>
  <c r="G13" i="1"/>
  <c r="G16" i="1" l="1"/>
  <c r="G11" i="1"/>
  <c r="G1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<sst xmlns="http://schemas.openxmlformats.org/spreadsheetml/2006/main" count="658" uniqueCount="225">
  <si>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</si>
  <si>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</si>
  <si>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</si>
  <si>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</si>
  <si>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</si>
  <si>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</si>
  <si>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</si>
  <si>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</si>
  <si>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</si>
  <si>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</si>
  <si>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</si>
  <si>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</si>
  <si>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</si>
  <si>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</si>
  <si>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</si>
  <si>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</si>
  <si>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</si>
  <si>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</si>
  <si>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</si>
  <si>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</si>
  <si>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</si>
  <si>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</si>
  <si>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</si>
  <si>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</si>
  <si>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</si>
  <si>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</si>
  <si>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</si>
  <si>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</si>
  <si>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</si>
  <si>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</si>
  <si>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</si>
  <si>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</si>
  <si>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</si>
  <si>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</si>
  <si>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</si>
  <si>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</si>
  <si>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</si>
  <si>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</si>
  <si>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</si>
  <si>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</si>
  <si>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</si>
  <si>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</si>
  <si>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</si>
  <si>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</si>
  <si>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</si>
  <si>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</si>
  <si>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</si>
  <si>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</si>
  <si>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</si>
  <si>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</si>
  <si>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</si>
  <si>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</si>
  <si>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</si>
  <si>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</si>
  <si>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</si>
  <si>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</si>
  <si>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</si>
  <si>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</si>
  <si>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</si>
  <si>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</si>
  <si>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</si>
  <si>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</si>
  <si>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</si>
  <si>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</si>
  <si>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</si>
  <si>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</si>
  <si>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</si>
  <si>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</si>
  <si>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</si>
  <si>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</si>
  <si>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</si>
  <si>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</si>
  <si>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</si>
  <si>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</si>
  <si>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</si>
  <si>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</si>
  <si>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</si>
  <si>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</si>
  <si>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</si>
  <si>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</si>
  <si>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</si>
  <si>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</si>
  <si>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</si>
  <si>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</si>
  <si>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</si>
  <si>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</si>
  <si>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</si>
  <si>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</si>
  <si>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</si>
  <si>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</si>
  <si>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</si>
  <si>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</si>
  <si>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</si>
  <si>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</si>
  <si>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</si>
  <si>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</si>
  <si>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</si>
  <si>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</si>
  <si>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</si>
  <si>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</si>
  <si>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</si>
  <si>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</si>
  <si>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</si>
  <si>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</si>
  <si>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</si>
  <si>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</si>
  <si>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</si>
  <si>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</si>
  <si>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</si>
  <si>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</si>
  <si>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</si>
  <si>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</si>
  <si>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</si>
  <si>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</si>
  <si>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</si>
  <si>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</si>
  <si>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</si>
  <si>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</si>
  <si>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</si>
  <si>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</si>
  <si>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</si>
  <si>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</si>
  <si>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</si>
  <si>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</si>
  <si>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</si>
  <si>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</si>
  <si>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</si>
  <si>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</si>
  <si>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</si>
  <si>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</si>
  <si>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</si>
  <si>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</si>
  <si>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</si>
  <si>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</si>
  <si>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</si>
  <si>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</si>
  <si>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</si>
  <si>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</si>
  <si>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</si>
  <si>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</si>
  <si>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</si>
  <si>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</si>
  <si>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</si>
  <si>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</si>
  <si>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</si>
  <si>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</si>
  <si>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</si>
  <si>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</si>
  <si>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</si>
  <si>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</si>
  <si>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</si>
  <si>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</si>
  <si>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</si>
  <si>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</si>
  <si>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</si>
  <si>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</si>
  <si>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</si>
  <si>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</si>
  <si>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</si>
  <si>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</si>
  <si>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</si>
  <si>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</si>
  <si>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</si>
  <si>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</si>
  <si>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</si>
  <si>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</si>
  <si>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</si>
  <si>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</si>
  <si>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</si>
  <si>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</si>
  <si>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</si>
  <si>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</si>
  <si>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</si>
  <si>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</si>
  <si>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</si>
  <si>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</si>
  <si>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</si>
  <si>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</si>
  <si>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</si>
  <si>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</si>
  <si>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</si>
  <si>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</si>
  <si>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</si>
  <si>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</si>
  <si>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</si>
  <si>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</si>
  <si>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</si>
  <si>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</si>
  <si>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</si>
  <si>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</si>
  <si>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</si>
  <si>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</si>
  <si>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</si>
  <si>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</si>
  <si>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</si>
  <si>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5246</t>
  </si>
  <si>
    <t>Ротация кода 5247</t>
  </si>
  <si>
    <t>Новинка, Смешарики</t>
  </si>
  <si>
    <t>Ротация кода 7131</t>
  </si>
  <si>
    <t>Ротация кода 6793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</si>
  <si>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</si>
  <si>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</si>
  <si>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</si>
  <si>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>САЛЯМИ ИТАЛЬЯНСКАЯ с/к в/у 1/250*8_120c</t>
  </si>
  <si>
    <t>ЭКСТРА Папа может вар п/о.</t>
  </si>
  <si>
    <t>МЯСНЫЕ Папа может сос п/о мгс  1.5*3</t>
  </si>
  <si>
    <t>ФИЛЕЙНАЯ Папа может вар п/о 0.4кг 8шт.</t>
  </si>
  <si>
    <t>ЭКСТРА Папа может с/к с/н в/у 1/100_60с</t>
  </si>
  <si>
    <t>АРОМАТНАЯ с/к с/н в/у 1/100*8_60с</t>
  </si>
  <si>
    <t>МЯСНЫЕ Папа может сар б/о мгс  1*3_О_45с</t>
  </si>
  <si>
    <t>СОЧНЫЙ ГРИЛЬ ПМ сос п/о мгс 1,5*4_Маяк</t>
  </si>
  <si>
    <t>МОЛОЧНЫЕ КЛАССИЧЕСКИЕ сос п/о мгс 2*4</t>
  </si>
  <si>
    <t>БАЛЫК с/к с/н в/у 1/100 10шт.</t>
  </si>
  <si>
    <t>ВЕТЧ.КЛАССИЧЕСКАЯ в/у 0.6кг 8шт.</t>
  </si>
  <si>
    <t>ДЛЯ ДЕТЕЙ Папа может сос п/о мгс 0.33кг</t>
  </si>
  <si>
    <t>ДЛЯ ДЕТЕЙ сос п/о мгс 0,33кг 6шт</t>
  </si>
  <si>
    <t>ШПИКАЧКИ СОЧНЫЕ ПМ САР Б/О МГС 1*3 45с</t>
  </si>
  <si>
    <t>ПОСОЛЬСКАЯ ПМ с/к с/н в/у 1/100 10шт</t>
  </si>
  <si>
    <t>ЭКСТРА Папа может вар п/о 0.4кг 8шт_195к</t>
  </si>
  <si>
    <t>130439104 ООО "НОВОЕ ВРЕМЯ"  Мариуполь</t>
  </si>
  <si>
    <t>СЫРРРВЕЛАТ Папа может в/к в/у 0.28кг 8шт</t>
  </si>
  <si>
    <t xml:space="preserve"> БАВАРСКИЕ ПМ сос ц/о мгс 0.35кг 8шт.</t>
  </si>
  <si>
    <t>САЛО СОЛЕНОЕ С ЧЕРНЫМ ПЕРЦЕМ мл/к в/у</t>
  </si>
  <si>
    <t>НАБОР ДЛЯ ПИЦЦЫ с/к с/н мгс 3*3_HRC</t>
  </si>
  <si>
    <t>СЕРВЕЛАТ КРЕМЛЕВСКИЙ в/к в/у 0.84кг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</si>
</sst>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7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9"/>
  <sheetViews>
    <sheetView tabSelected="1" zoomScale="85" zoomScaleNormal="85" workbookViewId="0">
      <pane ySplit="9" topLeftCell="A16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  <col min="15" max="67" width="8.85546875"/>
  </cols>
  <sheetData>
    <row r="1" spans="1:50" ht="27" customHeight="1" thickTop="1" thickBot="1" x14ac:dyDescent="0.3">
      <c r="C1" s="1" t="s">
        <v>0</v>
      </c>
      <c r="D1" s="101">
        <v>130438122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200</v>
      </c>
    </row>
    <row r="2" spans="1:50" ht="16.5" customHeight="1" thickTop="1" thickBot="1" x14ac:dyDescent="0.3">
      <c r="K2">
        <v>130438119</v>
      </c>
      <c r="L2" t="s">
        <v>201</v>
      </c>
    </row>
    <row r="3" spans="1:50" ht="19.5" customHeight="1" thickTop="1" thickBot="1" x14ac:dyDescent="0.3">
      <c r="B3" s="32"/>
      <c r="C3" s="7" t="s">
        <v>2</v>
      </c>
      <c r="D3" s="54">
        <v>46216</v>
      </c>
      <c r="E3" s="7" t="s">
        <v>3</v>
      </c>
      <c r="F3" s="54">
        <f>D3+3</f>
        <v>46219</v>
      </c>
      <c r="G3" s="105" t="str">
        <f>VLOOKUP(D1,K:L,2,0)</f>
        <v>130438122 ООО "НОВОЕ ВРЕМЯ"  272151 Бердянский р-н 90  Трояны</v>
      </c>
      <c r="H3" s="103"/>
      <c r="I3" s="103"/>
      <c r="J3" s="104"/>
      <c r="K3">
        <v>130438120</v>
      </c>
      <c r="L3" t="s">
        <v>202</v>
      </c>
    </row>
    <row r="4" spans="1:50" ht="15.75" customHeight="1" thickTop="1" x14ac:dyDescent="0.25">
      <c r="K4">
        <v>130439104</v>
      </c>
      <c r="L4" t="s">
        <v>219</v>
      </c>
    </row>
    <row r="5" spans="1:50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6" t="s">
        <v>9</v>
      </c>
      <c r="B9" s="44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50" ht="16.5" customHeight="1" thickTop="1" thickBot="1" x14ac:dyDescent="0.3">
      <c r="A10" s="47"/>
      <c r="B10" s="42" t="s">
        <v>19</v>
      </c>
      <c r="C10" s="42"/>
      <c r="D10" s="42"/>
      <c r="E10" s="42"/>
      <c r="F10" s="41"/>
      <c r="G10" s="42"/>
      <c r="H10" s="42"/>
      <c r="I10" s="42"/>
      <c r="J10" s="43"/>
    </row>
    <row r="11" spans="1:50" s="15" customFormat="1" ht="16.5" customHeight="1" thickTop="1" x14ac:dyDescent="0.25">
      <c r="A11" s="55" t="str">
        <f>RIGHT(D11,4)</f>
        <v>7523</v>
      </c>
      <c r="B11" s="53" t="s">
        <v>110</v>
      </c>
      <c r="C11" s="50" t="s">
        <v>21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192</v>
      </c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6220</v>
      </c>
      <c r="B12" s="53" t="s">
        <v>36</v>
      </c>
      <c r="C12" s="50" t="s">
        <v>23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7539</v>
      </c>
      <c r="B13" s="53" t="s">
        <v>111</v>
      </c>
      <c r="C13" s="50" t="s">
        <v>21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193</v>
      </c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7536</v>
      </c>
      <c r="B14" s="53" t="s">
        <v>112</v>
      </c>
      <c r="C14" s="50" t="s">
        <v>23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194</v>
      </c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6340</v>
      </c>
      <c r="B15" s="53" t="s">
        <v>27</v>
      </c>
      <c r="C15" s="50" t="s">
        <v>21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6861</v>
      </c>
      <c r="B16" s="53" t="s">
        <v>26</v>
      </c>
      <c r="C16" s="50" t="s">
        <v>23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5" t="str">
        <f t="shared" si="1"/>
        <v>6862</v>
      </c>
      <c r="B17" s="53" t="s">
        <v>29</v>
      </c>
      <c r="C17" s="50" t="s">
        <v>23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5" t="str">
        <f t="shared" si="1"/>
        <v>6341</v>
      </c>
      <c r="B18" s="53" t="s">
        <v>28</v>
      </c>
      <c r="C18" s="50" t="s">
        <v>21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6498</v>
      </c>
      <c r="B19" s="53" t="s">
        <v>35</v>
      </c>
      <c r="C19" s="50" t="s">
        <v>23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</row>
    <row r="20" spans="1:10" ht="16.5" customHeight="1" x14ac:dyDescent="0.25">
      <c r="A20" s="55" t="str">
        <f t="shared" si="1"/>
        <v>4063</v>
      </c>
      <c r="B20" s="53" t="s">
        <v>22</v>
      </c>
      <c r="C20" s="50" t="s">
        <v>23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</row>
    <row r="21" spans="1:10" ht="16.5" customHeight="1" x14ac:dyDescent="0.25">
      <c r="A21" s="55" t="str">
        <f t="shared" si="1"/>
        <v>6333</v>
      </c>
      <c r="B21" s="53" t="s">
        <v>24</v>
      </c>
      <c r="C21" s="50" t="s">
        <v>21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</row>
    <row r="22" spans="1:10" ht="16.5" customHeight="1" x14ac:dyDescent="0.25">
      <c r="A22" s="55" t="str">
        <f t="shared" si="1"/>
        <v>4574</v>
      </c>
      <c r="B22" s="53" t="s">
        <v>25</v>
      </c>
      <c r="C22" s="50" t="s">
        <v>23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5" t="str">
        <f t="shared" si="1"/>
        <v>7334</v>
      </c>
      <c r="B23" s="53" t="s">
        <v>113</v>
      </c>
      <c r="C23" s="50" t="s">
        <v>21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4813</v>
      </c>
      <c r="B24" s="53" t="s">
        <v>30</v>
      </c>
      <c r="C24" s="50" t="s">
        <v>23</v>
      </c>
      <c r="D24" s="51">
        <v>1001012564813</v>
      </c>
      <c r="E24" s="24"/>
      <c r="F24" s="56">
        <v>1.35</v>
      </c>
      <c r="G24" s="23">
        <f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6392</v>
      </c>
      <c r="B25" s="53" t="s">
        <v>206</v>
      </c>
      <c r="C25" s="50" t="s">
        <v>21</v>
      </c>
      <c r="D25" s="51">
        <v>1001012566392</v>
      </c>
      <c r="E25" s="24"/>
      <c r="F25" s="56">
        <v>0.4</v>
      </c>
      <c r="G25" s="23">
        <f>E25*F25</f>
        <v>0</v>
      </c>
      <c r="H25" s="29">
        <v>3.2</v>
      </c>
      <c r="I25" s="29">
        <v>60</v>
      </c>
      <c r="J25" s="29"/>
    </row>
    <row r="26" spans="1:10" ht="16.5" customHeight="1" x14ac:dyDescent="0.25">
      <c r="A26" s="55" t="str">
        <f t="shared" si="1"/>
        <v>5851</v>
      </c>
      <c r="B26" s="53" t="s">
        <v>204</v>
      </c>
      <c r="C26" s="50" t="s">
        <v>23</v>
      </c>
      <c r="D26" s="51">
        <v>1001012505851</v>
      </c>
      <c r="E26" s="24"/>
      <c r="F26" s="56">
        <v>1.35</v>
      </c>
      <c r="G26" s="23">
        <f>E26</f>
        <v>0</v>
      </c>
      <c r="H26" s="29">
        <v>4.05</v>
      </c>
      <c r="I26" s="29">
        <v>60</v>
      </c>
      <c r="J26" s="29"/>
    </row>
    <row r="27" spans="1:10" ht="16.5" customHeight="1" x14ac:dyDescent="0.25">
      <c r="A27" s="55" t="str">
        <f t="shared" si="1"/>
        <v>7632</v>
      </c>
      <c r="B27" s="53" t="s">
        <v>218</v>
      </c>
      <c r="C27" s="50" t="s">
        <v>21</v>
      </c>
      <c r="D27" s="51">
        <v>1001012507632</v>
      </c>
      <c r="E27" s="24"/>
      <c r="F27" s="56">
        <v>0.4</v>
      </c>
      <c r="G27" s="23">
        <f>E27*F27</f>
        <v>0</v>
      </c>
      <c r="H27" s="29">
        <v>3.2</v>
      </c>
      <c r="I27" s="29">
        <v>60</v>
      </c>
      <c r="J27" s="29"/>
    </row>
    <row r="28" spans="1:10" ht="16.5" customHeight="1" x14ac:dyDescent="0.25">
      <c r="A28" s="55" t="str">
        <f t="shared" si="1"/>
        <v>4561</v>
      </c>
      <c r="B28" s="53" t="s">
        <v>116</v>
      </c>
      <c r="C28" s="50" t="s">
        <v>23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5" t="str">
        <f t="shared" si="1"/>
        <v>7555</v>
      </c>
      <c r="B29" s="53" t="s">
        <v>117</v>
      </c>
      <c r="C29" s="50" t="s">
        <v>23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195</v>
      </c>
    </row>
    <row r="30" spans="1:10" ht="16.5" customHeight="1" x14ac:dyDescent="0.25">
      <c r="A30" s="55" t="str">
        <f t="shared" si="1"/>
        <v>6325</v>
      </c>
      <c r="B30" s="53" t="s">
        <v>33</v>
      </c>
      <c r="C30" s="50" t="s">
        <v>21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7556</v>
      </c>
      <c r="B31" s="53" t="s">
        <v>118</v>
      </c>
      <c r="C31" s="50" t="s">
        <v>23</v>
      </c>
      <c r="D31" s="51">
        <v>1001017597556</v>
      </c>
      <c r="E31" s="24"/>
      <c r="F31" s="23">
        <v>1.5</v>
      </c>
      <c r="G31" s="23">
        <f t="shared" ref="G31:G33" si="5">E31</f>
        <v>0</v>
      </c>
      <c r="H31" s="14">
        <v>3</v>
      </c>
      <c r="I31" s="14">
        <v>30</v>
      </c>
      <c r="J31" s="52" t="s">
        <v>196</v>
      </c>
    </row>
    <row r="32" spans="1:10" ht="16.5" customHeight="1" x14ac:dyDescent="0.25">
      <c r="A32" s="55" t="str">
        <f t="shared" si="1"/>
        <v>7303</v>
      </c>
      <c r="B32" s="53" t="s">
        <v>119</v>
      </c>
      <c r="C32" s="50" t="s">
        <v>23</v>
      </c>
      <c r="D32" s="51">
        <v>1001010857303</v>
      </c>
      <c r="E32" s="24"/>
      <c r="F32" s="23">
        <v>1.35</v>
      </c>
      <c r="G32" s="23">
        <f t="shared" si="5"/>
        <v>0</v>
      </c>
      <c r="H32" s="14">
        <v>4.05</v>
      </c>
      <c r="I32" s="14">
        <v>60</v>
      </c>
      <c r="J32" s="29"/>
    </row>
    <row r="33" spans="1:10" ht="16.5" customHeight="1" x14ac:dyDescent="0.25">
      <c r="A33" s="55" t="str">
        <f t="shared" si="1"/>
        <v>8014</v>
      </c>
      <c r="B33" s="53" t="s">
        <v>120</v>
      </c>
      <c r="C33" s="50" t="s">
        <v>23</v>
      </c>
      <c r="D33" s="51">
        <v>1001010108014</v>
      </c>
      <c r="E33" s="24"/>
      <c r="F33" s="56">
        <v>1.35</v>
      </c>
      <c r="G33" s="23">
        <f t="shared" si="5"/>
        <v>0</v>
      </c>
      <c r="H33" s="29">
        <v>5.4</v>
      </c>
      <c r="I33" s="29">
        <v>60</v>
      </c>
      <c r="J33" s="29"/>
    </row>
    <row r="34" spans="1:10" ht="16.5" customHeight="1" x14ac:dyDescent="0.25">
      <c r="A34" s="55" t="str">
        <f t="shared" si="1"/>
        <v>7343</v>
      </c>
      <c r="B34" s="53" t="s">
        <v>32</v>
      </c>
      <c r="C34" s="50" t="s">
        <v>21</v>
      </c>
      <c r="D34" s="51">
        <v>1001016747343</v>
      </c>
      <c r="E34" s="24"/>
      <c r="F34" s="56">
        <v>0.4</v>
      </c>
      <c r="G34" s="23">
        <f t="shared" ref="G34:G36" si="6"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5" t="str">
        <f t="shared" si="1"/>
        <v>6797</v>
      </c>
      <c r="B35" s="53" t="s">
        <v>121</v>
      </c>
      <c r="C35" s="50" t="s">
        <v>21</v>
      </c>
      <c r="D35" s="51">
        <v>1001015026797</v>
      </c>
      <c r="E35" s="24"/>
      <c r="F35" s="56">
        <v>0.4</v>
      </c>
      <c r="G35" s="23">
        <f t="shared" si="6"/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5" t="str">
        <f t="shared" si="1"/>
        <v>7231</v>
      </c>
      <c r="B36" s="53" t="s">
        <v>34</v>
      </c>
      <c r="C36" s="50" t="s">
        <v>21</v>
      </c>
      <c r="D36" s="51">
        <v>1001013957231</v>
      </c>
      <c r="E36" s="24"/>
      <c r="F36" s="56">
        <v>0.3</v>
      </c>
      <c r="G36" s="23">
        <f t="shared" si="6"/>
        <v>0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 t="s">
        <v>109</v>
      </c>
      <c r="B37" s="42" t="s">
        <v>37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5" t="str">
        <f t="shared" si="1"/>
        <v>6602</v>
      </c>
      <c r="B38" s="53" t="s">
        <v>221</v>
      </c>
      <c r="C38" s="50" t="s">
        <v>21</v>
      </c>
      <c r="D38" s="51">
        <v>1001021966602</v>
      </c>
      <c r="E38" s="24"/>
      <c r="F38" s="56">
        <v>0.35</v>
      </c>
      <c r="G38" s="23">
        <f t="shared" ref="G38:G43" si="7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5" t="str">
        <f t="shared" si="1"/>
        <v>7284</v>
      </c>
      <c r="B39" s="53" t="s">
        <v>215</v>
      </c>
      <c r="C39" s="50" t="s">
        <v>21</v>
      </c>
      <c r="D39" s="51">
        <v>1001025767284</v>
      </c>
      <c r="E39" s="24"/>
      <c r="F39" s="56">
        <v>0.33</v>
      </c>
      <c r="G39" s="23">
        <f t="shared" si="7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5" t="str">
        <f t="shared" si="1"/>
        <v>7601</v>
      </c>
      <c r="B40" s="53" t="s">
        <v>181</v>
      </c>
      <c r="C40" s="50" t="s">
        <v>21</v>
      </c>
      <c r="D40" s="51">
        <v>1001025767601</v>
      </c>
      <c r="E40" s="24"/>
      <c r="F40" s="56">
        <v>0.26400000000000001</v>
      </c>
      <c r="G40" s="23">
        <f t="shared" si="7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5" t="str">
        <f t="shared" si="1"/>
        <v>7461</v>
      </c>
      <c r="B41" s="53" t="s">
        <v>214</v>
      </c>
      <c r="C41" s="50" t="s">
        <v>21</v>
      </c>
      <c r="D41" s="51">
        <v>1001025767461</v>
      </c>
      <c r="E41" s="24"/>
      <c r="F41" s="56">
        <v>0.33</v>
      </c>
      <c r="G41" s="23">
        <f t="shared" si="7"/>
        <v>0</v>
      </c>
      <c r="H41" s="29">
        <v>1.98</v>
      </c>
      <c r="I41" s="29">
        <v>30</v>
      </c>
      <c r="J41" s="52" t="s">
        <v>197</v>
      </c>
    </row>
    <row r="42" spans="1:10" ht="16.5" customHeight="1" x14ac:dyDescent="0.25">
      <c r="A42" s="55" t="str">
        <f t="shared" si="1"/>
        <v>7371</v>
      </c>
      <c r="B42" s="53" t="s">
        <v>107</v>
      </c>
      <c r="C42" s="50" t="s">
        <v>21</v>
      </c>
      <c r="D42" s="51">
        <v>1001026947371</v>
      </c>
      <c r="E42" s="24"/>
      <c r="F42" s="56">
        <v>0.3</v>
      </c>
      <c r="G42" s="23">
        <f t="shared" si="7"/>
        <v>0</v>
      </c>
      <c r="H42" s="29">
        <v>2.4</v>
      </c>
      <c r="I42" s="29">
        <v>45</v>
      </c>
      <c r="J42" s="29"/>
    </row>
    <row r="43" spans="1:10" ht="16.5" customHeight="1" x14ac:dyDescent="0.25">
      <c r="A43" s="55" t="str">
        <f t="shared" si="1"/>
        <v>6759</v>
      </c>
      <c r="B43" s="53" t="s">
        <v>42</v>
      </c>
      <c r="C43" s="50" t="s">
        <v>21</v>
      </c>
      <c r="D43" s="51">
        <v>1001020836759</v>
      </c>
      <c r="E43" s="24"/>
      <c r="F43" s="56">
        <v>0.4</v>
      </c>
      <c r="G43" s="23">
        <f t="shared" si="7"/>
        <v>0</v>
      </c>
      <c r="H43" s="29">
        <v>2.8</v>
      </c>
      <c r="I43" s="29">
        <v>30</v>
      </c>
      <c r="J43" s="29"/>
    </row>
    <row r="44" spans="1:10" ht="16.5" customHeight="1" x14ac:dyDescent="0.25">
      <c r="A44" s="55" t="str">
        <f t="shared" si="1"/>
        <v>6761</v>
      </c>
      <c r="B44" s="53" t="s">
        <v>53</v>
      </c>
      <c r="C44" s="50" t="s">
        <v>23</v>
      </c>
      <c r="D44" s="51">
        <v>1001020836761</v>
      </c>
      <c r="E44" s="24"/>
      <c r="F44" s="56">
        <v>1</v>
      </c>
      <c r="G44" s="23">
        <f t="shared" ref="G44:G45" si="8"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5" t="str">
        <f t="shared" si="1"/>
        <v>6829</v>
      </c>
      <c r="B45" s="53" t="s">
        <v>211</v>
      </c>
      <c r="C45" s="50" t="s">
        <v>23</v>
      </c>
      <c r="D45" s="51">
        <v>1001024976829</v>
      </c>
      <c r="E45" s="24"/>
      <c r="F45" s="56">
        <v>2.1</v>
      </c>
      <c r="G45" s="23">
        <f t="shared" si="8"/>
        <v>0</v>
      </c>
      <c r="H45" s="29">
        <v>8.4</v>
      </c>
      <c r="I45" s="29">
        <v>45</v>
      </c>
      <c r="J45" s="29"/>
    </row>
    <row r="46" spans="1:10" ht="16.5" customHeight="1" x14ac:dyDescent="0.25">
      <c r="A46" s="55" t="str">
        <f t="shared" si="1"/>
        <v>6616</v>
      </c>
      <c r="B46" s="53" t="s">
        <v>43</v>
      </c>
      <c r="C46" s="50" t="s">
        <v>21</v>
      </c>
      <c r="D46" s="51">
        <v>1001024976616</v>
      </c>
      <c r="E46" s="24"/>
      <c r="F46" s="56">
        <v>0.3</v>
      </c>
      <c r="G46" s="23">
        <f>E46*F46</f>
        <v>0</v>
      </c>
      <c r="H46" s="29">
        <v>2.4</v>
      </c>
      <c r="I46" s="29">
        <v>45</v>
      </c>
      <c r="J46" s="29"/>
    </row>
    <row r="47" spans="1:10" ht="16.5" customHeight="1" x14ac:dyDescent="0.25">
      <c r="A47" s="55" t="str">
        <f t="shared" si="1"/>
        <v>7075</v>
      </c>
      <c r="B47" s="53" t="s">
        <v>50</v>
      </c>
      <c r="C47" s="50" t="s">
        <v>23</v>
      </c>
      <c r="D47" s="51">
        <v>1001022657075</v>
      </c>
      <c r="E47" s="24"/>
      <c r="F47" s="56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5" t="str">
        <f t="shared" si="1"/>
        <v>7074</v>
      </c>
      <c r="B48" s="53" t="s">
        <v>183</v>
      </c>
      <c r="C48" s="50" t="s">
        <v>21</v>
      </c>
      <c r="D48" s="51">
        <v>1001022657074</v>
      </c>
      <c r="E48" s="24"/>
      <c r="F48" s="56">
        <v>0.6</v>
      </c>
      <c r="G48" s="23">
        <f t="shared" ref="G48:G51" si="9"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5" t="str">
        <f t="shared" si="1"/>
        <v>7073</v>
      </c>
      <c r="B49" s="53" t="s">
        <v>51</v>
      </c>
      <c r="C49" s="50" t="s">
        <v>21</v>
      </c>
      <c r="D49" s="51">
        <v>1001022657073</v>
      </c>
      <c r="E49" s="24"/>
      <c r="F49" s="56">
        <v>0.35</v>
      </c>
      <c r="G49" s="23">
        <f t="shared" si="9"/>
        <v>0</v>
      </c>
      <c r="H49" s="29">
        <v>2.8</v>
      </c>
      <c r="I49" s="29">
        <v>50</v>
      </c>
      <c r="J49" s="29"/>
    </row>
    <row r="50" spans="1:10" ht="16.5" customHeight="1" x14ac:dyDescent="0.25">
      <c r="A50" s="55" t="str">
        <f t="shared" si="1"/>
        <v>6724</v>
      </c>
      <c r="B50" s="53" t="s">
        <v>52</v>
      </c>
      <c r="C50" s="50" t="s">
        <v>21</v>
      </c>
      <c r="D50" s="51">
        <v>1001020836724</v>
      </c>
      <c r="E50" s="24"/>
      <c r="F50" s="56">
        <v>0.41</v>
      </c>
      <c r="G50" s="23">
        <f t="shared" si="9"/>
        <v>0</v>
      </c>
      <c r="H50" s="29">
        <v>4.0999999999999996</v>
      </c>
      <c r="I50" s="29">
        <v>45</v>
      </c>
      <c r="J50" s="29"/>
    </row>
    <row r="51" spans="1:10" ht="16.5" customHeight="1" x14ac:dyDescent="0.25">
      <c r="A51" s="55" t="str">
        <f t="shared" si="1"/>
        <v>5819</v>
      </c>
      <c r="B51" s="53" t="s">
        <v>39</v>
      </c>
      <c r="C51" s="50" t="s">
        <v>21</v>
      </c>
      <c r="D51" s="51">
        <v>1001022725819</v>
      </c>
      <c r="E51" s="24"/>
      <c r="F51" s="56">
        <v>0.4</v>
      </c>
      <c r="G51" s="23">
        <f t="shared" si="9"/>
        <v>0</v>
      </c>
      <c r="H51" s="29">
        <v>3.2</v>
      </c>
      <c r="I51" s="29">
        <v>45</v>
      </c>
      <c r="J51" s="29"/>
    </row>
    <row r="52" spans="1:10" ht="16.5" customHeight="1" x14ac:dyDescent="0.25">
      <c r="A52" s="55" t="str">
        <f t="shared" si="1"/>
        <v>6303</v>
      </c>
      <c r="B52" s="53" t="s">
        <v>205</v>
      </c>
      <c r="C52" s="50" t="s">
        <v>23</v>
      </c>
      <c r="D52" s="51">
        <v>1001022726303</v>
      </c>
      <c r="E52" s="24"/>
      <c r="F52" s="56">
        <v>1.5</v>
      </c>
      <c r="G52" s="23">
        <f>E52</f>
        <v>0</v>
      </c>
      <c r="H52" s="29">
        <v>4.5</v>
      </c>
      <c r="I52" s="29">
        <v>45</v>
      </c>
      <c r="J52" s="29"/>
    </row>
    <row r="53" spans="1:10" ht="16.5" customHeight="1" x14ac:dyDescent="0.25">
      <c r="A53" s="55" t="str">
        <f t="shared" si="1"/>
        <v>7255</v>
      </c>
      <c r="B53" s="53" t="s">
        <v>38</v>
      </c>
      <c r="C53" s="50" t="s">
        <v>21</v>
      </c>
      <c r="D53" s="51">
        <v>1001025507255</v>
      </c>
      <c r="E53" s="24"/>
      <c r="F53" s="56">
        <v>0.4</v>
      </c>
      <c r="G53" s="23">
        <f>E53*F53</f>
        <v>0</v>
      </c>
      <c r="H53" s="29">
        <v>2.4</v>
      </c>
      <c r="I53" s="29">
        <v>50</v>
      </c>
      <c r="J53" s="29"/>
    </row>
    <row r="54" spans="1:10" ht="16.5" customHeight="1" x14ac:dyDescent="0.25">
      <c r="A54" s="55" t="str">
        <f t="shared" si="1"/>
        <v>7271</v>
      </c>
      <c r="B54" s="53" t="s">
        <v>185</v>
      </c>
      <c r="C54" s="50" t="s">
        <v>23</v>
      </c>
      <c r="D54" s="51">
        <v>1001025507271</v>
      </c>
      <c r="E54" s="24"/>
      <c r="F54" s="56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5" t="str">
        <f t="shared" si="1"/>
        <v>6765</v>
      </c>
      <c r="B55" s="53" t="s">
        <v>41</v>
      </c>
      <c r="C55" s="50" t="s">
        <v>21</v>
      </c>
      <c r="D55" s="51">
        <v>1001023696765</v>
      </c>
      <c r="E55" s="24"/>
      <c r="F55" s="56">
        <v>0.36</v>
      </c>
      <c r="G55" s="23">
        <f>E55*F55</f>
        <v>0</v>
      </c>
      <c r="H55" s="29">
        <v>2.16</v>
      </c>
      <c r="I55" s="29">
        <v>45</v>
      </c>
      <c r="J55" s="29"/>
    </row>
    <row r="56" spans="1:10" ht="16.5" customHeight="1" x14ac:dyDescent="0.25">
      <c r="A56" s="55" t="str">
        <f t="shared" si="1"/>
        <v>6767</v>
      </c>
      <c r="B56" s="53" t="s">
        <v>44</v>
      </c>
      <c r="C56" s="50" t="s">
        <v>23</v>
      </c>
      <c r="D56" s="51">
        <v>1001023696767</v>
      </c>
      <c r="E56" s="24"/>
      <c r="F56" s="56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5" t="str">
        <f t="shared" si="1"/>
        <v>6475</v>
      </c>
      <c r="B57" s="53" t="s">
        <v>46</v>
      </c>
      <c r="C57" s="50" t="s">
        <v>21</v>
      </c>
      <c r="D57" s="51">
        <v>1001025176475</v>
      </c>
      <c r="E57" s="24"/>
      <c r="F57" s="56">
        <v>0.4</v>
      </c>
      <c r="G57" s="23">
        <f>E57*F57</f>
        <v>0</v>
      </c>
      <c r="H57" s="29">
        <v>2.4</v>
      </c>
      <c r="I57" s="29">
        <v>45</v>
      </c>
      <c r="J57" s="29"/>
    </row>
    <row r="58" spans="1:10" ht="16.5" customHeight="1" x14ac:dyDescent="0.25">
      <c r="A58" s="55" t="str">
        <f t="shared" si="1"/>
        <v>7083</v>
      </c>
      <c r="B58" s="53" t="s">
        <v>186</v>
      </c>
      <c r="C58" s="50" t="s">
        <v>23</v>
      </c>
      <c r="D58" s="51">
        <v>1001022467083</v>
      </c>
      <c r="E58" s="24"/>
      <c r="F58" s="56">
        <v>1.5</v>
      </c>
      <c r="G58" s="23">
        <f>E58</f>
        <v>0</v>
      </c>
      <c r="H58" s="29">
        <v>6</v>
      </c>
      <c r="I58" s="29">
        <v>50</v>
      </c>
      <c r="J58" s="29"/>
    </row>
    <row r="59" spans="1:10" ht="16.5" customHeight="1" x14ac:dyDescent="0.25">
      <c r="A59" s="55" t="str">
        <f t="shared" si="1"/>
        <v>7080</v>
      </c>
      <c r="B59" s="53" t="s">
        <v>54</v>
      </c>
      <c r="C59" s="50" t="s">
        <v>21</v>
      </c>
      <c r="D59" s="51">
        <v>1001022467080</v>
      </c>
      <c r="E59" s="24"/>
      <c r="F59" s="56">
        <v>0.41</v>
      </c>
      <c r="G59" s="23">
        <f t="shared" ref="G59:G61" si="10">E59*F59</f>
        <v>0</v>
      </c>
      <c r="H59" s="29">
        <v>4.0999999999999996</v>
      </c>
      <c r="I59" s="29">
        <v>50</v>
      </c>
      <c r="J59" s="29"/>
    </row>
    <row r="60" spans="1:10" ht="16.5" customHeight="1" x14ac:dyDescent="0.25">
      <c r="A60" s="55" t="str">
        <f t="shared" si="1"/>
        <v>7276</v>
      </c>
      <c r="B60" s="53" t="s">
        <v>55</v>
      </c>
      <c r="C60" s="50" t="s">
        <v>21</v>
      </c>
      <c r="D60" s="51">
        <v>1001022467276</v>
      </c>
      <c r="E60" s="24"/>
      <c r="F60" s="56">
        <v>0.3</v>
      </c>
      <c r="G60" s="23">
        <f t="shared" si="10"/>
        <v>0</v>
      </c>
      <c r="H60" s="29">
        <v>2.1</v>
      </c>
      <c r="I60" s="29">
        <v>50</v>
      </c>
      <c r="J60" s="29"/>
    </row>
    <row r="61" spans="1:10" ht="16.5" customHeight="1" x14ac:dyDescent="0.25">
      <c r="A61" s="55" t="str">
        <f t="shared" si="1"/>
        <v>6762</v>
      </c>
      <c r="B61" s="53" t="s">
        <v>40</v>
      </c>
      <c r="C61" s="50" t="s">
        <v>21</v>
      </c>
      <c r="D61" s="51">
        <v>1001020846762</v>
      </c>
      <c r="E61" s="24"/>
      <c r="F61" s="56">
        <v>0.41</v>
      </c>
      <c r="G61" s="23">
        <f t="shared" si="10"/>
        <v>0</v>
      </c>
      <c r="H61" s="29">
        <v>3.28</v>
      </c>
      <c r="I61" s="29">
        <v>45</v>
      </c>
      <c r="J61" s="29"/>
    </row>
    <row r="62" spans="1:10" ht="16.5" customHeight="1" x14ac:dyDescent="0.25">
      <c r="A62" s="55" t="str">
        <f t="shared" si="1"/>
        <v>6764</v>
      </c>
      <c r="B62" s="53" t="s">
        <v>49</v>
      </c>
      <c r="C62" s="50" t="s">
        <v>23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5" t="str">
        <f t="shared" si="1"/>
        <v>7066</v>
      </c>
      <c r="B63" s="53" t="s">
        <v>56</v>
      </c>
      <c r="C63" s="50" t="s">
        <v>21</v>
      </c>
      <c r="D63" s="51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</row>
    <row r="64" spans="1:10" ht="16.5" customHeight="1" x14ac:dyDescent="0.25">
      <c r="A64" s="55" t="str">
        <f t="shared" si="1"/>
        <v>7070</v>
      </c>
      <c r="B64" s="53" t="s">
        <v>45</v>
      </c>
      <c r="C64" s="50" t="s">
        <v>23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</row>
    <row r="65" spans="1:10" ht="16.5" customHeight="1" x14ac:dyDescent="0.25">
      <c r="A65" s="55" t="str">
        <f t="shared" si="1"/>
        <v>6713</v>
      </c>
      <c r="B65" s="53" t="s">
        <v>47</v>
      </c>
      <c r="C65" s="50" t="s">
        <v>21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</row>
    <row r="66" spans="1:10" ht="16.5" customHeight="1" x14ac:dyDescent="0.25">
      <c r="A66" s="55" t="str">
        <f t="shared" si="1"/>
        <v>6661</v>
      </c>
      <c r="B66" s="53" t="s">
        <v>210</v>
      </c>
      <c r="C66" s="50" t="s">
        <v>23</v>
      </c>
      <c r="D66" s="51">
        <v>1001022246661</v>
      </c>
      <c r="E66" s="24"/>
      <c r="F66" s="23">
        <v>1.5</v>
      </c>
      <c r="G66" s="23">
        <f t="shared" ref="G66:G67" si="11"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5" t="str">
        <f t="shared" si="1"/>
        <v>6254</v>
      </c>
      <c r="B67" s="53" t="s">
        <v>188</v>
      </c>
      <c r="C67" s="50" t="s">
        <v>23</v>
      </c>
      <c r="D67" s="51">
        <v>1001022556254</v>
      </c>
      <c r="E67" s="24"/>
      <c r="F67" s="23">
        <v>1.5</v>
      </c>
      <c r="G67" s="23">
        <f t="shared" si="11"/>
        <v>0</v>
      </c>
      <c r="H67" s="14">
        <v>3</v>
      </c>
      <c r="I67" s="14">
        <v>45</v>
      </c>
      <c r="J67" s="29"/>
    </row>
    <row r="68" spans="1:10" ht="16.5" customHeight="1" x14ac:dyDescent="0.25">
      <c r="A68" s="55" t="str">
        <f t="shared" si="1"/>
        <v>6837</v>
      </c>
      <c r="B68" s="53" t="s">
        <v>48</v>
      </c>
      <c r="C68" s="50" t="s">
        <v>21</v>
      </c>
      <c r="D68" s="51">
        <v>1001022556837</v>
      </c>
      <c r="E68" s="24"/>
      <c r="F68" s="23">
        <v>0.4</v>
      </c>
      <c r="G68" s="23">
        <f t="shared" ref="G68:G71" si="12"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3" t="s">
        <v>189</v>
      </c>
      <c r="C69" s="50" t="s">
        <v>21</v>
      </c>
      <c r="D69" s="51">
        <v>1001027067385</v>
      </c>
      <c r="E69" s="24"/>
      <c r="F69" s="23">
        <v>0.33</v>
      </c>
      <c r="G69" s="23">
        <f t="shared" si="12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3" t="s">
        <v>190</v>
      </c>
      <c r="C70" s="50" t="s">
        <v>21</v>
      </c>
      <c r="D70" s="51">
        <v>1001025167044</v>
      </c>
      <c r="E70" s="24"/>
      <c r="F70" s="23">
        <v>0.32</v>
      </c>
      <c r="G70" s="23">
        <f t="shared" si="12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3" t="s">
        <v>191</v>
      </c>
      <c r="C71" s="50" t="s">
        <v>21</v>
      </c>
      <c r="D71" s="51">
        <v>1001027247460</v>
      </c>
      <c r="E71" s="24"/>
      <c r="F71" s="23">
        <v>0.33</v>
      </c>
      <c r="G71" s="23">
        <f t="shared" si="12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 t="s">
        <v>109</v>
      </c>
      <c r="B72" s="42" t="s">
        <v>57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5" t="str">
        <f t="shared" si="1"/>
        <v>6550</v>
      </c>
      <c r="B73" s="91" t="s">
        <v>209</v>
      </c>
      <c r="C73" s="100" t="s">
        <v>23</v>
      </c>
      <c r="D73" s="51">
        <v>1001032736550</v>
      </c>
      <c r="E73" s="24"/>
      <c r="F73" s="56">
        <v>1</v>
      </c>
      <c r="G73" s="23">
        <f t="shared" ref="G73:G76" si="13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6608</v>
      </c>
      <c r="B74" s="91" t="s">
        <v>59</v>
      </c>
      <c r="C74" s="50" t="s">
        <v>23</v>
      </c>
      <c r="D74" s="51">
        <v>1001033856608</v>
      </c>
      <c r="E74" s="24"/>
      <c r="F74" s="23">
        <v>1</v>
      </c>
      <c r="G74" s="23">
        <f t="shared" si="13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7001</v>
      </c>
      <c r="B75" s="91" t="s">
        <v>58</v>
      </c>
      <c r="C75" s="50" t="s">
        <v>23</v>
      </c>
      <c r="D75" s="51">
        <v>1001035937001</v>
      </c>
      <c r="E75" s="24"/>
      <c r="F75" s="23">
        <v>1</v>
      </c>
      <c r="G75" s="23">
        <f t="shared" si="13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14">RIGHT(D76,4)</f>
        <v>6527</v>
      </c>
      <c r="B76" s="91" t="s">
        <v>216</v>
      </c>
      <c r="C76" s="50" t="s">
        <v>23</v>
      </c>
      <c r="D76" s="51">
        <v>1001031076527</v>
      </c>
      <c r="E76" s="24"/>
      <c r="F76" s="23">
        <v>1</v>
      </c>
      <c r="G76" s="23">
        <f t="shared" si="13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14"/>
        <v>6609</v>
      </c>
      <c r="B77" s="91" t="s">
        <v>176</v>
      </c>
      <c r="C77" s="50" t="s">
        <v>21</v>
      </c>
      <c r="D77" s="51">
        <v>1001033856609</v>
      </c>
      <c r="E77" s="24"/>
      <c r="F77" s="23">
        <v>0.4</v>
      </c>
      <c r="G77" s="23">
        <f t="shared" ref="G77:G79" si="15"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5" t="str">
        <f t="shared" si="14"/>
        <v>7059</v>
      </c>
      <c r="B78" s="91" t="s">
        <v>177</v>
      </c>
      <c r="C78" s="50" t="s">
        <v>21</v>
      </c>
      <c r="D78" s="51">
        <v>1001035277059</v>
      </c>
      <c r="E78" s="24"/>
      <c r="F78" s="23">
        <v>0.3</v>
      </c>
      <c r="G78" s="23">
        <f t="shared" si="15"/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14"/>
        <v>6528</v>
      </c>
      <c r="B79" s="91" t="s">
        <v>178</v>
      </c>
      <c r="C79" s="50" t="s">
        <v>21</v>
      </c>
      <c r="D79" s="51">
        <v>1001031076528</v>
      </c>
      <c r="E79" s="24"/>
      <c r="F79" s="23">
        <v>0.4</v>
      </c>
      <c r="G79" s="23">
        <f t="shared" si="15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 t="s">
        <v>109</v>
      </c>
      <c r="B80" s="42" t="s">
        <v>60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5" t="str">
        <f t="shared" ref="A81:A105" si="16">RIGHT(D81,4)</f>
        <v>7564</v>
      </c>
      <c r="B81" s="53" t="s">
        <v>131</v>
      </c>
      <c r="C81" s="50" t="s">
        <v>23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198</v>
      </c>
    </row>
    <row r="82" spans="1:10" ht="16.5" customHeight="1" x14ac:dyDescent="0.25">
      <c r="A82" s="55" t="str">
        <f t="shared" si="16"/>
        <v>7603</v>
      </c>
      <c r="B82" s="53" t="s">
        <v>132</v>
      </c>
      <c r="C82" s="50" t="s">
        <v>21</v>
      </c>
      <c r="D82" s="51">
        <v>1001303637603</v>
      </c>
      <c r="E82" s="24"/>
      <c r="F82" s="23">
        <v>0.33</v>
      </c>
      <c r="G82" s="23">
        <f t="shared" ref="G82:G94" si="17">E82*F82</f>
        <v>0</v>
      </c>
      <c r="H82" s="14">
        <v>2.64</v>
      </c>
      <c r="I82" s="14">
        <v>45</v>
      </c>
      <c r="J82" s="52" t="s">
        <v>199</v>
      </c>
    </row>
    <row r="83" spans="1:10" ht="16.5" customHeight="1" x14ac:dyDescent="0.25">
      <c r="A83" s="55" t="str">
        <f t="shared" si="16"/>
        <v>7149</v>
      </c>
      <c r="B83" s="53" t="s">
        <v>20</v>
      </c>
      <c r="C83" s="50" t="s">
        <v>21</v>
      </c>
      <c r="D83" s="51">
        <v>1001303637149</v>
      </c>
      <c r="E83" s="24"/>
      <c r="F83" s="23">
        <v>0.84</v>
      </c>
      <c r="G83" s="23">
        <f t="shared" si="17"/>
        <v>0</v>
      </c>
      <c r="H83" s="14">
        <v>5.04</v>
      </c>
      <c r="I83" s="14">
        <v>50</v>
      </c>
      <c r="J83" s="29"/>
    </row>
    <row r="84" spans="1:10" ht="16.5" customHeight="1" x14ac:dyDescent="0.25">
      <c r="A84" s="55" t="str">
        <f t="shared" si="16"/>
        <v>7233</v>
      </c>
      <c r="B84" s="53" t="s">
        <v>133</v>
      </c>
      <c r="C84" s="50" t="s">
        <v>21</v>
      </c>
      <c r="D84" s="51">
        <v>1001303637233</v>
      </c>
      <c r="E84" s="24"/>
      <c r="F84" s="56">
        <v>0.31</v>
      </c>
      <c r="G84" s="23">
        <f t="shared" si="17"/>
        <v>0</v>
      </c>
      <c r="H84" s="29">
        <v>2.48</v>
      </c>
      <c r="I84" s="29">
        <v>45</v>
      </c>
      <c r="J84" s="29"/>
    </row>
    <row r="85" spans="1:10" ht="16.5" customHeight="1" x14ac:dyDescent="0.25">
      <c r="A85" s="55" t="str">
        <f t="shared" si="16"/>
        <v>7232</v>
      </c>
      <c r="B85" s="53" t="s">
        <v>62</v>
      </c>
      <c r="C85" s="50" t="s">
        <v>21</v>
      </c>
      <c r="D85" s="51">
        <v>1001302277232</v>
      </c>
      <c r="E85" s="24"/>
      <c r="F85" s="56">
        <v>0.28000000000000003</v>
      </c>
      <c r="G85" s="23">
        <f t="shared" si="17"/>
        <v>0</v>
      </c>
      <c r="H85" s="29">
        <v>2.2400000000000002</v>
      </c>
      <c r="I85" s="29">
        <v>50</v>
      </c>
      <c r="J85" s="29"/>
    </row>
    <row r="86" spans="1:10" ht="16.5" customHeight="1" x14ac:dyDescent="0.25">
      <c r="A86" s="55" t="str">
        <f t="shared" si="16"/>
        <v>7241</v>
      </c>
      <c r="B86" s="53" t="s">
        <v>64</v>
      </c>
      <c r="C86" s="50" t="s">
        <v>21</v>
      </c>
      <c r="D86" s="51">
        <v>1001303107241</v>
      </c>
      <c r="E86" s="24"/>
      <c r="F86" s="56">
        <v>0.28000000000000003</v>
      </c>
      <c r="G86" s="23">
        <f t="shared" si="17"/>
        <v>0</v>
      </c>
      <c r="H86" s="29">
        <v>2.2400000000000002</v>
      </c>
      <c r="I86" s="29">
        <v>45</v>
      </c>
      <c r="J86" s="29"/>
    </row>
    <row r="87" spans="1:10" ht="16.5" customHeight="1" x14ac:dyDescent="0.25">
      <c r="A87" s="55" t="str">
        <f t="shared" si="16"/>
        <v>7133</v>
      </c>
      <c r="B87" s="53" t="s">
        <v>74</v>
      </c>
      <c r="C87" s="50" t="s">
        <v>23</v>
      </c>
      <c r="D87" s="51">
        <v>1001300367133</v>
      </c>
      <c r="E87" s="24"/>
      <c r="F87" s="56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5" t="str">
        <f t="shared" si="16"/>
        <v>6946</v>
      </c>
      <c r="B88" s="53" t="s">
        <v>224</v>
      </c>
      <c r="C88" s="50" t="s">
        <v>23</v>
      </c>
      <c r="D88" s="51">
        <v>1001300456946</v>
      </c>
      <c r="E88" s="24"/>
      <c r="F88" s="56">
        <v>0.84</v>
      </c>
      <c r="G88" s="23">
        <f>E88</f>
        <v>0</v>
      </c>
      <c r="H88" s="29"/>
      <c r="I88" s="29"/>
      <c r="J88" s="29"/>
    </row>
    <row r="89" spans="1:10" ht="16.5" customHeight="1" x14ac:dyDescent="0.25">
      <c r="A89" s="55" t="str">
        <f t="shared" si="16"/>
        <v>6807</v>
      </c>
      <c r="B89" s="53" t="s">
        <v>76</v>
      </c>
      <c r="C89" s="50" t="s">
        <v>21</v>
      </c>
      <c r="D89" s="51">
        <v>1001300366807</v>
      </c>
      <c r="E89" s="24"/>
      <c r="F89" s="56">
        <v>0.33</v>
      </c>
      <c r="G89" s="23">
        <f t="shared" si="17"/>
        <v>0</v>
      </c>
      <c r="H89" s="29">
        <v>2.64</v>
      </c>
      <c r="I89" s="29">
        <v>45</v>
      </c>
      <c r="J89" s="29"/>
    </row>
    <row r="90" spans="1:10" ht="16.5" customHeight="1" x14ac:dyDescent="0.25">
      <c r="A90" s="55" t="str">
        <f t="shared" si="16"/>
        <v>7154</v>
      </c>
      <c r="B90" s="53" t="s">
        <v>65</v>
      </c>
      <c r="C90" s="50" t="s">
        <v>21</v>
      </c>
      <c r="D90" s="51">
        <v>1001300387154</v>
      </c>
      <c r="E90" s="24"/>
      <c r="F90" s="23">
        <v>0.35</v>
      </c>
      <c r="G90" s="23">
        <f t="shared" si="17"/>
        <v>0</v>
      </c>
      <c r="H90" s="14">
        <v>2.8</v>
      </c>
      <c r="I90" s="14">
        <v>50</v>
      </c>
      <c r="J90" s="29"/>
    </row>
    <row r="91" spans="1:10" ht="16.5" customHeight="1" x14ac:dyDescent="0.25">
      <c r="A91" s="55" t="str">
        <f t="shared" si="16"/>
        <v>7157</v>
      </c>
      <c r="B91" s="53" t="s">
        <v>75</v>
      </c>
      <c r="C91" s="50" t="s">
        <v>23</v>
      </c>
      <c r="D91" s="51">
        <v>1001300387157</v>
      </c>
      <c r="E91" s="24"/>
      <c r="F91" s="23">
        <v>0.63</v>
      </c>
      <c r="G91" s="23">
        <f>E91</f>
        <v>0</v>
      </c>
      <c r="H91" s="14">
        <v>5.04</v>
      </c>
      <c r="I91" s="14">
        <v>50</v>
      </c>
      <c r="J91" s="29"/>
    </row>
    <row r="92" spans="1:10" ht="16.5" customHeight="1" x14ac:dyDescent="0.25">
      <c r="A92" s="55" t="str">
        <f t="shared" si="16"/>
        <v>7236</v>
      </c>
      <c r="B92" s="53" t="s">
        <v>69</v>
      </c>
      <c r="C92" s="50" t="s">
        <v>21</v>
      </c>
      <c r="D92" s="51">
        <v>1001304507236</v>
      </c>
      <c r="E92" s="24"/>
      <c r="F92" s="23">
        <v>0.28000000000000003</v>
      </c>
      <c r="G92" s="23">
        <f t="shared" si="17"/>
        <v>0</v>
      </c>
      <c r="H92" s="14">
        <v>2.2400000000000002</v>
      </c>
      <c r="I92" s="14">
        <v>45</v>
      </c>
      <c r="J92" s="29"/>
    </row>
    <row r="93" spans="1:10" ht="16.5" customHeight="1" x14ac:dyDescent="0.25">
      <c r="A93" s="55" t="str">
        <f t="shared" si="16"/>
        <v>7489</v>
      </c>
      <c r="B93" s="53" t="s">
        <v>220</v>
      </c>
      <c r="C93" s="50" t="s">
        <v>21</v>
      </c>
      <c r="D93" s="51">
        <v>1001307357489</v>
      </c>
      <c r="E93" s="24"/>
      <c r="F93" s="23">
        <v>0.28000000000000003</v>
      </c>
      <c r="G93" s="23">
        <f t="shared" ref="G93" si="18">E93*F93</f>
        <v>0</v>
      </c>
      <c r="H93" s="14"/>
      <c r="I93" s="14"/>
      <c r="J93" s="29"/>
    </row>
    <row r="94" spans="1:10" ht="16.5" customHeight="1" x14ac:dyDescent="0.25">
      <c r="A94" s="55" t="str">
        <f t="shared" si="16"/>
        <v>6787</v>
      </c>
      <c r="B94" s="99" t="s">
        <v>66</v>
      </c>
      <c r="C94" s="50" t="s">
        <v>21</v>
      </c>
      <c r="D94" s="51">
        <v>1001300456787</v>
      </c>
      <c r="E94" s="24"/>
      <c r="F94" s="23">
        <v>0.33</v>
      </c>
      <c r="G94" s="23">
        <f t="shared" si="17"/>
        <v>0</v>
      </c>
      <c r="H94" s="14">
        <v>2.64</v>
      </c>
      <c r="I94" s="14">
        <v>45</v>
      </c>
      <c r="J94" s="29"/>
    </row>
    <row r="95" spans="1:10" ht="16.5" customHeight="1" x14ac:dyDescent="0.25">
      <c r="A95" s="55" t="str">
        <f t="shared" si="16"/>
        <v>7166</v>
      </c>
      <c r="B95" s="99" t="s">
        <v>72</v>
      </c>
      <c r="C95" s="50" t="s">
        <v>23</v>
      </c>
      <c r="D95" s="51">
        <v>1001303987166</v>
      </c>
      <c r="E95" s="24"/>
      <c r="F95" s="23">
        <v>0.7</v>
      </c>
      <c r="G95" s="23">
        <f>E95</f>
        <v>0</v>
      </c>
      <c r="H95" s="14">
        <v>5.6</v>
      </c>
      <c r="I95" s="14">
        <v>50</v>
      </c>
      <c r="J95" s="29"/>
    </row>
    <row r="96" spans="1:10" ht="15.75" customHeight="1" x14ac:dyDescent="0.25">
      <c r="A96" s="55" t="str">
        <f t="shared" si="16"/>
        <v>7169</v>
      </c>
      <c r="B96" s="53" t="s">
        <v>71</v>
      </c>
      <c r="C96" s="50" t="s">
        <v>21</v>
      </c>
      <c r="D96" s="51">
        <v>1001303987169</v>
      </c>
      <c r="E96" s="24"/>
      <c r="F96" s="23">
        <v>0.35</v>
      </c>
      <c r="G96" s="23">
        <f>E96*F96</f>
        <v>0</v>
      </c>
      <c r="H96" s="14">
        <v>2.8</v>
      </c>
      <c r="I96" s="14">
        <v>50</v>
      </c>
      <c r="J96" s="29"/>
    </row>
    <row r="97" spans="1:10" ht="15.75" customHeight="1" x14ac:dyDescent="0.25">
      <c r="A97" s="55" t="str">
        <f t="shared" si="16"/>
        <v>5544</v>
      </c>
      <c r="B97" s="53" t="s">
        <v>73</v>
      </c>
      <c r="C97" s="50" t="s">
        <v>23</v>
      </c>
      <c r="D97" s="51">
        <v>1001051875544</v>
      </c>
      <c r="E97" s="24"/>
      <c r="F97" s="23">
        <v>0.81</v>
      </c>
      <c r="G97" s="23">
        <f>E97</f>
        <v>0</v>
      </c>
      <c r="H97" s="14">
        <v>4.8600000000000003</v>
      </c>
      <c r="I97" s="14">
        <v>45</v>
      </c>
      <c r="J97" s="49"/>
    </row>
    <row r="98" spans="1:10" ht="15.75" customHeight="1" x14ac:dyDescent="0.25">
      <c r="A98" s="55" t="str">
        <f t="shared" si="16"/>
        <v>6697</v>
      </c>
      <c r="B98" s="53" t="s">
        <v>67</v>
      </c>
      <c r="C98" s="50" t="s">
        <v>21</v>
      </c>
      <c r="D98" s="51">
        <v>1001301876697</v>
      </c>
      <c r="E98" s="24"/>
      <c r="F98" s="23">
        <v>0.35</v>
      </c>
      <c r="G98" s="23">
        <f t="shared" ref="G98:G105" si="19">E98*F98</f>
        <v>0</v>
      </c>
      <c r="H98" s="14">
        <v>2.8</v>
      </c>
      <c r="I98" s="14">
        <v>45</v>
      </c>
      <c r="J98" s="49"/>
    </row>
    <row r="99" spans="1:10" ht="15.75" customHeight="1" x14ac:dyDescent="0.25">
      <c r="A99" s="55" t="str">
        <f t="shared" si="16"/>
        <v>7237</v>
      </c>
      <c r="B99" s="53" t="s">
        <v>68</v>
      </c>
      <c r="C99" s="50" t="s">
        <v>21</v>
      </c>
      <c r="D99" s="51">
        <v>1001304497237</v>
      </c>
      <c r="E99" s="24"/>
      <c r="F99" s="23">
        <v>0.28000000000000003</v>
      </c>
      <c r="G99" s="23">
        <f t="shared" si="19"/>
        <v>0</v>
      </c>
      <c r="H99" s="14">
        <v>2.2400000000000002</v>
      </c>
      <c r="I99" s="14">
        <v>45</v>
      </c>
      <c r="J99" s="49"/>
    </row>
    <row r="100" spans="1:10" ht="15.75" customHeight="1" x14ac:dyDescent="0.25">
      <c r="A100" s="55" t="str">
        <f t="shared" si="16"/>
        <v>7238</v>
      </c>
      <c r="B100" s="53" t="s">
        <v>134</v>
      </c>
      <c r="C100" s="50" t="s">
        <v>21</v>
      </c>
      <c r="D100" s="51">
        <v>1001305197238</v>
      </c>
      <c r="E100" s="24"/>
      <c r="F100" s="23">
        <v>0.31</v>
      </c>
      <c r="G100" s="23">
        <f t="shared" si="19"/>
        <v>0</v>
      </c>
      <c r="H100" s="14">
        <v>2.48</v>
      </c>
      <c r="I100" s="14">
        <v>45</v>
      </c>
      <c r="J100" s="49"/>
    </row>
    <row r="101" spans="1:10" ht="15.75" customHeight="1" x14ac:dyDescent="0.25">
      <c r="A101" s="55" t="str">
        <f t="shared" si="16"/>
        <v>7177</v>
      </c>
      <c r="B101" s="53" t="s">
        <v>135</v>
      </c>
      <c r="C101" s="50" t="s">
        <v>21</v>
      </c>
      <c r="D101" s="51">
        <v>1001302347177</v>
      </c>
      <c r="E101" s="24"/>
      <c r="F101" s="23">
        <v>0.35</v>
      </c>
      <c r="G101" s="23">
        <f t="shared" si="19"/>
        <v>0</v>
      </c>
      <c r="H101" s="14">
        <v>2.8</v>
      </c>
      <c r="I101" s="14">
        <v>50</v>
      </c>
      <c r="J101" s="49"/>
    </row>
    <row r="102" spans="1:10" ht="15.75" customHeight="1" x14ac:dyDescent="0.25">
      <c r="A102" s="55" t="str">
        <f t="shared" si="16"/>
        <v>7332</v>
      </c>
      <c r="B102" s="53" t="s">
        <v>63</v>
      </c>
      <c r="C102" s="50" t="s">
        <v>21</v>
      </c>
      <c r="D102" s="51">
        <v>1001301777332</v>
      </c>
      <c r="E102" s="24"/>
      <c r="F102" s="23">
        <v>0.28000000000000003</v>
      </c>
      <c r="G102" s="23">
        <f t="shared" si="19"/>
        <v>0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5" t="str">
        <f t="shared" si="16"/>
        <v>7333</v>
      </c>
      <c r="B103" s="53" t="s">
        <v>70</v>
      </c>
      <c r="C103" s="50" t="s">
        <v>21</v>
      </c>
      <c r="D103" s="51">
        <v>1001303987333</v>
      </c>
      <c r="E103" s="24"/>
      <c r="F103" s="23">
        <v>0.28000000000000003</v>
      </c>
      <c r="G103" s="23">
        <f t="shared" si="19"/>
        <v>0</v>
      </c>
      <c r="H103" s="14">
        <v>2.2400000000000002</v>
      </c>
      <c r="I103" s="14">
        <v>50</v>
      </c>
      <c r="J103" s="49"/>
    </row>
    <row r="104" spans="1:10" ht="15.75" customHeight="1" x14ac:dyDescent="0.25">
      <c r="A104" s="55" t="str">
        <f t="shared" si="16"/>
        <v>6459</v>
      </c>
      <c r="B104" s="53" t="s">
        <v>61</v>
      </c>
      <c r="C104" s="50" t="s">
        <v>21</v>
      </c>
      <c r="D104" s="51">
        <v>1001214196459</v>
      </c>
      <c r="E104" s="24"/>
      <c r="F104" s="23">
        <v>0.1</v>
      </c>
      <c r="G104" s="23">
        <f t="shared" si="19"/>
        <v>0</v>
      </c>
      <c r="H104" s="14">
        <v>1</v>
      </c>
      <c r="I104" s="14">
        <v>45</v>
      </c>
      <c r="J104" s="49"/>
    </row>
    <row r="105" spans="1:10" ht="15.75" customHeight="1" thickBot="1" x14ac:dyDescent="0.3">
      <c r="A105" s="55" t="str">
        <f t="shared" si="16"/>
        <v>7474</v>
      </c>
      <c r="B105" s="53" t="s">
        <v>138</v>
      </c>
      <c r="C105" s="50" t="s">
        <v>21</v>
      </c>
      <c r="D105" s="51">
        <v>1001216717474</v>
      </c>
      <c r="E105" s="24"/>
      <c r="F105" s="23">
        <v>0.1</v>
      </c>
      <c r="G105" s="23">
        <f t="shared" si="19"/>
        <v>0</v>
      </c>
      <c r="H105" s="14">
        <v>1</v>
      </c>
      <c r="I105" s="14">
        <v>45</v>
      </c>
      <c r="J105" s="49"/>
    </row>
    <row r="106" spans="1:10" ht="16.5" customHeight="1" thickTop="1" thickBot="1" x14ac:dyDescent="0.3">
      <c r="A106" s="47" t="s">
        <v>109</v>
      </c>
      <c r="B106" s="42" t="s">
        <v>77</v>
      </c>
      <c r="C106" s="42"/>
      <c r="D106" s="42"/>
      <c r="E106" s="24"/>
      <c r="F106" s="41"/>
      <c r="G106" s="42"/>
      <c r="H106" s="42"/>
      <c r="I106" s="42"/>
      <c r="J106" s="43"/>
    </row>
    <row r="107" spans="1:10" ht="16.5" customHeight="1" thickTop="1" x14ac:dyDescent="0.25">
      <c r="A107" s="55" t="str">
        <f t="shared" ref="A107:A140" si="20">RIGHT(D107,4)</f>
        <v>3582</v>
      </c>
      <c r="B107" s="53" t="s">
        <v>161</v>
      </c>
      <c r="C107" s="50" t="s">
        <v>23</v>
      </c>
      <c r="D107" s="51">
        <v>1001061973582</v>
      </c>
      <c r="E107" s="24"/>
      <c r="F107" s="56">
        <v>0.48799999999999999</v>
      </c>
      <c r="G107" s="23">
        <f>E107</f>
        <v>0</v>
      </c>
      <c r="H107" s="94">
        <v>3.9</v>
      </c>
      <c r="I107" s="93">
        <v>120</v>
      </c>
      <c r="J107" s="29"/>
    </row>
    <row r="108" spans="1:10" ht="16.5" customHeight="1" x14ac:dyDescent="0.25">
      <c r="A108" s="55" t="str">
        <f t="shared" si="20"/>
        <v>3986</v>
      </c>
      <c r="B108" s="53" t="s">
        <v>80</v>
      </c>
      <c r="C108" s="50" t="s">
        <v>21</v>
      </c>
      <c r="D108" s="51">
        <v>1001061973986</v>
      </c>
      <c r="E108" s="24"/>
      <c r="F108" s="56">
        <v>0.25</v>
      </c>
      <c r="G108" s="23">
        <f t="shared" ref="G108:G113" si="21">E108*F108</f>
        <v>0</v>
      </c>
      <c r="H108" s="94">
        <v>2</v>
      </c>
      <c r="I108" s="93">
        <v>120</v>
      </c>
      <c r="J108" s="29"/>
    </row>
    <row r="109" spans="1:10" ht="16.5" customHeight="1" x14ac:dyDescent="0.25">
      <c r="A109" s="55" t="str">
        <f t="shared" si="20"/>
        <v>5931</v>
      </c>
      <c r="B109" s="53" t="s">
        <v>78</v>
      </c>
      <c r="C109" s="50" t="s">
        <v>21</v>
      </c>
      <c r="D109" s="51">
        <v>1001060755931</v>
      </c>
      <c r="E109" s="24"/>
      <c r="F109" s="23">
        <v>0.22</v>
      </c>
      <c r="G109" s="23">
        <f t="shared" si="21"/>
        <v>0</v>
      </c>
      <c r="H109" s="92">
        <v>1.76</v>
      </c>
      <c r="I109" s="14">
        <v>120</v>
      </c>
      <c r="J109" s="29"/>
    </row>
    <row r="110" spans="1:10" ht="16.5" customHeight="1" x14ac:dyDescent="0.25">
      <c r="A110" s="55" t="str">
        <f t="shared" si="20"/>
        <v>5708</v>
      </c>
      <c r="B110" s="53" t="s">
        <v>81</v>
      </c>
      <c r="C110" s="50" t="s">
        <v>23</v>
      </c>
      <c r="D110" s="51">
        <v>1001063145708</v>
      </c>
      <c r="E110" s="24"/>
      <c r="F110" s="23">
        <v>0.5</v>
      </c>
      <c r="G110" s="23">
        <f t="shared" ref="G110:G111" si="22">E110</f>
        <v>0</v>
      </c>
      <c r="H110" s="14">
        <v>4</v>
      </c>
      <c r="I110" s="14">
        <v>120</v>
      </c>
      <c r="J110" s="29"/>
    </row>
    <row r="111" spans="1:10" ht="16.5" customHeight="1" x14ac:dyDescent="0.25">
      <c r="A111" s="55" t="str">
        <f t="shared" si="20"/>
        <v>3287</v>
      </c>
      <c r="B111" s="53" t="s">
        <v>91</v>
      </c>
      <c r="C111" s="50" t="s">
        <v>23</v>
      </c>
      <c r="D111" s="51">
        <v>1001060763287</v>
      </c>
      <c r="E111" s="24"/>
      <c r="F111" s="23">
        <v>0.48799999999999999</v>
      </c>
      <c r="G111" s="23">
        <f t="shared" si="22"/>
        <v>0</v>
      </c>
      <c r="H111" s="14">
        <v>3.9</v>
      </c>
      <c r="I111" s="14">
        <v>120</v>
      </c>
      <c r="J111" s="29"/>
    </row>
    <row r="112" spans="1:10" ht="16.5" customHeight="1" x14ac:dyDescent="0.25">
      <c r="A112" s="55" t="str">
        <f t="shared" si="20"/>
        <v>4993</v>
      </c>
      <c r="B112" s="53" t="s">
        <v>203</v>
      </c>
      <c r="C112" s="50" t="s">
        <v>21</v>
      </c>
      <c r="D112" s="51">
        <v>1001060764993</v>
      </c>
      <c r="E112" s="24"/>
      <c r="F112" s="23">
        <v>0.25</v>
      </c>
      <c r="G112" s="23">
        <f t="shared" si="21"/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55" t="str">
        <f t="shared" si="20"/>
        <v>5483</v>
      </c>
      <c r="B113" s="53" t="s">
        <v>89</v>
      </c>
      <c r="C113" s="50" t="s">
        <v>21</v>
      </c>
      <c r="D113" s="51">
        <v>1001062505483</v>
      </c>
      <c r="E113" s="24"/>
      <c r="F113" s="23">
        <v>0.25</v>
      </c>
      <c r="G113" s="23">
        <f t="shared" si="21"/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5" t="str">
        <f t="shared" si="20"/>
        <v>4117</v>
      </c>
      <c r="B114" s="53" t="s">
        <v>88</v>
      </c>
      <c r="C114" s="50" t="s">
        <v>23</v>
      </c>
      <c r="D114" s="51">
        <v>1001062504117</v>
      </c>
      <c r="E114" s="24"/>
      <c r="F114" s="23">
        <v>0.49399999999999999</v>
      </c>
      <c r="G114" s="23">
        <f t="shared" ref="G114:G115" si="23">E114</f>
        <v>0</v>
      </c>
      <c r="H114" s="14">
        <v>3.95</v>
      </c>
      <c r="I114" s="14">
        <v>120</v>
      </c>
      <c r="J114" s="29"/>
    </row>
    <row r="115" spans="1:10" ht="16.5" customHeight="1" x14ac:dyDescent="0.25">
      <c r="A115" s="55" t="str">
        <f t="shared" si="20"/>
        <v>0614</v>
      </c>
      <c r="B115" s="53" t="s">
        <v>163</v>
      </c>
      <c r="C115" s="50" t="s">
        <v>23</v>
      </c>
      <c r="D115" s="51">
        <v>1001060720614</v>
      </c>
      <c r="E115" s="24"/>
      <c r="F115" s="23">
        <v>0.52</v>
      </c>
      <c r="G115" s="23">
        <f t="shared" si="23"/>
        <v>0</v>
      </c>
      <c r="H115" s="14">
        <v>3.64</v>
      </c>
      <c r="I115" s="14">
        <v>120</v>
      </c>
      <c r="J115" s="29"/>
    </row>
    <row r="116" spans="1:10" ht="16.5" customHeight="1" x14ac:dyDescent="0.25">
      <c r="A116" s="55" t="str">
        <f t="shared" si="20"/>
        <v>6967</v>
      </c>
      <c r="B116" s="53" t="s">
        <v>84</v>
      </c>
      <c r="C116" s="50" t="s">
        <v>21</v>
      </c>
      <c r="D116" s="51">
        <v>1001063656967</v>
      </c>
      <c r="E116" s="24"/>
      <c r="F116" s="23">
        <v>0.25</v>
      </c>
      <c r="G116" s="23">
        <f t="shared" ref="G116:G126" si="24">E116*F116</f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5" t="str">
        <f t="shared" si="20"/>
        <v>6937</v>
      </c>
      <c r="B117" s="53" t="s">
        <v>164</v>
      </c>
      <c r="C117" s="50" t="s">
        <v>21</v>
      </c>
      <c r="D117" s="51">
        <v>1001063106937</v>
      </c>
      <c r="E117" s="24"/>
      <c r="F117" s="23">
        <v>0.25</v>
      </c>
      <c r="G117" s="23">
        <f t="shared" si="24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20"/>
        <v>7143</v>
      </c>
      <c r="B118" s="53" t="s">
        <v>165</v>
      </c>
      <c r="C118" s="50" t="s">
        <v>21</v>
      </c>
      <c r="D118" s="51">
        <v>1001060717143</v>
      </c>
      <c r="E118" s="24"/>
      <c r="F118" s="23">
        <v>0.22</v>
      </c>
      <c r="G118" s="23">
        <f t="shared" si="24"/>
        <v>0</v>
      </c>
      <c r="H118" s="14">
        <v>1.76</v>
      </c>
      <c r="I118" s="14">
        <v>120</v>
      </c>
      <c r="J118" s="29"/>
    </row>
    <row r="119" spans="1:10" ht="16.5" customHeight="1" x14ac:dyDescent="0.25">
      <c r="A119" s="55" t="str">
        <f t="shared" si="20"/>
        <v>7147</v>
      </c>
      <c r="B119" s="53" t="s">
        <v>86</v>
      </c>
      <c r="C119" s="50" t="s">
        <v>21</v>
      </c>
      <c r="D119" s="51">
        <v>1001063237147</v>
      </c>
      <c r="E119" s="24"/>
      <c r="F119" s="23">
        <v>0.22</v>
      </c>
      <c r="G119" s="23">
        <f t="shared" si="24"/>
        <v>0</v>
      </c>
      <c r="H119" s="14">
        <v>1.76</v>
      </c>
      <c r="I119" s="14">
        <v>120</v>
      </c>
      <c r="J119" s="29"/>
    </row>
    <row r="120" spans="1:10" ht="16.5" customHeight="1" x14ac:dyDescent="0.25">
      <c r="A120" s="55" t="str">
        <f t="shared" si="20"/>
        <v>7456</v>
      </c>
      <c r="B120" s="53" t="s">
        <v>166</v>
      </c>
      <c r="C120" s="50" t="s">
        <v>21</v>
      </c>
      <c r="D120" s="51">
        <v>1001063097456</v>
      </c>
      <c r="E120" s="24"/>
      <c r="F120" s="23">
        <v>0.15</v>
      </c>
      <c r="G120" s="23">
        <f t="shared" si="24"/>
        <v>0</v>
      </c>
      <c r="H120" s="14">
        <v>1.8</v>
      </c>
      <c r="I120" s="14">
        <v>90</v>
      </c>
      <c r="J120" s="29"/>
    </row>
    <row r="121" spans="1:10" ht="16.5" customHeight="1" x14ac:dyDescent="0.25">
      <c r="A121" s="55" t="str">
        <f t="shared" si="20"/>
        <v>7364</v>
      </c>
      <c r="B121" s="53" t="s">
        <v>167</v>
      </c>
      <c r="C121" s="50" t="s">
        <v>21</v>
      </c>
      <c r="D121" s="51">
        <v>1001063217364</v>
      </c>
      <c r="E121" s="24"/>
      <c r="F121" s="23">
        <v>0.22</v>
      </c>
      <c r="G121" s="23">
        <f t="shared" si="24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5" t="str">
        <f t="shared" si="20"/>
        <v>7383</v>
      </c>
      <c r="B122" s="53" t="s">
        <v>168</v>
      </c>
      <c r="C122" s="50" t="s">
        <v>21</v>
      </c>
      <c r="D122" s="51">
        <v>1001065467383</v>
      </c>
      <c r="E122" s="24"/>
      <c r="F122" s="23">
        <v>0.22</v>
      </c>
      <c r="G122" s="23">
        <f t="shared" si="24"/>
        <v>0</v>
      </c>
      <c r="H122" s="14">
        <v>1.76</v>
      </c>
      <c r="I122" s="14">
        <v>90</v>
      </c>
      <c r="J122" s="29"/>
    </row>
    <row r="123" spans="1:10" ht="16.5" customHeight="1" x14ac:dyDescent="0.25">
      <c r="A123" s="55" t="str">
        <f t="shared" si="20"/>
        <v>7317</v>
      </c>
      <c r="B123" s="53" t="s">
        <v>169</v>
      </c>
      <c r="C123" s="50" t="s">
        <v>21</v>
      </c>
      <c r="D123" s="51">
        <v>1001066567317</v>
      </c>
      <c r="E123" s="24"/>
      <c r="F123" s="23">
        <v>0.54</v>
      </c>
      <c r="G123" s="23">
        <f t="shared" si="24"/>
        <v>0</v>
      </c>
      <c r="H123" s="14">
        <v>3.78</v>
      </c>
      <c r="I123" s="14">
        <v>120</v>
      </c>
      <c r="J123" s="29"/>
    </row>
    <row r="124" spans="1:10" ht="16.5" customHeight="1" x14ac:dyDescent="0.25">
      <c r="A124" s="55" t="str">
        <f t="shared" si="20"/>
        <v>7318</v>
      </c>
      <c r="B124" s="53" t="s">
        <v>170</v>
      </c>
      <c r="C124" s="50" t="s">
        <v>21</v>
      </c>
      <c r="D124" s="51">
        <v>1001060727318</v>
      </c>
      <c r="E124" s="24"/>
      <c r="F124" s="23">
        <v>0.27</v>
      </c>
      <c r="G124" s="23">
        <f t="shared" si="24"/>
        <v>0</v>
      </c>
      <c r="H124" s="14">
        <v>2.16</v>
      </c>
      <c r="I124" s="14">
        <v>120</v>
      </c>
      <c r="J124" s="29"/>
    </row>
    <row r="125" spans="1:10" ht="16.5" customHeight="1" x14ac:dyDescent="0.25">
      <c r="A125" s="55" t="str">
        <f t="shared" si="20"/>
        <v>7316</v>
      </c>
      <c r="B125" s="53" t="s">
        <v>171</v>
      </c>
      <c r="C125" s="50" t="s">
        <v>21</v>
      </c>
      <c r="D125" s="51">
        <v>1001060727316</v>
      </c>
      <c r="E125" s="24"/>
      <c r="F125" s="23">
        <v>0.54</v>
      </c>
      <c r="G125" s="23">
        <f t="shared" si="24"/>
        <v>0</v>
      </c>
      <c r="H125" s="14">
        <v>3.78</v>
      </c>
      <c r="I125" s="14">
        <v>120</v>
      </c>
      <c r="J125" s="29"/>
    </row>
    <row r="126" spans="1:10" ht="16.5" customHeight="1" x14ac:dyDescent="0.25">
      <c r="A126" s="55" t="str">
        <f t="shared" si="20"/>
        <v>7417</v>
      </c>
      <c r="B126" s="53" t="s">
        <v>172</v>
      </c>
      <c r="C126" s="50" t="s">
        <v>21</v>
      </c>
      <c r="D126" s="51">
        <v>1001307147417</v>
      </c>
      <c r="E126" s="24"/>
      <c r="F126" s="23">
        <v>0.44</v>
      </c>
      <c r="G126" s="23">
        <f t="shared" si="24"/>
        <v>0</v>
      </c>
      <c r="H126" s="14">
        <v>1.76</v>
      </c>
      <c r="I126" s="14">
        <v>90</v>
      </c>
      <c r="J126" s="29"/>
    </row>
    <row r="127" spans="1:10" ht="16.5" customHeight="1" x14ac:dyDescent="0.25">
      <c r="A127" s="55" t="str">
        <f t="shared" si="20"/>
        <v>6832</v>
      </c>
      <c r="B127" s="53" t="s">
        <v>82</v>
      </c>
      <c r="C127" s="50" t="s">
        <v>23</v>
      </c>
      <c r="D127" s="51">
        <v>1001065616832</v>
      </c>
      <c r="E127" s="24"/>
      <c r="F127" s="23">
        <v>0.215</v>
      </c>
      <c r="G127" s="23">
        <f t="shared" ref="G127:G129" si="25"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20"/>
        <v>7299</v>
      </c>
      <c r="B128" s="53" t="s">
        <v>83</v>
      </c>
      <c r="C128" s="50" t="s">
        <v>23</v>
      </c>
      <c r="D128" s="51">
        <v>1001060677299</v>
      </c>
      <c r="E128" s="24"/>
      <c r="F128" s="23">
        <v>0.215</v>
      </c>
      <c r="G128" s="23">
        <f t="shared" si="25"/>
        <v>0</v>
      </c>
      <c r="H128" s="14">
        <v>2.15</v>
      </c>
      <c r="I128" s="14">
        <v>30</v>
      </c>
      <c r="J128" s="29"/>
    </row>
    <row r="129" spans="1:10" ht="16.5" customHeight="1" x14ac:dyDescent="0.25">
      <c r="A129" s="55" t="str">
        <f t="shared" si="20"/>
        <v>7442</v>
      </c>
      <c r="B129" s="53" t="s">
        <v>223</v>
      </c>
      <c r="C129" s="50" t="s">
        <v>23</v>
      </c>
      <c r="D129" s="51">
        <v>1001200677442</v>
      </c>
      <c r="E129" s="24"/>
      <c r="F129" s="23"/>
      <c r="G129" s="23">
        <f t="shared" si="25"/>
        <v>0</v>
      </c>
      <c r="H129" s="14"/>
      <c r="I129" s="14"/>
      <c r="J129" s="29"/>
    </row>
    <row r="130" spans="1:10" ht="16.5" customHeight="1" x14ac:dyDescent="0.25">
      <c r="A130" s="55" t="str">
        <f t="shared" si="20"/>
        <v>7386</v>
      </c>
      <c r="B130" s="53" t="s">
        <v>173</v>
      </c>
      <c r="C130" s="50" t="s">
        <v>21</v>
      </c>
      <c r="D130" s="51">
        <v>1001067017386</v>
      </c>
      <c r="E130" s="24"/>
      <c r="F130" s="23">
        <v>0.15</v>
      </c>
      <c r="G130" s="23">
        <f t="shared" ref="G130:G139" si="26">E130*F130</f>
        <v>0</v>
      </c>
      <c r="H130" s="14">
        <v>1.35</v>
      </c>
      <c r="I130" s="14">
        <v>90</v>
      </c>
      <c r="J130" s="29"/>
    </row>
    <row r="131" spans="1:10" ht="16.5" customHeight="1" x14ac:dyDescent="0.25">
      <c r="A131" s="55" t="str">
        <f t="shared" si="20"/>
        <v>6454</v>
      </c>
      <c r="B131" s="53" t="s">
        <v>208</v>
      </c>
      <c r="C131" s="50" t="s">
        <v>21</v>
      </c>
      <c r="D131" s="51">
        <v>1001201976454</v>
      </c>
      <c r="E131" s="24"/>
      <c r="F131" s="23">
        <v>0.1</v>
      </c>
      <c r="G131" s="23">
        <f t="shared" si="26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 t="str">
        <f t="shared" si="20"/>
        <v>6834</v>
      </c>
      <c r="B132" s="53" t="s">
        <v>217</v>
      </c>
      <c r="C132" s="50" t="s">
        <v>21</v>
      </c>
      <c r="D132" s="51">
        <v>1001203146834</v>
      </c>
      <c r="E132" s="24"/>
      <c r="F132" s="23">
        <v>0.1</v>
      </c>
      <c r="G132" s="23">
        <f t="shared" si="26"/>
        <v>0</v>
      </c>
      <c r="H132" s="14">
        <v>1</v>
      </c>
      <c r="I132" s="14">
        <v>60</v>
      </c>
      <c r="J132" s="29"/>
    </row>
    <row r="133" spans="1:10" ht="16.5" customHeight="1" x14ac:dyDescent="0.25">
      <c r="A133" s="55" t="str">
        <f t="shared" si="20"/>
        <v>7382</v>
      </c>
      <c r="B133" s="53" t="s">
        <v>85</v>
      </c>
      <c r="C133" s="50" t="s">
        <v>21</v>
      </c>
      <c r="D133" s="51">
        <v>1001203117382</v>
      </c>
      <c r="E133" s="24"/>
      <c r="F133" s="23">
        <v>0.12</v>
      </c>
      <c r="G133" s="23">
        <f t="shared" si="26"/>
        <v>0</v>
      </c>
      <c r="H133" s="14">
        <v>0.96</v>
      </c>
      <c r="I133" s="14">
        <v>60</v>
      </c>
      <c r="J133" s="29"/>
    </row>
    <row r="134" spans="1:10" ht="16.5" customHeight="1" x14ac:dyDescent="0.25">
      <c r="A134" s="55" t="str">
        <f t="shared" si="20"/>
        <v>6453</v>
      </c>
      <c r="B134" s="53" t="s">
        <v>207</v>
      </c>
      <c r="C134" s="50" t="s">
        <v>21</v>
      </c>
      <c r="D134" s="51">
        <v>1001202506453</v>
      </c>
      <c r="E134" s="24"/>
      <c r="F134" s="23">
        <v>0.1</v>
      </c>
      <c r="G134" s="23">
        <f t="shared" si="26"/>
        <v>0</v>
      </c>
      <c r="H134" s="14">
        <v>1.4</v>
      </c>
      <c r="I134" s="14">
        <v>60</v>
      </c>
      <c r="J134" s="29"/>
    </row>
    <row r="135" spans="1:10" ht="16.5" customHeight="1" x14ac:dyDescent="0.25">
      <c r="A135" s="55" t="str">
        <f t="shared" si="20"/>
        <v>6221</v>
      </c>
      <c r="B135" s="53" t="s">
        <v>87</v>
      </c>
      <c r="C135" s="50" t="s">
        <v>21</v>
      </c>
      <c r="D135" s="51">
        <v>1001205376221</v>
      </c>
      <c r="E135" s="24"/>
      <c r="F135" s="23">
        <v>0.09</v>
      </c>
      <c r="G135" s="23">
        <f t="shared" si="26"/>
        <v>0</v>
      </c>
      <c r="H135" s="14">
        <v>0.9</v>
      </c>
      <c r="I135" s="14">
        <v>60</v>
      </c>
      <c r="J135" s="29"/>
    </row>
    <row r="136" spans="1:10" ht="16.5" customHeight="1" x14ac:dyDescent="0.25">
      <c r="A136" s="55" t="str">
        <f t="shared" si="20"/>
        <v>6222</v>
      </c>
      <c r="B136" s="53" t="s">
        <v>153</v>
      </c>
      <c r="C136" s="50" t="s">
        <v>21</v>
      </c>
      <c r="D136" s="51">
        <v>1001205386222</v>
      </c>
      <c r="E136" s="24"/>
      <c r="F136" s="23">
        <v>0.09</v>
      </c>
      <c r="G136" s="23">
        <f t="shared" si="26"/>
        <v>0</v>
      </c>
      <c r="H136" s="14">
        <v>0.9</v>
      </c>
      <c r="I136" s="14">
        <v>60</v>
      </c>
      <c r="J136" s="29"/>
    </row>
    <row r="137" spans="1:10" ht="16.5" customHeight="1" x14ac:dyDescent="0.25">
      <c r="A137" s="55" t="str">
        <f t="shared" si="20"/>
        <v>6965</v>
      </c>
      <c r="B137" s="53" t="s">
        <v>154</v>
      </c>
      <c r="C137" s="50" t="s">
        <v>21</v>
      </c>
      <c r="D137" s="51">
        <v>1001206356965</v>
      </c>
      <c r="E137" s="24"/>
      <c r="F137" s="23">
        <v>7.0000000000000007E-2</v>
      </c>
      <c r="G137" s="23">
        <f t="shared" si="26"/>
        <v>0</v>
      </c>
      <c r="H137" s="14">
        <v>0.98</v>
      </c>
      <c r="I137" s="14">
        <v>60</v>
      </c>
      <c r="J137" s="29"/>
    </row>
    <row r="138" spans="1:10" ht="16.5" customHeight="1" x14ac:dyDescent="0.25">
      <c r="A138" s="55" t="str">
        <f t="shared" si="20"/>
        <v>5679</v>
      </c>
      <c r="B138" s="53" t="s">
        <v>156</v>
      </c>
      <c r="C138" s="50" t="s">
        <v>21</v>
      </c>
      <c r="D138" s="51">
        <v>1001190765679</v>
      </c>
      <c r="E138" s="24"/>
      <c r="F138" s="23">
        <v>0.15</v>
      </c>
      <c r="G138" s="23">
        <f t="shared" si="26"/>
        <v>0</v>
      </c>
      <c r="H138" s="14">
        <v>1.2</v>
      </c>
      <c r="I138" s="14">
        <v>60</v>
      </c>
      <c r="J138" s="29"/>
    </row>
    <row r="139" spans="1:10" ht="16.5" customHeight="1" x14ac:dyDescent="0.25">
      <c r="A139" s="55" t="str">
        <f t="shared" si="20"/>
        <v>5677</v>
      </c>
      <c r="B139" s="53" t="s">
        <v>157</v>
      </c>
      <c r="C139" s="50" t="s">
        <v>21</v>
      </c>
      <c r="D139" s="51">
        <v>1001190715677</v>
      </c>
      <c r="E139" s="24"/>
      <c r="F139" s="23">
        <v>0.1</v>
      </c>
      <c r="G139" s="23">
        <f t="shared" si="26"/>
        <v>0</v>
      </c>
      <c r="H139" s="14">
        <v>1</v>
      </c>
      <c r="I139" s="14">
        <v>60</v>
      </c>
      <c r="J139" s="29"/>
    </row>
    <row r="140" spans="1:10" ht="16.5" customHeight="1" thickBot="1" x14ac:dyDescent="0.3">
      <c r="A140" s="55" t="str">
        <f t="shared" si="20"/>
        <v>7414</v>
      </c>
      <c r="B140" s="53" t="s">
        <v>159</v>
      </c>
      <c r="C140" s="50" t="s">
        <v>23</v>
      </c>
      <c r="D140" s="51">
        <v>1001204447414</v>
      </c>
      <c r="E140" s="24"/>
      <c r="F140" s="23">
        <v>1</v>
      </c>
      <c r="G140" s="23">
        <f>E140</f>
        <v>0</v>
      </c>
      <c r="H140" s="14">
        <v>8</v>
      </c>
      <c r="I140" s="14">
        <v>60</v>
      </c>
      <c r="J140" s="29"/>
    </row>
    <row r="141" spans="1:10" ht="16.5" customHeight="1" thickTop="1" thickBot="1" x14ac:dyDescent="0.3">
      <c r="A141" s="47" t="s">
        <v>109</v>
      </c>
      <c r="B141" s="42" t="s">
        <v>92</v>
      </c>
      <c r="C141" s="42"/>
      <c r="D141" s="42"/>
      <c r="E141" s="24"/>
      <c r="F141" s="41"/>
      <c r="G141" s="42"/>
      <c r="H141" s="42"/>
      <c r="I141" s="42"/>
      <c r="J141" s="43"/>
    </row>
    <row r="142" spans="1:10" ht="16.149999999999999" customHeight="1" thickTop="1" x14ac:dyDescent="0.25">
      <c r="A142" s="55" t="str">
        <f t="shared" ref="A142:A151" si="27">RIGHT(D142,4)</f>
        <v>4584</v>
      </c>
      <c r="B142" s="98" t="s">
        <v>125</v>
      </c>
      <c r="C142" s="50" t="s">
        <v>23</v>
      </c>
      <c r="D142" s="97">
        <v>1001092674584</v>
      </c>
      <c r="E142" s="24"/>
      <c r="F142" s="23">
        <v>2.5</v>
      </c>
      <c r="G142" s="23">
        <f>E142</f>
        <v>0</v>
      </c>
      <c r="H142" s="14">
        <v>7.5</v>
      </c>
      <c r="I142" s="14">
        <v>60</v>
      </c>
      <c r="J142" s="29"/>
    </row>
    <row r="143" spans="1:10" ht="16.149999999999999" customHeight="1" x14ac:dyDescent="0.25">
      <c r="A143" s="55" t="str">
        <f t="shared" si="27"/>
        <v>6495</v>
      </c>
      <c r="B143" s="98" t="s">
        <v>97</v>
      </c>
      <c r="C143" s="50" t="s">
        <v>21</v>
      </c>
      <c r="D143" s="51">
        <v>1001092436495</v>
      </c>
      <c r="E143" s="24"/>
      <c r="F143" s="56">
        <v>0.3</v>
      </c>
      <c r="G143" s="23">
        <f>E143*F143</f>
        <v>0</v>
      </c>
      <c r="H143" s="29">
        <v>1.8</v>
      </c>
      <c r="I143" s="29">
        <v>45</v>
      </c>
      <c r="J143" s="29"/>
    </row>
    <row r="144" spans="1:10" ht="16.149999999999999" customHeight="1" x14ac:dyDescent="0.25">
      <c r="A144" s="55" t="str">
        <f t="shared" si="27"/>
        <v>6470</v>
      </c>
      <c r="B144" s="95" t="s">
        <v>126</v>
      </c>
      <c r="C144" s="50" t="s">
        <v>23</v>
      </c>
      <c r="D144" s="51">
        <v>1001092436470</v>
      </c>
      <c r="E144" s="24"/>
      <c r="F144" s="56">
        <v>1.2</v>
      </c>
      <c r="G144" s="23">
        <f t="shared" ref="G144:G145" si="28">E144</f>
        <v>0</v>
      </c>
      <c r="H144" s="29">
        <v>4.8</v>
      </c>
      <c r="I144" s="29">
        <v>45</v>
      </c>
      <c r="J144" s="29"/>
    </row>
    <row r="145" spans="1:10" ht="16.149999999999999" customHeight="1" x14ac:dyDescent="0.25">
      <c r="A145" s="55" t="str">
        <f t="shared" si="27"/>
        <v>5452</v>
      </c>
      <c r="B145" s="95" t="s">
        <v>95</v>
      </c>
      <c r="C145" s="50" t="s">
        <v>23</v>
      </c>
      <c r="D145" s="51">
        <v>1001092485452</v>
      </c>
      <c r="E145" s="24"/>
      <c r="F145" s="56">
        <v>1.35</v>
      </c>
      <c r="G145" s="23">
        <f t="shared" si="28"/>
        <v>0</v>
      </c>
      <c r="H145" s="29">
        <v>4.05</v>
      </c>
      <c r="I145" s="29">
        <v>60</v>
      </c>
      <c r="J145" s="29"/>
    </row>
    <row r="146" spans="1:10" ht="16.149999999999999" customHeight="1" x14ac:dyDescent="0.25">
      <c r="A146" s="55" t="str">
        <f t="shared" si="27"/>
        <v>3215</v>
      </c>
      <c r="B146" s="95" t="s">
        <v>94</v>
      </c>
      <c r="C146" s="50" t="s">
        <v>21</v>
      </c>
      <c r="D146" s="51">
        <v>1001094053215</v>
      </c>
      <c r="E146" s="24"/>
      <c r="F146" s="56">
        <v>0.4</v>
      </c>
      <c r="G146" s="23">
        <f>E146*F146</f>
        <v>0</v>
      </c>
      <c r="H146" s="29">
        <v>3.2</v>
      </c>
      <c r="I146" s="29">
        <v>60</v>
      </c>
      <c r="J146" s="29"/>
    </row>
    <row r="147" spans="1:10" ht="16.149999999999999" customHeight="1" x14ac:dyDescent="0.25">
      <c r="A147" s="55" t="str">
        <f t="shared" si="27"/>
        <v>6866</v>
      </c>
      <c r="B147" s="95" t="s">
        <v>93</v>
      </c>
      <c r="C147" s="50" t="s">
        <v>23</v>
      </c>
      <c r="D147" s="51">
        <v>1001095716866</v>
      </c>
      <c r="E147" s="24"/>
      <c r="F147" s="56">
        <v>1.5</v>
      </c>
      <c r="G147" s="23">
        <f>E147</f>
        <v>0</v>
      </c>
      <c r="H147" s="29">
        <v>6</v>
      </c>
      <c r="I147" s="29">
        <v>60</v>
      </c>
      <c r="J147" s="29"/>
    </row>
    <row r="148" spans="1:10" ht="16.5" customHeight="1" x14ac:dyDescent="0.25">
      <c r="A148" s="55" t="str">
        <f t="shared" si="27"/>
        <v>5495</v>
      </c>
      <c r="B148" s="53" t="s">
        <v>96</v>
      </c>
      <c r="C148" s="50" t="s">
        <v>21</v>
      </c>
      <c r="D148" s="96">
        <v>1001093345495</v>
      </c>
      <c r="E148" s="24"/>
      <c r="F148" s="56">
        <v>0.4</v>
      </c>
      <c r="G148" s="23">
        <f t="shared" ref="G148:G150" si="29">E148*F148</f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7"/>
        <v>7377</v>
      </c>
      <c r="B149" s="53" t="s">
        <v>127</v>
      </c>
      <c r="C149" s="50" t="s">
        <v>21</v>
      </c>
      <c r="D149" s="96">
        <v>1001095027377</v>
      </c>
      <c r="E149" s="24"/>
      <c r="F149" s="56">
        <v>0.3</v>
      </c>
      <c r="G149" s="23">
        <f t="shared" si="29"/>
        <v>0</v>
      </c>
      <c r="H149" s="29">
        <v>1.8</v>
      </c>
      <c r="I149" s="29">
        <v>45</v>
      </c>
      <c r="J149" s="29"/>
    </row>
    <row r="150" spans="1:10" ht="16.5" customHeight="1" x14ac:dyDescent="0.25">
      <c r="A150" s="55" t="str">
        <f t="shared" si="27"/>
        <v>6925</v>
      </c>
      <c r="B150" s="53" t="s">
        <v>213</v>
      </c>
      <c r="C150" s="50" t="s">
        <v>21</v>
      </c>
      <c r="D150" s="96">
        <v>1001095226925</v>
      </c>
      <c r="E150" s="24"/>
      <c r="F150" s="56">
        <v>0.6</v>
      </c>
      <c r="G150" s="23">
        <f t="shared" si="29"/>
        <v>0</v>
      </c>
      <c r="H150" s="29">
        <v>4.8</v>
      </c>
      <c r="I150" s="29">
        <v>45</v>
      </c>
      <c r="J150" s="29"/>
    </row>
    <row r="151" spans="1:10" ht="15.75" customHeight="1" thickBot="1" x14ac:dyDescent="0.3">
      <c r="A151" s="55" t="str">
        <f t="shared" si="27"/>
        <v>6025</v>
      </c>
      <c r="B151" s="53" t="s">
        <v>128</v>
      </c>
      <c r="C151" s="50" t="s">
        <v>23</v>
      </c>
      <c r="D151" s="96">
        <v>1001094966025</v>
      </c>
      <c r="E151" s="24"/>
      <c r="F151" s="56">
        <v>3</v>
      </c>
      <c r="G151" s="23">
        <f>E151</f>
        <v>0</v>
      </c>
      <c r="H151" s="29">
        <v>6</v>
      </c>
      <c r="I151" s="29">
        <v>60</v>
      </c>
      <c r="J151" s="29"/>
    </row>
    <row r="152" spans="1:10" ht="16.5" customHeight="1" thickTop="1" thickBot="1" x14ac:dyDescent="0.3">
      <c r="A152" s="47" t="s">
        <v>109</v>
      </c>
      <c r="B152" s="42" t="s">
        <v>98</v>
      </c>
      <c r="C152" s="42"/>
      <c r="D152" s="42"/>
      <c r="E152" s="24"/>
      <c r="F152" s="41"/>
      <c r="G152" s="42"/>
      <c r="H152" s="42"/>
      <c r="I152" s="42"/>
      <c r="J152" s="43"/>
    </row>
    <row r="153" spans="1:10" ht="16.5" customHeight="1" thickTop="1" x14ac:dyDescent="0.25">
      <c r="A153" s="55" t="str">
        <f t="shared" ref="A153:A164" si="30">RIGHT(D153,4)</f>
        <v>7090</v>
      </c>
      <c r="B153" s="35" t="s">
        <v>102</v>
      </c>
      <c r="C153" s="50" t="s">
        <v>21</v>
      </c>
      <c r="D153" s="51">
        <v>1001084217090</v>
      </c>
      <c r="E153" s="24"/>
      <c r="F153" s="23">
        <v>0.3</v>
      </c>
      <c r="G153" s="23">
        <f t="shared" ref="G153:G154" si="31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30"/>
        <v>7187</v>
      </c>
      <c r="B154" s="35" t="s">
        <v>103</v>
      </c>
      <c r="C154" s="50" t="s">
        <v>21</v>
      </c>
      <c r="D154" s="51">
        <v>1001085637187</v>
      </c>
      <c r="E154" s="24"/>
      <c r="F154" s="23">
        <v>0.3</v>
      </c>
      <c r="G154" s="23">
        <f t="shared" si="31"/>
        <v>0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30"/>
        <v>6620</v>
      </c>
      <c r="B155" s="35" t="s">
        <v>99</v>
      </c>
      <c r="C155" s="50" t="s">
        <v>23</v>
      </c>
      <c r="D155" s="51">
        <v>1001081596620</v>
      </c>
      <c r="E155" s="24"/>
      <c r="F155" s="23">
        <v>1.05</v>
      </c>
      <c r="G155" s="23">
        <f>E155</f>
        <v>0</v>
      </c>
      <c r="H155" s="14">
        <v>3.15</v>
      </c>
      <c r="I155" s="14">
        <v>30</v>
      </c>
      <c r="J155" s="29"/>
    </row>
    <row r="156" spans="1:10" ht="16.5" customHeight="1" x14ac:dyDescent="0.25">
      <c r="A156" s="55" t="str">
        <f t="shared" si="30"/>
        <v>6008</v>
      </c>
      <c r="B156" s="35" t="s">
        <v>222</v>
      </c>
      <c r="C156" s="50" t="s">
        <v>23</v>
      </c>
      <c r="D156" s="51">
        <v>1001084856008</v>
      </c>
      <c r="E156" s="24"/>
      <c r="F156" s="23"/>
      <c r="G156" s="23">
        <f>E156</f>
        <v>0</v>
      </c>
      <c r="H156" s="14"/>
      <c r="I156" s="14"/>
      <c r="J156" s="29"/>
    </row>
    <row r="157" spans="1:10" ht="16.5" customHeight="1" x14ac:dyDescent="0.25">
      <c r="A157" s="55" t="str">
        <f t="shared" si="30"/>
        <v>7103</v>
      </c>
      <c r="B157" s="35" t="s">
        <v>104</v>
      </c>
      <c r="C157" s="50" t="s">
        <v>21</v>
      </c>
      <c r="D157" s="51">
        <v>1001223297103</v>
      </c>
      <c r="E157" s="24"/>
      <c r="F157" s="23">
        <v>0.18</v>
      </c>
      <c r="G157" s="23">
        <f t="shared" ref="G157:G164" si="32">E157*F157</f>
        <v>0</v>
      </c>
      <c r="H157" s="14">
        <v>1.8</v>
      </c>
      <c r="I157" s="14">
        <v>50</v>
      </c>
      <c r="J157" s="29"/>
    </row>
    <row r="158" spans="1:10" ht="16.5" customHeight="1" x14ac:dyDescent="0.25">
      <c r="A158" s="55" t="str">
        <f>RIGHT(D158,4)</f>
        <v>7092</v>
      </c>
      <c r="B158" s="35" t="s">
        <v>79</v>
      </c>
      <c r="C158" s="50" t="s">
        <v>21</v>
      </c>
      <c r="D158" s="51">
        <v>1001223297092</v>
      </c>
      <c r="E158" s="24"/>
      <c r="F158" s="23">
        <v>0.14000000000000001</v>
      </c>
      <c r="G158" s="23">
        <f t="shared" si="32"/>
        <v>0</v>
      </c>
      <c r="H158" s="14">
        <v>1.4</v>
      </c>
      <c r="I158" s="14">
        <v>50</v>
      </c>
      <c r="J158" s="29"/>
    </row>
    <row r="159" spans="1:10" ht="16.5" customHeight="1" x14ac:dyDescent="0.25">
      <c r="A159" s="55" t="str">
        <f t="shared" si="30"/>
        <v>6228</v>
      </c>
      <c r="B159" s="35" t="s">
        <v>90</v>
      </c>
      <c r="C159" s="50" t="s">
        <v>21</v>
      </c>
      <c r="D159" s="51">
        <v>1001225416228</v>
      </c>
      <c r="E159" s="24"/>
      <c r="F159" s="23">
        <v>0.09</v>
      </c>
      <c r="G159" s="23">
        <f t="shared" si="32"/>
        <v>0</v>
      </c>
      <c r="H159" s="14">
        <v>0.9</v>
      </c>
      <c r="I159" s="14">
        <v>45</v>
      </c>
      <c r="J159" s="29"/>
    </row>
    <row r="160" spans="1:10" ht="16.5" customHeight="1" x14ac:dyDescent="0.25">
      <c r="A160" s="55" t="str">
        <f t="shared" si="30"/>
        <v>6448</v>
      </c>
      <c r="B160" s="35" t="s">
        <v>141</v>
      </c>
      <c r="C160" s="50" t="s">
        <v>21</v>
      </c>
      <c r="D160" s="51">
        <v>1001234146448</v>
      </c>
      <c r="E160" s="24"/>
      <c r="F160" s="23">
        <v>0.1</v>
      </c>
      <c r="G160" s="23">
        <f t="shared" si="32"/>
        <v>0</v>
      </c>
      <c r="H160" s="14">
        <v>1</v>
      </c>
      <c r="I160" s="14">
        <v>45</v>
      </c>
      <c r="J160" s="29"/>
    </row>
    <row r="161" spans="1:10" ht="16.5" customHeight="1" x14ac:dyDescent="0.25">
      <c r="A161" s="55" t="str">
        <f t="shared" si="30"/>
        <v>6208</v>
      </c>
      <c r="B161" s="35" t="s">
        <v>101</v>
      </c>
      <c r="C161" s="50" t="s">
        <v>21</v>
      </c>
      <c r="D161" s="51">
        <v>1001220226208</v>
      </c>
      <c r="E161" s="24"/>
      <c r="F161" s="23">
        <v>0.15</v>
      </c>
      <c r="G161" s="23">
        <f t="shared" si="32"/>
        <v>0</v>
      </c>
      <c r="H161" s="14">
        <v>1.5</v>
      </c>
      <c r="I161" s="14">
        <v>45</v>
      </c>
      <c r="J161" s="29"/>
    </row>
    <row r="162" spans="1:10" ht="16.5" customHeight="1" x14ac:dyDescent="0.25">
      <c r="A162" s="55" t="str">
        <f t="shared" si="30"/>
        <v>6754</v>
      </c>
      <c r="B162" s="35" t="s">
        <v>142</v>
      </c>
      <c r="C162" s="50" t="s">
        <v>21</v>
      </c>
      <c r="D162" s="51">
        <v>1001225406754</v>
      </c>
      <c r="E162" s="24"/>
      <c r="F162" s="23">
        <v>0.09</v>
      </c>
      <c r="G162" s="23">
        <f t="shared" si="32"/>
        <v>0</v>
      </c>
      <c r="H162" s="14">
        <v>0.72</v>
      </c>
      <c r="I162" s="14">
        <v>60</v>
      </c>
      <c r="J162" s="29"/>
    </row>
    <row r="163" spans="1:10" ht="16.5" customHeight="1" x14ac:dyDescent="0.25">
      <c r="A163" s="55" t="str">
        <f t="shared" si="30"/>
        <v>6279</v>
      </c>
      <c r="B163" s="35" t="s">
        <v>100</v>
      </c>
      <c r="C163" s="50" t="s">
        <v>21</v>
      </c>
      <c r="D163" s="51">
        <v>1001220286279</v>
      </c>
      <c r="E163" s="24"/>
      <c r="F163" s="23">
        <v>0.15</v>
      </c>
      <c r="G163" s="23">
        <f t="shared" si="32"/>
        <v>0</v>
      </c>
      <c r="H163" s="14">
        <v>1.2</v>
      </c>
      <c r="I163" s="14">
        <v>45</v>
      </c>
      <c r="J163" s="29"/>
    </row>
    <row r="164" spans="1:10" ht="16.5" customHeight="1" thickBot="1" x14ac:dyDescent="0.3">
      <c r="A164" s="55" t="str">
        <f t="shared" si="30"/>
        <v>7288</v>
      </c>
      <c r="B164" s="35" t="s">
        <v>212</v>
      </c>
      <c r="C164" s="50" t="s">
        <v>21</v>
      </c>
      <c r="D164" s="51">
        <v>1001223907288</v>
      </c>
      <c r="E164" s="24"/>
      <c r="F164" s="23">
        <v>0.1</v>
      </c>
      <c r="G164" s="23">
        <f t="shared" si="32"/>
        <v>0</v>
      </c>
      <c r="H164" s="14">
        <v>1</v>
      </c>
      <c r="I164" s="14">
        <v>60</v>
      </c>
      <c r="J164" s="29"/>
    </row>
    <row r="165" spans="1:10" ht="16.5" customHeight="1" thickTop="1" thickBot="1" x14ac:dyDescent="0.3">
      <c r="A165" s="48"/>
      <c r="B165" s="45" t="s">
        <v>105</v>
      </c>
      <c r="C165" s="16"/>
      <c r="D165" s="36"/>
      <c r="E165" s="17">
        <f>SUM(E10:E164)</f>
        <v>0</v>
      </c>
      <c r="F165" s="17"/>
      <c r="G165" s="17">
        <f>SUM(G11:G164)</f>
        <v>0</v>
      </c>
      <c r="H165" s="17"/>
      <c r="I165" s="17"/>
      <c r="J165" s="17"/>
    </row>
    <row r="166" spans="1:10" ht="15.75" customHeight="1" thickTop="1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53"/>
      <c r="E174" s="4"/>
      <c r="F174" s="53"/>
      <c r="G174" s="57"/>
      <c r="H174" s="51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</sheetData>
  <autoFilter ref="A9:J165" xr:uid="{00000000-0009-0000-0000-000000000000}"/>
  <mergeCells count="2">
    <mergeCell ref="E1:J1"/>
    <mergeCell ref="G3:J3"/>
  </mergeCells>
  <conditionalFormatting sqref="D174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58">
        <v>7523</v>
      </c>
      <c r="C2" s="61">
        <v>1001012427523</v>
      </c>
      <c r="D2" s="62" t="s">
        <v>110</v>
      </c>
      <c r="E2" s="73" t="s">
        <v>122</v>
      </c>
      <c r="F2" s="71" t="s">
        <v>21</v>
      </c>
      <c r="G2" s="72">
        <v>0.4</v>
      </c>
    </row>
    <row r="3" spans="2:7" ht="21" x14ac:dyDescent="0.25">
      <c r="B3" s="58">
        <v>6220</v>
      </c>
      <c r="C3" s="59">
        <v>1001012426220</v>
      </c>
      <c r="D3" s="60" t="s">
        <v>36</v>
      </c>
      <c r="E3" s="60"/>
      <c r="F3" s="71" t="s">
        <v>23</v>
      </c>
      <c r="G3" s="72">
        <v>1</v>
      </c>
    </row>
    <row r="4" spans="2:7" ht="21" x14ac:dyDescent="0.25">
      <c r="B4" s="58">
        <v>7539</v>
      </c>
      <c r="C4" s="64">
        <v>1001010017539</v>
      </c>
      <c r="D4" s="62" t="s">
        <v>111</v>
      </c>
      <c r="E4" s="73" t="s">
        <v>122</v>
      </c>
      <c r="F4" s="58" t="s">
        <v>21</v>
      </c>
      <c r="G4" s="74">
        <v>0.35</v>
      </c>
    </row>
    <row r="5" spans="2:7" ht="21" x14ac:dyDescent="0.25">
      <c r="B5" s="58">
        <v>7536</v>
      </c>
      <c r="C5" s="67">
        <v>1001010017536</v>
      </c>
      <c r="D5" s="68" t="s">
        <v>112</v>
      </c>
      <c r="E5" s="73" t="s">
        <v>122</v>
      </c>
      <c r="F5" s="58" t="s">
        <v>23</v>
      </c>
      <c r="G5" s="74">
        <v>1</v>
      </c>
    </row>
    <row r="6" spans="2:7" ht="21" x14ac:dyDescent="0.25">
      <c r="B6" s="58">
        <v>6340</v>
      </c>
      <c r="C6" s="63">
        <v>1001012816340</v>
      </c>
      <c r="D6" s="60" t="s">
        <v>27</v>
      </c>
      <c r="E6" s="60"/>
      <c r="F6" s="58" t="s">
        <v>21</v>
      </c>
      <c r="G6" s="74">
        <v>0.5</v>
      </c>
    </row>
    <row r="7" spans="2:7" ht="21" x14ac:dyDescent="0.25">
      <c r="B7" s="58">
        <v>6861</v>
      </c>
      <c r="C7" s="63">
        <v>1001015646861</v>
      </c>
      <c r="D7" s="60" t="s">
        <v>26</v>
      </c>
      <c r="E7" s="60"/>
      <c r="F7" s="58" t="s">
        <v>23</v>
      </c>
      <c r="G7" s="74">
        <v>1</v>
      </c>
    </row>
    <row r="8" spans="2:7" ht="21" x14ac:dyDescent="0.25">
      <c r="B8" s="58">
        <v>6862</v>
      </c>
      <c r="C8" s="63">
        <v>1001015706862</v>
      </c>
      <c r="D8" s="60" t="s">
        <v>29</v>
      </c>
      <c r="E8" s="60"/>
      <c r="F8" s="58" t="s">
        <v>23</v>
      </c>
      <c r="G8" s="74">
        <v>1</v>
      </c>
    </row>
    <row r="9" spans="2:7" ht="21" x14ac:dyDescent="0.25">
      <c r="B9" s="58">
        <v>6341</v>
      </c>
      <c r="C9" s="63">
        <v>1001012816341</v>
      </c>
      <c r="D9" s="60" t="s">
        <v>28</v>
      </c>
      <c r="E9" s="60"/>
      <c r="F9" s="58" t="s">
        <v>21</v>
      </c>
      <c r="G9" s="74">
        <v>0.5</v>
      </c>
    </row>
    <row r="10" spans="2:7" ht="21" x14ac:dyDescent="0.25">
      <c r="B10" s="58">
        <v>6498</v>
      </c>
      <c r="C10" s="63">
        <v>1001012456498</v>
      </c>
      <c r="D10" s="60" t="s">
        <v>35</v>
      </c>
      <c r="E10" s="60"/>
      <c r="F10" s="58" t="s">
        <v>23</v>
      </c>
      <c r="G10" s="74">
        <v>1</v>
      </c>
    </row>
    <row r="11" spans="2:7" ht="21" x14ac:dyDescent="0.25">
      <c r="B11" s="58">
        <v>4063</v>
      </c>
      <c r="C11" s="63">
        <v>1001012484063</v>
      </c>
      <c r="D11" s="60" t="s">
        <v>22</v>
      </c>
      <c r="E11" s="60"/>
      <c r="F11" s="58" t="s">
        <v>23</v>
      </c>
      <c r="G11" s="74">
        <v>1</v>
      </c>
    </row>
    <row r="12" spans="2:7" ht="21" x14ac:dyDescent="0.25">
      <c r="B12" s="58">
        <v>6333</v>
      </c>
      <c r="C12" s="63">
        <v>1001012486333</v>
      </c>
      <c r="D12" s="60" t="s">
        <v>24</v>
      </c>
      <c r="E12" s="60"/>
      <c r="F12" s="58" t="s">
        <v>21</v>
      </c>
      <c r="G12" s="74">
        <v>0.4</v>
      </c>
    </row>
    <row r="13" spans="2:7" ht="21" x14ac:dyDescent="0.25">
      <c r="B13" s="58">
        <v>4574</v>
      </c>
      <c r="C13" s="63">
        <v>1001012634574</v>
      </c>
      <c r="D13" s="60" t="s">
        <v>25</v>
      </c>
      <c r="E13" s="60"/>
      <c r="F13" s="58" t="s">
        <v>23</v>
      </c>
      <c r="G13" s="74">
        <v>1</v>
      </c>
    </row>
    <row r="14" spans="2:7" ht="21" x14ac:dyDescent="0.25">
      <c r="B14" s="58">
        <v>7334</v>
      </c>
      <c r="C14" s="63">
        <v>1001012637334</v>
      </c>
      <c r="D14" s="60" t="s">
        <v>113</v>
      </c>
      <c r="E14" s="60"/>
      <c r="F14" s="58" t="s">
        <v>21</v>
      </c>
      <c r="G14" s="74">
        <v>0.4</v>
      </c>
    </row>
    <row r="15" spans="2:7" ht="21" x14ac:dyDescent="0.25">
      <c r="B15" s="58">
        <v>4813</v>
      </c>
      <c r="C15" s="63">
        <v>1001012564813</v>
      </c>
      <c r="D15" s="60" t="s">
        <v>30</v>
      </c>
      <c r="E15" s="60"/>
      <c r="F15" s="58" t="s">
        <v>23</v>
      </c>
      <c r="G15" s="74">
        <v>1</v>
      </c>
    </row>
    <row r="16" spans="2:7" ht="21" x14ac:dyDescent="0.25">
      <c r="B16" s="58">
        <v>6392</v>
      </c>
      <c r="C16" s="63">
        <v>1001012566392</v>
      </c>
      <c r="D16" s="60" t="s">
        <v>114</v>
      </c>
      <c r="E16" s="60"/>
      <c r="F16" s="58" t="s">
        <v>21</v>
      </c>
      <c r="G16" s="74">
        <v>0.4</v>
      </c>
    </row>
    <row r="17" spans="2:7" ht="21" x14ac:dyDescent="0.25">
      <c r="B17" s="58">
        <v>5851</v>
      </c>
      <c r="C17" s="63">
        <v>1001012505851</v>
      </c>
      <c r="D17" s="60" t="s">
        <v>115</v>
      </c>
      <c r="E17" s="60"/>
      <c r="F17" s="58" t="s">
        <v>23</v>
      </c>
      <c r="G17" s="74">
        <v>1</v>
      </c>
    </row>
    <row r="18" spans="2:7" ht="21" x14ac:dyDescent="0.25">
      <c r="B18" s="58">
        <v>6353</v>
      </c>
      <c r="C18" s="63">
        <v>1001012506353</v>
      </c>
      <c r="D18" s="60" t="s">
        <v>31</v>
      </c>
      <c r="E18" s="70" t="s">
        <v>123</v>
      </c>
      <c r="F18" s="58" t="s">
        <v>21</v>
      </c>
      <c r="G18" s="74">
        <v>0.4</v>
      </c>
    </row>
    <row r="19" spans="2:7" ht="21" x14ac:dyDescent="0.25">
      <c r="B19" s="58">
        <v>4561</v>
      </c>
      <c r="C19" s="63">
        <v>1001010014561</v>
      </c>
      <c r="D19" s="60" t="s">
        <v>116</v>
      </c>
      <c r="E19" s="60"/>
      <c r="F19" s="58" t="s">
        <v>23</v>
      </c>
      <c r="G19" s="74">
        <v>1</v>
      </c>
    </row>
    <row r="20" spans="2:7" ht="21" x14ac:dyDescent="0.25">
      <c r="B20" s="58">
        <v>7555</v>
      </c>
      <c r="C20" s="64">
        <v>1001012497555</v>
      </c>
      <c r="D20" s="62" t="s">
        <v>117</v>
      </c>
      <c r="E20" s="73" t="s">
        <v>122</v>
      </c>
      <c r="F20" s="58" t="s">
        <v>23</v>
      </c>
      <c r="G20" s="74">
        <v>1</v>
      </c>
    </row>
    <row r="21" spans="2:7" ht="21" x14ac:dyDescent="0.25">
      <c r="B21" s="58">
        <v>6325</v>
      </c>
      <c r="C21" s="63">
        <v>1001010106325</v>
      </c>
      <c r="D21" s="60" t="s">
        <v>33</v>
      </c>
      <c r="E21" s="60"/>
      <c r="F21" s="58" t="s">
        <v>21</v>
      </c>
      <c r="G21" s="74">
        <v>0.4</v>
      </c>
    </row>
    <row r="22" spans="2:7" ht="21" x14ac:dyDescent="0.25">
      <c r="B22" s="58">
        <v>7556</v>
      </c>
      <c r="C22" s="64">
        <v>1001017597556</v>
      </c>
      <c r="D22" s="62" t="s">
        <v>118</v>
      </c>
      <c r="E22" s="73" t="s">
        <v>122</v>
      </c>
      <c r="F22" s="58" t="s">
        <v>23</v>
      </c>
      <c r="G22" s="74">
        <v>1</v>
      </c>
    </row>
    <row r="23" spans="2:7" ht="21" x14ac:dyDescent="0.25">
      <c r="B23" s="58">
        <v>7303</v>
      </c>
      <c r="C23" s="63">
        <v>1001010857303</v>
      </c>
      <c r="D23" s="60" t="s">
        <v>119</v>
      </c>
      <c r="E23" s="60"/>
      <c r="F23" s="58" t="s">
        <v>23</v>
      </c>
      <c r="G23" s="74">
        <v>1</v>
      </c>
    </row>
    <row r="24" spans="2:7" ht="21" x14ac:dyDescent="0.25">
      <c r="B24" s="58">
        <v>8014</v>
      </c>
      <c r="C24" s="63">
        <v>1001010108014</v>
      </c>
      <c r="D24" s="60" t="s">
        <v>120</v>
      </c>
      <c r="E24" s="60"/>
      <c r="F24" s="58" t="s">
        <v>23</v>
      </c>
      <c r="G24" s="74">
        <v>1</v>
      </c>
    </row>
    <row r="25" spans="2:7" ht="21" x14ac:dyDescent="0.25">
      <c r="B25" s="58">
        <v>7343</v>
      </c>
      <c r="C25" s="63">
        <v>1001016747343</v>
      </c>
      <c r="D25" s="60" t="s">
        <v>32</v>
      </c>
      <c r="E25" s="60"/>
      <c r="F25" s="58" t="s">
        <v>21</v>
      </c>
      <c r="G25" s="74">
        <v>0.4</v>
      </c>
    </row>
    <row r="26" spans="2:7" ht="21" x14ac:dyDescent="0.25">
      <c r="B26" s="58">
        <v>6797</v>
      </c>
      <c r="C26" s="63">
        <v>1001015026797</v>
      </c>
      <c r="D26" s="60" t="s">
        <v>121</v>
      </c>
      <c r="E26" s="60"/>
      <c r="F26" s="58" t="s">
        <v>21</v>
      </c>
      <c r="G26" s="74">
        <v>0.4</v>
      </c>
    </row>
    <row r="27" spans="2:7" ht="21" x14ac:dyDescent="0.25">
      <c r="B27" s="58">
        <v>7231</v>
      </c>
      <c r="C27" s="63">
        <v>1001013957231</v>
      </c>
      <c r="D27" s="60" t="s">
        <v>34</v>
      </c>
      <c r="E27" s="60"/>
      <c r="F27" s="58" t="s">
        <v>21</v>
      </c>
      <c r="G27" s="74">
        <v>0.3</v>
      </c>
    </row>
    <row r="28" spans="2:7" ht="23.25" x14ac:dyDescent="0.25">
      <c r="B28" s="75"/>
      <c r="C28" s="75"/>
      <c r="D28" s="76" t="s">
        <v>92</v>
      </c>
      <c r="E28" s="76"/>
      <c r="F28" s="77"/>
      <c r="G28" s="78"/>
    </row>
    <row r="29" spans="2:7" ht="21" x14ac:dyDescent="0.25">
      <c r="B29" s="63">
        <v>4584</v>
      </c>
      <c r="C29" s="63">
        <v>1001092674584</v>
      </c>
      <c r="D29" s="79" t="s">
        <v>125</v>
      </c>
      <c r="E29" s="79"/>
      <c r="F29" s="58" t="s">
        <v>23</v>
      </c>
      <c r="G29" s="74">
        <v>1</v>
      </c>
    </row>
    <row r="30" spans="2:7" ht="21" x14ac:dyDescent="0.25">
      <c r="B30" s="58">
        <v>6495</v>
      </c>
      <c r="C30" s="63">
        <v>1001092436495</v>
      </c>
      <c r="D30" s="79" t="s">
        <v>97</v>
      </c>
      <c r="E30" s="79"/>
      <c r="F30" s="58" t="s">
        <v>21</v>
      </c>
      <c r="G30" s="74">
        <v>0.3</v>
      </c>
    </row>
    <row r="31" spans="2:7" ht="21" x14ac:dyDescent="0.25">
      <c r="B31" s="80">
        <v>6470</v>
      </c>
      <c r="C31" s="65">
        <v>1001092436470</v>
      </c>
      <c r="D31" s="66" t="s">
        <v>126</v>
      </c>
      <c r="E31" s="66"/>
      <c r="F31" s="58" t="s">
        <v>23</v>
      </c>
      <c r="G31" s="74">
        <v>1</v>
      </c>
    </row>
    <row r="32" spans="2:7" ht="21" x14ac:dyDescent="0.25">
      <c r="B32" s="58">
        <v>5452</v>
      </c>
      <c r="C32" s="63">
        <v>1001092485452</v>
      </c>
      <c r="D32" s="79" t="s">
        <v>95</v>
      </c>
      <c r="E32" s="79"/>
      <c r="F32" s="58" t="s">
        <v>23</v>
      </c>
      <c r="G32" s="74">
        <v>1</v>
      </c>
    </row>
    <row r="33" spans="2:7" ht="21" x14ac:dyDescent="0.25">
      <c r="B33" s="58">
        <v>3215</v>
      </c>
      <c r="C33" s="63">
        <v>1001094053215</v>
      </c>
      <c r="D33" s="79" t="s">
        <v>94</v>
      </c>
      <c r="E33" s="79"/>
      <c r="F33" s="58" t="s">
        <v>21</v>
      </c>
      <c r="G33" s="74">
        <v>0.4</v>
      </c>
    </row>
    <row r="34" spans="2:7" ht="21" x14ac:dyDescent="0.25">
      <c r="B34" s="63">
        <v>6866</v>
      </c>
      <c r="C34" s="63">
        <v>1001095716866</v>
      </c>
      <c r="D34" s="79" t="s">
        <v>93</v>
      </c>
      <c r="E34" s="79"/>
      <c r="F34" s="58" t="s">
        <v>23</v>
      </c>
      <c r="G34" s="74">
        <v>1</v>
      </c>
    </row>
    <row r="35" spans="2:7" ht="21" x14ac:dyDescent="0.25">
      <c r="B35" s="58">
        <v>5495</v>
      </c>
      <c r="C35" s="63">
        <v>1001093345495</v>
      </c>
      <c r="D35" s="79" t="s">
        <v>96</v>
      </c>
      <c r="E35" s="79"/>
      <c r="F35" s="58" t="s">
        <v>21</v>
      </c>
      <c r="G35" s="74">
        <v>0.4</v>
      </c>
    </row>
    <row r="36" spans="2:7" ht="21" x14ac:dyDescent="0.25">
      <c r="B36" s="58">
        <v>7377</v>
      </c>
      <c r="C36" s="63">
        <v>1001095027377</v>
      </c>
      <c r="D36" s="79" t="s">
        <v>127</v>
      </c>
      <c r="E36" s="60"/>
      <c r="F36" s="58" t="s">
        <v>21</v>
      </c>
      <c r="G36" s="74">
        <v>0.3</v>
      </c>
    </row>
    <row r="37" spans="2:7" ht="21" x14ac:dyDescent="0.25">
      <c r="B37" s="58">
        <v>6925</v>
      </c>
      <c r="C37" s="63">
        <v>1001095226925</v>
      </c>
      <c r="D37" s="60" t="s">
        <v>108</v>
      </c>
      <c r="E37" s="81"/>
      <c r="F37" s="58" t="s">
        <v>21</v>
      </c>
      <c r="G37" s="74">
        <v>0.6</v>
      </c>
    </row>
    <row r="38" spans="2:7" ht="21" x14ac:dyDescent="0.25">
      <c r="B38" s="58">
        <v>6025</v>
      </c>
      <c r="C38" s="63">
        <v>1001094966025</v>
      </c>
      <c r="D38" s="79" t="s">
        <v>128</v>
      </c>
      <c r="E38" s="79"/>
      <c r="F38" s="58" t="s">
        <v>23</v>
      </c>
      <c r="G38" s="74">
        <v>1</v>
      </c>
    </row>
    <row r="39" spans="2:7" ht="23.25" x14ac:dyDescent="0.25">
      <c r="B39" s="75"/>
      <c r="C39" s="75"/>
      <c r="D39" s="76" t="s">
        <v>129</v>
      </c>
      <c r="E39" s="76"/>
      <c r="F39" s="77"/>
      <c r="G39" s="78"/>
    </row>
    <row r="40" spans="2:7" ht="21" x14ac:dyDescent="0.25">
      <c r="B40" s="80">
        <v>7090</v>
      </c>
      <c r="C40" s="65">
        <v>1001084217090</v>
      </c>
      <c r="D40" s="66" t="s">
        <v>102</v>
      </c>
      <c r="E40" s="66"/>
      <c r="F40" s="71" t="s">
        <v>21</v>
      </c>
      <c r="G40" s="72">
        <v>0.3</v>
      </c>
    </row>
    <row r="41" spans="2:7" ht="21" x14ac:dyDescent="0.25">
      <c r="B41" s="58">
        <v>7187</v>
      </c>
      <c r="C41" s="59">
        <v>1001085637187</v>
      </c>
      <c r="D41" s="60" t="s">
        <v>103</v>
      </c>
      <c r="E41" s="60"/>
      <c r="F41" s="71" t="s">
        <v>21</v>
      </c>
      <c r="G41" s="72">
        <v>0.3</v>
      </c>
    </row>
    <row r="42" spans="2:7" ht="21" x14ac:dyDescent="0.25">
      <c r="B42" s="58">
        <v>6620</v>
      </c>
      <c r="C42" s="59">
        <v>1001081596620</v>
      </c>
      <c r="D42" s="60" t="s">
        <v>99</v>
      </c>
      <c r="E42" s="60"/>
      <c r="F42" s="71" t="s">
        <v>23</v>
      </c>
      <c r="G42" s="72">
        <v>1</v>
      </c>
    </row>
    <row r="43" spans="2:7" ht="23.25" x14ac:dyDescent="0.25">
      <c r="B43" s="82"/>
      <c r="C43" s="75"/>
      <c r="D43" s="76" t="s">
        <v>130</v>
      </c>
      <c r="E43" s="76"/>
      <c r="F43" s="77"/>
      <c r="G43" s="78"/>
    </row>
    <row r="44" spans="2:7" ht="21" x14ac:dyDescent="0.25">
      <c r="B44" s="58">
        <v>7564</v>
      </c>
      <c r="C44" s="63">
        <v>1001303637564</v>
      </c>
      <c r="D44" s="60" t="s">
        <v>131</v>
      </c>
      <c r="E44" s="73" t="s">
        <v>122</v>
      </c>
      <c r="F44" s="58" t="s">
        <v>23</v>
      </c>
      <c r="G44" s="74">
        <v>1</v>
      </c>
    </row>
    <row r="45" spans="2:7" ht="21" x14ac:dyDescent="0.25">
      <c r="B45" s="58">
        <v>7603</v>
      </c>
      <c r="C45" s="63">
        <v>1001303637603</v>
      </c>
      <c r="D45" s="60" t="s">
        <v>132</v>
      </c>
      <c r="E45" s="73" t="s">
        <v>122</v>
      </c>
      <c r="F45" s="58" t="s">
        <v>21</v>
      </c>
      <c r="G45" s="74">
        <v>0.33</v>
      </c>
    </row>
    <row r="46" spans="2:7" ht="21" x14ac:dyDescent="0.25">
      <c r="B46" s="58">
        <v>7149</v>
      </c>
      <c r="C46" s="59">
        <v>1001303637149</v>
      </c>
      <c r="D46" s="60" t="s">
        <v>20</v>
      </c>
      <c r="E46" s="60"/>
      <c r="F46" s="58" t="s">
        <v>21</v>
      </c>
      <c r="G46" s="74">
        <v>0.84</v>
      </c>
    </row>
    <row r="47" spans="2:7" ht="21" x14ac:dyDescent="0.25">
      <c r="B47" s="80">
        <v>7233</v>
      </c>
      <c r="C47" s="65">
        <v>1001303637233</v>
      </c>
      <c r="D47" s="66" t="s">
        <v>133</v>
      </c>
      <c r="E47" s="66"/>
      <c r="F47" s="58" t="s">
        <v>21</v>
      </c>
      <c r="G47" s="74">
        <v>0.31</v>
      </c>
    </row>
    <row r="48" spans="2:7" ht="21" x14ac:dyDescent="0.25">
      <c r="B48" s="80">
        <v>7232</v>
      </c>
      <c r="C48" s="65">
        <v>1001302277232</v>
      </c>
      <c r="D48" s="66" t="s">
        <v>62</v>
      </c>
      <c r="E48" s="66"/>
      <c r="F48" s="58" t="s">
        <v>21</v>
      </c>
      <c r="G48" s="74">
        <v>0.28000000000000003</v>
      </c>
    </row>
    <row r="49" spans="2:7" ht="21" x14ac:dyDescent="0.25">
      <c r="B49" s="80">
        <v>7241</v>
      </c>
      <c r="C49" s="65">
        <v>1001303107241</v>
      </c>
      <c r="D49" s="66" t="s">
        <v>64</v>
      </c>
      <c r="E49" s="66"/>
      <c r="F49" s="58" t="s">
        <v>21</v>
      </c>
      <c r="G49" s="74">
        <v>0.28000000000000003</v>
      </c>
    </row>
    <row r="50" spans="2:7" ht="21" x14ac:dyDescent="0.25">
      <c r="B50" s="58">
        <v>7133</v>
      </c>
      <c r="C50" s="63">
        <v>1001300367133</v>
      </c>
      <c r="D50" s="60" t="s">
        <v>74</v>
      </c>
      <c r="E50" s="60"/>
      <c r="F50" s="58" t="s">
        <v>23</v>
      </c>
      <c r="G50" s="74">
        <v>1</v>
      </c>
    </row>
    <row r="51" spans="2:7" ht="21" x14ac:dyDescent="0.25">
      <c r="B51" s="58">
        <v>6807</v>
      </c>
      <c r="C51" s="63">
        <v>1001300366807</v>
      </c>
      <c r="D51" s="60" t="s">
        <v>76</v>
      </c>
      <c r="E51" s="60"/>
      <c r="F51" s="58" t="s">
        <v>21</v>
      </c>
      <c r="G51" s="74">
        <v>0.33</v>
      </c>
    </row>
    <row r="52" spans="2:7" ht="21" x14ac:dyDescent="0.25">
      <c r="B52" s="58">
        <v>7154</v>
      </c>
      <c r="C52" s="63">
        <v>1001300387154</v>
      </c>
      <c r="D52" s="60" t="s">
        <v>65</v>
      </c>
      <c r="E52" s="60"/>
      <c r="F52" s="58" t="s">
        <v>21</v>
      </c>
      <c r="G52" s="74">
        <v>0.35</v>
      </c>
    </row>
    <row r="53" spans="2:7" ht="21" x14ac:dyDescent="0.25">
      <c r="B53" s="58">
        <v>7157</v>
      </c>
      <c r="C53" s="63">
        <v>1001300387157</v>
      </c>
      <c r="D53" s="60" t="s">
        <v>75</v>
      </c>
      <c r="E53" s="60"/>
      <c r="F53" s="58" t="s">
        <v>23</v>
      </c>
      <c r="G53" s="74">
        <v>1</v>
      </c>
    </row>
    <row r="54" spans="2:7" ht="21" x14ac:dyDescent="0.25">
      <c r="B54" s="80">
        <v>7236</v>
      </c>
      <c r="C54" s="65">
        <v>1001304507236</v>
      </c>
      <c r="D54" s="66" t="s">
        <v>69</v>
      </c>
      <c r="E54" s="66"/>
      <c r="F54" s="58" t="s">
        <v>21</v>
      </c>
      <c r="G54" s="74">
        <v>0.28000000000000003</v>
      </c>
    </row>
    <row r="55" spans="2:7" ht="21" x14ac:dyDescent="0.25">
      <c r="B55" s="58">
        <v>6787</v>
      </c>
      <c r="C55" s="63">
        <v>1001300456787</v>
      </c>
      <c r="D55" s="60" t="s">
        <v>66</v>
      </c>
      <c r="E55" s="60"/>
      <c r="F55" s="58" t="s">
        <v>21</v>
      </c>
      <c r="G55" s="74">
        <v>0.33</v>
      </c>
    </row>
    <row r="56" spans="2:7" ht="21" x14ac:dyDescent="0.25">
      <c r="B56" s="58">
        <v>7166</v>
      </c>
      <c r="C56" s="63">
        <v>1001303987166</v>
      </c>
      <c r="D56" s="60" t="s">
        <v>72</v>
      </c>
      <c r="E56" s="60"/>
      <c r="F56" s="58" t="s">
        <v>23</v>
      </c>
      <c r="G56" s="74">
        <v>1</v>
      </c>
    </row>
    <row r="57" spans="2:7" ht="21" x14ac:dyDescent="0.25">
      <c r="B57" s="58">
        <v>7169</v>
      </c>
      <c r="C57" s="59">
        <v>1001303987169</v>
      </c>
      <c r="D57" s="60" t="s">
        <v>71</v>
      </c>
      <c r="E57" s="60"/>
      <c r="F57" s="58" t="s">
        <v>21</v>
      </c>
      <c r="G57" s="74">
        <v>0.35</v>
      </c>
    </row>
    <row r="58" spans="2:7" ht="21" x14ac:dyDescent="0.25">
      <c r="B58" s="58">
        <v>5544</v>
      </c>
      <c r="C58" s="63">
        <v>1001051875544</v>
      </c>
      <c r="D58" s="60" t="s">
        <v>73</v>
      </c>
      <c r="E58" s="60"/>
      <c r="F58" s="58" t="s">
        <v>23</v>
      </c>
      <c r="G58" s="74">
        <v>1</v>
      </c>
    </row>
    <row r="59" spans="2:7" ht="21" x14ac:dyDescent="0.25">
      <c r="B59" s="58">
        <v>6697</v>
      </c>
      <c r="C59" s="63">
        <v>1001301876697</v>
      </c>
      <c r="D59" s="60" t="s">
        <v>67</v>
      </c>
      <c r="E59" s="60"/>
      <c r="F59" s="58" t="s">
        <v>21</v>
      </c>
      <c r="G59" s="74">
        <v>0.35</v>
      </c>
    </row>
    <row r="60" spans="2:7" ht="21" x14ac:dyDescent="0.25">
      <c r="B60" s="58">
        <v>7237</v>
      </c>
      <c r="C60" s="63">
        <v>1001304497237</v>
      </c>
      <c r="D60" s="60" t="s">
        <v>68</v>
      </c>
      <c r="E60" s="60"/>
      <c r="F60" s="58" t="s">
        <v>21</v>
      </c>
      <c r="G60" s="74">
        <v>0.28000000000000003</v>
      </c>
    </row>
    <row r="61" spans="2:7" ht="21" x14ac:dyDescent="0.25">
      <c r="B61" s="58">
        <v>7238</v>
      </c>
      <c r="C61" s="63">
        <v>1001305197238</v>
      </c>
      <c r="D61" s="60" t="s">
        <v>134</v>
      </c>
      <c r="E61" s="60"/>
      <c r="F61" s="58" t="s">
        <v>21</v>
      </c>
      <c r="G61" s="74">
        <v>0.31</v>
      </c>
    </row>
    <row r="62" spans="2:7" ht="21" x14ac:dyDescent="0.25">
      <c r="B62" s="58">
        <v>7177</v>
      </c>
      <c r="C62" s="63">
        <v>1001302347177</v>
      </c>
      <c r="D62" s="60" t="s">
        <v>135</v>
      </c>
      <c r="E62" s="60"/>
      <c r="F62" s="58" t="s">
        <v>21</v>
      </c>
      <c r="G62" s="74">
        <v>0.35</v>
      </c>
    </row>
    <row r="63" spans="2:7" ht="21" x14ac:dyDescent="0.25">
      <c r="B63" s="80">
        <v>7332</v>
      </c>
      <c r="C63" s="65">
        <v>1001301777332</v>
      </c>
      <c r="D63" s="66" t="s">
        <v>63</v>
      </c>
      <c r="E63" s="83"/>
      <c r="F63" s="71" t="s">
        <v>21</v>
      </c>
      <c r="G63" s="72">
        <v>0.28000000000000003</v>
      </c>
    </row>
    <row r="64" spans="2:7" ht="21" x14ac:dyDescent="0.25">
      <c r="B64" s="80">
        <v>7333</v>
      </c>
      <c r="C64" s="65">
        <v>1001303987333</v>
      </c>
      <c r="D64" s="66" t="s">
        <v>70</v>
      </c>
      <c r="E64" s="83"/>
      <c r="F64" s="71" t="s">
        <v>21</v>
      </c>
      <c r="G64" s="72">
        <v>0.28000000000000003</v>
      </c>
    </row>
    <row r="65" spans="2:7" ht="23.25" x14ac:dyDescent="0.25">
      <c r="B65" s="82"/>
      <c r="C65" s="75"/>
      <c r="D65" s="76" t="s">
        <v>136</v>
      </c>
      <c r="E65" s="76"/>
      <c r="F65" s="77"/>
      <c r="G65" s="78"/>
    </row>
    <row r="66" spans="2:7" ht="21" x14ac:dyDescent="0.25">
      <c r="B66" s="58">
        <v>6459</v>
      </c>
      <c r="C66" s="63">
        <v>1001214196459</v>
      </c>
      <c r="D66" s="60" t="s">
        <v>61</v>
      </c>
      <c r="E66" s="70" t="s">
        <v>137</v>
      </c>
      <c r="F66" s="58" t="s">
        <v>21</v>
      </c>
      <c r="G66" s="74">
        <v>0.1</v>
      </c>
    </row>
    <row r="67" spans="2:7" ht="21" x14ac:dyDescent="0.25">
      <c r="B67" s="58">
        <v>7474</v>
      </c>
      <c r="C67" s="63">
        <v>1001216717474</v>
      </c>
      <c r="D67" s="60" t="s">
        <v>138</v>
      </c>
      <c r="E67" s="70" t="s">
        <v>139</v>
      </c>
      <c r="F67" s="58" t="s">
        <v>21</v>
      </c>
      <c r="G67" s="74">
        <v>0.1</v>
      </c>
    </row>
    <row r="68" spans="2:7" ht="23.25" x14ac:dyDescent="0.25">
      <c r="B68" s="82"/>
      <c r="C68" s="75"/>
      <c r="D68" s="76" t="s">
        <v>140</v>
      </c>
      <c r="E68" s="76"/>
      <c r="F68" s="77"/>
      <c r="G68" s="78"/>
    </row>
    <row r="69" spans="2:7" ht="21" x14ac:dyDescent="0.25">
      <c r="B69" s="58">
        <v>7103</v>
      </c>
      <c r="C69" s="63">
        <v>1001223297103</v>
      </c>
      <c r="D69" s="60" t="s">
        <v>104</v>
      </c>
      <c r="E69" s="60"/>
      <c r="F69" s="58" t="s">
        <v>21</v>
      </c>
      <c r="G69" s="74">
        <v>0.18</v>
      </c>
    </row>
    <row r="70" spans="2:7" ht="21" x14ac:dyDescent="0.25">
      <c r="B70" s="58">
        <v>7092</v>
      </c>
      <c r="C70" s="63">
        <v>1001223297092</v>
      </c>
      <c r="D70" s="60" t="s">
        <v>79</v>
      </c>
      <c r="E70" s="60"/>
      <c r="F70" s="58" t="s">
        <v>21</v>
      </c>
      <c r="G70" s="74">
        <v>0.14000000000000001</v>
      </c>
    </row>
    <row r="71" spans="2:7" ht="21" x14ac:dyDescent="0.25">
      <c r="B71" s="58">
        <v>6228</v>
      </c>
      <c r="C71" s="63">
        <v>1001225416228</v>
      </c>
      <c r="D71" s="60" t="s">
        <v>90</v>
      </c>
      <c r="E71" s="60"/>
      <c r="F71" s="58" t="s">
        <v>21</v>
      </c>
      <c r="G71" s="74">
        <v>0.09</v>
      </c>
    </row>
    <row r="72" spans="2:7" ht="21" x14ac:dyDescent="0.25">
      <c r="B72" s="58">
        <v>6448</v>
      </c>
      <c r="C72" s="63">
        <v>1001234146448</v>
      </c>
      <c r="D72" s="60" t="s">
        <v>141</v>
      </c>
      <c r="E72" s="60"/>
      <c r="F72" s="58" t="s">
        <v>21</v>
      </c>
      <c r="G72" s="74">
        <v>0.1</v>
      </c>
    </row>
    <row r="73" spans="2:7" ht="21" x14ac:dyDescent="0.25">
      <c r="B73" s="58">
        <v>6208</v>
      </c>
      <c r="C73" s="63">
        <v>1001220226208</v>
      </c>
      <c r="D73" s="60" t="s">
        <v>101</v>
      </c>
      <c r="E73" s="60"/>
      <c r="F73" s="58" t="s">
        <v>21</v>
      </c>
      <c r="G73" s="74">
        <v>0.15</v>
      </c>
    </row>
    <row r="74" spans="2:7" ht="21" x14ac:dyDescent="0.25">
      <c r="B74" s="58">
        <v>6754</v>
      </c>
      <c r="C74" s="63">
        <v>1001225406754</v>
      </c>
      <c r="D74" s="60" t="s">
        <v>142</v>
      </c>
      <c r="E74" s="60"/>
      <c r="F74" s="58" t="s">
        <v>21</v>
      </c>
      <c r="G74" s="74">
        <v>0.09</v>
      </c>
    </row>
    <row r="75" spans="2:7" ht="21" x14ac:dyDescent="0.25">
      <c r="B75" s="58">
        <v>6279</v>
      </c>
      <c r="C75" s="59">
        <v>1001220286279</v>
      </c>
      <c r="D75" s="60" t="s">
        <v>100</v>
      </c>
      <c r="E75" s="60"/>
      <c r="F75" s="71" t="s">
        <v>21</v>
      </c>
      <c r="G75" s="72">
        <v>0.15</v>
      </c>
    </row>
    <row r="76" spans="2:7" ht="21" x14ac:dyDescent="0.25">
      <c r="B76" s="58">
        <v>7288</v>
      </c>
      <c r="C76" s="63">
        <v>1001223907288</v>
      </c>
      <c r="D76" s="60" t="s">
        <v>143</v>
      </c>
      <c r="E76" s="70" t="s">
        <v>144</v>
      </c>
      <c r="F76" s="58" t="s">
        <v>21</v>
      </c>
      <c r="G76" s="74">
        <v>0.1</v>
      </c>
    </row>
    <row r="77" spans="2:7" ht="21" x14ac:dyDescent="0.25">
      <c r="B77" s="58">
        <v>7612</v>
      </c>
      <c r="C77" s="63">
        <v>1001453907612</v>
      </c>
      <c r="D77" s="69" t="s">
        <v>145</v>
      </c>
      <c r="E77" s="69" t="s">
        <v>124</v>
      </c>
      <c r="F77" s="58" t="s">
        <v>21</v>
      </c>
      <c r="G77" s="74">
        <v>0.1</v>
      </c>
    </row>
    <row r="78" spans="2:7" ht="23.25" x14ac:dyDescent="0.25">
      <c r="B78" s="82"/>
      <c r="C78" s="75"/>
      <c r="D78" s="76" t="s">
        <v>146</v>
      </c>
      <c r="E78" s="76"/>
      <c r="F78" s="77"/>
      <c r="G78" s="78"/>
    </row>
    <row r="79" spans="2:7" ht="21" x14ac:dyDescent="0.25">
      <c r="B79" s="58">
        <v>6454</v>
      </c>
      <c r="C79" s="63">
        <v>1001201976454</v>
      </c>
      <c r="D79" s="60" t="s">
        <v>147</v>
      </c>
      <c r="E79" s="70" t="s">
        <v>148</v>
      </c>
      <c r="F79" s="58" t="s">
        <v>21</v>
      </c>
      <c r="G79" s="74">
        <v>0.1</v>
      </c>
    </row>
    <row r="80" spans="2:7" ht="21" x14ac:dyDescent="0.25">
      <c r="B80" s="58">
        <v>6834</v>
      </c>
      <c r="C80" s="63">
        <v>1001203146834</v>
      </c>
      <c r="D80" s="60" t="s">
        <v>149</v>
      </c>
      <c r="E80" s="60"/>
      <c r="F80" s="58" t="s">
        <v>21</v>
      </c>
      <c r="G80" s="74">
        <v>0.1</v>
      </c>
    </row>
    <row r="81" spans="2:7" ht="21" x14ac:dyDescent="0.25">
      <c r="B81" s="58">
        <v>7382</v>
      </c>
      <c r="C81" s="63">
        <v>1001203117382</v>
      </c>
      <c r="D81" s="60" t="s">
        <v>85</v>
      </c>
      <c r="E81" s="70" t="s">
        <v>150</v>
      </c>
      <c r="F81" s="58" t="s">
        <v>21</v>
      </c>
      <c r="G81" s="74">
        <v>0.12</v>
      </c>
    </row>
    <row r="82" spans="2:7" ht="21" x14ac:dyDescent="0.25">
      <c r="B82" s="58">
        <v>6453</v>
      </c>
      <c r="C82" s="63">
        <v>1001202506453</v>
      </c>
      <c r="D82" s="60" t="s">
        <v>151</v>
      </c>
      <c r="E82" s="70" t="s">
        <v>152</v>
      </c>
      <c r="F82" s="58" t="s">
        <v>21</v>
      </c>
      <c r="G82" s="74">
        <v>0.1</v>
      </c>
    </row>
    <row r="83" spans="2:7" ht="21" x14ac:dyDescent="0.25">
      <c r="B83" s="58">
        <v>6221</v>
      </c>
      <c r="C83" s="63">
        <v>1001205376221</v>
      </c>
      <c r="D83" s="60" t="s">
        <v>87</v>
      </c>
      <c r="E83" s="60"/>
      <c r="F83" s="58" t="s">
        <v>21</v>
      </c>
      <c r="G83" s="74">
        <v>0.09</v>
      </c>
    </row>
    <row r="84" spans="2:7" ht="21" x14ac:dyDescent="0.25">
      <c r="B84" s="58">
        <v>6222</v>
      </c>
      <c r="C84" s="63">
        <v>1001205386222</v>
      </c>
      <c r="D84" s="60" t="s">
        <v>153</v>
      </c>
      <c r="E84" s="60"/>
      <c r="F84" s="58" t="s">
        <v>21</v>
      </c>
      <c r="G84" s="74">
        <v>0.09</v>
      </c>
    </row>
    <row r="85" spans="2:7" ht="21" x14ac:dyDescent="0.25">
      <c r="B85" s="80">
        <v>6965</v>
      </c>
      <c r="C85" s="65">
        <v>1001206356965</v>
      </c>
      <c r="D85" s="66" t="s">
        <v>154</v>
      </c>
      <c r="E85" s="66"/>
      <c r="F85" s="58" t="s">
        <v>21</v>
      </c>
      <c r="G85" s="74">
        <v>7.0000000000000007E-2</v>
      </c>
    </row>
    <row r="86" spans="2:7" ht="21" x14ac:dyDescent="0.25">
      <c r="B86" s="58">
        <v>6557</v>
      </c>
      <c r="C86" s="63">
        <v>1001200756557</v>
      </c>
      <c r="D86" s="60" t="s">
        <v>155</v>
      </c>
      <c r="E86" s="60"/>
      <c r="F86" s="58" t="s">
        <v>21</v>
      </c>
      <c r="G86" s="74">
        <v>0.1</v>
      </c>
    </row>
    <row r="87" spans="2:7" ht="21" x14ac:dyDescent="0.25">
      <c r="B87" s="58">
        <v>5679</v>
      </c>
      <c r="C87" s="63">
        <v>1001190765679</v>
      </c>
      <c r="D87" s="60" t="s">
        <v>156</v>
      </c>
      <c r="E87" s="60"/>
      <c r="F87" s="58" t="s">
        <v>21</v>
      </c>
      <c r="G87" s="74">
        <v>0.15</v>
      </c>
    </row>
    <row r="88" spans="2:7" ht="21" x14ac:dyDescent="0.25">
      <c r="B88" s="58">
        <v>5677</v>
      </c>
      <c r="C88" s="63">
        <v>1001190715677</v>
      </c>
      <c r="D88" s="60" t="s">
        <v>157</v>
      </c>
      <c r="E88" s="70" t="s">
        <v>158</v>
      </c>
      <c r="F88" s="58" t="s">
        <v>21</v>
      </c>
      <c r="G88" s="74">
        <v>0.1</v>
      </c>
    </row>
    <row r="89" spans="2:7" ht="21" x14ac:dyDescent="0.25">
      <c r="B89" s="58">
        <v>7414</v>
      </c>
      <c r="C89" s="63">
        <v>1001204447414</v>
      </c>
      <c r="D89" s="60" t="s">
        <v>159</v>
      </c>
      <c r="E89" s="81"/>
      <c r="F89" s="58" t="s">
        <v>23</v>
      </c>
      <c r="G89" s="74">
        <v>1</v>
      </c>
    </row>
    <row r="90" spans="2:7" ht="23.25" x14ac:dyDescent="0.25">
      <c r="B90" s="82"/>
      <c r="C90" s="75"/>
      <c r="D90" s="76" t="s">
        <v>160</v>
      </c>
      <c r="E90" s="76"/>
      <c r="F90" s="77"/>
      <c r="G90" s="78"/>
    </row>
    <row r="91" spans="2:7" ht="21" x14ac:dyDescent="0.25">
      <c r="B91" s="58">
        <v>3582</v>
      </c>
      <c r="C91" s="63">
        <v>1001061973582</v>
      </c>
      <c r="D91" s="60" t="s">
        <v>161</v>
      </c>
      <c r="E91" s="60"/>
      <c r="F91" s="58" t="s">
        <v>23</v>
      </c>
      <c r="G91" s="74">
        <v>1</v>
      </c>
    </row>
    <row r="92" spans="2:7" ht="21" x14ac:dyDescent="0.25">
      <c r="B92" s="58">
        <v>3986</v>
      </c>
      <c r="C92" s="63">
        <v>1001061973986</v>
      </c>
      <c r="D92" s="60" t="s">
        <v>80</v>
      </c>
      <c r="E92" s="60"/>
      <c r="F92" s="58" t="s">
        <v>21</v>
      </c>
      <c r="G92" s="74">
        <v>0.25</v>
      </c>
    </row>
    <row r="93" spans="2:7" ht="21" x14ac:dyDescent="0.25">
      <c r="B93" s="58">
        <v>5931</v>
      </c>
      <c r="C93" s="63">
        <v>1001060755931</v>
      </c>
      <c r="D93" s="60" t="s">
        <v>78</v>
      </c>
      <c r="E93" s="60"/>
      <c r="F93" s="58" t="s">
        <v>21</v>
      </c>
      <c r="G93" s="74">
        <v>0.22</v>
      </c>
    </row>
    <row r="94" spans="2:7" ht="21" x14ac:dyDescent="0.25">
      <c r="B94" s="58">
        <v>5708</v>
      </c>
      <c r="C94" s="63">
        <v>1001063145708</v>
      </c>
      <c r="D94" s="60" t="s">
        <v>81</v>
      </c>
      <c r="E94" s="60"/>
      <c r="F94" s="58" t="s">
        <v>23</v>
      </c>
      <c r="G94" s="74">
        <v>1</v>
      </c>
    </row>
    <row r="95" spans="2:7" ht="21" x14ac:dyDescent="0.25">
      <c r="B95" s="58">
        <v>3287</v>
      </c>
      <c r="C95" s="63">
        <v>1001060763287</v>
      </c>
      <c r="D95" s="60" t="s">
        <v>91</v>
      </c>
      <c r="E95" s="60"/>
      <c r="F95" s="58" t="s">
        <v>23</v>
      </c>
      <c r="G95" s="74">
        <v>1</v>
      </c>
    </row>
    <row r="96" spans="2:7" ht="21" x14ac:dyDescent="0.25">
      <c r="B96" s="58">
        <v>4993</v>
      </c>
      <c r="C96" s="63">
        <v>1001060764993</v>
      </c>
      <c r="D96" s="60" t="s">
        <v>162</v>
      </c>
      <c r="E96" s="60"/>
      <c r="F96" s="58" t="s">
        <v>21</v>
      </c>
      <c r="G96" s="74">
        <v>0.25</v>
      </c>
    </row>
    <row r="97" spans="2:7" ht="21" x14ac:dyDescent="0.25">
      <c r="B97" s="58">
        <v>5483</v>
      </c>
      <c r="C97" s="63">
        <v>1001062505483</v>
      </c>
      <c r="D97" s="60" t="s">
        <v>89</v>
      </c>
      <c r="E97" s="60"/>
      <c r="F97" s="58" t="s">
        <v>21</v>
      </c>
      <c r="G97" s="74">
        <v>0.25</v>
      </c>
    </row>
    <row r="98" spans="2:7" ht="21" x14ac:dyDescent="0.25">
      <c r="B98" s="58">
        <v>4117</v>
      </c>
      <c r="C98" s="63">
        <v>1001062504117</v>
      </c>
      <c r="D98" s="60" t="s">
        <v>88</v>
      </c>
      <c r="E98" s="60"/>
      <c r="F98" s="58" t="s">
        <v>23</v>
      </c>
      <c r="G98" s="74">
        <v>1</v>
      </c>
    </row>
    <row r="99" spans="2:7" ht="21" x14ac:dyDescent="0.25">
      <c r="B99" s="58">
        <v>614</v>
      </c>
      <c r="C99" s="63">
        <v>1001060720614</v>
      </c>
      <c r="D99" s="60" t="s">
        <v>163</v>
      </c>
      <c r="E99" s="60"/>
      <c r="F99" s="58" t="s">
        <v>23</v>
      </c>
      <c r="G99" s="74">
        <v>1</v>
      </c>
    </row>
    <row r="100" spans="2:7" ht="21" x14ac:dyDescent="0.25">
      <c r="B100" s="58">
        <v>6967</v>
      </c>
      <c r="C100" s="63">
        <v>1001063656967</v>
      </c>
      <c r="D100" s="60" t="s">
        <v>84</v>
      </c>
      <c r="E100" s="60"/>
      <c r="F100" s="58" t="s">
        <v>21</v>
      </c>
      <c r="G100" s="74">
        <v>0.25</v>
      </c>
    </row>
    <row r="101" spans="2:7" ht="21" x14ac:dyDescent="0.25">
      <c r="B101" s="58">
        <v>6937</v>
      </c>
      <c r="C101" s="63">
        <v>1001063106937</v>
      </c>
      <c r="D101" s="60" t="s">
        <v>164</v>
      </c>
      <c r="E101" s="60"/>
      <c r="F101" s="58" t="s">
        <v>21</v>
      </c>
      <c r="G101" s="74">
        <v>0.25</v>
      </c>
    </row>
    <row r="102" spans="2:7" ht="21" x14ac:dyDescent="0.25">
      <c r="B102" s="58">
        <v>7143</v>
      </c>
      <c r="C102" s="63">
        <v>1001060717143</v>
      </c>
      <c r="D102" s="60" t="s">
        <v>165</v>
      </c>
      <c r="E102" s="60"/>
      <c r="F102" s="58" t="s">
        <v>21</v>
      </c>
      <c r="G102" s="74">
        <v>0.22</v>
      </c>
    </row>
    <row r="103" spans="2:7" ht="21" x14ac:dyDescent="0.25">
      <c r="B103" s="58">
        <v>7147</v>
      </c>
      <c r="C103" s="63">
        <v>1001063237147</v>
      </c>
      <c r="D103" s="60" t="s">
        <v>86</v>
      </c>
      <c r="E103" s="60"/>
      <c r="F103" s="58" t="s">
        <v>21</v>
      </c>
      <c r="G103" s="74">
        <v>0.22</v>
      </c>
    </row>
    <row r="104" spans="2:7" ht="21" x14ac:dyDescent="0.25">
      <c r="B104" s="58">
        <v>7456</v>
      </c>
      <c r="C104" s="63">
        <v>1001063097456</v>
      </c>
      <c r="D104" s="60" t="s">
        <v>166</v>
      </c>
      <c r="E104" s="60"/>
      <c r="F104" s="58" t="s">
        <v>21</v>
      </c>
      <c r="G104" s="74">
        <v>0.15</v>
      </c>
    </row>
    <row r="105" spans="2:7" ht="21" x14ac:dyDescent="0.25">
      <c r="B105" s="58">
        <v>7364</v>
      </c>
      <c r="C105" s="63">
        <v>1001063217364</v>
      </c>
      <c r="D105" s="60" t="s">
        <v>167</v>
      </c>
      <c r="E105" s="81"/>
      <c r="F105" s="58" t="s">
        <v>21</v>
      </c>
      <c r="G105" s="74">
        <v>0.22</v>
      </c>
    </row>
    <row r="106" spans="2:7" ht="21" x14ac:dyDescent="0.25">
      <c r="B106" s="58">
        <v>7383</v>
      </c>
      <c r="C106" s="63">
        <v>1001065467383</v>
      </c>
      <c r="D106" s="60" t="s">
        <v>168</v>
      </c>
      <c r="E106" s="81"/>
      <c r="F106" s="58" t="s">
        <v>21</v>
      </c>
      <c r="G106" s="74">
        <v>0.22</v>
      </c>
    </row>
    <row r="107" spans="2:7" ht="21" x14ac:dyDescent="0.25">
      <c r="B107" s="58">
        <v>7317</v>
      </c>
      <c r="C107" s="63">
        <v>1001066567317</v>
      </c>
      <c r="D107" s="60" t="s">
        <v>169</v>
      </c>
      <c r="E107" s="60"/>
      <c r="F107" s="58" t="s">
        <v>21</v>
      </c>
      <c r="G107" s="74">
        <v>0.54</v>
      </c>
    </row>
    <row r="108" spans="2:7" ht="21" x14ac:dyDescent="0.25">
      <c r="B108" s="58">
        <v>7318</v>
      </c>
      <c r="C108" s="63">
        <v>1001060727318</v>
      </c>
      <c r="D108" s="60" t="s">
        <v>170</v>
      </c>
      <c r="E108" s="60"/>
      <c r="F108" s="58" t="s">
        <v>21</v>
      </c>
      <c r="G108" s="74">
        <v>0.27</v>
      </c>
    </row>
    <row r="109" spans="2:7" ht="21" x14ac:dyDescent="0.25">
      <c r="B109" s="58">
        <v>7316</v>
      </c>
      <c r="C109" s="63">
        <v>1001060727316</v>
      </c>
      <c r="D109" s="60" t="s">
        <v>171</v>
      </c>
      <c r="E109" s="60"/>
      <c r="F109" s="58" t="s">
        <v>21</v>
      </c>
      <c r="G109" s="74">
        <v>0.54</v>
      </c>
    </row>
    <row r="110" spans="2:7" ht="21" x14ac:dyDescent="0.25">
      <c r="B110" s="58">
        <v>7417</v>
      </c>
      <c r="C110" s="63">
        <v>1001307147417</v>
      </c>
      <c r="D110" s="60" t="s">
        <v>172</v>
      </c>
      <c r="E110" s="81"/>
      <c r="F110" s="58" t="s">
        <v>21</v>
      </c>
      <c r="G110" s="74">
        <v>0.44</v>
      </c>
    </row>
    <row r="111" spans="2:7" ht="21" x14ac:dyDescent="0.25">
      <c r="B111" s="58">
        <v>6832</v>
      </c>
      <c r="C111" s="63">
        <v>1001065616832</v>
      </c>
      <c r="D111" s="60" t="s">
        <v>82</v>
      </c>
      <c r="E111" s="60"/>
      <c r="F111" s="58" t="s">
        <v>23</v>
      </c>
      <c r="G111" s="74">
        <v>1</v>
      </c>
    </row>
    <row r="112" spans="2:7" ht="21" x14ac:dyDescent="0.25">
      <c r="B112" s="58">
        <v>7299</v>
      </c>
      <c r="C112" s="63">
        <v>1001060677299</v>
      </c>
      <c r="D112" s="60" t="s">
        <v>83</v>
      </c>
      <c r="E112" s="60"/>
      <c r="F112" s="58" t="s">
        <v>23</v>
      </c>
      <c r="G112" s="74">
        <v>1</v>
      </c>
    </row>
    <row r="113" spans="2:7" ht="21" x14ac:dyDescent="0.25">
      <c r="B113" s="58">
        <v>7386</v>
      </c>
      <c r="C113" s="63">
        <v>1001067017386</v>
      </c>
      <c r="D113" s="60" t="s">
        <v>173</v>
      </c>
      <c r="E113" s="84"/>
      <c r="F113" s="58" t="s">
        <v>21</v>
      </c>
      <c r="G113" s="74">
        <v>0.15</v>
      </c>
    </row>
    <row r="114" spans="2:7" ht="23.25" x14ac:dyDescent="0.25">
      <c r="B114" s="82"/>
      <c r="C114" s="75"/>
      <c r="D114" s="76" t="s">
        <v>57</v>
      </c>
      <c r="E114" s="76"/>
      <c r="F114" s="77"/>
      <c r="G114" s="78"/>
    </row>
    <row r="115" spans="2:7" ht="21" x14ac:dyDescent="0.25">
      <c r="B115" s="58">
        <v>6550</v>
      </c>
      <c r="C115" s="63">
        <v>1001032736550</v>
      </c>
      <c r="D115" s="60" t="s">
        <v>174</v>
      </c>
      <c r="E115" s="60"/>
      <c r="F115" s="58" t="s">
        <v>23</v>
      </c>
      <c r="G115" s="74">
        <v>1</v>
      </c>
    </row>
    <row r="116" spans="2:7" ht="21" x14ac:dyDescent="0.25">
      <c r="B116" s="58">
        <v>6608</v>
      </c>
      <c r="C116" s="63">
        <v>1001033856608</v>
      </c>
      <c r="D116" s="60" t="s">
        <v>59</v>
      </c>
      <c r="E116" s="60"/>
      <c r="F116" s="58" t="s">
        <v>23</v>
      </c>
      <c r="G116" s="74">
        <v>1</v>
      </c>
    </row>
    <row r="117" spans="2:7" ht="21" x14ac:dyDescent="0.25">
      <c r="B117" s="58">
        <v>7001</v>
      </c>
      <c r="C117" s="59">
        <v>1001035937001</v>
      </c>
      <c r="D117" s="60" t="s">
        <v>58</v>
      </c>
      <c r="E117" s="60"/>
      <c r="F117" s="58" t="s">
        <v>23</v>
      </c>
      <c r="G117" s="74">
        <v>1</v>
      </c>
    </row>
    <row r="118" spans="2:7" ht="21" x14ac:dyDescent="0.25">
      <c r="B118" s="58">
        <v>6527</v>
      </c>
      <c r="C118" s="85">
        <v>1001031076527</v>
      </c>
      <c r="D118" s="86" t="s">
        <v>175</v>
      </c>
      <c r="E118" s="86"/>
      <c r="F118" s="58" t="s">
        <v>23</v>
      </c>
      <c r="G118" s="74">
        <v>1</v>
      </c>
    </row>
    <row r="119" spans="2:7" ht="21" x14ac:dyDescent="0.25">
      <c r="B119" s="58">
        <v>6609</v>
      </c>
      <c r="C119" s="63">
        <v>1001033856609</v>
      </c>
      <c r="D119" s="60" t="s">
        <v>176</v>
      </c>
      <c r="E119" s="60"/>
      <c r="F119" s="58" t="s">
        <v>21</v>
      </c>
      <c r="G119" s="74">
        <v>0.4</v>
      </c>
    </row>
    <row r="120" spans="2:7" ht="21" x14ac:dyDescent="0.25">
      <c r="B120" s="58">
        <v>7059</v>
      </c>
      <c r="C120" s="85">
        <v>1001035277059</v>
      </c>
      <c r="D120" s="60" t="s">
        <v>177</v>
      </c>
      <c r="E120" s="84"/>
      <c r="F120" s="58" t="s">
        <v>21</v>
      </c>
      <c r="G120" s="74">
        <v>0.3</v>
      </c>
    </row>
    <row r="121" spans="2:7" ht="21" x14ac:dyDescent="0.25">
      <c r="B121" s="58">
        <v>6528</v>
      </c>
      <c r="C121" s="63">
        <v>1001031076528</v>
      </c>
      <c r="D121" s="60" t="s">
        <v>178</v>
      </c>
      <c r="E121" s="84"/>
      <c r="F121" s="58" t="s">
        <v>21</v>
      </c>
      <c r="G121" s="74">
        <v>0.4</v>
      </c>
    </row>
    <row r="122" spans="2:7" ht="23.25" x14ac:dyDescent="0.25">
      <c r="B122" s="82"/>
      <c r="C122" s="75"/>
      <c r="D122" s="76" t="s">
        <v>37</v>
      </c>
      <c r="E122" s="76"/>
      <c r="F122" s="77"/>
      <c r="G122" s="78"/>
    </row>
    <row r="123" spans="2:7" ht="21" x14ac:dyDescent="0.25">
      <c r="B123" s="58">
        <v>6602</v>
      </c>
      <c r="C123" s="63">
        <v>1001021966602</v>
      </c>
      <c r="D123" s="60" t="s">
        <v>179</v>
      </c>
      <c r="E123" s="60"/>
      <c r="F123" s="58" t="s">
        <v>21</v>
      </c>
      <c r="G123" s="74">
        <v>0.35</v>
      </c>
    </row>
    <row r="124" spans="2:7" ht="21" x14ac:dyDescent="0.25">
      <c r="B124" s="58">
        <v>7284</v>
      </c>
      <c r="C124" s="63">
        <v>1001025767284</v>
      </c>
      <c r="D124" s="60" t="s">
        <v>180</v>
      </c>
      <c r="E124" s="60"/>
      <c r="F124" s="58" t="s">
        <v>21</v>
      </c>
      <c r="G124" s="74">
        <v>0.33</v>
      </c>
    </row>
    <row r="125" spans="2:7" ht="21" x14ac:dyDescent="0.25">
      <c r="B125" s="58">
        <v>7601</v>
      </c>
      <c r="C125" s="63">
        <v>1001025767601</v>
      </c>
      <c r="D125" s="60" t="s">
        <v>181</v>
      </c>
      <c r="E125" s="84"/>
      <c r="F125" s="58" t="s">
        <v>21</v>
      </c>
      <c r="G125" s="74">
        <v>0.26</v>
      </c>
    </row>
    <row r="126" spans="2:7" ht="21" x14ac:dyDescent="0.25">
      <c r="B126" s="58">
        <v>7461</v>
      </c>
      <c r="C126" s="63">
        <v>1001025767461</v>
      </c>
      <c r="D126" s="60" t="s">
        <v>106</v>
      </c>
      <c r="E126" s="81"/>
      <c r="F126" s="58" t="s">
        <v>21</v>
      </c>
      <c r="G126" s="74">
        <v>0.33</v>
      </c>
    </row>
    <row r="127" spans="2:7" ht="21" x14ac:dyDescent="0.25">
      <c r="B127" s="58">
        <v>7371</v>
      </c>
      <c r="C127" s="63">
        <v>1001026947371</v>
      </c>
      <c r="D127" s="60" t="s">
        <v>107</v>
      </c>
      <c r="E127" s="81"/>
      <c r="F127" s="58" t="s">
        <v>21</v>
      </c>
      <c r="G127" s="74">
        <v>0.3</v>
      </c>
    </row>
    <row r="128" spans="2:7" ht="21" x14ac:dyDescent="0.25">
      <c r="B128" s="58">
        <v>6759</v>
      </c>
      <c r="C128" s="63">
        <v>1001020836759</v>
      </c>
      <c r="D128" s="60" t="s">
        <v>42</v>
      </c>
      <c r="E128" s="60"/>
      <c r="F128" s="58" t="s">
        <v>21</v>
      </c>
      <c r="G128" s="74">
        <v>0.4</v>
      </c>
    </row>
    <row r="129" spans="2:7" ht="21" x14ac:dyDescent="0.25">
      <c r="B129" s="58">
        <v>6761</v>
      </c>
      <c r="C129" s="63">
        <v>1001020836761</v>
      </c>
      <c r="D129" s="60" t="s">
        <v>53</v>
      </c>
      <c r="E129" s="60"/>
      <c r="F129" s="58" t="s">
        <v>23</v>
      </c>
      <c r="G129" s="74">
        <v>1</v>
      </c>
    </row>
    <row r="130" spans="2:7" ht="21" x14ac:dyDescent="0.25">
      <c r="B130" s="58">
        <v>6829</v>
      </c>
      <c r="C130" s="63">
        <v>1001024976829</v>
      </c>
      <c r="D130" s="60" t="s">
        <v>182</v>
      </c>
      <c r="E130" s="60"/>
      <c r="F130" s="58" t="s">
        <v>23</v>
      </c>
      <c r="G130" s="74">
        <v>1</v>
      </c>
    </row>
    <row r="131" spans="2:7" ht="21" x14ac:dyDescent="0.25">
      <c r="B131" s="58">
        <v>6616</v>
      </c>
      <c r="C131" s="63">
        <v>1001024976616</v>
      </c>
      <c r="D131" s="60" t="s">
        <v>43</v>
      </c>
      <c r="E131" s="60"/>
      <c r="F131" s="58" t="s">
        <v>21</v>
      </c>
      <c r="G131" s="74">
        <v>0.3</v>
      </c>
    </row>
    <row r="132" spans="2:7" ht="21" x14ac:dyDescent="0.25">
      <c r="B132" s="58">
        <v>7075</v>
      </c>
      <c r="C132" s="63">
        <v>1001022657075</v>
      </c>
      <c r="D132" s="60" t="s">
        <v>50</v>
      </c>
      <c r="E132" s="60"/>
      <c r="F132" s="58" t="s">
        <v>23</v>
      </c>
      <c r="G132" s="74">
        <v>1</v>
      </c>
    </row>
    <row r="133" spans="2:7" ht="21" x14ac:dyDescent="0.25">
      <c r="B133" s="58">
        <v>7074</v>
      </c>
      <c r="C133" s="63">
        <v>1001022657074</v>
      </c>
      <c r="D133" s="60" t="s">
        <v>183</v>
      </c>
      <c r="E133" s="60"/>
      <c r="F133" s="58" t="s">
        <v>21</v>
      </c>
      <c r="G133" s="74">
        <v>0.6</v>
      </c>
    </row>
    <row r="134" spans="2:7" ht="21" x14ac:dyDescent="0.25">
      <c r="B134" s="58">
        <v>7073</v>
      </c>
      <c r="C134" s="63">
        <v>1001022657073</v>
      </c>
      <c r="D134" s="60" t="s">
        <v>51</v>
      </c>
      <c r="E134" s="60"/>
      <c r="F134" s="58" t="s">
        <v>21</v>
      </c>
      <c r="G134" s="74">
        <v>0.35</v>
      </c>
    </row>
    <row r="135" spans="2:7" ht="21" x14ac:dyDescent="0.25">
      <c r="B135" s="58">
        <v>6724</v>
      </c>
      <c r="C135" s="63">
        <v>1001020836724</v>
      </c>
      <c r="D135" s="60" t="s">
        <v>52</v>
      </c>
      <c r="E135" s="60"/>
      <c r="F135" s="58" t="s">
        <v>21</v>
      </c>
      <c r="G135" s="74">
        <v>0.41</v>
      </c>
    </row>
    <row r="136" spans="2:7" ht="21" x14ac:dyDescent="0.25">
      <c r="B136" s="58">
        <v>5819</v>
      </c>
      <c r="C136" s="63">
        <v>1001022725819</v>
      </c>
      <c r="D136" s="60" t="s">
        <v>39</v>
      </c>
      <c r="E136" s="60"/>
      <c r="F136" s="58" t="s">
        <v>21</v>
      </c>
      <c r="G136" s="74">
        <v>0.4</v>
      </c>
    </row>
    <row r="137" spans="2:7" ht="21" x14ac:dyDescent="0.25">
      <c r="B137" s="58">
        <v>6303</v>
      </c>
      <c r="C137" s="63">
        <v>1001022726303</v>
      </c>
      <c r="D137" s="60" t="s">
        <v>184</v>
      </c>
      <c r="E137" s="60"/>
      <c r="F137" s="58" t="s">
        <v>23</v>
      </c>
      <c r="G137" s="74">
        <v>1</v>
      </c>
    </row>
    <row r="138" spans="2:7" ht="21" x14ac:dyDescent="0.25">
      <c r="B138" s="58">
        <v>7255</v>
      </c>
      <c r="C138" s="63">
        <v>1001025507255</v>
      </c>
      <c r="D138" s="60" t="s">
        <v>38</v>
      </c>
      <c r="E138" s="60"/>
      <c r="F138" s="58" t="s">
        <v>21</v>
      </c>
      <c r="G138" s="74">
        <v>0.4</v>
      </c>
    </row>
    <row r="139" spans="2:7" ht="21" x14ac:dyDescent="0.25">
      <c r="B139" s="58">
        <v>7271</v>
      </c>
      <c r="C139" s="63">
        <v>1001025507271</v>
      </c>
      <c r="D139" s="60" t="s">
        <v>185</v>
      </c>
      <c r="E139" s="60"/>
      <c r="F139" s="58" t="s">
        <v>23</v>
      </c>
      <c r="G139" s="74">
        <v>1</v>
      </c>
    </row>
    <row r="140" spans="2:7" ht="21" x14ac:dyDescent="0.25">
      <c r="B140" s="58">
        <v>6765</v>
      </c>
      <c r="C140" s="63">
        <v>1001023696765</v>
      </c>
      <c r="D140" s="60" t="s">
        <v>41</v>
      </c>
      <c r="E140" s="60"/>
      <c r="F140" s="58" t="s">
        <v>21</v>
      </c>
      <c r="G140" s="74">
        <v>0.36</v>
      </c>
    </row>
    <row r="141" spans="2:7" ht="21" x14ac:dyDescent="0.25">
      <c r="B141" s="58">
        <v>6767</v>
      </c>
      <c r="C141" s="63">
        <v>1001023696767</v>
      </c>
      <c r="D141" s="60" t="s">
        <v>44</v>
      </c>
      <c r="E141" s="60"/>
      <c r="F141" s="58" t="s">
        <v>23</v>
      </c>
      <c r="G141" s="74">
        <v>1</v>
      </c>
    </row>
    <row r="142" spans="2:7" ht="21" x14ac:dyDescent="0.25">
      <c r="B142" s="58">
        <v>6475</v>
      </c>
      <c r="C142" s="63">
        <v>1001025176475</v>
      </c>
      <c r="D142" s="60" t="s">
        <v>46</v>
      </c>
      <c r="E142" s="60"/>
      <c r="F142" s="58" t="s">
        <v>21</v>
      </c>
      <c r="G142" s="74">
        <v>0.4</v>
      </c>
    </row>
    <row r="143" spans="2:7" ht="21" x14ac:dyDescent="0.25">
      <c r="B143" s="58">
        <v>7083</v>
      </c>
      <c r="C143" s="63">
        <v>1001022467083</v>
      </c>
      <c r="D143" s="60" t="s">
        <v>186</v>
      </c>
      <c r="E143" s="60"/>
      <c r="F143" s="58" t="s">
        <v>23</v>
      </c>
      <c r="G143" s="74">
        <v>1</v>
      </c>
    </row>
    <row r="144" spans="2:7" ht="21" x14ac:dyDescent="0.25">
      <c r="B144" s="58">
        <v>7080</v>
      </c>
      <c r="C144" s="63">
        <v>1001022467080</v>
      </c>
      <c r="D144" s="81" t="s">
        <v>54</v>
      </c>
      <c r="E144" s="81"/>
      <c r="F144" s="58" t="s">
        <v>21</v>
      </c>
      <c r="G144" s="74">
        <v>0.41</v>
      </c>
    </row>
    <row r="145" spans="2:7" ht="21" x14ac:dyDescent="0.25">
      <c r="B145" s="58">
        <v>7276</v>
      </c>
      <c r="C145" s="63">
        <v>1001022467276</v>
      </c>
      <c r="D145" s="81" t="s">
        <v>55</v>
      </c>
      <c r="E145" s="81"/>
      <c r="F145" s="58" t="s">
        <v>21</v>
      </c>
      <c r="G145" s="74">
        <v>0.3</v>
      </c>
    </row>
    <row r="146" spans="2:7" ht="21" x14ac:dyDescent="0.25">
      <c r="B146" s="58">
        <v>6762</v>
      </c>
      <c r="C146" s="63">
        <v>1001020846762</v>
      </c>
      <c r="D146" s="60" t="s">
        <v>40</v>
      </c>
      <c r="E146" s="60"/>
      <c r="F146" s="58" t="s">
        <v>21</v>
      </c>
      <c r="G146" s="74">
        <v>0.41</v>
      </c>
    </row>
    <row r="147" spans="2:7" ht="21" x14ac:dyDescent="0.25">
      <c r="B147" s="58">
        <v>6764</v>
      </c>
      <c r="C147" s="63">
        <v>1001020846764</v>
      </c>
      <c r="D147" s="60" t="s">
        <v>49</v>
      </c>
      <c r="E147" s="60"/>
      <c r="F147" s="58" t="s">
        <v>23</v>
      </c>
      <c r="G147" s="74">
        <v>1</v>
      </c>
    </row>
    <row r="148" spans="2:7" ht="21" x14ac:dyDescent="0.25">
      <c r="B148" s="58">
        <v>7066</v>
      </c>
      <c r="C148" s="63">
        <v>1001022377066</v>
      </c>
      <c r="D148" s="60" t="s">
        <v>56</v>
      </c>
      <c r="E148" s="60"/>
      <c r="F148" s="58" t="s">
        <v>21</v>
      </c>
      <c r="G148" s="74">
        <v>0.41</v>
      </c>
    </row>
    <row r="149" spans="2:7" ht="21" x14ac:dyDescent="0.25">
      <c r="B149" s="58">
        <v>7070</v>
      </c>
      <c r="C149" s="63">
        <v>1001022377070</v>
      </c>
      <c r="D149" s="60" t="s">
        <v>45</v>
      </c>
      <c r="E149" s="60"/>
      <c r="F149" s="58" t="s">
        <v>23</v>
      </c>
      <c r="G149" s="74">
        <v>1</v>
      </c>
    </row>
    <row r="150" spans="2:7" ht="21" x14ac:dyDescent="0.25">
      <c r="B150" s="58">
        <v>6713</v>
      </c>
      <c r="C150" s="63">
        <v>1001022246713</v>
      </c>
      <c r="D150" s="60" t="s">
        <v>47</v>
      </c>
      <c r="E150" s="60"/>
      <c r="F150" s="58" t="s">
        <v>21</v>
      </c>
      <c r="G150" s="74">
        <v>0.41</v>
      </c>
    </row>
    <row r="151" spans="2:7" ht="21" x14ac:dyDescent="0.25">
      <c r="B151" s="58">
        <v>6661</v>
      </c>
      <c r="C151" s="63">
        <v>1001022246661</v>
      </c>
      <c r="D151" s="60" t="s">
        <v>187</v>
      </c>
      <c r="E151" s="60"/>
      <c r="F151" s="58" t="s">
        <v>23</v>
      </c>
      <c r="G151" s="74">
        <v>1</v>
      </c>
    </row>
    <row r="152" spans="2:7" ht="21" x14ac:dyDescent="0.25">
      <c r="B152" s="80">
        <v>6254</v>
      </c>
      <c r="C152" s="65">
        <v>1001022556254</v>
      </c>
      <c r="D152" s="66" t="s">
        <v>188</v>
      </c>
      <c r="E152" s="60"/>
      <c r="F152" s="71" t="s">
        <v>23</v>
      </c>
      <c r="G152" s="72">
        <v>1</v>
      </c>
    </row>
    <row r="153" spans="2:7" ht="21" x14ac:dyDescent="0.25">
      <c r="B153" s="58">
        <v>6837</v>
      </c>
      <c r="C153" s="63">
        <v>1001022556837</v>
      </c>
      <c r="D153" s="60" t="s">
        <v>48</v>
      </c>
      <c r="E153" s="60"/>
      <c r="F153" s="58" t="s">
        <v>21</v>
      </c>
      <c r="G153" s="74">
        <v>0.4</v>
      </c>
    </row>
    <row r="154" spans="2:7" ht="21" x14ac:dyDescent="0.25">
      <c r="B154" s="58">
        <v>7385</v>
      </c>
      <c r="C154" s="63">
        <v>1001027067385</v>
      </c>
      <c r="D154" s="81" t="s">
        <v>189</v>
      </c>
      <c r="E154" s="60"/>
      <c r="F154" s="58" t="s">
        <v>21</v>
      </c>
      <c r="G154" s="74">
        <v>0.33</v>
      </c>
    </row>
    <row r="155" spans="2:7" ht="21" x14ac:dyDescent="0.25">
      <c r="B155" s="87">
        <v>7044</v>
      </c>
      <c r="C155" s="88">
        <v>1001025167044</v>
      </c>
      <c r="D155" s="89" t="s">
        <v>190</v>
      </c>
      <c r="E155" s="84"/>
      <c r="F155" s="58" t="s">
        <v>21</v>
      </c>
      <c r="G155" s="90">
        <v>0.32</v>
      </c>
    </row>
    <row r="156" spans="2:7" ht="21" x14ac:dyDescent="0.25">
      <c r="B156" s="87">
        <v>7460</v>
      </c>
      <c r="C156" s="88">
        <v>1001027247460</v>
      </c>
      <c r="D156" s="89" t="s">
        <v>191</v>
      </c>
      <c r="E156" s="84"/>
      <c r="F156" s="58" t="s">
        <v>21</v>
      </c>
      <c r="G156" s="90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27 B19 B21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4 B30 B32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43 B39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58:B59 B44:B45 B55 B50:B51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8 B65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3:B74 B70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91 B83:B84 B86:B87">
    <cfRule type="duplicateValues" dxfId="89" priority="285"/>
    <cfRule type="duplicateValues" dxfId="88" priority="286"/>
    <cfRule type="duplicateValues" dxfId="87" priority="287"/>
  </conditionalFormatting>
  <conditionalFormatting sqref="B91 B87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114:B116 B43:B45 B28:B30 B58:B60 B65:B66 B90 B78:B82 B32:B36 B92:B98 B55 B50:B51 B146:B151 B71:B72 B118 B128:B144 B5:B18 B68:B69 B120:B123 B38:B39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122:B123 B71:B72 B39 B43:B45 B114:B116 B28:B30 B58:B60 B65:B66 B78:B82 B90 B32:B36 B92:B98 B55 B50:B51 B128:B130 B5:B18 B68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8:B130 B123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38:B139 B121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50:B151 B144 B140:B142 B136:B137 B146:B147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2026-07-08T10:30:23Z</dcterms:modified>
</cp:coreProperties>
</file>