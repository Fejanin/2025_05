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B1188D75-3BE8-41D9-90DF-31FBF28B438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7" i="1" l="1"/>
  <c r="A97" i="1"/>
  <c r="G100" i="1" l="1"/>
  <c r="G101" i="1"/>
  <c r="A100" i="1"/>
  <c r="A101" i="1"/>
  <c r="G98" i="1" l="1"/>
  <c r="A98" i="1"/>
  <c r="E132" i="1" l="1"/>
  <c r="G131" i="1" l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99" i="1"/>
  <c r="A99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2" i="1" l="1"/>
</calcChain>
</file>

<file path=xl/sharedStrings.xml><?xml version="1.0" encoding="utf-8"?>
<sst xmlns="http://schemas.openxmlformats.org/spreadsheetml/2006/main" count="258" uniqueCount="147">
  <si>
    <t xml:space="preserve">Грузополучатель: </t>
  </si>
  <si>
    <t>ООО "Логистический партнер"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</si>
  <si>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</si>
  <si>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</si>
  <si>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</si>
  <si>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</si>
  <si>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</si>
  <si>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</si>
  <si>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</si>
  <si>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</si>
  <si>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</si>
  <si>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</si>
  <si>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</si>
  <si>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</si>
  <si>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</si>
  <si>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</si>
  <si>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</si>
  <si>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</si>
  <si>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</si>
  <si>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</si>
  <si>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</si>
  <si>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</si>
  <si>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</si>
  <si>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</si>
  <si>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</si>
  <si>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</si>
  <si>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</si>
  <si>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</si>
  <si>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</si>
  <si>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</si>
  <si>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</si>
  <si>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</si>
  <si>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</si>
  <si>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</si>
  <si>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</si>
  <si>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</si>
  <si>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</si>
  <si>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</si>
  <si>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</si>
  <si>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</si>
  <si>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</si>
  <si>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</si>
  <si>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</si>
  <si>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</si>
  <si>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</si>
  <si>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</si>
  <si>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</si>
  <si>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</si>
  <si>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</si>
  <si>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</si>
  <si>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</si>
  <si>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</si>
  <si>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</si>
  <si>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</si>
  <si>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</si>
  <si>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</si>
  <si>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</si>
  <si>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</si>
  <si>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</si>
  <si>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</si>
  <si>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</si>
  <si>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</si>
  <si>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</si>
  <si>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</si>
  <si>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</si>
  <si>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</si>
  <si>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</si>
  <si>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</si>
  <si>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</si>
  <si>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</si>
  <si>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</si>
  <si>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</si>
  <si>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</si>
  <si>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</si>
  <si>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</si>
  <si>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</si>
  <si>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</si>
  <si>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</si>
  <si>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</si>
  <si>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</si>
  <si>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</si>
  <si>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</si>
  <si>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</si>
  <si>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</si>
  <si>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</si>
  <si>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</si>
  <si>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</si>
  <si>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</si>
  <si>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</si>
  <si>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</si>
  <si>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</si>
  <si>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</si>
  <si>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</si>
  <si>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</si>
  <si>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</si>
  <si>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</si>
  <si>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</si>
  <si>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</si>
  <si>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</si>
  <si>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</si>
  <si>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</si>
  <si>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</si>
  <si>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</si>
  <si>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</si>
  <si>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</si>
  <si>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</si>
  <si>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</si>
  <si>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</si>
  <si>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</si>
  <si>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</si>
  <si>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</si>
  <si>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</si>
  <si>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</si>
  <si>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</si>
  <si>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</si>
  <si>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</si>
  <si>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</si>
  <si>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</si>
  <si>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</si>
  <si>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</si>
  <si>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</si>
  <si>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</si>
  <si>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</si>
  <si>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</si>
  <si>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</si>
  <si>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</si>
  <si>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</si>
  <si>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</si>
  <si>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</si>
  <si>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</si>
  <si>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</si>
  <si>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</si>
  <si>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</si>
  <si>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</si>
  <si>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</si>
  <si>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</si>
  <si>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</si>
  <si>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</si>
  <si>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</si>
  <si>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</si>
  <si>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</si>
  <si>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</si>
  <si>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</si>
  <si>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</si>
  <si>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</si>
  <si>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САЛЯМИ МЕЛКОЗЕРНЕНАЯ с/к в/у 1/120 8шт.</t>
  </si>
  <si>
    <t>БАЛЫК с/к с/н в/у 1/100 10шт.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</si>
</sst>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130438644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45690</v>
      </c>
      <c r="E3" s="7" t="s">
        <v>3</v>
      </c>
      <c r="F3" s="83">
        <f>D3+3</f>
        <v>45693</v>
      </c>
      <c r="G3" s="87" t="s">
        <v>4</v>
      </c>
      <c r="H3" s="85"/>
      <c r="I3" s="85"/>
      <c r="J3" s="86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10</v>
      </c>
      <c r="B9" s="49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2"/>
      <c r="B10" s="47" t="s">
        <v>20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39" si="0">RIGHT(D11,4)</f>
        <v>7149</v>
      </c>
      <c r="B11" s="80" t="s">
        <v>21</v>
      </c>
      <c r="C11" s="73" t="s">
        <v>22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27</v>
      </c>
      <c r="C15" s="73" t="s">
        <v>24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28</v>
      </c>
      <c r="C16" s="73" t="s">
        <v>24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29</v>
      </c>
      <c r="C17" s="73" t="s">
        <v>24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30</v>
      </c>
      <c r="C18" s="73" t="s">
        <v>24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31</v>
      </c>
      <c r="C19" s="73" t="s">
        <v>22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32</v>
      </c>
      <c r="C20" s="54" t="s">
        <v>33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34</v>
      </c>
      <c r="C21" s="73" t="s">
        <v>24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35</v>
      </c>
      <c r="C22" s="73" t="s">
        <v>24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36</v>
      </c>
      <c r="C23" s="54" t="s">
        <v>22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37</v>
      </c>
      <c r="C24" s="73" t="s">
        <v>38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39</v>
      </c>
      <c r="C25" s="73" t="s">
        <v>22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22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40</v>
      </c>
      <c r="C27" s="73" t="s">
        <v>22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41</v>
      </c>
      <c r="C28" s="73" t="s">
        <v>22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42</v>
      </c>
      <c r="C29" s="73" t="s">
        <v>22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43</v>
      </c>
      <c r="C30" s="73" t="s">
        <v>24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44</v>
      </c>
      <c r="C31" s="73" t="s">
        <v>24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45</v>
      </c>
      <c r="C32" s="73" t="s">
        <v>24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46</v>
      </c>
      <c r="C33" s="73" t="s">
        <v>22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47</v>
      </c>
      <c r="C34" s="73" t="s">
        <v>22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 t="str">
        <f t="shared" si="0"/>
        <v>7255</v>
      </c>
      <c r="B36" s="64" t="s">
        <v>141</v>
      </c>
      <c r="C36" s="65" t="s">
        <v>33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49</v>
      </c>
      <c r="C37" s="73" t="s">
        <v>33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50</v>
      </c>
      <c r="C38" s="54" t="s">
        <v>24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51</v>
      </c>
      <c r="C39" s="73" t="s">
        <v>22</v>
      </c>
      <c r="D39" s="74">
        <v>1001022725819</v>
      </c>
      <c r="E39" s="24"/>
      <c r="F39" s="23">
        <v>0.4</v>
      </c>
      <c r="G39" s="23">
        <f t="shared" ref="G39:G43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ref="A40:A68" si="3">RIGHT(D40,4)</f>
        <v>6762</v>
      </c>
      <c r="B40" s="36" t="s">
        <v>53</v>
      </c>
      <c r="C40" s="73" t="s">
        <v>22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3"/>
        <v>6765</v>
      </c>
      <c r="B41" s="36" t="s">
        <v>54</v>
      </c>
      <c r="C41" s="73" t="s">
        <v>22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6759</v>
      </c>
      <c r="B42" s="36" t="s">
        <v>55</v>
      </c>
      <c r="C42" s="73" t="s">
        <v>22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6616</v>
      </c>
      <c r="B43" s="36" t="s">
        <v>56</v>
      </c>
      <c r="C43" s="73" t="s">
        <v>22</v>
      </c>
      <c r="D43" s="74">
        <v>1001024976616</v>
      </c>
      <c r="E43" s="24"/>
      <c r="F43" s="23">
        <v>0.3</v>
      </c>
      <c r="G43" s="23">
        <f t="shared" si="2"/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3"/>
        <v>7082</v>
      </c>
      <c r="B44" s="35" t="s">
        <v>57</v>
      </c>
      <c r="C44" s="73" t="s">
        <v>24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3"/>
        <v>6767</v>
      </c>
      <c r="B45" s="35" t="s">
        <v>58</v>
      </c>
      <c r="C45" s="73" t="s">
        <v>24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3"/>
        <v>7070</v>
      </c>
      <c r="B46" s="35" t="s">
        <v>59</v>
      </c>
      <c r="C46" s="73" t="s">
        <v>24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3"/>
        <v>6661</v>
      </c>
      <c r="B47" s="53" t="s">
        <v>60</v>
      </c>
      <c r="C47" s="54" t="s">
        <v>24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3"/>
        <v>6475</v>
      </c>
      <c r="B48" s="80" t="s">
        <v>61</v>
      </c>
      <c r="C48" s="73" t="s">
        <v>22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3"/>
        <v>6713</v>
      </c>
      <c r="B49" s="57" t="s">
        <v>62</v>
      </c>
      <c r="C49" s="54" t="s">
        <v>22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3"/>
        <v>6837</v>
      </c>
      <c r="B50" s="52" t="s">
        <v>52</v>
      </c>
      <c r="C50" s="73" t="s">
        <v>22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3"/>
        <v>7284</v>
      </c>
      <c r="B51" s="82" t="s">
        <v>63</v>
      </c>
      <c r="C51" s="73" t="s">
        <v>22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64</v>
      </c>
      <c r="C52" s="73" t="s">
        <v>24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65</v>
      </c>
      <c r="C53" s="54" t="s">
        <v>24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66</v>
      </c>
      <c r="C54" s="73" t="s">
        <v>24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67</v>
      </c>
      <c r="C55" s="73" t="s">
        <v>22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68</v>
      </c>
      <c r="C56" s="73" t="s">
        <v>22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69</v>
      </c>
      <c r="C57" s="73" t="s">
        <v>24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70</v>
      </c>
      <c r="C58" s="54" t="s">
        <v>22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71</v>
      </c>
      <c r="C59" s="54" t="s">
        <v>22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72</v>
      </c>
      <c r="C60" s="54" t="s">
        <v>22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73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74</v>
      </c>
      <c r="C62" s="54" t="s">
        <v>38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75</v>
      </c>
      <c r="C63" s="73" t="s">
        <v>38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76</v>
      </c>
      <c r="C64" s="73" t="s">
        <v>24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77</v>
      </c>
      <c r="C65" s="73" t="s">
        <v>24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78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79</v>
      </c>
      <c r="C67" s="73" t="s">
        <v>22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80</v>
      </c>
      <c r="C68" s="73" t="s">
        <v>22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ref="A69:A103" si="5">RIGHT(D69,4)</f>
        <v>7232</v>
      </c>
      <c r="B69" s="51" t="s">
        <v>81</v>
      </c>
      <c r="C69" s="73" t="s">
        <v>22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5"/>
        <v>7332</v>
      </c>
      <c r="B70" s="51" t="s">
        <v>82</v>
      </c>
      <c r="C70" s="73" t="s">
        <v>22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5"/>
        <v>7241</v>
      </c>
      <c r="B71" s="51" t="s">
        <v>83</v>
      </c>
      <c r="C71" s="73" t="s">
        <v>22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5"/>
        <v>7154</v>
      </c>
      <c r="B72" s="51" t="s">
        <v>84</v>
      </c>
      <c r="C72" s="73" t="s">
        <v>22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5"/>
        <v>6787</v>
      </c>
      <c r="B73" s="53" t="s">
        <v>85</v>
      </c>
      <c r="C73" s="54" t="s">
        <v>22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5"/>
        <v>6697</v>
      </c>
      <c r="B74" s="51" t="s">
        <v>86</v>
      </c>
      <c r="C74" s="73" t="s">
        <v>22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5"/>
        <v>7237</v>
      </c>
      <c r="B75" s="51" t="s">
        <v>87</v>
      </c>
      <c r="C75" s="73" t="s">
        <v>22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5"/>
        <v>7236</v>
      </c>
      <c r="B76" s="53" t="s">
        <v>88</v>
      </c>
      <c r="C76" s="54" t="s">
        <v>22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7333</v>
      </c>
      <c r="B77" s="53" t="s">
        <v>89</v>
      </c>
      <c r="C77" s="54" t="s">
        <v>22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5"/>
        <v>7169</v>
      </c>
      <c r="B78" s="58" t="s">
        <v>90</v>
      </c>
      <c r="C78" s="54" t="s">
        <v>33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5"/>
        <v>7166</v>
      </c>
      <c r="B79" s="45" t="s">
        <v>91</v>
      </c>
      <c r="C79" s="73" t="s">
        <v>24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5"/>
        <v>5544</v>
      </c>
      <c r="B80" s="80" t="s">
        <v>92</v>
      </c>
      <c r="C80" s="73" t="s">
        <v>24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5"/>
        <v>7133</v>
      </c>
      <c r="B81" s="80" t="s">
        <v>93</v>
      </c>
      <c r="C81" s="73" t="s">
        <v>24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5"/>
        <v>6791</v>
      </c>
      <c r="B82" s="80" t="s">
        <v>94</v>
      </c>
      <c r="C82" s="73" t="s">
        <v>22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6792</v>
      </c>
      <c r="B83" s="80" t="s">
        <v>95</v>
      </c>
      <c r="C83" s="73" t="s">
        <v>24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96</v>
      </c>
      <c r="C84" s="73" t="s">
        <v>24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97</v>
      </c>
      <c r="C85" s="73" t="s">
        <v>22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98</v>
      </c>
      <c r="C86" s="73" t="s">
        <v>24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99</v>
      </c>
      <c r="C87" s="73" t="s">
        <v>22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100</v>
      </c>
      <c r="C88" s="73" t="s">
        <v>24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101</v>
      </c>
      <c r="C89" s="73" t="s">
        <v>22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102</v>
      </c>
      <c r="C90" s="73" t="s">
        <v>22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103</v>
      </c>
      <c r="C91" s="73" t="s">
        <v>22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104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105</v>
      </c>
      <c r="C93" s="65" t="s">
        <v>22</v>
      </c>
      <c r="D93" s="66">
        <v>1001060755931</v>
      </c>
      <c r="E93" s="24"/>
      <c r="F93" s="67">
        <v>0.22</v>
      </c>
      <c r="G93" s="23">
        <f t="shared" ref="G93:G98" si="6"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106</v>
      </c>
      <c r="C94" s="54" t="s">
        <v>22</v>
      </c>
      <c r="D94" s="55">
        <v>1001203146834</v>
      </c>
      <c r="E94" s="24"/>
      <c r="F94" s="75">
        <v>0.1</v>
      </c>
      <c r="G94" s="23">
        <f t="shared" si="6"/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107</v>
      </c>
      <c r="C95" s="73" t="s">
        <v>22</v>
      </c>
      <c r="D95" s="74">
        <v>1001223297092</v>
      </c>
      <c r="E95" s="24"/>
      <c r="F95" s="23">
        <v>0.14000000000000001</v>
      </c>
      <c r="G95" s="23">
        <f t="shared" si="6"/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108</v>
      </c>
      <c r="C96" s="73" t="s">
        <v>33</v>
      </c>
      <c r="D96" s="74">
        <v>1001201976454</v>
      </c>
      <c r="E96" s="24"/>
      <c r="F96" s="23">
        <v>0.1</v>
      </c>
      <c r="G96" s="23">
        <f t="shared" si="6"/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7288</v>
      </c>
      <c r="B97" s="80" t="s">
        <v>146</v>
      </c>
      <c r="C97" s="73" t="s">
        <v>33</v>
      </c>
      <c r="D97" s="74">
        <v>1001223907288</v>
      </c>
      <c r="E97" s="24"/>
      <c r="F97" s="23">
        <v>0.1</v>
      </c>
      <c r="G97" s="23">
        <f t="shared" si="6"/>
        <v>0</v>
      </c>
      <c r="H97" s="14"/>
      <c r="I97" s="14"/>
      <c r="J97" s="29"/>
    </row>
    <row r="98" spans="1:10" ht="16.5" customHeight="1" x14ac:dyDescent="0.25">
      <c r="A98" s="60" t="str">
        <f t="shared" si="5"/>
        <v>3986</v>
      </c>
      <c r="B98" s="80" t="s">
        <v>142</v>
      </c>
      <c r="C98" s="73" t="s">
        <v>33</v>
      </c>
      <c r="D98" s="74">
        <v>1001061973986</v>
      </c>
      <c r="E98" s="24"/>
      <c r="F98" s="23">
        <v>0.25</v>
      </c>
      <c r="G98" s="23">
        <f t="shared" si="6"/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109</v>
      </c>
      <c r="C99" s="73" t="s">
        <v>24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143</v>
      </c>
      <c r="C100" s="73" t="s">
        <v>24</v>
      </c>
      <c r="D100" s="74">
        <v>1001065616832</v>
      </c>
      <c r="E100" s="24"/>
      <c r="F100" s="23"/>
      <c r="G100" s="23">
        <f t="shared" ref="G100:G101" si="7"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144</v>
      </c>
      <c r="C101" s="73" t="s">
        <v>24</v>
      </c>
      <c r="D101" s="74">
        <v>1001060677299</v>
      </c>
      <c r="E101" s="24"/>
      <c r="F101" s="23"/>
      <c r="G101" s="23">
        <f t="shared" si="7"/>
        <v>0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110</v>
      </c>
      <c r="C102" s="73" t="s">
        <v>33</v>
      </c>
      <c r="D102" s="74">
        <v>1001060764993</v>
      </c>
      <c r="E102" s="24"/>
      <c r="F102" s="23">
        <v>0.25</v>
      </c>
      <c r="G102" s="23">
        <f t="shared" ref="G102:G111" si="8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111</v>
      </c>
      <c r="C103" s="73" t="s">
        <v>33</v>
      </c>
      <c r="D103" s="74">
        <v>1001063656967</v>
      </c>
      <c r="E103" s="24"/>
      <c r="F103" s="23">
        <v>0.25</v>
      </c>
      <c r="G103" s="23">
        <f t="shared" si="8"/>
        <v>0</v>
      </c>
      <c r="H103" s="14"/>
      <c r="I103" s="14"/>
      <c r="J103" s="29"/>
    </row>
    <row r="104" spans="1:10" ht="16.5" customHeight="1" x14ac:dyDescent="0.25">
      <c r="A104" s="60" t="str">
        <f t="shared" ref="A104:A131" si="9">RIGHT(D104,4)</f>
        <v>7382</v>
      </c>
      <c r="B104" s="80" t="s">
        <v>145</v>
      </c>
      <c r="C104" s="73" t="s">
        <v>22</v>
      </c>
      <c r="D104" s="74">
        <v>1001203117382</v>
      </c>
      <c r="E104" s="24"/>
      <c r="F104" s="23">
        <v>0.12</v>
      </c>
      <c r="G104" s="23">
        <f t="shared" si="8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9"/>
        <v>7147</v>
      </c>
      <c r="B105" s="80" t="s">
        <v>112</v>
      </c>
      <c r="C105" s="73" t="s">
        <v>22</v>
      </c>
      <c r="D105" s="74">
        <v>1001063237147</v>
      </c>
      <c r="E105" s="24"/>
      <c r="F105" s="23">
        <v>0.22</v>
      </c>
      <c r="G105" s="23">
        <f t="shared" si="8"/>
        <v>0</v>
      </c>
      <c r="H105" s="14"/>
      <c r="I105" s="14"/>
      <c r="J105" s="29"/>
    </row>
    <row r="106" spans="1:10" ht="16.5" customHeight="1" x14ac:dyDescent="0.25">
      <c r="A106" s="60" t="str">
        <f t="shared" si="9"/>
        <v>7229</v>
      </c>
      <c r="B106" s="80" t="s">
        <v>113</v>
      </c>
      <c r="C106" s="73" t="s">
        <v>22</v>
      </c>
      <c r="D106" s="74">
        <v>1001063237229</v>
      </c>
      <c r="E106" s="24"/>
      <c r="F106" s="23">
        <v>0.18</v>
      </c>
      <c r="G106" s="23">
        <f t="shared" si="8"/>
        <v>0</v>
      </c>
      <c r="H106" s="14"/>
      <c r="I106" s="14"/>
      <c r="J106" s="29"/>
    </row>
    <row r="107" spans="1:10" ht="16.5" customHeight="1" x14ac:dyDescent="0.25">
      <c r="A107" s="60" t="str">
        <f t="shared" si="9"/>
        <v>7150</v>
      </c>
      <c r="B107" s="80" t="s">
        <v>114</v>
      </c>
      <c r="C107" s="73" t="s">
        <v>24</v>
      </c>
      <c r="D107" s="74">
        <v>1001063237150</v>
      </c>
      <c r="E107" s="24"/>
      <c r="F107" s="23">
        <v>1</v>
      </c>
      <c r="G107" s="23">
        <f t="shared" si="8"/>
        <v>0</v>
      </c>
      <c r="H107" s="14"/>
      <c r="I107" s="14"/>
      <c r="J107" s="29"/>
    </row>
    <row r="108" spans="1:10" ht="16.5" customHeight="1" x14ac:dyDescent="0.25">
      <c r="A108" s="60" t="str">
        <f t="shared" si="9"/>
        <v>7227</v>
      </c>
      <c r="B108" s="80" t="s">
        <v>115</v>
      </c>
      <c r="C108" s="73" t="s">
        <v>22</v>
      </c>
      <c r="D108" s="74">
        <v>1001063097227</v>
      </c>
      <c r="E108" s="24"/>
      <c r="F108" s="23">
        <v>0.18</v>
      </c>
      <c r="G108" s="23">
        <f t="shared" si="8"/>
        <v>0</v>
      </c>
      <c r="H108" s="14"/>
      <c r="I108" s="14"/>
      <c r="J108" s="29"/>
    </row>
    <row r="109" spans="1:10" ht="16.5" customHeight="1" x14ac:dyDescent="0.25">
      <c r="A109" s="60" t="str">
        <f t="shared" si="9"/>
        <v>7225</v>
      </c>
      <c r="B109" s="80" t="s">
        <v>116</v>
      </c>
      <c r="C109" s="73" t="s">
        <v>22</v>
      </c>
      <c r="D109" s="74">
        <v>1001066537225</v>
      </c>
      <c r="E109" s="24"/>
      <c r="F109" s="23">
        <v>0.18</v>
      </c>
      <c r="G109" s="23">
        <f t="shared" si="8"/>
        <v>0</v>
      </c>
      <c r="H109" s="14"/>
      <c r="I109" s="14"/>
      <c r="J109" s="29"/>
    </row>
    <row r="110" spans="1:10" ht="16.5" customHeight="1" x14ac:dyDescent="0.25">
      <c r="A110" s="60" t="str">
        <f t="shared" si="9"/>
        <v>7228</v>
      </c>
      <c r="B110" s="80" t="s">
        <v>117</v>
      </c>
      <c r="C110" s="73" t="s">
        <v>22</v>
      </c>
      <c r="D110" s="74">
        <v>1001066547228</v>
      </c>
      <c r="E110" s="24"/>
      <c r="F110" s="23">
        <v>0.18</v>
      </c>
      <c r="G110" s="23">
        <f t="shared" si="8"/>
        <v>0</v>
      </c>
      <c r="H110" s="14"/>
      <c r="I110" s="14"/>
      <c r="J110" s="29"/>
    </row>
    <row r="111" spans="1:10" ht="16.5" customHeight="1" x14ac:dyDescent="0.25">
      <c r="A111" s="60" t="str">
        <f t="shared" si="9"/>
        <v>6221</v>
      </c>
      <c r="B111" s="80" t="s">
        <v>118</v>
      </c>
      <c r="C111" s="73" t="s">
        <v>22</v>
      </c>
      <c r="D111" s="74">
        <v>1001205376221</v>
      </c>
      <c r="E111" s="24"/>
      <c r="F111" s="23">
        <v>0.09</v>
      </c>
      <c r="G111" s="23">
        <f t="shared" si="8"/>
        <v>0</v>
      </c>
      <c r="H111" s="14"/>
      <c r="I111" s="14"/>
      <c r="J111" s="29"/>
    </row>
    <row r="112" spans="1:10" ht="16.5" customHeight="1" x14ac:dyDescent="0.25">
      <c r="A112" s="60" t="str">
        <f t="shared" si="9"/>
        <v>4117</v>
      </c>
      <c r="B112" s="80" t="s">
        <v>119</v>
      </c>
      <c r="C112" s="73" t="s">
        <v>24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9"/>
        <v>5483</v>
      </c>
      <c r="B113" s="80" t="s">
        <v>120</v>
      </c>
      <c r="C113" s="73" t="s">
        <v>22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9"/>
        <v>6453</v>
      </c>
      <c r="B114" s="80" t="s">
        <v>121</v>
      </c>
      <c r="C114" s="73" t="s">
        <v>33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9"/>
        <v>6228</v>
      </c>
      <c r="B115" s="80" t="s">
        <v>122</v>
      </c>
      <c r="C115" s="73" t="s">
        <v>33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9"/>
        <v>3287</v>
      </c>
      <c r="B116" s="80" t="s">
        <v>123</v>
      </c>
      <c r="C116" s="73" t="s">
        <v>24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9"/>
        <v/>
      </c>
      <c r="B117" s="47" t="s">
        <v>124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9"/>
        <v>6866</v>
      </c>
      <c r="B118" s="77" t="s">
        <v>125</v>
      </c>
      <c r="C118" s="73" t="s">
        <v>38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9"/>
        <v>3215</v>
      </c>
      <c r="B119" s="80" t="s">
        <v>126</v>
      </c>
      <c r="C119" s="73" t="s">
        <v>33</v>
      </c>
      <c r="D119" s="42">
        <v>1001094053215</v>
      </c>
      <c r="E119" s="24"/>
      <c r="F119" s="23">
        <v>0.4</v>
      </c>
      <c r="G119" s="23">
        <f>E119*F119</f>
        <v>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9"/>
        <v>5452</v>
      </c>
      <c r="B120" s="51" t="s">
        <v>127</v>
      </c>
      <c r="C120" s="73" t="s">
        <v>24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9"/>
        <v>5495</v>
      </c>
      <c r="B121" s="51" t="s">
        <v>128</v>
      </c>
      <c r="C121" s="73" t="s">
        <v>22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9"/>
        <v>6495</v>
      </c>
      <c r="B122" s="51" t="s">
        <v>129</v>
      </c>
      <c r="C122" s="73" t="s">
        <v>22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9"/>
        <v/>
      </c>
      <c r="B123" s="47" t="s">
        <v>130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9"/>
        <v>6448</v>
      </c>
      <c r="B124" s="37" t="s">
        <v>131</v>
      </c>
      <c r="C124" s="73" t="s">
        <v>33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9"/>
        <v>6620</v>
      </c>
      <c r="B125" s="37" t="s">
        <v>132</v>
      </c>
      <c r="C125" s="73" t="s">
        <v>24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9"/>
        <v>6279</v>
      </c>
      <c r="B126" s="37" t="s">
        <v>133</v>
      </c>
      <c r="C126" s="73" t="s">
        <v>22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9"/>
        <v>6208</v>
      </c>
      <c r="B127" s="37" t="s">
        <v>134</v>
      </c>
      <c r="C127" s="73" t="s">
        <v>22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9"/>
        <v>7090</v>
      </c>
      <c r="B128" s="37" t="s">
        <v>135</v>
      </c>
      <c r="C128" s="73" t="s">
        <v>33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9"/>
        <v>7187</v>
      </c>
      <c r="B129" s="37" t="s">
        <v>136</v>
      </c>
      <c r="C129" s="73" t="s">
        <v>33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9"/>
        <v>7103</v>
      </c>
      <c r="B130" s="59" t="s">
        <v>137</v>
      </c>
      <c r="C130" s="54" t="s">
        <v>33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9"/>
        <v>6872</v>
      </c>
      <c r="B131" s="37" t="s">
        <v>138</v>
      </c>
      <c r="C131" s="73" t="s">
        <v>24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139</v>
      </c>
      <c r="C132" s="16"/>
      <c r="D132" s="38"/>
      <c r="E132" s="17">
        <f>SUM(E10:E131)</f>
        <v>0</v>
      </c>
      <c r="F132" s="17"/>
      <c r="G132" s="17">
        <f>SUM(G11:G131)</f>
        <v>0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2026-01-28T11:09:08Z</dcterms:modified>
</cp:coreProperties>
</file>