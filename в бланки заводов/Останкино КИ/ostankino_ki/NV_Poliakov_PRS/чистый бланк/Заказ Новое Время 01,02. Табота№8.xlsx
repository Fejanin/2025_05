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BB838741-FF77-48C6-9575-CCF5CA2B0C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Бланк!$A$9:$K$145</definedName>
    <definedName name="кол_во_инд.__упак_к">Бланк!$AC$3:$AC$581</definedName>
    <definedName name="номин.вес_нетто__кг">Бланк!$W$3:$W$581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7" i="1" l="1"/>
  <c r="A117" i="1"/>
  <c r="G99" i="1" l="1"/>
  <c r="A99" i="1"/>
  <c r="G98" i="1"/>
  <c r="A98" i="1"/>
  <c r="G53" i="1"/>
  <c r="G52" i="1"/>
  <c r="A53" i="1"/>
  <c r="A52" i="1"/>
  <c r="E145" i="1" l="1"/>
  <c r="G144" i="1"/>
  <c r="A144" i="1"/>
  <c r="G143" i="1"/>
  <c r="A143" i="1"/>
  <c r="G142" i="1"/>
  <c r="A142" i="1"/>
  <c r="G141" i="1"/>
  <c r="A141" i="1"/>
  <c r="G140" i="1"/>
  <c r="A140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5" i="1" l="1"/>
</calcChain>
</file>

<file path=xl/sharedStrings.xml><?xml version="1.0" encoding="utf-8"?>
<sst xmlns="http://schemas.openxmlformats.org/spreadsheetml/2006/main" count="283" uniqueCount="159">
  <si>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</si>
  <si>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</si>
  <si>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</si>
  <si>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</si>
  <si>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</si>
  <si>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</si>
  <si>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</si>
  <si>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</si>
  <si>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</si>
  <si>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</si>
  <si>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</si>
  <si>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</si>
  <si>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</si>
  <si>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</si>
  <si>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</si>
  <si>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</si>
  <si>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</si>
  <si>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</si>
  <si>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</si>
  <si>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</si>
  <si>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</si>
  <si>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</si>
  <si>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</si>
  <si>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</si>
  <si>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</si>
  <si>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</si>
  <si>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</si>
  <si>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</si>
  <si>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</si>
  <si>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</si>
  <si>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</si>
  <si>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</si>
  <si>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</si>
  <si>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</si>
  <si>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</si>
  <si>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</si>
  <si>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</si>
  <si>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</si>
  <si>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</si>
  <si>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</si>
  <si>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</si>
  <si>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</si>
  <si>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</si>
  <si>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</si>
  <si>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</si>
  <si>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</si>
  <si>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</si>
  <si>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</si>
  <si>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</si>
  <si>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</si>
  <si>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</si>
  <si>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</si>
  <si>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</si>
  <si>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</si>
  <si>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</si>
  <si>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</si>
  <si>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</si>
  <si>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</si>
  <si>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</si>
  <si>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</si>
  <si>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</si>
  <si>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</si>
  <si>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</si>
  <si>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</si>
  <si>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</si>
  <si>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</si>
  <si>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</si>
  <si>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</si>
  <si>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</si>
  <si>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</si>
  <si>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</si>
  <si>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</si>
  <si>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</si>
  <si>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</si>
  <si>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</si>
  <si>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</si>
  <si>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</si>
  <si>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</si>
  <si>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</si>
  <si>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</si>
  <si>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</si>
  <si>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</si>
  <si>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</si>
  <si>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</si>
  <si>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</si>
  <si>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</si>
  <si>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</si>
  <si>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</si>
  <si>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</si>
  <si>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</si>
  <si>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</si>
  <si>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</si>
  <si>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</si>
  <si>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</si>
  <si>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</si>
  <si>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</si>
  <si>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</si>
  <si>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</si>
  <si>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</si>
  <si>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</si>
  <si>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</si>
  <si>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</si>
  <si>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</si>
  <si>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</si>
  <si>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</si>
  <si>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</si>
  <si>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</si>
  <si>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</si>
  <si>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</si>
  <si>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</si>
  <si>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</si>
  <si>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</si>
  <si>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</si>
  <si>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</si>
  <si>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</si>
  <si>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</si>
  <si>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</si>
  <si>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</si>
  <si>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</si>
  <si>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</si>
  <si>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</si>
  <si>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</si>
  <si>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</si>
  <si>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</si>
  <si>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</si>
  <si>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</si>
  <si>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</si>
  <si>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</si>
  <si>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</si>
  <si>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</si>
  <si>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</si>
  <si>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</si>
  <si>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</si>
  <si>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</si>
  <si>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</si>
  <si>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</si>
  <si>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</si>
  <si>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</si>
  <si>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</si>
  <si>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</si>
  <si>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</si>
  <si>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</si>
  <si>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</si>
  <si>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</si>
  <si>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</si>
  <si>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</si>
  <si>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</si>
  <si>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</si>
  <si>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</si>
  <si>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</si>
  <si>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</si>
  <si>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</si>
  <si>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</si>
  <si>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ДЛЯ ДЕТЕЙ сос п/о мгс 0.33кг 6шт.</t>
  </si>
  <si>
    <t>МОЛОЧНЫЕ КЛАССИЧЕСКИЕ сос п/о в/у 0.3кг</t>
  </si>
  <si>
    <t>МОЛОЧ.ПРЕМИУМ ПМ сос п/о мгс 0.6кг_50с</t>
  </si>
  <si>
    <t>СЕРВЕЛАТ ШВЕЙЦАРСК. в/к с/н в/у 1/100*10</t>
  </si>
  <si>
    <t>САН-РЕМО с/в с/н мгс 1/90 12шт.</t>
  </si>
  <si>
    <t>АРОМАТНАЯ Папа может с/к в/у 1/250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</si>
</sst>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46054</v>
      </c>
      <c r="E3" s="7" t="s">
        <v>3</v>
      </c>
      <c r="F3" s="82">
        <f>D3+3</f>
        <v>46057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7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80" t="s">
        <v>46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6303</v>
      </c>
      <c r="B35" s="55" t="s">
        <v>47</v>
      </c>
      <c r="C35" s="53" t="s">
        <v>23</v>
      </c>
      <c r="D35" s="54">
        <v>1001022726303</v>
      </c>
      <c r="E35" s="24"/>
      <c r="F35" s="23">
        <v>1.05</v>
      </c>
      <c r="G35" s="23">
        <f>E35</f>
        <v>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0"/>
        <v>5819</v>
      </c>
      <c r="B36" s="36" t="s">
        <v>48</v>
      </c>
      <c r="C36" s="73" t="s">
        <v>21</v>
      </c>
      <c r="D36" s="74">
        <v>1001022725819</v>
      </c>
      <c r="E36" s="24"/>
      <c r="F36" s="23">
        <v>0.4</v>
      </c>
      <c r="G36" s="23">
        <f t="shared" ref="G36:G39" si="2"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6762</v>
      </c>
      <c r="B37" s="36" t="s">
        <v>49</v>
      </c>
      <c r="C37" s="73" t="s">
        <v>21</v>
      </c>
      <c r="D37" s="74">
        <v>1001020846762</v>
      </c>
      <c r="E37" s="24"/>
      <c r="F37" s="23">
        <v>0.41</v>
      </c>
      <c r="G37" s="23">
        <f t="shared" si="2"/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ref="A38:A71" si="3">RIGHT(D38,4)</f>
        <v>6765</v>
      </c>
      <c r="B38" s="36" t="s">
        <v>50</v>
      </c>
      <c r="C38" s="73" t="s">
        <v>21</v>
      </c>
      <c r="D38" s="74">
        <v>1001023696765</v>
      </c>
      <c r="E38" s="24"/>
      <c r="F38" s="23">
        <v>0.36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3"/>
        <v>6759</v>
      </c>
      <c r="B39" s="36" t="s">
        <v>51</v>
      </c>
      <c r="C39" s="73" t="s">
        <v>21</v>
      </c>
      <c r="D39" s="74">
        <v>1001020836759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3"/>
        <v>7082</v>
      </c>
      <c r="B40" s="35" t="s">
        <v>52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3"/>
        <v>6767</v>
      </c>
      <c r="B41" s="35" t="s">
        <v>53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3"/>
        <v>7070</v>
      </c>
      <c r="B42" s="35" t="s">
        <v>54</v>
      </c>
      <c r="C42" s="73" t="s">
        <v>23</v>
      </c>
      <c r="D42" s="74">
        <v>1001022377070</v>
      </c>
      <c r="E42" s="24"/>
      <c r="F42" s="23"/>
      <c r="G42" s="23">
        <f>E42</f>
        <v>0</v>
      </c>
      <c r="H42" s="14"/>
      <c r="I42" s="14"/>
      <c r="J42" s="29"/>
    </row>
    <row r="43" spans="1:11" s="15" customFormat="1" ht="16.5" customHeight="1" x14ac:dyDescent="0.25">
      <c r="A43" s="59" t="str">
        <f t="shared" si="3"/>
        <v>6661</v>
      </c>
      <c r="B43" s="52" t="s">
        <v>55</v>
      </c>
      <c r="C43" s="53" t="s">
        <v>23</v>
      </c>
      <c r="D43" s="54">
        <v>1001022246661</v>
      </c>
      <c r="E43" s="24"/>
      <c r="F43" s="23">
        <v>1</v>
      </c>
      <c r="G43" s="23">
        <f>E43</f>
        <v>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3"/>
        <v>6475</v>
      </c>
      <c r="B44" s="80" t="s">
        <v>56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3"/>
        <v>6713</v>
      </c>
      <c r="B45" s="56" t="s">
        <v>57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3"/>
        <v>6069</v>
      </c>
      <c r="B46" s="51" t="s">
        <v>58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153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si="3"/>
        <v>6764</v>
      </c>
      <c r="B48" s="51" t="s">
        <v>59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60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61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62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6616</v>
      </c>
      <c r="B52" s="72" t="s">
        <v>154</v>
      </c>
      <c r="C52" s="73" t="s">
        <v>21</v>
      </c>
      <c r="D52" s="74">
        <v>1001024976616</v>
      </c>
      <c r="E52" s="24"/>
      <c r="F52" s="23">
        <v>0.3</v>
      </c>
      <c r="G52" s="23">
        <f>E52*F52</f>
        <v>0</v>
      </c>
      <c r="H52" s="14"/>
      <c r="I52" s="14"/>
      <c r="J52" s="29"/>
    </row>
    <row r="53" spans="1:10" ht="16.5" customHeight="1" x14ac:dyDescent="0.25">
      <c r="A53" s="59" t="str">
        <f t="shared" si="3"/>
        <v>7074</v>
      </c>
      <c r="B53" s="72" t="s">
        <v>155</v>
      </c>
      <c r="C53" s="73" t="s">
        <v>21</v>
      </c>
      <c r="D53" s="74">
        <v>1001022657074</v>
      </c>
      <c r="E53" s="24"/>
      <c r="F53" s="23">
        <v>0.6</v>
      </c>
      <c r="G53" s="23">
        <f>E53*F53</f>
        <v>0</v>
      </c>
      <c r="H53" s="14"/>
      <c r="I53" s="14"/>
      <c r="J53" s="29"/>
    </row>
    <row r="54" spans="1:10" ht="16.5" customHeight="1" x14ac:dyDescent="0.25">
      <c r="A54" s="59" t="str">
        <f t="shared" si="3"/>
        <v>6761</v>
      </c>
      <c r="B54" s="51" t="s">
        <v>63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customHeight="1" x14ac:dyDescent="0.25">
      <c r="A55" s="59" t="str">
        <f t="shared" si="3"/>
        <v>7080</v>
      </c>
      <c r="B55" s="56" t="s">
        <v>64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customHeight="1" thickBot="1" x14ac:dyDescent="0.3">
      <c r="A56" s="59" t="str">
        <f t="shared" si="3"/>
        <v>7066</v>
      </c>
      <c r="B56" s="56" t="s">
        <v>65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customHeight="1" thickTop="1" thickBot="1" x14ac:dyDescent="0.3">
      <c r="A57" s="59" t="str">
        <f t="shared" si="3"/>
        <v/>
      </c>
      <c r="B57" s="46" t="s">
        <v>66</v>
      </c>
      <c r="C57" s="46"/>
      <c r="D57" s="46"/>
      <c r="E57" s="46"/>
      <c r="F57" s="46"/>
      <c r="G57" s="23"/>
      <c r="H57" s="46"/>
      <c r="I57" s="46"/>
      <c r="J57" s="47"/>
    </row>
    <row r="58" spans="1:10" ht="16.5" customHeight="1" thickTop="1" x14ac:dyDescent="0.25">
      <c r="A58" s="59" t="str">
        <f t="shared" si="3"/>
        <v>7001</v>
      </c>
      <c r="B58" s="81" t="s">
        <v>67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customHeight="1" x14ac:dyDescent="0.25">
      <c r="A59" s="59" t="str">
        <f t="shared" si="3"/>
        <v>6527</v>
      </c>
      <c r="B59" s="72" t="s">
        <v>68</v>
      </c>
      <c r="C59" s="73" t="s">
        <v>38</v>
      </c>
      <c r="D59" s="74">
        <v>1001031076527</v>
      </c>
      <c r="E59" s="24"/>
      <c r="F59" s="23">
        <v>1</v>
      </c>
      <c r="G59" s="23">
        <f>E59</f>
        <v>0</v>
      </c>
      <c r="H59" s="14">
        <v>3</v>
      </c>
      <c r="I59" s="14">
        <v>45</v>
      </c>
      <c r="J59" s="29"/>
    </row>
    <row r="60" spans="1:10" ht="16.5" customHeight="1" x14ac:dyDescent="0.25">
      <c r="A60" s="59" t="str">
        <f t="shared" si="3"/>
        <v>6550</v>
      </c>
      <c r="B60" s="51" t="s">
        <v>69</v>
      </c>
      <c r="C60" s="73" t="s">
        <v>23</v>
      </c>
      <c r="D60" s="74">
        <v>1001032736550</v>
      </c>
      <c r="E60" s="24"/>
      <c r="F60" s="23">
        <v>1</v>
      </c>
      <c r="G60" s="23">
        <f>E60</f>
        <v>0</v>
      </c>
      <c r="H60" s="14"/>
      <c r="I60" s="14"/>
      <c r="J60" s="29"/>
    </row>
    <row r="61" spans="1:10" ht="16.5" customHeight="1" thickBot="1" x14ac:dyDescent="0.3">
      <c r="A61" s="59" t="str">
        <f t="shared" si="3"/>
        <v>6608</v>
      </c>
      <c r="B61" s="51" t="s">
        <v>70</v>
      </c>
      <c r="C61" s="73" t="s">
        <v>23</v>
      </c>
      <c r="D61" s="74">
        <v>1001033856608</v>
      </c>
      <c r="E61" s="24"/>
      <c r="F61" s="23">
        <v>0.99</v>
      </c>
      <c r="G61" s="23">
        <f>E61</f>
        <v>0</v>
      </c>
      <c r="H61" s="14">
        <v>2.97</v>
      </c>
      <c r="I61" s="14">
        <v>45</v>
      </c>
      <c r="J61" s="29"/>
    </row>
    <row r="62" spans="1:10" ht="16.5" customHeight="1" thickTop="1" thickBot="1" x14ac:dyDescent="0.3">
      <c r="A62" s="59" t="str">
        <f t="shared" si="3"/>
        <v/>
      </c>
      <c r="B62" s="46" t="s">
        <v>71</v>
      </c>
      <c r="C62" s="46"/>
      <c r="D62" s="46"/>
      <c r="E62" s="46"/>
      <c r="F62" s="46"/>
      <c r="G62" s="46"/>
      <c r="H62" s="46"/>
      <c r="I62" s="46"/>
      <c r="J62" s="47"/>
    </row>
    <row r="63" spans="1:10" ht="16.5" customHeight="1" thickTop="1" x14ac:dyDescent="0.25">
      <c r="A63" s="59" t="str">
        <f t="shared" si="3"/>
        <v>6586</v>
      </c>
      <c r="B63" s="80" t="s">
        <v>72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7144</v>
      </c>
      <c r="B64" s="80" t="s">
        <v>73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7146</v>
      </c>
      <c r="B65" s="80" t="s">
        <v>74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75</v>
      </c>
      <c r="C66" s="73" t="s">
        <v>23</v>
      </c>
      <c r="D66" s="74">
        <v>1001303637149</v>
      </c>
      <c r="E66" s="24"/>
      <c r="F66" s="23"/>
      <c r="G66" s="23">
        <f>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7131</v>
      </c>
      <c r="B67" s="80" t="s">
        <v>76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7233</v>
      </c>
      <c r="B68" s="80" t="s">
        <v>77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6666</v>
      </c>
      <c r="B69" s="50" t="s">
        <v>78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customHeight="1" x14ac:dyDescent="0.25">
      <c r="A70" s="59" t="str">
        <f t="shared" si="3"/>
        <v>7173</v>
      </c>
      <c r="B70" s="80" t="s">
        <v>79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80</v>
      </c>
      <c r="C71" s="73" t="s">
        <v>21</v>
      </c>
      <c r="D71" s="74">
        <v>1001302277232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59" t="str">
        <f t="shared" ref="A72:A105" si="5">RIGHT(D72,4)</f>
        <v>6773</v>
      </c>
      <c r="B72" s="50" t="s">
        <v>81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5"/>
        <v>7241</v>
      </c>
      <c r="B73" s="50" t="s">
        <v>82</v>
      </c>
      <c r="C73" s="73" t="s">
        <v>21</v>
      </c>
      <c r="D73" s="74">
        <v>1001303107241</v>
      </c>
      <c r="E73" s="24"/>
      <c r="F73" s="23">
        <v>0.28000000000000003</v>
      </c>
      <c r="G73" s="23">
        <f t="shared" si="4"/>
        <v>0</v>
      </c>
      <c r="H73" s="14"/>
      <c r="I73" s="14"/>
      <c r="J73" s="29"/>
    </row>
    <row r="74" spans="1:10" ht="16.5" customHeight="1" x14ac:dyDescent="0.25">
      <c r="A74" s="59" t="str">
        <f t="shared" si="5"/>
        <v>6683</v>
      </c>
      <c r="B74" s="50" t="s">
        <v>83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customHeight="1" x14ac:dyDescent="0.25">
      <c r="A75" s="59" t="str">
        <f t="shared" si="5"/>
        <v>5489</v>
      </c>
      <c r="B75" s="80" t="s">
        <v>84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customHeight="1" x14ac:dyDescent="0.25">
      <c r="A76" s="59" t="str">
        <f t="shared" si="5"/>
        <v>6787</v>
      </c>
      <c r="B76" s="52" t="s">
        <v>85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6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5"/>
        <v>6697</v>
      </c>
      <c r="B77" s="50" t="s">
        <v>86</v>
      </c>
      <c r="C77" s="73" t="s">
        <v>21</v>
      </c>
      <c r="D77" s="74">
        <v>1001301876697</v>
      </c>
      <c r="E77" s="24"/>
      <c r="F77" s="23">
        <v>0.35</v>
      </c>
      <c r="G77" s="23">
        <f t="shared" si="6"/>
        <v>0</v>
      </c>
      <c r="H77" s="14">
        <v>2.8</v>
      </c>
      <c r="I77" s="14">
        <v>45</v>
      </c>
      <c r="J77" s="29"/>
    </row>
    <row r="78" spans="1:10" ht="16.5" customHeight="1" x14ac:dyDescent="0.25">
      <c r="A78" s="59" t="str">
        <f t="shared" si="5"/>
        <v>6701</v>
      </c>
      <c r="B78" s="50" t="s">
        <v>87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6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5"/>
        <v>7237</v>
      </c>
      <c r="B79" s="50" t="s">
        <v>88</v>
      </c>
      <c r="C79" s="73" t="s">
        <v>21</v>
      </c>
      <c r="D79" s="74">
        <v>1001304497237</v>
      </c>
      <c r="E79" s="24"/>
      <c r="F79" s="23">
        <v>0.28000000000000003</v>
      </c>
      <c r="G79" s="23">
        <f t="shared" si="6"/>
        <v>0</v>
      </c>
      <c r="H79" s="14"/>
      <c r="I79" s="14"/>
      <c r="J79" s="29"/>
    </row>
    <row r="80" spans="1:10" ht="16.5" customHeight="1" x14ac:dyDescent="0.25">
      <c r="A80" s="59" t="str">
        <f t="shared" si="5"/>
        <v>6684</v>
      </c>
      <c r="B80" s="52" t="s">
        <v>89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5"/>
        <v>6689</v>
      </c>
      <c r="B81" s="57" t="s">
        <v>90</v>
      </c>
      <c r="C81" s="53" t="s">
        <v>33</v>
      </c>
      <c r="D81" s="54">
        <v>1001303986689</v>
      </c>
      <c r="E81" s="24"/>
      <c r="F81" s="23">
        <v>0.35</v>
      </c>
      <c r="G81" s="23">
        <f t="shared" si="6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5"/>
        <v>7157</v>
      </c>
      <c r="B82" s="80" t="s">
        <v>91</v>
      </c>
      <c r="C82" s="73" t="s">
        <v>23</v>
      </c>
      <c r="D82" s="74">
        <v>1001300387157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5"/>
        <v>7166</v>
      </c>
      <c r="B83" s="80" t="s">
        <v>92</v>
      </c>
      <c r="C83" s="73" t="s">
        <v>23</v>
      </c>
      <c r="D83" s="74">
        <v>1001303987166</v>
      </c>
      <c r="E83" s="24"/>
      <c r="F83" s="23"/>
      <c r="G83" s="23">
        <f>E83</f>
        <v>0</v>
      </c>
      <c r="H83" s="14"/>
      <c r="I83" s="14"/>
      <c r="J83" s="29"/>
    </row>
    <row r="84" spans="1:10" ht="16.5" customHeight="1" x14ac:dyDescent="0.25">
      <c r="A84" s="59" t="str">
        <f t="shared" si="5"/>
        <v>7154</v>
      </c>
      <c r="B84" s="80" t="s">
        <v>93</v>
      </c>
      <c r="C84" s="73" t="s">
        <v>21</v>
      </c>
      <c r="D84" s="74">
        <v>1001300387154</v>
      </c>
      <c r="E84" s="24"/>
      <c r="F84" s="23">
        <v>0.35</v>
      </c>
      <c r="G84" s="23">
        <f>E84*F84</f>
        <v>0</v>
      </c>
      <c r="H84" s="14"/>
      <c r="I84" s="14"/>
      <c r="J84" s="29"/>
    </row>
    <row r="85" spans="1:10" ht="16.5" customHeight="1" x14ac:dyDescent="0.25">
      <c r="A85" s="59" t="str">
        <f t="shared" si="5"/>
        <v>7169</v>
      </c>
      <c r="B85" s="80" t="s">
        <v>94</v>
      </c>
      <c r="C85" s="73" t="s">
        <v>21</v>
      </c>
      <c r="D85" s="74">
        <v>1001303987169</v>
      </c>
      <c r="E85" s="24"/>
      <c r="F85" s="23">
        <v>0.35</v>
      </c>
      <c r="G85" s="23">
        <f>E85*F85</f>
        <v>0</v>
      </c>
      <c r="H85" s="14"/>
      <c r="I85" s="14"/>
      <c r="J85" s="29"/>
    </row>
    <row r="86" spans="1:10" ht="16.5" customHeight="1" x14ac:dyDescent="0.25">
      <c r="A86" s="59" t="str">
        <f t="shared" si="5"/>
        <v>5341</v>
      </c>
      <c r="B86" s="80" t="s">
        <v>95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5"/>
        <v>5544</v>
      </c>
      <c r="B87" s="80" t="s">
        <v>96</v>
      </c>
      <c r="C87" s="73" t="s">
        <v>23</v>
      </c>
      <c r="D87" s="74">
        <v>1001051875544</v>
      </c>
      <c r="E87" s="24"/>
      <c r="F87" s="23">
        <v>0.83399999999999996</v>
      </c>
      <c r="G87" s="23">
        <f>E87</f>
        <v>0</v>
      </c>
      <c r="H87" s="14">
        <v>5</v>
      </c>
      <c r="I87" s="14">
        <v>45</v>
      </c>
      <c r="J87" s="29"/>
    </row>
    <row r="88" spans="1:10" ht="15.75" customHeight="1" x14ac:dyDescent="0.25">
      <c r="A88" s="59" t="str">
        <f t="shared" si="5"/>
        <v>6790</v>
      </c>
      <c r="B88" s="80" t="s">
        <v>97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5"/>
        <v>7133</v>
      </c>
      <c r="B89" s="80" t="s">
        <v>98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customHeight="1" x14ac:dyDescent="0.25">
      <c r="A90" s="59" t="str">
        <f t="shared" si="5"/>
        <v>6791</v>
      </c>
      <c r="B90" s="80" t="s">
        <v>99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5"/>
        <v>6792</v>
      </c>
      <c r="B91" s="80" t="s">
        <v>100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customHeight="1" x14ac:dyDescent="0.25">
      <c r="A92" s="59" t="str">
        <f t="shared" si="5"/>
        <v>6564</v>
      </c>
      <c r="B92" s="80" t="s">
        <v>101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customHeight="1" x14ac:dyDescent="0.25">
      <c r="A93" s="59" t="str">
        <f t="shared" si="5"/>
        <v>7238</v>
      </c>
      <c r="B93" s="80" t="s">
        <v>102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5"/>
        <v>6565</v>
      </c>
      <c r="B94" s="80" t="s">
        <v>103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5"/>
        <v>7240</v>
      </c>
      <c r="B95" s="80" t="s">
        <v>104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5"/>
        <v>7236</v>
      </c>
      <c r="B96" s="80" t="s">
        <v>105</v>
      </c>
      <c r="C96" s="73" t="s">
        <v>21</v>
      </c>
      <c r="D96" s="74">
        <v>1001304507236</v>
      </c>
      <c r="E96" s="24"/>
      <c r="F96" s="23">
        <v>0.28000000000000003</v>
      </c>
      <c r="G96" s="23">
        <f t="shared" si="7"/>
        <v>0</v>
      </c>
      <c r="H96" s="14"/>
      <c r="I96" s="14"/>
      <c r="J96" s="71"/>
    </row>
    <row r="97" spans="1:11" ht="15.75" customHeight="1" x14ac:dyDescent="0.25">
      <c r="A97" s="59" t="str">
        <f t="shared" si="5"/>
        <v>7177</v>
      </c>
      <c r="B97" s="80" t="s">
        <v>106</v>
      </c>
      <c r="C97" s="73" t="s">
        <v>21</v>
      </c>
      <c r="D97" s="74">
        <v>1001302347177</v>
      </c>
      <c r="E97" s="24"/>
      <c r="F97" s="23">
        <v>0.35</v>
      </c>
      <c r="G97" s="23">
        <f t="shared" si="7"/>
        <v>0</v>
      </c>
      <c r="H97" s="14"/>
      <c r="I97" s="14"/>
      <c r="J97" s="71"/>
    </row>
    <row r="98" spans="1:11" ht="15.75" customHeight="1" x14ac:dyDescent="0.25">
      <c r="A98" s="59" t="str">
        <f t="shared" si="5"/>
        <v>6459</v>
      </c>
      <c r="B98" s="80" t="s">
        <v>156</v>
      </c>
      <c r="C98" s="73" t="s">
        <v>21</v>
      </c>
      <c r="D98" s="74">
        <v>1001214196459</v>
      </c>
      <c r="E98" s="24"/>
      <c r="F98" s="23">
        <v>0.1</v>
      </c>
      <c r="G98" s="23">
        <f t="shared" si="7"/>
        <v>0</v>
      </c>
      <c r="H98" s="14"/>
      <c r="I98" s="14"/>
      <c r="J98" s="71"/>
    </row>
    <row r="99" spans="1:11" ht="15.75" customHeight="1" x14ac:dyDescent="0.25">
      <c r="A99" s="59" t="str">
        <f t="shared" si="5"/>
        <v>7107</v>
      </c>
      <c r="B99" s="80" t="s">
        <v>157</v>
      </c>
      <c r="C99" s="73" t="s">
        <v>21</v>
      </c>
      <c r="D99" s="74">
        <v>1001205467107</v>
      </c>
      <c r="E99" s="24"/>
      <c r="F99" s="23">
        <v>0.09</v>
      </c>
      <c r="G99" s="23">
        <f t="shared" si="7"/>
        <v>0</v>
      </c>
      <c r="H99" s="14"/>
      <c r="I99" s="14"/>
      <c r="J99" s="71"/>
    </row>
    <row r="100" spans="1:11" ht="15.75" customHeight="1" x14ac:dyDescent="0.25">
      <c r="A100" s="59" t="str">
        <f t="shared" si="5"/>
        <v>6793</v>
      </c>
      <c r="B100" s="80" t="s">
        <v>107</v>
      </c>
      <c r="C100" s="73" t="s">
        <v>21</v>
      </c>
      <c r="D100" s="74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5"/>
        <v>6794</v>
      </c>
      <c r="B101" s="80" t="s">
        <v>108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5"/>
        <v>6665</v>
      </c>
      <c r="B102" s="80" t="s">
        <v>109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5"/>
        <v>6795</v>
      </c>
      <c r="B103" s="80" t="s">
        <v>110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5"/>
        <v>6796</v>
      </c>
      <c r="B104" s="80" t="s">
        <v>111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5"/>
        <v>6804</v>
      </c>
      <c r="B105" s="80" t="s">
        <v>112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ref="A106:A136" si="8">RIGHT(D106,4)</f>
        <v>6803</v>
      </c>
      <c r="B106" s="80" t="s">
        <v>113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8"/>
        <v>6807</v>
      </c>
      <c r="B107" s="80" t="s">
        <v>114</v>
      </c>
      <c r="C107" s="73" t="s">
        <v>21</v>
      </c>
      <c r="D107" s="74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8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8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8"/>
        <v>6834</v>
      </c>
      <c r="B110" s="52" t="s">
        <v>117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customHeight="1" x14ac:dyDescent="0.25">
      <c r="A111" s="59" t="str">
        <f t="shared" si="8"/>
        <v>6454</v>
      </c>
      <c r="B111" s="80" t="s">
        <v>118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8"/>
        <v>5708</v>
      </c>
      <c r="B112" s="80" t="s">
        <v>119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80" t="s">
        <v>120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80" t="s">
        <v>121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80" t="s">
        <v>122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80" t="s">
        <v>123</v>
      </c>
      <c r="C116" s="73" t="s">
        <v>21</v>
      </c>
      <c r="D116" s="74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3986</v>
      </c>
      <c r="B117" s="80" t="s">
        <v>158</v>
      </c>
      <c r="C117" s="73" t="s">
        <v>21</v>
      </c>
      <c r="D117" s="74">
        <v>1001061973986</v>
      </c>
      <c r="E117" s="24"/>
      <c r="F117" s="23">
        <v>0.25</v>
      </c>
      <c r="G117" s="23">
        <f>F117*E117</f>
        <v>0</v>
      </c>
      <c r="H117" s="14"/>
      <c r="I117" s="14"/>
      <c r="J117" s="29"/>
    </row>
    <row r="118" spans="1:10" ht="16.5" customHeight="1" x14ac:dyDescent="0.25">
      <c r="A118" s="59" t="str">
        <f t="shared" si="8"/>
        <v>4993</v>
      </c>
      <c r="B118" s="80" t="s">
        <v>124</v>
      </c>
      <c r="C118" s="73" t="s">
        <v>33</v>
      </c>
      <c r="D118" s="74">
        <v>1001060764993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6937</v>
      </c>
      <c r="B119" s="80" t="s">
        <v>125</v>
      </c>
      <c r="C119" s="73" t="s">
        <v>33</v>
      </c>
      <c r="D119" s="74">
        <v>1001063106937</v>
      </c>
      <c r="E119" s="24"/>
      <c r="F119" s="23">
        <v>0.25</v>
      </c>
      <c r="G119" s="23">
        <f>E119*F119</f>
        <v>0</v>
      </c>
      <c r="H119" s="14"/>
      <c r="I119" s="14"/>
      <c r="J119" s="29"/>
    </row>
    <row r="120" spans="1:10" ht="16.5" customHeight="1" x14ac:dyDescent="0.25">
      <c r="A120" s="59" t="str">
        <f t="shared" si="8"/>
        <v>5682</v>
      </c>
      <c r="B120" s="80" t="s">
        <v>126</v>
      </c>
      <c r="C120" s="73" t="s">
        <v>21</v>
      </c>
      <c r="D120" s="74">
        <v>1001193115682</v>
      </c>
      <c r="E120" s="24"/>
      <c r="F120" s="23">
        <v>0.12</v>
      </c>
      <c r="G120" s="23">
        <f>E120*F120</f>
        <v>0</v>
      </c>
      <c r="H120" s="14">
        <v>0.96</v>
      </c>
      <c r="I120" s="14">
        <v>60</v>
      </c>
      <c r="J120" s="29"/>
    </row>
    <row r="121" spans="1:10" ht="16.5" customHeight="1" x14ac:dyDescent="0.25">
      <c r="A121" s="59" t="str">
        <f t="shared" si="8"/>
        <v>5679</v>
      </c>
      <c r="B121" s="80" t="s">
        <v>127</v>
      </c>
      <c r="C121" s="73" t="s">
        <v>21</v>
      </c>
      <c r="D121" s="74">
        <v>1001190765679</v>
      </c>
      <c r="E121" s="24"/>
      <c r="F121" s="23">
        <v>0.15</v>
      </c>
      <c r="G121" s="23">
        <f>F121*E121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4117</v>
      </c>
      <c r="B122" s="80" t="s">
        <v>128</v>
      </c>
      <c r="C122" s="73" t="s">
        <v>23</v>
      </c>
      <c r="D122" s="74">
        <v>1001062504117</v>
      </c>
      <c r="E122" s="24"/>
      <c r="F122" s="23">
        <v>0.50700000000000001</v>
      </c>
      <c r="G122" s="23">
        <f>E122</f>
        <v>0</v>
      </c>
      <c r="H122" s="14">
        <v>4.05</v>
      </c>
      <c r="I122" s="14">
        <v>120</v>
      </c>
      <c r="J122" s="29"/>
    </row>
    <row r="123" spans="1:10" ht="16.5" customHeight="1" x14ac:dyDescent="0.25">
      <c r="A123" s="59" t="str">
        <f t="shared" si="8"/>
        <v>5483</v>
      </c>
      <c r="B123" s="80" t="s">
        <v>129</v>
      </c>
      <c r="C123" s="73" t="s">
        <v>21</v>
      </c>
      <c r="D123" s="74">
        <v>1001062505483</v>
      </c>
      <c r="E123" s="24"/>
      <c r="F123" s="23">
        <v>0.25</v>
      </c>
      <c r="G123" s="23">
        <f>E123*F123</f>
        <v>0</v>
      </c>
      <c r="H123" s="14">
        <v>2</v>
      </c>
      <c r="I123" s="14">
        <v>120</v>
      </c>
      <c r="J123" s="29"/>
    </row>
    <row r="124" spans="1:10" ht="16.5" customHeight="1" x14ac:dyDescent="0.25">
      <c r="A124" s="59" t="str">
        <f t="shared" si="8"/>
        <v>6453</v>
      </c>
      <c r="B124" s="80" t="s">
        <v>130</v>
      </c>
      <c r="C124" s="73" t="s">
        <v>33</v>
      </c>
      <c r="D124" s="74">
        <v>1001202506453</v>
      </c>
      <c r="E124" s="24"/>
      <c r="F124" s="23">
        <v>0.1</v>
      </c>
      <c r="G124" s="23">
        <f>E124*F124</f>
        <v>0</v>
      </c>
      <c r="H124" s="14">
        <v>1.4</v>
      </c>
      <c r="I124" s="14">
        <v>60</v>
      </c>
      <c r="J124" s="29"/>
    </row>
    <row r="125" spans="1:10" ht="16.5" customHeight="1" x14ac:dyDescent="0.25">
      <c r="A125" s="59" t="str">
        <f t="shared" si="8"/>
        <v>6557</v>
      </c>
      <c r="B125" s="80" t="s">
        <v>131</v>
      </c>
      <c r="C125" s="73" t="s">
        <v>33</v>
      </c>
      <c r="D125" s="74">
        <v>1001200756557</v>
      </c>
      <c r="E125" s="24"/>
      <c r="F125" s="23">
        <v>0.1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6228</v>
      </c>
      <c r="B126" s="80" t="s">
        <v>132</v>
      </c>
      <c r="C126" s="73" t="s">
        <v>33</v>
      </c>
      <c r="D126" s="74">
        <v>1001225416228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8"/>
        <v>6221</v>
      </c>
      <c r="B127" s="80" t="s">
        <v>133</v>
      </c>
      <c r="C127" s="73" t="s">
        <v>33</v>
      </c>
      <c r="D127" s="74">
        <v>1001205376221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thickBot="1" x14ac:dyDescent="0.3">
      <c r="A128" s="59" t="str">
        <f t="shared" si="8"/>
        <v>3287</v>
      </c>
      <c r="B128" s="80" t="s">
        <v>134</v>
      </c>
      <c r="C128" s="73" t="s">
        <v>23</v>
      </c>
      <c r="D128" s="74">
        <v>1001060763287</v>
      </c>
      <c r="E128" s="24"/>
      <c r="F128" s="23">
        <v>0.51300000000000001</v>
      </c>
      <c r="G128" s="23">
        <f>E128</f>
        <v>0</v>
      </c>
      <c r="H128" s="14">
        <v>4.0999999999999996</v>
      </c>
      <c r="I128" s="14">
        <v>120</v>
      </c>
      <c r="J128" s="29"/>
    </row>
    <row r="129" spans="1:11" ht="16.5" customHeight="1" thickTop="1" thickBot="1" x14ac:dyDescent="0.3">
      <c r="A129" s="59" t="str">
        <f t="shared" si="8"/>
        <v/>
      </c>
      <c r="B129" s="46" t="s">
        <v>135</v>
      </c>
      <c r="C129" s="46"/>
      <c r="D129" s="46"/>
      <c r="E129" s="46"/>
      <c r="F129" s="46"/>
      <c r="G129" s="23"/>
      <c r="H129" s="46"/>
      <c r="I129" s="46"/>
      <c r="J129" s="47"/>
    </row>
    <row r="130" spans="1:11" ht="16.5" customHeight="1" thickTop="1" x14ac:dyDescent="0.25">
      <c r="A130" s="59" t="str">
        <f t="shared" si="8"/>
        <v>6866</v>
      </c>
      <c r="B130" s="77" t="s">
        <v>136</v>
      </c>
      <c r="C130" s="73" t="s">
        <v>38</v>
      </c>
      <c r="D130" s="79">
        <v>1001095716866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3215</v>
      </c>
      <c r="B131" s="80" t="s">
        <v>137</v>
      </c>
      <c r="C131" s="73" t="s">
        <v>33</v>
      </c>
      <c r="D131" s="42">
        <v>1001094053215</v>
      </c>
      <c r="E131" s="24"/>
      <c r="F131" s="23">
        <v>0.4</v>
      </c>
      <c r="G131" s="23">
        <f>E131*F131</f>
        <v>0</v>
      </c>
      <c r="H131" s="14">
        <v>3.2</v>
      </c>
      <c r="I131" s="14">
        <v>60</v>
      </c>
      <c r="J131" s="29"/>
    </row>
    <row r="132" spans="1:11" ht="16.5" customHeight="1" x14ac:dyDescent="0.25">
      <c r="A132" s="59" t="str">
        <f t="shared" si="8"/>
        <v>6025</v>
      </c>
      <c r="B132" s="80" t="s">
        <v>138</v>
      </c>
      <c r="C132" s="73" t="s">
        <v>23</v>
      </c>
      <c r="D132" s="42">
        <v>1001094966025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6470</v>
      </c>
      <c r="B133" s="80" t="s">
        <v>139</v>
      </c>
      <c r="C133" s="73" t="s">
        <v>23</v>
      </c>
      <c r="D133" s="42">
        <v>1001092436470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8"/>
        <v>4584</v>
      </c>
      <c r="B134" s="80" t="s">
        <v>140</v>
      </c>
      <c r="C134" s="73" t="s">
        <v>23</v>
      </c>
      <c r="D134" s="42">
        <v>1001092674584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8"/>
        <v>6472</v>
      </c>
      <c r="B135" s="80" t="s">
        <v>141</v>
      </c>
      <c r="C135" s="73" t="s">
        <v>23</v>
      </c>
      <c r="D135" s="42">
        <v>1001092436472</v>
      </c>
      <c r="E135" s="24"/>
      <c r="F135" s="23"/>
      <c r="G135" s="23">
        <f>E135</f>
        <v>0</v>
      </c>
      <c r="H135" s="14"/>
      <c r="I135" s="14"/>
      <c r="J135" s="29"/>
    </row>
    <row r="136" spans="1:11" ht="16.5" customHeight="1" x14ac:dyDescent="0.25">
      <c r="A136" s="59" t="str">
        <f t="shared" si="8"/>
        <v>5452</v>
      </c>
      <c r="B136" s="50" t="s">
        <v>142</v>
      </c>
      <c r="C136" s="73" t="s">
        <v>23</v>
      </c>
      <c r="D136" s="42">
        <v>1001092485452</v>
      </c>
      <c r="E136" s="24"/>
      <c r="F136" s="23">
        <v>1.367</v>
      </c>
      <c r="G136" s="23">
        <f>E136</f>
        <v>0</v>
      </c>
      <c r="H136" s="14">
        <v>4.0999999999999996</v>
      </c>
      <c r="I136" s="14">
        <v>60</v>
      </c>
      <c r="J136" s="29"/>
    </row>
    <row r="137" spans="1:11" ht="16.5" customHeight="1" x14ac:dyDescent="0.25">
      <c r="A137" s="59" t="str">
        <f t="shared" ref="A137:A144" si="9">RIGHT(D137,4)</f>
        <v>5495</v>
      </c>
      <c r="B137" s="50" t="s">
        <v>143</v>
      </c>
      <c r="C137" s="73" t="s">
        <v>21</v>
      </c>
      <c r="D137" s="42">
        <v>1001093345495</v>
      </c>
      <c r="E137" s="24"/>
      <c r="F137" s="23">
        <v>0.4</v>
      </c>
      <c r="G137" s="23">
        <f>E137*F137</f>
        <v>0</v>
      </c>
      <c r="H137" s="14">
        <v>2.4</v>
      </c>
      <c r="I137" s="14">
        <v>60</v>
      </c>
      <c r="J137" s="29"/>
    </row>
    <row r="138" spans="1:11" ht="15.75" customHeight="1" thickBot="1" x14ac:dyDescent="0.3">
      <c r="A138" s="59" t="str">
        <f t="shared" si="9"/>
        <v>6495</v>
      </c>
      <c r="B138" s="50" t="s">
        <v>144</v>
      </c>
      <c r="C138" s="73" t="s">
        <v>21</v>
      </c>
      <c r="D138" s="42">
        <v>1001092436495</v>
      </c>
      <c r="E138" s="24"/>
      <c r="F138" s="23">
        <v>0.3</v>
      </c>
      <c r="G138" s="23">
        <f>E138*F138</f>
        <v>0</v>
      </c>
      <c r="H138" s="14">
        <v>1.8</v>
      </c>
      <c r="I138" s="14">
        <v>45</v>
      </c>
      <c r="J138" s="29"/>
    </row>
    <row r="139" spans="1:11" ht="16.5" customHeight="1" thickTop="1" thickBot="1" x14ac:dyDescent="0.3">
      <c r="A139" s="59" t="str">
        <f t="shared" si="9"/>
        <v/>
      </c>
      <c r="B139" s="46" t="s">
        <v>145</v>
      </c>
      <c r="C139" s="46"/>
      <c r="D139" s="46"/>
      <c r="E139" s="46"/>
      <c r="F139" s="46"/>
      <c r="G139" s="23"/>
      <c r="H139" s="46"/>
      <c r="I139" s="46"/>
      <c r="J139" s="47"/>
    </row>
    <row r="140" spans="1:11" ht="16.5" customHeight="1" thickTop="1" x14ac:dyDescent="0.25">
      <c r="A140" s="59" t="str">
        <f t="shared" si="9"/>
        <v>6448</v>
      </c>
      <c r="B140" s="37" t="s">
        <v>146</v>
      </c>
      <c r="C140" s="73" t="s">
        <v>33</v>
      </c>
      <c r="D140" s="74">
        <v>1001234146448</v>
      </c>
      <c r="E140" s="24"/>
      <c r="F140" s="23">
        <v>0.1</v>
      </c>
      <c r="G140" s="23">
        <f>E140*F140</f>
        <v>0</v>
      </c>
      <c r="H140" s="14">
        <v>1</v>
      </c>
      <c r="I140" s="14">
        <v>45</v>
      </c>
      <c r="J140" s="29"/>
    </row>
    <row r="141" spans="1:11" ht="16.5" customHeight="1" x14ac:dyDescent="0.25">
      <c r="A141" s="59" t="str">
        <f t="shared" si="9"/>
        <v>7090</v>
      </c>
      <c r="B141" s="37" t="s">
        <v>147</v>
      </c>
      <c r="C141" s="73" t="s">
        <v>33</v>
      </c>
      <c r="D141" s="74">
        <v>1001084217090</v>
      </c>
      <c r="E141" s="24"/>
      <c r="F141" s="23">
        <v>0.3</v>
      </c>
      <c r="G141" s="23">
        <f>E141*F141</f>
        <v>0</v>
      </c>
      <c r="H141" s="14">
        <v>1.8</v>
      </c>
      <c r="I141" s="14">
        <v>45</v>
      </c>
      <c r="J141" s="29"/>
    </row>
    <row r="142" spans="1:11" ht="16.5" customHeight="1" x14ac:dyDescent="0.25">
      <c r="A142" s="59" t="str">
        <f t="shared" si="9"/>
        <v>6208</v>
      </c>
      <c r="B142" s="37" t="s">
        <v>148</v>
      </c>
      <c r="C142" s="73" t="s">
        <v>21</v>
      </c>
      <c r="D142" s="74">
        <v>1001220226208</v>
      </c>
      <c r="E142" s="24"/>
      <c r="F142" s="23">
        <v>0.15</v>
      </c>
      <c r="G142" s="23">
        <f>F142*E142</f>
        <v>0</v>
      </c>
      <c r="H142" s="14"/>
      <c r="I142" s="14"/>
      <c r="J142" s="29"/>
    </row>
    <row r="143" spans="1:11" ht="16.5" customHeight="1" x14ac:dyDescent="0.25">
      <c r="A143" s="59" t="str">
        <f t="shared" si="9"/>
        <v>7053</v>
      </c>
      <c r="B143" s="37" t="s">
        <v>149</v>
      </c>
      <c r="C143" s="73" t="s">
        <v>23</v>
      </c>
      <c r="D143" s="74">
        <v>1001223297053</v>
      </c>
      <c r="E143" s="24"/>
      <c r="F143" s="23"/>
      <c r="G143" s="23">
        <f>E143</f>
        <v>0</v>
      </c>
      <c r="H143" s="14"/>
      <c r="I143" s="14"/>
      <c r="J143" s="29"/>
    </row>
    <row r="144" spans="1:11" s="70" customFormat="1" ht="16.5" customHeight="1" thickBot="1" x14ac:dyDescent="0.3">
      <c r="A144" s="59" t="str">
        <f t="shared" si="9"/>
        <v>7103</v>
      </c>
      <c r="B144" s="58" t="s">
        <v>150</v>
      </c>
      <c r="C144" s="53" t="s">
        <v>33</v>
      </c>
      <c r="D144" s="54">
        <v>1001223297103</v>
      </c>
      <c r="E144" s="24"/>
      <c r="F144" s="75">
        <v>0.18</v>
      </c>
      <c r="G144" s="23">
        <f>E144*F144</f>
        <v>0</v>
      </c>
      <c r="H144" s="76">
        <v>1.8</v>
      </c>
      <c r="I144" s="76">
        <v>45</v>
      </c>
      <c r="J144" s="76"/>
      <c r="K144" s="27"/>
    </row>
    <row r="145" spans="1:10" ht="16.5" customHeight="1" thickTop="1" thickBot="1" x14ac:dyDescent="0.3">
      <c r="A145" s="62"/>
      <c r="B145" s="49" t="s">
        <v>151</v>
      </c>
      <c r="C145" s="16"/>
      <c r="D145" s="38"/>
      <c r="E145" s="17">
        <f>SUM(E10:E144)</f>
        <v>0</v>
      </c>
      <c r="F145" s="17"/>
      <c r="G145" s="17">
        <f>SUM(G11:G144)</f>
        <v>0</v>
      </c>
      <c r="H145" s="17"/>
      <c r="I145" s="17"/>
      <c r="J145" s="17"/>
    </row>
    <row r="146" spans="1:10" ht="15.75" customHeight="1" thickTop="1" x14ac:dyDescent="0.25">
      <c r="B146" s="39"/>
      <c r="C146" s="18"/>
      <c r="D146" s="43"/>
      <c r="F146" s="19"/>
      <c r="G146" s="19"/>
      <c r="H146" s="20"/>
      <c r="I146" s="20"/>
      <c r="J146" s="21"/>
    </row>
    <row r="147" spans="1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</sheetData>
  <autoFilter ref="A9:K14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2026-01-28T09:48:17Z</dcterms:modified>
</cp:coreProperties>
</file>