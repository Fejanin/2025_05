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7CD8F990-9596-4E12-A45F-BA1F6471DD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8" i="1" l="1"/>
  <c r="A48" i="1"/>
  <c r="G51" i="1"/>
  <c r="A51" i="1"/>
  <c r="G35" i="1"/>
  <c r="A35" i="1"/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0" i="1"/>
  <c r="A50" i="1"/>
  <c r="G49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4" i="1" l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<sst xmlns="http://schemas.openxmlformats.org/spreadsheetml/2006/main" count="281" uniqueCount="158">
  <si>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</si>
  <si>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</si>
  <si>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</si>
  <si>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</si>
  <si>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</si>
  <si>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</si>
  <si>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</si>
  <si>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</si>
  <si>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</si>
  <si>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</si>
  <si>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</si>
  <si>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</si>
  <si>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</si>
  <si>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</si>
  <si>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</si>
  <si>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</si>
  <si>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</si>
  <si>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</si>
  <si>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</si>
  <si>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</si>
  <si>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</si>
  <si>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</si>
  <si>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</si>
  <si>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</si>
  <si>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</si>
  <si>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</si>
  <si>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</si>
  <si>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</si>
  <si>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</si>
  <si>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</si>
  <si>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</si>
  <si>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</si>
  <si>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</si>
  <si>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</si>
  <si>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</si>
  <si>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</si>
  <si>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</si>
  <si>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</si>
  <si>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</si>
  <si>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</si>
  <si>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</si>
  <si>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</si>
  <si>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</si>
  <si>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</si>
  <si>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</si>
  <si>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</si>
  <si>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</si>
  <si>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</si>
  <si>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</si>
  <si>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</si>
  <si>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</si>
  <si>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</si>
  <si>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</si>
  <si>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</si>
  <si>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</si>
  <si>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</si>
  <si>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</si>
  <si>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</si>
  <si>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</si>
  <si>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</si>
  <si>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</si>
  <si>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</si>
  <si>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</si>
  <si>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</si>
  <si>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</si>
  <si>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</si>
  <si>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</si>
  <si>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</si>
  <si>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</si>
  <si>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</si>
  <si>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</si>
  <si>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</si>
  <si>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</si>
  <si>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</si>
  <si>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</si>
  <si>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</si>
  <si>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</si>
  <si>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</si>
  <si>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</si>
  <si>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</si>
  <si>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</si>
  <si>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</si>
  <si>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</si>
  <si>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</si>
  <si>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</si>
  <si>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</si>
  <si>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</si>
  <si>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</si>
  <si>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</si>
  <si>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</si>
  <si>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</si>
  <si>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</si>
  <si>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</si>
  <si>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</si>
  <si>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</si>
  <si>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</si>
  <si>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</si>
  <si>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</si>
  <si>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</si>
  <si>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</si>
  <si>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</si>
  <si>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</si>
  <si>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</si>
  <si>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</si>
  <si>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</si>
  <si>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</si>
  <si>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</si>
  <si>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</si>
  <si>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</si>
  <si>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</si>
  <si>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</si>
  <si>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</si>
  <si>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</si>
  <si>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</si>
  <si>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</si>
  <si>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</si>
  <si>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</si>
  <si>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</si>
  <si>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</si>
  <si>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</si>
  <si>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</si>
  <si>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</si>
  <si>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</si>
  <si>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</si>
  <si>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</si>
  <si>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</si>
  <si>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</si>
  <si>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</si>
  <si>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</si>
  <si>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</si>
  <si>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</si>
  <si>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</si>
  <si>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</si>
  <si>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</si>
  <si>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</si>
  <si>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</si>
  <si>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</si>
  <si>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</si>
  <si>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</si>
  <si>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</si>
  <si>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</si>
  <si>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</si>
  <si>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</si>
  <si>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</si>
  <si>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</si>
  <si>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</si>
  <si>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</si>
  <si>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</si>
  <si>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</si>
  <si>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</si>
  <si>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</si>
  <si>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</si>
  <si>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</si>
  <si>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ФИЛЕЙНЫЕ Папа Может сос ц/о мгс 0.4кг</t>
  </si>
  <si>
    <t>ДЛЯ ДЕТЕЙ сос п/о мгс 0.33кг 6шт.</t>
  </si>
  <si>
    <t>ХОТ-ДОГ Папа может сос п/о мгс 0.35кг</t>
  </si>
  <si>
    <t>ДЛЯ ДЕТЕЙ сос п/о мгс 0.33кг 8шт.</t>
  </si>
  <si>
    <t>ФИЛЕЙНЫЕ ПМ сос ц/о мгс 0.33кг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</si>
</sst>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38" activePane="bottomLeft" state="frozen"/>
      <selection pane="bottomLeft" activeCell="I149" sqref="I149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45971</v>
      </c>
      <c r="E3" s="7" t="s">
        <v>3</v>
      </c>
      <c r="F3" s="82">
        <f>D3+3</f>
        <v>45974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8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79" t="s">
        <v>46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6776</v>
      </c>
      <c r="B35" s="79" t="s">
        <v>155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0"/>
        <v>6303</v>
      </c>
      <c r="B36" s="55" t="s">
        <v>47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5819</v>
      </c>
      <c r="B37" s="36" t="s">
        <v>48</v>
      </c>
      <c r="C37" s="72" t="s">
        <v>21</v>
      </c>
      <c r="D37" s="73">
        <v>1001022725819</v>
      </c>
      <c r="E37" s="24"/>
      <c r="F37" s="23">
        <v>0.4</v>
      </c>
      <c r="G37" s="23">
        <f t="shared" ref="G37:G40" si="2"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0"/>
        <v>6762</v>
      </c>
      <c r="B38" s="36" t="s">
        <v>49</v>
      </c>
      <c r="C38" s="72" t="s">
        <v>21</v>
      </c>
      <c r="D38" s="73">
        <v>1001020846762</v>
      </c>
      <c r="E38" s="24"/>
      <c r="F38" s="23">
        <v>0.41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ref="A39:A72" si="3">RIGHT(D39,4)</f>
        <v>6765</v>
      </c>
      <c r="B39" s="36" t="s">
        <v>50</v>
      </c>
      <c r="C39" s="72" t="s">
        <v>21</v>
      </c>
      <c r="D39" s="73">
        <v>1001023696765</v>
      </c>
      <c r="E39" s="24"/>
      <c r="F39" s="23">
        <v>0.36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3"/>
        <v>6759</v>
      </c>
      <c r="B40" s="36" t="s">
        <v>51</v>
      </c>
      <c r="C40" s="72" t="s">
        <v>21</v>
      </c>
      <c r="D40" s="73">
        <v>1001020836759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3"/>
        <v>7082</v>
      </c>
      <c r="B41" s="35" t="s">
        <v>52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3"/>
        <v>6767</v>
      </c>
      <c r="B42" s="35" t="s">
        <v>53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3"/>
        <v>7070</v>
      </c>
      <c r="B43" s="35" t="s">
        <v>54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3"/>
        <v>6661</v>
      </c>
      <c r="B44" s="52" t="s">
        <v>55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3"/>
        <v>6475</v>
      </c>
      <c r="B45" s="79" t="s">
        <v>56</v>
      </c>
      <c r="C45" s="72" t="s">
        <v>21</v>
      </c>
      <c r="D45" s="73">
        <v>1001025176475</v>
      </c>
      <c r="E45" s="24"/>
      <c r="F45" s="23">
        <v>0.4</v>
      </c>
      <c r="G45" s="23">
        <f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3"/>
        <v>6713</v>
      </c>
      <c r="B46" s="56" t="s">
        <v>57</v>
      </c>
      <c r="C46" s="53" t="s">
        <v>21</v>
      </c>
      <c r="D46" s="54">
        <v>1001022246713</v>
      </c>
      <c r="E46" s="24"/>
      <c r="F46" s="23">
        <v>0.41</v>
      </c>
      <c r="G46" s="23">
        <f>E46*F46</f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3"/>
        <v>6069</v>
      </c>
      <c r="B47" s="51" t="s">
        <v>58</v>
      </c>
      <c r="C47" s="72" t="s">
        <v>21</v>
      </c>
      <c r="D47" s="73">
        <v>1001022556069</v>
      </c>
      <c r="E47" s="24"/>
      <c r="F47" s="23">
        <v>0.33</v>
      </c>
      <c r="G47" s="23">
        <f>E47*F47</f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3"/>
        <v>7257</v>
      </c>
      <c r="B48" s="51" t="s">
        <v>157</v>
      </c>
      <c r="C48" s="72" t="s">
        <v>21</v>
      </c>
      <c r="D48" s="73">
        <v>1001022557257</v>
      </c>
      <c r="E48" s="24"/>
      <c r="F48" s="23">
        <v>0.33</v>
      </c>
      <c r="G48" s="23">
        <f>E48*F48</f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153</v>
      </c>
      <c r="C49" s="72" t="s">
        <v>21</v>
      </c>
      <c r="D49" s="73">
        <v>1001022556837</v>
      </c>
      <c r="E49" s="24"/>
      <c r="F49" s="23">
        <v>0.33</v>
      </c>
      <c r="G49" s="23">
        <f>E49*F49</f>
        <v>0</v>
      </c>
      <c r="H49" s="14"/>
      <c r="I49" s="14"/>
      <c r="J49" s="29"/>
    </row>
    <row r="50" spans="1:10" ht="16.5" customHeight="1" x14ac:dyDescent="0.25">
      <c r="A50" s="59" t="str">
        <f t="shared" si="3"/>
        <v>7284</v>
      </c>
      <c r="B50" s="51" t="s">
        <v>154</v>
      </c>
      <c r="C50" s="72" t="s">
        <v>21</v>
      </c>
      <c r="D50" s="73">
        <v>1001025767284</v>
      </c>
      <c r="E50" s="24"/>
      <c r="F50" s="23">
        <v>0.33</v>
      </c>
      <c r="G50" s="23">
        <f>E50*F50</f>
        <v>0</v>
      </c>
      <c r="H50" s="14"/>
      <c r="I50" s="14"/>
      <c r="J50" s="29"/>
    </row>
    <row r="51" spans="1:10" ht="16.5" customHeight="1" x14ac:dyDescent="0.25">
      <c r="A51" s="59" t="str">
        <f t="shared" si="3"/>
        <v>6909</v>
      </c>
      <c r="B51" s="51" t="s">
        <v>156</v>
      </c>
      <c r="C51" s="72" t="s">
        <v>21</v>
      </c>
      <c r="D51" s="73">
        <v>1001025766909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6764</v>
      </c>
      <c r="B52" s="51" t="s">
        <v>59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3"/>
        <v>6829</v>
      </c>
      <c r="B53" s="56" t="s">
        <v>60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3"/>
        <v>7075</v>
      </c>
      <c r="B54" s="81" t="s">
        <v>61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3"/>
        <v>7073</v>
      </c>
      <c r="B55" s="81" t="s">
        <v>62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3"/>
        <v>6761</v>
      </c>
      <c r="B56" s="51" t="s">
        <v>63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3"/>
        <v>7080</v>
      </c>
      <c r="B57" s="56" t="s">
        <v>64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3"/>
        <v>7066</v>
      </c>
      <c r="B58" s="56" t="s">
        <v>65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3"/>
        <v/>
      </c>
      <c r="B59" s="46" t="s">
        <v>66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3"/>
        <v>7001</v>
      </c>
      <c r="B60" s="80" t="s">
        <v>67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3"/>
        <v>6527</v>
      </c>
      <c r="B61" s="81" t="s">
        <v>68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3"/>
        <v>6550</v>
      </c>
      <c r="B62" s="51" t="s">
        <v>69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3"/>
        <v>6608</v>
      </c>
      <c r="B63" s="51" t="s">
        <v>70</v>
      </c>
      <c r="C63" s="72" t="s">
        <v>23</v>
      </c>
      <c r="D63" s="73">
        <v>1001033856608</v>
      </c>
      <c r="E63" s="24"/>
      <c r="F63" s="23">
        <v>0.99</v>
      </c>
      <c r="G63" s="23">
        <f>E63</f>
        <v>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3"/>
        <v/>
      </c>
      <c r="B64" s="46" t="s">
        <v>71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3"/>
        <v>6586</v>
      </c>
      <c r="B65" s="79" t="s">
        <v>72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7144</v>
      </c>
      <c r="B66" s="79" t="s">
        <v>73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7146</v>
      </c>
      <c r="B67" s="79" t="s">
        <v>74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7149</v>
      </c>
      <c r="B68" s="79" t="s">
        <v>75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7131</v>
      </c>
      <c r="B69" s="79" t="s">
        <v>76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3"/>
        <v>7233</v>
      </c>
      <c r="B70" s="79" t="s">
        <v>77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3"/>
        <v>6666</v>
      </c>
      <c r="B71" s="50" t="s">
        <v>78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4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3"/>
        <v>7173</v>
      </c>
      <c r="B72" s="79" t="s">
        <v>79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4"/>
        <v>0</v>
      </c>
      <c r="H72" s="14"/>
      <c r="I72" s="14"/>
      <c r="J72" s="29"/>
    </row>
    <row r="73" spans="1:10" ht="16.5" customHeight="1" x14ac:dyDescent="0.25">
      <c r="A73" s="59" t="str">
        <f t="shared" ref="A73:A104" si="5">RIGHT(D73,4)</f>
        <v>7232</v>
      </c>
      <c r="B73" s="79" t="s">
        <v>80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4"/>
        <v>0</v>
      </c>
      <c r="H73" s="14"/>
      <c r="I73" s="14"/>
      <c r="J73" s="29"/>
    </row>
    <row r="74" spans="1:10" ht="16.5" customHeight="1" x14ac:dyDescent="0.25">
      <c r="A74" s="59" t="str">
        <f t="shared" si="5"/>
        <v>6773</v>
      </c>
      <c r="B74" s="50" t="s">
        <v>81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4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5"/>
        <v>7241</v>
      </c>
      <c r="B75" s="50" t="s">
        <v>82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4"/>
        <v>0</v>
      </c>
      <c r="H75" s="14"/>
      <c r="I75" s="14"/>
      <c r="J75" s="29"/>
    </row>
    <row r="76" spans="1:10" ht="16.5" customHeight="1" x14ac:dyDescent="0.25">
      <c r="A76" s="59" t="str">
        <f t="shared" si="5"/>
        <v>6683</v>
      </c>
      <c r="B76" s="50" t="s">
        <v>83</v>
      </c>
      <c r="C76" s="72" t="s">
        <v>21</v>
      </c>
      <c r="D76" s="73">
        <v>1001300386683</v>
      </c>
      <c r="E76" s="24"/>
      <c r="F76" s="23">
        <v>0.35</v>
      </c>
      <c r="G76" s="23">
        <f t="shared" si="4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5"/>
        <v>5489</v>
      </c>
      <c r="B77" s="79" t="s">
        <v>84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5"/>
        <v>6787</v>
      </c>
      <c r="B78" s="52" t="s">
        <v>85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5"/>
        <v>6697</v>
      </c>
      <c r="B79" s="50" t="s">
        <v>86</v>
      </c>
      <c r="C79" s="72" t="s">
        <v>21</v>
      </c>
      <c r="D79" s="73">
        <v>1001301876697</v>
      </c>
      <c r="E79" s="24"/>
      <c r="F79" s="23">
        <v>0.35</v>
      </c>
      <c r="G79" s="23">
        <f t="shared" si="6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5"/>
        <v>6701</v>
      </c>
      <c r="B80" s="50" t="s">
        <v>87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5"/>
        <v>7237</v>
      </c>
      <c r="B81" s="50" t="s">
        <v>88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6"/>
        <v>0</v>
      </c>
      <c r="H81" s="14"/>
      <c r="I81" s="14"/>
      <c r="J81" s="29"/>
    </row>
    <row r="82" spans="1:10" ht="16.5" customHeight="1" x14ac:dyDescent="0.25">
      <c r="A82" s="59" t="str">
        <f t="shared" si="5"/>
        <v>6684</v>
      </c>
      <c r="B82" s="52" t="s">
        <v>89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5"/>
        <v>6689</v>
      </c>
      <c r="B83" s="57" t="s">
        <v>90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5"/>
        <v>7157</v>
      </c>
      <c r="B84" s="79" t="s">
        <v>91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5"/>
        <v>7166</v>
      </c>
      <c r="B85" s="79" t="s">
        <v>92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5"/>
        <v>7154</v>
      </c>
      <c r="B86" s="79" t="s">
        <v>93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5"/>
        <v>7169</v>
      </c>
      <c r="B87" s="79" t="s">
        <v>94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5"/>
        <v>5341</v>
      </c>
      <c r="B88" s="79" t="s">
        <v>95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5"/>
        <v>5544</v>
      </c>
      <c r="B89" s="79" t="s">
        <v>96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5"/>
        <v>6790</v>
      </c>
      <c r="B90" s="79" t="s">
        <v>97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5"/>
        <v>7133</v>
      </c>
      <c r="B91" s="79" t="s">
        <v>98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5"/>
        <v>6791</v>
      </c>
      <c r="B92" s="79" t="s">
        <v>99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5"/>
        <v>6792</v>
      </c>
      <c r="B93" s="79" t="s">
        <v>100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5"/>
        <v>6564</v>
      </c>
      <c r="B94" s="79" t="s">
        <v>101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7">F94*E94</f>
        <v>0</v>
      </c>
      <c r="H94" s="14"/>
      <c r="I94" s="14"/>
      <c r="J94" s="71"/>
    </row>
    <row r="95" spans="1:10" ht="15.75" customHeight="1" x14ac:dyDescent="0.25">
      <c r="A95" s="59" t="str">
        <f t="shared" si="5"/>
        <v>7238</v>
      </c>
      <c r="B95" s="79" t="s">
        <v>102</v>
      </c>
      <c r="C95" s="72" t="s">
        <v>21</v>
      </c>
      <c r="D95" s="73">
        <v>1001305197238</v>
      </c>
      <c r="E95" s="24"/>
      <c r="F95" s="23">
        <v>0.31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5"/>
        <v>6565</v>
      </c>
      <c r="B96" s="79" t="s">
        <v>103</v>
      </c>
      <c r="C96" s="72" t="s">
        <v>21</v>
      </c>
      <c r="D96" s="73">
        <v>1001305316565</v>
      </c>
      <c r="E96" s="24"/>
      <c r="F96" s="23">
        <v>0.31</v>
      </c>
      <c r="G96" s="23">
        <f t="shared" si="7"/>
        <v>0</v>
      </c>
      <c r="H96" s="14"/>
      <c r="I96" s="14"/>
      <c r="J96" s="71"/>
    </row>
    <row r="97" spans="1:11" ht="15.75" customHeight="1" x14ac:dyDescent="0.25">
      <c r="A97" s="59" t="str">
        <f t="shared" si="5"/>
        <v>7240</v>
      </c>
      <c r="B97" s="79" t="s">
        <v>104</v>
      </c>
      <c r="C97" s="72" t="s">
        <v>21</v>
      </c>
      <c r="D97" s="73">
        <v>1001305317240</v>
      </c>
      <c r="E97" s="24"/>
      <c r="F97" s="23">
        <v>0.31</v>
      </c>
      <c r="G97" s="23">
        <f t="shared" si="7"/>
        <v>0</v>
      </c>
      <c r="H97" s="14"/>
      <c r="I97" s="14"/>
      <c r="J97" s="71"/>
    </row>
    <row r="98" spans="1:11" ht="15.75" customHeight="1" x14ac:dyDescent="0.25">
      <c r="A98" s="59" t="str">
        <f t="shared" si="5"/>
        <v>7236</v>
      </c>
      <c r="B98" s="79" t="s">
        <v>105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7"/>
        <v>0</v>
      </c>
      <c r="H98" s="14"/>
      <c r="I98" s="14"/>
      <c r="J98" s="71"/>
    </row>
    <row r="99" spans="1:11" ht="15.75" customHeight="1" x14ac:dyDescent="0.25">
      <c r="A99" s="59" t="str">
        <f t="shared" si="5"/>
        <v>7177</v>
      </c>
      <c r="B99" s="79" t="s">
        <v>106</v>
      </c>
      <c r="C99" s="72" t="s">
        <v>21</v>
      </c>
      <c r="D99" s="73">
        <v>1001302347177</v>
      </c>
      <c r="E99" s="24"/>
      <c r="F99" s="23">
        <v>0.35</v>
      </c>
      <c r="G99" s="23">
        <f t="shared" si="7"/>
        <v>0</v>
      </c>
      <c r="H99" s="14"/>
      <c r="I99" s="14"/>
      <c r="J99" s="71"/>
    </row>
    <row r="100" spans="1:11" ht="15.75" customHeight="1" x14ac:dyDescent="0.25">
      <c r="A100" s="59" t="str">
        <f t="shared" si="5"/>
        <v>6793</v>
      </c>
      <c r="B100" s="79" t="s">
        <v>107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5"/>
        <v>6794</v>
      </c>
      <c r="B101" s="79" t="s">
        <v>108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5"/>
        <v>6665</v>
      </c>
      <c r="B102" s="79" t="s">
        <v>109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5"/>
        <v>6795</v>
      </c>
      <c r="B103" s="79" t="s">
        <v>110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5"/>
        <v>6796</v>
      </c>
      <c r="B104" s="79" t="s">
        <v>111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ref="A105:A134" si="8">RIGHT(D105,4)</f>
        <v>6804</v>
      </c>
      <c r="B105" s="79" t="s">
        <v>112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8"/>
        <v>6803</v>
      </c>
      <c r="B106" s="79" t="s">
        <v>113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8"/>
        <v>6807</v>
      </c>
      <c r="B107" s="79" t="s">
        <v>114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8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8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8"/>
        <v>6834</v>
      </c>
      <c r="B110" s="52" t="s">
        <v>117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8"/>
        <v>6454</v>
      </c>
      <c r="B111" s="79" t="s">
        <v>118</v>
      </c>
      <c r="C111" s="72" t="s">
        <v>33</v>
      </c>
      <c r="D111" s="73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8"/>
        <v>5708</v>
      </c>
      <c r="B112" s="79" t="s">
        <v>119</v>
      </c>
      <c r="C112" s="72" t="s">
        <v>23</v>
      </c>
      <c r="D112" s="73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8"/>
        <v>0614</v>
      </c>
      <c r="B113" s="79" t="s">
        <v>120</v>
      </c>
      <c r="C113" s="72" t="s">
        <v>23</v>
      </c>
      <c r="D113" s="73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8"/>
        <v>1146</v>
      </c>
      <c r="B114" s="79" t="s">
        <v>121</v>
      </c>
      <c r="C114" s="72" t="s">
        <v>23</v>
      </c>
      <c r="D114" s="73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4154</v>
      </c>
      <c r="B115" s="79" t="s">
        <v>122</v>
      </c>
      <c r="C115" s="72" t="s">
        <v>23</v>
      </c>
      <c r="D115" s="73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8"/>
        <v>6967</v>
      </c>
      <c r="B116" s="79" t="s">
        <v>123</v>
      </c>
      <c r="C116" s="72" t="s">
        <v>21</v>
      </c>
      <c r="D116" s="73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4993</v>
      </c>
      <c r="B117" s="79" t="s">
        <v>124</v>
      </c>
      <c r="C117" s="72" t="s">
        <v>33</v>
      </c>
      <c r="D117" s="73">
        <v>1001060764993</v>
      </c>
      <c r="E117" s="24"/>
      <c r="F117" s="23">
        <v>0.25</v>
      </c>
      <c r="G117" s="23">
        <f>E117*F117</f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8"/>
        <v>6937</v>
      </c>
      <c r="B118" s="79" t="s">
        <v>125</v>
      </c>
      <c r="C118" s="72" t="s">
        <v>33</v>
      </c>
      <c r="D118" s="73">
        <v>1001063106937</v>
      </c>
      <c r="E118" s="24"/>
      <c r="F118" s="23">
        <v>0.25</v>
      </c>
      <c r="G118" s="23">
        <f>E118*F118</f>
        <v>0</v>
      </c>
      <c r="H118" s="14"/>
      <c r="I118" s="14"/>
      <c r="J118" s="29"/>
    </row>
    <row r="119" spans="1:10" ht="16.5" customHeight="1" x14ac:dyDescent="0.25">
      <c r="A119" s="59" t="str">
        <f t="shared" si="8"/>
        <v>5682</v>
      </c>
      <c r="B119" s="79" t="s">
        <v>126</v>
      </c>
      <c r="C119" s="72" t="s">
        <v>21</v>
      </c>
      <c r="D119" s="73">
        <v>1001193115682</v>
      </c>
      <c r="E119" s="24"/>
      <c r="F119" s="23">
        <v>0.12</v>
      </c>
      <c r="G119" s="23">
        <f>E119*F119</f>
        <v>0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8"/>
        <v>5679</v>
      </c>
      <c r="B120" s="79" t="s">
        <v>127</v>
      </c>
      <c r="C120" s="72" t="s">
        <v>21</v>
      </c>
      <c r="D120" s="73">
        <v>1001190765679</v>
      </c>
      <c r="E120" s="24"/>
      <c r="F120" s="23">
        <v>0.15</v>
      </c>
      <c r="G120" s="23">
        <f>F120*E120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4117</v>
      </c>
      <c r="B121" s="79" t="s">
        <v>128</v>
      </c>
      <c r="C121" s="72" t="s">
        <v>23</v>
      </c>
      <c r="D121" s="73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8"/>
        <v>5483</v>
      </c>
      <c r="B122" s="79" t="s">
        <v>129</v>
      </c>
      <c r="C122" s="72" t="s">
        <v>21</v>
      </c>
      <c r="D122" s="73">
        <v>1001062505483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8"/>
        <v>6453</v>
      </c>
      <c r="B123" s="79" t="s">
        <v>130</v>
      </c>
      <c r="C123" s="72" t="s">
        <v>33</v>
      </c>
      <c r="D123" s="73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8"/>
        <v>6557</v>
      </c>
      <c r="B124" s="79" t="s">
        <v>131</v>
      </c>
      <c r="C124" s="72" t="s">
        <v>33</v>
      </c>
      <c r="D124" s="73">
        <v>1001200756557</v>
      </c>
      <c r="E124" s="24"/>
      <c r="F124" s="23">
        <v>0.1</v>
      </c>
      <c r="G124" s="23">
        <f>E124*F124</f>
        <v>0</v>
      </c>
      <c r="H124" s="14"/>
      <c r="I124" s="14"/>
      <c r="J124" s="29"/>
    </row>
    <row r="125" spans="1:10" ht="16.5" customHeight="1" x14ac:dyDescent="0.25">
      <c r="A125" s="59" t="str">
        <f t="shared" si="8"/>
        <v>6228</v>
      </c>
      <c r="B125" s="79" t="s">
        <v>132</v>
      </c>
      <c r="C125" s="72" t="s">
        <v>33</v>
      </c>
      <c r="D125" s="73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6221</v>
      </c>
      <c r="B126" s="79" t="s">
        <v>133</v>
      </c>
      <c r="C126" s="72" t="s">
        <v>33</v>
      </c>
      <c r="D126" s="73">
        <v>1001205376221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thickBot="1" x14ac:dyDescent="0.3">
      <c r="A127" s="59" t="str">
        <f t="shared" si="8"/>
        <v>3287</v>
      </c>
      <c r="B127" s="79" t="s">
        <v>134</v>
      </c>
      <c r="C127" s="72" t="s">
        <v>23</v>
      </c>
      <c r="D127" s="73">
        <v>1001060763287</v>
      </c>
      <c r="E127" s="24"/>
      <c r="F127" s="23">
        <v>0.51300000000000001</v>
      </c>
      <c r="G127" s="23">
        <f>E127</f>
        <v>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8"/>
        <v/>
      </c>
      <c r="B128" s="46" t="s">
        <v>135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8"/>
        <v>6866</v>
      </c>
      <c r="B129" s="76" t="s">
        <v>136</v>
      </c>
      <c r="C129" s="72" t="s">
        <v>38</v>
      </c>
      <c r="D129" s="78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3215</v>
      </c>
      <c r="B130" s="79" t="s">
        <v>137</v>
      </c>
      <c r="C130" s="72" t="s">
        <v>33</v>
      </c>
      <c r="D130" s="42">
        <v>1001094053215</v>
      </c>
      <c r="E130" s="24"/>
      <c r="F130" s="23">
        <v>0.4</v>
      </c>
      <c r="G130" s="23">
        <f>E130*F130</f>
        <v>0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8"/>
        <v>6025</v>
      </c>
      <c r="B131" s="79" t="s">
        <v>138</v>
      </c>
      <c r="C131" s="72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x14ac:dyDescent="0.25">
      <c r="A132" s="59" t="str">
        <f t="shared" si="8"/>
        <v>6470</v>
      </c>
      <c r="B132" s="79" t="s">
        <v>139</v>
      </c>
      <c r="C132" s="72" t="s">
        <v>23</v>
      </c>
      <c r="D132" s="42">
        <v>1001092436470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8"/>
        <v>4584</v>
      </c>
      <c r="B133" s="79" t="s">
        <v>140</v>
      </c>
      <c r="C133" s="72" t="s">
        <v>23</v>
      </c>
      <c r="D133" s="42">
        <v>1001092674584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8"/>
        <v>6472</v>
      </c>
      <c r="B134" s="79" t="s">
        <v>141</v>
      </c>
      <c r="C134" s="72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ref="A135:A143" si="9">RIGHT(D135,4)</f>
        <v>5452</v>
      </c>
      <c r="B135" s="50" t="s">
        <v>142</v>
      </c>
      <c r="C135" s="72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si="9"/>
        <v>5495</v>
      </c>
      <c r="B136" s="50" t="s">
        <v>143</v>
      </c>
      <c r="C136" s="72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9"/>
        <v>6495</v>
      </c>
      <c r="B137" s="50" t="s">
        <v>144</v>
      </c>
      <c r="C137" s="72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9"/>
        <v/>
      </c>
      <c r="B138" s="46" t="s">
        <v>145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9"/>
        <v>6448</v>
      </c>
      <c r="B139" s="37" t="s">
        <v>146</v>
      </c>
      <c r="C139" s="72" t="s">
        <v>33</v>
      </c>
      <c r="D139" s="73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9"/>
        <v>7090</v>
      </c>
      <c r="B140" s="37" t="s">
        <v>147</v>
      </c>
      <c r="C140" s="72" t="s">
        <v>33</v>
      </c>
      <c r="D140" s="73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9"/>
        <v>6208</v>
      </c>
      <c r="B141" s="37" t="s">
        <v>148</v>
      </c>
      <c r="C141" s="72" t="s">
        <v>21</v>
      </c>
      <c r="D141" s="73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9"/>
        <v>7053</v>
      </c>
      <c r="B142" s="37" t="s">
        <v>149</v>
      </c>
      <c r="C142" s="72" t="s">
        <v>23</v>
      </c>
      <c r="D142" s="73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9"/>
        <v>7103</v>
      </c>
      <c r="B143" s="58" t="s">
        <v>150</v>
      </c>
      <c r="C143" s="53" t="s">
        <v>33</v>
      </c>
      <c r="D143" s="54">
        <v>1001223297103</v>
      </c>
      <c r="E143" s="24"/>
      <c r="F143" s="74">
        <v>0.18</v>
      </c>
      <c r="G143" s="23">
        <f>E143*F143</f>
        <v>0</v>
      </c>
      <c r="H143" s="75">
        <v>1.8</v>
      </c>
      <c r="I143" s="75">
        <v>45</v>
      </c>
      <c r="J143" s="75"/>
      <c r="K143" s="27"/>
    </row>
    <row r="144" spans="1:11" ht="16.5" customHeight="1" thickTop="1" thickBot="1" x14ac:dyDescent="0.3">
      <c r="A144" s="62"/>
      <c r="B144" s="49" t="s">
        <v>151</v>
      </c>
      <c r="C144" s="16"/>
      <c r="D144" s="38"/>
      <c r="E144" s="17">
        <f>SUM(E10:E143)</f>
        <v>0</v>
      </c>
      <c r="F144" s="17"/>
      <c r="G144" s="17">
        <f>SUM(G11:G143)</f>
        <v>0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2025-11-05T09:17:12Z</dcterms:modified>
</cp:coreProperties>
</file>