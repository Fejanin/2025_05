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099B91F1-8736-4E41-B06F-E7DBCC22D1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Бланк!$A$9:$K$140</definedName>
    <definedName name="кол_во_инд.__упак_к">Бланк!$AC$3:$AC$576</definedName>
    <definedName name="номин.вес_нетто__кг">Бланк!$W$3:$W$576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0" i="1" l="1"/>
  <c r="G139" i="1"/>
  <c r="A139" i="1"/>
  <c r="G138" i="1"/>
  <c r="A138" i="1"/>
  <c r="G137" i="1"/>
  <c r="A137" i="1"/>
  <c r="G136" i="1"/>
  <c r="A136" i="1"/>
  <c r="G135" i="1"/>
  <c r="A135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A60" i="1"/>
  <c r="G59" i="1"/>
  <c r="A59" i="1"/>
  <c r="G58" i="1"/>
  <c r="A58" i="1"/>
  <c r="G57" i="1"/>
  <c r="A57" i="1"/>
  <c r="G56" i="1"/>
  <c r="A56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0" i="1" l="1"/>
</calcChain>
</file>

<file path=xl/sharedStrings.xml><?xml version="1.0" encoding="utf-8"?>
<sst xmlns="http://schemas.openxmlformats.org/spreadsheetml/2006/main" count="273" uniqueCount="154">
  <si>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</si>
  <si>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</si>
  <si>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</si>
  <si>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</si>
  <si>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</si>
  <si>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</si>
  <si>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</si>
  <si>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</si>
  <si>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</si>
  <si>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</si>
  <si>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</si>
  <si>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</si>
  <si>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</si>
  <si>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</si>
  <si>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</si>
  <si>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</si>
  <si>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</si>
  <si>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</si>
  <si>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</si>
  <si>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</si>
  <si>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</si>
  <si>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</si>
  <si>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</si>
  <si>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</si>
  <si>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</si>
  <si>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</si>
  <si>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</si>
  <si>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</si>
  <si>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</si>
  <si>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</si>
  <si>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</si>
  <si>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</si>
  <si>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</si>
  <si>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</si>
  <si>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</si>
  <si>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</si>
  <si>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</si>
  <si>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</si>
  <si>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</si>
  <si>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</si>
  <si>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</si>
  <si>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</si>
  <si>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</si>
  <si>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</si>
  <si>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</si>
  <si>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</si>
  <si>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</si>
  <si>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</si>
  <si>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</si>
  <si>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</si>
  <si>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</si>
  <si>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</si>
  <si>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</si>
  <si>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</si>
  <si>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</si>
  <si>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</si>
  <si>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</si>
  <si>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</si>
  <si>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</si>
  <si>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</si>
  <si>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</si>
  <si>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</si>
  <si>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</si>
  <si>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</si>
  <si>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</si>
  <si>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</si>
  <si>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</si>
  <si>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</si>
  <si>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</si>
  <si>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</si>
  <si>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</si>
  <si>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</si>
  <si>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</si>
  <si>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</si>
  <si>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</si>
  <si>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</si>
  <si>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</si>
  <si>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</si>
  <si>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</si>
  <si>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</si>
  <si>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</si>
  <si>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</si>
  <si>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</si>
  <si>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</si>
  <si>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</si>
  <si>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</si>
  <si>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</si>
  <si>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</si>
  <si>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</si>
  <si>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</si>
  <si>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</si>
  <si>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</si>
  <si>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</si>
  <si>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</si>
  <si>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</si>
  <si>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</si>
  <si>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</si>
  <si>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</si>
  <si>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</si>
  <si>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</si>
  <si>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</si>
  <si>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</si>
  <si>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</si>
  <si>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</si>
  <si>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</si>
  <si>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</si>
  <si>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</si>
  <si>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</si>
  <si>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</si>
  <si>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</si>
  <si>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</si>
  <si>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</si>
  <si>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</si>
  <si>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</si>
  <si>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</si>
  <si>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</si>
  <si>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</si>
  <si>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</si>
  <si>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</si>
  <si>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</si>
  <si>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</si>
  <si>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</si>
  <si>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</si>
  <si>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</si>
  <si>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</si>
  <si>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</si>
  <si>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</si>
  <si>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</si>
  <si>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</si>
  <si>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</si>
  <si>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</si>
  <si>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</si>
  <si>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</si>
  <si>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</si>
  <si>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</si>
  <si>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</si>
  <si>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</si>
  <si>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</si>
  <si>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</si>
  <si>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</si>
  <si>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</si>
  <si>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</si>
  <si>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</si>
  <si>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</si>
  <si>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</si>
  <si>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</si>
  <si>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</si>
  <si>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</si>
  <si>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</si>
  <si>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</si>
  <si>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</si>
  <si>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</si>
  <si>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</si>
  <si>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ДЛЯ ДЕТЕЙ сос п/о мгс 0.33кг 6шт.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</si>
</sst>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4"/>
  <sheetViews>
    <sheetView tabSelected="1" zoomScale="87" zoomScaleNormal="87" workbookViewId="0">
      <pane ySplit="9" topLeftCell="A137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45969</v>
      </c>
      <c r="E3" s="7" t="s">
        <v>3</v>
      </c>
      <c r="F3" s="82">
        <f>D3+3</f>
        <v>45972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7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80" t="s">
        <v>46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6303</v>
      </c>
      <c r="B35" s="55" t="s">
        <v>47</v>
      </c>
      <c r="C35" s="53" t="s">
        <v>23</v>
      </c>
      <c r="D35" s="54">
        <v>1001022726303</v>
      </c>
      <c r="E35" s="24"/>
      <c r="F35" s="23">
        <v>1.05</v>
      </c>
      <c r="G35" s="23">
        <f>E35</f>
        <v>0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0"/>
        <v>5819</v>
      </c>
      <c r="B36" s="36" t="s">
        <v>48</v>
      </c>
      <c r="C36" s="73" t="s">
        <v>21</v>
      </c>
      <c r="D36" s="74">
        <v>1001022725819</v>
      </c>
      <c r="E36" s="24"/>
      <c r="F36" s="23">
        <v>0.4</v>
      </c>
      <c r="G36" s="23">
        <f t="shared" ref="G36:G39" si="2"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6762</v>
      </c>
      <c r="B37" s="36" t="s">
        <v>49</v>
      </c>
      <c r="C37" s="73" t="s">
        <v>21</v>
      </c>
      <c r="D37" s="74">
        <v>1001020846762</v>
      </c>
      <c r="E37" s="24"/>
      <c r="F37" s="23">
        <v>0.41</v>
      </c>
      <c r="G37" s="23">
        <f t="shared" si="2"/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ref="A38:A69" si="3">RIGHT(D38,4)</f>
        <v>6765</v>
      </c>
      <c r="B38" s="36" t="s">
        <v>50</v>
      </c>
      <c r="C38" s="73" t="s">
        <v>21</v>
      </c>
      <c r="D38" s="74">
        <v>1001023696765</v>
      </c>
      <c r="E38" s="24"/>
      <c r="F38" s="23">
        <v>0.36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3"/>
        <v>6759</v>
      </c>
      <c r="B39" s="36" t="s">
        <v>51</v>
      </c>
      <c r="C39" s="73" t="s">
        <v>21</v>
      </c>
      <c r="D39" s="74">
        <v>1001020836759</v>
      </c>
      <c r="E39" s="24"/>
      <c r="F39" s="23">
        <v>0.4</v>
      </c>
      <c r="G39" s="23">
        <f t="shared" si="2"/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3"/>
        <v>7082</v>
      </c>
      <c r="B40" s="35" t="s">
        <v>52</v>
      </c>
      <c r="C40" s="73" t="s">
        <v>23</v>
      </c>
      <c r="D40" s="74">
        <v>1001022467082</v>
      </c>
      <c r="E40" s="24"/>
      <c r="F40" s="23">
        <v>2.125</v>
      </c>
      <c r="G40" s="23">
        <f>E40</f>
        <v>0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3"/>
        <v>6767</v>
      </c>
      <c r="B41" s="35" t="s">
        <v>53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3"/>
        <v>7070</v>
      </c>
      <c r="B42" s="35" t="s">
        <v>54</v>
      </c>
      <c r="C42" s="73" t="s">
        <v>23</v>
      </c>
      <c r="D42" s="74">
        <v>1001022377070</v>
      </c>
      <c r="E42" s="24"/>
      <c r="F42" s="23"/>
      <c r="G42" s="23">
        <f>E42</f>
        <v>0</v>
      </c>
      <c r="H42" s="14"/>
      <c r="I42" s="14"/>
      <c r="J42" s="29"/>
    </row>
    <row r="43" spans="1:11" s="15" customFormat="1" ht="16.5" customHeight="1" x14ac:dyDescent="0.25">
      <c r="A43" s="59" t="str">
        <f t="shared" si="3"/>
        <v>6661</v>
      </c>
      <c r="B43" s="52" t="s">
        <v>55</v>
      </c>
      <c r="C43" s="53" t="s">
        <v>23</v>
      </c>
      <c r="D43" s="54">
        <v>1001022246661</v>
      </c>
      <c r="E43" s="24"/>
      <c r="F43" s="23">
        <v>1</v>
      </c>
      <c r="G43" s="23">
        <f>E43</f>
        <v>0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3"/>
        <v>6475</v>
      </c>
      <c r="B44" s="80" t="s">
        <v>56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3"/>
        <v>6713</v>
      </c>
      <c r="B45" s="56" t="s">
        <v>57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3"/>
        <v>6069</v>
      </c>
      <c r="B46" s="51" t="s">
        <v>58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153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si="3"/>
        <v>6764</v>
      </c>
      <c r="B48" s="51" t="s">
        <v>59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60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61</v>
      </c>
      <c r="C50" s="73" t="s">
        <v>23</v>
      </c>
      <c r="D50" s="74">
        <v>1001022657075</v>
      </c>
      <c r="E50" s="24"/>
      <c r="F50" s="23"/>
      <c r="G50" s="23">
        <f>E50</f>
        <v>0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62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6761</v>
      </c>
      <c r="B52" s="51" t="s">
        <v>63</v>
      </c>
      <c r="C52" s="73" t="s">
        <v>23</v>
      </c>
      <c r="D52" s="74">
        <v>1001020836761</v>
      </c>
      <c r="E52" s="24"/>
      <c r="F52" s="23">
        <v>1.0629999999999999</v>
      </c>
      <c r="G52" s="23">
        <f>E52</f>
        <v>0</v>
      </c>
      <c r="H52" s="14">
        <v>4.25</v>
      </c>
      <c r="I52" s="14">
        <v>30</v>
      </c>
      <c r="J52" s="29"/>
    </row>
    <row r="53" spans="1:10" ht="16.5" customHeight="1" x14ac:dyDescent="0.25">
      <c r="A53" s="59" t="str">
        <f t="shared" si="3"/>
        <v>7080</v>
      </c>
      <c r="B53" s="56" t="s">
        <v>64</v>
      </c>
      <c r="C53" s="53" t="s">
        <v>21</v>
      </c>
      <c r="D53" s="54">
        <v>1001022467080</v>
      </c>
      <c r="E53" s="24"/>
      <c r="F53" s="23">
        <v>0.41</v>
      </c>
      <c r="G53" s="23">
        <f>E53*F53</f>
        <v>0</v>
      </c>
      <c r="H53" s="14">
        <v>4.0999999999999996</v>
      </c>
      <c r="I53" s="14">
        <v>45</v>
      </c>
      <c r="J53" s="29"/>
    </row>
    <row r="54" spans="1:10" ht="16.5" customHeight="1" thickBot="1" x14ac:dyDescent="0.3">
      <c r="A54" s="59" t="str">
        <f t="shared" si="3"/>
        <v>7066</v>
      </c>
      <c r="B54" s="56" t="s">
        <v>65</v>
      </c>
      <c r="C54" s="53" t="s">
        <v>21</v>
      </c>
      <c r="D54" s="54">
        <v>1001022377066</v>
      </c>
      <c r="E54" s="24"/>
      <c r="F54" s="23">
        <v>0.41</v>
      </c>
      <c r="G54" s="23">
        <f>E54*F54</f>
        <v>0</v>
      </c>
      <c r="H54" s="14">
        <v>4.0999999999999996</v>
      </c>
      <c r="I54" s="14">
        <v>45</v>
      </c>
      <c r="J54" s="29"/>
    </row>
    <row r="55" spans="1:10" ht="16.5" customHeight="1" thickTop="1" thickBot="1" x14ac:dyDescent="0.3">
      <c r="A55" s="59" t="str">
        <f t="shared" si="3"/>
        <v/>
      </c>
      <c r="B55" s="46" t="s">
        <v>66</v>
      </c>
      <c r="C55" s="46"/>
      <c r="D55" s="46"/>
      <c r="E55" s="46"/>
      <c r="F55" s="46"/>
      <c r="G55" s="23"/>
      <c r="H55" s="46"/>
      <c r="I55" s="46"/>
      <c r="J55" s="47"/>
    </row>
    <row r="56" spans="1:10" ht="16.5" customHeight="1" thickTop="1" x14ac:dyDescent="0.25">
      <c r="A56" s="59" t="str">
        <f t="shared" si="3"/>
        <v>7001</v>
      </c>
      <c r="B56" s="81" t="s">
        <v>67</v>
      </c>
      <c r="C56" s="53" t="s">
        <v>38</v>
      </c>
      <c r="D56" s="54">
        <v>1001035937001</v>
      </c>
      <c r="E56" s="24"/>
      <c r="F56" s="75">
        <v>0.98699999999999999</v>
      </c>
      <c r="G56" s="23">
        <f>E56</f>
        <v>0</v>
      </c>
      <c r="H56" s="76">
        <v>2.96</v>
      </c>
      <c r="I56" s="76">
        <v>45</v>
      </c>
      <c r="J56" s="76"/>
    </row>
    <row r="57" spans="1:10" ht="16.5" customHeight="1" x14ac:dyDescent="0.25">
      <c r="A57" s="59" t="str">
        <f t="shared" si="3"/>
        <v>6527</v>
      </c>
      <c r="B57" s="72" t="s">
        <v>68</v>
      </c>
      <c r="C57" s="73" t="s">
        <v>38</v>
      </c>
      <c r="D57" s="74">
        <v>1001031076527</v>
      </c>
      <c r="E57" s="24"/>
      <c r="F57" s="23">
        <v>1</v>
      </c>
      <c r="G57" s="23">
        <f>E57</f>
        <v>0</v>
      </c>
      <c r="H57" s="14">
        <v>3</v>
      </c>
      <c r="I57" s="14">
        <v>45</v>
      </c>
      <c r="J57" s="29"/>
    </row>
    <row r="58" spans="1:10" ht="16.5" customHeight="1" x14ac:dyDescent="0.25">
      <c r="A58" s="59" t="str">
        <f t="shared" si="3"/>
        <v>6550</v>
      </c>
      <c r="B58" s="51" t="s">
        <v>69</v>
      </c>
      <c r="C58" s="73" t="s">
        <v>23</v>
      </c>
      <c r="D58" s="74">
        <v>1001032736550</v>
      </c>
      <c r="E58" s="24"/>
      <c r="F58" s="23">
        <v>1</v>
      </c>
      <c r="G58" s="23">
        <f>E58</f>
        <v>0</v>
      </c>
      <c r="H58" s="14"/>
      <c r="I58" s="14"/>
      <c r="J58" s="29"/>
    </row>
    <row r="59" spans="1:10" ht="16.5" customHeight="1" thickBot="1" x14ac:dyDescent="0.3">
      <c r="A59" s="59" t="str">
        <f t="shared" si="3"/>
        <v>6608</v>
      </c>
      <c r="B59" s="51" t="s">
        <v>70</v>
      </c>
      <c r="C59" s="73" t="s">
        <v>23</v>
      </c>
      <c r="D59" s="74">
        <v>1001033856608</v>
      </c>
      <c r="E59" s="24"/>
      <c r="F59" s="23">
        <v>0.99</v>
      </c>
      <c r="G59" s="23">
        <f>E59</f>
        <v>0</v>
      </c>
      <c r="H59" s="14">
        <v>2.97</v>
      </c>
      <c r="I59" s="14">
        <v>45</v>
      </c>
      <c r="J59" s="29"/>
    </row>
    <row r="60" spans="1:10" ht="16.5" customHeight="1" thickTop="1" thickBot="1" x14ac:dyDescent="0.3">
      <c r="A60" s="59" t="str">
        <f t="shared" si="3"/>
        <v/>
      </c>
      <c r="B60" s="46" t="s">
        <v>71</v>
      </c>
      <c r="C60" s="46"/>
      <c r="D60" s="46"/>
      <c r="E60" s="46"/>
      <c r="F60" s="46"/>
      <c r="G60" s="46"/>
      <c r="H60" s="46"/>
      <c r="I60" s="46"/>
      <c r="J60" s="47"/>
    </row>
    <row r="61" spans="1:10" ht="16.5" customHeight="1" thickTop="1" x14ac:dyDescent="0.25">
      <c r="A61" s="59" t="str">
        <f t="shared" si="3"/>
        <v>6586</v>
      </c>
      <c r="B61" s="80" t="s">
        <v>72</v>
      </c>
      <c r="C61" s="73" t="s">
        <v>21</v>
      </c>
      <c r="D61" s="74">
        <v>1001215576586</v>
      </c>
      <c r="E61" s="24"/>
      <c r="F61" s="23">
        <v>0.09</v>
      </c>
      <c r="G61" s="23">
        <f>E61*F61</f>
        <v>0</v>
      </c>
      <c r="H61" s="14"/>
      <c r="I61" s="14"/>
      <c r="J61" s="29"/>
    </row>
    <row r="62" spans="1:10" ht="16.5" customHeight="1" x14ac:dyDescent="0.25">
      <c r="A62" s="59" t="str">
        <f t="shared" si="3"/>
        <v>7144</v>
      </c>
      <c r="B62" s="80" t="s">
        <v>73</v>
      </c>
      <c r="C62" s="73" t="s">
        <v>21</v>
      </c>
      <c r="D62" s="74">
        <v>1001304527144</v>
      </c>
      <c r="E62" s="24"/>
      <c r="F62" s="23">
        <v>0.33</v>
      </c>
      <c r="G62" s="23">
        <f>F62*E62</f>
        <v>0</v>
      </c>
      <c r="H62" s="14"/>
      <c r="I62" s="14"/>
      <c r="J62" s="29"/>
    </row>
    <row r="63" spans="1:10" ht="16.5" customHeight="1" x14ac:dyDescent="0.25">
      <c r="A63" s="59" t="str">
        <f t="shared" si="3"/>
        <v>7146</v>
      </c>
      <c r="B63" s="80" t="s">
        <v>74</v>
      </c>
      <c r="C63" s="73" t="s">
        <v>23</v>
      </c>
      <c r="D63" s="74">
        <v>1001304527146</v>
      </c>
      <c r="E63" s="24"/>
      <c r="F63" s="23"/>
      <c r="G63" s="23">
        <f>E63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7149</v>
      </c>
      <c r="B64" s="80" t="s">
        <v>75</v>
      </c>
      <c r="C64" s="73" t="s">
        <v>23</v>
      </c>
      <c r="D64" s="74">
        <v>1001303637149</v>
      </c>
      <c r="E64" s="24"/>
      <c r="F64" s="23"/>
      <c r="G64" s="23">
        <f>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7131</v>
      </c>
      <c r="B65" s="80" t="s">
        <v>76</v>
      </c>
      <c r="C65" s="73" t="s">
        <v>23</v>
      </c>
      <c r="D65" s="74">
        <v>1001303637131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7233</v>
      </c>
      <c r="B66" s="80" t="s">
        <v>77</v>
      </c>
      <c r="C66" s="73" t="s">
        <v>21</v>
      </c>
      <c r="D66" s="74">
        <v>1001303637233</v>
      </c>
      <c r="E66" s="24"/>
      <c r="F66" s="23">
        <v>0.31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6666</v>
      </c>
      <c r="B67" s="50" t="s">
        <v>78</v>
      </c>
      <c r="C67" s="73" t="s">
        <v>21</v>
      </c>
      <c r="D67" s="74">
        <v>1001302276666</v>
      </c>
      <c r="E67" s="24"/>
      <c r="F67" s="23">
        <v>0.28000000000000003</v>
      </c>
      <c r="G67" s="23">
        <f t="shared" ref="G67:G72" si="4">E67*F67</f>
        <v>0</v>
      </c>
      <c r="H67" s="14">
        <v>2.2400000000000002</v>
      </c>
      <c r="I67" s="14">
        <v>45</v>
      </c>
      <c r="J67" s="29"/>
    </row>
    <row r="68" spans="1:10" ht="16.5" customHeight="1" x14ac:dyDescent="0.25">
      <c r="A68" s="59" t="str">
        <f t="shared" si="3"/>
        <v>7173</v>
      </c>
      <c r="B68" s="80" t="s">
        <v>79</v>
      </c>
      <c r="C68" s="73" t="s">
        <v>21</v>
      </c>
      <c r="D68" s="74">
        <v>1001302277173</v>
      </c>
      <c r="E68" s="24"/>
      <c r="F68" s="23">
        <v>0.28000000000000003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59" t="str">
        <f t="shared" si="3"/>
        <v>7232</v>
      </c>
      <c r="B69" s="80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59" t="str">
        <f t="shared" ref="A70:A101" si="5">RIGHT(D70,4)</f>
        <v>6773</v>
      </c>
      <c r="B70" s="50" t="s">
        <v>81</v>
      </c>
      <c r="C70" s="73" t="s">
        <v>21</v>
      </c>
      <c r="D70" s="74">
        <v>1001303106773</v>
      </c>
      <c r="E70" s="24"/>
      <c r="F70" s="23">
        <v>0.28000000000000003</v>
      </c>
      <c r="G70" s="23">
        <f t="shared" si="4"/>
        <v>0</v>
      </c>
      <c r="H70" s="14">
        <v>2.2400000000000002</v>
      </c>
      <c r="I70" s="14">
        <v>45</v>
      </c>
      <c r="J70" s="29"/>
    </row>
    <row r="71" spans="1:10" ht="16.5" customHeight="1" x14ac:dyDescent="0.25">
      <c r="A71" s="59" t="str">
        <f t="shared" si="5"/>
        <v>7241</v>
      </c>
      <c r="B71" s="50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59" t="str">
        <f t="shared" si="5"/>
        <v>6683</v>
      </c>
      <c r="B72" s="50" t="s">
        <v>83</v>
      </c>
      <c r="C72" s="73" t="s">
        <v>21</v>
      </c>
      <c r="D72" s="74">
        <v>1001300386683</v>
      </c>
      <c r="E72" s="24"/>
      <c r="F72" s="23">
        <v>0.35</v>
      </c>
      <c r="G72" s="23">
        <f t="shared" si="4"/>
        <v>0</v>
      </c>
      <c r="H72" s="14">
        <v>2.8</v>
      </c>
      <c r="I72" s="14">
        <v>45</v>
      </c>
      <c r="J72" s="29"/>
    </row>
    <row r="73" spans="1:10" ht="15.75" customHeight="1" x14ac:dyDescent="0.25">
      <c r="A73" s="59" t="str">
        <f t="shared" si="5"/>
        <v>5489</v>
      </c>
      <c r="B73" s="80" t="s">
        <v>84</v>
      </c>
      <c r="C73" s="73" t="s">
        <v>23</v>
      </c>
      <c r="D73" s="74">
        <v>1001050385489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5"/>
        <v>6787</v>
      </c>
      <c r="B74" s="52" t="s">
        <v>85</v>
      </c>
      <c r="C74" s="53" t="s">
        <v>21</v>
      </c>
      <c r="D74" s="54">
        <v>1001300456787</v>
      </c>
      <c r="E74" s="24"/>
      <c r="F74" s="75">
        <v>0.33</v>
      </c>
      <c r="G74" s="23">
        <f t="shared" ref="G74:G79" si="6">E74*F74</f>
        <v>0</v>
      </c>
      <c r="H74" s="76">
        <v>5.04</v>
      </c>
      <c r="I74" s="76">
        <v>45</v>
      </c>
      <c r="J74" s="76"/>
    </row>
    <row r="75" spans="1:10" ht="16.5" customHeight="1" x14ac:dyDescent="0.25">
      <c r="A75" s="59" t="str">
        <f t="shared" si="5"/>
        <v>6697</v>
      </c>
      <c r="B75" s="50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6"/>
        <v>0</v>
      </c>
      <c r="H75" s="14">
        <v>2.8</v>
      </c>
      <c r="I75" s="14">
        <v>45</v>
      </c>
      <c r="J75" s="29"/>
    </row>
    <row r="76" spans="1:10" ht="16.5" customHeight="1" x14ac:dyDescent="0.25">
      <c r="A76" s="59" t="str">
        <f t="shared" si="5"/>
        <v>6701</v>
      </c>
      <c r="B76" s="50" t="s">
        <v>87</v>
      </c>
      <c r="C76" s="73" t="s">
        <v>21</v>
      </c>
      <c r="D76" s="74">
        <v>1001304496701</v>
      </c>
      <c r="E76" s="24"/>
      <c r="F76" s="23">
        <v>0.28000000000000003</v>
      </c>
      <c r="G76" s="23">
        <f t="shared" si="6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5"/>
        <v>7237</v>
      </c>
      <c r="B77" s="50" t="s">
        <v>88</v>
      </c>
      <c r="C77" s="73" t="s">
        <v>21</v>
      </c>
      <c r="D77" s="74">
        <v>1001304497237</v>
      </c>
      <c r="E77" s="24"/>
      <c r="F77" s="23">
        <v>0.28000000000000003</v>
      </c>
      <c r="G77" s="23">
        <f t="shared" si="6"/>
        <v>0</v>
      </c>
      <c r="H77" s="14"/>
      <c r="I77" s="14"/>
      <c r="J77" s="29"/>
    </row>
    <row r="78" spans="1:10" ht="16.5" customHeight="1" x14ac:dyDescent="0.25">
      <c r="A78" s="59" t="str">
        <f t="shared" si="5"/>
        <v>6684</v>
      </c>
      <c r="B78" s="52" t="s">
        <v>89</v>
      </c>
      <c r="C78" s="53" t="s">
        <v>21</v>
      </c>
      <c r="D78" s="54">
        <v>1001304506684</v>
      </c>
      <c r="E78" s="24"/>
      <c r="F78" s="23">
        <v>0.28000000000000003</v>
      </c>
      <c r="G78" s="23">
        <f t="shared" si="6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5"/>
        <v>6689</v>
      </c>
      <c r="B79" s="57" t="s">
        <v>90</v>
      </c>
      <c r="C79" s="53" t="s">
        <v>33</v>
      </c>
      <c r="D79" s="54">
        <v>1001303986689</v>
      </c>
      <c r="E79" s="24"/>
      <c r="F79" s="23">
        <v>0.35</v>
      </c>
      <c r="G79" s="23">
        <f t="shared" si="6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5"/>
        <v>7157</v>
      </c>
      <c r="B80" s="80" t="s">
        <v>91</v>
      </c>
      <c r="C80" s="73" t="s">
        <v>23</v>
      </c>
      <c r="D80" s="74">
        <v>1001300387157</v>
      </c>
      <c r="E80" s="24"/>
      <c r="F80" s="23"/>
      <c r="G80" s="23">
        <f>E80</f>
        <v>0</v>
      </c>
      <c r="H80" s="14"/>
      <c r="I80" s="14"/>
      <c r="J80" s="29"/>
    </row>
    <row r="81" spans="1:10" ht="16.5" customHeight="1" x14ac:dyDescent="0.25">
      <c r="A81" s="59" t="str">
        <f t="shared" si="5"/>
        <v>7166</v>
      </c>
      <c r="B81" s="80" t="s">
        <v>92</v>
      </c>
      <c r="C81" s="73" t="s">
        <v>23</v>
      </c>
      <c r="D81" s="74">
        <v>1001303987166</v>
      </c>
      <c r="E81" s="24"/>
      <c r="F81" s="23"/>
      <c r="G81" s="23">
        <f>E81</f>
        <v>0</v>
      </c>
      <c r="H81" s="14"/>
      <c r="I81" s="14"/>
      <c r="J81" s="29"/>
    </row>
    <row r="82" spans="1:10" ht="16.5" customHeight="1" x14ac:dyDescent="0.25">
      <c r="A82" s="59" t="str">
        <f t="shared" si="5"/>
        <v>7154</v>
      </c>
      <c r="B82" s="80" t="s">
        <v>93</v>
      </c>
      <c r="C82" s="73" t="s">
        <v>21</v>
      </c>
      <c r="D82" s="74">
        <v>1001300387154</v>
      </c>
      <c r="E82" s="24"/>
      <c r="F82" s="23">
        <v>0.35</v>
      </c>
      <c r="G82" s="23">
        <f>E82*F82</f>
        <v>0</v>
      </c>
      <c r="H82" s="14"/>
      <c r="I82" s="14"/>
      <c r="J82" s="29"/>
    </row>
    <row r="83" spans="1:10" ht="16.5" customHeight="1" x14ac:dyDescent="0.25">
      <c r="A83" s="59" t="str">
        <f t="shared" si="5"/>
        <v>7169</v>
      </c>
      <c r="B83" s="80" t="s">
        <v>94</v>
      </c>
      <c r="C83" s="73" t="s">
        <v>21</v>
      </c>
      <c r="D83" s="74">
        <v>1001303987169</v>
      </c>
      <c r="E83" s="24"/>
      <c r="F83" s="23">
        <v>0.35</v>
      </c>
      <c r="G83" s="23">
        <f>E83*F83</f>
        <v>0</v>
      </c>
      <c r="H83" s="14"/>
      <c r="I83" s="14"/>
      <c r="J83" s="29"/>
    </row>
    <row r="84" spans="1:10" ht="16.5" customHeight="1" x14ac:dyDescent="0.25">
      <c r="A84" s="59" t="str">
        <f t="shared" si="5"/>
        <v>5341</v>
      </c>
      <c r="B84" s="80" t="s">
        <v>95</v>
      </c>
      <c r="C84" s="73" t="s">
        <v>23</v>
      </c>
      <c r="D84" s="74">
        <v>1001053985341</v>
      </c>
      <c r="E84" s="24"/>
      <c r="F84" s="23">
        <v>0.69499999999999995</v>
      </c>
      <c r="G84" s="23">
        <f>E84</f>
        <v>0</v>
      </c>
      <c r="H84" s="14">
        <v>5.56</v>
      </c>
      <c r="I84" s="14">
        <v>45</v>
      </c>
      <c r="J84" s="29"/>
    </row>
    <row r="85" spans="1:10" ht="15.75" customHeight="1" x14ac:dyDescent="0.25">
      <c r="A85" s="59" t="str">
        <f t="shared" si="5"/>
        <v>5544</v>
      </c>
      <c r="B85" s="80" t="s">
        <v>96</v>
      </c>
      <c r="C85" s="73" t="s">
        <v>23</v>
      </c>
      <c r="D85" s="74">
        <v>1001051875544</v>
      </c>
      <c r="E85" s="24"/>
      <c r="F85" s="23">
        <v>0.83399999999999996</v>
      </c>
      <c r="G85" s="23">
        <f>E85</f>
        <v>0</v>
      </c>
      <c r="H85" s="14">
        <v>5</v>
      </c>
      <c r="I85" s="14">
        <v>45</v>
      </c>
      <c r="J85" s="29"/>
    </row>
    <row r="86" spans="1:10" ht="15.75" customHeight="1" x14ac:dyDescent="0.25">
      <c r="A86" s="59" t="str">
        <f t="shared" si="5"/>
        <v>6790</v>
      </c>
      <c r="B86" s="80" t="s">
        <v>97</v>
      </c>
      <c r="C86" s="73" t="s">
        <v>23</v>
      </c>
      <c r="D86" s="74">
        <v>1001300366790</v>
      </c>
      <c r="E86" s="24"/>
      <c r="F86" s="23">
        <v>1</v>
      </c>
      <c r="G86" s="23">
        <f>E86</f>
        <v>0</v>
      </c>
      <c r="H86" s="14"/>
      <c r="I86" s="14">
        <v>45</v>
      </c>
      <c r="J86" s="71"/>
    </row>
    <row r="87" spans="1:10" ht="15.75" customHeight="1" x14ac:dyDescent="0.25">
      <c r="A87" s="59" t="str">
        <f t="shared" si="5"/>
        <v>7133</v>
      </c>
      <c r="B87" s="80" t="s">
        <v>98</v>
      </c>
      <c r="C87" s="73" t="s">
        <v>23</v>
      </c>
      <c r="D87" s="74">
        <v>1001300367133</v>
      </c>
      <c r="E87" s="24"/>
      <c r="F87" s="23"/>
      <c r="G87" s="23">
        <f>E87</f>
        <v>0</v>
      </c>
      <c r="H87" s="14"/>
      <c r="I87" s="14"/>
      <c r="J87" s="71"/>
    </row>
    <row r="88" spans="1:10" ht="15.75" customHeight="1" x14ac:dyDescent="0.25">
      <c r="A88" s="59" t="str">
        <f t="shared" si="5"/>
        <v>6791</v>
      </c>
      <c r="B88" s="80" t="s">
        <v>99</v>
      </c>
      <c r="C88" s="73" t="s">
        <v>21</v>
      </c>
      <c r="D88" s="74">
        <v>1001304096791</v>
      </c>
      <c r="E88" s="24"/>
      <c r="F88" s="23">
        <v>0.33</v>
      </c>
      <c r="G88" s="23">
        <f>E88*F88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5"/>
        <v>6792</v>
      </c>
      <c r="B89" s="80" t="s">
        <v>100</v>
      </c>
      <c r="C89" s="73" t="s">
        <v>23</v>
      </c>
      <c r="D89" s="74">
        <v>1001304096792</v>
      </c>
      <c r="E89" s="24"/>
      <c r="F89" s="23">
        <v>1</v>
      </c>
      <c r="G89" s="23">
        <f>E89</f>
        <v>0</v>
      </c>
      <c r="H89" s="14"/>
      <c r="I89" s="14">
        <v>45</v>
      </c>
      <c r="J89" s="71"/>
    </row>
    <row r="90" spans="1:10" ht="15.75" customHeight="1" x14ac:dyDescent="0.25">
      <c r="A90" s="59" t="str">
        <f t="shared" si="5"/>
        <v>6564</v>
      </c>
      <c r="B90" s="80" t="s">
        <v>101</v>
      </c>
      <c r="C90" s="73" t="s">
        <v>21</v>
      </c>
      <c r="D90" s="74">
        <v>1001305196564</v>
      </c>
      <c r="E90" s="24"/>
      <c r="F90" s="23">
        <v>0.31</v>
      </c>
      <c r="G90" s="23">
        <f t="shared" ref="G90:G95" si="7">F90*E90</f>
        <v>0</v>
      </c>
      <c r="H90" s="14"/>
      <c r="I90" s="14"/>
      <c r="J90" s="71"/>
    </row>
    <row r="91" spans="1:10" ht="15.75" customHeight="1" x14ac:dyDescent="0.25">
      <c r="A91" s="59" t="str">
        <f t="shared" si="5"/>
        <v>7238</v>
      </c>
      <c r="B91" s="80" t="s">
        <v>102</v>
      </c>
      <c r="C91" s="73" t="s">
        <v>21</v>
      </c>
      <c r="D91" s="74">
        <v>1001305197238</v>
      </c>
      <c r="E91" s="24"/>
      <c r="F91" s="23">
        <v>0.31</v>
      </c>
      <c r="G91" s="23">
        <f t="shared" si="7"/>
        <v>0</v>
      </c>
      <c r="H91" s="14"/>
      <c r="I91" s="14"/>
      <c r="J91" s="71"/>
    </row>
    <row r="92" spans="1:10" ht="15.75" customHeight="1" x14ac:dyDescent="0.25">
      <c r="A92" s="59" t="str">
        <f t="shared" si="5"/>
        <v>6565</v>
      </c>
      <c r="B92" s="80" t="s">
        <v>103</v>
      </c>
      <c r="C92" s="73" t="s">
        <v>21</v>
      </c>
      <c r="D92" s="74">
        <v>1001305316565</v>
      </c>
      <c r="E92" s="24"/>
      <c r="F92" s="23">
        <v>0.31</v>
      </c>
      <c r="G92" s="23">
        <f t="shared" si="7"/>
        <v>0</v>
      </c>
      <c r="H92" s="14"/>
      <c r="I92" s="14"/>
      <c r="J92" s="71"/>
    </row>
    <row r="93" spans="1:10" ht="15.75" customHeight="1" x14ac:dyDescent="0.25">
      <c r="A93" s="59" t="str">
        <f t="shared" si="5"/>
        <v>7240</v>
      </c>
      <c r="B93" s="80" t="s">
        <v>104</v>
      </c>
      <c r="C93" s="73" t="s">
        <v>21</v>
      </c>
      <c r="D93" s="74">
        <v>1001305317240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5"/>
        <v>7236</v>
      </c>
      <c r="B94" s="80" t="s">
        <v>105</v>
      </c>
      <c r="C94" s="73" t="s">
        <v>21</v>
      </c>
      <c r="D94" s="74">
        <v>1001304507236</v>
      </c>
      <c r="E94" s="24"/>
      <c r="F94" s="23">
        <v>0.28000000000000003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5"/>
        <v>7177</v>
      </c>
      <c r="B95" s="80" t="s">
        <v>106</v>
      </c>
      <c r="C95" s="73" t="s">
        <v>21</v>
      </c>
      <c r="D95" s="74">
        <v>1001302347177</v>
      </c>
      <c r="E95" s="24"/>
      <c r="F95" s="23">
        <v>0.35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5"/>
        <v>6793</v>
      </c>
      <c r="B96" s="80" t="s">
        <v>107</v>
      </c>
      <c r="C96" s="73" t="s">
        <v>21</v>
      </c>
      <c r="D96" s="74">
        <v>1001303636793</v>
      </c>
      <c r="E96" s="24"/>
      <c r="F96" s="23">
        <v>0.33</v>
      </c>
      <c r="G96" s="23">
        <f>E96*F96</f>
        <v>0</v>
      </c>
      <c r="H96" s="14"/>
      <c r="I96" s="14">
        <v>45</v>
      </c>
      <c r="J96" s="71"/>
    </row>
    <row r="97" spans="1:11" ht="15.75" customHeight="1" x14ac:dyDescent="0.25">
      <c r="A97" s="59" t="str">
        <f t="shared" si="5"/>
        <v>6794</v>
      </c>
      <c r="B97" s="80" t="s">
        <v>108</v>
      </c>
      <c r="C97" s="73" t="s">
        <v>23</v>
      </c>
      <c r="D97" s="74">
        <v>1001303636794</v>
      </c>
      <c r="E97" s="24"/>
      <c r="F97" s="23">
        <v>1</v>
      </c>
      <c r="G97" s="23">
        <f>E97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5"/>
        <v>6665</v>
      </c>
      <c r="B98" s="80" t="s">
        <v>109</v>
      </c>
      <c r="C98" s="73" t="s">
        <v>21</v>
      </c>
      <c r="D98" s="74">
        <v>1001303636665</v>
      </c>
      <c r="E98" s="24"/>
      <c r="F98" s="23">
        <v>0.31</v>
      </c>
      <c r="G98" s="23">
        <f>F98*E98</f>
        <v>0</v>
      </c>
      <c r="H98" s="14"/>
      <c r="I98" s="14"/>
      <c r="J98" s="71"/>
    </row>
    <row r="99" spans="1:11" ht="15.75" customHeight="1" x14ac:dyDescent="0.25">
      <c r="A99" s="59" t="str">
        <f t="shared" si="5"/>
        <v>6795</v>
      </c>
      <c r="B99" s="80" t="s">
        <v>110</v>
      </c>
      <c r="C99" s="73" t="s">
        <v>21</v>
      </c>
      <c r="D99" s="74">
        <v>1001302596795</v>
      </c>
      <c r="E99" s="24"/>
      <c r="F99" s="23">
        <v>0.33</v>
      </c>
      <c r="G99" s="23">
        <f>E99*F99</f>
        <v>0</v>
      </c>
      <c r="H99" s="14"/>
      <c r="I99" s="14">
        <v>45</v>
      </c>
      <c r="J99" s="71"/>
    </row>
    <row r="100" spans="1:11" ht="15.75" customHeight="1" x14ac:dyDescent="0.25">
      <c r="A100" s="59" t="str">
        <f t="shared" si="5"/>
        <v>6796</v>
      </c>
      <c r="B100" s="80" t="s">
        <v>111</v>
      </c>
      <c r="C100" s="73" t="s">
        <v>23</v>
      </c>
      <c r="D100" s="74">
        <v>1001302596796</v>
      </c>
      <c r="E100" s="24"/>
      <c r="F100" s="23">
        <v>1</v>
      </c>
      <c r="G100" s="23">
        <f>E100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5"/>
        <v>6804</v>
      </c>
      <c r="B101" s="80" t="s">
        <v>112</v>
      </c>
      <c r="C101" s="73" t="s">
        <v>21</v>
      </c>
      <c r="D101" s="74">
        <v>1001300456804</v>
      </c>
      <c r="E101" s="24"/>
      <c r="F101" s="23">
        <v>0.66</v>
      </c>
      <c r="G101" s="23">
        <f>E101*F101</f>
        <v>0</v>
      </c>
      <c r="H101" s="14"/>
      <c r="I101" s="14">
        <v>45</v>
      </c>
      <c r="J101" s="71"/>
    </row>
    <row r="102" spans="1:11" ht="16.5" customHeight="1" x14ac:dyDescent="0.25">
      <c r="A102" s="59" t="str">
        <f t="shared" ref="A102:A131" si="8">RIGHT(D102,4)</f>
        <v>6803</v>
      </c>
      <c r="B102" s="80" t="s">
        <v>113</v>
      </c>
      <c r="C102" s="73" t="s">
        <v>21</v>
      </c>
      <c r="D102" s="74">
        <v>1001300516803</v>
      </c>
      <c r="E102" s="24"/>
      <c r="F102" s="23">
        <v>0.66</v>
      </c>
      <c r="G102" s="23">
        <f>E102*F102</f>
        <v>0</v>
      </c>
      <c r="H102" s="14"/>
      <c r="I102" s="14">
        <v>45</v>
      </c>
      <c r="J102" s="71"/>
    </row>
    <row r="103" spans="1:11" s="68" customFormat="1" ht="16.5" customHeight="1" thickBot="1" x14ac:dyDescent="0.3">
      <c r="A103" s="59" t="str">
        <f t="shared" si="8"/>
        <v>6807</v>
      </c>
      <c r="B103" s="80" t="s">
        <v>114</v>
      </c>
      <c r="C103" s="73" t="s">
        <v>21</v>
      </c>
      <c r="D103" s="74">
        <v>1001300366807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  <c r="K103" s="27"/>
    </row>
    <row r="104" spans="1:11" s="68" customFormat="1" ht="16.5" customHeight="1" thickTop="1" thickBot="1" x14ac:dyDescent="0.3">
      <c r="A104" s="59" t="str">
        <f t="shared" si="8"/>
        <v/>
      </c>
      <c r="B104" s="46" t="s">
        <v>115</v>
      </c>
      <c r="C104" s="46"/>
      <c r="D104" s="46"/>
      <c r="E104" s="46"/>
      <c r="F104" s="46"/>
      <c r="G104" s="46"/>
      <c r="H104" s="46"/>
      <c r="I104" s="46"/>
      <c r="J104" s="47"/>
      <c r="K104" s="27"/>
    </row>
    <row r="105" spans="1:11" ht="16.5" customHeight="1" thickTop="1" x14ac:dyDescent="0.25">
      <c r="A105" s="59" t="str">
        <f t="shared" si="8"/>
        <v>5931</v>
      </c>
      <c r="B105" s="63" t="s">
        <v>116</v>
      </c>
      <c r="C105" s="64" t="s">
        <v>21</v>
      </c>
      <c r="D105" s="65">
        <v>1001060755931</v>
      </c>
      <c r="E105" s="24"/>
      <c r="F105" s="66">
        <v>0.22</v>
      </c>
      <c r="G105" s="23">
        <f>E105*F105</f>
        <v>0</v>
      </c>
      <c r="H105" s="69">
        <v>1.76</v>
      </c>
      <c r="I105" s="67">
        <v>120</v>
      </c>
      <c r="J105" s="67"/>
    </row>
    <row r="106" spans="1:11" ht="16.5" customHeight="1" x14ac:dyDescent="0.25">
      <c r="A106" s="59" t="str">
        <f t="shared" si="8"/>
        <v>6834</v>
      </c>
      <c r="B106" s="52" t="s">
        <v>117</v>
      </c>
      <c r="C106" s="53" t="s">
        <v>21</v>
      </c>
      <c r="D106" s="54">
        <v>1001203146834</v>
      </c>
      <c r="E106" s="24"/>
      <c r="F106" s="75">
        <v>0.1</v>
      </c>
      <c r="G106" s="23">
        <f>E106*F106</f>
        <v>0</v>
      </c>
      <c r="H106" s="78">
        <v>1</v>
      </c>
      <c r="I106" s="76">
        <v>60</v>
      </c>
      <c r="J106" s="76"/>
    </row>
    <row r="107" spans="1:11" ht="16.5" customHeight="1" x14ac:dyDescent="0.25">
      <c r="A107" s="59" t="str">
        <f t="shared" si="8"/>
        <v>6454</v>
      </c>
      <c r="B107" s="80" t="s">
        <v>118</v>
      </c>
      <c r="C107" s="73" t="s">
        <v>33</v>
      </c>
      <c r="D107" s="74">
        <v>1001201976454</v>
      </c>
      <c r="E107" s="24"/>
      <c r="F107" s="23">
        <v>0.1</v>
      </c>
      <c r="G107" s="23">
        <f>E107*F107</f>
        <v>0</v>
      </c>
      <c r="H107" s="14">
        <v>1</v>
      </c>
      <c r="I107" s="14">
        <v>60</v>
      </c>
      <c r="J107" s="29"/>
    </row>
    <row r="108" spans="1:11" ht="16.5" customHeight="1" x14ac:dyDescent="0.25">
      <c r="A108" s="59" t="str">
        <f t="shared" si="8"/>
        <v>5708</v>
      </c>
      <c r="B108" s="80" t="s">
        <v>119</v>
      </c>
      <c r="C108" s="73" t="s">
        <v>23</v>
      </c>
      <c r="D108" s="74">
        <v>1001063145708</v>
      </c>
      <c r="E108" s="24"/>
      <c r="F108" s="23">
        <v>0.52500000000000002</v>
      </c>
      <c r="G108" s="23">
        <f>E108</f>
        <v>0</v>
      </c>
      <c r="H108" s="14">
        <v>4.2</v>
      </c>
      <c r="I108" s="14">
        <v>120</v>
      </c>
      <c r="J108" s="29"/>
    </row>
    <row r="109" spans="1:11" ht="16.5" customHeight="1" x14ac:dyDescent="0.25">
      <c r="A109" s="59" t="str">
        <f t="shared" si="8"/>
        <v>0614</v>
      </c>
      <c r="B109" s="80" t="s">
        <v>120</v>
      </c>
      <c r="C109" s="73" t="s">
        <v>23</v>
      </c>
      <c r="D109" s="74">
        <v>1001060720614</v>
      </c>
      <c r="E109" s="24"/>
      <c r="F109" s="23"/>
      <c r="G109" s="23">
        <f>E109</f>
        <v>0</v>
      </c>
      <c r="H109" s="14"/>
      <c r="I109" s="14"/>
      <c r="J109" s="29"/>
    </row>
    <row r="110" spans="1:11" ht="16.5" customHeight="1" x14ac:dyDescent="0.25">
      <c r="A110" s="59" t="str">
        <f t="shared" si="8"/>
        <v>1146</v>
      </c>
      <c r="B110" s="80" t="s">
        <v>121</v>
      </c>
      <c r="C110" s="73" t="s">
        <v>23</v>
      </c>
      <c r="D110" s="74">
        <v>1001061971146</v>
      </c>
      <c r="E110" s="24"/>
      <c r="F110" s="23"/>
      <c r="G110" s="23">
        <f>E110</f>
        <v>0</v>
      </c>
      <c r="H110" s="14"/>
      <c r="I110" s="14"/>
      <c r="J110" s="29"/>
    </row>
    <row r="111" spans="1:11" ht="16.5" customHeight="1" x14ac:dyDescent="0.25">
      <c r="A111" s="59" t="str">
        <f t="shared" si="8"/>
        <v>4154</v>
      </c>
      <c r="B111" s="80" t="s">
        <v>122</v>
      </c>
      <c r="C111" s="73" t="s">
        <v>23</v>
      </c>
      <c r="D111" s="74">
        <v>1001062474154</v>
      </c>
      <c r="E111" s="24"/>
      <c r="F111" s="23"/>
      <c r="G111" s="23">
        <f>E111</f>
        <v>0</v>
      </c>
      <c r="H111" s="14"/>
      <c r="I111" s="14"/>
      <c r="J111" s="29"/>
    </row>
    <row r="112" spans="1:11" ht="16.5" customHeight="1" x14ac:dyDescent="0.25">
      <c r="A112" s="59" t="str">
        <f t="shared" si="8"/>
        <v>6967</v>
      </c>
      <c r="B112" s="80" t="s">
        <v>123</v>
      </c>
      <c r="C112" s="73" t="s">
        <v>21</v>
      </c>
      <c r="D112" s="74">
        <v>1001063656967</v>
      </c>
      <c r="E112" s="24"/>
      <c r="F112" s="23">
        <v>0.25</v>
      </c>
      <c r="G112" s="23">
        <f>F112*E112</f>
        <v>0</v>
      </c>
      <c r="H112" s="14"/>
      <c r="I112" s="14"/>
      <c r="J112" s="29"/>
    </row>
    <row r="113" spans="1:10" ht="16.5" customHeight="1" x14ac:dyDescent="0.25">
      <c r="A113" s="59" t="str">
        <f t="shared" si="8"/>
        <v>4993</v>
      </c>
      <c r="B113" s="80" t="s">
        <v>124</v>
      </c>
      <c r="C113" s="73" t="s">
        <v>33</v>
      </c>
      <c r="D113" s="74">
        <v>1001060764993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59" t="str">
        <f t="shared" si="8"/>
        <v>6937</v>
      </c>
      <c r="B114" s="80" t="s">
        <v>125</v>
      </c>
      <c r="C114" s="73" t="s">
        <v>33</v>
      </c>
      <c r="D114" s="74">
        <v>1001063106937</v>
      </c>
      <c r="E114" s="24"/>
      <c r="F114" s="23">
        <v>0.25</v>
      </c>
      <c r="G114" s="23">
        <f>E114*F114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5682</v>
      </c>
      <c r="B115" s="80" t="s">
        <v>126</v>
      </c>
      <c r="C115" s="73" t="s">
        <v>21</v>
      </c>
      <c r="D115" s="74">
        <v>1001193115682</v>
      </c>
      <c r="E115" s="24"/>
      <c r="F115" s="23">
        <v>0.12</v>
      </c>
      <c r="G115" s="23">
        <f>E115*F115</f>
        <v>0</v>
      </c>
      <c r="H115" s="14">
        <v>0.96</v>
      </c>
      <c r="I115" s="14">
        <v>60</v>
      </c>
      <c r="J115" s="29"/>
    </row>
    <row r="116" spans="1:10" ht="16.5" customHeight="1" x14ac:dyDescent="0.25">
      <c r="A116" s="59" t="str">
        <f t="shared" si="8"/>
        <v>5679</v>
      </c>
      <c r="B116" s="80" t="s">
        <v>127</v>
      </c>
      <c r="C116" s="73" t="s">
        <v>21</v>
      </c>
      <c r="D116" s="74">
        <v>1001190765679</v>
      </c>
      <c r="E116" s="24"/>
      <c r="F116" s="23">
        <v>0.15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4117</v>
      </c>
      <c r="B117" s="80" t="s">
        <v>128</v>
      </c>
      <c r="C117" s="73" t="s">
        <v>23</v>
      </c>
      <c r="D117" s="74">
        <v>1001062504117</v>
      </c>
      <c r="E117" s="24"/>
      <c r="F117" s="23">
        <v>0.50700000000000001</v>
      </c>
      <c r="G117" s="23">
        <f>E117</f>
        <v>0</v>
      </c>
      <c r="H117" s="14">
        <v>4.05</v>
      </c>
      <c r="I117" s="14">
        <v>120</v>
      </c>
      <c r="J117" s="29"/>
    </row>
    <row r="118" spans="1:10" ht="16.5" customHeight="1" x14ac:dyDescent="0.25">
      <c r="A118" s="59" t="str">
        <f t="shared" si="8"/>
        <v>5483</v>
      </c>
      <c r="B118" s="80" t="s">
        <v>129</v>
      </c>
      <c r="C118" s="73" t="s">
        <v>21</v>
      </c>
      <c r="D118" s="74">
        <v>1001062505483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8"/>
        <v>6453</v>
      </c>
      <c r="B119" s="80" t="s">
        <v>130</v>
      </c>
      <c r="C119" s="73" t="s">
        <v>33</v>
      </c>
      <c r="D119" s="74">
        <v>1001202506453</v>
      </c>
      <c r="E119" s="24"/>
      <c r="F119" s="23">
        <v>0.1</v>
      </c>
      <c r="G119" s="23">
        <f>E119*F119</f>
        <v>0</v>
      </c>
      <c r="H119" s="14">
        <v>1.4</v>
      </c>
      <c r="I119" s="14">
        <v>60</v>
      </c>
      <c r="J119" s="29"/>
    </row>
    <row r="120" spans="1:10" ht="16.5" customHeight="1" x14ac:dyDescent="0.25">
      <c r="A120" s="59" t="str">
        <f t="shared" si="8"/>
        <v>6557</v>
      </c>
      <c r="B120" s="80" t="s">
        <v>131</v>
      </c>
      <c r="C120" s="73" t="s">
        <v>33</v>
      </c>
      <c r="D120" s="74">
        <v>1001200756557</v>
      </c>
      <c r="E120" s="24"/>
      <c r="F120" s="23">
        <v>0.1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6228</v>
      </c>
      <c r="B121" s="80" t="s">
        <v>132</v>
      </c>
      <c r="C121" s="73" t="s">
        <v>33</v>
      </c>
      <c r="D121" s="74">
        <v>1001225416228</v>
      </c>
      <c r="E121" s="24"/>
      <c r="F121" s="23">
        <v>0.09</v>
      </c>
      <c r="G121" s="23">
        <f>E121*F121</f>
        <v>0</v>
      </c>
      <c r="H121" s="14"/>
      <c r="I121" s="14"/>
      <c r="J121" s="29"/>
    </row>
    <row r="122" spans="1:10" ht="16.5" customHeight="1" x14ac:dyDescent="0.25">
      <c r="A122" s="59" t="str">
        <f t="shared" si="8"/>
        <v>6221</v>
      </c>
      <c r="B122" s="80" t="s">
        <v>133</v>
      </c>
      <c r="C122" s="73" t="s">
        <v>33</v>
      </c>
      <c r="D122" s="74">
        <v>1001205376221</v>
      </c>
      <c r="E122" s="24"/>
      <c r="F122" s="23">
        <v>0.09</v>
      </c>
      <c r="G122" s="23">
        <f>E122*F122</f>
        <v>0</v>
      </c>
      <c r="H122" s="14"/>
      <c r="I122" s="14"/>
      <c r="J122" s="29"/>
    </row>
    <row r="123" spans="1:10" ht="16.5" customHeight="1" thickBot="1" x14ac:dyDescent="0.3">
      <c r="A123" s="59" t="str">
        <f t="shared" si="8"/>
        <v>3287</v>
      </c>
      <c r="B123" s="80" t="s">
        <v>134</v>
      </c>
      <c r="C123" s="73" t="s">
        <v>23</v>
      </c>
      <c r="D123" s="74">
        <v>1001060763287</v>
      </c>
      <c r="E123" s="24"/>
      <c r="F123" s="23">
        <v>0.51300000000000001</v>
      </c>
      <c r="G123" s="23">
        <f>E123</f>
        <v>0</v>
      </c>
      <c r="H123" s="14">
        <v>4.0999999999999996</v>
      </c>
      <c r="I123" s="14">
        <v>120</v>
      </c>
      <c r="J123" s="29"/>
    </row>
    <row r="124" spans="1:10" ht="16.5" customHeight="1" thickTop="1" thickBot="1" x14ac:dyDescent="0.3">
      <c r="A124" s="59" t="str">
        <f t="shared" si="8"/>
        <v/>
      </c>
      <c r="B124" s="46" t="s">
        <v>135</v>
      </c>
      <c r="C124" s="46"/>
      <c r="D124" s="46"/>
      <c r="E124" s="46"/>
      <c r="F124" s="46"/>
      <c r="G124" s="23"/>
      <c r="H124" s="46"/>
      <c r="I124" s="46"/>
      <c r="J124" s="47"/>
    </row>
    <row r="125" spans="1:10" ht="16.5" customHeight="1" thickTop="1" x14ac:dyDescent="0.25">
      <c r="A125" s="59" t="str">
        <f t="shared" si="8"/>
        <v>6866</v>
      </c>
      <c r="B125" s="77" t="s">
        <v>136</v>
      </c>
      <c r="C125" s="73" t="s">
        <v>38</v>
      </c>
      <c r="D125" s="79">
        <v>1001095716866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3215</v>
      </c>
      <c r="B126" s="80" t="s">
        <v>137</v>
      </c>
      <c r="C126" s="73" t="s">
        <v>33</v>
      </c>
      <c r="D126" s="42">
        <v>1001094053215</v>
      </c>
      <c r="E126" s="24"/>
      <c r="F126" s="23">
        <v>0.4</v>
      </c>
      <c r="G126" s="23">
        <f>E126*F126</f>
        <v>0</v>
      </c>
      <c r="H126" s="14">
        <v>3.2</v>
      </c>
      <c r="I126" s="14">
        <v>60</v>
      </c>
      <c r="J126" s="29"/>
    </row>
    <row r="127" spans="1:10" ht="16.5" customHeight="1" x14ac:dyDescent="0.25">
      <c r="A127" s="59" t="str">
        <f t="shared" si="8"/>
        <v>6025</v>
      </c>
      <c r="B127" s="80" t="s">
        <v>138</v>
      </c>
      <c r="C127" s="73" t="s">
        <v>23</v>
      </c>
      <c r="D127" s="42">
        <v>1001094966025</v>
      </c>
      <c r="E127" s="24"/>
      <c r="F127" s="23"/>
      <c r="G127" s="23">
        <f>E127</f>
        <v>0</v>
      </c>
      <c r="H127" s="14"/>
      <c r="I127" s="14"/>
      <c r="J127" s="29"/>
    </row>
    <row r="128" spans="1:10" ht="16.5" customHeight="1" x14ac:dyDescent="0.25">
      <c r="A128" s="59" t="str">
        <f t="shared" si="8"/>
        <v>6470</v>
      </c>
      <c r="B128" s="80" t="s">
        <v>139</v>
      </c>
      <c r="C128" s="73" t="s">
        <v>23</v>
      </c>
      <c r="D128" s="42">
        <v>1001092436470</v>
      </c>
      <c r="E128" s="24"/>
      <c r="F128" s="23"/>
      <c r="G128" s="23">
        <f>E128</f>
        <v>0</v>
      </c>
      <c r="H128" s="14"/>
      <c r="I128" s="14"/>
      <c r="J128" s="29"/>
    </row>
    <row r="129" spans="1:11" ht="16.5" customHeight="1" x14ac:dyDescent="0.25">
      <c r="A129" s="59" t="str">
        <f t="shared" si="8"/>
        <v>4584</v>
      </c>
      <c r="B129" s="80" t="s">
        <v>140</v>
      </c>
      <c r="C129" s="73" t="s">
        <v>23</v>
      </c>
      <c r="D129" s="42">
        <v>1001092674584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6472</v>
      </c>
      <c r="B130" s="80" t="s">
        <v>141</v>
      </c>
      <c r="C130" s="73" t="s">
        <v>23</v>
      </c>
      <c r="D130" s="42">
        <v>1001092436472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8"/>
        <v>5452</v>
      </c>
      <c r="B131" s="50" t="s">
        <v>142</v>
      </c>
      <c r="C131" s="73" t="s">
        <v>23</v>
      </c>
      <c r="D131" s="42">
        <v>1001092485452</v>
      </c>
      <c r="E131" s="24"/>
      <c r="F131" s="23">
        <v>1.367</v>
      </c>
      <c r="G131" s="23">
        <f>E131</f>
        <v>0</v>
      </c>
      <c r="H131" s="14">
        <v>4.0999999999999996</v>
      </c>
      <c r="I131" s="14">
        <v>60</v>
      </c>
      <c r="J131" s="29"/>
    </row>
    <row r="132" spans="1:11" ht="16.5" customHeight="1" x14ac:dyDescent="0.25">
      <c r="A132" s="59" t="str">
        <f t="shared" ref="A132:A139" si="9">RIGHT(D132,4)</f>
        <v>5495</v>
      </c>
      <c r="B132" s="50" t="s">
        <v>143</v>
      </c>
      <c r="C132" s="73" t="s">
        <v>21</v>
      </c>
      <c r="D132" s="42">
        <v>1001093345495</v>
      </c>
      <c r="E132" s="24"/>
      <c r="F132" s="23">
        <v>0.4</v>
      </c>
      <c r="G132" s="23">
        <f>E132*F132</f>
        <v>0</v>
      </c>
      <c r="H132" s="14">
        <v>2.4</v>
      </c>
      <c r="I132" s="14">
        <v>60</v>
      </c>
      <c r="J132" s="29"/>
    </row>
    <row r="133" spans="1:11" ht="15.75" customHeight="1" thickBot="1" x14ac:dyDescent="0.3">
      <c r="A133" s="59" t="str">
        <f t="shared" si="9"/>
        <v>6495</v>
      </c>
      <c r="B133" s="50" t="s">
        <v>144</v>
      </c>
      <c r="C133" s="73" t="s">
        <v>21</v>
      </c>
      <c r="D133" s="42">
        <v>1001092436495</v>
      </c>
      <c r="E133" s="24"/>
      <c r="F133" s="23">
        <v>0.3</v>
      </c>
      <c r="G133" s="23">
        <f>E133*F133</f>
        <v>0</v>
      </c>
      <c r="H133" s="14">
        <v>1.8</v>
      </c>
      <c r="I133" s="14">
        <v>45</v>
      </c>
      <c r="J133" s="29"/>
    </row>
    <row r="134" spans="1:11" ht="16.5" customHeight="1" thickTop="1" thickBot="1" x14ac:dyDescent="0.3">
      <c r="A134" s="59" t="str">
        <f t="shared" si="9"/>
        <v/>
      </c>
      <c r="B134" s="46" t="s">
        <v>145</v>
      </c>
      <c r="C134" s="46"/>
      <c r="D134" s="46"/>
      <c r="E134" s="46"/>
      <c r="F134" s="46"/>
      <c r="G134" s="23"/>
      <c r="H134" s="46"/>
      <c r="I134" s="46"/>
      <c r="J134" s="47"/>
    </row>
    <row r="135" spans="1:11" ht="16.5" customHeight="1" thickTop="1" x14ac:dyDescent="0.25">
      <c r="A135" s="59" t="str">
        <f t="shared" si="9"/>
        <v>6448</v>
      </c>
      <c r="B135" s="37" t="s">
        <v>146</v>
      </c>
      <c r="C135" s="73" t="s">
        <v>33</v>
      </c>
      <c r="D135" s="74">
        <v>1001234146448</v>
      </c>
      <c r="E135" s="24"/>
      <c r="F135" s="23">
        <v>0.1</v>
      </c>
      <c r="G135" s="23">
        <f>E135*F135</f>
        <v>0</v>
      </c>
      <c r="H135" s="14">
        <v>1</v>
      </c>
      <c r="I135" s="14">
        <v>45</v>
      </c>
      <c r="J135" s="29"/>
    </row>
    <row r="136" spans="1:11" ht="16.5" customHeight="1" x14ac:dyDescent="0.25">
      <c r="A136" s="59" t="str">
        <f t="shared" si="9"/>
        <v>7090</v>
      </c>
      <c r="B136" s="37" t="s">
        <v>147</v>
      </c>
      <c r="C136" s="73" t="s">
        <v>33</v>
      </c>
      <c r="D136" s="74">
        <v>1001084217090</v>
      </c>
      <c r="E136" s="24"/>
      <c r="F136" s="23">
        <v>0.3</v>
      </c>
      <c r="G136" s="23">
        <f>E136*F136</f>
        <v>0</v>
      </c>
      <c r="H136" s="14">
        <v>1.8</v>
      </c>
      <c r="I136" s="14">
        <v>45</v>
      </c>
      <c r="J136" s="29"/>
    </row>
    <row r="137" spans="1:11" ht="16.5" customHeight="1" x14ac:dyDescent="0.25">
      <c r="A137" s="59" t="str">
        <f t="shared" si="9"/>
        <v>6208</v>
      </c>
      <c r="B137" s="37" t="s">
        <v>148</v>
      </c>
      <c r="C137" s="73" t="s">
        <v>21</v>
      </c>
      <c r="D137" s="74">
        <v>1001220226208</v>
      </c>
      <c r="E137" s="24"/>
      <c r="F137" s="23">
        <v>0.15</v>
      </c>
      <c r="G137" s="23">
        <f>F137*E137</f>
        <v>0</v>
      </c>
      <c r="H137" s="14"/>
      <c r="I137" s="14"/>
      <c r="J137" s="29"/>
    </row>
    <row r="138" spans="1:11" ht="16.5" customHeight="1" x14ac:dyDescent="0.25">
      <c r="A138" s="59" t="str">
        <f t="shared" si="9"/>
        <v>7053</v>
      </c>
      <c r="B138" s="37" t="s">
        <v>149</v>
      </c>
      <c r="C138" s="73" t="s">
        <v>23</v>
      </c>
      <c r="D138" s="74">
        <v>1001223297053</v>
      </c>
      <c r="E138" s="24"/>
      <c r="F138" s="23"/>
      <c r="G138" s="23">
        <f>E138</f>
        <v>0</v>
      </c>
      <c r="H138" s="14"/>
      <c r="I138" s="14"/>
      <c r="J138" s="29"/>
    </row>
    <row r="139" spans="1:11" s="70" customFormat="1" ht="16.5" customHeight="1" thickBot="1" x14ac:dyDescent="0.3">
      <c r="A139" s="59" t="str">
        <f t="shared" si="9"/>
        <v>7103</v>
      </c>
      <c r="B139" s="58" t="s">
        <v>150</v>
      </c>
      <c r="C139" s="53" t="s">
        <v>33</v>
      </c>
      <c r="D139" s="54">
        <v>1001223297103</v>
      </c>
      <c r="E139" s="24"/>
      <c r="F139" s="75">
        <v>0.18</v>
      </c>
      <c r="G139" s="23">
        <f>E139*F139</f>
        <v>0</v>
      </c>
      <c r="H139" s="76">
        <v>1.8</v>
      </c>
      <c r="I139" s="76">
        <v>45</v>
      </c>
      <c r="J139" s="76"/>
      <c r="K139" s="27"/>
    </row>
    <row r="140" spans="1:11" ht="16.5" customHeight="1" thickTop="1" thickBot="1" x14ac:dyDescent="0.3">
      <c r="A140" s="62"/>
      <c r="B140" s="49" t="s">
        <v>151</v>
      </c>
      <c r="C140" s="16"/>
      <c r="D140" s="38"/>
      <c r="E140" s="17">
        <f>SUM(E10:E139)</f>
        <v>0</v>
      </c>
      <c r="F140" s="17"/>
      <c r="G140" s="17">
        <f>SUM(G11:G139)</f>
        <v>0</v>
      </c>
      <c r="H140" s="17"/>
      <c r="I140" s="17"/>
      <c r="J140" s="17"/>
    </row>
    <row r="141" spans="1:11" ht="15.75" customHeight="1" thickTop="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</sheetData>
  <autoFilter ref="A9:K140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2025-11-05T09:20:35Z</dcterms:modified>
</cp:coreProperties>
</file>