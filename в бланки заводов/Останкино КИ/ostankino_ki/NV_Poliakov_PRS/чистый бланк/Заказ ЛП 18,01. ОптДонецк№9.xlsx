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38539292-346E-4366-A89C-4424C2BD20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Бланк!$A$9:$K$155</definedName>
    <definedName name="кол_во_инд.__упак_к">Бланк!$AC$3:$AC$591</definedName>
    <definedName name="номин.вес_нетто__кг">Бланк!$W$3:$W$591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5" i="1" l="1"/>
  <c r="A125" i="1"/>
  <c r="G39" i="1" l="1"/>
  <c r="A39" i="1"/>
  <c r="G32" i="1"/>
  <c r="A32" i="1"/>
  <c r="E155" i="1" l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8" i="1"/>
  <c r="A38" i="1"/>
  <c r="G37" i="1"/>
  <c r="A37" i="1"/>
  <c r="A36" i="1"/>
  <c r="G35" i="1"/>
  <c r="A35" i="1"/>
  <c r="G34" i="1"/>
  <c r="A34" i="1"/>
  <c r="G33" i="1"/>
  <c r="A33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55" i="1" l="1"/>
</calcChain>
</file>

<file path=xl/sharedStrings.xml><?xml version="1.0" encoding="utf-8"?>
<sst xmlns="http://schemas.openxmlformats.org/spreadsheetml/2006/main" count="304" uniqueCount="165">
  <si>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</si>
  <si>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</si>
  <si>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</si>
  <si>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</si>
  <si>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</si>
  <si>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</si>
  <si>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</si>
  <si>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</si>
  <si>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</si>
  <si>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</si>
  <si>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</si>
  <si>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</si>
  <si>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</si>
  <si>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</si>
  <si>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</si>
  <si>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</si>
  <si>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</si>
  <si>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</si>
  <si>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</si>
  <si>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</si>
  <si>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</si>
  <si>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</si>
  <si>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</si>
  <si>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</si>
  <si>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</si>
  <si>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</si>
  <si>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</si>
  <si>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</si>
  <si>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</si>
  <si>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</si>
  <si>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</si>
  <si>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</si>
  <si>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</si>
  <si>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</si>
  <si>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</si>
  <si>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</si>
  <si>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</si>
  <si>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</si>
  <si>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</si>
  <si>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</si>
  <si>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</si>
  <si>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</si>
  <si>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</si>
  <si>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</si>
  <si>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</si>
  <si>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</si>
  <si>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</si>
  <si>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</si>
  <si>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</si>
  <si>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</si>
  <si>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</si>
  <si>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</si>
  <si>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</si>
  <si>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</si>
  <si>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</si>
  <si>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</si>
  <si>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</si>
  <si>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</si>
  <si>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</si>
  <si>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</si>
  <si>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</si>
  <si>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</si>
  <si>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</si>
  <si>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</si>
  <si>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</si>
  <si>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</si>
  <si>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</si>
  <si>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</si>
  <si>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ДЛЯ ДЕТЕЙ сос п/о мгс 0.33кг 6шт.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</si>
  <si>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</si>
  <si>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</si>
  <si>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</si>
  <si>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</si>
  <si>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</si>
  <si>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</si>
  <si>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</si>
  <si>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</si>
  <si>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</si>
  <si>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</si>
  <si>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</si>
  <si>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</si>
  <si>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</si>
  <si>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</si>
  <si>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</si>
  <si>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</si>
  <si>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</si>
  <si>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</si>
  <si>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</si>
  <si>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</si>
  <si>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</si>
  <si>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</si>
  <si>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</si>
  <si>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</si>
  <si>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</si>
  <si>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</si>
  <si>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</si>
  <si>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</si>
  <si>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</si>
  <si>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</si>
  <si>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</si>
  <si>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</si>
  <si>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</si>
  <si>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</si>
  <si>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</si>
  <si>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</si>
  <si>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</si>
  <si>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</si>
  <si>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</si>
  <si>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</si>
  <si>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</si>
  <si>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</si>
  <si>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</si>
  <si>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</si>
  <si>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</si>
  <si>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</si>
  <si>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</si>
  <si>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</si>
  <si>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</si>
  <si>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</si>
  <si>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</si>
  <si>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</si>
  <si>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</si>
  <si>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</si>
  <si>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</si>
  <si>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</si>
  <si>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</si>
  <si>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</si>
  <si>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</si>
  <si>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</si>
  <si>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</si>
  <si>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</si>
  <si>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</si>
  <si>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</si>
  <si>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</si>
  <si>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</si>
  <si>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</si>
  <si>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</si>
  <si>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</si>
  <si>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</si>
  <si>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</si>
  <si>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</si>
  <si>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</si>
  <si>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</si>
  <si>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</si>
  <si>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</si>
  <si>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</si>
  <si>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</si>
  <si>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</si>
  <si>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</si>
  <si>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</si>
  <si>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</si>
  <si>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</si>
  <si>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</si>
  <si>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</si>
  <si>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</si>
  <si>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</si>
  <si>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</si>
  <si>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</si>
  <si>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</si>
  <si>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</si>
  <si>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</si>
  <si>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МОЛОЧНАЯ Останкино вар п/о 0.4кг 8шт.</t>
  </si>
  <si>
    <t>ХОТ-ДОГ Папа может сос п/о мгс 0.35кг</t>
  </si>
  <si>
    <t>САЛЯМИ МЕЛКОЗЕРНЕНАЯ с/к в/у 1/120 8шт.</t>
  </si>
  <si>
    <t>САЛЯМИ МЕЛКОЗЕРНЕНАЯ с/к в/у 1/120_60с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</si>
</sst>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46040</v>
      </c>
      <c r="E3" s="7" t="s">
        <v>3</v>
      </c>
      <c r="F3" s="82">
        <f>D3+3</f>
        <v>46043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1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/>
      <c r="F17" s="23">
        <v>0.4</v>
      </c>
      <c r="G17" s="23">
        <f>F17*E17</f>
        <v>0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/>
      <c r="F20" s="23">
        <v>0.4</v>
      </c>
      <c r="G20" s="23">
        <f>F20*E20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/>
      <c r="F27" s="23">
        <v>0.4</v>
      </c>
      <c r="G27" s="23">
        <f>E27*F27</f>
        <v>0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161</v>
      </c>
      <c r="C32" s="73" t="s">
        <v>22</v>
      </c>
      <c r="D32" s="74">
        <v>1001010027126</v>
      </c>
      <c r="E32" s="24"/>
      <c r="F32" s="23">
        <v>0.4</v>
      </c>
      <c r="G32" s="23">
        <f>E32*F32</f>
        <v>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46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47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48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49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160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50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162</v>
      </c>
      <c r="C39" s="73" t="s">
        <v>37</v>
      </c>
      <c r="D39" s="74">
        <v>1001025166776</v>
      </c>
      <c r="E39" s="24"/>
      <c r="F39" s="23">
        <v>0.35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51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52</v>
      </c>
      <c r="C41" s="73" t="s">
        <v>22</v>
      </c>
      <c r="D41" s="74">
        <v>1001022725819</v>
      </c>
      <c r="E41" s="24"/>
      <c r="F41" s="23">
        <v>0.4</v>
      </c>
      <c r="G41" s="23">
        <f t="shared" ref="G41:G44" si="1"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ref="A42:A71" si="2">RIGHT(D42,4)</f>
        <v>6762</v>
      </c>
      <c r="B42" s="36" t="s">
        <v>53</v>
      </c>
      <c r="C42" s="73" t="s">
        <v>22</v>
      </c>
      <c r="D42" s="74">
        <v>1001020846762</v>
      </c>
      <c r="E42" s="24"/>
      <c r="F42" s="23">
        <v>0.41</v>
      </c>
      <c r="G42" s="23">
        <f t="shared" si="1"/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si="2"/>
        <v>6765</v>
      </c>
      <c r="B43" s="36" t="s">
        <v>54</v>
      </c>
      <c r="C43" s="73" t="s">
        <v>22</v>
      </c>
      <c r="D43" s="74">
        <v>1001023696765</v>
      </c>
      <c r="E43" s="24"/>
      <c r="F43" s="23">
        <v>0.36</v>
      </c>
      <c r="G43" s="23">
        <f t="shared" si="1"/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2"/>
        <v>6759</v>
      </c>
      <c r="B44" s="36" t="s">
        <v>55</v>
      </c>
      <c r="C44" s="73" t="s">
        <v>22</v>
      </c>
      <c r="D44" s="74">
        <v>1001020836759</v>
      </c>
      <c r="E44" s="24"/>
      <c r="F44" s="23">
        <v>0.4</v>
      </c>
      <c r="G44" s="23">
        <f t="shared" si="1"/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2"/>
        <v>7082</v>
      </c>
      <c r="B45" s="35" t="s">
        <v>56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2"/>
        <v>6767</v>
      </c>
      <c r="B46" s="35" t="s">
        <v>57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2"/>
        <v>7070</v>
      </c>
      <c r="B47" s="35" t="s">
        <v>58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2"/>
        <v>6661</v>
      </c>
      <c r="B48" s="52" t="s">
        <v>59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2"/>
        <v>6475</v>
      </c>
      <c r="B49" s="80" t="s">
        <v>60</v>
      </c>
      <c r="C49" s="73" t="s">
        <v>22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2"/>
        <v>6713</v>
      </c>
      <c r="B50" s="56" t="s">
        <v>61</v>
      </c>
      <c r="C50" s="53" t="s">
        <v>22</v>
      </c>
      <c r="D50" s="54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2"/>
        <v>6069</v>
      </c>
      <c r="B51" s="51" t="s">
        <v>62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2"/>
        <v>7284</v>
      </c>
      <c r="B52" s="51" t="s">
        <v>68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2"/>
        <v>6764</v>
      </c>
      <c r="B53" s="51" t="s">
        <v>63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2"/>
        <v>6829</v>
      </c>
      <c r="B54" s="56" t="s">
        <v>64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2"/>
        <v>7075</v>
      </c>
      <c r="B55" s="72" t="s">
        <v>65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2"/>
        <v>7073</v>
      </c>
      <c r="B56" s="72" t="s">
        <v>66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2"/>
        <v>7074</v>
      </c>
      <c r="B57" s="72" t="s">
        <v>67</v>
      </c>
      <c r="C57" s="73" t="s">
        <v>22</v>
      </c>
      <c r="D57" s="74">
        <v>1001022657074</v>
      </c>
      <c r="E57" s="24"/>
      <c r="F57" s="23">
        <v>0.6</v>
      </c>
      <c r="G57" s="23">
        <f>E57*F57</f>
        <v>0</v>
      </c>
      <c r="H57" s="14"/>
      <c r="I57" s="14"/>
      <c r="J57" s="29"/>
    </row>
    <row r="58" spans="1:11" ht="16.5" customHeight="1" x14ac:dyDescent="0.25">
      <c r="A58" s="59" t="str">
        <f t="shared" si="2"/>
        <v>7284</v>
      </c>
      <c r="B58" s="72" t="s">
        <v>68</v>
      </c>
      <c r="C58" s="73" t="s">
        <v>22</v>
      </c>
      <c r="D58" s="74">
        <v>1001025767284</v>
      </c>
      <c r="E58" s="24"/>
      <c r="F58" s="23">
        <v>0.33</v>
      </c>
      <c r="G58" s="23">
        <f>E58*F58</f>
        <v>0</v>
      </c>
      <c r="H58" s="14"/>
      <c r="I58" s="14"/>
      <c r="J58" s="29"/>
    </row>
    <row r="59" spans="1:11" ht="16.5" customHeight="1" x14ac:dyDescent="0.25">
      <c r="A59" s="59" t="str">
        <f t="shared" si="2"/>
        <v>7080</v>
      </c>
      <c r="B59" s="72" t="s">
        <v>69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2"/>
        <v>6616</v>
      </c>
      <c r="B60" s="72" t="s">
        <v>70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2"/>
        <v>6761</v>
      </c>
      <c r="B61" s="51" t="s">
        <v>71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2"/>
        <v>7080</v>
      </c>
      <c r="B62" s="56" t="s">
        <v>69</v>
      </c>
      <c r="C62" s="53" t="s">
        <v>22</v>
      </c>
      <c r="D62" s="54">
        <v>1001022467080</v>
      </c>
      <c r="E62" s="24"/>
      <c r="F62" s="23">
        <v>0.41</v>
      </c>
      <c r="G62" s="23">
        <f>E62*F62</f>
        <v>0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2"/>
        <v>7066</v>
      </c>
      <c r="B63" s="56" t="s">
        <v>72</v>
      </c>
      <c r="C63" s="53" t="s">
        <v>22</v>
      </c>
      <c r="D63" s="54">
        <v>1001022377066</v>
      </c>
      <c r="E63" s="24"/>
      <c r="F63" s="23">
        <v>0.41</v>
      </c>
      <c r="G63" s="23">
        <f>E63*F63</f>
        <v>0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2"/>
        <v/>
      </c>
      <c r="B64" s="46" t="s">
        <v>73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2"/>
        <v>7001</v>
      </c>
      <c r="B65" s="81" t="s">
        <v>74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2"/>
        <v>6527</v>
      </c>
      <c r="B66" s="72" t="s">
        <v>75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2"/>
        <v>6550</v>
      </c>
      <c r="B67" s="51" t="s">
        <v>76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2"/>
        <v>6608</v>
      </c>
      <c r="B68" s="51" t="s">
        <v>77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2"/>
        <v/>
      </c>
      <c r="B69" s="46" t="s">
        <v>78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2"/>
        <v>6586</v>
      </c>
      <c r="B70" s="80" t="s">
        <v>79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2"/>
        <v>7144</v>
      </c>
      <c r="B71" s="80" t="s">
        <v>80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ref="A72:A103" si="3">RIGHT(D72,4)</f>
        <v>7146</v>
      </c>
      <c r="B72" s="80" t="s">
        <v>81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3"/>
        <v>7149</v>
      </c>
      <c r="B73" s="80" t="s">
        <v>82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3"/>
        <v>7131</v>
      </c>
      <c r="B74" s="80" t="s">
        <v>83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si="3"/>
        <v>7233</v>
      </c>
      <c r="B75" s="80" t="s">
        <v>84</v>
      </c>
      <c r="C75" s="73" t="s">
        <v>22</v>
      </c>
      <c r="D75" s="74">
        <v>1001303637233</v>
      </c>
      <c r="E75" s="24"/>
      <c r="F75" s="23">
        <v>0.31</v>
      </c>
      <c r="G75" s="23">
        <f>F75*E75</f>
        <v>0</v>
      </c>
      <c r="H75" s="14"/>
      <c r="I75" s="14"/>
      <c r="J75" s="29"/>
    </row>
    <row r="76" spans="1:10" ht="16.5" customHeight="1" x14ac:dyDescent="0.25">
      <c r="A76" s="59" t="str">
        <f t="shared" si="3"/>
        <v>6666</v>
      </c>
      <c r="B76" s="50" t="s">
        <v>85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4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3"/>
        <v>7173</v>
      </c>
      <c r="B77" s="80" t="s">
        <v>86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59" t="str">
        <f t="shared" si="3"/>
        <v>7232</v>
      </c>
      <c r="B78" s="80" t="s">
        <v>87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59" t="str">
        <f t="shared" si="3"/>
        <v>6773</v>
      </c>
      <c r="B79" s="50" t="s">
        <v>88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4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3"/>
        <v>7241</v>
      </c>
      <c r="B80" s="50" t="s">
        <v>89</v>
      </c>
      <c r="C80" s="73" t="s">
        <v>22</v>
      </c>
      <c r="D80" s="74">
        <v>1001303107241</v>
      </c>
      <c r="E80" s="24"/>
      <c r="F80" s="23">
        <v>0.28000000000000003</v>
      </c>
      <c r="G80" s="23">
        <f t="shared" si="4"/>
        <v>0</v>
      </c>
      <c r="H80" s="14"/>
      <c r="I80" s="14"/>
      <c r="J80" s="29"/>
    </row>
    <row r="81" spans="1:10" ht="16.5" customHeight="1" x14ac:dyDescent="0.25">
      <c r="A81" s="59" t="str">
        <f t="shared" si="3"/>
        <v>6683</v>
      </c>
      <c r="B81" s="50" t="s">
        <v>90</v>
      </c>
      <c r="C81" s="73" t="s">
        <v>22</v>
      </c>
      <c r="D81" s="74">
        <v>1001300386683</v>
      </c>
      <c r="E81" s="24"/>
      <c r="F81" s="23">
        <v>0.35</v>
      </c>
      <c r="G81" s="23">
        <f t="shared" si="4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3"/>
        <v>5489</v>
      </c>
      <c r="B82" s="80" t="s">
        <v>91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3"/>
        <v>6787</v>
      </c>
      <c r="B83" s="52" t="s">
        <v>92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5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3"/>
        <v>6697</v>
      </c>
      <c r="B84" s="50" t="s">
        <v>93</v>
      </c>
      <c r="C84" s="73" t="s">
        <v>22</v>
      </c>
      <c r="D84" s="74">
        <v>1001301876697</v>
      </c>
      <c r="E84" s="24"/>
      <c r="F84" s="23">
        <v>0.35</v>
      </c>
      <c r="G84" s="23">
        <f t="shared" si="5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3"/>
        <v>6701</v>
      </c>
      <c r="B85" s="50" t="s">
        <v>94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5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3"/>
        <v>7237</v>
      </c>
      <c r="B86" s="50" t="s">
        <v>95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5"/>
        <v>0</v>
      </c>
      <c r="H86" s="14"/>
      <c r="I86" s="14"/>
      <c r="J86" s="29"/>
    </row>
    <row r="87" spans="1:10" ht="16.5" customHeight="1" x14ac:dyDescent="0.25">
      <c r="A87" s="59" t="str">
        <f t="shared" si="3"/>
        <v>6684</v>
      </c>
      <c r="B87" s="52" t="s">
        <v>96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5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3"/>
        <v>6689</v>
      </c>
      <c r="B88" s="57" t="s">
        <v>97</v>
      </c>
      <c r="C88" s="53" t="s">
        <v>37</v>
      </c>
      <c r="D88" s="54">
        <v>1001303986689</v>
      </c>
      <c r="E88" s="24"/>
      <c r="F88" s="23">
        <v>0.35</v>
      </c>
      <c r="G88" s="23">
        <f t="shared" si="5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3"/>
        <v>7157</v>
      </c>
      <c r="B89" s="80" t="s">
        <v>98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3"/>
        <v>7166</v>
      </c>
      <c r="B90" s="80" t="s">
        <v>99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3"/>
        <v>7154</v>
      </c>
      <c r="B91" s="80" t="s">
        <v>100</v>
      </c>
      <c r="C91" s="73" t="s">
        <v>22</v>
      </c>
      <c r="D91" s="74">
        <v>1001300387154</v>
      </c>
      <c r="E91" s="24"/>
      <c r="F91" s="23">
        <v>0.35</v>
      </c>
      <c r="G91" s="23">
        <f>E91*F91</f>
        <v>0</v>
      </c>
      <c r="H91" s="14"/>
      <c r="I91" s="14"/>
      <c r="J91" s="29"/>
    </row>
    <row r="92" spans="1:10" ht="16.5" customHeight="1" x14ac:dyDescent="0.25">
      <c r="A92" s="59" t="str">
        <f t="shared" si="3"/>
        <v>7169</v>
      </c>
      <c r="B92" s="80" t="s">
        <v>101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3"/>
        <v>5341</v>
      </c>
      <c r="B93" s="80" t="s">
        <v>102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3"/>
        <v>5544</v>
      </c>
      <c r="B94" s="80" t="s">
        <v>103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3"/>
        <v>6790</v>
      </c>
      <c r="B95" s="80" t="s">
        <v>104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3"/>
        <v>7133</v>
      </c>
      <c r="B96" s="80" t="s">
        <v>105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3"/>
        <v>6791</v>
      </c>
      <c r="B97" s="80" t="s">
        <v>106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3"/>
        <v>6792</v>
      </c>
      <c r="B98" s="80" t="s">
        <v>107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3"/>
        <v>6564</v>
      </c>
      <c r="B99" s="80" t="s">
        <v>108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6">F99*E99</f>
        <v>0</v>
      </c>
      <c r="H99" s="14"/>
      <c r="I99" s="14"/>
      <c r="J99" s="71"/>
    </row>
    <row r="100" spans="1:11" ht="15.75" customHeight="1" x14ac:dyDescent="0.25">
      <c r="A100" s="59" t="str">
        <f t="shared" si="3"/>
        <v>7238</v>
      </c>
      <c r="B100" s="80" t="s">
        <v>109</v>
      </c>
      <c r="C100" s="73" t="s">
        <v>22</v>
      </c>
      <c r="D100" s="74">
        <v>1001305197238</v>
      </c>
      <c r="E100" s="24"/>
      <c r="F100" s="23">
        <v>0.31</v>
      </c>
      <c r="G100" s="23">
        <f t="shared" si="6"/>
        <v>0</v>
      </c>
      <c r="H100" s="14"/>
      <c r="I100" s="14"/>
      <c r="J100" s="71"/>
    </row>
    <row r="101" spans="1:11" ht="15.75" customHeight="1" x14ac:dyDescent="0.25">
      <c r="A101" s="59" t="str">
        <f t="shared" si="3"/>
        <v>6565</v>
      </c>
      <c r="B101" s="80" t="s">
        <v>110</v>
      </c>
      <c r="C101" s="73" t="s">
        <v>22</v>
      </c>
      <c r="D101" s="74">
        <v>1001305316565</v>
      </c>
      <c r="E101" s="24"/>
      <c r="F101" s="23">
        <v>0.31</v>
      </c>
      <c r="G101" s="23">
        <f t="shared" si="6"/>
        <v>0</v>
      </c>
      <c r="H101" s="14"/>
      <c r="I101" s="14"/>
      <c r="J101" s="71"/>
    </row>
    <row r="102" spans="1:11" ht="15.75" customHeight="1" x14ac:dyDescent="0.25">
      <c r="A102" s="59" t="str">
        <f t="shared" si="3"/>
        <v>7240</v>
      </c>
      <c r="B102" s="80" t="s">
        <v>111</v>
      </c>
      <c r="C102" s="73" t="s">
        <v>22</v>
      </c>
      <c r="D102" s="74">
        <v>1001305317240</v>
      </c>
      <c r="E102" s="24"/>
      <c r="F102" s="23">
        <v>0.31</v>
      </c>
      <c r="G102" s="23">
        <f t="shared" si="6"/>
        <v>0</v>
      </c>
      <c r="H102" s="14"/>
      <c r="I102" s="14"/>
      <c r="J102" s="71"/>
    </row>
    <row r="103" spans="1:11" ht="15.75" customHeight="1" x14ac:dyDescent="0.25">
      <c r="A103" s="59" t="str">
        <f t="shared" si="3"/>
        <v>7236</v>
      </c>
      <c r="B103" s="80" t="s">
        <v>112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6"/>
        <v>0</v>
      </c>
      <c r="H103" s="14"/>
      <c r="I103" s="14"/>
      <c r="J103" s="71"/>
    </row>
    <row r="104" spans="1:11" ht="15.75" customHeight="1" x14ac:dyDescent="0.25">
      <c r="A104" s="59" t="str">
        <f t="shared" ref="A104:A134" si="7">RIGHT(D104,4)</f>
        <v>7177</v>
      </c>
      <c r="B104" s="80" t="s">
        <v>113</v>
      </c>
      <c r="C104" s="73" t="s">
        <v>22</v>
      </c>
      <c r="D104" s="74">
        <v>1001302347177</v>
      </c>
      <c r="E104" s="24"/>
      <c r="F104" s="23">
        <v>0.35</v>
      </c>
      <c r="G104" s="23">
        <f t="shared" si="6"/>
        <v>0</v>
      </c>
      <c r="H104" s="14"/>
      <c r="I104" s="14"/>
      <c r="J104" s="71"/>
    </row>
    <row r="105" spans="1:11" ht="15.75" customHeight="1" x14ac:dyDescent="0.25">
      <c r="A105" s="59" t="str">
        <f t="shared" si="7"/>
        <v>6793</v>
      </c>
      <c r="B105" s="80" t="s">
        <v>114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7"/>
        <v>6794</v>
      </c>
      <c r="B106" s="80" t="s">
        <v>115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si="7"/>
        <v>6665</v>
      </c>
      <c r="B107" s="80" t="s">
        <v>116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7"/>
        <v>6795</v>
      </c>
      <c r="B108" s="80" t="s">
        <v>117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7"/>
        <v>6796</v>
      </c>
      <c r="B109" s="80" t="s">
        <v>118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7"/>
        <v>6804</v>
      </c>
      <c r="B110" s="80" t="s">
        <v>119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7"/>
        <v>6803</v>
      </c>
      <c r="B111" s="80" t="s">
        <v>120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7"/>
        <v>6807</v>
      </c>
      <c r="B112" s="80" t="s">
        <v>121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7"/>
        <v/>
      </c>
      <c r="B113" s="46" t="s">
        <v>122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7"/>
        <v>5931</v>
      </c>
      <c r="B114" s="63" t="s">
        <v>123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7"/>
        <v>6834</v>
      </c>
      <c r="B115" s="52" t="s">
        <v>124</v>
      </c>
      <c r="C115" s="53" t="s">
        <v>22</v>
      </c>
      <c r="D115" s="54">
        <v>1001203146834</v>
      </c>
      <c r="E115" s="24"/>
      <c r="F115" s="75">
        <v>0.1</v>
      </c>
      <c r="G115" s="23">
        <f>E115*F115</f>
        <v>0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7"/>
        <v>6454</v>
      </c>
      <c r="B116" s="80" t="s">
        <v>125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7"/>
        <v>5708</v>
      </c>
      <c r="B117" s="80" t="s">
        <v>126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7"/>
        <v>0614</v>
      </c>
      <c r="B118" s="80" t="s">
        <v>127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7"/>
        <v>1146</v>
      </c>
      <c r="B119" s="80" t="s">
        <v>128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7"/>
        <v>4154</v>
      </c>
      <c r="B120" s="80" t="s">
        <v>129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7"/>
        <v>6967</v>
      </c>
      <c r="B121" s="80" t="s">
        <v>130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7"/>
        <v>4993</v>
      </c>
      <c r="B122" s="80" t="s">
        <v>131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7"/>
        <v>6937</v>
      </c>
      <c r="B123" s="80" t="s">
        <v>132</v>
      </c>
      <c r="C123" s="73" t="s">
        <v>37</v>
      </c>
      <c r="D123" s="74">
        <v>1001063106937</v>
      </c>
      <c r="E123" s="24"/>
      <c r="F123" s="23">
        <v>0.25</v>
      </c>
      <c r="G123" s="23">
        <f>E123*F123</f>
        <v>0</v>
      </c>
      <c r="H123" s="14"/>
      <c r="I123" s="14"/>
      <c r="J123" s="29"/>
    </row>
    <row r="124" spans="1:11" ht="16.5" customHeight="1" x14ac:dyDescent="0.25">
      <c r="A124" s="59" t="str">
        <f t="shared" si="7"/>
        <v>7382</v>
      </c>
      <c r="B124" s="80" t="s">
        <v>163</v>
      </c>
      <c r="C124" s="73" t="s">
        <v>22</v>
      </c>
      <c r="D124" s="74">
        <v>1001203117382</v>
      </c>
      <c r="E124" s="24"/>
      <c r="F124" s="23">
        <v>0.12</v>
      </c>
      <c r="G124" s="23">
        <f>E124*F124</f>
        <v>0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7"/>
        <v>5682</v>
      </c>
      <c r="B125" s="80" t="s">
        <v>164</v>
      </c>
      <c r="C125" s="73" t="s">
        <v>22</v>
      </c>
      <c r="D125" s="74">
        <v>1001193115682</v>
      </c>
      <c r="E125" s="24"/>
      <c r="F125" s="23">
        <v>0.12</v>
      </c>
      <c r="G125" s="23">
        <f>E125*F125</f>
        <v>0</v>
      </c>
      <c r="H125" s="14"/>
      <c r="I125" s="14"/>
      <c r="J125" s="29"/>
    </row>
    <row r="126" spans="1:11" ht="16.5" customHeight="1" x14ac:dyDescent="0.25">
      <c r="A126" s="59" t="str">
        <f t="shared" si="7"/>
        <v>5679</v>
      </c>
      <c r="B126" s="80" t="s">
        <v>133</v>
      </c>
      <c r="C126" s="73" t="s">
        <v>22</v>
      </c>
      <c r="D126" s="74">
        <v>1001190765679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1" ht="16.5" customHeight="1" x14ac:dyDescent="0.25">
      <c r="A127" s="59" t="str">
        <f t="shared" si="7"/>
        <v>4117</v>
      </c>
      <c r="B127" s="80" t="s">
        <v>134</v>
      </c>
      <c r="C127" s="73" t="s">
        <v>24</v>
      </c>
      <c r="D127" s="74">
        <v>1001062504117</v>
      </c>
      <c r="E127" s="24"/>
      <c r="F127" s="23">
        <v>0.50700000000000001</v>
      </c>
      <c r="G127" s="23">
        <f>E127</f>
        <v>0</v>
      </c>
      <c r="H127" s="14">
        <v>4.05</v>
      </c>
      <c r="I127" s="14">
        <v>120</v>
      </c>
      <c r="J127" s="29"/>
    </row>
    <row r="128" spans="1:11" ht="16.5" customHeight="1" x14ac:dyDescent="0.25">
      <c r="A128" s="59" t="str">
        <f t="shared" si="7"/>
        <v>5483</v>
      </c>
      <c r="B128" s="80" t="s">
        <v>135</v>
      </c>
      <c r="C128" s="73" t="s">
        <v>22</v>
      </c>
      <c r="D128" s="74">
        <v>1001062505483</v>
      </c>
      <c r="E128" s="24"/>
      <c r="F128" s="23">
        <v>0.25</v>
      </c>
      <c r="G128" s="23">
        <f t="shared" ref="G128:G133" si="8">E128*F128</f>
        <v>0</v>
      </c>
      <c r="H128" s="14">
        <v>2</v>
      </c>
      <c r="I128" s="14">
        <v>120</v>
      </c>
      <c r="J128" s="29"/>
    </row>
    <row r="129" spans="1:10" ht="16.5" customHeight="1" x14ac:dyDescent="0.25">
      <c r="A129" s="59" t="str">
        <f t="shared" si="7"/>
        <v>6453</v>
      </c>
      <c r="B129" s="80" t="s">
        <v>136</v>
      </c>
      <c r="C129" s="73" t="s">
        <v>37</v>
      </c>
      <c r="D129" s="74">
        <v>1001202506453</v>
      </c>
      <c r="E129" s="24"/>
      <c r="F129" s="23">
        <v>0.1</v>
      </c>
      <c r="G129" s="23">
        <f t="shared" si="8"/>
        <v>0</v>
      </c>
      <c r="H129" s="14">
        <v>1.4</v>
      </c>
      <c r="I129" s="14">
        <v>60</v>
      </c>
      <c r="J129" s="29"/>
    </row>
    <row r="130" spans="1:10" ht="16.5" customHeight="1" x14ac:dyDescent="0.25">
      <c r="A130" s="59" t="str">
        <f t="shared" si="7"/>
        <v>6557</v>
      </c>
      <c r="B130" s="80" t="s">
        <v>137</v>
      </c>
      <c r="C130" s="73" t="s">
        <v>37</v>
      </c>
      <c r="D130" s="74">
        <v>1001200756557</v>
      </c>
      <c r="E130" s="24"/>
      <c r="F130" s="23">
        <v>0.1</v>
      </c>
      <c r="G130" s="23">
        <f t="shared" si="8"/>
        <v>0</v>
      </c>
      <c r="H130" s="14"/>
      <c r="I130" s="14"/>
      <c r="J130" s="29"/>
    </row>
    <row r="131" spans="1:10" ht="16.5" customHeight="1" x14ac:dyDescent="0.25">
      <c r="A131" s="59" t="str">
        <f t="shared" si="7"/>
        <v>5931</v>
      </c>
      <c r="B131" s="80" t="s">
        <v>123</v>
      </c>
      <c r="C131" s="73" t="s">
        <v>37</v>
      </c>
      <c r="D131" s="74">
        <v>1001060755931</v>
      </c>
      <c r="E131" s="24"/>
      <c r="F131" s="23">
        <v>0.22</v>
      </c>
      <c r="G131" s="23">
        <f t="shared" si="8"/>
        <v>0</v>
      </c>
      <c r="H131" s="14"/>
      <c r="I131" s="14"/>
      <c r="J131" s="29"/>
    </row>
    <row r="132" spans="1:10" ht="16.5" customHeight="1" x14ac:dyDescent="0.25">
      <c r="A132" s="59" t="str">
        <f t="shared" si="7"/>
        <v>6228</v>
      </c>
      <c r="B132" s="80" t="s">
        <v>138</v>
      </c>
      <c r="C132" s="73" t="s">
        <v>37</v>
      </c>
      <c r="D132" s="74">
        <v>1001225416228</v>
      </c>
      <c r="E132" s="24"/>
      <c r="F132" s="23">
        <v>0.09</v>
      </c>
      <c r="G132" s="23">
        <f t="shared" si="8"/>
        <v>0</v>
      </c>
      <c r="H132" s="14"/>
      <c r="I132" s="14"/>
      <c r="J132" s="29"/>
    </row>
    <row r="133" spans="1:10" ht="16.5" customHeight="1" x14ac:dyDescent="0.25">
      <c r="A133" s="59" t="str">
        <f t="shared" si="7"/>
        <v>6221</v>
      </c>
      <c r="B133" s="80" t="s">
        <v>139</v>
      </c>
      <c r="C133" s="73" t="s">
        <v>37</v>
      </c>
      <c r="D133" s="74">
        <v>1001205376221</v>
      </c>
      <c r="E133" s="24"/>
      <c r="F133" s="23">
        <v>0.09</v>
      </c>
      <c r="G133" s="23">
        <f t="shared" si="8"/>
        <v>0</v>
      </c>
      <c r="H133" s="14"/>
      <c r="I133" s="14"/>
      <c r="J133" s="29"/>
    </row>
    <row r="134" spans="1:10" ht="16.5" customHeight="1" thickBot="1" x14ac:dyDescent="0.3">
      <c r="A134" s="59" t="str">
        <f t="shared" si="7"/>
        <v>3287</v>
      </c>
      <c r="B134" s="80" t="s">
        <v>140</v>
      </c>
      <c r="C134" s="73" t="s">
        <v>24</v>
      </c>
      <c r="D134" s="74">
        <v>1001060763287</v>
      </c>
      <c r="E134" s="24"/>
      <c r="F134" s="23">
        <v>0.51300000000000001</v>
      </c>
      <c r="G134" s="23">
        <f>E134</f>
        <v>0</v>
      </c>
      <c r="H134" s="14">
        <v>4.0999999999999996</v>
      </c>
      <c r="I134" s="14">
        <v>120</v>
      </c>
      <c r="J134" s="29"/>
    </row>
    <row r="135" spans="1:10" ht="16.5" customHeight="1" thickTop="1" thickBot="1" x14ac:dyDescent="0.3">
      <c r="A135" s="59" t="str">
        <f t="shared" ref="A135:A154" si="9">RIGHT(D135,4)</f>
        <v/>
      </c>
      <c r="B135" s="46" t="s">
        <v>141</v>
      </c>
      <c r="C135" s="46"/>
      <c r="D135" s="46"/>
      <c r="E135" s="46"/>
      <c r="F135" s="46"/>
      <c r="G135" s="23"/>
      <c r="H135" s="46"/>
      <c r="I135" s="46"/>
      <c r="J135" s="47"/>
    </row>
    <row r="136" spans="1:10" ht="16.5" customHeight="1" thickTop="1" x14ac:dyDescent="0.25">
      <c r="A136" s="59" t="str">
        <f t="shared" si="9"/>
        <v>6866</v>
      </c>
      <c r="B136" s="77" t="s">
        <v>142</v>
      </c>
      <c r="C136" s="73" t="s">
        <v>42</v>
      </c>
      <c r="D136" s="79">
        <v>1001095716866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9"/>
        <v>3215</v>
      </c>
      <c r="B137" s="80" t="s">
        <v>143</v>
      </c>
      <c r="C137" s="73" t="s">
        <v>37</v>
      </c>
      <c r="D137" s="42">
        <v>1001094053215</v>
      </c>
      <c r="E137" s="24"/>
      <c r="F137" s="23">
        <v>0.4</v>
      </c>
      <c r="G137" s="23">
        <f>E137*F137</f>
        <v>0</v>
      </c>
      <c r="H137" s="14">
        <v>3.2</v>
      </c>
      <c r="I137" s="14">
        <v>60</v>
      </c>
      <c r="J137" s="29"/>
    </row>
    <row r="138" spans="1:10" ht="16.5" customHeight="1" x14ac:dyDescent="0.25">
      <c r="A138" s="59" t="str">
        <f t="shared" si="9"/>
        <v>6025</v>
      </c>
      <c r="B138" s="80" t="s">
        <v>144</v>
      </c>
      <c r="C138" s="73" t="s">
        <v>24</v>
      </c>
      <c r="D138" s="42">
        <v>1001094966025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si="9"/>
        <v>6470</v>
      </c>
      <c r="B139" s="80" t="s">
        <v>145</v>
      </c>
      <c r="C139" s="73" t="s">
        <v>24</v>
      </c>
      <c r="D139" s="42">
        <v>1001092436470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9"/>
        <v>4584</v>
      </c>
      <c r="B140" s="80" t="s">
        <v>146</v>
      </c>
      <c r="C140" s="73" t="s">
        <v>24</v>
      </c>
      <c r="D140" s="42">
        <v>1001092674584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9"/>
        <v>6472</v>
      </c>
      <c r="B141" s="80" t="s">
        <v>147</v>
      </c>
      <c r="C141" s="73" t="s">
        <v>24</v>
      </c>
      <c r="D141" s="42">
        <v>1001092436472</v>
      </c>
      <c r="E141" s="24"/>
      <c r="F141" s="23"/>
      <c r="G141" s="23">
        <f>E141</f>
        <v>0</v>
      </c>
      <c r="H141" s="14"/>
      <c r="I141" s="14"/>
      <c r="J141" s="29"/>
    </row>
    <row r="142" spans="1:10" ht="16.5" customHeight="1" x14ac:dyDescent="0.25">
      <c r="A142" s="59" t="str">
        <f t="shared" si="9"/>
        <v>5452</v>
      </c>
      <c r="B142" s="50" t="s">
        <v>148</v>
      </c>
      <c r="C142" s="73" t="s">
        <v>24</v>
      </c>
      <c r="D142" s="42">
        <v>1001092485452</v>
      </c>
      <c r="E142" s="24"/>
      <c r="F142" s="23">
        <v>1.367</v>
      </c>
      <c r="G142" s="23">
        <f>E142</f>
        <v>0</v>
      </c>
      <c r="H142" s="14">
        <v>4.0999999999999996</v>
      </c>
      <c r="I142" s="14">
        <v>60</v>
      </c>
      <c r="J142" s="29"/>
    </row>
    <row r="143" spans="1:10" ht="16.5" customHeight="1" x14ac:dyDescent="0.25">
      <c r="A143" s="59" t="str">
        <f t="shared" si="9"/>
        <v>5495</v>
      </c>
      <c r="B143" s="50" t="s">
        <v>149</v>
      </c>
      <c r="C143" s="73" t="s">
        <v>22</v>
      </c>
      <c r="D143" s="42">
        <v>1001093345495</v>
      </c>
      <c r="E143" s="24"/>
      <c r="F143" s="23">
        <v>0.4</v>
      </c>
      <c r="G143" s="23">
        <f>E143*F143</f>
        <v>0</v>
      </c>
      <c r="H143" s="14">
        <v>2.4</v>
      </c>
      <c r="I143" s="14">
        <v>60</v>
      </c>
      <c r="J143" s="29"/>
    </row>
    <row r="144" spans="1:10" ht="15.75" customHeight="1" thickBot="1" x14ac:dyDescent="0.3">
      <c r="A144" s="59" t="str">
        <f t="shared" si="9"/>
        <v>6495</v>
      </c>
      <c r="B144" s="50" t="s">
        <v>150</v>
      </c>
      <c r="C144" s="73" t="s">
        <v>22</v>
      </c>
      <c r="D144" s="42">
        <v>1001092436495</v>
      </c>
      <c r="E144" s="24"/>
      <c r="F144" s="23">
        <v>0.3</v>
      </c>
      <c r="G144" s="23">
        <f>E144*F144</f>
        <v>0</v>
      </c>
      <c r="H144" s="14">
        <v>1.8</v>
      </c>
      <c r="I144" s="14">
        <v>45</v>
      </c>
      <c r="J144" s="29"/>
    </row>
    <row r="145" spans="1:11" ht="16.5" customHeight="1" thickTop="1" thickBot="1" x14ac:dyDescent="0.3">
      <c r="A145" s="59" t="str">
        <f t="shared" si="9"/>
        <v/>
      </c>
      <c r="B145" s="46" t="s">
        <v>151</v>
      </c>
      <c r="C145" s="46"/>
      <c r="D145" s="46"/>
      <c r="E145" s="46"/>
      <c r="F145" s="46"/>
      <c r="G145" s="23"/>
      <c r="H145" s="46"/>
      <c r="I145" s="46"/>
      <c r="J145" s="47"/>
    </row>
    <row r="146" spans="1:11" ht="16.5" customHeight="1" thickTop="1" x14ac:dyDescent="0.25">
      <c r="A146" s="59" t="str">
        <f t="shared" si="9"/>
        <v>6448</v>
      </c>
      <c r="B146" s="37" t="s">
        <v>152</v>
      </c>
      <c r="C146" s="73" t="s">
        <v>37</v>
      </c>
      <c r="D146" s="74">
        <v>1001234146448</v>
      </c>
      <c r="E146" s="24"/>
      <c r="F146" s="23">
        <v>0.1</v>
      </c>
      <c r="G146" s="23">
        <f t="shared" ref="G146:G151" si="10">E146*F146</f>
        <v>0</v>
      </c>
      <c r="H146" s="14">
        <v>1</v>
      </c>
      <c r="I146" s="14">
        <v>45</v>
      </c>
      <c r="J146" s="29"/>
    </row>
    <row r="147" spans="1:11" ht="16.5" customHeight="1" x14ac:dyDescent="0.25">
      <c r="A147" s="59" t="str">
        <f t="shared" si="9"/>
        <v>6586</v>
      </c>
      <c r="B147" s="37" t="s">
        <v>79</v>
      </c>
      <c r="C147" s="73" t="s">
        <v>37</v>
      </c>
      <c r="D147" s="74">
        <v>1001215576586</v>
      </c>
      <c r="E147" s="24"/>
      <c r="F147" s="23">
        <v>0.09</v>
      </c>
      <c r="G147" s="23">
        <f t="shared" si="10"/>
        <v>0</v>
      </c>
      <c r="H147" s="14"/>
      <c r="I147" s="14"/>
      <c r="J147" s="29"/>
    </row>
    <row r="148" spans="1:11" ht="16.5" customHeight="1" x14ac:dyDescent="0.25">
      <c r="A148" s="59" t="str">
        <f t="shared" si="9"/>
        <v>6228</v>
      </c>
      <c r="B148" s="37" t="s">
        <v>138</v>
      </c>
      <c r="C148" s="73" t="s">
        <v>37</v>
      </c>
      <c r="D148" s="74">
        <v>1001225416228</v>
      </c>
      <c r="E148" s="24"/>
      <c r="F148" s="23">
        <v>0.09</v>
      </c>
      <c r="G148" s="23">
        <f t="shared" si="10"/>
        <v>0</v>
      </c>
      <c r="H148" s="14"/>
      <c r="I148" s="14"/>
      <c r="J148" s="29"/>
    </row>
    <row r="149" spans="1:11" ht="16.5" customHeight="1" x14ac:dyDescent="0.25">
      <c r="A149" s="59" t="str">
        <f t="shared" si="9"/>
        <v>6222</v>
      </c>
      <c r="B149" s="37" t="s">
        <v>153</v>
      </c>
      <c r="C149" s="73" t="s">
        <v>37</v>
      </c>
      <c r="D149" s="74">
        <v>1001205386222</v>
      </c>
      <c r="E149" s="24"/>
      <c r="F149" s="23">
        <v>0.09</v>
      </c>
      <c r="G149" s="23">
        <f t="shared" si="10"/>
        <v>0</v>
      </c>
      <c r="H149" s="14"/>
      <c r="I149" s="14"/>
      <c r="J149" s="29"/>
    </row>
    <row r="150" spans="1:11" ht="16.5" customHeight="1" x14ac:dyDescent="0.25">
      <c r="A150" s="59" t="str">
        <f t="shared" si="9"/>
        <v>6754</v>
      </c>
      <c r="B150" s="37" t="s">
        <v>154</v>
      </c>
      <c r="C150" s="73" t="s">
        <v>37</v>
      </c>
      <c r="D150" s="74">
        <v>1001225406754</v>
      </c>
      <c r="E150" s="24"/>
      <c r="F150" s="23">
        <v>0.09</v>
      </c>
      <c r="G150" s="23">
        <f t="shared" si="10"/>
        <v>0</v>
      </c>
      <c r="H150" s="14"/>
      <c r="I150" s="14"/>
      <c r="J150" s="29"/>
    </row>
    <row r="151" spans="1:11" ht="16.5" customHeight="1" x14ac:dyDescent="0.25">
      <c r="A151" s="59" t="str">
        <f t="shared" si="9"/>
        <v>7090</v>
      </c>
      <c r="B151" s="37" t="s">
        <v>155</v>
      </c>
      <c r="C151" s="73" t="s">
        <v>37</v>
      </c>
      <c r="D151" s="74">
        <v>1001084217090</v>
      </c>
      <c r="E151" s="24"/>
      <c r="F151" s="23">
        <v>0.3</v>
      </c>
      <c r="G151" s="23">
        <f t="shared" si="10"/>
        <v>0</v>
      </c>
      <c r="H151" s="14">
        <v>1.8</v>
      </c>
      <c r="I151" s="14">
        <v>45</v>
      </c>
      <c r="J151" s="29"/>
    </row>
    <row r="152" spans="1:11" ht="16.5" customHeight="1" x14ac:dyDescent="0.25">
      <c r="A152" s="59" t="str">
        <f t="shared" si="9"/>
        <v>6208</v>
      </c>
      <c r="B152" s="37" t="s">
        <v>156</v>
      </c>
      <c r="C152" s="73" t="s">
        <v>22</v>
      </c>
      <c r="D152" s="74">
        <v>1001220226208</v>
      </c>
      <c r="E152" s="24"/>
      <c r="F152" s="23">
        <v>0.15</v>
      </c>
      <c r="G152" s="23">
        <f>F152*E152</f>
        <v>0</v>
      </c>
      <c r="H152" s="14"/>
      <c r="I152" s="14"/>
      <c r="J152" s="29"/>
    </row>
    <row r="153" spans="1:11" ht="16.5" customHeight="1" x14ac:dyDescent="0.25">
      <c r="A153" s="59" t="str">
        <f t="shared" si="9"/>
        <v>7053</v>
      </c>
      <c r="B153" s="37" t="s">
        <v>157</v>
      </c>
      <c r="C153" s="73" t="s">
        <v>24</v>
      </c>
      <c r="D153" s="74">
        <v>1001223297053</v>
      </c>
      <c r="E153" s="24"/>
      <c r="F153" s="23"/>
      <c r="G153" s="23">
        <f>E153</f>
        <v>0</v>
      </c>
      <c r="H153" s="14"/>
      <c r="I153" s="14"/>
      <c r="J153" s="29"/>
    </row>
    <row r="154" spans="1:11" s="70" customFormat="1" ht="16.5" customHeight="1" thickBot="1" x14ac:dyDescent="0.3">
      <c r="A154" s="59" t="str">
        <f t="shared" si="9"/>
        <v>7103</v>
      </c>
      <c r="B154" s="58" t="s">
        <v>158</v>
      </c>
      <c r="C154" s="53" t="s">
        <v>37</v>
      </c>
      <c r="D154" s="54">
        <v>1001223297103</v>
      </c>
      <c r="E154" s="24"/>
      <c r="F154" s="75">
        <v>0.18</v>
      </c>
      <c r="G154" s="23">
        <f>E154*F154</f>
        <v>0</v>
      </c>
      <c r="H154" s="76">
        <v>1.8</v>
      </c>
      <c r="I154" s="76">
        <v>45</v>
      </c>
      <c r="J154" s="76"/>
      <c r="K154" s="27"/>
    </row>
    <row r="155" spans="1:11" ht="16.5" customHeight="1" thickTop="1" thickBot="1" x14ac:dyDescent="0.3">
      <c r="A155" s="62"/>
      <c r="B155" s="49" t="s">
        <v>159</v>
      </c>
      <c r="C155" s="16"/>
      <c r="D155" s="38"/>
      <c r="E155" s="17">
        <f>SUM(E10:E154)</f>
        <v>0</v>
      </c>
      <c r="F155" s="17"/>
      <c r="G155" s="17">
        <f>SUM(G11:G154)</f>
        <v>0</v>
      </c>
      <c r="H155" s="17"/>
      <c r="I155" s="17"/>
      <c r="J155" s="17"/>
    </row>
    <row r="156" spans="1:11" ht="15.75" customHeight="1" thickTop="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  <row r="1679" spans="2:10" x14ac:dyDescent="0.25">
      <c r="B1679" s="39"/>
      <c r="C1679" s="18"/>
      <c r="D1679" s="43"/>
      <c r="F1679" s="19"/>
      <c r="G1679" s="19"/>
      <c r="H1679" s="20"/>
      <c r="I1679" s="20"/>
      <c r="J1679" s="21"/>
    </row>
  </sheetData>
  <autoFilter ref="A9:K15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2026-01-14T09:11:49Z</dcterms:modified>
</cp:coreProperties>
</file>