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62108F0C-8166-4291-BFC7-9EE0835F17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Бланк!$A$9:$K$145</definedName>
    <definedName name="кол_во_инд.__упак_к">Бланк!$AC$3:$AC$581</definedName>
    <definedName name="номин.вес_нетто__кг">Бланк!$W$3:$W$581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4" i="1" l="1"/>
  <c r="A114" i="1"/>
  <c r="G48" i="1" l="1"/>
  <c r="A48" i="1"/>
  <c r="G51" i="1"/>
  <c r="A51" i="1"/>
  <c r="G35" i="1"/>
  <c r="A35" i="1"/>
  <c r="E145" i="1" l="1"/>
  <c r="G144" i="1"/>
  <c r="A144" i="1"/>
  <c r="G143" i="1"/>
  <c r="A143" i="1"/>
  <c r="G142" i="1"/>
  <c r="A142" i="1"/>
  <c r="G141" i="1"/>
  <c r="A141" i="1"/>
  <c r="G140" i="1"/>
  <c r="A140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5" i="1" l="1"/>
</calcChain>
</file>

<file path=xl/sharedStrings.xml><?xml version="1.0" encoding="utf-8"?>
<sst xmlns="http://schemas.openxmlformats.org/spreadsheetml/2006/main" count="283" uniqueCount="159">
  <si>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</si>
  <si>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</si>
  <si>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</si>
  <si>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</si>
  <si>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</si>
  <si>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</si>
  <si>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</si>
  <si>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</si>
  <si>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</si>
  <si>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</si>
  <si>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</si>
  <si>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</si>
  <si>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</si>
  <si>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</si>
  <si>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</si>
  <si>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</si>
  <si>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</si>
  <si>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</si>
  <si>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</si>
  <si>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</si>
  <si>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</si>
  <si>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</si>
  <si>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</si>
  <si>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</si>
  <si>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</si>
  <si>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</si>
  <si>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</si>
  <si>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</si>
  <si>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</si>
  <si>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</si>
  <si>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</si>
  <si>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</si>
  <si>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</si>
  <si>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</si>
  <si>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</si>
  <si>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</si>
  <si>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</si>
  <si>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</si>
  <si>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</si>
  <si>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</si>
  <si>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</si>
  <si>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</si>
  <si>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</si>
  <si>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</si>
  <si>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</si>
  <si>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</si>
  <si>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</si>
  <si>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</si>
  <si>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</si>
  <si>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</si>
  <si>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</si>
  <si>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</si>
  <si>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</si>
  <si>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</si>
  <si>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</si>
  <si>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</si>
  <si>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</si>
  <si>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</si>
  <si>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</si>
  <si>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</si>
  <si>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</si>
  <si>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</si>
  <si>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</si>
  <si>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</si>
  <si>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</si>
  <si>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</si>
  <si>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</si>
  <si>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</si>
  <si>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</si>
  <si>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</si>
  <si>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</si>
  <si>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</si>
  <si>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</si>
  <si>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</si>
  <si>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</si>
  <si>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</si>
  <si>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</si>
  <si>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</si>
  <si>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</si>
  <si>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</si>
  <si>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</si>
  <si>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</si>
  <si>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</si>
  <si>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</si>
  <si>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</si>
  <si>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</si>
  <si>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</si>
  <si>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</si>
  <si>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</si>
  <si>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</si>
  <si>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</si>
  <si>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</si>
  <si>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</si>
  <si>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</si>
  <si>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</si>
  <si>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</si>
  <si>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</si>
  <si>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</si>
  <si>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</si>
  <si>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</si>
  <si>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</si>
  <si>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</si>
  <si>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</si>
  <si>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</si>
  <si>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</si>
  <si>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</si>
  <si>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</si>
  <si>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</si>
  <si>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</si>
  <si>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</si>
  <si>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</si>
  <si>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</si>
  <si>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</si>
  <si>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</si>
  <si>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</si>
  <si>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</si>
  <si>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</si>
  <si>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</si>
  <si>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</si>
  <si>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</si>
  <si>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</si>
  <si>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</si>
  <si>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</si>
  <si>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</si>
  <si>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</si>
  <si>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</si>
  <si>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</si>
  <si>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</si>
  <si>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</si>
  <si>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</si>
  <si>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</si>
  <si>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</si>
  <si>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</si>
  <si>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</si>
  <si>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</si>
  <si>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</si>
  <si>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</si>
  <si>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</si>
  <si>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</si>
  <si>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</si>
  <si>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</si>
  <si>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</si>
  <si>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</si>
  <si>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</si>
  <si>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</si>
  <si>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</si>
  <si>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</si>
  <si>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</si>
  <si>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</si>
  <si>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</si>
  <si>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</si>
  <si>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</si>
  <si>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</si>
  <si>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</si>
  <si>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</si>
  <si>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</si>
  <si>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</si>
  <si>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</si>
  <si>
    <t>АРОМАТНАЯ Папа может с/к в/у 1/250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</si>
</sst>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H151" sqref="H15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45999</v>
      </c>
      <c r="E3" s="7" t="s">
        <v>3</v>
      </c>
      <c r="F3" s="82">
        <f>D3+3</f>
        <v>46002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155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4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 t="shared" si="4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 t="shared" si="4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157</v>
      </c>
      <c r="C48" s="72" t="s">
        <v>21</v>
      </c>
      <c r="D48" s="73">
        <v>1001022557257</v>
      </c>
      <c r="E48" s="24"/>
      <c r="F48" s="23">
        <v>0.33</v>
      </c>
      <c r="G48" s="23">
        <f t="shared" si="4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153</v>
      </c>
      <c r="C49" s="72" t="s">
        <v>21</v>
      </c>
      <c r="D49" s="73">
        <v>1001022556837</v>
      </c>
      <c r="E49" s="24"/>
      <c r="F49" s="23">
        <v>0.33</v>
      </c>
      <c r="G49" s="23">
        <f t="shared" si="4"/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154</v>
      </c>
      <c r="C50" s="72" t="s">
        <v>21</v>
      </c>
      <c r="D50" s="73">
        <v>1001025767284</v>
      </c>
      <c r="E50" s="24"/>
      <c r="F50" s="23">
        <v>0.33</v>
      </c>
      <c r="G50" s="23">
        <f t="shared" si="4"/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156</v>
      </c>
      <c r="C51" s="72" t="s">
        <v>21</v>
      </c>
      <c r="D51" s="73">
        <v>1001025766909</v>
      </c>
      <c r="E51" s="24"/>
      <c r="F51" s="23">
        <v>0.33</v>
      </c>
      <c r="G51" s="23">
        <f t="shared" si="4"/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ref="A73:A104" si="6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6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6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6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6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6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7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6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7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6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7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7"/>
        <v>0</v>
      </c>
      <c r="H81" s="14"/>
      <c r="I81" s="14"/>
      <c r="J81" s="29"/>
    </row>
    <row r="82" spans="1:10" ht="16.5" customHeight="1" x14ac:dyDescent="0.25">
      <c r="A82" s="59" t="str">
        <f t="shared" si="6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7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6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7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6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6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6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6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6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6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6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6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6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6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6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6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6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6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6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5" si="9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9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9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9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9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9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9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9"/>
        <v>5708</v>
      </c>
      <c r="B112" s="79" t="s">
        <v>119</v>
      </c>
      <c r="C112" s="72" t="s">
        <v>23</v>
      </c>
      <c r="D112" s="73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9"/>
        <v>0614</v>
      </c>
      <c r="B113" s="79" t="s">
        <v>120</v>
      </c>
      <c r="C113" s="72" t="s">
        <v>23</v>
      </c>
      <c r="D113" s="73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9"/>
        <v>3986</v>
      </c>
      <c r="B114" s="79" t="s">
        <v>158</v>
      </c>
      <c r="C114" s="72" t="s">
        <v>21</v>
      </c>
      <c r="D114" s="73">
        <v>1001061973986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1146</v>
      </c>
      <c r="B115" s="79" t="s">
        <v>121</v>
      </c>
      <c r="C115" s="72" t="s">
        <v>23</v>
      </c>
      <c r="D115" s="73">
        <v>1001061971146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4154</v>
      </c>
      <c r="B116" s="79" t="s">
        <v>122</v>
      </c>
      <c r="C116" s="72" t="s">
        <v>23</v>
      </c>
      <c r="D116" s="73">
        <v>1001062474154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6967</v>
      </c>
      <c r="B117" s="79" t="s">
        <v>123</v>
      </c>
      <c r="C117" s="72" t="s">
        <v>21</v>
      </c>
      <c r="D117" s="73">
        <v>1001063656967</v>
      </c>
      <c r="E117" s="24"/>
      <c r="F117" s="23">
        <v>0.25</v>
      </c>
      <c r="G117" s="23">
        <f>F117*E117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4993</v>
      </c>
      <c r="B118" s="79" t="s">
        <v>124</v>
      </c>
      <c r="C118" s="72" t="s">
        <v>33</v>
      </c>
      <c r="D118" s="73">
        <v>1001060764993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9"/>
        <v>6937</v>
      </c>
      <c r="B119" s="79" t="s">
        <v>125</v>
      </c>
      <c r="C119" s="72" t="s">
        <v>33</v>
      </c>
      <c r="D119" s="73">
        <v>1001063106937</v>
      </c>
      <c r="E119" s="24"/>
      <c r="F119" s="23">
        <v>0.25</v>
      </c>
      <c r="G119" s="23">
        <f>E119*F119</f>
        <v>0</v>
      </c>
      <c r="H119" s="14"/>
      <c r="I119" s="14"/>
      <c r="J119" s="29"/>
    </row>
    <row r="120" spans="1:10" ht="16.5" customHeight="1" x14ac:dyDescent="0.25">
      <c r="A120" s="59" t="str">
        <f t="shared" si="9"/>
        <v>5682</v>
      </c>
      <c r="B120" s="79" t="s">
        <v>126</v>
      </c>
      <c r="C120" s="72" t="s">
        <v>21</v>
      </c>
      <c r="D120" s="73">
        <v>1001193115682</v>
      </c>
      <c r="E120" s="24"/>
      <c r="F120" s="23">
        <v>0.12</v>
      </c>
      <c r="G120" s="23">
        <f>E120*F120</f>
        <v>0</v>
      </c>
      <c r="H120" s="14">
        <v>0.96</v>
      </c>
      <c r="I120" s="14">
        <v>60</v>
      </c>
      <c r="J120" s="29"/>
    </row>
    <row r="121" spans="1:10" ht="16.5" customHeight="1" x14ac:dyDescent="0.25">
      <c r="A121" s="59" t="str">
        <f t="shared" si="9"/>
        <v>5679</v>
      </c>
      <c r="B121" s="79" t="s">
        <v>127</v>
      </c>
      <c r="C121" s="72" t="s">
        <v>21</v>
      </c>
      <c r="D121" s="73">
        <v>1001190765679</v>
      </c>
      <c r="E121" s="24"/>
      <c r="F121" s="23">
        <v>0.15</v>
      </c>
      <c r="G121" s="23">
        <f>F121*E121</f>
        <v>0</v>
      </c>
      <c r="H121" s="14"/>
      <c r="I121" s="14"/>
      <c r="J121" s="29"/>
    </row>
    <row r="122" spans="1:10" ht="16.5" customHeight="1" x14ac:dyDescent="0.25">
      <c r="A122" s="59" t="str">
        <f t="shared" si="9"/>
        <v>4117</v>
      </c>
      <c r="B122" s="79" t="s">
        <v>128</v>
      </c>
      <c r="C122" s="72" t="s">
        <v>23</v>
      </c>
      <c r="D122" s="73">
        <v>1001062504117</v>
      </c>
      <c r="E122" s="24"/>
      <c r="F122" s="23">
        <v>0.50700000000000001</v>
      </c>
      <c r="G122" s="23">
        <f>E122</f>
        <v>0</v>
      </c>
      <c r="H122" s="14">
        <v>4.05</v>
      </c>
      <c r="I122" s="14">
        <v>120</v>
      </c>
      <c r="J122" s="29"/>
    </row>
    <row r="123" spans="1:10" ht="16.5" customHeight="1" x14ac:dyDescent="0.25">
      <c r="A123" s="59" t="str">
        <f t="shared" si="9"/>
        <v>5483</v>
      </c>
      <c r="B123" s="79" t="s">
        <v>129</v>
      </c>
      <c r="C123" s="72" t="s">
        <v>21</v>
      </c>
      <c r="D123" s="73">
        <v>1001062505483</v>
      </c>
      <c r="E123" s="24"/>
      <c r="F123" s="23">
        <v>0.25</v>
      </c>
      <c r="G123" s="23">
        <f>E123*F123</f>
        <v>0</v>
      </c>
      <c r="H123" s="14">
        <v>2</v>
      </c>
      <c r="I123" s="14">
        <v>120</v>
      </c>
      <c r="J123" s="29"/>
    </row>
    <row r="124" spans="1:10" ht="16.5" customHeight="1" x14ac:dyDescent="0.25">
      <c r="A124" s="59" t="str">
        <f t="shared" si="9"/>
        <v>6453</v>
      </c>
      <c r="B124" s="79" t="s">
        <v>130</v>
      </c>
      <c r="C124" s="72" t="s">
        <v>33</v>
      </c>
      <c r="D124" s="73">
        <v>1001202506453</v>
      </c>
      <c r="E124" s="24"/>
      <c r="F124" s="23">
        <v>0.1</v>
      </c>
      <c r="G124" s="23">
        <f>E124*F124</f>
        <v>0</v>
      </c>
      <c r="H124" s="14">
        <v>1.4</v>
      </c>
      <c r="I124" s="14">
        <v>60</v>
      </c>
      <c r="J124" s="29"/>
    </row>
    <row r="125" spans="1:10" ht="16.5" customHeight="1" x14ac:dyDescent="0.25">
      <c r="A125" s="59" t="str">
        <f t="shared" si="9"/>
        <v>6557</v>
      </c>
      <c r="B125" s="79" t="s">
        <v>131</v>
      </c>
      <c r="C125" s="72" t="s">
        <v>33</v>
      </c>
      <c r="D125" s="73">
        <v>1001200756557</v>
      </c>
      <c r="E125" s="24"/>
      <c r="F125" s="23">
        <v>0.1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6228</v>
      </c>
      <c r="B126" s="79" t="s">
        <v>132</v>
      </c>
      <c r="C126" s="72" t="s">
        <v>33</v>
      </c>
      <c r="D126" s="73">
        <v>1001225416228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6221</v>
      </c>
      <c r="B127" s="79" t="s">
        <v>133</v>
      </c>
      <c r="C127" s="72" t="s">
        <v>33</v>
      </c>
      <c r="D127" s="73">
        <v>1001205376221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thickBot="1" x14ac:dyDescent="0.3">
      <c r="A128" s="59" t="str">
        <f t="shared" si="9"/>
        <v>3287</v>
      </c>
      <c r="B128" s="79" t="s">
        <v>134</v>
      </c>
      <c r="C128" s="72" t="s">
        <v>23</v>
      </c>
      <c r="D128" s="73">
        <v>1001060763287</v>
      </c>
      <c r="E128" s="24"/>
      <c r="F128" s="23">
        <v>0.51300000000000001</v>
      </c>
      <c r="G128" s="23">
        <f>E128</f>
        <v>0</v>
      </c>
      <c r="H128" s="14">
        <v>4.0999999999999996</v>
      </c>
      <c r="I128" s="14">
        <v>120</v>
      </c>
      <c r="J128" s="29"/>
    </row>
    <row r="129" spans="1:11" ht="16.5" customHeight="1" thickTop="1" thickBot="1" x14ac:dyDescent="0.3">
      <c r="A129" s="59" t="str">
        <f t="shared" si="9"/>
        <v/>
      </c>
      <c r="B129" s="46" t="s">
        <v>135</v>
      </c>
      <c r="C129" s="46"/>
      <c r="D129" s="46"/>
      <c r="E129" s="46"/>
      <c r="F129" s="46"/>
      <c r="G129" s="23"/>
      <c r="H129" s="46"/>
      <c r="I129" s="46"/>
      <c r="J129" s="47"/>
    </row>
    <row r="130" spans="1:11" ht="16.5" customHeight="1" thickTop="1" x14ac:dyDescent="0.25">
      <c r="A130" s="59" t="str">
        <f t="shared" si="9"/>
        <v>6866</v>
      </c>
      <c r="B130" s="76" t="s">
        <v>136</v>
      </c>
      <c r="C130" s="72" t="s">
        <v>38</v>
      </c>
      <c r="D130" s="78">
        <v>1001095716866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9"/>
        <v>3215</v>
      </c>
      <c r="B131" s="79" t="s">
        <v>137</v>
      </c>
      <c r="C131" s="72" t="s">
        <v>33</v>
      </c>
      <c r="D131" s="42">
        <v>1001094053215</v>
      </c>
      <c r="E131" s="24"/>
      <c r="F131" s="23">
        <v>0.4</v>
      </c>
      <c r="G131" s="23">
        <f>E131*F131</f>
        <v>0</v>
      </c>
      <c r="H131" s="14">
        <v>3.2</v>
      </c>
      <c r="I131" s="14">
        <v>60</v>
      </c>
      <c r="J131" s="29"/>
    </row>
    <row r="132" spans="1:11" ht="16.5" customHeight="1" x14ac:dyDescent="0.25">
      <c r="A132" s="59" t="str">
        <f t="shared" si="9"/>
        <v>6025</v>
      </c>
      <c r="B132" s="79" t="s">
        <v>138</v>
      </c>
      <c r="C132" s="72" t="s">
        <v>23</v>
      </c>
      <c r="D132" s="42">
        <v>1001094966025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9"/>
        <v>6470</v>
      </c>
      <c r="B133" s="79" t="s">
        <v>139</v>
      </c>
      <c r="C133" s="72" t="s">
        <v>23</v>
      </c>
      <c r="D133" s="42">
        <v>1001092436470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9"/>
        <v>4584</v>
      </c>
      <c r="B134" s="79" t="s">
        <v>140</v>
      </c>
      <c r="C134" s="72" t="s">
        <v>23</v>
      </c>
      <c r="D134" s="42">
        <v>1001092674584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9"/>
        <v>6472</v>
      </c>
      <c r="B135" s="79" t="s">
        <v>141</v>
      </c>
      <c r="C135" s="72" t="s">
        <v>23</v>
      </c>
      <c r="D135" s="42">
        <v>1001092436472</v>
      </c>
      <c r="E135" s="24"/>
      <c r="F135" s="23"/>
      <c r="G135" s="23">
        <f>E135</f>
        <v>0</v>
      </c>
      <c r="H135" s="14"/>
      <c r="I135" s="14"/>
      <c r="J135" s="29"/>
    </row>
    <row r="136" spans="1:11" ht="16.5" customHeight="1" x14ac:dyDescent="0.25">
      <c r="A136" s="59" t="str">
        <f t="shared" ref="A136:A144" si="10">RIGHT(D136,4)</f>
        <v>5452</v>
      </c>
      <c r="B136" s="50" t="s">
        <v>142</v>
      </c>
      <c r="C136" s="72" t="s">
        <v>23</v>
      </c>
      <c r="D136" s="42">
        <v>1001092485452</v>
      </c>
      <c r="E136" s="24"/>
      <c r="F136" s="23">
        <v>1.367</v>
      </c>
      <c r="G136" s="23">
        <f>E136</f>
        <v>0</v>
      </c>
      <c r="H136" s="14">
        <v>4.0999999999999996</v>
      </c>
      <c r="I136" s="14">
        <v>60</v>
      </c>
      <c r="J136" s="29"/>
    </row>
    <row r="137" spans="1:11" ht="16.5" customHeight="1" x14ac:dyDescent="0.25">
      <c r="A137" s="59" t="str">
        <f t="shared" si="10"/>
        <v>5495</v>
      </c>
      <c r="B137" s="50" t="s">
        <v>143</v>
      </c>
      <c r="C137" s="72" t="s">
        <v>21</v>
      </c>
      <c r="D137" s="42">
        <v>1001093345495</v>
      </c>
      <c r="E137" s="24"/>
      <c r="F137" s="23">
        <v>0.4</v>
      </c>
      <c r="G137" s="23">
        <f>E137*F137</f>
        <v>0</v>
      </c>
      <c r="H137" s="14">
        <v>2.4</v>
      </c>
      <c r="I137" s="14">
        <v>60</v>
      </c>
      <c r="J137" s="29"/>
    </row>
    <row r="138" spans="1:11" ht="15.75" customHeight="1" thickBot="1" x14ac:dyDescent="0.3">
      <c r="A138" s="59" t="str">
        <f t="shared" si="10"/>
        <v>6495</v>
      </c>
      <c r="B138" s="50" t="s">
        <v>144</v>
      </c>
      <c r="C138" s="72" t="s">
        <v>21</v>
      </c>
      <c r="D138" s="42">
        <v>1001092436495</v>
      </c>
      <c r="E138" s="24"/>
      <c r="F138" s="23">
        <v>0.3</v>
      </c>
      <c r="G138" s="23">
        <f>E138*F138</f>
        <v>0</v>
      </c>
      <c r="H138" s="14">
        <v>1.8</v>
      </c>
      <c r="I138" s="14">
        <v>45</v>
      </c>
      <c r="J138" s="29"/>
    </row>
    <row r="139" spans="1:11" ht="16.5" customHeight="1" thickTop="1" thickBot="1" x14ac:dyDescent="0.3">
      <c r="A139" s="59" t="str">
        <f t="shared" si="10"/>
        <v/>
      </c>
      <c r="B139" s="46" t="s">
        <v>145</v>
      </c>
      <c r="C139" s="46"/>
      <c r="D139" s="46"/>
      <c r="E139" s="46"/>
      <c r="F139" s="46"/>
      <c r="G139" s="23"/>
      <c r="H139" s="46"/>
      <c r="I139" s="46"/>
      <c r="J139" s="47"/>
    </row>
    <row r="140" spans="1:11" ht="16.5" customHeight="1" thickTop="1" x14ac:dyDescent="0.25">
      <c r="A140" s="59" t="str">
        <f t="shared" si="10"/>
        <v>6448</v>
      </c>
      <c r="B140" s="37" t="s">
        <v>146</v>
      </c>
      <c r="C140" s="72" t="s">
        <v>33</v>
      </c>
      <c r="D140" s="73">
        <v>1001234146448</v>
      </c>
      <c r="E140" s="24"/>
      <c r="F140" s="23">
        <v>0.1</v>
      </c>
      <c r="G140" s="23">
        <f>E140*F140</f>
        <v>0</v>
      </c>
      <c r="H140" s="14">
        <v>1</v>
      </c>
      <c r="I140" s="14">
        <v>45</v>
      </c>
      <c r="J140" s="29"/>
    </row>
    <row r="141" spans="1:11" ht="16.5" customHeight="1" x14ac:dyDescent="0.25">
      <c r="A141" s="59" t="str">
        <f t="shared" si="10"/>
        <v>7090</v>
      </c>
      <c r="B141" s="37" t="s">
        <v>147</v>
      </c>
      <c r="C141" s="72" t="s">
        <v>33</v>
      </c>
      <c r="D141" s="73">
        <v>1001084217090</v>
      </c>
      <c r="E141" s="24"/>
      <c r="F141" s="23">
        <v>0.3</v>
      </c>
      <c r="G141" s="23">
        <f>E141*F141</f>
        <v>0</v>
      </c>
      <c r="H141" s="14">
        <v>1.8</v>
      </c>
      <c r="I141" s="14">
        <v>45</v>
      </c>
      <c r="J141" s="29"/>
    </row>
    <row r="142" spans="1:11" ht="16.5" customHeight="1" x14ac:dyDescent="0.25">
      <c r="A142" s="59" t="str">
        <f t="shared" si="10"/>
        <v>6208</v>
      </c>
      <c r="B142" s="37" t="s">
        <v>148</v>
      </c>
      <c r="C142" s="72" t="s">
        <v>21</v>
      </c>
      <c r="D142" s="73">
        <v>1001220226208</v>
      </c>
      <c r="E142" s="24"/>
      <c r="F142" s="23">
        <v>0.15</v>
      </c>
      <c r="G142" s="23">
        <f>F142*E142</f>
        <v>0</v>
      </c>
      <c r="H142" s="14"/>
      <c r="I142" s="14"/>
      <c r="J142" s="29"/>
    </row>
    <row r="143" spans="1:11" ht="16.5" customHeight="1" x14ac:dyDescent="0.25">
      <c r="A143" s="59" t="str">
        <f t="shared" si="10"/>
        <v>7053</v>
      </c>
      <c r="B143" s="37" t="s">
        <v>149</v>
      </c>
      <c r="C143" s="72" t="s">
        <v>23</v>
      </c>
      <c r="D143" s="73">
        <v>1001223297053</v>
      </c>
      <c r="E143" s="24"/>
      <c r="F143" s="23"/>
      <c r="G143" s="23">
        <f>E143</f>
        <v>0</v>
      </c>
      <c r="H143" s="14"/>
      <c r="I143" s="14"/>
      <c r="J143" s="29"/>
    </row>
    <row r="144" spans="1:11" s="70" customFormat="1" ht="16.5" customHeight="1" thickBot="1" x14ac:dyDescent="0.3">
      <c r="A144" s="59" t="str">
        <f t="shared" si="10"/>
        <v>7103</v>
      </c>
      <c r="B144" s="58" t="s">
        <v>150</v>
      </c>
      <c r="C144" s="53" t="s">
        <v>33</v>
      </c>
      <c r="D144" s="54">
        <v>1001223297103</v>
      </c>
      <c r="E144" s="24"/>
      <c r="F144" s="74">
        <v>0.18</v>
      </c>
      <c r="G144" s="23">
        <f>E144*F144</f>
        <v>0</v>
      </c>
      <c r="H144" s="75">
        <v>1.8</v>
      </c>
      <c r="I144" s="75">
        <v>45</v>
      </c>
      <c r="J144" s="75"/>
      <c r="K144" s="27"/>
    </row>
    <row r="145" spans="1:10" ht="16.5" customHeight="1" thickTop="1" thickBot="1" x14ac:dyDescent="0.3">
      <c r="A145" s="62"/>
      <c r="B145" s="49" t="s">
        <v>151</v>
      </c>
      <c r="C145" s="16"/>
      <c r="D145" s="38"/>
      <c r="E145" s="17">
        <f>SUM(E10:E144)</f>
        <v>0</v>
      </c>
      <c r="F145" s="17"/>
      <c r="G145" s="17">
        <f>SUM(G11:G144)</f>
        <v>0</v>
      </c>
      <c r="H145" s="17"/>
      <c r="I145" s="17"/>
      <c r="J145" s="17"/>
    </row>
    <row r="146" spans="1:10" ht="15.75" customHeight="1" thickTop="1" x14ac:dyDescent="0.25">
      <c r="B146" s="39"/>
      <c r="C146" s="18"/>
      <c r="D146" s="43"/>
      <c r="F146" s="19"/>
      <c r="G146" s="19"/>
      <c r="H146" s="20"/>
      <c r="I146" s="20"/>
      <c r="J146" s="21"/>
    </row>
    <row r="147" spans="1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</sheetData>
  <autoFilter ref="A9:K14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2025-12-03T08:09:31Z</dcterms:modified>
</cp:coreProperties>
</file>