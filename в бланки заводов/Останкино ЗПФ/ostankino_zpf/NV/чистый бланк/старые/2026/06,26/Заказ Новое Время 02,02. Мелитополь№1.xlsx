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3A7AA1B2-AC94-4E2C-8AC3-D5DD100F07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Бланк!$A$9:$J$133</definedName>
    <definedName name="кол_во_инд.__упак_к">Бланк!$AC$3:$AC$569</definedName>
    <definedName name="номин.вес_нетто__кг">Бланк!$W$3:$W$569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8" i="1" l="1"/>
  <c r="A98" i="1"/>
  <c r="G36" i="1" l="1"/>
  <c r="A36" i="1"/>
  <c r="G102" i="1" l="1"/>
  <c r="A102" i="1"/>
  <c r="G101" i="1"/>
  <c r="A101" i="1"/>
  <c r="G99" i="1" l="1"/>
  <c r="A99" i="1"/>
  <c r="E133" i="1" l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0" i="1"/>
  <c r="A100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3" i="1" l="1"/>
</calcChain>
</file>

<file path=xl/sharedStrings.xml><?xml version="1.0" encoding="utf-8"?>
<sst xmlns="http://schemas.openxmlformats.org/spreadsheetml/2006/main" count="259" uniqueCount="147">
  <si>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</si>
  <si>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</si>
  <si>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</si>
  <si>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</si>
  <si>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</si>
  <si>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</si>
  <si>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</si>
  <si>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</si>
  <si>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</si>
  <si>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</si>
  <si>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</si>
  <si>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</si>
  <si>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</si>
  <si>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</si>
  <si>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</si>
  <si>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</si>
  <si>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</si>
  <si>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</si>
  <si>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</si>
  <si>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</si>
  <si>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</si>
  <si>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</si>
  <si>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</si>
  <si>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</si>
  <si>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</si>
  <si>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</si>
  <si>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</si>
  <si>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</si>
  <si>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</si>
  <si>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</si>
  <si>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</si>
  <si>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</si>
  <si>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</si>
  <si>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</si>
  <si>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</si>
  <si>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</si>
  <si>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</si>
  <si>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</si>
  <si>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</si>
  <si>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</si>
  <si>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</si>
  <si>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</si>
  <si>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</si>
  <si>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</si>
  <si>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</si>
  <si>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</si>
  <si>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</si>
  <si>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</si>
  <si>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</si>
  <si>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</si>
  <si>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</si>
  <si>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</si>
  <si>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</si>
  <si>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</si>
  <si>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</si>
  <si>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</si>
  <si>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</si>
  <si>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</si>
  <si>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</si>
  <si>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</si>
  <si>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</si>
  <si>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</si>
  <si>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</si>
  <si>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</si>
  <si>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</si>
  <si>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</si>
  <si>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</si>
  <si>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</si>
  <si>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</si>
  <si>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</si>
  <si>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</si>
  <si>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</si>
  <si>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</si>
  <si>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</si>
  <si>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</si>
  <si>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</si>
  <si>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</si>
  <si>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</si>
  <si>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</si>
  <si>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</si>
  <si>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</si>
  <si>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</si>
  <si>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</si>
  <si>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</si>
  <si>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</si>
  <si>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</si>
  <si>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</si>
  <si>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</si>
  <si>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</si>
  <si>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</si>
  <si>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</si>
  <si>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</si>
  <si>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</si>
  <si>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</si>
  <si>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</si>
  <si>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</si>
  <si>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</si>
  <si>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</si>
  <si>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</si>
  <si>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</si>
  <si>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</si>
  <si>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</si>
  <si>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</si>
  <si>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</si>
  <si>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</si>
  <si>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</si>
  <si>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</si>
  <si>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</si>
  <si>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</si>
  <si>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</si>
  <si>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</si>
  <si>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</si>
  <si>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</si>
  <si>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</si>
  <si>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</si>
  <si>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</si>
  <si>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</si>
  <si>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</si>
  <si>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</si>
  <si>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</si>
  <si>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</si>
  <si>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</si>
  <si>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</si>
  <si>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</si>
  <si>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</si>
  <si>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</si>
  <si>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</si>
  <si>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</si>
  <si>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</si>
  <si>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</si>
  <si>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</si>
  <si>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</si>
  <si>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</si>
  <si>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</si>
  <si>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</si>
  <si>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</si>
  <si>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</si>
  <si>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</si>
  <si>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</si>
  <si>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</si>
  <si>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</si>
  <si>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</si>
  <si>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</si>
  <si>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</si>
  <si>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МЯСНЫЕ С ГОВЯД.ПМ сос п/о мгс 0.4кг 6шт.</t>
  </si>
  <si>
    <t>САЛЯМИ МЕЛКОЗЕРНЕНАЯ с/к в/у 1/120 8шт.</t>
  </si>
  <si>
    <t>БАЛЫК с/к с/н в/у 1/100 10шт.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</si>
</sst>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7"/>
  <sheetViews>
    <sheetView tabSelected="1" zoomScale="87" zoomScaleNormal="87" workbookViewId="0">
      <pane ySplit="9" topLeftCell="A13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45690</v>
      </c>
      <c r="E3" s="7" t="s">
        <v>3</v>
      </c>
      <c r="F3" s="83">
        <f>D3+3</f>
        <v>45693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0"/>
        <v>7255</v>
      </c>
      <c r="B36" s="64" t="s">
        <v>144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29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4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74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7288</v>
      </c>
      <c r="B98" s="80" t="s">
        <v>146</v>
      </c>
      <c r="C98" s="73" t="s">
        <v>32</v>
      </c>
      <c r="D98" s="74">
        <v>1001223907288</v>
      </c>
      <c r="E98" s="24"/>
      <c r="F98" s="23">
        <v>0.1</v>
      </c>
      <c r="G98" s="23">
        <f t="shared" ref="G98" si="6"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3986</v>
      </c>
      <c r="B99" s="80" t="s">
        <v>141</v>
      </c>
      <c r="C99" s="73" t="s">
        <v>32</v>
      </c>
      <c r="D99" s="74">
        <v>1001061973986</v>
      </c>
      <c r="E99" s="24"/>
      <c r="F99" s="23">
        <v>0.25</v>
      </c>
      <c r="G99" s="23">
        <f>E99*F99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5708</v>
      </c>
      <c r="B100" s="80" t="s">
        <v>109</v>
      </c>
      <c r="C100" s="73" t="s">
        <v>23</v>
      </c>
      <c r="D100" s="74">
        <v>1001063145708</v>
      </c>
      <c r="E100" s="24"/>
      <c r="F100" s="23">
        <v>0.52500000000000002</v>
      </c>
      <c r="G100" s="23">
        <f>E100</f>
        <v>0</v>
      </c>
      <c r="H100" s="14">
        <v>4.2</v>
      </c>
      <c r="I100" s="14">
        <v>120</v>
      </c>
      <c r="J100" s="29"/>
    </row>
    <row r="101" spans="1:10" ht="16.5" customHeight="1" x14ac:dyDescent="0.25">
      <c r="A101" s="60" t="str">
        <f t="shared" si="5"/>
        <v>6832</v>
      </c>
      <c r="B101" s="80" t="s">
        <v>142</v>
      </c>
      <c r="C101" s="73" t="s">
        <v>23</v>
      </c>
      <c r="D101" s="74">
        <v>1001065616832</v>
      </c>
      <c r="E101" s="24"/>
      <c r="F101" s="23"/>
      <c r="G101" s="23">
        <f t="shared" ref="G101:G102" si="7">E101</f>
        <v>0</v>
      </c>
      <c r="H101" s="14"/>
      <c r="I101" s="14"/>
      <c r="J101" s="29"/>
    </row>
    <row r="102" spans="1:10" ht="16.5" customHeight="1" x14ac:dyDescent="0.25">
      <c r="A102" s="60" t="str">
        <f t="shared" si="5"/>
        <v>7299</v>
      </c>
      <c r="B102" s="80" t="s">
        <v>143</v>
      </c>
      <c r="C102" s="73" t="s">
        <v>23</v>
      </c>
      <c r="D102" s="74">
        <v>1001060677299</v>
      </c>
      <c r="E102" s="24"/>
      <c r="F102" s="23"/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si="5"/>
        <v>4993</v>
      </c>
      <c r="B103" s="80" t="s">
        <v>110</v>
      </c>
      <c r="C103" s="73" t="s">
        <v>32</v>
      </c>
      <c r="D103" s="74">
        <v>1001060764993</v>
      </c>
      <c r="E103" s="24"/>
      <c r="F103" s="23">
        <v>0.25</v>
      </c>
      <c r="G103" s="23">
        <f t="shared" ref="G103:G112" si="8">E103*F103</f>
        <v>0</v>
      </c>
      <c r="H103" s="14">
        <v>2</v>
      </c>
      <c r="I103" s="14">
        <v>120</v>
      </c>
      <c r="J103" s="29"/>
    </row>
    <row r="104" spans="1:10" ht="16.5" customHeight="1" x14ac:dyDescent="0.25">
      <c r="A104" s="60" t="str">
        <f t="shared" si="5"/>
        <v>6967</v>
      </c>
      <c r="B104" s="80" t="s">
        <v>111</v>
      </c>
      <c r="C104" s="73" t="s">
        <v>32</v>
      </c>
      <c r="D104" s="74">
        <v>1001063656967</v>
      </c>
      <c r="E104" s="24"/>
      <c r="F104" s="23">
        <v>0.25</v>
      </c>
      <c r="G104" s="23">
        <f t="shared" si="8"/>
        <v>0</v>
      </c>
      <c r="H104" s="14"/>
      <c r="I104" s="14"/>
      <c r="J104" s="29"/>
    </row>
    <row r="105" spans="1:10" ht="16.5" customHeight="1" x14ac:dyDescent="0.25">
      <c r="A105" s="60" t="str">
        <f t="shared" ref="A105:A132" si="9">RIGHT(D105,4)</f>
        <v>7382</v>
      </c>
      <c r="B105" s="80" t="s">
        <v>145</v>
      </c>
      <c r="C105" s="73" t="s">
        <v>21</v>
      </c>
      <c r="D105" s="74">
        <v>1001203117382</v>
      </c>
      <c r="E105" s="24"/>
      <c r="F105" s="23">
        <v>0.12</v>
      </c>
      <c r="G105" s="23">
        <f t="shared" si="8"/>
        <v>0</v>
      </c>
      <c r="H105" s="14">
        <v>0.96</v>
      </c>
      <c r="I105" s="14">
        <v>60</v>
      </c>
      <c r="J105" s="29"/>
    </row>
    <row r="106" spans="1:10" ht="16.5" customHeight="1" x14ac:dyDescent="0.25">
      <c r="A106" s="60" t="str">
        <f t="shared" si="9"/>
        <v>7147</v>
      </c>
      <c r="B106" s="80" t="s">
        <v>112</v>
      </c>
      <c r="C106" s="73" t="s">
        <v>21</v>
      </c>
      <c r="D106" s="74">
        <v>1001063237147</v>
      </c>
      <c r="E106" s="24"/>
      <c r="F106" s="23">
        <v>0.22</v>
      </c>
      <c r="G106" s="23">
        <f t="shared" si="8"/>
        <v>0</v>
      </c>
      <c r="H106" s="14"/>
      <c r="I106" s="14"/>
      <c r="J106" s="29"/>
    </row>
    <row r="107" spans="1:10" ht="16.5" customHeight="1" x14ac:dyDescent="0.25">
      <c r="A107" s="60" t="str">
        <f t="shared" si="9"/>
        <v>7229</v>
      </c>
      <c r="B107" s="80" t="s">
        <v>113</v>
      </c>
      <c r="C107" s="73" t="s">
        <v>21</v>
      </c>
      <c r="D107" s="74">
        <v>1001063237229</v>
      </c>
      <c r="E107" s="24"/>
      <c r="F107" s="23">
        <v>0.18</v>
      </c>
      <c r="G107" s="23">
        <f t="shared" si="8"/>
        <v>0</v>
      </c>
      <c r="H107" s="14"/>
      <c r="I107" s="14"/>
      <c r="J107" s="29"/>
    </row>
    <row r="108" spans="1:10" ht="16.5" customHeight="1" x14ac:dyDescent="0.25">
      <c r="A108" s="60" t="str">
        <f t="shared" si="9"/>
        <v>7150</v>
      </c>
      <c r="B108" s="80" t="s">
        <v>114</v>
      </c>
      <c r="C108" s="73" t="s">
        <v>23</v>
      </c>
      <c r="D108" s="74">
        <v>1001063237150</v>
      </c>
      <c r="E108" s="24"/>
      <c r="F108" s="23">
        <v>1</v>
      </c>
      <c r="G108" s="23">
        <f t="shared" si="8"/>
        <v>0</v>
      </c>
      <c r="H108" s="14"/>
      <c r="I108" s="14"/>
      <c r="J108" s="29"/>
    </row>
    <row r="109" spans="1:10" ht="16.5" customHeight="1" x14ac:dyDescent="0.25">
      <c r="A109" s="60" t="str">
        <f t="shared" si="9"/>
        <v>7227</v>
      </c>
      <c r="B109" s="80" t="s">
        <v>115</v>
      </c>
      <c r="C109" s="73" t="s">
        <v>21</v>
      </c>
      <c r="D109" s="74">
        <v>1001063097227</v>
      </c>
      <c r="E109" s="24"/>
      <c r="F109" s="23">
        <v>0.18</v>
      </c>
      <c r="G109" s="23">
        <f t="shared" si="8"/>
        <v>0</v>
      </c>
      <c r="H109" s="14"/>
      <c r="I109" s="14"/>
      <c r="J109" s="29"/>
    </row>
    <row r="110" spans="1:10" ht="16.5" customHeight="1" x14ac:dyDescent="0.25">
      <c r="A110" s="60" t="str">
        <f t="shared" si="9"/>
        <v>7225</v>
      </c>
      <c r="B110" s="80" t="s">
        <v>116</v>
      </c>
      <c r="C110" s="73" t="s">
        <v>21</v>
      </c>
      <c r="D110" s="74">
        <v>1001066537225</v>
      </c>
      <c r="E110" s="24"/>
      <c r="F110" s="23">
        <v>0.18</v>
      </c>
      <c r="G110" s="23">
        <f t="shared" si="8"/>
        <v>0</v>
      </c>
      <c r="H110" s="14"/>
      <c r="I110" s="14"/>
      <c r="J110" s="29"/>
    </row>
    <row r="111" spans="1:10" ht="16.5" customHeight="1" x14ac:dyDescent="0.25">
      <c r="A111" s="60" t="str">
        <f t="shared" si="9"/>
        <v>7228</v>
      </c>
      <c r="B111" s="80" t="s">
        <v>117</v>
      </c>
      <c r="C111" s="73" t="s">
        <v>21</v>
      </c>
      <c r="D111" s="74">
        <v>1001066547228</v>
      </c>
      <c r="E111" s="24"/>
      <c r="F111" s="23">
        <v>0.18</v>
      </c>
      <c r="G111" s="23">
        <f t="shared" si="8"/>
        <v>0</v>
      </c>
      <c r="H111" s="14"/>
      <c r="I111" s="14"/>
      <c r="J111" s="29"/>
    </row>
    <row r="112" spans="1:10" ht="16.5" customHeight="1" x14ac:dyDescent="0.25">
      <c r="A112" s="60" t="str">
        <f t="shared" si="9"/>
        <v>6221</v>
      </c>
      <c r="B112" s="80" t="s">
        <v>118</v>
      </c>
      <c r="C112" s="73" t="s">
        <v>21</v>
      </c>
      <c r="D112" s="74">
        <v>1001205376221</v>
      </c>
      <c r="E112" s="24"/>
      <c r="F112" s="23">
        <v>0.09</v>
      </c>
      <c r="G112" s="23">
        <f t="shared" si="8"/>
        <v>0</v>
      </c>
      <c r="H112" s="14"/>
      <c r="I112" s="14"/>
      <c r="J112" s="29"/>
    </row>
    <row r="113" spans="1:10" ht="16.5" customHeight="1" x14ac:dyDescent="0.25">
      <c r="A113" s="60" t="str">
        <f t="shared" si="9"/>
        <v>4117</v>
      </c>
      <c r="B113" s="80" t="s">
        <v>119</v>
      </c>
      <c r="C113" s="73" t="s">
        <v>23</v>
      </c>
      <c r="D113" s="74">
        <v>1001062504117</v>
      </c>
      <c r="E113" s="24"/>
      <c r="F113" s="23">
        <v>0.50700000000000001</v>
      </c>
      <c r="G113" s="23">
        <f>E113</f>
        <v>0</v>
      </c>
      <c r="H113" s="14">
        <v>4.05</v>
      </c>
      <c r="I113" s="14">
        <v>120</v>
      </c>
      <c r="J113" s="29"/>
    </row>
    <row r="114" spans="1:10" ht="16.5" customHeight="1" x14ac:dyDescent="0.25">
      <c r="A114" s="60" t="str">
        <f t="shared" si="9"/>
        <v>5483</v>
      </c>
      <c r="B114" s="80" t="s">
        <v>120</v>
      </c>
      <c r="C114" s="73" t="s">
        <v>21</v>
      </c>
      <c r="D114" s="74">
        <v>1001062505483</v>
      </c>
      <c r="E114" s="24"/>
      <c r="F114" s="23">
        <v>0.25</v>
      </c>
      <c r="G114" s="23">
        <f>E114*F114</f>
        <v>0</v>
      </c>
      <c r="H114" s="14">
        <v>2</v>
      </c>
      <c r="I114" s="14">
        <v>120</v>
      </c>
      <c r="J114" s="29"/>
    </row>
    <row r="115" spans="1:10" ht="16.5" customHeight="1" x14ac:dyDescent="0.25">
      <c r="A115" s="60" t="str">
        <f t="shared" si="9"/>
        <v>6453</v>
      </c>
      <c r="B115" s="80" t="s">
        <v>121</v>
      </c>
      <c r="C115" s="73" t="s">
        <v>32</v>
      </c>
      <c r="D115" s="74">
        <v>1001202506453</v>
      </c>
      <c r="E115" s="24"/>
      <c r="F115" s="23">
        <v>0.1</v>
      </c>
      <c r="G115" s="23">
        <f>E115*F115</f>
        <v>0</v>
      </c>
      <c r="H115" s="14">
        <v>1.4</v>
      </c>
      <c r="I115" s="14">
        <v>60</v>
      </c>
      <c r="J115" s="29"/>
    </row>
    <row r="116" spans="1:10" ht="16.5" customHeight="1" x14ac:dyDescent="0.25">
      <c r="A116" s="60" t="str">
        <f t="shared" si="9"/>
        <v>6228</v>
      </c>
      <c r="B116" s="80" t="s">
        <v>122</v>
      </c>
      <c r="C116" s="73" t="s">
        <v>32</v>
      </c>
      <c r="D116" s="74">
        <v>1001225416228</v>
      </c>
      <c r="E116" s="24"/>
      <c r="F116" s="23">
        <v>0.09</v>
      </c>
      <c r="G116" s="23">
        <f>E116*F116</f>
        <v>0</v>
      </c>
      <c r="H116" s="14"/>
      <c r="I116" s="14"/>
      <c r="J116" s="29"/>
    </row>
    <row r="117" spans="1:10" ht="16.5" customHeight="1" thickBot="1" x14ac:dyDescent="0.3">
      <c r="A117" s="60" t="str">
        <f t="shared" si="9"/>
        <v>3287</v>
      </c>
      <c r="B117" s="80" t="s">
        <v>123</v>
      </c>
      <c r="C117" s="73" t="s">
        <v>23</v>
      </c>
      <c r="D117" s="74">
        <v>1001060763287</v>
      </c>
      <c r="E117" s="24"/>
      <c r="F117" s="23">
        <v>0.51300000000000001</v>
      </c>
      <c r="G117" s="23">
        <f>E117</f>
        <v>0</v>
      </c>
      <c r="H117" s="14">
        <v>4.0999999999999996</v>
      </c>
      <c r="I117" s="14">
        <v>120</v>
      </c>
      <c r="J117" s="29"/>
    </row>
    <row r="118" spans="1:10" ht="16.5" customHeight="1" thickTop="1" thickBot="1" x14ac:dyDescent="0.3">
      <c r="A118" s="60" t="str">
        <f t="shared" si="9"/>
        <v/>
      </c>
      <c r="B118" s="47" t="s">
        <v>124</v>
      </c>
      <c r="C118" s="47"/>
      <c r="D118" s="47"/>
      <c r="E118" s="47"/>
      <c r="F118" s="47"/>
      <c r="G118" s="23"/>
      <c r="H118" s="47"/>
      <c r="I118" s="47"/>
      <c r="J118" s="48"/>
    </row>
    <row r="119" spans="1:10" ht="16.5" customHeight="1" thickTop="1" x14ac:dyDescent="0.25">
      <c r="A119" s="60" t="str">
        <f t="shared" si="9"/>
        <v>6866</v>
      </c>
      <c r="B119" s="77" t="s">
        <v>125</v>
      </c>
      <c r="C119" s="73" t="s">
        <v>37</v>
      </c>
      <c r="D119" s="79">
        <v>1001095716866</v>
      </c>
      <c r="E119" s="24"/>
      <c r="F119" s="23"/>
      <c r="G119" s="23">
        <f>E119</f>
        <v>0</v>
      </c>
      <c r="H119" s="14"/>
      <c r="I119" s="14"/>
      <c r="J119" s="29"/>
    </row>
    <row r="120" spans="1:10" ht="16.5" customHeight="1" x14ac:dyDescent="0.25">
      <c r="A120" s="60" t="str">
        <f t="shared" si="9"/>
        <v>3215</v>
      </c>
      <c r="B120" s="80" t="s">
        <v>126</v>
      </c>
      <c r="C120" s="73" t="s">
        <v>32</v>
      </c>
      <c r="D120" s="42">
        <v>1001094053215</v>
      </c>
      <c r="E120" s="24"/>
      <c r="F120" s="23">
        <v>0.4</v>
      </c>
      <c r="G120" s="23">
        <f>E120*F120</f>
        <v>0</v>
      </c>
      <c r="H120" s="14">
        <v>3.2</v>
      </c>
      <c r="I120" s="14">
        <v>60</v>
      </c>
      <c r="J120" s="29"/>
    </row>
    <row r="121" spans="1:10" ht="16.5" customHeight="1" x14ac:dyDescent="0.25">
      <c r="A121" s="60" t="str">
        <f t="shared" si="9"/>
        <v>5452</v>
      </c>
      <c r="B121" s="51" t="s">
        <v>127</v>
      </c>
      <c r="C121" s="73" t="s">
        <v>23</v>
      </c>
      <c r="D121" s="42">
        <v>1001092485452</v>
      </c>
      <c r="E121" s="24"/>
      <c r="F121" s="23">
        <v>1.367</v>
      </c>
      <c r="G121" s="23">
        <f>E121</f>
        <v>0</v>
      </c>
      <c r="H121" s="14">
        <v>4.0999999999999996</v>
      </c>
      <c r="I121" s="14">
        <v>60</v>
      </c>
      <c r="J121" s="29"/>
    </row>
    <row r="122" spans="1:10" ht="16.5" customHeight="1" x14ac:dyDescent="0.25">
      <c r="A122" s="60" t="str">
        <f t="shared" si="9"/>
        <v>5495</v>
      </c>
      <c r="B122" s="51" t="s">
        <v>128</v>
      </c>
      <c r="C122" s="73" t="s">
        <v>21</v>
      </c>
      <c r="D122" s="42">
        <v>1001093345495</v>
      </c>
      <c r="E122" s="24"/>
      <c r="F122" s="23">
        <v>0.4</v>
      </c>
      <c r="G122" s="23">
        <f>E122*F122</f>
        <v>0</v>
      </c>
      <c r="H122" s="14">
        <v>2.4</v>
      </c>
      <c r="I122" s="14">
        <v>60</v>
      </c>
      <c r="J122" s="29"/>
    </row>
    <row r="123" spans="1:10" ht="15.75" customHeight="1" thickBot="1" x14ac:dyDescent="0.3">
      <c r="A123" s="60" t="str">
        <f t="shared" si="9"/>
        <v>6495</v>
      </c>
      <c r="B123" s="51" t="s">
        <v>129</v>
      </c>
      <c r="C123" s="73" t="s">
        <v>21</v>
      </c>
      <c r="D123" s="42">
        <v>1001092436495</v>
      </c>
      <c r="E123" s="24"/>
      <c r="F123" s="23">
        <v>0.3</v>
      </c>
      <c r="G123" s="23">
        <f>E123*F123</f>
        <v>0</v>
      </c>
      <c r="H123" s="14">
        <v>1.8</v>
      </c>
      <c r="I123" s="14">
        <v>45</v>
      </c>
      <c r="J123" s="29"/>
    </row>
    <row r="124" spans="1:10" ht="16.5" customHeight="1" thickTop="1" thickBot="1" x14ac:dyDescent="0.3">
      <c r="A124" s="60" t="str">
        <f t="shared" si="9"/>
        <v/>
      </c>
      <c r="B124" s="47" t="s">
        <v>130</v>
      </c>
      <c r="C124" s="47"/>
      <c r="D124" s="47"/>
      <c r="E124" s="47"/>
      <c r="F124" s="47"/>
      <c r="G124" s="23"/>
      <c r="H124" s="47"/>
      <c r="I124" s="47"/>
      <c r="J124" s="48"/>
    </row>
    <row r="125" spans="1:10" ht="16.5" customHeight="1" thickTop="1" x14ac:dyDescent="0.25">
      <c r="A125" s="60" t="str">
        <f t="shared" si="9"/>
        <v>6448</v>
      </c>
      <c r="B125" s="37" t="s">
        <v>131</v>
      </c>
      <c r="C125" s="73" t="s">
        <v>32</v>
      </c>
      <c r="D125" s="74">
        <v>1001234146448</v>
      </c>
      <c r="E125" s="24"/>
      <c r="F125" s="23">
        <v>0.1</v>
      </c>
      <c r="G125" s="23">
        <f>E125*F125</f>
        <v>0</v>
      </c>
      <c r="H125" s="14">
        <v>1</v>
      </c>
      <c r="I125" s="14">
        <v>45</v>
      </c>
      <c r="J125" s="29"/>
    </row>
    <row r="126" spans="1:10" ht="16.5" customHeight="1" x14ac:dyDescent="0.25">
      <c r="A126" s="60" t="str">
        <f t="shared" si="9"/>
        <v>6620</v>
      </c>
      <c r="B126" s="37" t="s">
        <v>132</v>
      </c>
      <c r="C126" s="73" t="s">
        <v>23</v>
      </c>
      <c r="D126" s="74">
        <v>1001081596620</v>
      </c>
      <c r="E126" s="24"/>
      <c r="F126" s="23"/>
      <c r="G126" s="23">
        <f>E126</f>
        <v>0</v>
      </c>
      <c r="H126" s="14"/>
      <c r="I126" s="14"/>
      <c r="J126" s="29"/>
    </row>
    <row r="127" spans="1:10" ht="16.5" customHeight="1" x14ac:dyDescent="0.25">
      <c r="A127" s="60" t="str">
        <f t="shared" si="9"/>
        <v>6279</v>
      </c>
      <c r="B127" s="37" t="s">
        <v>133</v>
      </c>
      <c r="C127" s="73" t="s">
        <v>21</v>
      </c>
      <c r="D127" s="74">
        <v>1001220286279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9"/>
        <v>6208</v>
      </c>
      <c r="B128" s="37" t="s">
        <v>134</v>
      </c>
      <c r="C128" s="73" t="s">
        <v>21</v>
      </c>
      <c r="D128" s="74">
        <v>1001220226208</v>
      </c>
      <c r="E128" s="24"/>
      <c r="F128" s="23">
        <v>0.15</v>
      </c>
      <c r="G128" s="23">
        <f>F128*E128</f>
        <v>0</v>
      </c>
      <c r="H128" s="14"/>
      <c r="I128" s="14"/>
      <c r="J128" s="29"/>
    </row>
    <row r="129" spans="1:11" ht="16.5" customHeight="1" x14ac:dyDescent="0.25">
      <c r="A129" s="60" t="str">
        <f t="shared" si="9"/>
        <v>7090</v>
      </c>
      <c r="B129" s="37" t="s">
        <v>135</v>
      </c>
      <c r="C129" s="73" t="s">
        <v>32</v>
      </c>
      <c r="D129" s="74">
        <v>1001084217090</v>
      </c>
      <c r="E129" s="24"/>
      <c r="F129" s="23">
        <v>0.3</v>
      </c>
      <c r="G129" s="23">
        <f>E129*F129</f>
        <v>0</v>
      </c>
      <c r="H129" s="14">
        <v>1.8</v>
      </c>
      <c r="I129" s="14">
        <v>45</v>
      </c>
      <c r="J129" s="29"/>
    </row>
    <row r="130" spans="1:11" ht="16.5" customHeight="1" x14ac:dyDescent="0.25">
      <c r="A130" s="60" t="str">
        <f t="shared" si="9"/>
        <v>7187</v>
      </c>
      <c r="B130" s="37" t="s">
        <v>136</v>
      </c>
      <c r="C130" s="73" t="s">
        <v>32</v>
      </c>
      <c r="D130" s="74">
        <v>1001085637187</v>
      </c>
      <c r="E130" s="24"/>
      <c r="F130" s="23">
        <v>0.3</v>
      </c>
      <c r="G130" s="23">
        <f>E130*F130</f>
        <v>0</v>
      </c>
      <c r="H130" s="14"/>
      <c r="I130" s="14"/>
      <c r="J130" s="29"/>
    </row>
    <row r="131" spans="1:11" s="71" customFormat="1" ht="16.5" customHeight="1" x14ac:dyDescent="0.25">
      <c r="A131" s="60" t="str">
        <f t="shared" si="9"/>
        <v>7103</v>
      </c>
      <c r="B131" s="59" t="s">
        <v>137</v>
      </c>
      <c r="C131" s="54" t="s">
        <v>32</v>
      </c>
      <c r="D131" s="55">
        <v>1001223297103</v>
      </c>
      <c r="E131" s="24"/>
      <c r="F131" s="75">
        <v>0.18</v>
      </c>
      <c r="G131" s="23">
        <f>E131*F131</f>
        <v>0</v>
      </c>
      <c r="H131" s="76">
        <v>1.8</v>
      </c>
      <c r="I131" s="76">
        <v>45</v>
      </c>
      <c r="J131" s="76"/>
      <c r="K131" s="27"/>
    </row>
    <row r="132" spans="1:11" ht="16.5" customHeight="1" thickBot="1" x14ac:dyDescent="0.3">
      <c r="A132" s="60" t="str">
        <f t="shared" si="9"/>
        <v>6872</v>
      </c>
      <c r="B132" s="37" t="s">
        <v>138</v>
      </c>
      <c r="C132" s="73" t="s">
        <v>23</v>
      </c>
      <c r="D132" s="74">
        <v>1002162216872</v>
      </c>
      <c r="E132" s="24"/>
      <c r="F132" s="23"/>
      <c r="G132" s="23">
        <f>E132</f>
        <v>0</v>
      </c>
      <c r="H132" s="14"/>
      <c r="I132" s="14">
        <v>90</v>
      </c>
      <c r="J132" s="29"/>
    </row>
    <row r="133" spans="1:11" ht="16.5" customHeight="1" thickTop="1" thickBot="1" x14ac:dyDescent="0.3">
      <c r="A133" s="63"/>
      <c r="B133" s="50" t="s">
        <v>139</v>
      </c>
      <c r="C133" s="16"/>
      <c r="D133" s="38"/>
      <c r="E133" s="17">
        <f>SUM(E10:E132)</f>
        <v>0</v>
      </c>
      <c r="F133" s="17"/>
      <c r="G133" s="17">
        <f>SUM(G11:G132)</f>
        <v>0</v>
      </c>
      <c r="H133" s="17"/>
      <c r="I133" s="17"/>
      <c r="J133" s="17"/>
    </row>
    <row r="134" spans="1:11" ht="15.75" customHeight="1" thickTop="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</sheetData>
  <autoFilter ref="A9:J133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2026-01-28T11:10:41Z</dcterms:modified>
</cp:coreProperties>
</file>