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чистый бланк\"/>
    </mc:Choice>
  </mc:AlternateContent>
  <xr:revisionPtr revIDLastSave="0" documentId="13_ncr:1_{1CCA780E-A3F5-479F-AD47-09A0580CA2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1" l="1"/>
  <c r="E31" i="1"/>
  <c r="G30" i="1" l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3" i="1" l="1"/>
  <c r="D1" i="1"/>
  <c r="F3" i="1" l="1"/>
</calcChain>
</file>

<file path=xl/sharedStrings.xml><?xml version="1.0" encoding="utf-8"?>
<sst xmlns="http://schemas.openxmlformats.org/spreadsheetml/2006/main" count="73" uniqueCount="53">
  <si>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</si>
  <si>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</si>
  <si>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</si>
  <si>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</si>
  <si>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</si>
  <si>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</si>
  <si>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</si>
  <si>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</si>
  <si>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</si>
  <si>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</si>
  <si>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</si>
  <si>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</si>
  <si>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</si>
  <si>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</si>
  <si>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</si>
  <si>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</si>
  <si>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</si>
  <si>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</si>
  <si>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</si>
  <si>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</si>
  <si>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</si>
  <si>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</si>
  <si>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</si>
  <si>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</si>
  <si>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</si>
  <si>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</si>
  <si>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</si>
  <si>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</si>
  <si>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</si>
  <si>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</si>
  <si>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</si>
  <si>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</si>
  <si>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</si>
  <si>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</si>
  <si>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</si>
  <si>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</si>
  <si>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</si>
  <si>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</si>
  <si>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</si>
  <si>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</si>
  <si>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</si>
  <si>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</si>
  <si>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</si>
  <si>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Пельмени/Вареники</t>
  </si>
  <si>
    <t>СОЧНЫЕ СО СЛ.МАСЛ.ПМ пельм пл.0.7кг зам.</t>
  </si>
  <si>
    <t>ООО "НОВОЕ ВРЕМЯ" Мариуполь</t>
  </si>
  <si>
    <t>ОСТАНКИНСКИЕ пельм кор.0.5кг зам_NEW</t>
  </si>
  <si>
    <t>С КАРТОФ.И ГРИБ.вареники пл.0.42кг зам.</t>
  </si>
  <si>
    <t>ОСТАНКИНСКИЕ пельм пл. 0.7кг 10шт.зам.</t>
  </si>
  <si>
    <t>СОЧНЫЕ Папа Может пельм пл.0.42кг зам.</t>
  </si>
  <si>
    <t>СОЧНЫЕ Папа Может пельм пл.0.7кг зам.</t>
  </si>
  <si>
    <t>МЯСНЫЕ ПРЕМИУМ пельм кор.0.4кг зам.</t>
  </si>
  <si>
    <t>СОЧНЫЕ Папа Может пельм 4кг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</si>
</sst>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6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" fontId="9" fillId="8" borderId="0" xfId="0" applyNumberFormat="1" applyFont="1" applyFill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J33" sqref="J33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0">
        <f>K1</f>
        <v>130133079</v>
      </c>
      <c r="E1" s="56" t="s">
        <v>34</v>
      </c>
      <c r="F1" s="57"/>
      <c r="G1" s="57"/>
      <c r="H1" s="57"/>
      <c r="I1" s="57"/>
      <c r="J1" s="58"/>
      <c r="K1" s="26">
        <v>130133079</v>
      </c>
      <c r="L1" t="s">
        <v>35</v>
      </c>
      <c r="M1" t="s">
        <v>36</v>
      </c>
      <c r="N1" t="s">
        <v>37</v>
      </c>
    </row>
    <row r="2" spans="1:14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4" ht="19.5" customHeight="1" thickTop="1" thickBot="1" x14ac:dyDescent="0.3">
      <c r="B3" s="31"/>
      <c r="C3" s="7" t="s">
        <v>1</v>
      </c>
      <c r="D3" s="52">
        <v>46209</v>
      </c>
      <c r="E3" s="7" t="s">
        <v>2</v>
      </c>
      <c r="F3" s="52">
        <f>D3+3</f>
        <v>46212</v>
      </c>
      <c r="G3" s="59" t="str">
        <f>N1</f>
        <v>Мелитополь г, Северный переезд ул. стр. 3, Семёновка с</v>
      </c>
      <c r="H3" s="60"/>
      <c r="I3" s="60"/>
      <c r="J3" s="61"/>
      <c r="K3" s="26">
        <v>130133081</v>
      </c>
      <c r="L3" t="s">
        <v>35</v>
      </c>
      <c r="M3" t="s">
        <v>39</v>
      </c>
      <c r="N3" t="s">
        <v>40</v>
      </c>
    </row>
    <row r="4" spans="1:14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4" x14ac:dyDescent="0.25">
      <c r="C5" s="7" t="s">
        <v>3</v>
      </c>
      <c r="D5" s="36"/>
      <c r="E5" s="8"/>
      <c r="F5" s="8"/>
      <c r="G5" s="8"/>
      <c r="H5" s="21"/>
      <c r="I5" s="21"/>
      <c r="K5" s="26">
        <v>130439503</v>
      </c>
      <c r="L5" t="s">
        <v>45</v>
      </c>
    </row>
    <row r="6" spans="1:14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8</v>
      </c>
      <c r="B9" s="42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4" ht="16.5" customHeight="1" thickTop="1" thickBot="1" x14ac:dyDescent="0.3">
      <c r="A10" s="45"/>
      <c r="B10" s="40" t="s">
        <v>18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 t="s">
        <v>22</v>
      </c>
      <c r="B11" s="40" t="s">
        <v>23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3" t="str">
        <f>RIGHT(D12,4)</f>
        <v>5897</v>
      </c>
      <c r="B12" s="48" t="s">
        <v>24</v>
      </c>
      <c r="C12" s="46" t="s">
        <v>19</v>
      </c>
      <c r="D12" s="47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3" t="str">
        <f t="shared" ref="A13:A30" si="0">RIGHT(D13,4)</f>
        <v>6149</v>
      </c>
      <c r="B13" s="48" t="s">
        <v>25</v>
      </c>
      <c r="C13" s="46" t="s">
        <v>19</v>
      </c>
      <c r="D13" s="47">
        <v>1002131166149</v>
      </c>
      <c r="E13" s="23"/>
      <c r="F13" s="22">
        <v>0.3</v>
      </c>
      <c r="G13" s="22">
        <f t="shared" ref="G13:G19" si="1">E13*F13</f>
        <v>0</v>
      </c>
      <c r="H13" s="14">
        <v>3.6</v>
      </c>
      <c r="I13" s="14">
        <v>120</v>
      </c>
      <c r="J13" s="28"/>
    </row>
    <row r="14" spans="1:14" ht="16.5" customHeight="1" x14ac:dyDescent="0.25">
      <c r="A14" s="53" t="str">
        <f t="shared" si="0"/>
        <v>6819</v>
      </c>
      <c r="B14" s="48" t="s">
        <v>26</v>
      </c>
      <c r="C14" s="46" t="s">
        <v>19</v>
      </c>
      <c r="D14" s="47">
        <v>1002134276819</v>
      </c>
      <c r="E14" s="23"/>
      <c r="F14" s="22">
        <v>0.3</v>
      </c>
      <c r="G14" s="22">
        <f t="shared" si="1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3" t="str">
        <f t="shared" si="0"/>
        <v>6202</v>
      </c>
      <c r="B15" s="48" t="s">
        <v>27</v>
      </c>
      <c r="C15" s="46" t="s">
        <v>19</v>
      </c>
      <c r="D15" s="47">
        <v>1002131186202</v>
      </c>
      <c r="E15" s="23"/>
      <c r="F15" s="22">
        <v>0.3</v>
      </c>
      <c r="G15" s="22">
        <f t="shared" si="1"/>
        <v>0</v>
      </c>
      <c r="H15" s="14">
        <v>3.6</v>
      </c>
      <c r="I15" s="14">
        <v>120</v>
      </c>
      <c r="J15" s="28"/>
    </row>
    <row r="16" spans="1:14" ht="16.5" customHeight="1" x14ac:dyDescent="0.25">
      <c r="A16" s="53" t="str">
        <f t="shared" si="0"/>
        <v>6148</v>
      </c>
      <c r="B16" s="48" t="s">
        <v>28</v>
      </c>
      <c r="C16" s="46" t="s">
        <v>19</v>
      </c>
      <c r="D16" s="47">
        <v>1002133376148</v>
      </c>
      <c r="E16" s="23"/>
      <c r="F16" s="22">
        <v>0.3</v>
      </c>
      <c r="G16" s="22">
        <f t="shared" si="1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3" t="str">
        <f t="shared" si="0"/>
        <v>6209</v>
      </c>
      <c r="B17" s="48" t="s">
        <v>29</v>
      </c>
      <c r="C17" s="46" t="s">
        <v>19</v>
      </c>
      <c r="D17" s="47">
        <v>1002131146209</v>
      </c>
      <c r="E17" s="23"/>
      <c r="F17" s="22">
        <v>0.35</v>
      </c>
      <c r="G17" s="22">
        <f t="shared" si="1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3" t="str">
        <f t="shared" si="0"/>
        <v>6168</v>
      </c>
      <c r="B18" s="48" t="s">
        <v>30</v>
      </c>
      <c r="C18" s="46" t="s">
        <v>19</v>
      </c>
      <c r="D18" s="47">
        <v>1002131156168</v>
      </c>
      <c r="E18" s="23"/>
      <c r="F18" s="22">
        <v>0.35</v>
      </c>
      <c r="G18" s="22">
        <f t="shared" si="1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3" t="str">
        <f t="shared" si="0"/>
        <v>5579</v>
      </c>
      <c r="B19" s="48" t="s">
        <v>31</v>
      </c>
      <c r="C19" s="46" t="s">
        <v>19</v>
      </c>
      <c r="D19" s="47">
        <v>1002134275579</v>
      </c>
      <c r="E19" s="23"/>
      <c r="F19" s="22">
        <v>0.42</v>
      </c>
      <c r="G19" s="22">
        <f t="shared" si="1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3" t="str">
        <f t="shared" si="0"/>
        <v>5754</v>
      </c>
      <c r="B20" s="54" t="s">
        <v>32</v>
      </c>
      <c r="C20" s="46" t="s">
        <v>20</v>
      </c>
      <c r="D20" s="47">
        <v>1002131155754</v>
      </c>
      <c r="E20" s="23"/>
      <c r="F20" s="22">
        <v>4.5</v>
      </c>
      <c r="G20" s="55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3" t="str">
        <f t="shared" si="0"/>
        <v>5755</v>
      </c>
      <c r="B21" s="48" t="s">
        <v>33</v>
      </c>
      <c r="C21" s="46" t="s">
        <v>20</v>
      </c>
      <c r="D21" s="47">
        <v>1002131185755</v>
      </c>
      <c r="E21" s="23"/>
      <c r="F21" s="22">
        <v>4.5</v>
      </c>
      <c r="G21" s="55">
        <f>E21</f>
        <v>0</v>
      </c>
      <c r="H21" s="14">
        <v>4.5</v>
      </c>
      <c r="I21" s="14">
        <v>120</v>
      </c>
      <c r="J21" s="28"/>
    </row>
    <row r="22" spans="1:10" ht="16.5" customHeight="1" x14ac:dyDescent="0.25">
      <c r="A22" s="51"/>
      <c r="B22" s="62" t="s">
        <v>43</v>
      </c>
      <c r="C22" s="62"/>
      <c r="D22" s="62"/>
      <c r="E22" s="62"/>
      <c r="F22" s="62"/>
      <c r="G22" s="62"/>
      <c r="H22" s="62"/>
      <c r="I22" s="62"/>
      <c r="J22" s="62"/>
    </row>
    <row r="23" spans="1:10" ht="15.75" customHeight="1" x14ac:dyDescent="0.25">
      <c r="A23" s="53" t="str">
        <f t="shared" si="0"/>
        <v>7216</v>
      </c>
      <c r="B23" s="54" t="s">
        <v>44</v>
      </c>
      <c r="C23" s="46" t="s">
        <v>19</v>
      </c>
      <c r="D23" s="47">
        <v>1002116437216</v>
      </c>
      <c r="E23" s="23"/>
      <c r="F23" s="22">
        <v>0.7</v>
      </c>
      <c r="G23" s="55">
        <f>E23*F23</f>
        <v>0</v>
      </c>
      <c r="H23" s="14"/>
      <c r="I23" s="14"/>
      <c r="J23" s="28"/>
    </row>
    <row r="24" spans="1:10" x14ac:dyDescent="0.25">
      <c r="A24" s="53" t="str">
        <f t="shared" si="0"/>
        <v>6824</v>
      </c>
      <c r="B24" s="54" t="s">
        <v>46</v>
      </c>
      <c r="C24" s="46" t="s">
        <v>19</v>
      </c>
      <c r="D24" s="47">
        <v>1002112606824</v>
      </c>
      <c r="E24" s="23"/>
      <c r="F24" s="22">
        <v>0.5</v>
      </c>
      <c r="G24" s="55">
        <f t="shared" ref="G24:G29" si="2">E24*F24</f>
        <v>0</v>
      </c>
      <c r="H24" s="14"/>
      <c r="I24" s="14"/>
      <c r="J24" s="28"/>
    </row>
    <row r="25" spans="1:10" x14ac:dyDescent="0.25">
      <c r="A25" s="53" t="str">
        <f t="shared" si="0"/>
        <v>7049</v>
      </c>
      <c r="B25" s="54" t="s">
        <v>47</v>
      </c>
      <c r="C25" s="46" t="s">
        <v>19</v>
      </c>
      <c r="D25" s="47">
        <v>1002151787049</v>
      </c>
      <c r="E25" s="23"/>
      <c r="F25" s="22">
        <v>0.42</v>
      </c>
      <c r="G25" s="55">
        <f t="shared" si="2"/>
        <v>0</v>
      </c>
      <c r="H25" s="14"/>
      <c r="I25" s="14"/>
      <c r="J25" s="28"/>
    </row>
    <row r="26" spans="1:10" x14ac:dyDescent="0.25">
      <c r="A26" s="53" t="str">
        <f t="shared" si="0"/>
        <v>7085</v>
      </c>
      <c r="B26" s="54" t="s">
        <v>48</v>
      </c>
      <c r="C26" s="46" t="s">
        <v>19</v>
      </c>
      <c r="D26" s="47">
        <v>1002112607085</v>
      </c>
      <c r="E26" s="23"/>
      <c r="F26" s="22">
        <v>0.7</v>
      </c>
      <c r="G26" s="55">
        <f t="shared" si="2"/>
        <v>0</v>
      </c>
      <c r="H26" s="14"/>
      <c r="I26" s="14"/>
      <c r="J26" s="28"/>
    </row>
    <row r="27" spans="1:10" x14ac:dyDescent="0.25">
      <c r="A27" s="53" t="str">
        <f t="shared" si="0"/>
        <v>7212</v>
      </c>
      <c r="B27" s="54" t="s">
        <v>49</v>
      </c>
      <c r="C27" s="46" t="s">
        <v>19</v>
      </c>
      <c r="D27" s="47">
        <v>1002112857212</v>
      </c>
      <c r="E27" s="23"/>
      <c r="F27" s="22">
        <v>0.42</v>
      </c>
      <c r="G27" s="55">
        <f t="shared" si="2"/>
        <v>0</v>
      </c>
      <c r="H27" s="14"/>
      <c r="I27" s="14"/>
      <c r="J27" s="28"/>
    </row>
    <row r="28" spans="1:10" x14ac:dyDescent="0.25">
      <c r="A28" s="53" t="str">
        <f t="shared" si="0"/>
        <v>7214</v>
      </c>
      <c r="B28" s="54" t="s">
        <v>50</v>
      </c>
      <c r="C28" s="46" t="s">
        <v>19</v>
      </c>
      <c r="D28" s="47">
        <v>1002112857214</v>
      </c>
      <c r="E28" s="23"/>
      <c r="F28" s="22">
        <v>0.7</v>
      </c>
      <c r="G28" s="55">
        <f t="shared" si="2"/>
        <v>0</v>
      </c>
      <c r="H28" s="14"/>
      <c r="I28" s="14"/>
      <c r="J28" s="28"/>
    </row>
    <row r="29" spans="1:10" x14ac:dyDescent="0.25">
      <c r="A29" s="53" t="str">
        <f t="shared" si="0"/>
        <v>7224</v>
      </c>
      <c r="B29" s="54" t="s">
        <v>51</v>
      </c>
      <c r="C29" s="46" t="s">
        <v>19</v>
      </c>
      <c r="D29" s="47">
        <v>1002116517224</v>
      </c>
      <c r="E29" s="23"/>
      <c r="F29" s="22">
        <v>0.4</v>
      </c>
      <c r="G29" s="55">
        <f t="shared" si="2"/>
        <v>0</v>
      </c>
      <c r="H29" s="14"/>
      <c r="I29" s="14"/>
      <c r="J29" s="28"/>
    </row>
    <row r="30" spans="1:10" ht="15.75" thickBot="1" x14ac:dyDescent="0.3">
      <c r="A30" s="53" t="str">
        <f t="shared" si="0"/>
        <v>7375</v>
      </c>
      <c r="B30" s="54" t="s">
        <v>52</v>
      </c>
      <c r="C30" s="46" t="s">
        <v>20</v>
      </c>
      <c r="D30" s="47">
        <v>1002112857375</v>
      </c>
      <c r="E30" s="23"/>
      <c r="F30" s="22">
        <v>1</v>
      </c>
      <c r="G30" s="55">
        <f>E30</f>
        <v>0</v>
      </c>
      <c r="H30" s="14"/>
      <c r="I30" s="14"/>
      <c r="J30" s="28"/>
    </row>
    <row r="31" spans="1:10" ht="16.5" thickTop="1" thickBot="1" x14ac:dyDescent="0.3">
      <c r="A31" s="49"/>
      <c r="B31" s="43" t="s">
        <v>21</v>
      </c>
      <c r="C31" s="15"/>
      <c r="D31" s="34"/>
      <c r="E31" s="16">
        <f>SUM(E10:E30)</f>
        <v>0</v>
      </c>
      <c r="F31" s="16"/>
      <c r="G31" s="16">
        <f>SUM(G10:G30)</f>
        <v>0</v>
      </c>
      <c r="H31" s="16"/>
      <c r="I31" s="16"/>
      <c r="J31" s="16"/>
    </row>
    <row r="32" spans="1:10" ht="15.75" thickTop="1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G3:J3"/>
    <mergeCell ref="B22:J22"/>
  </mergeCells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2026-10-21T12:54:52Z</dcterms:modified>
</cp:coreProperties>
</file>