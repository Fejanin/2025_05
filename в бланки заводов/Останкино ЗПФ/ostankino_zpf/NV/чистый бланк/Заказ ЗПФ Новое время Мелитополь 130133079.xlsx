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ED072961-567C-495E-8A08-D038CF680F9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E24" i="1" l="1"/>
  <c r="G23" i="1" l="1"/>
  <c r="G21" i="1" l="1"/>
  <c r="G20" i="1" l="1"/>
  <c r="G13" i="1"/>
  <c r="G14" i="1"/>
  <c r="G15" i="1"/>
  <c r="G16" i="1"/>
  <c r="G17" i="1"/>
  <c r="G18" i="1"/>
  <c r="G19" i="1"/>
  <c r="G12" i="1"/>
  <c r="G24" i="1" l="1"/>
</calcChain>
</file>

<file path=xl/sharedStrings.xml><?xml version="1.0" encoding="utf-8"?>
<sst xmlns="http://schemas.openxmlformats.org/spreadsheetml/2006/main" count="62" uniqueCount="47">
  <si>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</si>
  <si>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</si>
  <si>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</si>
  <si>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</si>
  <si>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</si>
  <si>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</si>
  <si>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</si>
  <si>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</si>
  <si>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</si>
  <si>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</si>
  <si>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</si>
  <si>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</si>
  <si>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</si>
  <si>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</si>
  <si>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</si>
  <si>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</si>
  <si>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</si>
  <si>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</si>
  <si>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</si>
  <si>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</si>
  <si>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</si>
  <si>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</si>
  <si>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</si>
  <si>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</si>
  <si>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</si>
  <si>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</si>
  <si>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</si>
  <si>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</si>
  <si>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</si>
  <si>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</si>
  <si>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</si>
  <si>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</si>
  <si>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</si>
  <si>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</si>
  <si>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</si>
  <si>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</si>
  <si>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</si>
  <si>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</si>
  <si>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</si>
  <si>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</si>
  <si>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</si>
  <si>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</si>
  <si>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</si>
  <si>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Мариуполь</t>
  </si>
  <si>
    <t>Пельмени/Вареники</t>
  </si>
  <si>
    <t>СОЧНЫЕ СО СЛ.МАСЛ.ПМ пельм пл.0.7кг зам.</t>
  </si>
  <si>
    <t>Запорожская область,Мелитополь г, Северный переезд ул. стр. 3, Семёновка 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</si>
</sst>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7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5" borderId="7" xfId="0" applyNumberFormat="1" applyFill="1" applyBorder="1" applyAlignment="1">
      <alignment horizontal="right"/>
    </xf>
    <xf numFmtId="0" fontId="8" fillId="0" borderId="0" xfId="0" applyFont="1" applyFill="1" applyAlignment="1">
      <alignment vertical="center"/>
    </xf>
    <xf numFmtId="1" fontId="8" fillId="0" borderId="0" xfId="0" applyNumberFormat="1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left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7" xfId="0" applyNumberFormat="1" applyFill="1" applyBorder="1" applyAlignment="1">
      <alignment horizontal="right"/>
    </xf>
    <xf numFmtId="2" fontId="7" fillId="4" borderId="13" xfId="0" applyNumberFormat="1" applyFont="1" applyFill="1" applyBorder="1" applyAlignment="1">
      <alignment horizontal="right" vertical="center" wrapText="1"/>
    </xf>
    <xf numFmtId="1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0" fontId="8" fillId="0" borderId="7" xfId="0" applyFont="1" applyFill="1" applyBorder="1" applyAlignment="1">
      <alignment horizontal="center" vertical="center"/>
    </xf>
    <xf numFmtId="1" fontId="8" fillId="9" borderId="15" xfId="0" applyNumberFormat="1" applyFont="1" applyFill="1" applyBorder="1" applyAlignment="1">
      <alignment horizontal="left" vertical="top"/>
    </xf>
    <xf numFmtId="1" fontId="8" fillId="0" borderId="7" xfId="0" applyNumberFormat="1" applyFont="1" applyFill="1" applyBorder="1" applyAlignment="1">
      <alignment horizontal="center" vertical="center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1" fontId="9" fillId="8" borderId="0" xfId="0" applyNumberFormat="1" applyFont="1" applyFill="1" applyBorder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538"/>
  <sheetViews>
    <sheetView tabSelected="1" zoomScale="70" zoomScaleNormal="70" workbookViewId="0">
      <pane ySplit="9" topLeftCell="A10" activePane="bottomLeft" state="frozen"/>
      <selection pane="bottomLeft" activeCell="I7" sqref="I7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5" ht="27" customHeight="1" thickTop="1" thickBot="1" x14ac:dyDescent="0.3">
      <c r="C1" s="1" t="s">
        <v>0</v>
      </c>
      <c r="D1" s="57">
        <v>130133079</v>
      </c>
      <c r="E1" s="65" t="s">
        <v>34</v>
      </c>
      <c r="F1" s="66"/>
      <c r="G1" s="66"/>
      <c r="H1" s="66"/>
      <c r="I1" s="66"/>
      <c r="J1" s="67"/>
      <c r="K1" s="26">
        <v>130133079</v>
      </c>
      <c r="L1" t="s">
        <v>35</v>
      </c>
      <c r="M1" t="s">
        <v>36</v>
      </c>
      <c r="N1" t="s">
        <v>37</v>
      </c>
    </row>
    <row r="2" spans="1:15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5" ht="19.5" customHeight="1" thickTop="1" thickBot="1" x14ac:dyDescent="0.3">
      <c r="B3" s="31"/>
      <c r="C3" s="7" t="s">
        <v>1</v>
      </c>
      <c r="D3" s="64">
        <v>46209</v>
      </c>
      <c r="E3" s="7" t="s">
        <v>2</v>
      </c>
      <c r="F3" s="64">
        <f>D3+3</f>
        <v>46212</v>
      </c>
      <c r="G3" s="68" t="s">
        <v>46</v>
      </c>
      <c r="H3" s="69"/>
      <c r="I3" s="69"/>
      <c r="J3" s="70"/>
      <c r="K3" s="26">
        <v>130133081</v>
      </c>
      <c r="L3" t="s">
        <v>35</v>
      </c>
      <c r="M3" t="s">
        <v>39</v>
      </c>
      <c r="N3" t="s">
        <v>40</v>
      </c>
    </row>
    <row r="4" spans="1:15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5" x14ac:dyDescent="0.25">
      <c r="C5" s="7" t="s">
        <v>3</v>
      </c>
      <c r="D5" s="36"/>
      <c r="E5" s="8"/>
      <c r="F5" s="8"/>
      <c r="G5" s="8"/>
      <c r="H5" s="21"/>
      <c r="I5" s="21"/>
      <c r="K5" s="26">
        <v>130439105</v>
      </c>
      <c r="L5" t="s">
        <v>43</v>
      </c>
      <c r="M5" t="s">
        <v>36</v>
      </c>
      <c r="O5" t="s">
        <v>38</v>
      </c>
    </row>
    <row r="6" spans="1:15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5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5" ht="16.5" customHeight="1" thickTop="1" thickBot="1" x14ac:dyDescent="0.3"/>
    <row r="9" spans="1:15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5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5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5" ht="16.5" customHeight="1" thickTop="1" x14ac:dyDescent="0.25">
      <c r="A12" s="55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5" ht="16.5" customHeight="1" x14ac:dyDescent="0.25">
      <c r="A13" s="55">
        <v>6149</v>
      </c>
      <c r="B13" s="50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5" ht="16.5" customHeight="1" x14ac:dyDescent="0.25">
      <c r="A14" s="55">
        <v>6819</v>
      </c>
      <c r="B14" s="50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5" ht="16.5" customHeight="1" x14ac:dyDescent="0.25">
      <c r="A15" s="55">
        <v>6202</v>
      </c>
      <c r="B15" s="50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5" ht="16.5" customHeight="1" x14ac:dyDescent="0.25">
      <c r="A16" s="55">
        <v>6148</v>
      </c>
      <c r="B16" s="50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5">
        <v>6209</v>
      </c>
      <c r="B17" s="50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5">
        <v>6168</v>
      </c>
      <c r="B18" s="50" t="s">
        <v>30</v>
      </c>
      <c r="C18" s="46" t="s">
        <v>19</v>
      </c>
      <c r="D18" s="51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54"/>
    </row>
    <row r="19" spans="1:10" ht="16.5" customHeight="1" x14ac:dyDescent="0.25">
      <c r="A19" s="55">
        <v>5579</v>
      </c>
      <c r="B19" s="50" t="s">
        <v>31</v>
      </c>
      <c r="C19" s="46" t="s">
        <v>19</v>
      </c>
      <c r="D19" s="51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54"/>
    </row>
    <row r="20" spans="1:10" ht="16.5" customHeight="1" x14ac:dyDescent="0.25">
      <c r="A20" s="49">
        <v>5754</v>
      </c>
      <c r="B20" s="52" t="s">
        <v>32</v>
      </c>
      <c r="C20" s="46" t="s">
        <v>20</v>
      </c>
      <c r="D20" s="51">
        <v>1002131155754</v>
      </c>
      <c r="E20" s="23"/>
      <c r="F20" s="22">
        <v>4.5</v>
      </c>
      <c r="G20" s="53">
        <f>E20</f>
        <v>0</v>
      </c>
      <c r="H20" s="14">
        <v>4.5</v>
      </c>
      <c r="I20" s="14">
        <v>120</v>
      </c>
      <c r="J20" s="54"/>
    </row>
    <row r="21" spans="1:10" ht="15.75" customHeight="1" x14ac:dyDescent="0.25">
      <c r="A21" s="49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3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8"/>
      <c r="B22" s="71" t="s">
        <v>44</v>
      </c>
      <c r="C22" s="71"/>
      <c r="D22" s="71"/>
      <c r="E22" s="71"/>
      <c r="F22" s="71"/>
      <c r="G22" s="71"/>
      <c r="H22" s="71"/>
      <c r="I22" s="71"/>
      <c r="J22" s="71"/>
    </row>
    <row r="23" spans="1:10" ht="15.75" customHeight="1" thickTop="1" thickBot="1" x14ac:dyDescent="0.3">
      <c r="A23" s="59">
        <v>7216</v>
      </c>
      <c r="B23" s="60" t="s">
        <v>45</v>
      </c>
      <c r="C23" s="46" t="s">
        <v>19</v>
      </c>
      <c r="D23" s="61">
        <v>1002116437216</v>
      </c>
      <c r="E23" s="62"/>
      <c r="F23" s="22">
        <v>0.7</v>
      </c>
      <c r="G23" s="53">
        <f>E23</f>
        <v>0</v>
      </c>
      <c r="H23" s="14"/>
      <c r="I23" s="63"/>
      <c r="J23" s="63"/>
    </row>
    <row r="24" spans="1:10" ht="16.5" thickTop="1" thickBot="1" x14ac:dyDescent="0.3">
      <c r="A24" s="56"/>
      <c r="B24" s="43" t="s">
        <v>21</v>
      </c>
      <c r="C24" s="15"/>
      <c r="D24" s="34"/>
      <c r="E24" s="16">
        <f>SUM(E10:E23)</f>
        <v>0</v>
      </c>
      <c r="F24" s="16"/>
      <c r="G24" s="16">
        <f>SUM(G11:G23)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2026-07-01T13:21:58Z</dcterms:modified>
</cp:coreProperties>
</file>