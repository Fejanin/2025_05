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moduls\"/>
    </mc:Choice>
  </mc:AlternateContent>
  <xr:revisionPtr revIDLastSave="0" documentId="13_ncr:1_{C02CA21E-B610-4F57-AE99-660650DFC5E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<sst xmlns="http://schemas.openxmlformats.org/spreadsheetml/2006/main" count="37" uniqueCount="37">
  <si>
    <t>1С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</si>
  <si>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</si>
  <si>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</si>
  <si>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</si>
  <si>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</si>
  <si>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</si>
  <si>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</si>
  <si>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</si>
  <si>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</si>
  <si>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</si>
  <si>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</si>
  <si>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</si>
  <si>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</si>
  <si>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</si>
  <si>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</si>
  <si>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БЛИНЧ.КРУГЛЫЕ С ГРУШЕЙ пл.1/420 зам.</t>
  </si>
  <si>
    <t>БЛИНЧ.КРУГЛЫЕ С ВЕТЧ.И СЫР.ПМ 1/300 зам.</t>
  </si>
  <si>
    <t>БЛИНЧ.КРУГЛЫЕ С ПЕЧЕНЬЮ ПМ 1/300 зам.</t>
  </si>
  <si>
    <t>БЛИНЧ.С МЯСОМ пл.1/350 зам.</t>
  </si>
  <si>
    <t>БЛИНЧ.КРУГЛЫЕ С ТВОРОГОМ ПМ 1/300 зам.</t>
  </si>
  <si>
    <t>БЛИНЧ.С КУРИНЫМ МЯСОМ пл.1/350 зам.</t>
  </si>
  <si>
    <t>БЛИНЧ.КРУГЛЫЕ С САД.ЯБЛОК.пл.1/300 зам.</t>
  </si>
  <si>
    <t>СОЧНЫЕ СО СЛ.МАСЛ.ПМ пельм пл.0.7кг зам.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</si>
  <si>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</si>
  <si>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</si>
  <si>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</si>
  <si>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</si>
  <si>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</si>
  <si>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7224 МЯСНЫЕ ПРЕМИУМ пельм кор.0,4кг зам  ОСТАНКИНО</t>
  </si>
  <si>
    <t>7375 СОЧНЫЕ Папа Может пельм 4кг зам  ОСТАНКИНО</t>
  </si>
  <si>
    <t>ОСТАНКИНСКИЕ пельм кор.0.5кг зам_NEW</t>
  </si>
  <si>
    <t>С КАРТОФ.И ГРИБ.вареники пл.0.42кг зам.</t>
  </si>
  <si>
    <t>ОСТАНКИНСКИЕ пельм пл. 0.7кг 10шт.зам.</t>
  </si>
  <si>
    <t>СОЧНЫЕ Папа Может пельм пл.0.42кг зам.</t>
  </si>
  <si>
    <t>СОЧНЫЕ Папа Может пельм пл.0.7кг зам.</t>
  </si>
  <si>
    <t>МЯСНЫЕ ПРЕМИУМ пельм кор.0.4кг зам.</t>
  </si>
  <si>
    <t>СОЧНЫЕ Папа Может пельм 4кг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</si>
</sst>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" fontId="0" fillId="0" borderId="0" xfId="0" applyNumberFormat="1"/>
  </cellXfs>
  <cellStyles count="3">
    <cellStyle name="Arial10px" xfId="2" xr:uid="{C0A75BEE-14F2-4260-AF17-AC512850AE79}"/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74;%20&#1073;&#1083;&#1072;&#1085;&#1082;&#1080;%20&#1079;&#1072;&#1074;&#1086;&#1076;&#1086;&#1074;/&#1054;&#1089;&#1090;&#1072;&#1085;&#1082;&#1080;&#1085;&#1086;%20&#1047;&#1055;&#1060;/ostankino_zpf/NV/&#1095;&#1080;&#1089;&#1090;&#1099;&#1081;%20&#1073;&#1083;&#1072;&#1085;&#1082;/&#1047;&#1072;&#1082;&#1072;&#1079;%20&#1047;&#1055;&#1060;%20&#1047;&#1072;&#1082;&#1072;&#1079;%20&#1051;&#1055;%20&#1051;&#1091;&#1075;&#1072;&#1085;&#1089;&#1082;%2013013307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"/>
    </sheetNames>
    <sheetDataSet>
      <sheetData sheetId="0">
        <row r="1">
          <cell r="D1">
            <v>130133073</v>
          </cell>
          <cell r="E1" t="str">
            <v xml:space="preserve">ЛП Луганск </v>
          </cell>
        </row>
        <row r="3">
          <cell r="D3">
            <v>46209</v>
          </cell>
          <cell r="E3" t="str">
            <v xml:space="preserve">Доставка: </v>
          </cell>
          <cell r="F3">
            <v>46212</v>
          </cell>
          <cell r="G3" t="str">
            <v>Луганск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2">
          <cell r="D12">
            <v>1002134615897</v>
          </cell>
          <cell r="F12">
            <v>0.42</v>
          </cell>
          <cell r="G12">
            <v>0</v>
          </cell>
          <cell r="H12">
            <v>4.2</v>
          </cell>
          <cell r="I12">
            <v>120</v>
          </cell>
        </row>
        <row r="13">
          <cell r="D13">
            <v>1002131166149</v>
          </cell>
          <cell r="F13">
            <v>0.3</v>
          </cell>
          <cell r="G13">
            <v>0</v>
          </cell>
          <cell r="H13">
            <v>3.6</v>
          </cell>
          <cell r="I13">
            <v>120</v>
          </cell>
        </row>
        <row r="14">
          <cell r="D14">
            <v>1002134276819</v>
          </cell>
          <cell r="F14">
            <v>0.3</v>
          </cell>
          <cell r="G14">
            <v>0</v>
          </cell>
          <cell r="H14">
            <v>3.6</v>
          </cell>
          <cell r="I14">
            <v>120</v>
          </cell>
        </row>
        <row r="15">
          <cell r="D15">
            <v>1002131186202</v>
          </cell>
          <cell r="F15">
            <v>0.3</v>
          </cell>
          <cell r="G15">
            <v>0</v>
          </cell>
          <cell r="H15">
            <v>3.6</v>
          </cell>
          <cell r="I15">
            <v>120</v>
          </cell>
        </row>
        <row r="16">
          <cell r="D16">
            <v>1002133376148</v>
          </cell>
          <cell r="F16">
            <v>0.3</v>
          </cell>
          <cell r="G16">
            <v>0</v>
          </cell>
          <cell r="H16">
            <v>3.6</v>
          </cell>
          <cell r="I16">
            <v>120</v>
          </cell>
        </row>
        <row r="17">
          <cell r="D17">
            <v>1002131146209</v>
          </cell>
          <cell r="F17">
            <v>0.35</v>
          </cell>
          <cell r="G17">
            <v>0</v>
          </cell>
          <cell r="H17">
            <v>4.2</v>
          </cell>
          <cell r="I17">
            <v>120</v>
          </cell>
        </row>
        <row r="18">
          <cell r="D18">
            <v>1002131156168</v>
          </cell>
          <cell r="F18">
            <v>0.35</v>
          </cell>
          <cell r="G18">
            <v>0</v>
          </cell>
          <cell r="H18">
            <v>4.2</v>
          </cell>
          <cell r="I18">
            <v>120</v>
          </cell>
        </row>
        <row r="19">
          <cell r="D19">
            <v>1002134275579</v>
          </cell>
          <cell r="F19">
            <v>0.42</v>
          </cell>
          <cell r="G19">
            <v>0</v>
          </cell>
          <cell r="H19">
            <v>4.2</v>
          </cell>
          <cell r="I19">
            <v>120</v>
          </cell>
        </row>
        <row r="20">
          <cell r="D20">
            <v>1002131155754</v>
          </cell>
          <cell r="F20">
            <v>4.5</v>
          </cell>
          <cell r="G20">
            <v>0</v>
          </cell>
          <cell r="H20">
            <v>4.5</v>
          </cell>
          <cell r="I20">
            <v>120</v>
          </cell>
        </row>
        <row r="21">
          <cell r="D21">
            <v>1002131185755</v>
          </cell>
          <cell r="F21">
            <v>4.5</v>
          </cell>
          <cell r="G21">
            <v>0</v>
          </cell>
          <cell r="H21">
            <v>4.5</v>
          </cell>
          <cell r="I21">
            <v>120</v>
          </cell>
        </row>
        <row r="23">
          <cell r="D23">
            <v>1002116437216</v>
          </cell>
          <cell r="F23">
            <v>0.7</v>
          </cell>
          <cell r="G23">
            <v>0</v>
          </cell>
        </row>
        <row r="24">
          <cell r="D24">
            <v>1002112606824</v>
          </cell>
          <cell r="F24">
            <v>0.5</v>
          </cell>
          <cell r="G24">
            <v>0</v>
          </cell>
        </row>
        <row r="25">
          <cell r="D25">
            <v>1002151787049</v>
          </cell>
          <cell r="F25">
            <v>0.42</v>
          </cell>
          <cell r="G25">
            <v>0</v>
          </cell>
        </row>
        <row r="26">
          <cell r="D26">
            <v>1002112607085</v>
          </cell>
          <cell r="F26">
            <v>0.7</v>
          </cell>
          <cell r="G26">
            <v>0</v>
          </cell>
        </row>
        <row r="27">
          <cell r="D27">
            <v>1002112857212</v>
          </cell>
          <cell r="F27">
            <v>0.42</v>
          </cell>
          <cell r="G27">
            <v>0</v>
          </cell>
        </row>
        <row r="28">
          <cell r="D28">
            <v>1002112857214</v>
          </cell>
          <cell r="F28">
            <v>0.7</v>
          </cell>
          <cell r="G28">
            <v>0</v>
          </cell>
        </row>
        <row r="29">
          <cell r="D29">
            <v>1002116517224</v>
          </cell>
          <cell r="F29">
            <v>0.4</v>
          </cell>
          <cell r="G29">
            <v>0</v>
          </cell>
        </row>
        <row r="30">
          <cell r="D30">
            <v>1002112857375</v>
          </cell>
          <cell r="F30">
            <v>1</v>
          </cell>
          <cell r="G30">
            <v>0</v>
          </cell>
        </row>
        <row r="31">
          <cell r="E31">
            <v>0</v>
          </cell>
          <cell r="G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pane ySplit="1" topLeftCell="A2" activePane="bottomLeft" state="frozen"/>
      <selection pane="bottomLeft" activeCell="F27" sqref="F27"/>
    </sheetView>
  </sheetViews>
  <sheetFormatPr defaultRowHeight="15" x14ac:dyDescent="0.25"/>
  <cols>
    <col min="1" max="1" width="61.7109375" style="2" customWidth="1"/>
    <col min="2" max="2" width="16.42578125" style="3" customWidth="1"/>
    <col min="3" max="3" width="49.140625" customWidth="1"/>
    <col min="4" max="4" width="17.42578125" customWidth="1"/>
    <col min="5" max="5" width="17.5703125" customWidth="1"/>
    <col min="6" max="6" width="14.140625" bestFit="1" customWidth="1"/>
  </cols>
  <sheetData>
    <row r="1" spans="1:4" x14ac:dyDescent="0.25">
      <c r="A1" s="1" t="s">
        <v>0</v>
      </c>
      <c r="B1" s="3">
        <v>2</v>
      </c>
      <c r="C1">
        <v>3</v>
      </c>
    </row>
    <row r="2" spans="1:4" x14ac:dyDescent="0.25">
      <c r="A2" s="3" t="s">
        <v>1</v>
      </c>
      <c r="B2" s="3">
        <v>1002134275579</v>
      </c>
      <c r="C2" t="s">
        <v>12</v>
      </c>
      <c r="D2" s="3">
        <f>VLOOKUP(B2,[1]Бланк!$D:$J,1,0)</f>
        <v>1002134275579</v>
      </c>
    </row>
    <row r="3" spans="1:4" x14ac:dyDescent="0.25">
      <c r="A3" s="3" t="s">
        <v>2</v>
      </c>
      <c r="B3" s="3">
        <v>1002131155754</v>
      </c>
      <c r="C3" t="s">
        <v>13</v>
      </c>
      <c r="D3" s="3">
        <f>VLOOKUP(B3,[1]Бланк!$D:$J,1,0)</f>
        <v>1002131155754</v>
      </c>
    </row>
    <row r="4" spans="1:4" x14ac:dyDescent="0.25">
      <c r="A4" s="3" t="s">
        <v>3</v>
      </c>
      <c r="B4" s="3">
        <v>1002131185755</v>
      </c>
      <c r="C4" t="s">
        <v>14</v>
      </c>
      <c r="D4" s="3">
        <f>VLOOKUP(B4,[1]Бланк!$D:$J,1,0)</f>
        <v>1002131185755</v>
      </c>
    </row>
    <row r="5" spans="1:4" x14ac:dyDescent="0.25">
      <c r="A5" s="3" t="s">
        <v>4</v>
      </c>
      <c r="B5" s="3">
        <v>1002134615897</v>
      </c>
      <c r="C5" t="s">
        <v>15</v>
      </c>
      <c r="D5" s="3">
        <f>VLOOKUP(B5,[1]Бланк!$D:$J,1,0)</f>
        <v>1002134615897</v>
      </c>
    </row>
    <row r="6" spans="1:4" x14ac:dyDescent="0.25">
      <c r="A6" s="3" t="s">
        <v>5</v>
      </c>
      <c r="B6" s="3">
        <v>1002133376148</v>
      </c>
      <c r="C6" t="s">
        <v>16</v>
      </c>
      <c r="D6" s="3">
        <f>VLOOKUP(B6,[1]Бланк!$D:$J,1,0)</f>
        <v>1002133376148</v>
      </c>
    </row>
    <row r="7" spans="1:4" x14ac:dyDescent="0.25">
      <c r="A7" s="3" t="s">
        <v>6</v>
      </c>
      <c r="B7" s="3">
        <v>1002131166149</v>
      </c>
      <c r="C7" t="s">
        <v>17</v>
      </c>
      <c r="D7" s="3">
        <f>VLOOKUP(B7,[1]Бланк!$D:$J,1,0)</f>
        <v>1002131166149</v>
      </c>
    </row>
    <row r="8" spans="1:4" x14ac:dyDescent="0.25">
      <c r="A8" s="3" t="s">
        <v>7</v>
      </c>
      <c r="B8" s="3">
        <v>1002131156168</v>
      </c>
      <c r="C8" t="s">
        <v>18</v>
      </c>
      <c r="D8" s="3">
        <f>VLOOKUP(B8,[1]Бланк!$D:$J,1,0)</f>
        <v>1002131156168</v>
      </c>
    </row>
    <row r="9" spans="1:4" x14ac:dyDescent="0.25">
      <c r="A9" s="3" t="s">
        <v>8</v>
      </c>
      <c r="B9" s="3">
        <v>1002131186202</v>
      </c>
      <c r="C9" t="s">
        <v>19</v>
      </c>
      <c r="D9" s="3">
        <f>VLOOKUP(B9,[1]Бланк!$D:$J,1,0)</f>
        <v>1002131186202</v>
      </c>
    </row>
    <row r="10" spans="1:4" x14ac:dyDescent="0.25">
      <c r="A10" s="3" t="s">
        <v>9</v>
      </c>
      <c r="B10" s="3">
        <v>1002131146209</v>
      </c>
      <c r="C10" t="s">
        <v>20</v>
      </c>
      <c r="D10" s="3">
        <f>VLOOKUP(B10,[1]Бланк!$D:$J,1,0)</f>
        <v>1002131146209</v>
      </c>
    </row>
    <row r="11" spans="1:4" x14ac:dyDescent="0.25">
      <c r="A11" s="3" t="s">
        <v>10</v>
      </c>
      <c r="B11" s="3">
        <v>1002134276819</v>
      </c>
      <c r="C11" t="s">
        <v>21</v>
      </c>
      <c r="D11" s="3">
        <f>VLOOKUP(B11,[1]Бланк!$D:$J,1,0)</f>
        <v>1002134276819</v>
      </c>
    </row>
    <row r="12" spans="1:4" x14ac:dyDescent="0.25">
      <c r="A12" s="3" t="s">
        <v>11</v>
      </c>
      <c r="B12" s="3">
        <v>1002116437216</v>
      </c>
      <c r="C12" t="s">
        <v>22</v>
      </c>
      <c r="D12" s="3">
        <f>VLOOKUP(B12,[1]Бланк!$D:$J,1,0)</f>
        <v>1002116437216</v>
      </c>
    </row>
    <row r="13" spans="1:4" x14ac:dyDescent="0.25">
      <c r="A13" s="2" t="s">
        <v>23</v>
      </c>
      <c r="B13" s="3">
        <v>1002112606824</v>
      </c>
      <c r="C13" t="s">
        <v>30</v>
      </c>
      <c r="D13" s="3">
        <f>VLOOKUP(B13,[1]Бланк!$D:$J,1,0)</f>
        <v>1002112606824</v>
      </c>
    </row>
    <row r="14" spans="1:4" x14ac:dyDescent="0.25">
      <c r="A14" s="2" t="s">
        <v>24</v>
      </c>
      <c r="B14" s="3">
        <v>1002151787049</v>
      </c>
      <c r="C14" t="s">
        <v>31</v>
      </c>
      <c r="D14" s="3">
        <f>VLOOKUP(B14,[1]Бланк!$D:$J,1,0)</f>
        <v>1002151787049</v>
      </c>
    </row>
    <row r="15" spans="1:4" x14ac:dyDescent="0.25">
      <c r="A15" s="2" t="s">
        <v>25</v>
      </c>
      <c r="B15" s="3">
        <v>1002112607085</v>
      </c>
      <c r="C15" t="s">
        <v>32</v>
      </c>
      <c r="D15" s="3">
        <f>VLOOKUP(B15,[1]Бланк!$D:$J,1,0)</f>
        <v>1002112607085</v>
      </c>
    </row>
    <row r="16" spans="1:4" x14ac:dyDescent="0.25">
      <c r="A16" s="2" t="s">
        <v>26</v>
      </c>
      <c r="B16" s="3">
        <v>1002112857212</v>
      </c>
      <c r="C16" t="s">
        <v>33</v>
      </c>
      <c r="D16" s="3">
        <f>VLOOKUP(B16,[1]Бланк!$D:$J,1,0)</f>
        <v>1002112857212</v>
      </c>
    </row>
    <row r="17" spans="1:4" x14ac:dyDescent="0.25">
      <c r="A17" s="2" t="s">
        <v>27</v>
      </c>
      <c r="B17" s="3">
        <v>1002112857214</v>
      </c>
      <c r="C17" t="s">
        <v>34</v>
      </c>
      <c r="D17" s="3">
        <f>VLOOKUP(B17,[1]Бланк!$D:$J,1,0)</f>
        <v>1002112857214</v>
      </c>
    </row>
    <row r="18" spans="1:4" x14ac:dyDescent="0.25">
      <c r="A18" s="2" t="s">
        <v>28</v>
      </c>
      <c r="B18" s="3">
        <v>1002116517224</v>
      </c>
      <c r="C18" t="s">
        <v>35</v>
      </c>
      <c r="D18" s="3">
        <f>VLOOKUP(B18,[1]Бланк!$D:$J,1,0)</f>
        <v>1002116517224</v>
      </c>
    </row>
    <row r="19" spans="1:4" x14ac:dyDescent="0.25">
      <c r="A19" s="2" t="s">
        <v>29</v>
      </c>
      <c r="B19" s="3">
        <v>1002112857375</v>
      </c>
      <c r="C19" t="s">
        <v>36</v>
      </c>
      <c r="D19" s="3">
        <f>VLOOKUP(B19,[1]Бланк!$D:$J,1,0)</f>
        <v>1002112857375</v>
      </c>
    </row>
  </sheetData>
  <autoFilter ref="A1:C1" xr:uid="{B07A98A7-8665-46F4-A02B-642D1147C8E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2026-10-21T12:49:20Z</dcterms:modified>
</cp:coreProperties>
</file>