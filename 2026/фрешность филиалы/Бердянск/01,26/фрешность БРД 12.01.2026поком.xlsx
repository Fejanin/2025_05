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01" i="1"/>
  <c r="W102"/>
  <c r="W100"/>
  <c r="W89"/>
  <c r="W90"/>
  <c r="W91"/>
  <c r="W92"/>
  <c r="W93"/>
  <c r="W94"/>
  <c r="W95"/>
  <c r="W96"/>
  <c r="W97"/>
  <c r="W98"/>
  <c r="W99"/>
  <c r="W88"/>
  <c r="W84"/>
  <c r="W85"/>
  <c r="W86"/>
  <c r="W87"/>
  <c r="W83"/>
  <c r="W78"/>
  <c r="W79"/>
  <c r="W80"/>
  <c r="W81"/>
  <c r="W82"/>
  <c r="W77"/>
  <c r="W71"/>
  <c r="V108" l="1"/>
  <c r="U108"/>
  <c r="V107"/>
  <c r="U107"/>
  <c r="V106"/>
  <c r="U106"/>
  <c r="V105"/>
  <c r="U105"/>
  <c r="V104"/>
  <c r="U104"/>
  <c r="V103"/>
  <c r="U103"/>
  <c r="V102"/>
  <c r="U102"/>
  <c r="V101"/>
  <c r="U101"/>
  <c r="V100"/>
  <c r="U100"/>
  <c r="V99"/>
  <c r="U99"/>
  <c r="V98"/>
  <c r="U98"/>
  <c r="V97"/>
  <c r="U97"/>
  <c r="V96"/>
  <c r="U96"/>
  <c r="V95"/>
  <c r="U95"/>
  <c r="V94"/>
  <c r="U94"/>
  <c r="V93"/>
  <c r="U93"/>
  <c r="V92"/>
  <c r="U92"/>
  <c r="V91"/>
  <c r="U91"/>
  <c r="V90"/>
  <c r="U90"/>
  <c r="V89"/>
  <c r="U89"/>
  <c r="V88"/>
  <c r="U88"/>
  <c r="V87"/>
  <c r="U87"/>
  <c r="V86"/>
  <c r="U86"/>
  <c r="V85"/>
  <c r="U85"/>
  <c r="V84"/>
  <c r="U84"/>
  <c r="V83"/>
  <c r="U83"/>
  <c r="V82"/>
  <c r="U82"/>
  <c r="V81"/>
  <c r="U81"/>
  <c r="V80"/>
  <c r="U80"/>
  <c r="V79"/>
  <c r="U79"/>
  <c r="V78"/>
  <c r="U78"/>
  <c r="V77"/>
  <c r="U77"/>
  <c r="W76"/>
  <c r="V76"/>
  <c r="U76"/>
  <c r="W75"/>
  <c r="V75"/>
  <c r="U75"/>
  <c r="W74"/>
  <c r="V74"/>
  <c r="U74"/>
  <c r="W73"/>
  <c r="V73"/>
  <c r="U73"/>
  <c r="W72"/>
  <c r="V72"/>
  <c r="U72"/>
  <c r="V71"/>
  <c r="U71"/>
  <c r="V70"/>
  <c r="U70"/>
  <c r="V69"/>
  <c r="U69"/>
  <c r="V68"/>
  <c r="U68"/>
  <c r="V67"/>
  <c r="U67"/>
  <c r="V66"/>
  <c r="U66"/>
  <c r="V65"/>
  <c r="U65"/>
  <c r="V64"/>
  <c r="U64"/>
  <c r="V63"/>
  <c r="U63"/>
  <c r="V62"/>
  <c r="U62"/>
  <c r="V61"/>
  <c r="U61"/>
  <c r="V60"/>
  <c r="U60"/>
  <c r="V59"/>
  <c r="U59"/>
  <c r="V58"/>
  <c r="U58"/>
  <c r="V57"/>
  <c r="U57"/>
  <c r="V56"/>
  <c r="U56"/>
  <c r="V55"/>
  <c r="U55"/>
  <c r="V54"/>
  <c r="U54"/>
  <c r="V53"/>
  <c r="U53"/>
  <c r="V52"/>
  <c r="U52"/>
  <c r="V51"/>
  <c r="U51"/>
  <c r="V50"/>
  <c r="U50"/>
  <c r="V49"/>
  <c r="U49"/>
  <c r="V48"/>
  <c r="U48"/>
  <c r="V47"/>
  <c r="U47"/>
  <c r="V46"/>
  <c r="U46"/>
  <c r="V45"/>
  <c r="U45"/>
  <c r="V44"/>
  <c r="U44"/>
  <c r="V43"/>
  <c r="U43"/>
  <c r="V42"/>
  <c r="U42"/>
  <c r="V41"/>
  <c r="U41"/>
  <c r="V40"/>
  <c r="U40"/>
  <c r="V39"/>
  <c r="U39"/>
  <c r="V38"/>
  <c r="U38"/>
  <c r="V37"/>
  <c r="U37"/>
  <c r="V36"/>
  <c r="U36"/>
  <c r="V35"/>
  <c r="U35"/>
  <c r="V34"/>
  <c r="U34"/>
  <c r="V33"/>
  <c r="U33"/>
  <c r="V32"/>
  <c r="U32"/>
  <c r="V31"/>
  <c r="U31"/>
  <c r="V30"/>
  <c r="U30"/>
  <c r="V29"/>
  <c r="U29"/>
  <c r="V28"/>
  <c r="U28"/>
  <c r="V27"/>
  <c r="U27"/>
  <c r="V26"/>
  <c r="U26"/>
  <c r="V25"/>
  <c r="U25"/>
  <c r="V24"/>
  <c r="U24"/>
  <c r="V23"/>
  <c r="U23"/>
  <c r="V22"/>
  <c r="U22"/>
  <c r="V21"/>
  <c r="U21"/>
  <c r="V20"/>
  <c r="U20"/>
  <c r="V19"/>
  <c r="U19"/>
  <c r="V18"/>
  <c r="U18"/>
  <c r="V17"/>
  <c r="U17"/>
  <c r="V16"/>
  <c r="U16"/>
  <c r="V15"/>
  <c r="U15"/>
  <c r="V14"/>
  <c r="U14"/>
  <c r="V13"/>
  <c r="U13"/>
  <c r="V12"/>
  <c r="U12"/>
  <c r="V11"/>
  <c r="U11"/>
  <c r="V6"/>
  <c r="U6"/>
  <c r="O82"/>
  <c r="O79"/>
  <c r="O80"/>
  <c r="O81"/>
  <c r="O72"/>
  <c r="O73"/>
  <c r="O74"/>
  <c r="O75"/>
  <c r="O76"/>
  <c r="O77"/>
  <c r="O78"/>
  <c r="O71"/>
  <c r="H71" l="1"/>
  <c r="H72"/>
  <c r="H73"/>
  <c r="H74"/>
  <c r="H75"/>
  <c r="H76"/>
  <c r="H77"/>
  <c r="H78"/>
  <c r="H79"/>
  <c r="H80"/>
  <c r="H81"/>
  <c r="H82"/>
  <c r="G72"/>
  <c r="G73"/>
  <c r="G74"/>
  <c r="G75"/>
  <c r="G76"/>
  <c r="G77"/>
  <c r="G78"/>
  <c r="G79"/>
  <c r="G80"/>
  <c r="G81"/>
  <c r="G82"/>
  <c r="M87"/>
  <c r="N87"/>
  <c r="M95"/>
  <c r="M96"/>
  <c r="M97"/>
  <c r="M98"/>
  <c r="M99"/>
  <c r="M100"/>
  <c r="M101"/>
  <c r="M102"/>
  <c r="M103"/>
  <c r="M104"/>
  <c r="M105"/>
  <c r="M106"/>
  <c r="M107"/>
  <c r="M108"/>
  <c r="N96"/>
  <c r="N97"/>
  <c r="N98"/>
  <c r="N99"/>
  <c r="N100"/>
  <c r="N101"/>
  <c r="N102"/>
  <c r="N103"/>
  <c r="N104"/>
  <c r="N105"/>
  <c r="N106"/>
  <c r="N107"/>
  <c r="N108"/>
  <c r="N95" l="1"/>
  <c r="N94"/>
  <c r="M94"/>
  <c r="N93"/>
  <c r="M93"/>
  <c r="N92"/>
  <c r="M92"/>
  <c r="N91"/>
  <c r="M91"/>
  <c r="N90"/>
  <c r="M90"/>
  <c r="N89"/>
  <c r="M89"/>
  <c r="N88"/>
  <c r="M88"/>
  <c r="N86"/>
  <c r="M86"/>
  <c r="N85"/>
  <c r="M85"/>
  <c r="N84"/>
  <c r="M84"/>
  <c r="N83"/>
  <c r="M83"/>
  <c r="N82"/>
  <c r="M82"/>
  <c r="N81"/>
  <c r="M81"/>
  <c r="N80"/>
  <c r="M80"/>
  <c r="N79"/>
  <c r="M79"/>
  <c r="N78"/>
  <c r="M78"/>
  <c r="N77"/>
  <c r="M77"/>
  <c r="N76"/>
  <c r="M76"/>
  <c r="N75"/>
  <c r="M75"/>
  <c r="N74"/>
  <c r="M74"/>
  <c r="N73"/>
  <c r="M73"/>
  <c r="N72"/>
  <c r="M72"/>
  <c r="N71"/>
  <c r="M71"/>
  <c r="N70"/>
  <c r="M70"/>
  <c r="N69"/>
  <c r="M69"/>
  <c r="N68"/>
  <c r="M68"/>
  <c r="N67"/>
  <c r="M67"/>
  <c r="N66"/>
  <c r="M66"/>
  <c r="N65"/>
  <c r="M65"/>
  <c r="N64"/>
  <c r="M64"/>
  <c r="N63"/>
  <c r="M63"/>
  <c r="N62"/>
  <c r="M62"/>
  <c r="N61"/>
  <c r="M61"/>
  <c r="N60"/>
  <c r="M60"/>
  <c r="N59"/>
  <c r="M59"/>
  <c r="N58"/>
  <c r="M58"/>
  <c r="N57"/>
  <c r="M57"/>
  <c r="N56"/>
  <c r="M56"/>
  <c r="N55"/>
  <c r="M55"/>
  <c r="N54"/>
  <c r="M54"/>
  <c r="N53"/>
  <c r="M53"/>
  <c r="N52"/>
  <c r="M52"/>
  <c r="N51"/>
  <c r="M51"/>
  <c r="N50"/>
  <c r="M50"/>
  <c r="N49"/>
  <c r="M49"/>
  <c r="N48"/>
  <c r="M48"/>
  <c r="N47"/>
  <c r="M47"/>
  <c r="N46"/>
  <c r="M46"/>
  <c r="N45"/>
  <c r="M45"/>
  <c r="N44"/>
  <c r="M44"/>
  <c r="N43"/>
  <c r="M43"/>
  <c r="N42"/>
  <c r="M42"/>
  <c r="N41"/>
  <c r="M41"/>
  <c r="N40"/>
  <c r="M40"/>
  <c r="N39"/>
  <c r="M39"/>
  <c r="N38"/>
  <c r="M38"/>
  <c r="N37"/>
  <c r="M37"/>
  <c r="N36"/>
  <c r="M36"/>
  <c r="N35"/>
  <c r="M35"/>
  <c r="N34"/>
  <c r="M34"/>
  <c r="N33"/>
  <c r="M33"/>
  <c r="N32"/>
  <c r="M32"/>
  <c r="N31"/>
  <c r="M31"/>
  <c r="N30"/>
  <c r="M30"/>
  <c r="N29"/>
  <c r="M29"/>
  <c r="N28"/>
  <c r="M28"/>
  <c r="N27"/>
  <c r="M27"/>
  <c r="N26"/>
  <c r="M26"/>
  <c r="N25"/>
  <c r="M25"/>
  <c r="N24"/>
  <c r="M24"/>
  <c r="N23"/>
  <c r="M23"/>
  <c r="N22"/>
  <c r="M22"/>
  <c r="N21"/>
  <c r="M21"/>
  <c r="N20"/>
  <c r="M20"/>
  <c r="N19"/>
  <c r="M19"/>
  <c r="N18"/>
  <c r="M18"/>
  <c r="N17"/>
  <c r="M17"/>
  <c r="N16"/>
  <c r="M16"/>
  <c r="N15"/>
  <c r="M15"/>
  <c r="N14"/>
  <c r="M14"/>
  <c r="N13"/>
  <c r="M13"/>
  <c r="N12"/>
  <c r="M12"/>
  <c r="N11"/>
  <c r="M11"/>
  <c r="N10"/>
  <c r="M10"/>
  <c r="N9"/>
  <c r="M9"/>
  <c r="N8"/>
  <c r="M8"/>
  <c r="N7"/>
  <c r="M7"/>
  <c r="N6"/>
  <c r="M6"/>
  <c r="N5"/>
  <c r="M5"/>
  <c r="N4"/>
  <c r="M4"/>
  <c r="N3"/>
  <c r="M3"/>
  <c r="G83" l="1"/>
  <c r="G71" l="1"/>
  <c r="H95"/>
  <c r="G95"/>
  <c r="H93"/>
  <c r="G93"/>
  <c r="H94"/>
  <c r="H92"/>
  <c r="G94"/>
  <c r="G92"/>
  <c r="G91"/>
  <c r="H91"/>
  <c r="H90"/>
  <c r="G90"/>
  <c r="H89"/>
  <c r="G89"/>
  <c r="H88"/>
  <c r="G88"/>
  <c r="H86"/>
  <c r="G86"/>
  <c r="H85"/>
  <c r="G85"/>
  <c r="H84"/>
  <c r="G84"/>
  <c r="H83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<sst xmlns="http://schemas.openxmlformats.org/spreadsheetml/2006/main" count="382" uniqueCount="105">
  <si>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</si>
  <si>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</si>
  <si>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</si>
  <si>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</si>
  <si>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</si>
  <si>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</si>
  <si>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</si>
  <si>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</si>
  <si>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</si>
  <si>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</si>
  <si>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</si>
  <si>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</si>
  <si>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</si>
  <si>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</si>
  <si>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</si>
  <si>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</si>
  <si>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</si>
  <si>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</si>
  <si>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</si>
  <si>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</si>
  <si>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</si>
  <si>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</si>
  <si>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</si>
  <si>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</si>
  <si>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</si>
  <si>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</si>
  <si>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</si>
  <si>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</si>
  <si>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</si>
  <si>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</si>
  <si>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</si>
  <si>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</si>
  <si>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</si>
  <si>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</si>
  <si>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</si>
  <si>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</si>
  <si>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</si>
  <si>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</si>
  <si>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</si>
  <si>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</si>
  <si>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</si>
  <si>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</si>
  <si>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</si>
  <si>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</si>
  <si>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</si>
  <si>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</si>
  <si>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</si>
  <si>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</si>
  <si>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</si>
  <si>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</si>
  <si>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</si>
  <si>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</si>
  <si>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</si>
  <si>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</si>
  <si>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</si>
  <si>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</si>
  <si>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</si>
  <si>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</si>
  <si>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</si>
  <si>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</si>
  <si>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</si>
  <si>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</si>
  <si>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</si>
  <si>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</si>
  <si>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</si>
  <si>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</si>
  <si>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</si>
  <si>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</si>
  <si>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</si>
  <si>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</si>
  <si>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</si>
  <si>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</si>
  <si>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</si>
  <si>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</si>
  <si>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</si>
  <si>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</si>
  <si>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</si>
  <si>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</si>
  <si>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</si>
  <si>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 xml:space="preserve"> 257  Сосиски Молочные оригинальные ТМ Особый рецепт, ВЕС.   ПОКОМ, SU000246</t>
  </si>
  <si>
    <t xml:space="preserve"> 250  Сардельки стародворские с говядиной в обол. NDX, ВЕС. ПОКОМ, SU000227</t>
  </si>
  <si>
    <t xml:space="preserve"> 283  Сосиски Сочинки, ВЕС, ТМ Стародворье ПОКОМ, SU002725</t>
  </si>
  <si>
    <t xml:space="preserve"> 302  Сосиски Сочинки по-баварски,  0.4кг, ТМ Стародворье  ПОКОМ, SU002799</t>
  </si>
  <si>
    <t xml:space="preserve"> 329  Сардельки Сочинки с сыром Стародворье ТМ, 0,4 кг. ПОКОМ, SU002759</t>
  </si>
  <si>
    <t xml:space="preserve"> 273  Сосиски Сочинки с сочной грудинкой, МГС 0.4кг,   ПОКОМ, SU002618</t>
  </si>
  <si>
    <t xml:space="preserve"> 328  Сардельки Сочинки Стародворье ТМ  0,4 кг ПОКОМ, SU002758</t>
  </si>
  <si>
    <t xml:space="preserve"> 248  Сардельки Сочные ТМ Особый рецепт,   ПОКОМ, SU002287</t>
  </si>
  <si>
    <t xml:space="preserve"> 341 Сосиски Сочинки Сливочные ТМ Стародворье ВЕС ПОКОМ, SU002845</t>
  </si>
  <si>
    <t xml:space="preserve"> 301  Сосиски Сочинки по-баварски с сыром,  0.4кг, ТМ Стародворье  ПОКОМ, SU002801</t>
  </si>
  <si>
    <t xml:space="preserve"> 309  Сосиски Сочинки с сыром 0,4 кг ТМ Стародворье  ПОКОМ, SU002686</t>
  </si>
  <si>
    <t xml:space="preserve"> 342 Сосиски Сочинки Молочные ТМ Стародворье 0,4 кг ПОКОМ, SU002842</t>
  </si>
  <si>
    <t xml:space="preserve"> 343 Сосиски Сочинки Сливочные ТМ Стародворье  0,4 кг, SU002844</t>
  </si>
  <si>
    <t>496  Колбаса Сочинка по-фински с сочным окроком 0,3кг ТМ Стародворье  ПОКОМ, SU002942</t>
  </si>
  <si>
    <t>515  Колбаса Сервелат Мясорубский Делюкс 0,3кг ТМ Стародворье  ПОКОМ, SU003829</t>
  </si>
  <si>
    <t xml:space="preserve"> 062  Колбаса Кракушка пряная с сальцем, 0.3кг в/у п/к, БАВАРУШКА ПОКОМ, SU002252</t>
  </si>
  <si>
    <t>495  Колбаса Сочинка по-европейски с сочной грудинкой 0,3кг ТМ Стародворье  ПОКОМ, SU002944</t>
  </si>
  <si>
    <t xml:space="preserve"> 023  Колбаса Докторская ГОСТ, Вязанка вектор, 0,4 кг, ПОКОМ, SU001485</t>
  </si>
  <si>
    <t xml:space="preserve"> 324  Ветчина Филейская ТМ Вязанка Столичная 0,45 кг ПОКОМ, SU002814</t>
  </si>
  <si>
    <t xml:space="preserve"> 279  Колбаса Докторский гарант, Вязанка вектор, 0,4 кг.  ПОКОМ, 4301011344</t>
  </si>
  <si>
    <t>Продано</t>
  </si>
  <si>
    <t>Списано</t>
  </si>
  <si>
    <t>ШТ</t>
  </si>
  <si>
    <t xml:space="preserve"> 319  Колбаса вареная Филейская ТМ Вязанка ТС Классическая, 0,45 кг. ПОКОМ, SU002815</t>
  </si>
  <si>
    <t>519  Грудинка 0,12 кг нарезка ТМ Стародворье  ПОКОМ, SU003921</t>
  </si>
  <si>
    <t>ши</t>
  </si>
</sst>
</file>

<file path=xl/styles.xml><?xml version="1.0" encoding="utf-8"?>
<styleSheet xmlns="http://schemas.openxmlformats.org/spreadsheetml/2006/main">
  <numFmts count="1">
    <numFmt numFmtId="164" formatCode="0.000;[Red]\-0.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8"/>
      <color theme="1"/>
      <name val="Arial"/>
      <family val="2"/>
    </font>
    <font>
      <b/>
      <sz val="12"/>
      <color theme="1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0"/>
      </top>
      <bottom style="thin">
        <color indexed="6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106">
    <xf numFmtId="0" fontId="0" fillId="0" borderId="0" xfId="0"/>
    <xf numFmtId="0" fontId="0" fillId="0" borderId="0" xfId="0" applyAlignment="1">
      <alignment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2" xfId="2" applyNumberFormat="1" applyFont="1" applyBorder="1" applyAlignment="1">
      <alignment vertical="top" wrapText="1" indent="6"/>
    </xf>
    <xf numFmtId="2" fontId="2" fillId="2" borderId="1" xfId="0" applyNumberFormat="1" applyFont="1" applyFill="1" applyBorder="1" applyAlignment="1">
      <alignment horizontal="center" vertical="center" wrapText="1"/>
    </xf>
    <xf numFmtId="164" fontId="8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7" borderId="0" xfId="0" applyNumberForma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8" fillId="0" borderId="2" xfId="2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center" vertical="center" wrapText="1"/>
    </xf>
    <xf numFmtId="2" fontId="8" fillId="0" borderId="2" xfId="2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6" xfId="0" applyBorder="1"/>
    <xf numFmtId="0" fontId="0" fillId="0" borderId="5" xfId="0" applyBorder="1"/>
    <xf numFmtId="2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/>
    <xf numFmtId="2" fontId="0" fillId="0" borderId="7" xfId="0" applyNumberForma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2" fontId="11" fillId="3" borderId="1" xfId="0" applyNumberFormat="1" applyFont="1" applyFill="1" applyBorder="1" applyAlignment="1">
      <alignment horizontal="center" vertical="center" wrapText="1"/>
    </xf>
    <xf numFmtId="1" fontId="12" fillId="0" borderId="1" xfId="1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2" fontId="11" fillId="0" borderId="2" xfId="2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2" fontId="11" fillId="0" borderId="13" xfId="2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2" fontId="10" fillId="0" borderId="7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8" fillId="0" borderId="2" xfId="2" applyFill="1" applyBorder="1" applyAlignment="1">
      <alignment vertical="top" wrapText="1" indent="4"/>
    </xf>
    <xf numFmtId="0" fontId="10" fillId="9" borderId="0" xfId="0" applyFont="1" applyFill="1" applyAlignment="1">
      <alignment wrapText="1"/>
    </xf>
    <xf numFmtId="0" fontId="7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8" fillId="8" borderId="2" xfId="2" applyNumberFormat="1" applyFont="1" applyFill="1" applyBorder="1" applyAlignment="1">
      <alignment vertical="top" wrapText="1" indent="6"/>
    </xf>
    <xf numFmtId="2" fontId="0" fillId="8" borderId="1" xfId="0" applyNumberForma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2" fontId="13" fillId="0" borderId="1" xfId="0" applyNumberFormat="1" applyFont="1" applyFill="1" applyBorder="1" applyAlignment="1">
      <alignment horizontal="center" vertical="center" wrapText="1"/>
    </xf>
    <xf numFmtId="14" fontId="14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2" fontId="15" fillId="0" borderId="1" xfId="0" applyNumberFormat="1" applyFont="1" applyFill="1" applyBorder="1" applyAlignment="1">
      <alignment horizontal="center" vertical="center" wrapText="1"/>
    </xf>
    <xf numFmtId="14" fontId="16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2" fontId="15" fillId="0" borderId="2" xfId="2" applyNumberFormat="1" applyFont="1" applyFill="1" applyBorder="1" applyAlignment="1">
      <alignment horizontal="center" vertical="center"/>
    </xf>
    <xf numFmtId="14" fontId="0" fillId="0" borderId="0" xfId="0" applyNumberFormat="1" applyFont="1" applyFill="1" applyAlignment="1">
      <alignment horizontal="center" vertical="center"/>
    </xf>
    <xf numFmtId="0" fontId="15" fillId="0" borderId="3" xfId="0" applyFont="1" applyFill="1" applyBorder="1" applyAlignment="1">
      <alignment horizontal="center" vertical="center" wrapText="1"/>
    </xf>
    <xf numFmtId="2" fontId="15" fillId="0" borderId="3" xfId="0" applyNumberFormat="1" applyFont="1" applyFill="1" applyBorder="1" applyAlignment="1">
      <alignment horizontal="center" vertical="center" wrapText="1"/>
    </xf>
    <xf numFmtId="164" fontId="15" fillId="0" borderId="2" xfId="2" applyNumberFormat="1" applyFont="1" applyFill="1" applyBorder="1" applyAlignment="1">
      <alignment horizontal="center" vertical="center"/>
    </xf>
    <xf numFmtId="14" fontId="15" fillId="0" borderId="2" xfId="2" applyNumberFormat="1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4" fontId="0" fillId="7" borderId="0" xfId="0" applyNumberFormat="1" applyFont="1" applyFill="1" applyAlignment="1">
      <alignment horizontal="center" vertical="center" wrapText="1"/>
    </xf>
    <xf numFmtId="0" fontId="8" fillId="4" borderId="2" xfId="2" applyNumberFormat="1" applyFont="1" applyFill="1" applyBorder="1" applyAlignment="1">
      <alignment vertical="top" wrapText="1" indent="6"/>
    </xf>
    <xf numFmtId="0" fontId="0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2" fontId="0" fillId="9" borderId="1" xfId="0" applyNumberFormat="1" applyFill="1" applyBorder="1" applyAlignment="1">
      <alignment horizontal="center" vertical="center" wrapText="1"/>
    </xf>
    <xf numFmtId="0" fontId="8" fillId="9" borderId="2" xfId="2" applyNumberFormat="1" applyFont="1" applyFill="1" applyBorder="1" applyAlignment="1">
      <alignment vertical="top" wrapText="1" indent="6"/>
    </xf>
    <xf numFmtId="2" fontId="0" fillId="10" borderId="1" xfId="0" applyNumberFormat="1" applyFill="1" applyBorder="1" applyAlignment="1">
      <alignment horizontal="center" vertical="center" wrapText="1"/>
    </xf>
    <xf numFmtId="0" fontId="8" fillId="10" borderId="2" xfId="2" applyNumberFormat="1" applyFont="1" applyFill="1" applyBorder="1" applyAlignment="1">
      <alignment vertical="top" wrapText="1" indent="6"/>
    </xf>
    <xf numFmtId="0" fontId="0" fillId="5" borderId="0" xfId="0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18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11"/>
  <sheetViews>
    <sheetView tabSelected="1" topLeftCell="B89" zoomScale="85" zoomScaleNormal="85" workbookViewId="0">
      <pane xSplit="1" topLeftCell="Q1" activePane="topRight" state="frozen"/>
      <selection activeCell="B1" sqref="B1"/>
      <selection pane="topRight" activeCell="W1" sqref="W1:X1"/>
    </sheetView>
  </sheetViews>
  <sheetFormatPr defaultColWidth="8.85546875" defaultRowHeight="15"/>
  <cols>
    <col min="1" max="1" width="4" style="1" customWidth="1"/>
    <col min="2" max="2" width="45" style="1" customWidth="1"/>
    <col min="3" max="3" width="4.140625" style="38" customWidth="1"/>
    <col min="4" max="4" width="7" style="39" customWidth="1"/>
    <col min="5" max="5" width="11.140625" style="40" customWidth="1"/>
    <col min="6" max="6" width="11" style="40" customWidth="1"/>
    <col min="7" max="7" width="12.7109375" style="38" customWidth="1"/>
    <col min="8" max="8" width="12" style="38" customWidth="1"/>
    <col min="9" max="9" width="4.140625" style="9" customWidth="1"/>
    <col min="10" max="10" width="7" style="10" customWidth="1"/>
    <col min="11" max="11" width="11.140625" style="11" customWidth="1"/>
    <col min="12" max="12" width="11" style="11" customWidth="1"/>
    <col min="13" max="13" width="12.7109375" style="9" customWidth="1"/>
    <col min="14" max="14" width="12" style="9" customWidth="1"/>
    <col min="15" max="16" width="8.85546875" style="9" customWidth="1"/>
    <col min="17" max="17" width="4.140625" style="9" customWidth="1"/>
    <col min="18" max="18" width="7" style="10" customWidth="1"/>
    <col min="19" max="19" width="11.140625" style="11" customWidth="1"/>
    <col min="20" max="20" width="11" style="11" customWidth="1"/>
    <col min="21" max="21" width="12.7109375" style="9" customWidth="1"/>
    <col min="22" max="22" width="12" style="9" customWidth="1"/>
    <col min="23" max="24" width="8.85546875" style="9"/>
    <col min="25" max="266" width="8.85546875" style="1"/>
    <col min="267" max="267" width="4" style="1" customWidth="1"/>
    <col min="268" max="268" width="59.7109375" style="1" customWidth="1"/>
    <col min="269" max="269" width="4.85546875" style="1" customWidth="1"/>
    <col min="270" max="270" width="9" style="1" customWidth="1"/>
    <col min="271" max="271" width="15.85546875" style="1" customWidth="1"/>
    <col min="272" max="272" width="15.7109375" style="1" customWidth="1"/>
    <col min="273" max="273" width="15.42578125" style="1" customWidth="1"/>
    <col min="274" max="274" width="17.140625" style="1" customWidth="1"/>
    <col min="275" max="275" width="37.85546875" style="1" customWidth="1"/>
    <col min="276" max="276" width="36.5703125" style="1" customWidth="1"/>
    <col min="277" max="277" width="29.42578125" style="1" customWidth="1"/>
    <col min="278" max="522" width="8.85546875" style="1"/>
    <col min="523" max="523" width="4" style="1" customWidth="1"/>
    <col min="524" max="524" width="59.7109375" style="1" customWidth="1"/>
    <col min="525" max="525" width="4.85546875" style="1" customWidth="1"/>
    <col min="526" max="526" width="9" style="1" customWidth="1"/>
    <col min="527" max="527" width="15.85546875" style="1" customWidth="1"/>
    <col min="528" max="528" width="15.7109375" style="1" customWidth="1"/>
    <col min="529" max="529" width="15.42578125" style="1" customWidth="1"/>
    <col min="530" max="530" width="17.140625" style="1" customWidth="1"/>
    <col min="531" max="531" width="37.85546875" style="1" customWidth="1"/>
    <col min="532" max="532" width="36.5703125" style="1" customWidth="1"/>
    <col min="533" max="533" width="29.42578125" style="1" customWidth="1"/>
    <col min="534" max="778" width="8.85546875" style="1"/>
    <col min="779" max="779" width="4" style="1" customWidth="1"/>
    <col min="780" max="780" width="59.7109375" style="1" customWidth="1"/>
    <col min="781" max="781" width="4.85546875" style="1" customWidth="1"/>
    <col min="782" max="782" width="9" style="1" customWidth="1"/>
    <col min="783" max="783" width="15.85546875" style="1" customWidth="1"/>
    <col min="784" max="784" width="15.7109375" style="1" customWidth="1"/>
    <col min="785" max="785" width="15.42578125" style="1" customWidth="1"/>
    <col min="786" max="786" width="17.140625" style="1" customWidth="1"/>
    <col min="787" max="787" width="37.85546875" style="1" customWidth="1"/>
    <col min="788" max="788" width="36.5703125" style="1" customWidth="1"/>
    <col min="789" max="789" width="29.42578125" style="1" customWidth="1"/>
    <col min="790" max="1034" width="8.85546875" style="1"/>
    <col min="1035" max="1035" width="4" style="1" customWidth="1"/>
    <col min="1036" max="1036" width="59.7109375" style="1" customWidth="1"/>
    <col min="1037" max="1037" width="4.85546875" style="1" customWidth="1"/>
    <col min="1038" max="1038" width="9" style="1" customWidth="1"/>
    <col min="1039" max="1039" width="15.85546875" style="1" customWidth="1"/>
    <col min="1040" max="1040" width="15.7109375" style="1" customWidth="1"/>
    <col min="1041" max="1041" width="15.42578125" style="1" customWidth="1"/>
    <col min="1042" max="1042" width="17.140625" style="1" customWidth="1"/>
    <col min="1043" max="1043" width="37.85546875" style="1" customWidth="1"/>
    <col min="1044" max="1044" width="36.5703125" style="1" customWidth="1"/>
    <col min="1045" max="1045" width="29.42578125" style="1" customWidth="1"/>
    <col min="1046" max="1290" width="8.85546875" style="1"/>
    <col min="1291" max="1291" width="4" style="1" customWidth="1"/>
    <col min="1292" max="1292" width="59.7109375" style="1" customWidth="1"/>
    <col min="1293" max="1293" width="4.85546875" style="1" customWidth="1"/>
    <col min="1294" max="1294" width="9" style="1" customWidth="1"/>
    <col min="1295" max="1295" width="15.85546875" style="1" customWidth="1"/>
    <col min="1296" max="1296" width="15.7109375" style="1" customWidth="1"/>
    <col min="1297" max="1297" width="15.42578125" style="1" customWidth="1"/>
    <col min="1298" max="1298" width="17.140625" style="1" customWidth="1"/>
    <col min="1299" max="1299" width="37.85546875" style="1" customWidth="1"/>
    <col min="1300" max="1300" width="36.5703125" style="1" customWidth="1"/>
    <col min="1301" max="1301" width="29.42578125" style="1" customWidth="1"/>
    <col min="1302" max="1546" width="8.85546875" style="1"/>
    <col min="1547" max="1547" width="4" style="1" customWidth="1"/>
    <col min="1548" max="1548" width="59.7109375" style="1" customWidth="1"/>
    <col min="1549" max="1549" width="4.85546875" style="1" customWidth="1"/>
    <col min="1550" max="1550" width="9" style="1" customWidth="1"/>
    <col min="1551" max="1551" width="15.85546875" style="1" customWidth="1"/>
    <col min="1552" max="1552" width="15.7109375" style="1" customWidth="1"/>
    <col min="1553" max="1553" width="15.42578125" style="1" customWidth="1"/>
    <col min="1554" max="1554" width="17.140625" style="1" customWidth="1"/>
    <col min="1555" max="1555" width="37.85546875" style="1" customWidth="1"/>
    <col min="1556" max="1556" width="36.5703125" style="1" customWidth="1"/>
    <col min="1557" max="1557" width="29.42578125" style="1" customWidth="1"/>
    <col min="1558" max="1802" width="8.85546875" style="1"/>
    <col min="1803" max="1803" width="4" style="1" customWidth="1"/>
    <col min="1804" max="1804" width="59.7109375" style="1" customWidth="1"/>
    <col min="1805" max="1805" width="4.85546875" style="1" customWidth="1"/>
    <col min="1806" max="1806" width="9" style="1" customWidth="1"/>
    <col min="1807" max="1807" width="15.85546875" style="1" customWidth="1"/>
    <col min="1808" max="1808" width="15.7109375" style="1" customWidth="1"/>
    <col min="1809" max="1809" width="15.42578125" style="1" customWidth="1"/>
    <col min="1810" max="1810" width="17.140625" style="1" customWidth="1"/>
    <col min="1811" max="1811" width="37.85546875" style="1" customWidth="1"/>
    <col min="1812" max="1812" width="36.5703125" style="1" customWidth="1"/>
    <col min="1813" max="1813" width="29.42578125" style="1" customWidth="1"/>
    <col min="1814" max="2058" width="8.85546875" style="1"/>
    <col min="2059" max="2059" width="4" style="1" customWidth="1"/>
    <col min="2060" max="2060" width="59.7109375" style="1" customWidth="1"/>
    <col min="2061" max="2061" width="4.85546875" style="1" customWidth="1"/>
    <col min="2062" max="2062" width="9" style="1" customWidth="1"/>
    <col min="2063" max="2063" width="15.85546875" style="1" customWidth="1"/>
    <col min="2064" max="2064" width="15.7109375" style="1" customWidth="1"/>
    <col min="2065" max="2065" width="15.42578125" style="1" customWidth="1"/>
    <col min="2066" max="2066" width="17.140625" style="1" customWidth="1"/>
    <col min="2067" max="2067" width="37.85546875" style="1" customWidth="1"/>
    <col min="2068" max="2068" width="36.5703125" style="1" customWidth="1"/>
    <col min="2069" max="2069" width="29.42578125" style="1" customWidth="1"/>
    <col min="2070" max="2314" width="8.85546875" style="1"/>
    <col min="2315" max="2315" width="4" style="1" customWidth="1"/>
    <col min="2316" max="2316" width="59.7109375" style="1" customWidth="1"/>
    <col min="2317" max="2317" width="4.85546875" style="1" customWidth="1"/>
    <col min="2318" max="2318" width="9" style="1" customWidth="1"/>
    <col min="2319" max="2319" width="15.85546875" style="1" customWidth="1"/>
    <col min="2320" max="2320" width="15.7109375" style="1" customWidth="1"/>
    <col min="2321" max="2321" width="15.42578125" style="1" customWidth="1"/>
    <col min="2322" max="2322" width="17.140625" style="1" customWidth="1"/>
    <col min="2323" max="2323" width="37.85546875" style="1" customWidth="1"/>
    <col min="2324" max="2324" width="36.5703125" style="1" customWidth="1"/>
    <col min="2325" max="2325" width="29.42578125" style="1" customWidth="1"/>
    <col min="2326" max="2570" width="8.85546875" style="1"/>
    <col min="2571" max="2571" width="4" style="1" customWidth="1"/>
    <col min="2572" max="2572" width="59.7109375" style="1" customWidth="1"/>
    <col min="2573" max="2573" width="4.85546875" style="1" customWidth="1"/>
    <col min="2574" max="2574" width="9" style="1" customWidth="1"/>
    <col min="2575" max="2575" width="15.85546875" style="1" customWidth="1"/>
    <col min="2576" max="2576" width="15.7109375" style="1" customWidth="1"/>
    <col min="2577" max="2577" width="15.42578125" style="1" customWidth="1"/>
    <col min="2578" max="2578" width="17.140625" style="1" customWidth="1"/>
    <col min="2579" max="2579" width="37.85546875" style="1" customWidth="1"/>
    <col min="2580" max="2580" width="36.5703125" style="1" customWidth="1"/>
    <col min="2581" max="2581" width="29.42578125" style="1" customWidth="1"/>
    <col min="2582" max="2826" width="8.85546875" style="1"/>
    <col min="2827" max="2827" width="4" style="1" customWidth="1"/>
    <col min="2828" max="2828" width="59.7109375" style="1" customWidth="1"/>
    <col min="2829" max="2829" width="4.85546875" style="1" customWidth="1"/>
    <col min="2830" max="2830" width="9" style="1" customWidth="1"/>
    <col min="2831" max="2831" width="15.85546875" style="1" customWidth="1"/>
    <col min="2832" max="2832" width="15.7109375" style="1" customWidth="1"/>
    <col min="2833" max="2833" width="15.42578125" style="1" customWidth="1"/>
    <col min="2834" max="2834" width="17.140625" style="1" customWidth="1"/>
    <col min="2835" max="2835" width="37.85546875" style="1" customWidth="1"/>
    <col min="2836" max="2836" width="36.5703125" style="1" customWidth="1"/>
    <col min="2837" max="2837" width="29.42578125" style="1" customWidth="1"/>
    <col min="2838" max="3082" width="8.85546875" style="1"/>
    <col min="3083" max="3083" width="4" style="1" customWidth="1"/>
    <col min="3084" max="3084" width="59.7109375" style="1" customWidth="1"/>
    <col min="3085" max="3085" width="4.85546875" style="1" customWidth="1"/>
    <col min="3086" max="3086" width="9" style="1" customWidth="1"/>
    <col min="3087" max="3087" width="15.85546875" style="1" customWidth="1"/>
    <col min="3088" max="3088" width="15.7109375" style="1" customWidth="1"/>
    <col min="3089" max="3089" width="15.42578125" style="1" customWidth="1"/>
    <col min="3090" max="3090" width="17.140625" style="1" customWidth="1"/>
    <col min="3091" max="3091" width="37.85546875" style="1" customWidth="1"/>
    <col min="3092" max="3092" width="36.5703125" style="1" customWidth="1"/>
    <col min="3093" max="3093" width="29.42578125" style="1" customWidth="1"/>
    <col min="3094" max="3338" width="8.85546875" style="1"/>
    <col min="3339" max="3339" width="4" style="1" customWidth="1"/>
    <col min="3340" max="3340" width="59.7109375" style="1" customWidth="1"/>
    <col min="3341" max="3341" width="4.85546875" style="1" customWidth="1"/>
    <col min="3342" max="3342" width="9" style="1" customWidth="1"/>
    <col min="3343" max="3343" width="15.85546875" style="1" customWidth="1"/>
    <col min="3344" max="3344" width="15.7109375" style="1" customWidth="1"/>
    <col min="3345" max="3345" width="15.42578125" style="1" customWidth="1"/>
    <col min="3346" max="3346" width="17.140625" style="1" customWidth="1"/>
    <col min="3347" max="3347" width="37.85546875" style="1" customWidth="1"/>
    <col min="3348" max="3348" width="36.5703125" style="1" customWidth="1"/>
    <col min="3349" max="3349" width="29.42578125" style="1" customWidth="1"/>
    <col min="3350" max="3594" width="8.85546875" style="1"/>
    <col min="3595" max="3595" width="4" style="1" customWidth="1"/>
    <col min="3596" max="3596" width="59.7109375" style="1" customWidth="1"/>
    <col min="3597" max="3597" width="4.85546875" style="1" customWidth="1"/>
    <col min="3598" max="3598" width="9" style="1" customWidth="1"/>
    <col min="3599" max="3599" width="15.85546875" style="1" customWidth="1"/>
    <col min="3600" max="3600" width="15.7109375" style="1" customWidth="1"/>
    <col min="3601" max="3601" width="15.42578125" style="1" customWidth="1"/>
    <col min="3602" max="3602" width="17.140625" style="1" customWidth="1"/>
    <col min="3603" max="3603" width="37.85546875" style="1" customWidth="1"/>
    <col min="3604" max="3604" width="36.5703125" style="1" customWidth="1"/>
    <col min="3605" max="3605" width="29.42578125" style="1" customWidth="1"/>
    <col min="3606" max="3850" width="8.85546875" style="1"/>
    <col min="3851" max="3851" width="4" style="1" customWidth="1"/>
    <col min="3852" max="3852" width="59.7109375" style="1" customWidth="1"/>
    <col min="3853" max="3853" width="4.85546875" style="1" customWidth="1"/>
    <col min="3854" max="3854" width="9" style="1" customWidth="1"/>
    <col min="3855" max="3855" width="15.85546875" style="1" customWidth="1"/>
    <col min="3856" max="3856" width="15.7109375" style="1" customWidth="1"/>
    <col min="3857" max="3857" width="15.42578125" style="1" customWidth="1"/>
    <col min="3858" max="3858" width="17.140625" style="1" customWidth="1"/>
    <col min="3859" max="3859" width="37.85546875" style="1" customWidth="1"/>
    <col min="3860" max="3860" width="36.5703125" style="1" customWidth="1"/>
    <col min="3861" max="3861" width="29.42578125" style="1" customWidth="1"/>
    <col min="3862" max="4106" width="8.85546875" style="1"/>
    <col min="4107" max="4107" width="4" style="1" customWidth="1"/>
    <col min="4108" max="4108" width="59.7109375" style="1" customWidth="1"/>
    <col min="4109" max="4109" width="4.85546875" style="1" customWidth="1"/>
    <col min="4110" max="4110" width="9" style="1" customWidth="1"/>
    <col min="4111" max="4111" width="15.85546875" style="1" customWidth="1"/>
    <col min="4112" max="4112" width="15.7109375" style="1" customWidth="1"/>
    <col min="4113" max="4113" width="15.42578125" style="1" customWidth="1"/>
    <col min="4114" max="4114" width="17.140625" style="1" customWidth="1"/>
    <col min="4115" max="4115" width="37.85546875" style="1" customWidth="1"/>
    <col min="4116" max="4116" width="36.5703125" style="1" customWidth="1"/>
    <col min="4117" max="4117" width="29.42578125" style="1" customWidth="1"/>
    <col min="4118" max="4362" width="8.85546875" style="1"/>
    <col min="4363" max="4363" width="4" style="1" customWidth="1"/>
    <col min="4364" max="4364" width="59.7109375" style="1" customWidth="1"/>
    <col min="4365" max="4365" width="4.85546875" style="1" customWidth="1"/>
    <col min="4366" max="4366" width="9" style="1" customWidth="1"/>
    <col min="4367" max="4367" width="15.85546875" style="1" customWidth="1"/>
    <col min="4368" max="4368" width="15.7109375" style="1" customWidth="1"/>
    <col min="4369" max="4369" width="15.42578125" style="1" customWidth="1"/>
    <col min="4370" max="4370" width="17.140625" style="1" customWidth="1"/>
    <col min="4371" max="4371" width="37.85546875" style="1" customWidth="1"/>
    <col min="4372" max="4372" width="36.5703125" style="1" customWidth="1"/>
    <col min="4373" max="4373" width="29.42578125" style="1" customWidth="1"/>
    <col min="4374" max="4618" width="8.85546875" style="1"/>
    <col min="4619" max="4619" width="4" style="1" customWidth="1"/>
    <col min="4620" max="4620" width="59.7109375" style="1" customWidth="1"/>
    <col min="4621" max="4621" width="4.85546875" style="1" customWidth="1"/>
    <col min="4622" max="4622" width="9" style="1" customWidth="1"/>
    <col min="4623" max="4623" width="15.85546875" style="1" customWidth="1"/>
    <col min="4624" max="4624" width="15.7109375" style="1" customWidth="1"/>
    <col min="4625" max="4625" width="15.42578125" style="1" customWidth="1"/>
    <col min="4626" max="4626" width="17.140625" style="1" customWidth="1"/>
    <col min="4627" max="4627" width="37.85546875" style="1" customWidth="1"/>
    <col min="4628" max="4628" width="36.5703125" style="1" customWidth="1"/>
    <col min="4629" max="4629" width="29.42578125" style="1" customWidth="1"/>
    <col min="4630" max="4874" width="8.85546875" style="1"/>
    <col min="4875" max="4875" width="4" style="1" customWidth="1"/>
    <col min="4876" max="4876" width="59.7109375" style="1" customWidth="1"/>
    <col min="4877" max="4877" width="4.85546875" style="1" customWidth="1"/>
    <col min="4878" max="4878" width="9" style="1" customWidth="1"/>
    <col min="4879" max="4879" width="15.85546875" style="1" customWidth="1"/>
    <col min="4880" max="4880" width="15.7109375" style="1" customWidth="1"/>
    <col min="4881" max="4881" width="15.42578125" style="1" customWidth="1"/>
    <col min="4882" max="4882" width="17.140625" style="1" customWidth="1"/>
    <col min="4883" max="4883" width="37.85546875" style="1" customWidth="1"/>
    <col min="4884" max="4884" width="36.5703125" style="1" customWidth="1"/>
    <col min="4885" max="4885" width="29.42578125" style="1" customWidth="1"/>
    <col min="4886" max="5130" width="8.85546875" style="1"/>
    <col min="5131" max="5131" width="4" style="1" customWidth="1"/>
    <col min="5132" max="5132" width="59.7109375" style="1" customWidth="1"/>
    <col min="5133" max="5133" width="4.85546875" style="1" customWidth="1"/>
    <col min="5134" max="5134" width="9" style="1" customWidth="1"/>
    <col min="5135" max="5135" width="15.85546875" style="1" customWidth="1"/>
    <col min="5136" max="5136" width="15.7109375" style="1" customWidth="1"/>
    <col min="5137" max="5137" width="15.42578125" style="1" customWidth="1"/>
    <col min="5138" max="5138" width="17.140625" style="1" customWidth="1"/>
    <col min="5139" max="5139" width="37.85546875" style="1" customWidth="1"/>
    <col min="5140" max="5140" width="36.5703125" style="1" customWidth="1"/>
    <col min="5141" max="5141" width="29.42578125" style="1" customWidth="1"/>
    <col min="5142" max="5386" width="8.85546875" style="1"/>
    <col min="5387" max="5387" width="4" style="1" customWidth="1"/>
    <col min="5388" max="5388" width="59.7109375" style="1" customWidth="1"/>
    <col min="5389" max="5389" width="4.85546875" style="1" customWidth="1"/>
    <col min="5390" max="5390" width="9" style="1" customWidth="1"/>
    <col min="5391" max="5391" width="15.85546875" style="1" customWidth="1"/>
    <col min="5392" max="5392" width="15.7109375" style="1" customWidth="1"/>
    <col min="5393" max="5393" width="15.42578125" style="1" customWidth="1"/>
    <col min="5394" max="5394" width="17.140625" style="1" customWidth="1"/>
    <col min="5395" max="5395" width="37.85546875" style="1" customWidth="1"/>
    <col min="5396" max="5396" width="36.5703125" style="1" customWidth="1"/>
    <col min="5397" max="5397" width="29.42578125" style="1" customWidth="1"/>
    <col min="5398" max="5642" width="8.85546875" style="1"/>
    <col min="5643" max="5643" width="4" style="1" customWidth="1"/>
    <col min="5644" max="5644" width="59.7109375" style="1" customWidth="1"/>
    <col min="5645" max="5645" width="4.85546875" style="1" customWidth="1"/>
    <col min="5646" max="5646" width="9" style="1" customWidth="1"/>
    <col min="5647" max="5647" width="15.85546875" style="1" customWidth="1"/>
    <col min="5648" max="5648" width="15.7109375" style="1" customWidth="1"/>
    <col min="5649" max="5649" width="15.42578125" style="1" customWidth="1"/>
    <col min="5650" max="5650" width="17.140625" style="1" customWidth="1"/>
    <col min="5651" max="5651" width="37.85546875" style="1" customWidth="1"/>
    <col min="5652" max="5652" width="36.5703125" style="1" customWidth="1"/>
    <col min="5653" max="5653" width="29.42578125" style="1" customWidth="1"/>
    <col min="5654" max="5898" width="8.85546875" style="1"/>
    <col min="5899" max="5899" width="4" style="1" customWidth="1"/>
    <col min="5900" max="5900" width="59.7109375" style="1" customWidth="1"/>
    <col min="5901" max="5901" width="4.85546875" style="1" customWidth="1"/>
    <col min="5902" max="5902" width="9" style="1" customWidth="1"/>
    <col min="5903" max="5903" width="15.85546875" style="1" customWidth="1"/>
    <col min="5904" max="5904" width="15.7109375" style="1" customWidth="1"/>
    <col min="5905" max="5905" width="15.42578125" style="1" customWidth="1"/>
    <col min="5906" max="5906" width="17.140625" style="1" customWidth="1"/>
    <col min="5907" max="5907" width="37.85546875" style="1" customWidth="1"/>
    <col min="5908" max="5908" width="36.5703125" style="1" customWidth="1"/>
    <col min="5909" max="5909" width="29.42578125" style="1" customWidth="1"/>
    <col min="5910" max="6154" width="8.85546875" style="1"/>
    <col min="6155" max="6155" width="4" style="1" customWidth="1"/>
    <col min="6156" max="6156" width="59.7109375" style="1" customWidth="1"/>
    <col min="6157" max="6157" width="4.85546875" style="1" customWidth="1"/>
    <col min="6158" max="6158" width="9" style="1" customWidth="1"/>
    <col min="6159" max="6159" width="15.85546875" style="1" customWidth="1"/>
    <col min="6160" max="6160" width="15.7109375" style="1" customWidth="1"/>
    <col min="6161" max="6161" width="15.42578125" style="1" customWidth="1"/>
    <col min="6162" max="6162" width="17.140625" style="1" customWidth="1"/>
    <col min="6163" max="6163" width="37.85546875" style="1" customWidth="1"/>
    <col min="6164" max="6164" width="36.5703125" style="1" customWidth="1"/>
    <col min="6165" max="6165" width="29.42578125" style="1" customWidth="1"/>
    <col min="6166" max="6410" width="8.85546875" style="1"/>
    <col min="6411" max="6411" width="4" style="1" customWidth="1"/>
    <col min="6412" max="6412" width="59.7109375" style="1" customWidth="1"/>
    <col min="6413" max="6413" width="4.85546875" style="1" customWidth="1"/>
    <col min="6414" max="6414" width="9" style="1" customWidth="1"/>
    <col min="6415" max="6415" width="15.85546875" style="1" customWidth="1"/>
    <col min="6416" max="6416" width="15.7109375" style="1" customWidth="1"/>
    <col min="6417" max="6417" width="15.42578125" style="1" customWidth="1"/>
    <col min="6418" max="6418" width="17.140625" style="1" customWidth="1"/>
    <col min="6419" max="6419" width="37.85546875" style="1" customWidth="1"/>
    <col min="6420" max="6420" width="36.5703125" style="1" customWidth="1"/>
    <col min="6421" max="6421" width="29.42578125" style="1" customWidth="1"/>
    <col min="6422" max="6666" width="8.85546875" style="1"/>
    <col min="6667" max="6667" width="4" style="1" customWidth="1"/>
    <col min="6668" max="6668" width="59.7109375" style="1" customWidth="1"/>
    <col min="6669" max="6669" width="4.85546875" style="1" customWidth="1"/>
    <col min="6670" max="6670" width="9" style="1" customWidth="1"/>
    <col min="6671" max="6671" width="15.85546875" style="1" customWidth="1"/>
    <col min="6672" max="6672" width="15.7109375" style="1" customWidth="1"/>
    <col min="6673" max="6673" width="15.42578125" style="1" customWidth="1"/>
    <col min="6674" max="6674" width="17.140625" style="1" customWidth="1"/>
    <col min="6675" max="6675" width="37.85546875" style="1" customWidth="1"/>
    <col min="6676" max="6676" width="36.5703125" style="1" customWidth="1"/>
    <col min="6677" max="6677" width="29.42578125" style="1" customWidth="1"/>
    <col min="6678" max="6922" width="8.85546875" style="1"/>
    <col min="6923" max="6923" width="4" style="1" customWidth="1"/>
    <col min="6924" max="6924" width="59.7109375" style="1" customWidth="1"/>
    <col min="6925" max="6925" width="4.85546875" style="1" customWidth="1"/>
    <col min="6926" max="6926" width="9" style="1" customWidth="1"/>
    <col min="6927" max="6927" width="15.85546875" style="1" customWidth="1"/>
    <col min="6928" max="6928" width="15.7109375" style="1" customWidth="1"/>
    <col min="6929" max="6929" width="15.42578125" style="1" customWidth="1"/>
    <col min="6930" max="6930" width="17.140625" style="1" customWidth="1"/>
    <col min="6931" max="6931" width="37.85546875" style="1" customWidth="1"/>
    <col min="6932" max="6932" width="36.5703125" style="1" customWidth="1"/>
    <col min="6933" max="6933" width="29.42578125" style="1" customWidth="1"/>
    <col min="6934" max="7178" width="8.85546875" style="1"/>
    <col min="7179" max="7179" width="4" style="1" customWidth="1"/>
    <col min="7180" max="7180" width="59.7109375" style="1" customWidth="1"/>
    <col min="7181" max="7181" width="4.85546875" style="1" customWidth="1"/>
    <col min="7182" max="7182" width="9" style="1" customWidth="1"/>
    <col min="7183" max="7183" width="15.85546875" style="1" customWidth="1"/>
    <col min="7184" max="7184" width="15.7109375" style="1" customWidth="1"/>
    <col min="7185" max="7185" width="15.42578125" style="1" customWidth="1"/>
    <col min="7186" max="7186" width="17.140625" style="1" customWidth="1"/>
    <col min="7187" max="7187" width="37.85546875" style="1" customWidth="1"/>
    <col min="7188" max="7188" width="36.5703125" style="1" customWidth="1"/>
    <col min="7189" max="7189" width="29.42578125" style="1" customWidth="1"/>
    <col min="7190" max="7434" width="8.85546875" style="1"/>
    <col min="7435" max="7435" width="4" style="1" customWidth="1"/>
    <col min="7436" max="7436" width="59.7109375" style="1" customWidth="1"/>
    <col min="7437" max="7437" width="4.85546875" style="1" customWidth="1"/>
    <col min="7438" max="7438" width="9" style="1" customWidth="1"/>
    <col min="7439" max="7439" width="15.85546875" style="1" customWidth="1"/>
    <col min="7440" max="7440" width="15.7109375" style="1" customWidth="1"/>
    <col min="7441" max="7441" width="15.42578125" style="1" customWidth="1"/>
    <col min="7442" max="7442" width="17.140625" style="1" customWidth="1"/>
    <col min="7443" max="7443" width="37.85546875" style="1" customWidth="1"/>
    <col min="7444" max="7444" width="36.5703125" style="1" customWidth="1"/>
    <col min="7445" max="7445" width="29.42578125" style="1" customWidth="1"/>
    <col min="7446" max="7690" width="8.85546875" style="1"/>
    <col min="7691" max="7691" width="4" style="1" customWidth="1"/>
    <col min="7692" max="7692" width="59.7109375" style="1" customWidth="1"/>
    <col min="7693" max="7693" width="4.85546875" style="1" customWidth="1"/>
    <col min="7694" max="7694" width="9" style="1" customWidth="1"/>
    <col min="7695" max="7695" width="15.85546875" style="1" customWidth="1"/>
    <col min="7696" max="7696" width="15.7109375" style="1" customWidth="1"/>
    <col min="7697" max="7697" width="15.42578125" style="1" customWidth="1"/>
    <col min="7698" max="7698" width="17.140625" style="1" customWidth="1"/>
    <col min="7699" max="7699" width="37.85546875" style="1" customWidth="1"/>
    <col min="7700" max="7700" width="36.5703125" style="1" customWidth="1"/>
    <col min="7701" max="7701" width="29.42578125" style="1" customWidth="1"/>
    <col min="7702" max="7946" width="8.85546875" style="1"/>
    <col min="7947" max="7947" width="4" style="1" customWidth="1"/>
    <col min="7948" max="7948" width="59.7109375" style="1" customWidth="1"/>
    <col min="7949" max="7949" width="4.85546875" style="1" customWidth="1"/>
    <col min="7950" max="7950" width="9" style="1" customWidth="1"/>
    <col min="7951" max="7951" width="15.85546875" style="1" customWidth="1"/>
    <col min="7952" max="7952" width="15.7109375" style="1" customWidth="1"/>
    <col min="7953" max="7953" width="15.42578125" style="1" customWidth="1"/>
    <col min="7954" max="7954" width="17.140625" style="1" customWidth="1"/>
    <col min="7955" max="7955" width="37.85546875" style="1" customWidth="1"/>
    <col min="7956" max="7956" width="36.5703125" style="1" customWidth="1"/>
    <col min="7957" max="7957" width="29.42578125" style="1" customWidth="1"/>
    <col min="7958" max="8202" width="8.85546875" style="1"/>
    <col min="8203" max="8203" width="4" style="1" customWidth="1"/>
    <col min="8204" max="8204" width="59.7109375" style="1" customWidth="1"/>
    <col min="8205" max="8205" width="4.85546875" style="1" customWidth="1"/>
    <col min="8206" max="8206" width="9" style="1" customWidth="1"/>
    <col min="8207" max="8207" width="15.85546875" style="1" customWidth="1"/>
    <col min="8208" max="8208" width="15.7109375" style="1" customWidth="1"/>
    <col min="8209" max="8209" width="15.42578125" style="1" customWidth="1"/>
    <col min="8210" max="8210" width="17.140625" style="1" customWidth="1"/>
    <col min="8211" max="8211" width="37.85546875" style="1" customWidth="1"/>
    <col min="8212" max="8212" width="36.5703125" style="1" customWidth="1"/>
    <col min="8213" max="8213" width="29.42578125" style="1" customWidth="1"/>
    <col min="8214" max="8458" width="8.85546875" style="1"/>
    <col min="8459" max="8459" width="4" style="1" customWidth="1"/>
    <col min="8460" max="8460" width="59.7109375" style="1" customWidth="1"/>
    <col min="8461" max="8461" width="4.85546875" style="1" customWidth="1"/>
    <col min="8462" max="8462" width="9" style="1" customWidth="1"/>
    <col min="8463" max="8463" width="15.85546875" style="1" customWidth="1"/>
    <col min="8464" max="8464" width="15.7109375" style="1" customWidth="1"/>
    <col min="8465" max="8465" width="15.42578125" style="1" customWidth="1"/>
    <col min="8466" max="8466" width="17.140625" style="1" customWidth="1"/>
    <col min="8467" max="8467" width="37.85546875" style="1" customWidth="1"/>
    <col min="8468" max="8468" width="36.5703125" style="1" customWidth="1"/>
    <col min="8469" max="8469" width="29.42578125" style="1" customWidth="1"/>
    <col min="8470" max="8714" width="8.85546875" style="1"/>
    <col min="8715" max="8715" width="4" style="1" customWidth="1"/>
    <col min="8716" max="8716" width="59.7109375" style="1" customWidth="1"/>
    <col min="8717" max="8717" width="4.85546875" style="1" customWidth="1"/>
    <col min="8718" max="8718" width="9" style="1" customWidth="1"/>
    <col min="8719" max="8719" width="15.85546875" style="1" customWidth="1"/>
    <col min="8720" max="8720" width="15.7109375" style="1" customWidth="1"/>
    <col min="8721" max="8721" width="15.42578125" style="1" customWidth="1"/>
    <col min="8722" max="8722" width="17.140625" style="1" customWidth="1"/>
    <col min="8723" max="8723" width="37.85546875" style="1" customWidth="1"/>
    <col min="8724" max="8724" width="36.5703125" style="1" customWidth="1"/>
    <col min="8725" max="8725" width="29.42578125" style="1" customWidth="1"/>
    <col min="8726" max="8970" width="8.85546875" style="1"/>
    <col min="8971" max="8971" width="4" style="1" customWidth="1"/>
    <col min="8972" max="8972" width="59.7109375" style="1" customWidth="1"/>
    <col min="8973" max="8973" width="4.85546875" style="1" customWidth="1"/>
    <col min="8974" max="8974" width="9" style="1" customWidth="1"/>
    <col min="8975" max="8975" width="15.85546875" style="1" customWidth="1"/>
    <col min="8976" max="8976" width="15.7109375" style="1" customWidth="1"/>
    <col min="8977" max="8977" width="15.42578125" style="1" customWidth="1"/>
    <col min="8978" max="8978" width="17.140625" style="1" customWidth="1"/>
    <col min="8979" max="8979" width="37.85546875" style="1" customWidth="1"/>
    <col min="8980" max="8980" width="36.5703125" style="1" customWidth="1"/>
    <col min="8981" max="8981" width="29.42578125" style="1" customWidth="1"/>
    <col min="8982" max="9226" width="8.85546875" style="1"/>
    <col min="9227" max="9227" width="4" style="1" customWidth="1"/>
    <col min="9228" max="9228" width="59.7109375" style="1" customWidth="1"/>
    <col min="9229" max="9229" width="4.85546875" style="1" customWidth="1"/>
    <col min="9230" max="9230" width="9" style="1" customWidth="1"/>
    <col min="9231" max="9231" width="15.85546875" style="1" customWidth="1"/>
    <col min="9232" max="9232" width="15.7109375" style="1" customWidth="1"/>
    <col min="9233" max="9233" width="15.42578125" style="1" customWidth="1"/>
    <col min="9234" max="9234" width="17.140625" style="1" customWidth="1"/>
    <col min="9235" max="9235" width="37.85546875" style="1" customWidth="1"/>
    <col min="9236" max="9236" width="36.5703125" style="1" customWidth="1"/>
    <col min="9237" max="9237" width="29.42578125" style="1" customWidth="1"/>
    <col min="9238" max="9482" width="8.85546875" style="1"/>
    <col min="9483" max="9483" width="4" style="1" customWidth="1"/>
    <col min="9484" max="9484" width="59.7109375" style="1" customWidth="1"/>
    <col min="9485" max="9485" width="4.85546875" style="1" customWidth="1"/>
    <col min="9486" max="9486" width="9" style="1" customWidth="1"/>
    <col min="9487" max="9487" width="15.85546875" style="1" customWidth="1"/>
    <col min="9488" max="9488" width="15.7109375" style="1" customWidth="1"/>
    <col min="9489" max="9489" width="15.42578125" style="1" customWidth="1"/>
    <col min="9490" max="9490" width="17.140625" style="1" customWidth="1"/>
    <col min="9491" max="9491" width="37.85546875" style="1" customWidth="1"/>
    <col min="9492" max="9492" width="36.5703125" style="1" customWidth="1"/>
    <col min="9493" max="9493" width="29.42578125" style="1" customWidth="1"/>
    <col min="9494" max="9738" width="8.85546875" style="1"/>
    <col min="9739" max="9739" width="4" style="1" customWidth="1"/>
    <col min="9740" max="9740" width="59.7109375" style="1" customWidth="1"/>
    <col min="9741" max="9741" width="4.85546875" style="1" customWidth="1"/>
    <col min="9742" max="9742" width="9" style="1" customWidth="1"/>
    <col min="9743" max="9743" width="15.85546875" style="1" customWidth="1"/>
    <col min="9744" max="9744" width="15.7109375" style="1" customWidth="1"/>
    <col min="9745" max="9745" width="15.42578125" style="1" customWidth="1"/>
    <col min="9746" max="9746" width="17.140625" style="1" customWidth="1"/>
    <col min="9747" max="9747" width="37.85546875" style="1" customWidth="1"/>
    <col min="9748" max="9748" width="36.5703125" style="1" customWidth="1"/>
    <col min="9749" max="9749" width="29.42578125" style="1" customWidth="1"/>
    <col min="9750" max="9994" width="8.85546875" style="1"/>
    <col min="9995" max="9995" width="4" style="1" customWidth="1"/>
    <col min="9996" max="9996" width="59.7109375" style="1" customWidth="1"/>
    <col min="9997" max="9997" width="4.85546875" style="1" customWidth="1"/>
    <col min="9998" max="9998" width="9" style="1" customWidth="1"/>
    <col min="9999" max="9999" width="15.85546875" style="1" customWidth="1"/>
    <col min="10000" max="10000" width="15.7109375" style="1" customWidth="1"/>
    <col min="10001" max="10001" width="15.42578125" style="1" customWidth="1"/>
    <col min="10002" max="10002" width="17.140625" style="1" customWidth="1"/>
    <col min="10003" max="10003" width="37.85546875" style="1" customWidth="1"/>
    <col min="10004" max="10004" width="36.5703125" style="1" customWidth="1"/>
    <col min="10005" max="10005" width="29.42578125" style="1" customWidth="1"/>
    <col min="10006" max="10250" width="8.85546875" style="1"/>
    <col min="10251" max="10251" width="4" style="1" customWidth="1"/>
    <col min="10252" max="10252" width="59.7109375" style="1" customWidth="1"/>
    <col min="10253" max="10253" width="4.85546875" style="1" customWidth="1"/>
    <col min="10254" max="10254" width="9" style="1" customWidth="1"/>
    <col min="10255" max="10255" width="15.85546875" style="1" customWidth="1"/>
    <col min="10256" max="10256" width="15.7109375" style="1" customWidth="1"/>
    <col min="10257" max="10257" width="15.42578125" style="1" customWidth="1"/>
    <col min="10258" max="10258" width="17.140625" style="1" customWidth="1"/>
    <col min="10259" max="10259" width="37.85546875" style="1" customWidth="1"/>
    <col min="10260" max="10260" width="36.5703125" style="1" customWidth="1"/>
    <col min="10261" max="10261" width="29.42578125" style="1" customWidth="1"/>
    <col min="10262" max="10506" width="8.85546875" style="1"/>
    <col min="10507" max="10507" width="4" style="1" customWidth="1"/>
    <col min="10508" max="10508" width="59.7109375" style="1" customWidth="1"/>
    <col min="10509" max="10509" width="4.85546875" style="1" customWidth="1"/>
    <col min="10510" max="10510" width="9" style="1" customWidth="1"/>
    <col min="10511" max="10511" width="15.85546875" style="1" customWidth="1"/>
    <col min="10512" max="10512" width="15.7109375" style="1" customWidth="1"/>
    <col min="10513" max="10513" width="15.42578125" style="1" customWidth="1"/>
    <col min="10514" max="10514" width="17.140625" style="1" customWidth="1"/>
    <col min="10515" max="10515" width="37.85546875" style="1" customWidth="1"/>
    <col min="10516" max="10516" width="36.5703125" style="1" customWidth="1"/>
    <col min="10517" max="10517" width="29.42578125" style="1" customWidth="1"/>
    <col min="10518" max="10762" width="8.85546875" style="1"/>
    <col min="10763" max="10763" width="4" style="1" customWidth="1"/>
    <col min="10764" max="10764" width="59.7109375" style="1" customWidth="1"/>
    <col min="10765" max="10765" width="4.85546875" style="1" customWidth="1"/>
    <col min="10766" max="10766" width="9" style="1" customWidth="1"/>
    <col min="10767" max="10767" width="15.85546875" style="1" customWidth="1"/>
    <col min="10768" max="10768" width="15.7109375" style="1" customWidth="1"/>
    <col min="10769" max="10769" width="15.42578125" style="1" customWidth="1"/>
    <col min="10770" max="10770" width="17.140625" style="1" customWidth="1"/>
    <col min="10771" max="10771" width="37.85546875" style="1" customWidth="1"/>
    <col min="10772" max="10772" width="36.5703125" style="1" customWidth="1"/>
    <col min="10773" max="10773" width="29.42578125" style="1" customWidth="1"/>
    <col min="10774" max="11018" width="8.85546875" style="1"/>
    <col min="11019" max="11019" width="4" style="1" customWidth="1"/>
    <col min="11020" max="11020" width="59.7109375" style="1" customWidth="1"/>
    <col min="11021" max="11021" width="4.85546875" style="1" customWidth="1"/>
    <col min="11022" max="11022" width="9" style="1" customWidth="1"/>
    <col min="11023" max="11023" width="15.85546875" style="1" customWidth="1"/>
    <col min="11024" max="11024" width="15.7109375" style="1" customWidth="1"/>
    <col min="11025" max="11025" width="15.42578125" style="1" customWidth="1"/>
    <col min="11026" max="11026" width="17.140625" style="1" customWidth="1"/>
    <col min="11027" max="11027" width="37.85546875" style="1" customWidth="1"/>
    <col min="11028" max="11028" width="36.5703125" style="1" customWidth="1"/>
    <col min="11029" max="11029" width="29.42578125" style="1" customWidth="1"/>
    <col min="11030" max="11274" width="8.85546875" style="1"/>
    <col min="11275" max="11275" width="4" style="1" customWidth="1"/>
    <col min="11276" max="11276" width="59.7109375" style="1" customWidth="1"/>
    <col min="11277" max="11277" width="4.85546875" style="1" customWidth="1"/>
    <col min="11278" max="11278" width="9" style="1" customWidth="1"/>
    <col min="11279" max="11279" width="15.85546875" style="1" customWidth="1"/>
    <col min="11280" max="11280" width="15.7109375" style="1" customWidth="1"/>
    <col min="11281" max="11281" width="15.42578125" style="1" customWidth="1"/>
    <col min="11282" max="11282" width="17.140625" style="1" customWidth="1"/>
    <col min="11283" max="11283" width="37.85546875" style="1" customWidth="1"/>
    <col min="11284" max="11284" width="36.5703125" style="1" customWidth="1"/>
    <col min="11285" max="11285" width="29.42578125" style="1" customWidth="1"/>
    <col min="11286" max="11530" width="8.85546875" style="1"/>
    <col min="11531" max="11531" width="4" style="1" customWidth="1"/>
    <col min="11532" max="11532" width="59.7109375" style="1" customWidth="1"/>
    <col min="11533" max="11533" width="4.85546875" style="1" customWidth="1"/>
    <col min="11534" max="11534" width="9" style="1" customWidth="1"/>
    <col min="11535" max="11535" width="15.85546875" style="1" customWidth="1"/>
    <col min="11536" max="11536" width="15.7109375" style="1" customWidth="1"/>
    <col min="11537" max="11537" width="15.42578125" style="1" customWidth="1"/>
    <col min="11538" max="11538" width="17.140625" style="1" customWidth="1"/>
    <col min="11539" max="11539" width="37.85546875" style="1" customWidth="1"/>
    <col min="11540" max="11540" width="36.5703125" style="1" customWidth="1"/>
    <col min="11541" max="11541" width="29.42578125" style="1" customWidth="1"/>
    <col min="11542" max="11786" width="8.85546875" style="1"/>
    <col min="11787" max="11787" width="4" style="1" customWidth="1"/>
    <col min="11788" max="11788" width="59.7109375" style="1" customWidth="1"/>
    <col min="11789" max="11789" width="4.85546875" style="1" customWidth="1"/>
    <col min="11790" max="11790" width="9" style="1" customWidth="1"/>
    <col min="11791" max="11791" width="15.85546875" style="1" customWidth="1"/>
    <col min="11792" max="11792" width="15.7109375" style="1" customWidth="1"/>
    <col min="11793" max="11793" width="15.42578125" style="1" customWidth="1"/>
    <col min="11794" max="11794" width="17.140625" style="1" customWidth="1"/>
    <col min="11795" max="11795" width="37.85546875" style="1" customWidth="1"/>
    <col min="11796" max="11796" width="36.5703125" style="1" customWidth="1"/>
    <col min="11797" max="11797" width="29.42578125" style="1" customWidth="1"/>
    <col min="11798" max="12042" width="8.85546875" style="1"/>
    <col min="12043" max="12043" width="4" style="1" customWidth="1"/>
    <col min="12044" max="12044" width="59.7109375" style="1" customWidth="1"/>
    <col min="12045" max="12045" width="4.85546875" style="1" customWidth="1"/>
    <col min="12046" max="12046" width="9" style="1" customWidth="1"/>
    <col min="12047" max="12047" width="15.85546875" style="1" customWidth="1"/>
    <col min="12048" max="12048" width="15.7109375" style="1" customWidth="1"/>
    <col min="12049" max="12049" width="15.42578125" style="1" customWidth="1"/>
    <col min="12050" max="12050" width="17.140625" style="1" customWidth="1"/>
    <col min="12051" max="12051" width="37.85546875" style="1" customWidth="1"/>
    <col min="12052" max="12052" width="36.5703125" style="1" customWidth="1"/>
    <col min="12053" max="12053" width="29.42578125" style="1" customWidth="1"/>
    <col min="12054" max="12298" width="8.85546875" style="1"/>
    <col min="12299" max="12299" width="4" style="1" customWidth="1"/>
    <col min="12300" max="12300" width="59.7109375" style="1" customWidth="1"/>
    <col min="12301" max="12301" width="4.85546875" style="1" customWidth="1"/>
    <col min="12302" max="12302" width="9" style="1" customWidth="1"/>
    <col min="12303" max="12303" width="15.85546875" style="1" customWidth="1"/>
    <col min="12304" max="12304" width="15.7109375" style="1" customWidth="1"/>
    <col min="12305" max="12305" width="15.42578125" style="1" customWidth="1"/>
    <col min="12306" max="12306" width="17.140625" style="1" customWidth="1"/>
    <col min="12307" max="12307" width="37.85546875" style="1" customWidth="1"/>
    <col min="12308" max="12308" width="36.5703125" style="1" customWidth="1"/>
    <col min="12309" max="12309" width="29.42578125" style="1" customWidth="1"/>
    <col min="12310" max="12554" width="8.85546875" style="1"/>
    <col min="12555" max="12555" width="4" style="1" customWidth="1"/>
    <col min="12556" max="12556" width="59.7109375" style="1" customWidth="1"/>
    <col min="12557" max="12557" width="4.85546875" style="1" customWidth="1"/>
    <col min="12558" max="12558" width="9" style="1" customWidth="1"/>
    <col min="12559" max="12559" width="15.85546875" style="1" customWidth="1"/>
    <col min="12560" max="12560" width="15.7109375" style="1" customWidth="1"/>
    <col min="12561" max="12561" width="15.42578125" style="1" customWidth="1"/>
    <col min="12562" max="12562" width="17.140625" style="1" customWidth="1"/>
    <col min="12563" max="12563" width="37.85546875" style="1" customWidth="1"/>
    <col min="12564" max="12564" width="36.5703125" style="1" customWidth="1"/>
    <col min="12565" max="12565" width="29.42578125" style="1" customWidth="1"/>
    <col min="12566" max="12810" width="8.85546875" style="1"/>
    <col min="12811" max="12811" width="4" style="1" customWidth="1"/>
    <col min="12812" max="12812" width="59.7109375" style="1" customWidth="1"/>
    <col min="12813" max="12813" width="4.85546875" style="1" customWidth="1"/>
    <col min="12814" max="12814" width="9" style="1" customWidth="1"/>
    <col min="12815" max="12815" width="15.85546875" style="1" customWidth="1"/>
    <col min="12816" max="12816" width="15.7109375" style="1" customWidth="1"/>
    <col min="12817" max="12817" width="15.42578125" style="1" customWidth="1"/>
    <col min="12818" max="12818" width="17.140625" style="1" customWidth="1"/>
    <col min="12819" max="12819" width="37.85546875" style="1" customWidth="1"/>
    <col min="12820" max="12820" width="36.5703125" style="1" customWidth="1"/>
    <col min="12821" max="12821" width="29.42578125" style="1" customWidth="1"/>
    <col min="12822" max="13066" width="8.85546875" style="1"/>
    <col min="13067" max="13067" width="4" style="1" customWidth="1"/>
    <col min="13068" max="13068" width="59.7109375" style="1" customWidth="1"/>
    <col min="13069" max="13069" width="4.85546875" style="1" customWidth="1"/>
    <col min="13070" max="13070" width="9" style="1" customWidth="1"/>
    <col min="13071" max="13071" width="15.85546875" style="1" customWidth="1"/>
    <col min="13072" max="13072" width="15.7109375" style="1" customWidth="1"/>
    <col min="13073" max="13073" width="15.42578125" style="1" customWidth="1"/>
    <col min="13074" max="13074" width="17.140625" style="1" customWidth="1"/>
    <col min="13075" max="13075" width="37.85546875" style="1" customWidth="1"/>
    <col min="13076" max="13076" width="36.5703125" style="1" customWidth="1"/>
    <col min="13077" max="13077" width="29.42578125" style="1" customWidth="1"/>
    <col min="13078" max="13322" width="8.85546875" style="1"/>
    <col min="13323" max="13323" width="4" style="1" customWidth="1"/>
    <col min="13324" max="13324" width="59.7109375" style="1" customWidth="1"/>
    <col min="13325" max="13325" width="4.85546875" style="1" customWidth="1"/>
    <col min="13326" max="13326" width="9" style="1" customWidth="1"/>
    <col min="13327" max="13327" width="15.85546875" style="1" customWidth="1"/>
    <col min="13328" max="13328" width="15.7109375" style="1" customWidth="1"/>
    <col min="13329" max="13329" width="15.42578125" style="1" customWidth="1"/>
    <col min="13330" max="13330" width="17.140625" style="1" customWidth="1"/>
    <col min="13331" max="13331" width="37.85546875" style="1" customWidth="1"/>
    <col min="13332" max="13332" width="36.5703125" style="1" customWidth="1"/>
    <col min="13333" max="13333" width="29.42578125" style="1" customWidth="1"/>
    <col min="13334" max="13578" width="8.85546875" style="1"/>
    <col min="13579" max="13579" width="4" style="1" customWidth="1"/>
    <col min="13580" max="13580" width="59.7109375" style="1" customWidth="1"/>
    <col min="13581" max="13581" width="4.85546875" style="1" customWidth="1"/>
    <col min="13582" max="13582" width="9" style="1" customWidth="1"/>
    <col min="13583" max="13583" width="15.85546875" style="1" customWidth="1"/>
    <col min="13584" max="13584" width="15.7109375" style="1" customWidth="1"/>
    <col min="13585" max="13585" width="15.42578125" style="1" customWidth="1"/>
    <col min="13586" max="13586" width="17.140625" style="1" customWidth="1"/>
    <col min="13587" max="13587" width="37.85546875" style="1" customWidth="1"/>
    <col min="13588" max="13588" width="36.5703125" style="1" customWidth="1"/>
    <col min="13589" max="13589" width="29.42578125" style="1" customWidth="1"/>
    <col min="13590" max="13834" width="8.85546875" style="1"/>
    <col min="13835" max="13835" width="4" style="1" customWidth="1"/>
    <col min="13836" max="13836" width="59.7109375" style="1" customWidth="1"/>
    <col min="13837" max="13837" width="4.85546875" style="1" customWidth="1"/>
    <col min="13838" max="13838" width="9" style="1" customWidth="1"/>
    <col min="13839" max="13839" width="15.85546875" style="1" customWidth="1"/>
    <col min="13840" max="13840" width="15.7109375" style="1" customWidth="1"/>
    <col min="13841" max="13841" width="15.42578125" style="1" customWidth="1"/>
    <col min="13842" max="13842" width="17.140625" style="1" customWidth="1"/>
    <col min="13843" max="13843" width="37.85546875" style="1" customWidth="1"/>
    <col min="13844" max="13844" width="36.5703125" style="1" customWidth="1"/>
    <col min="13845" max="13845" width="29.42578125" style="1" customWidth="1"/>
    <col min="13846" max="14090" width="8.85546875" style="1"/>
    <col min="14091" max="14091" width="4" style="1" customWidth="1"/>
    <col min="14092" max="14092" width="59.7109375" style="1" customWidth="1"/>
    <col min="14093" max="14093" width="4.85546875" style="1" customWidth="1"/>
    <col min="14094" max="14094" width="9" style="1" customWidth="1"/>
    <col min="14095" max="14095" width="15.85546875" style="1" customWidth="1"/>
    <col min="14096" max="14096" width="15.7109375" style="1" customWidth="1"/>
    <col min="14097" max="14097" width="15.42578125" style="1" customWidth="1"/>
    <col min="14098" max="14098" width="17.140625" style="1" customWidth="1"/>
    <col min="14099" max="14099" width="37.85546875" style="1" customWidth="1"/>
    <col min="14100" max="14100" width="36.5703125" style="1" customWidth="1"/>
    <col min="14101" max="14101" width="29.42578125" style="1" customWidth="1"/>
    <col min="14102" max="14346" width="8.85546875" style="1"/>
    <col min="14347" max="14347" width="4" style="1" customWidth="1"/>
    <col min="14348" max="14348" width="59.7109375" style="1" customWidth="1"/>
    <col min="14349" max="14349" width="4.85546875" style="1" customWidth="1"/>
    <col min="14350" max="14350" width="9" style="1" customWidth="1"/>
    <col min="14351" max="14351" width="15.85546875" style="1" customWidth="1"/>
    <col min="14352" max="14352" width="15.7109375" style="1" customWidth="1"/>
    <col min="14353" max="14353" width="15.42578125" style="1" customWidth="1"/>
    <col min="14354" max="14354" width="17.140625" style="1" customWidth="1"/>
    <col min="14355" max="14355" width="37.85546875" style="1" customWidth="1"/>
    <col min="14356" max="14356" width="36.5703125" style="1" customWidth="1"/>
    <col min="14357" max="14357" width="29.42578125" style="1" customWidth="1"/>
    <col min="14358" max="14602" width="8.85546875" style="1"/>
    <col min="14603" max="14603" width="4" style="1" customWidth="1"/>
    <col min="14604" max="14604" width="59.7109375" style="1" customWidth="1"/>
    <col min="14605" max="14605" width="4.85546875" style="1" customWidth="1"/>
    <col min="14606" max="14606" width="9" style="1" customWidth="1"/>
    <col min="14607" max="14607" width="15.85546875" style="1" customWidth="1"/>
    <col min="14608" max="14608" width="15.7109375" style="1" customWidth="1"/>
    <col min="14609" max="14609" width="15.42578125" style="1" customWidth="1"/>
    <col min="14610" max="14610" width="17.140625" style="1" customWidth="1"/>
    <col min="14611" max="14611" width="37.85546875" style="1" customWidth="1"/>
    <col min="14612" max="14612" width="36.5703125" style="1" customWidth="1"/>
    <col min="14613" max="14613" width="29.42578125" style="1" customWidth="1"/>
    <col min="14614" max="14858" width="8.85546875" style="1"/>
    <col min="14859" max="14859" width="4" style="1" customWidth="1"/>
    <col min="14860" max="14860" width="59.7109375" style="1" customWidth="1"/>
    <col min="14861" max="14861" width="4.85546875" style="1" customWidth="1"/>
    <col min="14862" max="14862" width="9" style="1" customWidth="1"/>
    <col min="14863" max="14863" width="15.85546875" style="1" customWidth="1"/>
    <col min="14864" max="14864" width="15.7109375" style="1" customWidth="1"/>
    <col min="14865" max="14865" width="15.42578125" style="1" customWidth="1"/>
    <col min="14866" max="14866" width="17.140625" style="1" customWidth="1"/>
    <col min="14867" max="14867" width="37.85546875" style="1" customWidth="1"/>
    <col min="14868" max="14868" width="36.5703125" style="1" customWidth="1"/>
    <col min="14869" max="14869" width="29.42578125" style="1" customWidth="1"/>
    <col min="14870" max="15114" width="8.85546875" style="1"/>
    <col min="15115" max="15115" width="4" style="1" customWidth="1"/>
    <col min="15116" max="15116" width="59.7109375" style="1" customWidth="1"/>
    <col min="15117" max="15117" width="4.85546875" style="1" customWidth="1"/>
    <col min="15118" max="15118" width="9" style="1" customWidth="1"/>
    <col min="15119" max="15119" width="15.85546875" style="1" customWidth="1"/>
    <col min="15120" max="15120" width="15.7109375" style="1" customWidth="1"/>
    <col min="15121" max="15121" width="15.42578125" style="1" customWidth="1"/>
    <col min="15122" max="15122" width="17.140625" style="1" customWidth="1"/>
    <col min="15123" max="15123" width="37.85546875" style="1" customWidth="1"/>
    <col min="15124" max="15124" width="36.5703125" style="1" customWidth="1"/>
    <col min="15125" max="15125" width="29.42578125" style="1" customWidth="1"/>
    <col min="15126" max="15370" width="8.85546875" style="1"/>
    <col min="15371" max="15371" width="4" style="1" customWidth="1"/>
    <col min="15372" max="15372" width="59.7109375" style="1" customWidth="1"/>
    <col min="15373" max="15373" width="4.85546875" style="1" customWidth="1"/>
    <col min="15374" max="15374" width="9" style="1" customWidth="1"/>
    <col min="15375" max="15375" width="15.85546875" style="1" customWidth="1"/>
    <col min="15376" max="15376" width="15.7109375" style="1" customWidth="1"/>
    <col min="15377" max="15377" width="15.42578125" style="1" customWidth="1"/>
    <col min="15378" max="15378" width="17.140625" style="1" customWidth="1"/>
    <col min="15379" max="15379" width="37.85546875" style="1" customWidth="1"/>
    <col min="15380" max="15380" width="36.5703125" style="1" customWidth="1"/>
    <col min="15381" max="15381" width="29.42578125" style="1" customWidth="1"/>
    <col min="15382" max="15626" width="8.85546875" style="1"/>
    <col min="15627" max="15627" width="4" style="1" customWidth="1"/>
    <col min="15628" max="15628" width="59.7109375" style="1" customWidth="1"/>
    <col min="15629" max="15629" width="4.85546875" style="1" customWidth="1"/>
    <col min="15630" max="15630" width="9" style="1" customWidth="1"/>
    <col min="15631" max="15631" width="15.85546875" style="1" customWidth="1"/>
    <col min="15632" max="15632" width="15.7109375" style="1" customWidth="1"/>
    <col min="15633" max="15633" width="15.42578125" style="1" customWidth="1"/>
    <col min="15634" max="15634" width="17.140625" style="1" customWidth="1"/>
    <col min="15635" max="15635" width="37.85546875" style="1" customWidth="1"/>
    <col min="15636" max="15636" width="36.5703125" style="1" customWidth="1"/>
    <col min="15637" max="15637" width="29.42578125" style="1" customWidth="1"/>
    <col min="15638" max="15882" width="8.85546875" style="1"/>
    <col min="15883" max="15883" width="4" style="1" customWidth="1"/>
    <col min="15884" max="15884" width="59.7109375" style="1" customWidth="1"/>
    <col min="15885" max="15885" width="4.85546875" style="1" customWidth="1"/>
    <col min="15886" max="15886" width="9" style="1" customWidth="1"/>
    <col min="15887" max="15887" width="15.85546875" style="1" customWidth="1"/>
    <col min="15888" max="15888" width="15.7109375" style="1" customWidth="1"/>
    <col min="15889" max="15889" width="15.42578125" style="1" customWidth="1"/>
    <col min="15890" max="15890" width="17.140625" style="1" customWidth="1"/>
    <col min="15891" max="15891" width="37.85546875" style="1" customWidth="1"/>
    <col min="15892" max="15892" width="36.5703125" style="1" customWidth="1"/>
    <col min="15893" max="15893" width="29.42578125" style="1" customWidth="1"/>
    <col min="15894" max="16138" width="8.85546875" style="1"/>
    <col min="16139" max="16139" width="4" style="1" customWidth="1"/>
    <col min="16140" max="16140" width="59.7109375" style="1" customWidth="1"/>
    <col min="16141" max="16141" width="4.85546875" style="1" customWidth="1"/>
    <col min="16142" max="16142" width="9" style="1" customWidth="1"/>
    <col min="16143" max="16143" width="15.85546875" style="1" customWidth="1"/>
    <col min="16144" max="16144" width="15.7109375" style="1" customWidth="1"/>
    <col min="16145" max="16145" width="15.42578125" style="1" customWidth="1"/>
    <col min="16146" max="16146" width="17.140625" style="1" customWidth="1"/>
    <col min="16147" max="16147" width="37.85546875" style="1" customWidth="1"/>
    <col min="16148" max="16148" width="36.5703125" style="1" customWidth="1"/>
    <col min="16149" max="16149" width="29.42578125" style="1" customWidth="1"/>
    <col min="16150" max="16384" width="8.85546875" style="1"/>
  </cols>
  <sheetData>
    <row r="1" spans="1:26" ht="22.15" customHeight="1">
      <c r="G1" s="93">
        <v>46027</v>
      </c>
      <c r="H1" s="93">
        <v>46027</v>
      </c>
      <c r="M1" s="12">
        <v>46030</v>
      </c>
      <c r="N1" s="12">
        <v>46030</v>
      </c>
      <c r="O1" s="9" t="s">
        <v>99</v>
      </c>
      <c r="P1" s="9" t="s">
        <v>100</v>
      </c>
      <c r="U1" s="12">
        <v>46034</v>
      </c>
      <c r="V1" s="12">
        <v>46034</v>
      </c>
      <c r="W1" s="105" t="s">
        <v>99</v>
      </c>
      <c r="X1" s="105" t="s">
        <v>100</v>
      </c>
    </row>
    <row r="2" spans="1:26" ht="30" customHeight="1">
      <c r="A2"/>
      <c r="B2" s="69" t="s">
        <v>0</v>
      </c>
      <c r="C2" s="78" t="s">
        <v>1</v>
      </c>
      <c r="D2" s="79" t="s">
        <v>2</v>
      </c>
      <c r="E2" s="80" t="s">
        <v>3</v>
      </c>
      <c r="F2" s="80" t="s">
        <v>4</v>
      </c>
      <c r="G2" s="92" t="s">
        <v>5</v>
      </c>
      <c r="H2" s="92" t="s">
        <v>6</v>
      </c>
      <c r="I2" s="13" t="s">
        <v>1</v>
      </c>
      <c r="J2" s="7" t="s">
        <v>2</v>
      </c>
      <c r="K2" s="2" t="s">
        <v>3</v>
      </c>
      <c r="L2" s="2" t="s">
        <v>4</v>
      </c>
      <c r="M2" s="3" t="s">
        <v>5</v>
      </c>
      <c r="N2" s="3" t="s">
        <v>6</v>
      </c>
      <c r="O2" s="74"/>
      <c r="P2" s="74"/>
      <c r="Q2" s="13" t="s">
        <v>1</v>
      </c>
      <c r="R2" s="7" t="s">
        <v>2</v>
      </c>
      <c r="S2" s="2" t="s">
        <v>3</v>
      </c>
      <c r="T2" s="2" t="s">
        <v>4</v>
      </c>
      <c r="U2" s="3" t="s">
        <v>5</v>
      </c>
      <c r="V2" s="3" t="s">
        <v>6</v>
      </c>
      <c r="W2" s="74"/>
      <c r="X2" s="74"/>
    </row>
    <row r="3" spans="1:26" ht="22.15" hidden="1" customHeight="1">
      <c r="A3"/>
      <c r="B3" s="70" t="s">
        <v>7</v>
      </c>
      <c r="C3" s="81" t="s">
        <v>8</v>
      </c>
      <c r="D3" s="82">
        <v>124</v>
      </c>
      <c r="E3" s="83">
        <v>45254</v>
      </c>
      <c r="F3" s="83">
        <v>45299</v>
      </c>
      <c r="G3" s="43">
        <f t="shared" ref="G3:G37" si="0">IFERROR((F3-$G$1)/(F3-E3)*100,"")</f>
        <v>-1617.7777777777778</v>
      </c>
      <c r="H3" s="43">
        <f t="shared" ref="H3:H37" si="1">F3-$H$1</f>
        <v>-728</v>
      </c>
      <c r="I3" s="14" t="s">
        <v>8</v>
      </c>
      <c r="J3" s="15">
        <v>124</v>
      </c>
      <c r="K3" s="16">
        <v>45254</v>
      </c>
      <c r="L3" s="16">
        <v>45299</v>
      </c>
      <c r="M3" s="4">
        <f t="shared" ref="M3:M37" si="2">IFERROR((L3-$G$1)/(L3-K3)*100,"")</f>
        <v>-1617.7777777777778</v>
      </c>
      <c r="N3" s="4">
        <f t="shared" ref="N3:N37" si="3">L3-$H$1</f>
        <v>-728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1:26" ht="22.15" hidden="1" customHeight="1">
      <c r="A4"/>
      <c r="B4" s="70" t="s">
        <v>9</v>
      </c>
      <c r="C4" s="81" t="s">
        <v>8</v>
      </c>
      <c r="D4" s="82">
        <v>115</v>
      </c>
      <c r="E4" s="83">
        <v>45254</v>
      </c>
      <c r="F4" s="83">
        <v>45299</v>
      </c>
      <c r="G4" s="43">
        <f t="shared" si="0"/>
        <v>-1617.7777777777778</v>
      </c>
      <c r="H4" s="43">
        <f t="shared" si="1"/>
        <v>-728</v>
      </c>
      <c r="I4" s="14" t="s">
        <v>8</v>
      </c>
      <c r="J4" s="15">
        <v>115</v>
      </c>
      <c r="K4" s="16">
        <v>45254</v>
      </c>
      <c r="L4" s="16">
        <v>45299</v>
      </c>
      <c r="M4" s="4">
        <f t="shared" si="2"/>
        <v>-1617.7777777777778</v>
      </c>
      <c r="N4" s="4">
        <f t="shared" si="3"/>
        <v>-728</v>
      </c>
      <c r="O4" s="99" t="s">
        <v>10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spans="1:26" ht="22.15" hidden="1" customHeight="1">
      <c r="A5"/>
      <c r="B5" s="70" t="s">
        <v>11</v>
      </c>
      <c r="C5" s="81" t="s">
        <v>8</v>
      </c>
      <c r="D5" s="82">
        <v>54</v>
      </c>
      <c r="E5" s="84">
        <v>45256</v>
      </c>
      <c r="F5" s="84">
        <v>45301</v>
      </c>
      <c r="G5" s="43">
        <f t="shared" si="0"/>
        <v>-1613.3333333333333</v>
      </c>
      <c r="H5" s="43">
        <f t="shared" si="1"/>
        <v>-726</v>
      </c>
      <c r="I5" s="14" t="s">
        <v>8</v>
      </c>
      <c r="J5" s="15">
        <v>54</v>
      </c>
      <c r="K5" s="17">
        <v>45256</v>
      </c>
      <c r="L5" s="17">
        <v>45301</v>
      </c>
      <c r="M5" s="4">
        <f t="shared" si="2"/>
        <v>-1613.3333333333333</v>
      </c>
      <c r="N5" s="4">
        <f t="shared" si="3"/>
        <v>-726</v>
      </c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spans="1:26" ht="22.15" hidden="1" customHeight="1">
      <c r="A6"/>
      <c r="B6" s="70" t="s">
        <v>12</v>
      </c>
      <c r="C6" s="81" t="s">
        <v>8</v>
      </c>
      <c r="D6" s="82">
        <v>65</v>
      </c>
      <c r="E6" s="84">
        <v>45268</v>
      </c>
      <c r="F6" s="84">
        <v>45303</v>
      </c>
      <c r="G6" s="43">
        <f t="shared" si="0"/>
        <v>-2068.5714285714289</v>
      </c>
      <c r="H6" s="43">
        <f t="shared" si="1"/>
        <v>-724</v>
      </c>
      <c r="I6" s="14" t="s">
        <v>8</v>
      </c>
      <c r="J6" s="15">
        <v>65</v>
      </c>
      <c r="K6" s="17">
        <v>45268</v>
      </c>
      <c r="L6" s="17">
        <v>45303</v>
      </c>
      <c r="M6" s="4">
        <f t="shared" si="2"/>
        <v>-2068.5714285714289</v>
      </c>
      <c r="N6" s="4">
        <f t="shared" si="3"/>
        <v>-724</v>
      </c>
      <c r="O6" s="73"/>
      <c r="P6" s="73"/>
      <c r="Q6" s="14" t="s">
        <v>8</v>
      </c>
      <c r="R6" s="15">
        <v>65</v>
      </c>
      <c r="S6" s="17">
        <v>45268</v>
      </c>
      <c r="T6" s="17">
        <v>45303</v>
      </c>
      <c r="U6" s="4">
        <f t="shared" ref="U6" si="4">IFERROR((T6-$G$1)/(T6-S6)*100,"")</f>
        <v>-2068.5714285714289</v>
      </c>
      <c r="V6" s="4">
        <f t="shared" ref="V6" si="5">T6-$H$1</f>
        <v>-724</v>
      </c>
      <c r="W6" s="73"/>
      <c r="X6" s="73"/>
      <c r="Y6" s="5"/>
      <c r="Z6" s="5"/>
    </row>
    <row r="7" spans="1:26" ht="22.15" hidden="1" customHeight="1">
      <c r="A7"/>
      <c r="B7" s="70" t="s">
        <v>13</v>
      </c>
      <c r="C7" s="81" t="s">
        <v>8</v>
      </c>
      <c r="D7" s="82">
        <v>32</v>
      </c>
      <c r="E7" s="84">
        <v>45269</v>
      </c>
      <c r="F7" s="84">
        <v>45304</v>
      </c>
      <c r="G7" s="43">
        <f t="shared" si="0"/>
        <v>-2065.7142857142858</v>
      </c>
      <c r="H7" s="43">
        <f t="shared" si="1"/>
        <v>-723</v>
      </c>
      <c r="I7" s="14" t="s">
        <v>8</v>
      </c>
      <c r="J7" s="15">
        <v>32</v>
      </c>
      <c r="K7" s="17">
        <v>45269</v>
      </c>
      <c r="L7" s="17">
        <v>45304</v>
      </c>
      <c r="M7" s="4">
        <f t="shared" si="2"/>
        <v>-2065.7142857142858</v>
      </c>
      <c r="N7" s="4">
        <f t="shared" si="3"/>
        <v>-723</v>
      </c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spans="1:26" ht="22.15" hidden="1" customHeight="1">
      <c r="A8"/>
      <c r="B8" s="70" t="s">
        <v>14</v>
      </c>
      <c r="C8" s="81" t="s">
        <v>15</v>
      </c>
      <c r="D8" s="82">
        <v>217.8</v>
      </c>
      <c r="E8" s="84">
        <v>45275</v>
      </c>
      <c r="F8" s="84">
        <v>45305</v>
      </c>
      <c r="G8" s="43">
        <f t="shared" si="0"/>
        <v>-2406.6666666666665</v>
      </c>
      <c r="H8" s="43">
        <f t="shared" si="1"/>
        <v>-722</v>
      </c>
      <c r="I8" s="14" t="s">
        <v>15</v>
      </c>
      <c r="J8" s="15">
        <v>217.8</v>
      </c>
      <c r="K8" s="17">
        <v>45275</v>
      </c>
      <c r="L8" s="17">
        <v>45305</v>
      </c>
      <c r="M8" s="4">
        <f t="shared" si="2"/>
        <v>-2406.6666666666665</v>
      </c>
      <c r="N8" s="4">
        <f t="shared" si="3"/>
        <v>-722</v>
      </c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spans="1:26" ht="22.15" hidden="1" customHeight="1">
      <c r="A9"/>
      <c r="B9" s="70" t="s">
        <v>16</v>
      </c>
      <c r="C9" s="81" t="s">
        <v>15</v>
      </c>
      <c r="D9" s="82">
        <v>68.8</v>
      </c>
      <c r="E9" s="84">
        <v>45265</v>
      </c>
      <c r="F9" s="84">
        <v>45305</v>
      </c>
      <c r="G9" s="43">
        <f t="shared" si="0"/>
        <v>-1805</v>
      </c>
      <c r="H9" s="43">
        <f t="shared" si="1"/>
        <v>-722</v>
      </c>
      <c r="I9" s="14" t="s">
        <v>15</v>
      </c>
      <c r="J9" s="15">
        <v>68.8</v>
      </c>
      <c r="K9" s="17">
        <v>45265</v>
      </c>
      <c r="L9" s="17">
        <v>45305</v>
      </c>
      <c r="M9" s="4">
        <f t="shared" si="2"/>
        <v>-1805</v>
      </c>
      <c r="N9" s="4">
        <f t="shared" si="3"/>
        <v>-722</v>
      </c>
      <c r="O9" s="99" t="s">
        <v>17</v>
      </c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spans="1:26" ht="22.15" hidden="1" customHeight="1">
      <c r="A10"/>
      <c r="B10" s="70" t="s">
        <v>18</v>
      </c>
      <c r="C10" s="81" t="s">
        <v>15</v>
      </c>
      <c r="D10" s="82">
        <v>42.16</v>
      </c>
      <c r="E10" s="84">
        <v>45260</v>
      </c>
      <c r="F10" s="84">
        <v>45305</v>
      </c>
      <c r="G10" s="43">
        <f t="shared" si="0"/>
        <v>-1604.4444444444443</v>
      </c>
      <c r="H10" s="43">
        <f t="shared" si="1"/>
        <v>-722</v>
      </c>
      <c r="I10" s="14" t="s">
        <v>15</v>
      </c>
      <c r="J10" s="15">
        <v>42.16</v>
      </c>
      <c r="K10" s="17">
        <v>45260</v>
      </c>
      <c r="L10" s="17">
        <v>45305</v>
      </c>
      <c r="M10" s="4">
        <f t="shared" si="2"/>
        <v>-1604.4444444444443</v>
      </c>
      <c r="N10" s="4">
        <f t="shared" si="3"/>
        <v>-722</v>
      </c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spans="1:26" ht="22.15" hidden="1" customHeight="1">
      <c r="A11"/>
      <c r="B11" s="70" t="s">
        <v>19</v>
      </c>
      <c r="C11" s="81" t="s">
        <v>15</v>
      </c>
      <c r="D11" s="82">
        <v>205.58</v>
      </c>
      <c r="E11" s="84">
        <v>45276</v>
      </c>
      <c r="F11" s="84">
        <v>45306</v>
      </c>
      <c r="G11" s="43">
        <f t="shared" si="0"/>
        <v>-2403.3333333333335</v>
      </c>
      <c r="H11" s="43">
        <f t="shared" si="1"/>
        <v>-721</v>
      </c>
      <c r="I11" s="14" t="s">
        <v>15</v>
      </c>
      <c r="J11" s="15">
        <v>205.58</v>
      </c>
      <c r="K11" s="17">
        <v>45276</v>
      </c>
      <c r="L11" s="17">
        <v>45306</v>
      </c>
      <c r="M11" s="4">
        <f t="shared" si="2"/>
        <v>-2403.3333333333335</v>
      </c>
      <c r="N11" s="4">
        <f t="shared" si="3"/>
        <v>-721</v>
      </c>
      <c r="Q11" s="14" t="s">
        <v>15</v>
      </c>
      <c r="R11" s="15">
        <v>205.58</v>
      </c>
      <c r="S11" s="17">
        <v>45276</v>
      </c>
      <c r="T11" s="17">
        <v>45306</v>
      </c>
      <c r="U11" s="4">
        <f t="shared" ref="U11:U37" si="6">IFERROR((T11-$G$1)/(T11-S11)*100,"")</f>
        <v>-2403.3333333333335</v>
      </c>
      <c r="V11" s="4">
        <f t="shared" ref="V11:V37" si="7">T11-$H$1</f>
        <v>-721</v>
      </c>
    </row>
    <row r="12" spans="1:26" ht="22.15" hidden="1" customHeight="1">
      <c r="A12"/>
      <c r="B12" s="70" t="s">
        <v>20</v>
      </c>
      <c r="C12" s="81" t="s">
        <v>15</v>
      </c>
      <c r="D12" s="82">
        <v>12</v>
      </c>
      <c r="E12" s="84">
        <v>45256</v>
      </c>
      <c r="F12" s="84">
        <v>45306</v>
      </c>
      <c r="G12" s="43">
        <f t="shared" si="0"/>
        <v>-1442</v>
      </c>
      <c r="H12" s="43">
        <f t="shared" si="1"/>
        <v>-721</v>
      </c>
      <c r="I12" s="14" t="s">
        <v>15</v>
      </c>
      <c r="J12" s="15">
        <v>12</v>
      </c>
      <c r="K12" s="17">
        <v>45256</v>
      </c>
      <c r="L12" s="17">
        <v>45306</v>
      </c>
      <c r="M12" s="4">
        <f t="shared" si="2"/>
        <v>-1442</v>
      </c>
      <c r="N12" s="4">
        <f t="shared" si="3"/>
        <v>-721</v>
      </c>
      <c r="Q12" s="14" t="s">
        <v>15</v>
      </c>
      <c r="R12" s="15">
        <v>12</v>
      </c>
      <c r="S12" s="17">
        <v>45256</v>
      </c>
      <c r="T12" s="17">
        <v>45306</v>
      </c>
      <c r="U12" s="4">
        <f t="shared" si="6"/>
        <v>-1442</v>
      </c>
      <c r="V12" s="4">
        <f t="shared" si="7"/>
        <v>-721</v>
      </c>
    </row>
    <row r="13" spans="1:26" ht="22.15" hidden="1" customHeight="1">
      <c r="A13"/>
      <c r="B13" s="70" t="s">
        <v>21</v>
      </c>
      <c r="C13" s="81" t="s">
        <v>15</v>
      </c>
      <c r="D13" s="82">
        <v>89.266999999999996</v>
      </c>
      <c r="E13" s="84">
        <v>45276</v>
      </c>
      <c r="F13" s="84">
        <v>45306</v>
      </c>
      <c r="G13" s="43">
        <f t="shared" si="0"/>
        <v>-2403.3333333333335</v>
      </c>
      <c r="H13" s="43">
        <f t="shared" si="1"/>
        <v>-721</v>
      </c>
      <c r="I13" s="14" t="s">
        <v>15</v>
      </c>
      <c r="J13" s="15">
        <v>89.266999999999996</v>
      </c>
      <c r="K13" s="17">
        <v>45276</v>
      </c>
      <c r="L13" s="17">
        <v>45306</v>
      </c>
      <c r="M13" s="4">
        <f t="shared" si="2"/>
        <v>-2403.3333333333335</v>
      </c>
      <c r="N13" s="4">
        <f t="shared" si="3"/>
        <v>-721</v>
      </c>
      <c r="Q13" s="14" t="s">
        <v>15</v>
      </c>
      <c r="R13" s="15">
        <v>89.266999999999996</v>
      </c>
      <c r="S13" s="17">
        <v>45276</v>
      </c>
      <c r="T13" s="17">
        <v>45306</v>
      </c>
      <c r="U13" s="4">
        <f t="shared" si="6"/>
        <v>-2403.3333333333335</v>
      </c>
      <c r="V13" s="4">
        <f t="shared" si="7"/>
        <v>-721</v>
      </c>
    </row>
    <row r="14" spans="1:26" ht="22.15" hidden="1" customHeight="1">
      <c r="A14"/>
      <c r="B14" s="70" t="s">
        <v>22</v>
      </c>
      <c r="C14" s="81" t="s">
        <v>15</v>
      </c>
      <c r="D14" s="82">
        <v>57.1</v>
      </c>
      <c r="E14" s="84">
        <v>45229</v>
      </c>
      <c r="F14" s="84">
        <v>45306</v>
      </c>
      <c r="G14" s="43">
        <f t="shared" si="0"/>
        <v>-936.36363636363637</v>
      </c>
      <c r="H14" s="43">
        <f t="shared" si="1"/>
        <v>-721</v>
      </c>
      <c r="I14" s="14" t="s">
        <v>15</v>
      </c>
      <c r="J14" s="15">
        <v>57.1</v>
      </c>
      <c r="K14" s="17">
        <v>45229</v>
      </c>
      <c r="L14" s="17">
        <v>45306</v>
      </c>
      <c r="M14" s="4">
        <f t="shared" si="2"/>
        <v>-936.36363636363637</v>
      </c>
      <c r="N14" s="4">
        <f t="shared" si="3"/>
        <v>-721</v>
      </c>
      <c r="Q14" s="14" t="s">
        <v>15</v>
      </c>
      <c r="R14" s="15">
        <v>57.1</v>
      </c>
      <c r="S14" s="17">
        <v>45229</v>
      </c>
      <c r="T14" s="17">
        <v>45306</v>
      </c>
      <c r="U14" s="4">
        <f t="shared" si="6"/>
        <v>-936.36363636363637</v>
      </c>
      <c r="V14" s="4">
        <f t="shared" si="7"/>
        <v>-721</v>
      </c>
    </row>
    <row r="15" spans="1:26" ht="22.15" hidden="1" customHeight="1">
      <c r="A15"/>
      <c r="B15" s="70" t="s">
        <v>23</v>
      </c>
      <c r="C15" s="81" t="s">
        <v>15</v>
      </c>
      <c r="D15" s="82">
        <v>159.1</v>
      </c>
      <c r="E15" s="84">
        <v>45262</v>
      </c>
      <c r="F15" s="84">
        <v>45307</v>
      </c>
      <c r="G15" s="43">
        <f t="shared" si="0"/>
        <v>-1600</v>
      </c>
      <c r="H15" s="43">
        <f t="shared" si="1"/>
        <v>-720</v>
      </c>
      <c r="I15" s="14" t="s">
        <v>15</v>
      </c>
      <c r="J15" s="15">
        <v>159.1</v>
      </c>
      <c r="K15" s="17">
        <v>45262</v>
      </c>
      <c r="L15" s="17">
        <v>45307</v>
      </c>
      <c r="M15" s="4">
        <f t="shared" si="2"/>
        <v>-1600</v>
      </c>
      <c r="N15" s="4">
        <f t="shared" si="3"/>
        <v>-720</v>
      </c>
      <c r="Q15" s="14" t="s">
        <v>15</v>
      </c>
      <c r="R15" s="15">
        <v>159.1</v>
      </c>
      <c r="S15" s="17">
        <v>45262</v>
      </c>
      <c r="T15" s="17">
        <v>45307</v>
      </c>
      <c r="U15" s="4">
        <f t="shared" si="6"/>
        <v>-1600</v>
      </c>
      <c r="V15" s="4">
        <f t="shared" si="7"/>
        <v>-720</v>
      </c>
    </row>
    <row r="16" spans="1:26" ht="22.15" hidden="1" customHeight="1">
      <c r="A16"/>
      <c r="B16" s="70" t="s">
        <v>24</v>
      </c>
      <c r="C16" s="81" t="s">
        <v>15</v>
      </c>
      <c r="D16" s="82">
        <v>218.5</v>
      </c>
      <c r="E16" s="84">
        <v>45277</v>
      </c>
      <c r="F16" s="84">
        <v>45307</v>
      </c>
      <c r="G16" s="43">
        <f t="shared" si="0"/>
        <v>-2400</v>
      </c>
      <c r="H16" s="43">
        <f t="shared" si="1"/>
        <v>-720</v>
      </c>
      <c r="I16" s="14" t="s">
        <v>15</v>
      </c>
      <c r="J16" s="15">
        <v>218.5</v>
      </c>
      <c r="K16" s="17">
        <v>45277</v>
      </c>
      <c r="L16" s="17">
        <v>45307</v>
      </c>
      <c r="M16" s="4">
        <f t="shared" si="2"/>
        <v>-2400</v>
      </c>
      <c r="N16" s="4">
        <f t="shared" si="3"/>
        <v>-720</v>
      </c>
      <c r="Q16" s="14" t="s">
        <v>15</v>
      </c>
      <c r="R16" s="15">
        <v>218.5</v>
      </c>
      <c r="S16" s="17">
        <v>45277</v>
      </c>
      <c r="T16" s="17">
        <v>45307</v>
      </c>
      <c r="U16" s="4">
        <f t="shared" si="6"/>
        <v>-2400</v>
      </c>
      <c r="V16" s="4">
        <f t="shared" si="7"/>
        <v>-720</v>
      </c>
    </row>
    <row r="17" spans="1:22" ht="22.15" hidden="1" customHeight="1">
      <c r="A17"/>
      <c r="B17" s="70" t="s">
        <v>25</v>
      </c>
      <c r="C17" s="81" t="s">
        <v>15</v>
      </c>
      <c r="D17" s="82">
        <v>187.7</v>
      </c>
      <c r="E17" s="84">
        <v>45267</v>
      </c>
      <c r="F17" s="84">
        <v>45307</v>
      </c>
      <c r="G17" s="43">
        <f t="shared" si="0"/>
        <v>-1800</v>
      </c>
      <c r="H17" s="43">
        <f t="shared" si="1"/>
        <v>-720</v>
      </c>
      <c r="I17" s="14" t="s">
        <v>15</v>
      </c>
      <c r="J17" s="15">
        <v>187.7</v>
      </c>
      <c r="K17" s="17">
        <v>45267</v>
      </c>
      <c r="L17" s="17">
        <v>45307</v>
      </c>
      <c r="M17" s="4">
        <f t="shared" si="2"/>
        <v>-1800</v>
      </c>
      <c r="N17" s="4">
        <f t="shared" si="3"/>
        <v>-720</v>
      </c>
      <c r="Q17" s="14" t="s">
        <v>15</v>
      </c>
      <c r="R17" s="15">
        <v>187.7</v>
      </c>
      <c r="S17" s="17">
        <v>45267</v>
      </c>
      <c r="T17" s="17">
        <v>45307</v>
      </c>
      <c r="U17" s="4">
        <f t="shared" si="6"/>
        <v>-1800</v>
      </c>
      <c r="V17" s="4">
        <f t="shared" si="7"/>
        <v>-720</v>
      </c>
    </row>
    <row r="18" spans="1:22" ht="22.15" hidden="1" customHeight="1">
      <c r="A18"/>
      <c r="B18" s="70" t="s">
        <v>26</v>
      </c>
      <c r="C18" s="81" t="s">
        <v>8</v>
      </c>
      <c r="D18" s="82">
        <v>77</v>
      </c>
      <c r="E18" s="84">
        <v>45268</v>
      </c>
      <c r="F18" s="84">
        <v>45308</v>
      </c>
      <c r="G18" s="43">
        <f t="shared" si="0"/>
        <v>-1797.5000000000002</v>
      </c>
      <c r="H18" s="43">
        <f t="shared" si="1"/>
        <v>-719</v>
      </c>
      <c r="I18" s="14" t="s">
        <v>8</v>
      </c>
      <c r="J18" s="15">
        <v>77</v>
      </c>
      <c r="K18" s="17">
        <v>45268</v>
      </c>
      <c r="L18" s="17">
        <v>45308</v>
      </c>
      <c r="M18" s="4">
        <f t="shared" si="2"/>
        <v>-1797.5000000000002</v>
      </c>
      <c r="N18" s="4">
        <f t="shared" si="3"/>
        <v>-719</v>
      </c>
      <c r="Q18" s="14" t="s">
        <v>8</v>
      </c>
      <c r="R18" s="15">
        <v>77</v>
      </c>
      <c r="S18" s="17">
        <v>45268</v>
      </c>
      <c r="T18" s="17">
        <v>45308</v>
      </c>
      <c r="U18" s="4">
        <f t="shared" si="6"/>
        <v>-1797.5000000000002</v>
      </c>
      <c r="V18" s="4">
        <f t="shared" si="7"/>
        <v>-719</v>
      </c>
    </row>
    <row r="19" spans="1:22" ht="22.15" hidden="1" customHeight="1">
      <c r="A19"/>
      <c r="B19" s="70" t="s">
        <v>27</v>
      </c>
      <c r="C19" s="81" t="s">
        <v>8</v>
      </c>
      <c r="D19" s="82">
        <v>241</v>
      </c>
      <c r="E19" s="84">
        <v>45268</v>
      </c>
      <c r="F19" s="84">
        <v>45308</v>
      </c>
      <c r="G19" s="43">
        <f t="shared" si="0"/>
        <v>-1797.5000000000002</v>
      </c>
      <c r="H19" s="43">
        <f t="shared" si="1"/>
        <v>-719</v>
      </c>
      <c r="I19" s="14" t="s">
        <v>8</v>
      </c>
      <c r="J19" s="15">
        <v>241</v>
      </c>
      <c r="K19" s="17">
        <v>45268</v>
      </c>
      <c r="L19" s="17">
        <v>45308</v>
      </c>
      <c r="M19" s="4">
        <f t="shared" si="2"/>
        <v>-1797.5000000000002</v>
      </c>
      <c r="N19" s="4">
        <f t="shared" si="3"/>
        <v>-719</v>
      </c>
      <c r="Q19" s="14" t="s">
        <v>8</v>
      </c>
      <c r="R19" s="15">
        <v>241</v>
      </c>
      <c r="S19" s="17">
        <v>45268</v>
      </c>
      <c r="T19" s="17">
        <v>45308</v>
      </c>
      <c r="U19" s="4">
        <f t="shared" si="6"/>
        <v>-1797.5000000000002</v>
      </c>
      <c r="V19" s="4">
        <f t="shared" si="7"/>
        <v>-719</v>
      </c>
    </row>
    <row r="20" spans="1:22" ht="22.15" hidden="1" customHeight="1">
      <c r="A20"/>
      <c r="B20" s="70" t="s">
        <v>28</v>
      </c>
      <c r="C20" s="81" t="s">
        <v>8</v>
      </c>
      <c r="D20" s="82">
        <v>354</v>
      </c>
      <c r="E20" s="84">
        <v>45268</v>
      </c>
      <c r="F20" s="84">
        <v>45308</v>
      </c>
      <c r="G20" s="43">
        <f t="shared" si="0"/>
        <v>-1797.5000000000002</v>
      </c>
      <c r="H20" s="43">
        <f t="shared" si="1"/>
        <v>-719</v>
      </c>
      <c r="I20" s="14" t="s">
        <v>8</v>
      </c>
      <c r="J20" s="15">
        <v>354</v>
      </c>
      <c r="K20" s="17">
        <v>45268</v>
      </c>
      <c r="L20" s="17">
        <v>45308</v>
      </c>
      <c r="M20" s="4">
        <f t="shared" si="2"/>
        <v>-1797.5000000000002</v>
      </c>
      <c r="N20" s="4">
        <f t="shared" si="3"/>
        <v>-719</v>
      </c>
      <c r="Q20" s="14" t="s">
        <v>8</v>
      </c>
      <c r="R20" s="15">
        <v>354</v>
      </c>
      <c r="S20" s="17">
        <v>45268</v>
      </c>
      <c r="T20" s="17">
        <v>45308</v>
      </c>
      <c r="U20" s="4">
        <f t="shared" si="6"/>
        <v>-1797.5000000000002</v>
      </c>
      <c r="V20" s="4">
        <f t="shared" si="7"/>
        <v>-719</v>
      </c>
    </row>
    <row r="21" spans="1:22" ht="22.15" hidden="1" customHeight="1">
      <c r="A21"/>
      <c r="B21" s="70" t="s">
        <v>29</v>
      </c>
      <c r="C21" s="81" t="s">
        <v>8</v>
      </c>
      <c r="D21" s="82">
        <v>3</v>
      </c>
      <c r="E21" s="84">
        <v>45270</v>
      </c>
      <c r="F21" s="84">
        <v>45310</v>
      </c>
      <c r="G21" s="43">
        <f t="shared" si="0"/>
        <v>-1792.5</v>
      </c>
      <c r="H21" s="43">
        <f t="shared" si="1"/>
        <v>-717</v>
      </c>
      <c r="I21" s="14" t="s">
        <v>8</v>
      </c>
      <c r="J21" s="15">
        <v>3</v>
      </c>
      <c r="K21" s="17">
        <v>45270</v>
      </c>
      <c r="L21" s="17">
        <v>45310</v>
      </c>
      <c r="M21" s="4">
        <f t="shared" si="2"/>
        <v>-1792.5</v>
      </c>
      <c r="N21" s="4">
        <f t="shared" si="3"/>
        <v>-717</v>
      </c>
      <c r="Q21" s="14" t="s">
        <v>8</v>
      </c>
      <c r="R21" s="15">
        <v>3</v>
      </c>
      <c r="S21" s="17">
        <v>45270</v>
      </c>
      <c r="T21" s="17">
        <v>45310</v>
      </c>
      <c r="U21" s="4">
        <f t="shared" si="6"/>
        <v>-1792.5</v>
      </c>
      <c r="V21" s="4">
        <f t="shared" si="7"/>
        <v>-717</v>
      </c>
    </row>
    <row r="22" spans="1:22" ht="22.15" hidden="1" customHeight="1">
      <c r="A22"/>
      <c r="B22" s="70" t="s">
        <v>30</v>
      </c>
      <c r="C22" s="81" t="s">
        <v>8</v>
      </c>
      <c r="D22" s="82">
        <v>45</v>
      </c>
      <c r="E22" s="84">
        <v>45268</v>
      </c>
      <c r="F22" s="84">
        <v>45311</v>
      </c>
      <c r="G22" s="43">
        <f t="shared" si="0"/>
        <v>-1665.1162790697676</v>
      </c>
      <c r="H22" s="43">
        <f t="shared" si="1"/>
        <v>-716</v>
      </c>
      <c r="I22" s="14" t="s">
        <v>8</v>
      </c>
      <c r="J22" s="15">
        <v>45</v>
      </c>
      <c r="K22" s="17">
        <v>45268</v>
      </c>
      <c r="L22" s="17">
        <v>45311</v>
      </c>
      <c r="M22" s="4">
        <f t="shared" si="2"/>
        <v>-1665.1162790697676</v>
      </c>
      <c r="N22" s="4">
        <f t="shared" si="3"/>
        <v>-716</v>
      </c>
      <c r="Q22" s="14" t="s">
        <v>8</v>
      </c>
      <c r="R22" s="15">
        <v>45</v>
      </c>
      <c r="S22" s="17">
        <v>45268</v>
      </c>
      <c r="T22" s="17">
        <v>45311</v>
      </c>
      <c r="U22" s="4">
        <f t="shared" si="6"/>
        <v>-1665.1162790697676</v>
      </c>
      <c r="V22" s="4">
        <f t="shared" si="7"/>
        <v>-716</v>
      </c>
    </row>
    <row r="23" spans="1:22" ht="22.15" hidden="1" customHeight="1">
      <c r="A23"/>
      <c r="B23" s="70" t="s">
        <v>31</v>
      </c>
      <c r="C23" s="81" t="s">
        <v>15</v>
      </c>
      <c r="D23" s="82">
        <v>97.5</v>
      </c>
      <c r="E23" s="84">
        <v>45268</v>
      </c>
      <c r="F23" s="84">
        <v>45311</v>
      </c>
      <c r="G23" s="43">
        <f t="shared" si="0"/>
        <v>-1665.1162790697676</v>
      </c>
      <c r="H23" s="43">
        <f t="shared" si="1"/>
        <v>-716</v>
      </c>
      <c r="I23" s="14" t="s">
        <v>15</v>
      </c>
      <c r="J23" s="15">
        <v>97.5</v>
      </c>
      <c r="K23" s="17">
        <v>45268</v>
      </c>
      <c r="L23" s="17">
        <v>45311</v>
      </c>
      <c r="M23" s="4">
        <f t="shared" si="2"/>
        <v>-1665.1162790697676</v>
      </c>
      <c r="N23" s="4">
        <f t="shared" si="3"/>
        <v>-716</v>
      </c>
      <c r="Q23" s="14" t="s">
        <v>15</v>
      </c>
      <c r="R23" s="15">
        <v>97.5</v>
      </c>
      <c r="S23" s="17">
        <v>45268</v>
      </c>
      <c r="T23" s="17">
        <v>45311</v>
      </c>
      <c r="U23" s="4">
        <f t="shared" si="6"/>
        <v>-1665.1162790697676</v>
      </c>
      <c r="V23" s="4">
        <f t="shared" si="7"/>
        <v>-716</v>
      </c>
    </row>
    <row r="24" spans="1:22" ht="22.15" hidden="1" customHeight="1">
      <c r="A24"/>
      <c r="B24" s="70" t="s">
        <v>32</v>
      </c>
      <c r="C24" s="81" t="s">
        <v>15</v>
      </c>
      <c r="D24" s="82">
        <v>85.93</v>
      </c>
      <c r="E24" s="84">
        <v>45276</v>
      </c>
      <c r="F24" s="84">
        <v>45311</v>
      </c>
      <c r="G24" s="43">
        <f t="shared" si="0"/>
        <v>-2045.7142857142856</v>
      </c>
      <c r="H24" s="43">
        <f t="shared" si="1"/>
        <v>-716</v>
      </c>
      <c r="I24" s="14" t="s">
        <v>15</v>
      </c>
      <c r="J24" s="15">
        <v>85.93</v>
      </c>
      <c r="K24" s="17">
        <v>45276</v>
      </c>
      <c r="L24" s="17">
        <v>45311</v>
      </c>
      <c r="M24" s="4">
        <f t="shared" si="2"/>
        <v>-2045.7142857142856</v>
      </c>
      <c r="N24" s="4">
        <f t="shared" si="3"/>
        <v>-716</v>
      </c>
      <c r="Q24" s="14" t="s">
        <v>15</v>
      </c>
      <c r="R24" s="15">
        <v>85.93</v>
      </c>
      <c r="S24" s="17">
        <v>45276</v>
      </c>
      <c r="T24" s="17">
        <v>45311</v>
      </c>
      <c r="U24" s="4">
        <f t="shared" si="6"/>
        <v>-2045.7142857142856</v>
      </c>
      <c r="V24" s="4">
        <f t="shared" si="7"/>
        <v>-716</v>
      </c>
    </row>
    <row r="25" spans="1:22" ht="22.15" hidden="1" customHeight="1">
      <c r="A25"/>
      <c r="B25" s="70" t="s">
        <v>33</v>
      </c>
      <c r="C25" s="81" t="s">
        <v>15</v>
      </c>
      <c r="D25" s="82">
        <v>216.8</v>
      </c>
      <c r="E25" s="84">
        <v>45267</v>
      </c>
      <c r="F25" s="84">
        <v>45312</v>
      </c>
      <c r="G25" s="43">
        <f t="shared" si="0"/>
        <v>-1588.8888888888889</v>
      </c>
      <c r="H25" s="43">
        <f t="shared" si="1"/>
        <v>-715</v>
      </c>
      <c r="I25" s="14" t="s">
        <v>15</v>
      </c>
      <c r="J25" s="15">
        <v>216.8</v>
      </c>
      <c r="K25" s="17">
        <v>45267</v>
      </c>
      <c r="L25" s="17">
        <v>45312</v>
      </c>
      <c r="M25" s="4">
        <f t="shared" si="2"/>
        <v>-1588.8888888888889</v>
      </c>
      <c r="N25" s="4">
        <f t="shared" si="3"/>
        <v>-715</v>
      </c>
      <c r="Q25" s="14" t="s">
        <v>15</v>
      </c>
      <c r="R25" s="15">
        <v>216.8</v>
      </c>
      <c r="S25" s="17">
        <v>45267</v>
      </c>
      <c r="T25" s="17">
        <v>45312</v>
      </c>
      <c r="U25" s="4">
        <f t="shared" si="6"/>
        <v>-1588.8888888888889</v>
      </c>
      <c r="V25" s="4">
        <f t="shared" si="7"/>
        <v>-715</v>
      </c>
    </row>
    <row r="26" spans="1:22" ht="22.15" hidden="1" customHeight="1">
      <c r="A26"/>
      <c r="B26" s="70" t="s">
        <v>34</v>
      </c>
      <c r="C26" s="81" t="s">
        <v>15</v>
      </c>
      <c r="D26" s="82">
        <v>170.9</v>
      </c>
      <c r="E26" s="84">
        <v>45277</v>
      </c>
      <c r="F26" s="84">
        <v>45312</v>
      </c>
      <c r="G26" s="43">
        <f t="shared" si="0"/>
        <v>-2042.8571428571427</v>
      </c>
      <c r="H26" s="43">
        <f t="shared" si="1"/>
        <v>-715</v>
      </c>
      <c r="I26" s="14" t="s">
        <v>15</v>
      </c>
      <c r="J26" s="15">
        <v>170.9</v>
      </c>
      <c r="K26" s="17">
        <v>45277</v>
      </c>
      <c r="L26" s="17">
        <v>45312</v>
      </c>
      <c r="M26" s="4">
        <f t="shared" si="2"/>
        <v>-2042.8571428571427</v>
      </c>
      <c r="N26" s="4">
        <f t="shared" si="3"/>
        <v>-715</v>
      </c>
      <c r="Q26" s="14" t="s">
        <v>15</v>
      </c>
      <c r="R26" s="15">
        <v>170.9</v>
      </c>
      <c r="S26" s="17">
        <v>45277</v>
      </c>
      <c r="T26" s="17">
        <v>45312</v>
      </c>
      <c r="U26" s="4">
        <f t="shared" si="6"/>
        <v>-2042.8571428571427</v>
      </c>
      <c r="V26" s="4">
        <f t="shared" si="7"/>
        <v>-715</v>
      </c>
    </row>
    <row r="27" spans="1:22" ht="22.15" hidden="1" customHeight="1">
      <c r="A27"/>
      <c r="B27" s="70" t="s">
        <v>35</v>
      </c>
      <c r="C27" s="81" t="s">
        <v>15</v>
      </c>
      <c r="D27" s="82">
        <v>159.9</v>
      </c>
      <c r="E27" s="84">
        <v>45277</v>
      </c>
      <c r="F27" s="84">
        <v>45312</v>
      </c>
      <c r="G27" s="43">
        <f t="shared" si="0"/>
        <v>-2042.8571428571427</v>
      </c>
      <c r="H27" s="43">
        <f t="shared" si="1"/>
        <v>-715</v>
      </c>
      <c r="I27" s="14" t="s">
        <v>15</v>
      </c>
      <c r="J27" s="15">
        <v>159.9</v>
      </c>
      <c r="K27" s="17">
        <v>45277</v>
      </c>
      <c r="L27" s="17">
        <v>45312</v>
      </c>
      <c r="M27" s="4">
        <f t="shared" si="2"/>
        <v>-2042.8571428571427</v>
      </c>
      <c r="N27" s="4">
        <f t="shared" si="3"/>
        <v>-715</v>
      </c>
      <c r="Q27" s="14" t="s">
        <v>15</v>
      </c>
      <c r="R27" s="15">
        <v>159.9</v>
      </c>
      <c r="S27" s="17">
        <v>45277</v>
      </c>
      <c r="T27" s="17">
        <v>45312</v>
      </c>
      <c r="U27" s="4">
        <f t="shared" si="6"/>
        <v>-2042.8571428571427</v>
      </c>
      <c r="V27" s="4">
        <f t="shared" si="7"/>
        <v>-715</v>
      </c>
    </row>
    <row r="28" spans="1:22" ht="22.15" hidden="1" customHeight="1">
      <c r="A28"/>
      <c r="B28" s="70" t="s">
        <v>36</v>
      </c>
      <c r="C28" s="81" t="s">
        <v>15</v>
      </c>
      <c r="D28" s="82">
        <v>358.6</v>
      </c>
      <c r="E28" s="84">
        <v>45272</v>
      </c>
      <c r="F28" s="84">
        <v>45312</v>
      </c>
      <c r="G28" s="43">
        <f t="shared" si="0"/>
        <v>-1787.5</v>
      </c>
      <c r="H28" s="43">
        <f t="shared" si="1"/>
        <v>-715</v>
      </c>
      <c r="I28" s="14" t="s">
        <v>15</v>
      </c>
      <c r="J28" s="15">
        <v>358.6</v>
      </c>
      <c r="K28" s="17">
        <v>45272</v>
      </c>
      <c r="L28" s="17">
        <v>45312</v>
      </c>
      <c r="M28" s="4">
        <f t="shared" si="2"/>
        <v>-1787.5</v>
      </c>
      <c r="N28" s="4">
        <f t="shared" si="3"/>
        <v>-715</v>
      </c>
      <c r="Q28" s="14" t="s">
        <v>15</v>
      </c>
      <c r="R28" s="15">
        <v>358.6</v>
      </c>
      <c r="S28" s="17">
        <v>45272</v>
      </c>
      <c r="T28" s="17">
        <v>45312</v>
      </c>
      <c r="U28" s="4">
        <f t="shared" si="6"/>
        <v>-1787.5</v>
      </c>
      <c r="V28" s="4">
        <f t="shared" si="7"/>
        <v>-715</v>
      </c>
    </row>
    <row r="29" spans="1:22" ht="22.15" hidden="1" customHeight="1">
      <c r="A29"/>
      <c r="B29" s="70" t="s">
        <v>37</v>
      </c>
      <c r="C29" s="81" t="s">
        <v>8</v>
      </c>
      <c r="D29" s="82">
        <v>94</v>
      </c>
      <c r="E29" s="84">
        <v>45268</v>
      </c>
      <c r="F29" s="84">
        <v>45313</v>
      </c>
      <c r="G29" s="43">
        <f t="shared" si="0"/>
        <v>-1586.6666666666667</v>
      </c>
      <c r="H29" s="43">
        <f t="shared" si="1"/>
        <v>-714</v>
      </c>
      <c r="I29" s="14" t="s">
        <v>8</v>
      </c>
      <c r="J29" s="15">
        <v>94</v>
      </c>
      <c r="K29" s="17">
        <v>45268</v>
      </c>
      <c r="L29" s="17">
        <v>45313</v>
      </c>
      <c r="M29" s="4">
        <f t="shared" si="2"/>
        <v>-1586.6666666666667</v>
      </c>
      <c r="N29" s="4">
        <f t="shared" si="3"/>
        <v>-714</v>
      </c>
      <c r="Q29" s="14" t="s">
        <v>8</v>
      </c>
      <c r="R29" s="15">
        <v>94</v>
      </c>
      <c r="S29" s="17">
        <v>45268</v>
      </c>
      <c r="T29" s="17">
        <v>45313</v>
      </c>
      <c r="U29" s="4">
        <f t="shared" si="6"/>
        <v>-1586.6666666666667</v>
      </c>
      <c r="V29" s="4">
        <f t="shared" si="7"/>
        <v>-714</v>
      </c>
    </row>
    <row r="30" spans="1:22" ht="22.15" hidden="1" customHeight="1">
      <c r="A30"/>
      <c r="B30" s="70" t="s">
        <v>38</v>
      </c>
      <c r="C30" s="81" t="s">
        <v>8</v>
      </c>
      <c r="D30" s="82">
        <v>134</v>
      </c>
      <c r="E30" s="84">
        <v>45268</v>
      </c>
      <c r="F30" s="84">
        <v>45313</v>
      </c>
      <c r="G30" s="43">
        <f t="shared" si="0"/>
        <v>-1586.6666666666667</v>
      </c>
      <c r="H30" s="43">
        <f t="shared" si="1"/>
        <v>-714</v>
      </c>
      <c r="I30" s="14" t="s">
        <v>8</v>
      </c>
      <c r="J30" s="15">
        <v>134</v>
      </c>
      <c r="K30" s="17">
        <v>45268</v>
      </c>
      <c r="L30" s="17">
        <v>45313</v>
      </c>
      <c r="M30" s="4">
        <f t="shared" si="2"/>
        <v>-1586.6666666666667</v>
      </c>
      <c r="N30" s="4">
        <f t="shared" si="3"/>
        <v>-714</v>
      </c>
      <c r="Q30" s="14" t="s">
        <v>8</v>
      </c>
      <c r="R30" s="15">
        <v>134</v>
      </c>
      <c r="S30" s="17">
        <v>45268</v>
      </c>
      <c r="T30" s="17">
        <v>45313</v>
      </c>
      <c r="U30" s="4">
        <f t="shared" si="6"/>
        <v>-1586.6666666666667</v>
      </c>
      <c r="V30" s="4">
        <f t="shared" si="7"/>
        <v>-714</v>
      </c>
    </row>
    <row r="31" spans="1:22" ht="22.15" hidden="1" customHeight="1">
      <c r="A31"/>
      <c r="B31" s="70" t="s">
        <v>39</v>
      </c>
      <c r="C31" s="81" t="s">
        <v>8</v>
      </c>
      <c r="D31" s="82">
        <v>2</v>
      </c>
      <c r="E31" s="84">
        <v>45268</v>
      </c>
      <c r="F31" s="84">
        <v>45313</v>
      </c>
      <c r="G31" s="43">
        <f t="shared" si="0"/>
        <v>-1586.6666666666667</v>
      </c>
      <c r="H31" s="43">
        <f t="shared" si="1"/>
        <v>-714</v>
      </c>
      <c r="I31" s="14" t="s">
        <v>8</v>
      </c>
      <c r="J31" s="15">
        <v>2</v>
      </c>
      <c r="K31" s="17">
        <v>45268</v>
      </c>
      <c r="L31" s="17">
        <v>45313</v>
      </c>
      <c r="M31" s="4">
        <f t="shared" si="2"/>
        <v>-1586.6666666666667</v>
      </c>
      <c r="N31" s="4">
        <f t="shared" si="3"/>
        <v>-714</v>
      </c>
      <c r="Q31" s="14" t="s">
        <v>8</v>
      </c>
      <c r="R31" s="15">
        <v>2</v>
      </c>
      <c r="S31" s="17">
        <v>45268</v>
      </c>
      <c r="T31" s="17">
        <v>45313</v>
      </c>
      <c r="U31" s="4">
        <f t="shared" si="6"/>
        <v>-1586.6666666666667</v>
      </c>
      <c r="V31" s="4">
        <f t="shared" si="7"/>
        <v>-714</v>
      </c>
    </row>
    <row r="32" spans="1:22" ht="22.15" hidden="1" customHeight="1">
      <c r="A32"/>
      <c r="B32" s="70" t="s">
        <v>40</v>
      </c>
      <c r="C32" s="81" t="s">
        <v>15</v>
      </c>
      <c r="D32" s="82">
        <v>273.39999999999998</v>
      </c>
      <c r="E32" s="84">
        <v>45268</v>
      </c>
      <c r="F32" s="84">
        <v>45313</v>
      </c>
      <c r="G32" s="43">
        <f t="shared" si="0"/>
        <v>-1586.6666666666667</v>
      </c>
      <c r="H32" s="43">
        <f t="shared" si="1"/>
        <v>-714</v>
      </c>
      <c r="I32" s="14" t="s">
        <v>15</v>
      </c>
      <c r="J32" s="15">
        <v>273.39999999999998</v>
      </c>
      <c r="K32" s="17">
        <v>45268</v>
      </c>
      <c r="L32" s="17">
        <v>45313</v>
      </c>
      <c r="M32" s="4">
        <f t="shared" si="2"/>
        <v>-1586.6666666666667</v>
      </c>
      <c r="N32" s="4">
        <f t="shared" si="3"/>
        <v>-714</v>
      </c>
      <c r="Q32" s="14" t="s">
        <v>15</v>
      </c>
      <c r="R32" s="15">
        <v>273.39999999999998</v>
      </c>
      <c r="S32" s="17">
        <v>45268</v>
      </c>
      <c r="T32" s="17">
        <v>45313</v>
      </c>
      <c r="U32" s="4">
        <f t="shared" si="6"/>
        <v>-1586.6666666666667</v>
      </c>
      <c r="V32" s="4">
        <f t="shared" si="7"/>
        <v>-714</v>
      </c>
    </row>
    <row r="33" spans="1:22" ht="22.15" hidden="1" customHeight="1">
      <c r="A33"/>
      <c r="B33" s="70" t="s">
        <v>41</v>
      </c>
      <c r="C33" s="81" t="s">
        <v>15</v>
      </c>
      <c r="D33" s="82">
        <v>160.19999999999999</v>
      </c>
      <c r="E33" s="84">
        <v>45274</v>
      </c>
      <c r="F33" s="84">
        <v>45314</v>
      </c>
      <c r="G33" s="43">
        <f t="shared" si="0"/>
        <v>-1782.5</v>
      </c>
      <c r="H33" s="43">
        <f t="shared" si="1"/>
        <v>-713</v>
      </c>
      <c r="I33" s="14" t="s">
        <v>15</v>
      </c>
      <c r="J33" s="15">
        <v>160.19999999999999</v>
      </c>
      <c r="K33" s="17">
        <v>45274</v>
      </c>
      <c r="L33" s="17">
        <v>45314</v>
      </c>
      <c r="M33" s="4">
        <f t="shared" si="2"/>
        <v>-1782.5</v>
      </c>
      <c r="N33" s="4">
        <f t="shared" si="3"/>
        <v>-713</v>
      </c>
      <c r="Q33" s="14" t="s">
        <v>15</v>
      </c>
      <c r="R33" s="15">
        <v>160.19999999999999</v>
      </c>
      <c r="S33" s="17">
        <v>45274</v>
      </c>
      <c r="T33" s="17">
        <v>45314</v>
      </c>
      <c r="U33" s="4">
        <f t="shared" si="6"/>
        <v>-1782.5</v>
      </c>
      <c r="V33" s="4">
        <f t="shared" si="7"/>
        <v>-713</v>
      </c>
    </row>
    <row r="34" spans="1:22" ht="22.15" hidden="1" customHeight="1">
      <c r="A34"/>
      <c r="B34" s="70" t="s">
        <v>42</v>
      </c>
      <c r="C34" s="81" t="s">
        <v>15</v>
      </c>
      <c r="D34" s="82">
        <v>351.4</v>
      </c>
      <c r="E34" s="84">
        <v>45275</v>
      </c>
      <c r="F34" s="84">
        <v>45315</v>
      </c>
      <c r="G34" s="43">
        <f t="shared" si="0"/>
        <v>-1780</v>
      </c>
      <c r="H34" s="43">
        <f t="shared" si="1"/>
        <v>-712</v>
      </c>
      <c r="I34" s="14" t="s">
        <v>15</v>
      </c>
      <c r="J34" s="15">
        <v>351.4</v>
      </c>
      <c r="K34" s="17">
        <v>45275</v>
      </c>
      <c r="L34" s="17">
        <v>45315</v>
      </c>
      <c r="M34" s="4">
        <f t="shared" si="2"/>
        <v>-1780</v>
      </c>
      <c r="N34" s="4">
        <f t="shared" si="3"/>
        <v>-712</v>
      </c>
      <c r="Q34" s="14" t="s">
        <v>15</v>
      </c>
      <c r="R34" s="15">
        <v>351.4</v>
      </c>
      <c r="S34" s="17">
        <v>45275</v>
      </c>
      <c r="T34" s="17">
        <v>45315</v>
      </c>
      <c r="U34" s="4">
        <f t="shared" si="6"/>
        <v>-1780</v>
      </c>
      <c r="V34" s="4">
        <f t="shared" si="7"/>
        <v>-712</v>
      </c>
    </row>
    <row r="35" spans="1:22" ht="22.15" hidden="1" customHeight="1">
      <c r="A35"/>
      <c r="B35" s="70" t="s">
        <v>43</v>
      </c>
      <c r="C35" s="81" t="s">
        <v>15</v>
      </c>
      <c r="D35" s="82">
        <v>19.004000000000001</v>
      </c>
      <c r="E35" s="84">
        <v>45275</v>
      </c>
      <c r="F35" s="84">
        <v>45315</v>
      </c>
      <c r="G35" s="43">
        <f t="shared" si="0"/>
        <v>-1780</v>
      </c>
      <c r="H35" s="43">
        <f t="shared" si="1"/>
        <v>-712</v>
      </c>
      <c r="I35" s="14" t="s">
        <v>15</v>
      </c>
      <c r="J35" s="15">
        <v>19.004000000000001</v>
      </c>
      <c r="K35" s="17">
        <v>45275</v>
      </c>
      <c r="L35" s="17">
        <v>45315</v>
      </c>
      <c r="M35" s="4">
        <f t="shared" si="2"/>
        <v>-1780</v>
      </c>
      <c r="N35" s="4">
        <f t="shared" si="3"/>
        <v>-712</v>
      </c>
      <c r="Q35" s="14" t="s">
        <v>15</v>
      </c>
      <c r="R35" s="15">
        <v>19.004000000000001</v>
      </c>
      <c r="S35" s="17">
        <v>45275</v>
      </c>
      <c r="T35" s="17">
        <v>45315</v>
      </c>
      <c r="U35" s="4">
        <f t="shared" si="6"/>
        <v>-1780</v>
      </c>
      <c r="V35" s="4">
        <f t="shared" si="7"/>
        <v>-712</v>
      </c>
    </row>
    <row r="36" spans="1:22" ht="22.15" hidden="1" customHeight="1">
      <c r="A36"/>
      <c r="B36" s="70" t="s">
        <v>44</v>
      </c>
      <c r="C36" s="81" t="s">
        <v>15</v>
      </c>
      <c r="D36" s="82">
        <v>6.56</v>
      </c>
      <c r="E36" s="84"/>
      <c r="F36" s="84"/>
      <c r="G36" s="43" t="str">
        <f t="shared" si="0"/>
        <v/>
      </c>
      <c r="H36" s="43">
        <f t="shared" si="1"/>
        <v>-46027</v>
      </c>
      <c r="I36" s="14" t="s">
        <v>15</v>
      </c>
      <c r="J36" s="15">
        <v>6.56</v>
      </c>
      <c r="K36" s="17"/>
      <c r="L36" s="17"/>
      <c r="M36" s="4" t="str">
        <f t="shared" si="2"/>
        <v/>
      </c>
      <c r="N36" s="4">
        <f t="shared" si="3"/>
        <v>-46027</v>
      </c>
      <c r="Q36" s="14" t="s">
        <v>15</v>
      </c>
      <c r="R36" s="15">
        <v>6.56</v>
      </c>
      <c r="S36" s="17"/>
      <c r="T36" s="17"/>
      <c r="U36" s="4" t="str">
        <f t="shared" si="6"/>
        <v/>
      </c>
      <c r="V36" s="4">
        <f t="shared" si="7"/>
        <v>-46027</v>
      </c>
    </row>
    <row r="37" spans="1:22" ht="22.15" hidden="1" customHeight="1">
      <c r="A37"/>
      <c r="B37" s="70" t="s">
        <v>45</v>
      </c>
      <c r="C37" s="81" t="s">
        <v>15</v>
      </c>
      <c r="D37" s="82">
        <v>115.69499999999999</v>
      </c>
      <c r="E37" s="84">
        <v>45276</v>
      </c>
      <c r="F37" s="84">
        <v>45316</v>
      </c>
      <c r="G37" s="43">
        <f t="shared" si="0"/>
        <v>-1777.4999999999998</v>
      </c>
      <c r="H37" s="43">
        <f t="shared" si="1"/>
        <v>-711</v>
      </c>
      <c r="I37" s="14" t="s">
        <v>15</v>
      </c>
      <c r="J37" s="15">
        <v>115.69499999999999</v>
      </c>
      <c r="K37" s="17">
        <v>45276</v>
      </c>
      <c r="L37" s="17">
        <v>45316</v>
      </c>
      <c r="M37" s="4">
        <f t="shared" si="2"/>
        <v>-1777.4999999999998</v>
      </c>
      <c r="N37" s="4">
        <f t="shared" si="3"/>
        <v>-711</v>
      </c>
      <c r="Q37" s="14" t="s">
        <v>15</v>
      </c>
      <c r="R37" s="15">
        <v>115.69499999999999</v>
      </c>
      <c r="S37" s="17">
        <v>45276</v>
      </c>
      <c r="T37" s="17">
        <v>45316</v>
      </c>
      <c r="U37" s="4">
        <f t="shared" si="6"/>
        <v>-1777.4999999999998</v>
      </c>
      <c r="V37" s="4">
        <f t="shared" si="7"/>
        <v>-711</v>
      </c>
    </row>
    <row r="38" spans="1:22" ht="22.15" hidden="1" customHeight="1">
      <c r="A38"/>
      <c r="B38" s="70" t="s">
        <v>46</v>
      </c>
      <c r="C38" s="81" t="s">
        <v>8</v>
      </c>
      <c r="D38" s="82">
        <v>234</v>
      </c>
      <c r="E38" s="84">
        <v>45260</v>
      </c>
      <c r="F38" s="84">
        <v>45320</v>
      </c>
      <c r="G38" s="43">
        <f>IFERROR((F38-$G$1)/(F38-E38)*100,"")</f>
        <v>-1178.3333333333333</v>
      </c>
      <c r="H38" s="43">
        <f>F38-$H$1</f>
        <v>-707</v>
      </c>
      <c r="I38" s="14" t="s">
        <v>8</v>
      </c>
      <c r="J38" s="15">
        <v>234</v>
      </c>
      <c r="K38" s="17">
        <v>45260</v>
      </c>
      <c r="L38" s="17">
        <v>45320</v>
      </c>
      <c r="M38" s="4">
        <f>IFERROR((L38-$G$1)/(L38-K38)*100,"")</f>
        <v>-1178.3333333333333</v>
      </c>
      <c r="N38" s="4">
        <f>L38-$H$1</f>
        <v>-707</v>
      </c>
      <c r="Q38" s="14" t="s">
        <v>8</v>
      </c>
      <c r="R38" s="15">
        <v>234</v>
      </c>
      <c r="S38" s="17">
        <v>45260</v>
      </c>
      <c r="T38" s="17">
        <v>45320</v>
      </c>
      <c r="U38" s="4">
        <f>IFERROR((T38-$G$1)/(T38-S38)*100,"")</f>
        <v>-1178.3333333333333</v>
      </c>
      <c r="V38" s="4">
        <f>T38-$H$1</f>
        <v>-707</v>
      </c>
    </row>
    <row r="39" spans="1:22" ht="22.15" hidden="1" customHeight="1">
      <c r="A39"/>
      <c r="B39" s="70" t="s">
        <v>47</v>
      </c>
      <c r="C39" s="81" t="s">
        <v>8</v>
      </c>
      <c r="D39" s="82">
        <v>480</v>
      </c>
      <c r="E39" s="84"/>
      <c r="F39" s="84"/>
      <c r="G39" s="43" t="str">
        <f t="shared" ref="G39:G82" si="8">IFERROR((F39-$G$1)/(F39-E39)*100,"")</f>
        <v/>
      </c>
      <c r="H39" s="43">
        <f t="shared" ref="H39:H71" si="9">F39-$H$1</f>
        <v>-46027</v>
      </c>
      <c r="I39" s="14" t="s">
        <v>8</v>
      </c>
      <c r="J39" s="15">
        <v>480</v>
      </c>
      <c r="K39" s="17"/>
      <c r="L39" s="17"/>
      <c r="M39" s="4" t="str">
        <f t="shared" ref="M39:M82" si="10">IFERROR((L39-$G$1)/(L39-K39)*100,"")</f>
        <v/>
      </c>
      <c r="N39" s="4">
        <f t="shared" ref="N39:N87" si="11">L39-$H$1</f>
        <v>-46027</v>
      </c>
      <c r="Q39" s="14" t="s">
        <v>8</v>
      </c>
      <c r="R39" s="15">
        <v>480</v>
      </c>
      <c r="S39" s="17"/>
      <c r="T39" s="17"/>
      <c r="U39" s="4" t="str">
        <f t="shared" ref="U39:U82" si="12">IFERROR((T39-$G$1)/(T39-S39)*100,"")</f>
        <v/>
      </c>
      <c r="V39" s="4">
        <f t="shared" ref="V39:V102" si="13">T39-$H$1</f>
        <v>-46027</v>
      </c>
    </row>
    <row r="40" spans="1:22" ht="22.15" hidden="1" customHeight="1">
      <c r="A40"/>
      <c r="B40" s="70" t="s">
        <v>48</v>
      </c>
      <c r="C40" s="81" t="s">
        <v>8</v>
      </c>
      <c r="D40" s="82">
        <v>480</v>
      </c>
      <c r="E40" s="84"/>
      <c r="F40" s="84"/>
      <c r="G40" s="43" t="str">
        <f t="shared" si="8"/>
        <v/>
      </c>
      <c r="H40" s="43">
        <f t="shared" si="9"/>
        <v>-46027</v>
      </c>
      <c r="I40" s="14" t="s">
        <v>8</v>
      </c>
      <c r="J40" s="15">
        <v>480</v>
      </c>
      <c r="K40" s="17"/>
      <c r="L40" s="17"/>
      <c r="M40" s="4" t="str">
        <f t="shared" si="10"/>
        <v/>
      </c>
      <c r="N40" s="4">
        <f t="shared" si="11"/>
        <v>-46027</v>
      </c>
      <c r="Q40" s="14" t="s">
        <v>8</v>
      </c>
      <c r="R40" s="15">
        <v>480</v>
      </c>
      <c r="S40" s="17"/>
      <c r="T40" s="17"/>
      <c r="U40" s="4" t="str">
        <f t="shared" si="12"/>
        <v/>
      </c>
      <c r="V40" s="4">
        <f t="shared" si="13"/>
        <v>-46027</v>
      </c>
    </row>
    <row r="41" spans="1:22" ht="22.15" hidden="1" customHeight="1">
      <c r="A41"/>
      <c r="B41" s="70" t="s">
        <v>49</v>
      </c>
      <c r="C41" s="81" t="s">
        <v>8</v>
      </c>
      <c r="D41" s="82">
        <v>2136</v>
      </c>
      <c r="E41" s="84"/>
      <c r="F41" s="84"/>
      <c r="G41" s="43" t="str">
        <f t="shared" si="8"/>
        <v/>
      </c>
      <c r="H41" s="43">
        <f t="shared" si="9"/>
        <v>-46027</v>
      </c>
      <c r="I41" s="14" t="s">
        <v>8</v>
      </c>
      <c r="J41" s="15">
        <v>2136</v>
      </c>
      <c r="K41" s="17"/>
      <c r="L41" s="17"/>
      <c r="M41" s="4" t="str">
        <f t="shared" si="10"/>
        <v/>
      </c>
      <c r="N41" s="4">
        <f t="shared" si="11"/>
        <v>-46027</v>
      </c>
      <c r="Q41" s="14" t="s">
        <v>8</v>
      </c>
      <c r="R41" s="15">
        <v>2136</v>
      </c>
      <c r="S41" s="17"/>
      <c r="T41" s="17"/>
      <c r="U41" s="4" t="str">
        <f t="shared" si="12"/>
        <v/>
      </c>
      <c r="V41" s="4">
        <f t="shared" si="13"/>
        <v>-46027</v>
      </c>
    </row>
    <row r="42" spans="1:22" ht="22.15" hidden="1" customHeight="1">
      <c r="A42"/>
      <c r="B42" s="70" t="s">
        <v>50</v>
      </c>
      <c r="C42" s="81" t="s">
        <v>8</v>
      </c>
      <c r="D42" s="82">
        <v>192</v>
      </c>
      <c r="E42" s="84"/>
      <c r="F42" s="84"/>
      <c r="G42" s="43" t="str">
        <f t="shared" si="8"/>
        <v/>
      </c>
      <c r="H42" s="43">
        <f t="shared" si="9"/>
        <v>-46027</v>
      </c>
      <c r="I42" s="14" t="s">
        <v>8</v>
      </c>
      <c r="J42" s="15">
        <v>192</v>
      </c>
      <c r="K42" s="17"/>
      <c r="L42" s="17"/>
      <c r="M42" s="4" t="str">
        <f t="shared" si="10"/>
        <v/>
      </c>
      <c r="N42" s="4">
        <f t="shared" si="11"/>
        <v>-46027</v>
      </c>
      <c r="Q42" s="14" t="s">
        <v>8</v>
      </c>
      <c r="R42" s="15">
        <v>192</v>
      </c>
      <c r="S42" s="17"/>
      <c r="T42" s="17"/>
      <c r="U42" s="4" t="str">
        <f t="shared" si="12"/>
        <v/>
      </c>
      <c r="V42" s="4">
        <f t="shared" si="13"/>
        <v>-46027</v>
      </c>
    </row>
    <row r="43" spans="1:22" ht="22.15" hidden="1" customHeight="1">
      <c r="A43"/>
      <c r="B43" s="70" t="s">
        <v>51</v>
      </c>
      <c r="C43" s="81" t="s">
        <v>8</v>
      </c>
      <c r="D43" s="82">
        <v>192</v>
      </c>
      <c r="E43" s="84"/>
      <c r="F43" s="84"/>
      <c r="G43" s="43" t="str">
        <f t="shared" si="8"/>
        <v/>
      </c>
      <c r="H43" s="43">
        <f t="shared" si="9"/>
        <v>-46027</v>
      </c>
      <c r="I43" s="14" t="s">
        <v>8</v>
      </c>
      <c r="J43" s="15">
        <v>192</v>
      </c>
      <c r="K43" s="17"/>
      <c r="L43" s="17"/>
      <c r="M43" s="4" t="str">
        <f t="shared" si="10"/>
        <v/>
      </c>
      <c r="N43" s="4">
        <f t="shared" si="11"/>
        <v>-46027</v>
      </c>
      <c r="Q43" s="14" t="s">
        <v>8</v>
      </c>
      <c r="R43" s="15">
        <v>192</v>
      </c>
      <c r="S43" s="17"/>
      <c r="T43" s="17"/>
      <c r="U43" s="4" t="str">
        <f t="shared" si="12"/>
        <v/>
      </c>
      <c r="V43" s="4">
        <f t="shared" si="13"/>
        <v>-46027</v>
      </c>
    </row>
    <row r="44" spans="1:22" ht="22.15" hidden="1" customHeight="1">
      <c r="A44"/>
      <c r="B44" s="70" t="s">
        <v>52</v>
      </c>
      <c r="C44" s="81" t="s">
        <v>8</v>
      </c>
      <c r="D44" s="82">
        <v>2368</v>
      </c>
      <c r="E44" s="84"/>
      <c r="F44" s="84"/>
      <c r="G44" s="43" t="str">
        <f t="shared" si="8"/>
        <v/>
      </c>
      <c r="H44" s="43">
        <f t="shared" si="9"/>
        <v>-46027</v>
      </c>
      <c r="I44" s="14" t="s">
        <v>8</v>
      </c>
      <c r="J44" s="15">
        <v>2368</v>
      </c>
      <c r="K44" s="17"/>
      <c r="L44" s="17"/>
      <c r="M44" s="4" t="str">
        <f t="shared" si="10"/>
        <v/>
      </c>
      <c r="N44" s="4">
        <f t="shared" si="11"/>
        <v>-46027</v>
      </c>
      <c r="Q44" s="14" t="s">
        <v>8</v>
      </c>
      <c r="R44" s="15">
        <v>2368</v>
      </c>
      <c r="S44" s="17"/>
      <c r="T44" s="17"/>
      <c r="U44" s="4" t="str">
        <f t="shared" si="12"/>
        <v/>
      </c>
      <c r="V44" s="4">
        <f t="shared" si="13"/>
        <v>-46027</v>
      </c>
    </row>
    <row r="45" spans="1:22" ht="22.15" hidden="1" customHeight="1">
      <c r="A45"/>
      <c r="B45" s="70" t="s">
        <v>53</v>
      </c>
      <c r="C45" s="81" t="s">
        <v>8</v>
      </c>
      <c r="D45" s="82">
        <v>836</v>
      </c>
      <c r="E45" s="84"/>
      <c r="F45" s="84"/>
      <c r="G45" s="43" t="str">
        <f t="shared" si="8"/>
        <v/>
      </c>
      <c r="H45" s="43">
        <f t="shared" si="9"/>
        <v>-46027</v>
      </c>
      <c r="I45" s="14" t="s">
        <v>8</v>
      </c>
      <c r="J45" s="15">
        <v>836</v>
      </c>
      <c r="K45" s="17"/>
      <c r="L45" s="17"/>
      <c r="M45" s="4" t="str">
        <f t="shared" si="10"/>
        <v/>
      </c>
      <c r="N45" s="4">
        <f t="shared" si="11"/>
        <v>-46027</v>
      </c>
      <c r="Q45" s="14" t="s">
        <v>8</v>
      </c>
      <c r="R45" s="15">
        <v>836</v>
      </c>
      <c r="S45" s="17"/>
      <c r="T45" s="17"/>
      <c r="U45" s="4" t="str">
        <f t="shared" si="12"/>
        <v/>
      </c>
      <c r="V45" s="4">
        <f t="shared" si="13"/>
        <v>-46027</v>
      </c>
    </row>
    <row r="46" spans="1:22" ht="22.15" hidden="1" customHeight="1">
      <c r="A46"/>
      <c r="B46" s="70" t="s">
        <v>54</v>
      </c>
      <c r="C46" s="81" t="s">
        <v>8</v>
      </c>
      <c r="D46" s="82">
        <v>620</v>
      </c>
      <c r="E46" s="84"/>
      <c r="F46" s="84"/>
      <c r="G46" s="43" t="str">
        <f t="shared" si="8"/>
        <v/>
      </c>
      <c r="H46" s="43">
        <f t="shared" si="9"/>
        <v>-46027</v>
      </c>
      <c r="I46" s="14" t="s">
        <v>8</v>
      </c>
      <c r="J46" s="15">
        <v>620</v>
      </c>
      <c r="K46" s="17"/>
      <c r="L46" s="17"/>
      <c r="M46" s="4" t="str">
        <f t="shared" si="10"/>
        <v/>
      </c>
      <c r="N46" s="4">
        <f t="shared" si="11"/>
        <v>-46027</v>
      </c>
      <c r="Q46" s="14" t="s">
        <v>8</v>
      </c>
      <c r="R46" s="15">
        <v>620</v>
      </c>
      <c r="S46" s="17"/>
      <c r="T46" s="17"/>
      <c r="U46" s="4" t="str">
        <f t="shared" si="12"/>
        <v/>
      </c>
      <c r="V46" s="4">
        <f t="shared" si="13"/>
        <v>-46027</v>
      </c>
    </row>
    <row r="47" spans="1:22" ht="22.15" hidden="1" customHeight="1">
      <c r="A47"/>
      <c r="B47" s="70" t="s">
        <v>55</v>
      </c>
      <c r="C47" s="81" t="s">
        <v>8</v>
      </c>
      <c r="D47" s="82">
        <v>1484</v>
      </c>
      <c r="E47" s="84"/>
      <c r="F47" s="84"/>
      <c r="G47" s="43" t="str">
        <f t="shared" si="8"/>
        <v/>
      </c>
      <c r="H47" s="43">
        <f t="shared" si="9"/>
        <v>-46027</v>
      </c>
      <c r="I47" s="14" t="s">
        <v>8</v>
      </c>
      <c r="J47" s="15">
        <v>1484</v>
      </c>
      <c r="K47" s="17"/>
      <c r="L47" s="17"/>
      <c r="M47" s="4" t="str">
        <f t="shared" si="10"/>
        <v/>
      </c>
      <c r="N47" s="4">
        <f t="shared" si="11"/>
        <v>-46027</v>
      </c>
      <c r="Q47" s="14" t="s">
        <v>8</v>
      </c>
      <c r="R47" s="15">
        <v>1484</v>
      </c>
      <c r="S47" s="17"/>
      <c r="T47" s="17"/>
      <c r="U47" s="4" t="str">
        <f t="shared" si="12"/>
        <v/>
      </c>
      <c r="V47" s="4">
        <f t="shared" si="13"/>
        <v>-46027</v>
      </c>
    </row>
    <row r="48" spans="1:22" ht="22.15" hidden="1" customHeight="1">
      <c r="A48"/>
      <c r="B48" s="70" t="s">
        <v>56</v>
      </c>
      <c r="C48" s="81" t="s">
        <v>8</v>
      </c>
      <c r="D48" s="82">
        <v>644</v>
      </c>
      <c r="E48" s="84"/>
      <c r="F48" s="84"/>
      <c r="G48" s="43" t="str">
        <f t="shared" si="8"/>
        <v/>
      </c>
      <c r="H48" s="43">
        <f t="shared" si="9"/>
        <v>-46027</v>
      </c>
      <c r="I48" s="14" t="s">
        <v>8</v>
      </c>
      <c r="J48" s="15">
        <v>644</v>
      </c>
      <c r="K48" s="17"/>
      <c r="L48" s="17"/>
      <c r="M48" s="4" t="str">
        <f t="shared" si="10"/>
        <v/>
      </c>
      <c r="N48" s="4">
        <f t="shared" si="11"/>
        <v>-46027</v>
      </c>
      <c r="Q48" s="14" t="s">
        <v>8</v>
      </c>
      <c r="R48" s="15">
        <v>644</v>
      </c>
      <c r="S48" s="17"/>
      <c r="T48" s="17"/>
      <c r="U48" s="4" t="str">
        <f t="shared" si="12"/>
        <v/>
      </c>
      <c r="V48" s="4">
        <f t="shared" si="13"/>
        <v>-46027</v>
      </c>
    </row>
    <row r="49" spans="1:22" ht="22.15" hidden="1" customHeight="1">
      <c r="A49"/>
      <c r="B49" s="70" t="s">
        <v>57</v>
      </c>
      <c r="C49" s="81" t="s">
        <v>8</v>
      </c>
      <c r="D49" s="82">
        <v>716</v>
      </c>
      <c r="E49" s="84"/>
      <c r="F49" s="84"/>
      <c r="G49" s="43" t="str">
        <f t="shared" si="8"/>
        <v/>
      </c>
      <c r="H49" s="43">
        <f t="shared" si="9"/>
        <v>-46027</v>
      </c>
      <c r="I49" s="14" t="s">
        <v>8</v>
      </c>
      <c r="J49" s="15">
        <v>716</v>
      </c>
      <c r="K49" s="17"/>
      <c r="L49" s="17"/>
      <c r="M49" s="4" t="str">
        <f t="shared" si="10"/>
        <v/>
      </c>
      <c r="N49" s="4">
        <f t="shared" si="11"/>
        <v>-46027</v>
      </c>
      <c r="Q49" s="14" t="s">
        <v>8</v>
      </c>
      <c r="R49" s="15">
        <v>716</v>
      </c>
      <c r="S49" s="17"/>
      <c r="T49" s="17"/>
      <c r="U49" s="4" t="str">
        <f t="shared" si="12"/>
        <v/>
      </c>
      <c r="V49" s="4">
        <f t="shared" si="13"/>
        <v>-46027</v>
      </c>
    </row>
    <row r="50" spans="1:22" ht="22.15" hidden="1" customHeight="1">
      <c r="A50"/>
      <c r="B50" s="70" t="s">
        <v>58</v>
      </c>
      <c r="C50" s="81" t="s">
        <v>8</v>
      </c>
      <c r="D50" s="82">
        <v>500</v>
      </c>
      <c r="E50" s="84"/>
      <c r="F50" s="84"/>
      <c r="G50" s="43" t="str">
        <f t="shared" si="8"/>
        <v/>
      </c>
      <c r="H50" s="43">
        <f t="shared" si="9"/>
        <v>-46027</v>
      </c>
      <c r="I50" s="14" t="s">
        <v>8</v>
      </c>
      <c r="J50" s="15">
        <v>500</v>
      </c>
      <c r="K50" s="17"/>
      <c r="L50" s="17"/>
      <c r="M50" s="4" t="str">
        <f t="shared" si="10"/>
        <v/>
      </c>
      <c r="N50" s="4">
        <f t="shared" si="11"/>
        <v>-46027</v>
      </c>
      <c r="Q50" s="14" t="s">
        <v>8</v>
      </c>
      <c r="R50" s="15">
        <v>500</v>
      </c>
      <c r="S50" s="17"/>
      <c r="T50" s="17"/>
      <c r="U50" s="4" t="str">
        <f t="shared" si="12"/>
        <v/>
      </c>
      <c r="V50" s="4">
        <f t="shared" si="13"/>
        <v>-46027</v>
      </c>
    </row>
    <row r="51" spans="1:22" ht="22.15" hidden="1" customHeight="1">
      <c r="A51"/>
      <c r="B51" s="70" t="s">
        <v>59</v>
      </c>
      <c r="C51" s="81" t="s">
        <v>8</v>
      </c>
      <c r="D51" s="82">
        <v>956</v>
      </c>
      <c r="E51" s="84"/>
      <c r="F51" s="84"/>
      <c r="G51" s="43" t="str">
        <f t="shared" si="8"/>
        <v/>
      </c>
      <c r="H51" s="43">
        <f t="shared" si="9"/>
        <v>-46027</v>
      </c>
      <c r="I51" s="14" t="s">
        <v>8</v>
      </c>
      <c r="J51" s="15">
        <v>956</v>
      </c>
      <c r="K51" s="17"/>
      <c r="L51" s="17"/>
      <c r="M51" s="4" t="str">
        <f t="shared" si="10"/>
        <v/>
      </c>
      <c r="N51" s="4">
        <f t="shared" si="11"/>
        <v>-46027</v>
      </c>
      <c r="Q51" s="14" t="s">
        <v>8</v>
      </c>
      <c r="R51" s="15">
        <v>956</v>
      </c>
      <c r="S51" s="17"/>
      <c r="T51" s="17"/>
      <c r="U51" s="4" t="str">
        <f t="shared" si="12"/>
        <v/>
      </c>
      <c r="V51" s="4">
        <f t="shared" si="13"/>
        <v>-46027</v>
      </c>
    </row>
    <row r="52" spans="1:22" ht="22.15" hidden="1" customHeight="1">
      <c r="A52"/>
      <c r="B52" s="70" t="s">
        <v>60</v>
      </c>
      <c r="C52" s="81" t="s">
        <v>8</v>
      </c>
      <c r="D52" s="82">
        <v>2012</v>
      </c>
      <c r="E52" s="84"/>
      <c r="F52" s="84"/>
      <c r="G52" s="43" t="str">
        <f t="shared" si="8"/>
        <v/>
      </c>
      <c r="H52" s="43">
        <f t="shared" si="9"/>
        <v>-46027</v>
      </c>
      <c r="I52" s="14" t="s">
        <v>8</v>
      </c>
      <c r="J52" s="15">
        <v>2012</v>
      </c>
      <c r="K52" s="17"/>
      <c r="L52" s="17"/>
      <c r="M52" s="4" t="str">
        <f t="shared" si="10"/>
        <v/>
      </c>
      <c r="N52" s="4">
        <f t="shared" si="11"/>
        <v>-46027</v>
      </c>
      <c r="Q52" s="14" t="s">
        <v>8</v>
      </c>
      <c r="R52" s="15">
        <v>2012</v>
      </c>
      <c r="S52" s="17"/>
      <c r="T52" s="17"/>
      <c r="U52" s="4" t="str">
        <f t="shared" si="12"/>
        <v/>
      </c>
      <c r="V52" s="4">
        <f t="shared" si="13"/>
        <v>-46027</v>
      </c>
    </row>
    <row r="53" spans="1:22" ht="22.15" hidden="1" customHeight="1">
      <c r="A53"/>
      <c r="B53" s="70" t="s">
        <v>61</v>
      </c>
      <c r="C53" s="81" t="s">
        <v>8</v>
      </c>
      <c r="D53" s="82">
        <v>740</v>
      </c>
      <c r="E53" s="84"/>
      <c r="F53" s="84"/>
      <c r="G53" s="43" t="str">
        <f t="shared" si="8"/>
        <v/>
      </c>
      <c r="H53" s="43">
        <f t="shared" si="9"/>
        <v>-46027</v>
      </c>
      <c r="I53" s="14" t="s">
        <v>8</v>
      </c>
      <c r="J53" s="15">
        <v>740</v>
      </c>
      <c r="K53" s="17"/>
      <c r="L53" s="17"/>
      <c r="M53" s="4" t="str">
        <f t="shared" si="10"/>
        <v/>
      </c>
      <c r="N53" s="4">
        <f t="shared" si="11"/>
        <v>-46027</v>
      </c>
      <c r="Q53" s="14" t="s">
        <v>8</v>
      </c>
      <c r="R53" s="15">
        <v>740</v>
      </c>
      <c r="S53" s="17"/>
      <c r="T53" s="17"/>
      <c r="U53" s="4" t="str">
        <f t="shared" si="12"/>
        <v/>
      </c>
      <c r="V53" s="4">
        <f t="shared" si="13"/>
        <v>-46027</v>
      </c>
    </row>
    <row r="54" spans="1:22" ht="22.15" hidden="1" customHeight="1">
      <c r="A54"/>
      <c r="B54" s="70" t="s">
        <v>62</v>
      </c>
      <c r="C54" s="81" t="s">
        <v>8</v>
      </c>
      <c r="D54" s="82">
        <v>92</v>
      </c>
      <c r="E54" s="84"/>
      <c r="F54" s="84"/>
      <c r="G54" s="43" t="str">
        <f t="shared" si="8"/>
        <v/>
      </c>
      <c r="H54" s="43">
        <f t="shared" si="9"/>
        <v>-46027</v>
      </c>
      <c r="I54" s="14" t="s">
        <v>8</v>
      </c>
      <c r="J54" s="15">
        <v>92</v>
      </c>
      <c r="K54" s="17"/>
      <c r="L54" s="17"/>
      <c r="M54" s="4" t="str">
        <f t="shared" si="10"/>
        <v/>
      </c>
      <c r="N54" s="4">
        <f t="shared" si="11"/>
        <v>-46027</v>
      </c>
      <c r="Q54" s="14" t="s">
        <v>8</v>
      </c>
      <c r="R54" s="15">
        <v>92</v>
      </c>
      <c r="S54" s="17"/>
      <c r="T54" s="17"/>
      <c r="U54" s="4" t="str">
        <f t="shared" si="12"/>
        <v/>
      </c>
      <c r="V54" s="4">
        <f t="shared" si="13"/>
        <v>-46027</v>
      </c>
    </row>
    <row r="55" spans="1:22" ht="22.15" hidden="1" customHeight="1">
      <c r="A55"/>
      <c r="B55" s="70" t="s">
        <v>63</v>
      </c>
      <c r="C55" s="81" t="s">
        <v>8</v>
      </c>
      <c r="D55" s="82">
        <v>636</v>
      </c>
      <c r="E55" s="84"/>
      <c r="F55" s="84"/>
      <c r="G55" s="43" t="str">
        <f t="shared" si="8"/>
        <v/>
      </c>
      <c r="H55" s="43">
        <f t="shared" si="9"/>
        <v>-46027</v>
      </c>
      <c r="I55" s="14" t="s">
        <v>8</v>
      </c>
      <c r="J55" s="15">
        <v>636</v>
      </c>
      <c r="K55" s="17"/>
      <c r="L55" s="17"/>
      <c r="M55" s="4" t="str">
        <f t="shared" si="10"/>
        <v/>
      </c>
      <c r="N55" s="4">
        <f t="shared" si="11"/>
        <v>-46027</v>
      </c>
      <c r="Q55" s="14" t="s">
        <v>8</v>
      </c>
      <c r="R55" s="15">
        <v>636</v>
      </c>
      <c r="S55" s="17"/>
      <c r="T55" s="17"/>
      <c r="U55" s="4" t="str">
        <f t="shared" si="12"/>
        <v/>
      </c>
      <c r="V55" s="4">
        <f t="shared" si="13"/>
        <v>-46027</v>
      </c>
    </row>
    <row r="56" spans="1:22" ht="22.15" hidden="1" customHeight="1">
      <c r="A56"/>
      <c r="B56" s="70" t="s">
        <v>64</v>
      </c>
      <c r="C56" s="81" t="s">
        <v>8</v>
      </c>
      <c r="D56" s="82">
        <v>636</v>
      </c>
      <c r="E56" s="84"/>
      <c r="F56" s="84"/>
      <c r="G56" s="43" t="str">
        <f t="shared" si="8"/>
        <v/>
      </c>
      <c r="H56" s="43">
        <f t="shared" si="9"/>
        <v>-46027</v>
      </c>
      <c r="I56" s="14" t="s">
        <v>8</v>
      </c>
      <c r="J56" s="15">
        <v>636</v>
      </c>
      <c r="K56" s="17"/>
      <c r="L56" s="17"/>
      <c r="M56" s="4" t="str">
        <f t="shared" si="10"/>
        <v/>
      </c>
      <c r="N56" s="4">
        <f t="shared" si="11"/>
        <v>-46027</v>
      </c>
      <c r="Q56" s="14" t="s">
        <v>8</v>
      </c>
      <c r="R56" s="15">
        <v>636</v>
      </c>
      <c r="S56" s="17"/>
      <c r="T56" s="17"/>
      <c r="U56" s="4" t="str">
        <f t="shared" si="12"/>
        <v/>
      </c>
      <c r="V56" s="4">
        <f t="shared" si="13"/>
        <v>-46027</v>
      </c>
    </row>
    <row r="57" spans="1:22" ht="22.15" hidden="1" customHeight="1">
      <c r="A57"/>
      <c r="B57" s="70" t="s">
        <v>65</v>
      </c>
      <c r="C57" s="81" t="s">
        <v>8</v>
      </c>
      <c r="D57" s="82">
        <v>620</v>
      </c>
      <c r="E57" s="84"/>
      <c r="F57" s="84"/>
      <c r="G57" s="43" t="str">
        <f t="shared" si="8"/>
        <v/>
      </c>
      <c r="H57" s="43">
        <f t="shared" si="9"/>
        <v>-46027</v>
      </c>
      <c r="I57" s="14" t="s">
        <v>8</v>
      </c>
      <c r="J57" s="15">
        <v>620</v>
      </c>
      <c r="K57" s="17"/>
      <c r="L57" s="17"/>
      <c r="M57" s="4" t="str">
        <f t="shared" si="10"/>
        <v/>
      </c>
      <c r="N57" s="4">
        <f t="shared" si="11"/>
        <v>-46027</v>
      </c>
      <c r="Q57" s="14" t="s">
        <v>8</v>
      </c>
      <c r="R57" s="15">
        <v>620</v>
      </c>
      <c r="S57" s="17"/>
      <c r="T57" s="17"/>
      <c r="U57" s="4" t="str">
        <f t="shared" si="12"/>
        <v/>
      </c>
      <c r="V57" s="4">
        <f t="shared" si="13"/>
        <v>-46027</v>
      </c>
    </row>
    <row r="58" spans="1:22" ht="22.15" hidden="1" customHeight="1">
      <c r="A58"/>
      <c r="B58" s="70" t="s">
        <v>66</v>
      </c>
      <c r="C58" s="81" t="s">
        <v>8</v>
      </c>
      <c r="D58" s="82">
        <v>636</v>
      </c>
      <c r="E58" s="84"/>
      <c r="F58" s="84"/>
      <c r="G58" s="43" t="str">
        <f t="shared" si="8"/>
        <v/>
      </c>
      <c r="H58" s="43">
        <f t="shared" si="9"/>
        <v>-46027</v>
      </c>
      <c r="I58" s="14" t="s">
        <v>8</v>
      </c>
      <c r="J58" s="15">
        <v>636</v>
      </c>
      <c r="K58" s="17"/>
      <c r="L58" s="17"/>
      <c r="M58" s="4" t="str">
        <f t="shared" si="10"/>
        <v/>
      </c>
      <c r="N58" s="4">
        <f t="shared" si="11"/>
        <v>-46027</v>
      </c>
      <c r="Q58" s="14" t="s">
        <v>8</v>
      </c>
      <c r="R58" s="15">
        <v>636</v>
      </c>
      <c r="S58" s="17"/>
      <c r="T58" s="17"/>
      <c r="U58" s="4" t="str">
        <f t="shared" si="12"/>
        <v/>
      </c>
      <c r="V58" s="4">
        <f t="shared" si="13"/>
        <v>-46027</v>
      </c>
    </row>
    <row r="59" spans="1:22" ht="22.15" hidden="1" customHeight="1">
      <c r="A59"/>
      <c r="B59" s="70" t="s">
        <v>67</v>
      </c>
      <c r="C59" s="81" t="s">
        <v>8</v>
      </c>
      <c r="D59" s="82">
        <v>3844</v>
      </c>
      <c r="E59" s="84"/>
      <c r="F59" s="84"/>
      <c r="G59" s="43" t="str">
        <f t="shared" si="8"/>
        <v/>
      </c>
      <c r="H59" s="43">
        <f t="shared" si="9"/>
        <v>-46027</v>
      </c>
      <c r="I59" s="14" t="s">
        <v>8</v>
      </c>
      <c r="J59" s="15">
        <v>3844</v>
      </c>
      <c r="K59" s="17"/>
      <c r="L59" s="17"/>
      <c r="M59" s="4" t="str">
        <f t="shared" si="10"/>
        <v/>
      </c>
      <c r="N59" s="4">
        <f t="shared" si="11"/>
        <v>-46027</v>
      </c>
      <c r="Q59" s="14" t="s">
        <v>8</v>
      </c>
      <c r="R59" s="15">
        <v>3844</v>
      </c>
      <c r="S59" s="17"/>
      <c r="T59" s="17"/>
      <c r="U59" s="4" t="str">
        <f t="shared" si="12"/>
        <v/>
      </c>
      <c r="V59" s="4">
        <f t="shared" si="13"/>
        <v>-46027</v>
      </c>
    </row>
    <row r="60" spans="1:22" ht="22.15" hidden="1" customHeight="1">
      <c r="A60"/>
      <c r="B60" s="70" t="s">
        <v>68</v>
      </c>
      <c r="C60" s="81" t="s">
        <v>8</v>
      </c>
      <c r="D60" s="82">
        <v>3244</v>
      </c>
      <c r="E60" s="84"/>
      <c r="F60" s="84"/>
      <c r="G60" s="43" t="str">
        <f t="shared" si="8"/>
        <v/>
      </c>
      <c r="H60" s="43">
        <f t="shared" si="9"/>
        <v>-46027</v>
      </c>
      <c r="I60" s="14" t="s">
        <v>8</v>
      </c>
      <c r="J60" s="15">
        <v>3244</v>
      </c>
      <c r="K60" s="17"/>
      <c r="L60" s="17"/>
      <c r="M60" s="4" t="str">
        <f t="shared" si="10"/>
        <v/>
      </c>
      <c r="N60" s="4">
        <f t="shared" si="11"/>
        <v>-46027</v>
      </c>
      <c r="Q60" s="14" t="s">
        <v>8</v>
      </c>
      <c r="R60" s="15">
        <v>3244</v>
      </c>
      <c r="S60" s="17"/>
      <c r="T60" s="17"/>
      <c r="U60" s="4" t="str">
        <f t="shared" si="12"/>
        <v/>
      </c>
      <c r="V60" s="4">
        <f t="shared" si="13"/>
        <v>-46027</v>
      </c>
    </row>
    <row r="61" spans="1:22" ht="22.15" hidden="1" customHeight="1">
      <c r="A61"/>
      <c r="B61" s="70" t="s">
        <v>69</v>
      </c>
      <c r="C61" s="81" t="s">
        <v>8</v>
      </c>
      <c r="D61" s="82">
        <v>3244</v>
      </c>
      <c r="E61" s="84"/>
      <c r="F61" s="84"/>
      <c r="G61" s="43" t="str">
        <f t="shared" si="8"/>
        <v/>
      </c>
      <c r="H61" s="43">
        <f t="shared" si="9"/>
        <v>-46027</v>
      </c>
      <c r="I61" s="14" t="s">
        <v>8</v>
      </c>
      <c r="J61" s="15">
        <v>3244</v>
      </c>
      <c r="K61" s="17"/>
      <c r="L61" s="17"/>
      <c r="M61" s="4" t="str">
        <f t="shared" si="10"/>
        <v/>
      </c>
      <c r="N61" s="4">
        <f t="shared" si="11"/>
        <v>-46027</v>
      </c>
      <c r="Q61" s="14" t="s">
        <v>8</v>
      </c>
      <c r="R61" s="15">
        <v>3244</v>
      </c>
      <c r="S61" s="17"/>
      <c r="T61" s="17"/>
      <c r="U61" s="4" t="str">
        <f t="shared" si="12"/>
        <v/>
      </c>
      <c r="V61" s="4">
        <f t="shared" si="13"/>
        <v>-46027</v>
      </c>
    </row>
    <row r="62" spans="1:22" ht="22.15" hidden="1" customHeight="1">
      <c r="A62"/>
      <c r="B62" s="70" t="s">
        <v>70</v>
      </c>
      <c r="C62" s="81" t="s">
        <v>8</v>
      </c>
      <c r="D62" s="82">
        <v>3268</v>
      </c>
      <c r="E62" s="84"/>
      <c r="F62" s="84"/>
      <c r="G62" s="43" t="str">
        <f t="shared" si="8"/>
        <v/>
      </c>
      <c r="H62" s="43">
        <f t="shared" si="9"/>
        <v>-46027</v>
      </c>
      <c r="I62" s="14" t="s">
        <v>8</v>
      </c>
      <c r="J62" s="15">
        <v>3268</v>
      </c>
      <c r="K62" s="17"/>
      <c r="L62" s="17"/>
      <c r="M62" s="4" t="str">
        <f t="shared" si="10"/>
        <v/>
      </c>
      <c r="N62" s="4">
        <f t="shared" si="11"/>
        <v>-46027</v>
      </c>
      <c r="Q62" s="14" t="s">
        <v>8</v>
      </c>
      <c r="R62" s="15">
        <v>3268</v>
      </c>
      <c r="S62" s="17"/>
      <c r="T62" s="17"/>
      <c r="U62" s="4" t="str">
        <f t="shared" si="12"/>
        <v/>
      </c>
      <c r="V62" s="4">
        <f t="shared" si="13"/>
        <v>-46027</v>
      </c>
    </row>
    <row r="63" spans="1:22" ht="22.15" hidden="1" customHeight="1">
      <c r="A63"/>
      <c r="B63" s="70" t="s">
        <v>71</v>
      </c>
      <c r="C63" s="81" t="s">
        <v>8</v>
      </c>
      <c r="D63" s="82">
        <v>1608</v>
      </c>
      <c r="E63" s="84"/>
      <c r="F63" s="84"/>
      <c r="G63" s="43" t="str">
        <f t="shared" si="8"/>
        <v/>
      </c>
      <c r="H63" s="43">
        <f t="shared" si="9"/>
        <v>-46027</v>
      </c>
      <c r="I63" s="14" t="s">
        <v>8</v>
      </c>
      <c r="J63" s="15">
        <v>1608</v>
      </c>
      <c r="K63" s="17"/>
      <c r="L63" s="17"/>
      <c r="M63" s="4" t="str">
        <f t="shared" si="10"/>
        <v/>
      </c>
      <c r="N63" s="4">
        <f t="shared" si="11"/>
        <v>-46027</v>
      </c>
      <c r="Q63" s="14" t="s">
        <v>8</v>
      </c>
      <c r="R63" s="15">
        <v>1608</v>
      </c>
      <c r="S63" s="17"/>
      <c r="T63" s="17"/>
      <c r="U63" s="4" t="str">
        <f t="shared" si="12"/>
        <v/>
      </c>
      <c r="V63" s="4">
        <f t="shared" si="13"/>
        <v>-46027</v>
      </c>
    </row>
    <row r="64" spans="1:22" ht="22.15" hidden="1" customHeight="1">
      <c r="A64"/>
      <c r="B64" s="70" t="s">
        <v>72</v>
      </c>
      <c r="C64" s="81" t="s">
        <v>8</v>
      </c>
      <c r="D64" s="82">
        <v>1284</v>
      </c>
      <c r="E64" s="84"/>
      <c r="F64" s="84"/>
      <c r="G64" s="43" t="str">
        <f t="shared" si="8"/>
        <v/>
      </c>
      <c r="H64" s="43">
        <f t="shared" si="9"/>
        <v>-46027</v>
      </c>
      <c r="I64" s="14" t="s">
        <v>8</v>
      </c>
      <c r="J64" s="15">
        <v>1284</v>
      </c>
      <c r="K64" s="17"/>
      <c r="L64" s="17"/>
      <c r="M64" s="4" t="str">
        <f t="shared" si="10"/>
        <v/>
      </c>
      <c r="N64" s="4">
        <f t="shared" si="11"/>
        <v>-46027</v>
      </c>
      <c r="Q64" s="14" t="s">
        <v>8</v>
      </c>
      <c r="R64" s="15">
        <v>1284</v>
      </c>
      <c r="S64" s="17"/>
      <c r="T64" s="17"/>
      <c r="U64" s="4" t="str">
        <f t="shared" si="12"/>
        <v/>
      </c>
      <c r="V64" s="4">
        <f t="shared" si="13"/>
        <v>-46027</v>
      </c>
    </row>
    <row r="65" spans="1:24" ht="22.15" hidden="1" customHeight="1">
      <c r="A65"/>
      <c r="B65" s="70" t="s">
        <v>73</v>
      </c>
      <c r="C65" s="81" t="s">
        <v>8</v>
      </c>
      <c r="D65" s="82">
        <v>1266</v>
      </c>
      <c r="E65" s="84"/>
      <c r="F65" s="84"/>
      <c r="G65" s="43" t="str">
        <f t="shared" si="8"/>
        <v/>
      </c>
      <c r="H65" s="43">
        <f t="shared" si="9"/>
        <v>-46027</v>
      </c>
      <c r="I65" s="14" t="s">
        <v>8</v>
      </c>
      <c r="J65" s="15">
        <v>1266</v>
      </c>
      <c r="K65" s="17"/>
      <c r="L65" s="17"/>
      <c r="M65" s="4" t="str">
        <f t="shared" si="10"/>
        <v/>
      </c>
      <c r="N65" s="4">
        <f t="shared" si="11"/>
        <v>-46027</v>
      </c>
      <c r="Q65" s="14" t="s">
        <v>8</v>
      </c>
      <c r="R65" s="15">
        <v>1266</v>
      </c>
      <c r="S65" s="17"/>
      <c r="T65" s="17"/>
      <c r="U65" s="4" t="str">
        <f t="shared" si="12"/>
        <v/>
      </c>
      <c r="V65" s="4">
        <f t="shared" si="13"/>
        <v>-46027</v>
      </c>
    </row>
    <row r="66" spans="1:24" ht="22.15" hidden="1" customHeight="1">
      <c r="A66"/>
      <c r="B66" s="70" t="s">
        <v>74</v>
      </c>
      <c r="C66" s="81" t="s">
        <v>8</v>
      </c>
      <c r="D66" s="82">
        <v>1278</v>
      </c>
      <c r="E66" s="84"/>
      <c r="F66" s="84"/>
      <c r="G66" s="43" t="str">
        <f t="shared" si="8"/>
        <v/>
      </c>
      <c r="H66" s="43">
        <f t="shared" si="9"/>
        <v>-46027</v>
      </c>
      <c r="I66" s="14" t="s">
        <v>8</v>
      </c>
      <c r="J66" s="15">
        <v>1278</v>
      </c>
      <c r="K66" s="17"/>
      <c r="L66" s="17"/>
      <c r="M66" s="4" t="str">
        <f t="shared" si="10"/>
        <v/>
      </c>
      <c r="N66" s="4">
        <f t="shared" si="11"/>
        <v>-46027</v>
      </c>
      <c r="Q66" s="14" t="s">
        <v>8</v>
      </c>
      <c r="R66" s="15">
        <v>1278</v>
      </c>
      <c r="S66" s="17"/>
      <c r="T66" s="17"/>
      <c r="U66" s="4" t="str">
        <f t="shared" si="12"/>
        <v/>
      </c>
      <c r="V66" s="4">
        <f t="shared" si="13"/>
        <v>-46027</v>
      </c>
    </row>
    <row r="67" spans="1:24" ht="22.15" hidden="1" customHeight="1">
      <c r="A67"/>
      <c r="B67" s="70" t="s">
        <v>75</v>
      </c>
      <c r="C67" s="81" t="s">
        <v>8</v>
      </c>
      <c r="D67" s="82">
        <v>300</v>
      </c>
      <c r="E67" s="84"/>
      <c r="F67" s="84"/>
      <c r="G67" s="43" t="str">
        <f t="shared" si="8"/>
        <v/>
      </c>
      <c r="H67" s="43">
        <f t="shared" si="9"/>
        <v>-46027</v>
      </c>
      <c r="I67" s="14" t="s">
        <v>8</v>
      </c>
      <c r="J67" s="15">
        <v>300</v>
      </c>
      <c r="K67" s="17"/>
      <c r="L67" s="17"/>
      <c r="M67" s="4" t="str">
        <f t="shared" si="10"/>
        <v/>
      </c>
      <c r="N67" s="4">
        <f t="shared" si="11"/>
        <v>-46027</v>
      </c>
      <c r="Q67" s="14" t="s">
        <v>8</v>
      </c>
      <c r="R67" s="15">
        <v>300</v>
      </c>
      <c r="S67" s="17"/>
      <c r="T67" s="17"/>
      <c r="U67" s="4" t="str">
        <f t="shared" si="12"/>
        <v/>
      </c>
      <c r="V67" s="4">
        <f t="shared" si="13"/>
        <v>-46027</v>
      </c>
    </row>
    <row r="68" spans="1:24" ht="22.15" hidden="1" customHeight="1">
      <c r="A68"/>
      <c r="B68" s="70" t="s">
        <v>76</v>
      </c>
      <c r="C68" s="81" t="s">
        <v>8</v>
      </c>
      <c r="D68" s="82">
        <v>306</v>
      </c>
      <c r="E68" s="84"/>
      <c r="F68" s="84"/>
      <c r="G68" s="43" t="str">
        <f t="shared" si="8"/>
        <v/>
      </c>
      <c r="H68" s="43">
        <f t="shared" si="9"/>
        <v>-46027</v>
      </c>
      <c r="I68" s="14" t="s">
        <v>8</v>
      </c>
      <c r="J68" s="15">
        <v>306</v>
      </c>
      <c r="K68" s="17"/>
      <c r="L68" s="17"/>
      <c r="M68" s="4" t="str">
        <f t="shared" si="10"/>
        <v/>
      </c>
      <c r="N68" s="4">
        <f t="shared" si="11"/>
        <v>-46027</v>
      </c>
      <c r="Q68" s="14" t="s">
        <v>8</v>
      </c>
      <c r="R68" s="15">
        <v>306</v>
      </c>
      <c r="S68" s="17"/>
      <c r="T68" s="17"/>
      <c r="U68" s="4" t="str">
        <f t="shared" si="12"/>
        <v/>
      </c>
      <c r="V68" s="4">
        <f t="shared" si="13"/>
        <v>-46027</v>
      </c>
    </row>
    <row r="69" spans="1:24" ht="22.15" hidden="1" customHeight="1">
      <c r="A69"/>
      <c r="B69" s="70" t="s">
        <v>77</v>
      </c>
      <c r="C69" s="81" t="s">
        <v>8</v>
      </c>
      <c r="D69" s="82">
        <v>1296</v>
      </c>
      <c r="E69" s="84"/>
      <c r="F69" s="84"/>
      <c r="G69" s="43" t="str">
        <f t="shared" si="8"/>
        <v/>
      </c>
      <c r="H69" s="43">
        <f t="shared" si="9"/>
        <v>-46027</v>
      </c>
      <c r="I69" s="14" t="s">
        <v>8</v>
      </c>
      <c r="J69" s="15">
        <v>1296</v>
      </c>
      <c r="K69" s="17"/>
      <c r="L69" s="17"/>
      <c r="M69" s="4" t="str">
        <f t="shared" si="10"/>
        <v/>
      </c>
      <c r="N69" s="4">
        <f t="shared" si="11"/>
        <v>-46027</v>
      </c>
      <c r="Q69" s="14" t="s">
        <v>8</v>
      </c>
      <c r="R69" s="15">
        <v>1296</v>
      </c>
      <c r="S69" s="17"/>
      <c r="T69" s="17"/>
      <c r="U69" s="4" t="str">
        <f t="shared" si="12"/>
        <v/>
      </c>
      <c r="V69" s="4">
        <f t="shared" si="13"/>
        <v>-46027</v>
      </c>
    </row>
    <row r="70" spans="1:24" ht="22.15" hidden="1" customHeight="1">
      <c r="A70"/>
      <c r="B70" s="70" t="s">
        <v>78</v>
      </c>
      <c r="C70" s="81" t="s">
        <v>8</v>
      </c>
      <c r="D70" s="82">
        <v>414</v>
      </c>
      <c r="E70" s="84"/>
      <c r="F70" s="84"/>
      <c r="G70" s="43" t="str">
        <f t="shared" si="8"/>
        <v/>
      </c>
      <c r="H70" s="43">
        <f t="shared" si="9"/>
        <v>-46027</v>
      </c>
      <c r="I70" s="14" t="s">
        <v>8</v>
      </c>
      <c r="J70" s="15">
        <v>414</v>
      </c>
      <c r="K70" s="17"/>
      <c r="L70" s="17"/>
      <c r="M70" s="4" t="str">
        <f t="shared" si="10"/>
        <v/>
      </c>
      <c r="N70" s="4">
        <f t="shared" si="11"/>
        <v>-46027</v>
      </c>
      <c r="Q70" s="14" t="s">
        <v>8</v>
      </c>
      <c r="R70" s="15">
        <v>414</v>
      </c>
      <c r="S70" s="17"/>
      <c r="T70" s="17"/>
      <c r="U70" s="4" t="str">
        <f t="shared" si="12"/>
        <v/>
      </c>
      <c r="V70" s="4">
        <f t="shared" si="13"/>
        <v>-46027</v>
      </c>
    </row>
    <row r="71" spans="1:24" ht="22.15" customHeight="1">
      <c r="A71"/>
      <c r="B71" s="76" t="s">
        <v>79</v>
      </c>
      <c r="C71" s="81" t="s">
        <v>15</v>
      </c>
      <c r="D71" s="85">
        <v>5</v>
      </c>
      <c r="E71" s="86">
        <v>45997</v>
      </c>
      <c r="F71" s="84">
        <v>46036</v>
      </c>
      <c r="G71" s="4">
        <f t="shared" si="8"/>
        <v>23.076923076923077</v>
      </c>
      <c r="H71" s="43">
        <f t="shared" si="9"/>
        <v>9</v>
      </c>
      <c r="I71" s="14" t="s">
        <v>15</v>
      </c>
      <c r="J71" s="18">
        <v>0</v>
      </c>
      <c r="K71" s="19"/>
      <c r="L71" s="17">
        <v>46036</v>
      </c>
      <c r="M71" s="4">
        <f t="shared" si="10"/>
        <v>1.9549917455904075E-2</v>
      </c>
      <c r="N71" s="4">
        <f t="shared" si="11"/>
        <v>9</v>
      </c>
      <c r="O71" s="77">
        <f>D71-J71</f>
        <v>5</v>
      </c>
      <c r="P71" s="74"/>
      <c r="Q71" s="14" t="s">
        <v>15</v>
      </c>
      <c r="R71" s="18">
        <v>0</v>
      </c>
      <c r="S71" s="19"/>
      <c r="T71" s="17"/>
      <c r="U71" s="4" t="str">
        <f t="shared" si="12"/>
        <v/>
      </c>
      <c r="V71" s="4">
        <f t="shared" si="13"/>
        <v>-46027</v>
      </c>
      <c r="W71" s="77">
        <f>D71-R71</f>
        <v>5</v>
      </c>
      <c r="X71" s="74"/>
    </row>
    <row r="72" spans="1:24" ht="22.15" hidden="1" customHeight="1">
      <c r="A72"/>
      <c r="B72" s="71"/>
      <c r="C72" s="81"/>
      <c r="D72" s="85"/>
      <c r="E72" s="84"/>
      <c r="F72" s="84">
        <v>46035</v>
      </c>
      <c r="G72" s="4">
        <f t="shared" si="8"/>
        <v>1.7378081894210924E-2</v>
      </c>
      <c r="H72" s="43">
        <f t="shared" ref="H72:H82" si="14">F72-$H$1</f>
        <v>8</v>
      </c>
      <c r="I72" s="14"/>
      <c r="J72" s="18"/>
      <c r="K72" s="17"/>
      <c r="L72" s="17"/>
      <c r="M72" s="4" t="str">
        <f t="shared" si="10"/>
        <v/>
      </c>
      <c r="N72" s="4">
        <f t="shared" si="11"/>
        <v>-46027</v>
      </c>
      <c r="O72" s="75">
        <f t="shared" ref="O72:O82" si="15">D72-J72</f>
        <v>0</v>
      </c>
      <c r="P72" s="74"/>
      <c r="Q72" s="14"/>
      <c r="R72" s="18"/>
      <c r="S72" s="17"/>
      <c r="T72" s="17"/>
      <c r="U72" s="4" t="str">
        <f t="shared" si="12"/>
        <v/>
      </c>
      <c r="V72" s="4">
        <f t="shared" si="13"/>
        <v>-46027</v>
      </c>
      <c r="W72" s="75">
        <f t="shared" ref="W72:W78" si="16">L72-R72</f>
        <v>0</v>
      </c>
      <c r="X72" s="74"/>
    </row>
    <row r="73" spans="1:24" ht="22.15" hidden="1" customHeight="1">
      <c r="A73"/>
      <c r="B73" s="71"/>
      <c r="C73" s="81"/>
      <c r="D73" s="85"/>
      <c r="E73" s="84"/>
      <c r="F73" s="84">
        <v>46036</v>
      </c>
      <c r="G73" s="4">
        <f t="shared" si="8"/>
        <v>1.9549917455904075E-2</v>
      </c>
      <c r="H73" s="43">
        <f t="shared" si="14"/>
        <v>9</v>
      </c>
      <c r="I73" s="14"/>
      <c r="J73" s="18"/>
      <c r="K73" s="17"/>
      <c r="L73" s="17"/>
      <c r="M73" s="4" t="str">
        <f t="shared" si="10"/>
        <v/>
      </c>
      <c r="N73" s="4">
        <f t="shared" si="11"/>
        <v>-46027</v>
      </c>
      <c r="O73" s="75">
        <f t="shared" si="15"/>
        <v>0</v>
      </c>
      <c r="P73" s="74"/>
      <c r="Q73" s="14"/>
      <c r="R73" s="18"/>
      <c r="S73" s="17"/>
      <c r="T73" s="17"/>
      <c r="U73" s="4" t="str">
        <f t="shared" si="12"/>
        <v/>
      </c>
      <c r="V73" s="4">
        <f t="shared" si="13"/>
        <v>-46027</v>
      </c>
      <c r="W73" s="75">
        <f t="shared" si="16"/>
        <v>0</v>
      </c>
      <c r="X73" s="74"/>
    </row>
    <row r="74" spans="1:24" ht="22.15" hidden="1" customHeight="1">
      <c r="A74"/>
      <c r="B74" s="71"/>
      <c r="C74" s="81"/>
      <c r="D74" s="85"/>
      <c r="E74" s="84"/>
      <c r="F74" s="84">
        <v>46037</v>
      </c>
      <c r="G74" s="4">
        <f t="shared" si="8"/>
        <v>2.1721658665855723E-2</v>
      </c>
      <c r="H74" s="43">
        <f t="shared" si="14"/>
        <v>10</v>
      </c>
      <c r="I74" s="14"/>
      <c r="J74" s="18"/>
      <c r="K74" s="17"/>
      <c r="L74" s="17"/>
      <c r="M74" s="4" t="str">
        <f t="shared" si="10"/>
        <v/>
      </c>
      <c r="N74" s="4">
        <f t="shared" si="11"/>
        <v>-46027</v>
      </c>
      <c r="O74" s="75">
        <f t="shared" si="15"/>
        <v>0</v>
      </c>
      <c r="P74" s="74"/>
      <c r="Q74" s="14"/>
      <c r="R74" s="18"/>
      <c r="S74" s="17"/>
      <c r="T74" s="17"/>
      <c r="U74" s="4" t="str">
        <f t="shared" si="12"/>
        <v/>
      </c>
      <c r="V74" s="4">
        <f t="shared" si="13"/>
        <v>-46027</v>
      </c>
      <c r="W74" s="75">
        <f t="shared" si="16"/>
        <v>0</v>
      </c>
      <c r="X74" s="74"/>
    </row>
    <row r="75" spans="1:24" ht="22.15" hidden="1" customHeight="1">
      <c r="A75"/>
      <c r="B75" s="71"/>
      <c r="C75" s="81"/>
      <c r="D75" s="85"/>
      <c r="E75" s="84"/>
      <c r="F75" s="84">
        <v>46038</v>
      </c>
      <c r="G75" s="4">
        <f t="shared" si="8"/>
        <v>2.3893305530214171E-2</v>
      </c>
      <c r="H75" s="43">
        <f t="shared" si="14"/>
        <v>11</v>
      </c>
      <c r="I75" s="14"/>
      <c r="J75" s="18"/>
      <c r="K75" s="17"/>
      <c r="L75" s="17"/>
      <c r="M75" s="4" t="str">
        <f t="shared" si="10"/>
        <v/>
      </c>
      <c r="N75" s="4">
        <f t="shared" si="11"/>
        <v>-46027</v>
      </c>
      <c r="O75" s="75">
        <f t="shared" si="15"/>
        <v>0</v>
      </c>
      <c r="P75" s="74"/>
      <c r="Q75" s="14"/>
      <c r="R75" s="18"/>
      <c r="S75" s="17"/>
      <c r="T75" s="17"/>
      <c r="U75" s="4" t="str">
        <f t="shared" si="12"/>
        <v/>
      </c>
      <c r="V75" s="4">
        <f t="shared" si="13"/>
        <v>-46027</v>
      </c>
      <c r="W75" s="75">
        <f t="shared" si="16"/>
        <v>0</v>
      </c>
      <c r="X75" s="74"/>
    </row>
    <row r="76" spans="1:24" ht="22.15" hidden="1" customHeight="1">
      <c r="A76"/>
      <c r="B76" s="71"/>
      <c r="C76" s="81"/>
      <c r="D76" s="85"/>
      <c r="E76" s="84"/>
      <c r="F76" s="84">
        <v>46039</v>
      </c>
      <c r="G76" s="4">
        <f t="shared" si="8"/>
        <v>2.6064858055127177E-2</v>
      </c>
      <c r="H76" s="43">
        <f t="shared" si="14"/>
        <v>12</v>
      </c>
      <c r="I76" s="14"/>
      <c r="J76" s="18"/>
      <c r="K76" s="17"/>
      <c r="L76" s="17"/>
      <c r="M76" s="4" t="str">
        <f t="shared" si="10"/>
        <v/>
      </c>
      <c r="N76" s="4">
        <f t="shared" si="11"/>
        <v>-46027</v>
      </c>
      <c r="O76" s="75">
        <f t="shared" si="15"/>
        <v>0</v>
      </c>
      <c r="P76" s="74"/>
      <c r="Q76" s="14"/>
      <c r="R76" s="18"/>
      <c r="S76" s="17"/>
      <c r="T76" s="17"/>
      <c r="U76" s="4" t="str">
        <f t="shared" si="12"/>
        <v/>
      </c>
      <c r="V76" s="4">
        <f t="shared" si="13"/>
        <v>-46027</v>
      </c>
      <c r="W76" s="75">
        <f t="shared" si="16"/>
        <v>0</v>
      </c>
      <c r="X76" s="74"/>
    </row>
    <row r="77" spans="1:24" ht="22.15" customHeight="1">
      <c r="A77"/>
      <c r="B77" s="102" t="s">
        <v>80</v>
      </c>
      <c r="C77" s="81" t="s">
        <v>15</v>
      </c>
      <c r="D77" s="85">
        <v>131</v>
      </c>
      <c r="E77" s="84">
        <v>46010</v>
      </c>
      <c r="F77" s="84">
        <v>46040</v>
      </c>
      <c r="G77" s="4">
        <f t="shared" si="8"/>
        <v>43.333333333333336</v>
      </c>
      <c r="H77" s="43">
        <f t="shared" si="14"/>
        <v>13</v>
      </c>
      <c r="I77" s="14" t="s">
        <v>15</v>
      </c>
      <c r="J77" s="18">
        <v>57</v>
      </c>
      <c r="K77" s="17">
        <v>46010</v>
      </c>
      <c r="L77" s="17">
        <v>46040</v>
      </c>
      <c r="M77" s="4">
        <f t="shared" si="10"/>
        <v>43.333333333333336</v>
      </c>
      <c r="N77" s="4">
        <f t="shared" si="11"/>
        <v>13</v>
      </c>
      <c r="O77" s="91">
        <f t="shared" si="15"/>
        <v>74</v>
      </c>
      <c r="P77" s="74"/>
      <c r="Q77" s="14" t="s">
        <v>15</v>
      </c>
      <c r="R77" s="18">
        <v>25</v>
      </c>
      <c r="S77" s="17">
        <v>46010</v>
      </c>
      <c r="T77" s="17">
        <v>46040</v>
      </c>
      <c r="U77" s="4">
        <f t="shared" si="12"/>
        <v>43.333333333333336</v>
      </c>
      <c r="V77" s="4">
        <f t="shared" si="13"/>
        <v>13</v>
      </c>
      <c r="W77" s="101">
        <f>D77-R77</f>
        <v>106</v>
      </c>
      <c r="X77" s="74"/>
    </row>
    <row r="78" spans="1:24" ht="22.15" customHeight="1">
      <c r="A78"/>
      <c r="B78" s="104" t="s">
        <v>85</v>
      </c>
      <c r="C78" s="81" t="s">
        <v>8</v>
      </c>
      <c r="D78" s="85">
        <v>3</v>
      </c>
      <c r="E78" s="84">
        <v>45995</v>
      </c>
      <c r="F78" s="84">
        <v>46035</v>
      </c>
      <c r="G78" s="4">
        <f t="shared" si="8"/>
        <v>20</v>
      </c>
      <c r="H78" s="43">
        <f t="shared" si="14"/>
        <v>8</v>
      </c>
      <c r="I78" s="14" t="s">
        <v>8</v>
      </c>
      <c r="J78" s="18">
        <v>0</v>
      </c>
      <c r="K78" s="17"/>
      <c r="L78" s="17">
        <v>46035</v>
      </c>
      <c r="M78" s="4">
        <f t="shared" si="10"/>
        <v>1.7378081894210924E-2</v>
      </c>
      <c r="N78" s="4">
        <f t="shared" si="11"/>
        <v>8</v>
      </c>
      <c r="O78" s="77">
        <f t="shared" si="15"/>
        <v>3</v>
      </c>
      <c r="P78" s="74"/>
      <c r="Q78" s="14" t="s">
        <v>8</v>
      </c>
      <c r="R78" s="18">
        <v>0</v>
      </c>
      <c r="S78" s="17"/>
      <c r="T78" s="17"/>
      <c r="U78" s="4" t="str">
        <f t="shared" si="12"/>
        <v/>
      </c>
      <c r="V78" s="4">
        <f t="shared" si="13"/>
        <v>-46027</v>
      </c>
      <c r="W78" s="103">
        <f t="shared" ref="W78:W82" si="17">D78-R78</f>
        <v>3</v>
      </c>
      <c r="X78" s="74"/>
    </row>
    <row r="79" spans="1:24" ht="22.15" customHeight="1">
      <c r="A79"/>
      <c r="B79" s="104" t="s">
        <v>81</v>
      </c>
      <c r="C79" s="81" t="s">
        <v>15</v>
      </c>
      <c r="D79" s="85">
        <v>5</v>
      </c>
      <c r="E79" s="84">
        <v>45990</v>
      </c>
      <c r="F79" s="84">
        <v>46035</v>
      </c>
      <c r="G79" s="4">
        <f t="shared" si="8"/>
        <v>17.777777777777779</v>
      </c>
      <c r="H79" s="43">
        <f t="shared" si="14"/>
        <v>8</v>
      </c>
      <c r="I79" s="14" t="s">
        <v>15</v>
      </c>
      <c r="J79" s="18">
        <v>5</v>
      </c>
      <c r="K79" s="17">
        <v>45990</v>
      </c>
      <c r="L79" s="17">
        <v>46035</v>
      </c>
      <c r="M79" s="4">
        <f t="shared" si="10"/>
        <v>17.777777777777779</v>
      </c>
      <c r="N79" s="4">
        <f t="shared" si="11"/>
        <v>8</v>
      </c>
      <c r="O79" s="91">
        <f>D79-J79</f>
        <v>0</v>
      </c>
      <c r="P79" s="74"/>
      <c r="Q79" s="14" t="s">
        <v>15</v>
      </c>
      <c r="R79" s="18">
        <v>0</v>
      </c>
      <c r="S79" s="17"/>
      <c r="T79" s="17"/>
      <c r="U79" s="4" t="str">
        <f t="shared" si="12"/>
        <v/>
      </c>
      <c r="V79" s="4">
        <f t="shared" si="13"/>
        <v>-46027</v>
      </c>
      <c r="W79" s="103">
        <f t="shared" si="17"/>
        <v>5</v>
      </c>
      <c r="X79" s="74"/>
    </row>
    <row r="80" spans="1:24" ht="22.15" customHeight="1">
      <c r="A80"/>
      <c r="B80" s="94" t="s">
        <v>82</v>
      </c>
      <c r="C80" s="81" t="s">
        <v>8</v>
      </c>
      <c r="D80" s="85">
        <v>204</v>
      </c>
      <c r="E80" s="84">
        <v>45990</v>
      </c>
      <c r="F80" s="84">
        <v>46035</v>
      </c>
      <c r="G80" s="4">
        <f t="shared" si="8"/>
        <v>17.777777777777779</v>
      </c>
      <c r="H80" s="43">
        <f t="shared" si="14"/>
        <v>8</v>
      </c>
      <c r="I80" s="14" t="s">
        <v>8</v>
      </c>
      <c r="J80" s="18">
        <v>187</v>
      </c>
      <c r="K80" s="17">
        <v>45990</v>
      </c>
      <c r="L80" s="17">
        <v>46035</v>
      </c>
      <c r="M80" s="4">
        <f t="shared" si="10"/>
        <v>17.777777777777779</v>
      </c>
      <c r="N80" s="4">
        <f t="shared" si="11"/>
        <v>8</v>
      </c>
      <c r="O80" s="91">
        <f t="shared" si="15"/>
        <v>17</v>
      </c>
      <c r="P80" s="74"/>
      <c r="Q80" s="14" t="s">
        <v>8</v>
      </c>
      <c r="R80" s="18">
        <v>154</v>
      </c>
      <c r="S80" s="17"/>
      <c r="T80" s="17"/>
      <c r="U80" s="4" t="str">
        <f t="shared" si="12"/>
        <v/>
      </c>
      <c r="V80" s="4">
        <f t="shared" si="13"/>
        <v>-46027</v>
      </c>
      <c r="W80" s="91">
        <f t="shared" si="17"/>
        <v>50</v>
      </c>
      <c r="X80" s="74"/>
    </row>
    <row r="81" spans="1:26" ht="22.15" customHeight="1">
      <c r="A81"/>
      <c r="B81" s="104" t="s">
        <v>83</v>
      </c>
      <c r="C81" s="87" t="s">
        <v>8</v>
      </c>
      <c r="D81" s="88">
        <v>25</v>
      </c>
      <c r="E81" s="84">
        <v>45998</v>
      </c>
      <c r="F81" s="84">
        <v>46038</v>
      </c>
      <c r="G81" s="4">
        <f t="shared" si="8"/>
        <v>27.500000000000004</v>
      </c>
      <c r="H81" s="43">
        <f t="shared" si="14"/>
        <v>11</v>
      </c>
      <c r="I81" s="20" t="s">
        <v>8</v>
      </c>
      <c r="J81" s="21">
        <v>0</v>
      </c>
      <c r="K81" s="17"/>
      <c r="L81" s="17">
        <v>46038</v>
      </c>
      <c r="M81" s="4">
        <f t="shared" si="10"/>
        <v>2.3893305530214171E-2</v>
      </c>
      <c r="N81" s="4">
        <f t="shared" si="11"/>
        <v>11</v>
      </c>
      <c r="O81" s="77">
        <f t="shared" si="15"/>
        <v>25</v>
      </c>
      <c r="P81" s="74"/>
      <c r="Q81" s="20" t="s">
        <v>8</v>
      </c>
      <c r="R81" s="21">
        <v>0</v>
      </c>
      <c r="S81" s="17"/>
      <c r="T81" s="17"/>
      <c r="U81" s="4" t="str">
        <f t="shared" si="12"/>
        <v/>
      </c>
      <c r="V81" s="4">
        <f t="shared" si="13"/>
        <v>-46027</v>
      </c>
      <c r="W81" s="103">
        <f t="shared" si="17"/>
        <v>25</v>
      </c>
      <c r="X81" s="74"/>
    </row>
    <row r="82" spans="1:26" ht="22.15" customHeight="1">
      <c r="A82"/>
      <c r="B82" s="104" t="s">
        <v>84</v>
      </c>
      <c r="C82" s="89" t="s">
        <v>8</v>
      </c>
      <c r="D82" s="85">
        <v>12</v>
      </c>
      <c r="E82" s="90">
        <v>45988</v>
      </c>
      <c r="F82" s="90">
        <v>46033</v>
      </c>
      <c r="G82" s="4">
        <f t="shared" si="8"/>
        <v>13.333333333333334</v>
      </c>
      <c r="H82" s="43">
        <f t="shared" si="14"/>
        <v>6</v>
      </c>
      <c r="I82" s="8" t="s">
        <v>8</v>
      </c>
      <c r="J82" s="22">
        <v>12</v>
      </c>
      <c r="K82" s="23">
        <v>45988</v>
      </c>
      <c r="L82" s="23">
        <v>46033</v>
      </c>
      <c r="M82" s="4">
        <f t="shared" si="10"/>
        <v>13.333333333333334</v>
      </c>
      <c r="N82" s="4">
        <f t="shared" si="11"/>
        <v>6</v>
      </c>
      <c r="O82" s="75">
        <f t="shared" si="15"/>
        <v>0</v>
      </c>
      <c r="P82" s="74"/>
      <c r="Q82" s="8" t="s">
        <v>8</v>
      </c>
      <c r="R82" s="22">
        <v>0</v>
      </c>
      <c r="S82" s="23"/>
      <c r="T82" s="23"/>
      <c r="U82" s="4" t="str">
        <f t="shared" si="12"/>
        <v/>
      </c>
      <c r="V82" s="4">
        <f t="shared" si="13"/>
        <v>-46027</v>
      </c>
      <c r="W82" s="103">
        <f t="shared" si="17"/>
        <v>12</v>
      </c>
      <c r="X82" s="74"/>
    </row>
    <row r="83" spans="1:26" ht="22.15" customHeight="1">
      <c r="A83"/>
      <c r="B83" s="104" t="s">
        <v>79</v>
      </c>
      <c r="C83" s="41"/>
      <c r="D83" s="45"/>
      <c r="E83" s="44"/>
      <c r="F83" s="44"/>
      <c r="G83" s="43" t="str">
        <f>IFERROR((F83-$G$1)/(F83-E83)*100,"")</f>
        <v/>
      </c>
      <c r="H83" s="43">
        <f t="shared" ref="H83" si="18">F83-$H$1</f>
        <v>-46027</v>
      </c>
      <c r="I83" s="14" t="s">
        <v>15</v>
      </c>
      <c r="J83" s="18">
        <v>8.8680000000000003</v>
      </c>
      <c r="K83" s="17">
        <v>46011</v>
      </c>
      <c r="L83" s="17">
        <v>46051</v>
      </c>
      <c r="M83" s="4">
        <f>IFERROR((L83-$G$1)/(L83-K83)*100,"")</f>
        <v>60</v>
      </c>
      <c r="N83" s="4">
        <f t="shared" si="11"/>
        <v>24</v>
      </c>
      <c r="O83" s="74"/>
      <c r="P83" s="74"/>
      <c r="Q83" s="14" t="s">
        <v>15</v>
      </c>
      <c r="R83" s="18">
        <v>0</v>
      </c>
      <c r="S83" s="17"/>
      <c r="T83" s="17"/>
      <c r="U83" s="4" t="str">
        <f>IFERROR((T83-$G$1)/(T83-S83)*100,"")</f>
        <v/>
      </c>
      <c r="V83" s="4">
        <f t="shared" si="13"/>
        <v>-46027</v>
      </c>
      <c r="W83" s="103">
        <f>J83-R83</f>
        <v>8.8680000000000003</v>
      </c>
      <c r="X83" s="74"/>
    </row>
    <row r="84" spans="1:26" ht="22.15" customHeight="1">
      <c r="A84"/>
      <c r="B84" s="104" t="s">
        <v>86</v>
      </c>
      <c r="C84" s="41"/>
      <c r="D84" s="42"/>
      <c r="E84" s="44"/>
      <c r="F84" s="44"/>
      <c r="G84" s="43" t="str">
        <f t="shared" ref="G84:G86" si="19">IFERROR((F84-$G$1)/(F84-E84)*100,"")</f>
        <v/>
      </c>
      <c r="H84" s="43">
        <f t="shared" ref="H84:H86" si="20">F84-$H$1</f>
        <v>-46027</v>
      </c>
      <c r="I84" s="14" t="s">
        <v>15</v>
      </c>
      <c r="J84" s="15">
        <v>28.334</v>
      </c>
      <c r="K84" s="17">
        <v>46010</v>
      </c>
      <c r="L84" s="17">
        <v>46050</v>
      </c>
      <c r="M84" s="4">
        <f t="shared" ref="M84:M87" si="21">IFERROR((L84-$G$1)/(L84-K84)*100,"")</f>
        <v>57.499999999999993</v>
      </c>
      <c r="N84" s="4">
        <f t="shared" si="11"/>
        <v>23</v>
      </c>
      <c r="O84" s="74"/>
      <c r="P84" s="74"/>
      <c r="Q84" s="14" t="s">
        <v>15</v>
      </c>
      <c r="R84" s="15">
        <v>0</v>
      </c>
      <c r="S84" s="17"/>
      <c r="T84" s="17"/>
      <c r="U84" s="4" t="str">
        <f t="shared" ref="U84:U108" si="22">IFERROR((T84-$G$1)/(T84-S84)*100,"")</f>
        <v/>
      </c>
      <c r="V84" s="4">
        <f t="shared" si="13"/>
        <v>-46027</v>
      </c>
      <c r="W84" s="103">
        <f t="shared" ref="W84:W87" si="23">J84-R84</f>
        <v>28.334</v>
      </c>
      <c r="X84" s="74"/>
    </row>
    <row r="85" spans="1:26" ht="22.15" customHeight="1">
      <c r="A85"/>
      <c r="B85" s="104" t="s">
        <v>86</v>
      </c>
      <c r="C85" s="41"/>
      <c r="D85" s="45"/>
      <c r="E85" s="44"/>
      <c r="F85" s="44"/>
      <c r="G85" s="43" t="str">
        <f t="shared" si="19"/>
        <v/>
      </c>
      <c r="H85" s="43">
        <f t="shared" si="20"/>
        <v>-46027</v>
      </c>
      <c r="I85" s="14" t="s">
        <v>15</v>
      </c>
      <c r="J85" s="18">
        <v>9.0210000000000008</v>
      </c>
      <c r="K85" s="17">
        <v>46007</v>
      </c>
      <c r="L85" s="17">
        <v>46047</v>
      </c>
      <c r="M85" s="4">
        <f t="shared" si="21"/>
        <v>50</v>
      </c>
      <c r="N85" s="4">
        <f t="shared" si="11"/>
        <v>20</v>
      </c>
      <c r="O85" s="74"/>
      <c r="P85" s="74"/>
      <c r="Q85" s="14" t="s">
        <v>15</v>
      </c>
      <c r="R85" s="18">
        <v>0</v>
      </c>
      <c r="S85" s="17"/>
      <c r="T85" s="17"/>
      <c r="U85" s="4" t="str">
        <f t="shared" si="22"/>
        <v/>
      </c>
      <c r="V85" s="4">
        <f t="shared" si="13"/>
        <v>-46027</v>
      </c>
      <c r="W85" s="103">
        <f t="shared" si="23"/>
        <v>9.0210000000000008</v>
      </c>
      <c r="X85" s="74"/>
      <c r="Z85" s="72"/>
    </row>
    <row r="86" spans="1:26" ht="22.15" customHeight="1">
      <c r="A86"/>
      <c r="B86" s="104" t="s">
        <v>86</v>
      </c>
      <c r="C86" s="41"/>
      <c r="D86" s="45"/>
      <c r="E86" s="44"/>
      <c r="F86" s="44"/>
      <c r="G86" s="43" t="str">
        <f t="shared" si="19"/>
        <v/>
      </c>
      <c r="H86" s="43">
        <f t="shared" si="20"/>
        <v>-46027</v>
      </c>
      <c r="I86" s="14" t="s">
        <v>15</v>
      </c>
      <c r="J86" s="18">
        <v>8.41</v>
      </c>
      <c r="K86" s="17">
        <v>46008</v>
      </c>
      <c r="L86" s="17">
        <v>46043</v>
      </c>
      <c r="M86" s="4">
        <f t="shared" si="21"/>
        <v>45.714285714285715</v>
      </c>
      <c r="N86" s="4">
        <f t="shared" si="11"/>
        <v>16</v>
      </c>
      <c r="O86" s="74"/>
      <c r="P86" s="74"/>
      <c r="Q86" s="14" t="s">
        <v>15</v>
      </c>
      <c r="R86" s="18">
        <v>0</v>
      </c>
      <c r="S86" s="17"/>
      <c r="T86" s="17"/>
      <c r="U86" s="4" t="str">
        <f t="shared" si="22"/>
        <v/>
      </c>
      <c r="V86" s="4">
        <f t="shared" si="13"/>
        <v>-46027</v>
      </c>
      <c r="W86" s="103">
        <f t="shared" si="23"/>
        <v>8.41</v>
      </c>
      <c r="X86" s="74"/>
    </row>
    <row r="87" spans="1:26" ht="22.15" customHeight="1">
      <c r="A87"/>
      <c r="B87" s="94" t="s">
        <v>87</v>
      </c>
      <c r="C87" s="41"/>
      <c r="D87" s="45"/>
      <c r="E87" s="44"/>
      <c r="F87" s="44"/>
      <c r="G87" s="43"/>
      <c r="H87" s="43"/>
      <c r="I87" s="14" t="s">
        <v>15</v>
      </c>
      <c r="J87" s="18">
        <v>84.07</v>
      </c>
      <c r="K87" s="17">
        <v>46010</v>
      </c>
      <c r="L87" s="17">
        <v>46050</v>
      </c>
      <c r="M87" s="4">
        <f t="shared" si="21"/>
        <v>57.499999999999993</v>
      </c>
      <c r="N87" s="4">
        <f t="shared" si="11"/>
        <v>23</v>
      </c>
      <c r="O87" s="74"/>
      <c r="P87" s="74"/>
      <c r="Q87" s="14" t="s">
        <v>15</v>
      </c>
      <c r="R87" s="18">
        <v>78.647999999999996</v>
      </c>
      <c r="S87" s="17">
        <v>46010</v>
      </c>
      <c r="T87" s="17">
        <v>46050</v>
      </c>
      <c r="U87" s="4">
        <f t="shared" si="22"/>
        <v>57.499999999999993</v>
      </c>
      <c r="V87" s="4">
        <f t="shared" si="13"/>
        <v>23</v>
      </c>
      <c r="W87" s="91">
        <f t="shared" si="23"/>
        <v>5.421999999999997</v>
      </c>
      <c r="X87" s="74"/>
    </row>
    <row r="88" spans="1:26" ht="22.15" customHeight="1">
      <c r="A88"/>
      <c r="B88" s="76" t="s">
        <v>88</v>
      </c>
      <c r="C88" s="41"/>
      <c r="D88" s="45"/>
      <c r="E88" s="44"/>
      <c r="F88" s="44"/>
      <c r="G88" s="43" t="str">
        <f t="shared" ref="G88" si="24">IFERROR((F88-$G$1)/(F88-E88)*100,"")</f>
        <v/>
      </c>
      <c r="H88" s="43">
        <f t="shared" ref="H88" si="25">F88-$H$1</f>
        <v>-46027</v>
      </c>
      <c r="I88" s="14" t="s">
        <v>8</v>
      </c>
      <c r="J88" s="18">
        <v>301</v>
      </c>
      <c r="K88" s="17">
        <v>46013</v>
      </c>
      <c r="L88" s="17">
        <v>46053</v>
      </c>
      <c r="M88" s="4">
        <f t="shared" ref="M88:M108" si="26">IFERROR((L88-$G$1)/(L88-K88)*100,"")</f>
        <v>65</v>
      </c>
      <c r="N88" s="4">
        <f t="shared" ref="N88:N95" si="27">L88-$H$1</f>
        <v>26</v>
      </c>
      <c r="O88" s="74"/>
      <c r="P88" s="74"/>
      <c r="Q88" s="14" t="s">
        <v>8</v>
      </c>
      <c r="R88" s="18">
        <v>0</v>
      </c>
      <c r="S88" s="17"/>
      <c r="T88" s="17"/>
      <c r="U88" s="4" t="str">
        <f t="shared" si="22"/>
        <v/>
      </c>
      <c r="V88" s="4">
        <f t="shared" si="13"/>
        <v>-46027</v>
      </c>
      <c r="W88" s="77">
        <f>J88-R88</f>
        <v>301</v>
      </c>
      <c r="X88" s="74"/>
    </row>
    <row r="89" spans="1:26" ht="22.15" customHeight="1">
      <c r="A89"/>
      <c r="B89" s="76" t="s">
        <v>82</v>
      </c>
      <c r="C89" s="41"/>
      <c r="D89" s="45"/>
      <c r="E89" s="44"/>
      <c r="F89" s="44"/>
      <c r="G89" s="43" t="str">
        <f t="shared" ref="G89:G91" si="28">IFERROR((F89-$G$1)/(F89-E89)*100,"")</f>
        <v/>
      </c>
      <c r="H89" s="43">
        <f t="shared" ref="H89:H91" si="29">F89-$H$1</f>
        <v>-46027</v>
      </c>
      <c r="I89" s="14" t="s">
        <v>8</v>
      </c>
      <c r="J89" s="18">
        <v>177</v>
      </c>
      <c r="K89" s="17">
        <v>45990</v>
      </c>
      <c r="L89" s="17">
        <v>46053</v>
      </c>
      <c r="M89" s="4">
        <f t="shared" si="26"/>
        <v>41.269841269841265</v>
      </c>
      <c r="N89" s="4">
        <f t="shared" si="27"/>
        <v>26</v>
      </c>
      <c r="O89" s="74"/>
      <c r="P89" s="74"/>
      <c r="Q89" s="14" t="s">
        <v>8</v>
      </c>
      <c r="R89" s="18">
        <v>0</v>
      </c>
      <c r="S89" s="17"/>
      <c r="T89" s="17"/>
      <c r="U89" s="4" t="str">
        <f t="shared" si="22"/>
        <v/>
      </c>
      <c r="V89" s="4">
        <f t="shared" si="13"/>
        <v>-46027</v>
      </c>
      <c r="W89" s="77">
        <f t="shared" ref="W89:W102" si="30">J89-R89</f>
        <v>177</v>
      </c>
      <c r="X89" s="74"/>
    </row>
    <row r="90" spans="1:26" ht="22.15" customHeight="1">
      <c r="A90"/>
      <c r="B90" s="76" t="s">
        <v>83</v>
      </c>
      <c r="C90" s="41"/>
      <c r="D90" s="45"/>
      <c r="E90" s="44"/>
      <c r="F90" s="44"/>
      <c r="G90" s="43" t="str">
        <f t="shared" si="28"/>
        <v/>
      </c>
      <c r="H90" s="43">
        <f t="shared" si="29"/>
        <v>-46027</v>
      </c>
      <c r="I90" s="14" t="s">
        <v>8</v>
      </c>
      <c r="J90" s="18">
        <v>95</v>
      </c>
      <c r="K90" s="17">
        <v>46013</v>
      </c>
      <c r="L90" s="17">
        <v>46053</v>
      </c>
      <c r="M90" s="4">
        <f t="shared" si="26"/>
        <v>65</v>
      </c>
      <c r="N90" s="4">
        <f t="shared" si="27"/>
        <v>26</v>
      </c>
      <c r="O90" s="74"/>
      <c r="P90" s="74"/>
      <c r="Q90" s="14" t="s">
        <v>8</v>
      </c>
      <c r="R90" s="18">
        <v>0</v>
      </c>
      <c r="S90" s="17"/>
      <c r="T90" s="17"/>
      <c r="U90" s="4" t="str">
        <f t="shared" si="22"/>
        <v/>
      </c>
      <c r="V90" s="4">
        <f t="shared" si="13"/>
        <v>-46027</v>
      </c>
      <c r="W90" s="77">
        <f t="shared" si="30"/>
        <v>95</v>
      </c>
      <c r="X90" s="74"/>
    </row>
    <row r="91" spans="1:26" ht="22.15" customHeight="1">
      <c r="A91"/>
      <c r="B91" s="76" t="s">
        <v>85</v>
      </c>
      <c r="C91" s="41"/>
      <c r="D91" s="45"/>
      <c r="E91" s="44"/>
      <c r="F91" s="44"/>
      <c r="G91" s="43" t="str">
        <f t="shared" si="28"/>
        <v/>
      </c>
      <c r="H91" s="43">
        <f t="shared" si="29"/>
        <v>-46027</v>
      </c>
      <c r="I91" s="14" t="s">
        <v>104</v>
      </c>
      <c r="J91" s="18">
        <v>3</v>
      </c>
      <c r="K91" s="17">
        <v>46010</v>
      </c>
      <c r="L91" s="17">
        <v>46050</v>
      </c>
      <c r="M91" s="4">
        <f t="shared" si="26"/>
        <v>57.499999999999993</v>
      </c>
      <c r="N91" s="4">
        <f t="shared" si="27"/>
        <v>23</v>
      </c>
      <c r="O91" s="74"/>
      <c r="P91" s="74"/>
      <c r="Q91" s="14" t="s">
        <v>101</v>
      </c>
      <c r="R91" s="18">
        <v>0</v>
      </c>
      <c r="S91" s="17"/>
      <c r="T91" s="17"/>
      <c r="U91" s="4" t="str">
        <f t="shared" si="22"/>
        <v/>
      </c>
      <c r="V91" s="4">
        <f t="shared" si="13"/>
        <v>-46027</v>
      </c>
      <c r="W91" s="77">
        <f t="shared" si="30"/>
        <v>3</v>
      </c>
      <c r="X91" s="74"/>
    </row>
    <row r="92" spans="1:26" ht="22.15" customHeight="1">
      <c r="A92"/>
      <c r="B92" s="76" t="s">
        <v>89</v>
      </c>
      <c r="C92" s="41"/>
      <c r="D92" s="45"/>
      <c r="E92" s="44"/>
      <c r="F92" s="44"/>
      <c r="G92" s="43" t="str">
        <f t="shared" ref="G92:G95" si="31">IFERROR((F92-$G$1)/(F92-E92)*100,"")</f>
        <v/>
      </c>
      <c r="H92" s="43">
        <f t="shared" ref="H92:H95" si="32">F92-$H$1</f>
        <v>-46027</v>
      </c>
      <c r="I92" s="14" t="s">
        <v>8</v>
      </c>
      <c r="J92" s="18">
        <v>263</v>
      </c>
      <c r="K92" s="17">
        <v>46009</v>
      </c>
      <c r="L92" s="17">
        <v>46049</v>
      </c>
      <c r="M92" s="4">
        <f t="shared" si="26"/>
        <v>55.000000000000007</v>
      </c>
      <c r="N92" s="4">
        <f t="shared" si="27"/>
        <v>22</v>
      </c>
      <c r="O92" s="74"/>
      <c r="P92" s="74"/>
      <c r="Q92" s="14" t="s">
        <v>8</v>
      </c>
      <c r="R92" s="18">
        <v>0</v>
      </c>
      <c r="S92" s="17"/>
      <c r="T92" s="17"/>
      <c r="U92" s="4" t="str">
        <f t="shared" si="22"/>
        <v/>
      </c>
      <c r="V92" s="4">
        <f t="shared" si="13"/>
        <v>-46027</v>
      </c>
      <c r="W92" s="77">
        <f t="shared" si="30"/>
        <v>263</v>
      </c>
      <c r="X92" s="74"/>
    </row>
    <row r="93" spans="1:26" ht="22.15" customHeight="1">
      <c r="A93"/>
      <c r="B93" s="76" t="s">
        <v>90</v>
      </c>
      <c r="C93" s="41"/>
      <c r="D93" s="45"/>
      <c r="E93" s="44"/>
      <c r="F93" s="44"/>
      <c r="G93" s="43" t="str">
        <f t="shared" si="31"/>
        <v/>
      </c>
      <c r="H93" s="43">
        <f t="shared" si="32"/>
        <v>-46027</v>
      </c>
      <c r="I93" s="14" t="s">
        <v>8</v>
      </c>
      <c r="J93" s="18">
        <v>210</v>
      </c>
      <c r="K93" s="17">
        <v>46004</v>
      </c>
      <c r="L93" s="17">
        <v>46044</v>
      </c>
      <c r="M93" s="4">
        <f t="shared" si="26"/>
        <v>42.5</v>
      </c>
      <c r="N93" s="4">
        <f t="shared" si="27"/>
        <v>17</v>
      </c>
      <c r="O93" s="74"/>
      <c r="P93" s="74"/>
      <c r="Q93" s="14" t="s">
        <v>8</v>
      </c>
      <c r="R93" s="18">
        <v>0</v>
      </c>
      <c r="S93" s="17"/>
      <c r="T93" s="17"/>
      <c r="U93" s="4" t="str">
        <f t="shared" si="22"/>
        <v/>
      </c>
      <c r="V93" s="4">
        <f t="shared" si="13"/>
        <v>-46027</v>
      </c>
      <c r="W93" s="77">
        <f t="shared" si="30"/>
        <v>210</v>
      </c>
      <c r="X93" s="74"/>
    </row>
    <row r="94" spans="1:26" ht="22.15" customHeight="1">
      <c r="A94" s="29"/>
      <c r="B94" s="76" t="s">
        <v>91</v>
      </c>
      <c r="C94" s="41"/>
      <c r="D94" s="45"/>
      <c r="E94" s="44"/>
      <c r="F94" s="44"/>
      <c r="G94" s="43" t="str">
        <f t="shared" si="31"/>
        <v/>
      </c>
      <c r="H94" s="43">
        <f t="shared" si="32"/>
        <v>-46027</v>
      </c>
      <c r="I94" s="14" t="s">
        <v>8</v>
      </c>
      <c r="J94" s="18">
        <v>359</v>
      </c>
      <c r="K94" s="17">
        <v>46012</v>
      </c>
      <c r="L94" s="17">
        <v>46042</v>
      </c>
      <c r="M94" s="4">
        <f t="shared" si="26"/>
        <v>50</v>
      </c>
      <c r="N94" s="4">
        <f t="shared" si="27"/>
        <v>15</v>
      </c>
      <c r="O94" s="74"/>
      <c r="P94" s="74"/>
      <c r="Q94" s="14" t="s">
        <v>8</v>
      </c>
      <c r="R94" s="18">
        <v>0</v>
      </c>
      <c r="S94" s="17"/>
      <c r="T94" s="17"/>
      <c r="U94" s="4" t="str">
        <f t="shared" si="22"/>
        <v/>
      </c>
      <c r="V94" s="4">
        <f t="shared" si="13"/>
        <v>-46027</v>
      </c>
      <c r="W94" s="77">
        <f t="shared" si="30"/>
        <v>359</v>
      </c>
      <c r="X94" s="74"/>
    </row>
    <row r="95" spans="1:26" ht="22.15" customHeight="1">
      <c r="A95" s="29"/>
      <c r="B95" s="76" t="s">
        <v>92</v>
      </c>
      <c r="C95" s="41"/>
      <c r="D95" s="58"/>
      <c r="E95" s="44"/>
      <c r="F95" s="56"/>
      <c r="G95" s="43" t="str">
        <f t="shared" si="31"/>
        <v/>
      </c>
      <c r="H95" s="43">
        <f t="shared" si="32"/>
        <v>-46027</v>
      </c>
      <c r="I95" s="14" t="s">
        <v>8</v>
      </c>
      <c r="J95" s="18">
        <v>31</v>
      </c>
      <c r="K95" s="17">
        <v>46010</v>
      </c>
      <c r="L95" s="17">
        <v>46050</v>
      </c>
      <c r="M95" s="4">
        <f t="shared" si="26"/>
        <v>57.499999999999993</v>
      </c>
      <c r="N95" s="4">
        <f t="shared" si="27"/>
        <v>23</v>
      </c>
      <c r="O95" s="74"/>
      <c r="P95" s="74"/>
      <c r="Q95" s="14" t="s">
        <v>8</v>
      </c>
      <c r="R95" s="18">
        <v>0</v>
      </c>
      <c r="S95" s="17"/>
      <c r="T95" s="17"/>
      <c r="U95" s="4" t="str">
        <f t="shared" si="22"/>
        <v/>
      </c>
      <c r="V95" s="4">
        <f t="shared" si="13"/>
        <v>-46027</v>
      </c>
      <c r="W95" s="77">
        <f t="shared" si="30"/>
        <v>31</v>
      </c>
      <c r="X95" s="74"/>
    </row>
    <row r="96" spans="1:26" ht="22.15" customHeight="1">
      <c r="A96" s="29"/>
      <c r="B96" s="76" t="s">
        <v>93</v>
      </c>
      <c r="C96" s="55"/>
      <c r="D96" s="59"/>
      <c r="E96" s="60"/>
      <c r="F96" s="61"/>
      <c r="G96" s="61"/>
      <c r="H96" s="48"/>
      <c r="I96" s="32" t="s">
        <v>8</v>
      </c>
      <c r="J96" s="34">
        <v>32</v>
      </c>
      <c r="K96" s="51">
        <v>46012</v>
      </c>
      <c r="L96" s="52">
        <v>46052</v>
      </c>
      <c r="M96" s="4">
        <f t="shared" si="26"/>
        <v>62.5</v>
      </c>
      <c r="N96" s="4">
        <f t="shared" ref="N96:N108" si="33">L96-$H$1</f>
        <v>25</v>
      </c>
      <c r="O96" s="74"/>
      <c r="P96" s="74"/>
      <c r="Q96" s="32" t="s">
        <v>8</v>
      </c>
      <c r="R96" s="34">
        <v>0</v>
      </c>
      <c r="S96" s="51"/>
      <c r="T96" s="52"/>
      <c r="U96" s="4" t="str">
        <f t="shared" si="22"/>
        <v/>
      </c>
      <c r="V96" s="4">
        <f t="shared" si="13"/>
        <v>-46027</v>
      </c>
      <c r="W96" s="77">
        <f t="shared" si="30"/>
        <v>32</v>
      </c>
      <c r="X96" s="74"/>
    </row>
    <row r="97" spans="1:24" ht="22.15" customHeight="1">
      <c r="A97" s="29"/>
      <c r="B97" s="76" t="s">
        <v>94</v>
      </c>
      <c r="C97" s="48"/>
      <c r="D97" s="49"/>
      <c r="E97" s="57"/>
      <c r="F97" s="48"/>
      <c r="G97" s="48"/>
      <c r="H97" s="57"/>
      <c r="I97" s="26" t="s">
        <v>8</v>
      </c>
      <c r="J97" s="27">
        <v>26</v>
      </c>
      <c r="K97" s="52">
        <v>46013</v>
      </c>
      <c r="L97" s="53">
        <v>46053</v>
      </c>
      <c r="M97" s="4">
        <f t="shared" si="26"/>
        <v>65</v>
      </c>
      <c r="N97" s="4">
        <f t="shared" si="33"/>
        <v>26</v>
      </c>
      <c r="O97" s="74"/>
      <c r="P97" s="74"/>
      <c r="Q97" s="26" t="s">
        <v>8</v>
      </c>
      <c r="R97" s="27">
        <v>0</v>
      </c>
      <c r="S97" s="52"/>
      <c r="T97" s="53"/>
      <c r="U97" s="4" t="str">
        <f t="shared" si="22"/>
        <v/>
      </c>
      <c r="V97" s="4">
        <f t="shared" si="13"/>
        <v>-46027</v>
      </c>
      <c r="W97" s="77">
        <f t="shared" si="30"/>
        <v>26</v>
      </c>
      <c r="X97" s="74"/>
    </row>
    <row r="98" spans="1:24" ht="22.15" customHeight="1">
      <c r="A98" s="29"/>
      <c r="B98" s="76" t="s">
        <v>95</v>
      </c>
      <c r="C98" s="48"/>
      <c r="D98" s="64"/>
      <c r="E98" s="48"/>
      <c r="F98" s="57"/>
      <c r="G98" s="48"/>
      <c r="H98" s="48"/>
      <c r="I98" s="26" t="s">
        <v>8</v>
      </c>
      <c r="J98" s="27">
        <v>68</v>
      </c>
      <c r="K98" s="52">
        <v>46011</v>
      </c>
      <c r="L98" s="52">
        <v>46051</v>
      </c>
      <c r="M98" s="4">
        <f t="shared" si="26"/>
        <v>60</v>
      </c>
      <c r="N98" s="4">
        <f t="shared" si="33"/>
        <v>24</v>
      </c>
      <c r="O98" s="74"/>
      <c r="P98" s="74"/>
      <c r="Q98" s="26" t="s">
        <v>8</v>
      </c>
      <c r="R98" s="27">
        <v>0</v>
      </c>
      <c r="S98" s="52"/>
      <c r="T98" s="52"/>
      <c r="U98" s="4" t="str">
        <f t="shared" si="22"/>
        <v/>
      </c>
      <c r="V98" s="4">
        <f t="shared" si="13"/>
        <v>-46027</v>
      </c>
      <c r="W98" s="77">
        <f t="shared" si="30"/>
        <v>68</v>
      </c>
      <c r="X98" s="74"/>
    </row>
    <row r="99" spans="1:24" ht="22.15" customHeight="1">
      <c r="A99" s="30"/>
      <c r="B99" s="76" t="s">
        <v>95</v>
      </c>
      <c r="C99" s="62"/>
      <c r="D99" s="63"/>
      <c r="E99" s="62"/>
      <c r="F99" s="57"/>
      <c r="G99" s="57"/>
      <c r="H99" s="48"/>
      <c r="I99" s="32" t="s">
        <v>8</v>
      </c>
      <c r="J99" s="31">
        <v>12</v>
      </c>
      <c r="K99" s="52">
        <v>46012</v>
      </c>
      <c r="L99" s="52">
        <v>46052</v>
      </c>
      <c r="M99" s="4">
        <f t="shared" si="26"/>
        <v>62.5</v>
      </c>
      <c r="N99" s="4">
        <f t="shared" si="33"/>
        <v>25</v>
      </c>
      <c r="O99" s="74"/>
      <c r="P99" s="74"/>
      <c r="Q99" s="32" t="s">
        <v>8</v>
      </c>
      <c r="R99" s="31">
        <v>0</v>
      </c>
      <c r="S99" s="52"/>
      <c r="T99" s="52"/>
      <c r="U99" s="4" t="str">
        <f t="shared" si="22"/>
        <v/>
      </c>
      <c r="V99" s="4">
        <f t="shared" si="13"/>
        <v>-46027</v>
      </c>
      <c r="W99" s="77">
        <f t="shared" si="30"/>
        <v>12</v>
      </c>
      <c r="X99" s="74"/>
    </row>
    <row r="100" spans="1:24" ht="22.15" customHeight="1">
      <c r="A100" s="28"/>
      <c r="B100" s="6" t="s">
        <v>96</v>
      </c>
      <c r="C100" s="48"/>
      <c r="D100" s="49"/>
      <c r="E100" s="57"/>
      <c r="F100" s="57"/>
      <c r="G100" s="48"/>
      <c r="H100" s="57"/>
      <c r="I100" s="26" t="s">
        <v>8</v>
      </c>
      <c r="J100" s="31">
        <v>10</v>
      </c>
      <c r="K100" s="52">
        <v>45994</v>
      </c>
      <c r="L100" s="52">
        <v>46044</v>
      </c>
      <c r="M100" s="4">
        <f t="shared" si="26"/>
        <v>34</v>
      </c>
      <c r="N100" s="4">
        <f t="shared" si="33"/>
        <v>17</v>
      </c>
      <c r="O100" s="74"/>
      <c r="P100" s="74"/>
      <c r="Q100" s="26" t="s">
        <v>8</v>
      </c>
      <c r="R100" s="31">
        <v>32</v>
      </c>
      <c r="S100" s="52">
        <v>45994</v>
      </c>
      <c r="T100" s="52">
        <v>46044</v>
      </c>
      <c r="U100" s="4">
        <f t="shared" si="22"/>
        <v>34</v>
      </c>
      <c r="V100" s="4">
        <f t="shared" si="13"/>
        <v>17</v>
      </c>
      <c r="W100" s="75">
        <f>J100-R100</f>
        <v>-22</v>
      </c>
      <c r="X100" s="74"/>
    </row>
    <row r="101" spans="1:24" ht="22.15" customHeight="1">
      <c r="A101"/>
      <c r="B101" s="6" t="s">
        <v>97</v>
      </c>
      <c r="C101" s="65"/>
      <c r="D101" s="66"/>
      <c r="E101" s="67"/>
      <c r="F101" s="61"/>
      <c r="G101" s="68"/>
      <c r="H101" s="46"/>
      <c r="I101" s="35" t="s">
        <v>8</v>
      </c>
      <c r="J101" s="37">
        <v>29</v>
      </c>
      <c r="K101" s="54">
        <v>45994</v>
      </c>
      <c r="L101" s="54">
        <v>46044</v>
      </c>
      <c r="M101" s="4">
        <f t="shared" si="26"/>
        <v>34</v>
      </c>
      <c r="N101" s="4">
        <f t="shared" si="33"/>
        <v>17</v>
      </c>
      <c r="O101" s="74"/>
      <c r="P101" s="74"/>
      <c r="Q101" s="35" t="s">
        <v>8</v>
      </c>
      <c r="R101" s="37">
        <v>19</v>
      </c>
      <c r="S101" s="54">
        <v>45994</v>
      </c>
      <c r="T101" s="54">
        <v>46044</v>
      </c>
      <c r="U101" s="4">
        <f t="shared" si="22"/>
        <v>34</v>
      </c>
      <c r="V101" s="4">
        <f t="shared" si="13"/>
        <v>17</v>
      </c>
      <c r="W101" s="75">
        <f t="shared" ref="W101:W102" si="34">J101-R101</f>
        <v>10</v>
      </c>
      <c r="X101" s="74"/>
    </row>
    <row r="102" spans="1:24" ht="22.15" customHeight="1">
      <c r="A102"/>
      <c r="B102" s="6" t="s">
        <v>98</v>
      </c>
      <c r="C102" s="57"/>
      <c r="D102" s="49"/>
      <c r="E102" s="57"/>
      <c r="F102" s="48"/>
      <c r="G102" s="48"/>
      <c r="H102" s="50"/>
      <c r="I102" s="26" t="s">
        <v>8</v>
      </c>
      <c r="J102" s="31">
        <v>28</v>
      </c>
      <c r="K102" s="53">
        <v>45993</v>
      </c>
      <c r="L102" s="53">
        <v>46043</v>
      </c>
      <c r="M102" s="4">
        <f t="shared" si="26"/>
        <v>32</v>
      </c>
      <c r="N102" s="4">
        <f t="shared" si="33"/>
        <v>16</v>
      </c>
      <c r="O102" s="74"/>
      <c r="P102" s="74"/>
      <c r="Q102" s="33" t="s">
        <v>8</v>
      </c>
      <c r="R102" s="31">
        <v>23</v>
      </c>
      <c r="S102" s="53">
        <v>45993</v>
      </c>
      <c r="T102" s="53">
        <v>46043</v>
      </c>
      <c r="U102" s="4">
        <f t="shared" si="22"/>
        <v>32</v>
      </c>
      <c r="V102" s="4">
        <f t="shared" si="13"/>
        <v>16</v>
      </c>
      <c r="W102" s="75">
        <f t="shared" si="34"/>
        <v>5</v>
      </c>
      <c r="X102" s="74"/>
    </row>
    <row r="103" spans="1:24" ht="22.15" customHeight="1">
      <c r="A103"/>
      <c r="B103" s="6" t="s">
        <v>102</v>
      </c>
      <c r="C103" s="57"/>
      <c r="D103" s="49"/>
      <c r="E103" s="57"/>
      <c r="F103" s="48"/>
      <c r="G103" s="48"/>
      <c r="H103" s="48"/>
      <c r="I103" s="33"/>
      <c r="J103" s="31"/>
      <c r="K103" s="33"/>
      <c r="L103" s="33"/>
      <c r="M103" s="4" t="str">
        <f t="shared" si="26"/>
        <v/>
      </c>
      <c r="N103" s="4">
        <f t="shared" si="33"/>
        <v>-46027</v>
      </c>
      <c r="O103" s="74"/>
      <c r="P103" s="74"/>
      <c r="Q103" s="33" t="s">
        <v>101</v>
      </c>
      <c r="R103" s="31">
        <v>30</v>
      </c>
      <c r="S103" s="53">
        <v>45994</v>
      </c>
      <c r="T103" s="53">
        <v>46044</v>
      </c>
      <c r="U103" s="4">
        <f t="shared" si="22"/>
        <v>34</v>
      </c>
      <c r="V103" s="4">
        <f t="shared" ref="V103:V108" si="35">T103-$H$1</f>
        <v>17</v>
      </c>
      <c r="W103" s="74"/>
      <c r="X103" s="74"/>
    </row>
    <row r="104" spans="1:24" ht="22.15" customHeight="1">
      <c r="A104"/>
      <c r="B104" s="6" t="s">
        <v>103</v>
      </c>
      <c r="C104" s="57"/>
      <c r="D104" s="49"/>
      <c r="E104" s="57"/>
      <c r="F104" s="48"/>
      <c r="G104" s="48"/>
      <c r="H104" s="48"/>
      <c r="I104" s="33"/>
      <c r="J104" s="31"/>
      <c r="K104" s="33"/>
      <c r="L104" s="33"/>
      <c r="M104" s="4" t="str">
        <f t="shared" si="26"/>
        <v/>
      </c>
      <c r="N104" s="4">
        <f t="shared" si="33"/>
        <v>-46027</v>
      </c>
      <c r="O104" s="74"/>
      <c r="P104" s="74"/>
      <c r="Q104" s="33" t="s">
        <v>101</v>
      </c>
      <c r="R104" s="31">
        <v>20</v>
      </c>
      <c r="S104" s="53">
        <v>46006</v>
      </c>
      <c r="T104" s="53">
        <v>46051</v>
      </c>
      <c r="U104" s="4">
        <f t="shared" si="22"/>
        <v>53.333333333333336</v>
      </c>
      <c r="V104" s="4">
        <f t="shared" si="35"/>
        <v>24</v>
      </c>
      <c r="W104" s="74"/>
      <c r="X104" s="74"/>
    </row>
    <row r="105" spans="1:24" ht="22.15" customHeight="1">
      <c r="A105"/>
      <c r="B105" s="36"/>
      <c r="C105" s="57"/>
      <c r="D105" s="49"/>
      <c r="E105" s="57"/>
      <c r="F105" s="48"/>
      <c r="G105" s="48"/>
      <c r="H105" s="48"/>
      <c r="I105" s="33"/>
      <c r="J105" s="31"/>
      <c r="K105" s="33"/>
      <c r="L105" s="33"/>
      <c r="M105" s="4" t="str">
        <f t="shared" si="26"/>
        <v/>
      </c>
      <c r="N105" s="4">
        <f t="shared" si="33"/>
        <v>-46027</v>
      </c>
      <c r="O105" s="74"/>
      <c r="P105" s="74"/>
      <c r="Q105" s="33"/>
      <c r="R105" s="31"/>
      <c r="S105" s="33"/>
      <c r="T105" s="33"/>
      <c r="U105" s="4" t="str">
        <f t="shared" si="22"/>
        <v/>
      </c>
      <c r="V105" s="4">
        <f t="shared" si="35"/>
        <v>-46027</v>
      </c>
      <c r="W105" s="74"/>
      <c r="X105" s="74"/>
    </row>
    <row r="106" spans="1:24" ht="22.15" customHeight="1">
      <c r="A106"/>
      <c r="B106" s="36"/>
      <c r="C106" s="57"/>
      <c r="D106" s="64"/>
      <c r="E106" s="57"/>
      <c r="F106" s="57"/>
      <c r="G106" s="48"/>
      <c r="H106" s="48"/>
      <c r="I106" s="33"/>
      <c r="J106" s="31"/>
      <c r="K106" s="33"/>
      <c r="L106" s="33"/>
      <c r="M106" s="4" t="str">
        <f t="shared" si="26"/>
        <v/>
      </c>
      <c r="N106" s="4">
        <f t="shared" si="33"/>
        <v>-46027</v>
      </c>
      <c r="O106" s="74"/>
      <c r="P106" s="74"/>
      <c r="Q106" s="33"/>
      <c r="R106" s="31"/>
      <c r="S106" s="33"/>
      <c r="T106" s="33"/>
      <c r="U106" s="4" t="str">
        <f t="shared" si="22"/>
        <v/>
      </c>
      <c r="V106" s="4">
        <f t="shared" si="35"/>
        <v>-46027</v>
      </c>
      <c r="W106" s="74"/>
      <c r="X106" s="74"/>
    </row>
    <row r="107" spans="1:24" ht="22.15" customHeight="1">
      <c r="A107"/>
      <c r="B107" s="36"/>
      <c r="C107" s="48"/>
      <c r="D107" s="64"/>
      <c r="E107" s="57"/>
      <c r="F107" s="57"/>
      <c r="G107" s="57"/>
      <c r="H107" s="57"/>
      <c r="I107" s="33"/>
      <c r="J107" s="31"/>
      <c r="K107" s="33"/>
      <c r="L107" s="33"/>
      <c r="M107" s="4" t="str">
        <f t="shared" si="26"/>
        <v/>
      </c>
      <c r="N107" s="4">
        <f t="shared" si="33"/>
        <v>-46027</v>
      </c>
      <c r="O107" s="74"/>
      <c r="P107" s="74"/>
      <c r="Q107" s="33"/>
      <c r="R107" s="31"/>
      <c r="S107" s="33"/>
      <c r="T107" s="33"/>
      <c r="U107" s="4" t="str">
        <f t="shared" si="22"/>
        <v/>
      </c>
      <c r="V107" s="4">
        <f t="shared" si="35"/>
        <v>-46027</v>
      </c>
      <c r="W107" s="74"/>
      <c r="X107" s="74"/>
    </row>
    <row r="108" spans="1:24" ht="22.15" customHeight="1">
      <c r="A108"/>
      <c r="B108" s="36"/>
      <c r="C108" s="48"/>
      <c r="D108" s="64"/>
      <c r="E108" s="57"/>
      <c r="F108" s="57"/>
      <c r="G108" s="57"/>
      <c r="H108" s="57"/>
      <c r="I108" s="33"/>
      <c r="J108" s="31"/>
      <c r="K108" s="33"/>
      <c r="L108" s="33"/>
      <c r="M108" s="4" t="str">
        <f t="shared" si="26"/>
        <v/>
      </c>
      <c r="N108" s="4">
        <f t="shared" si="33"/>
        <v>-46027</v>
      </c>
      <c r="O108" s="74"/>
      <c r="P108" s="74"/>
      <c r="Q108" s="96"/>
      <c r="R108" s="31"/>
      <c r="S108" s="33"/>
      <c r="T108" s="95"/>
      <c r="U108" s="4" t="str">
        <f t="shared" si="22"/>
        <v/>
      </c>
      <c r="V108" s="4">
        <f t="shared" si="35"/>
        <v>-46027</v>
      </c>
      <c r="W108" s="74"/>
      <c r="X108" s="74"/>
    </row>
    <row r="109" spans="1:24" ht="22.15" customHeight="1">
      <c r="A109"/>
      <c r="B109"/>
      <c r="C109" s="46"/>
      <c r="D109" s="47"/>
      <c r="E109" s="46"/>
      <c r="F109" s="46"/>
      <c r="G109" s="46"/>
      <c r="H109" s="46"/>
      <c r="I109" s="24"/>
      <c r="J109" s="25"/>
      <c r="K109" s="24"/>
      <c r="L109" s="24"/>
      <c r="M109" s="24"/>
      <c r="N109" s="24"/>
      <c r="O109" s="97"/>
      <c r="Q109" s="24"/>
      <c r="R109" s="25"/>
      <c r="S109" s="24"/>
      <c r="T109" s="24"/>
      <c r="U109" s="24"/>
      <c r="V109" s="24"/>
    </row>
    <row r="110" spans="1:24" ht="22.15" customHeight="1">
      <c r="A110"/>
      <c r="B110"/>
      <c r="C110" s="46"/>
      <c r="D110" s="47"/>
      <c r="E110" s="46"/>
      <c r="F110" s="46"/>
      <c r="G110" s="46"/>
      <c r="H110" s="46"/>
      <c r="I110" s="24"/>
      <c r="J110" s="25"/>
      <c r="K110" s="24"/>
      <c r="L110" s="24"/>
      <c r="M110" s="24"/>
      <c r="N110" s="24"/>
      <c r="Q110" s="24"/>
      <c r="R110" s="25"/>
      <c r="S110" s="24"/>
      <c r="T110" s="24"/>
      <c r="U110" s="24"/>
      <c r="V110" s="24"/>
    </row>
    <row r="111" spans="1:24" ht="22.15" customHeight="1">
      <c r="A111"/>
      <c r="B111"/>
      <c r="C111" s="46"/>
      <c r="D111" s="47"/>
      <c r="E111" s="46"/>
      <c r="F111" s="46"/>
      <c r="I111" s="24"/>
      <c r="J111" s="25"/>
      <c r="K111" s="24"/>
      <c r="L111" s="24"/>
      <c r="Q111" s="24"/>
      <c r="R111" s="25"/>
      <c r="S111" s="24"/>
      <c r="T111" s="24"/>
    </row>
  </sheetData>
  <mergeCells count="5">
    <mergeCell ref="O3:Z3"/>
    <mergeCell ref="O4:Z5"/>
    <mergeCell ref="O7:Z7"/>
    <mergeCell ref="O8:Z8"/>
    <mergeCell ref="O9:Z10"/>
  </mergeCells>
  <phoneticPr fontId="9" type="noConversion"/>
  <conditionalFormatting sqref="M3:N108 G3:H95">
    <cfRule type="cellIs" dxfId="17" priority="61" stopIfTrue="1" operator="equal">
      <formula>50</formula>
    </cfRule>
    <cfRule type="cellIs" dxfId="16" priority="62" stopIfTrue="1" operator="lessThan">
      <formula>50</formula>
    </cfRule>
    <cfRule type="cellIs" dxfId="15" priority="63" stopIfTrue="1" operator="greaterThan">
      <formula>50</formula>
    </cfRule>
  </conditionalFormatting>
  <conditionalFormatting sqref="H3:H95 N3:N108">
    <cfRule type="cellIs" dxfId="14" priority="55" stopIfTrue="1" operator="between">
      <formula>15</formula>
      <formula>20</formula>
    </cfRule>
    <cfRule type="cellIs" dxfId="13" priority="56" stopIfTrue="1" operator="lessThan">
      <formula>15</formula>
    </cfRule>
    <cfRule type="cellIs" dxfId="12" priority="57" stopIfTrue="1" operator="greaterThan">
      <formula>20</formula>
    </cfRule>
    <cfRule type="cellIs" dxfId="11" priority="58" stopIfTrue="1" operator="between">
      <formula>15</formula>
      <formula>20</formula>
    </cfRule>
    <cfRule type="cellIs" dxfId="10" priority="59" stopIfTrue="1" operator="lessThan">
      <formula>15</formula>
    </cfRule>
    <cfRule type="cellIs" dxfId="9" priority="60" stopIfTrue="1" operator="greaterThan">
      <formula>20</formula>
    </cfRule>
  </conditionalFormatting>
  <conditionalFormatting sqref="U3:V108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V3:V108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2026-01-12T13:06:34Z</dcterms:modified>
</cp:coreProperties>
</file>