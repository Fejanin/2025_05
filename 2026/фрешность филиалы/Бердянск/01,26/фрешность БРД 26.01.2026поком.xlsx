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24000" windowHeight="9330"/>
  </bookViews>
  <sheets>
    <sheet name="Лист1" sheetId="1" r:id="rId1"/>
  </sheets>
  <calcPr calcId="125725" refMode="R1C1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C115" i="1"/>
  <c r="BC116"/>
  <c r="BC114"/>
  <c r="BB135" l="1"/>
  <c r="BA135"/>
  <c r="BB134"/>
  <c r="BA134"/>
  <c r="BB133"/>
  <c r="BA133"/>
  <c r="BB132"/>
  <c r="BA132"/>
  <c r="BB131"/>
  <c r="BA131"/>
  <c r="BB130"/>
  <c r="BA130"/>
  <c r="BB129"/>
  <c r="BA129"/>
  <c r="BB128"/>
  <c r="BA128"/>
  <c r="BB127"/>
  <c r="BA127"/>
  <c r="BB126"/>
  <c r="BA126"/>
  <c r="BB125"/>
  <c r="BA125"/>
  <c r="BB124"/>
  <c r="BA124"/>
  <c r="BB123"/>
  <c r="BA123"/>
  <c r="BB122"/>
  <c r="BA122"/>
  <c r="BB121"/>
  <c r="BA121"/>
  <c r="BB120"/>
  <c r="BA120"/>
  <c r="BB119"/>
  <c r="BA119"/>
  <c r="BB118"/>
  <c r="BA118"/>
  <c r="BB117"/>
  <c r="BA117"/>
  <c r="BB116"/>
  <c r="BA116"/>
  <c r="BB115"/>
  <c r="BA115"/>
  <c r="BB114"/>
  <c r="BA114"/>
  <c r="BB113"/>
  <c r="BA113"/>
  <c r="BB112"/>
  <c r="BA112"/>
  <c r="BB111"/>
  <c r="BA111"/>
  <c r="BB110"/>
  <c r="BA110"/>
  <c r="BB109"/>
  <c r="BA109"/>
  <c r="BB108"/>
  <c r="BA108"/>
  <c r="BB107"/>
  <c r="BA107"/>
  <c r="BB106"/>
  <c r="BA106"/>
  <c r="BB105"/>
  <c r="BA105"/>
  <c r="BB104"/>
  <c r="BA104"/>
  <c r="BB103"/>
  <c r="BA103"/>
  <c r="BB102"/>
  <c r="BA102"/>
  <c r="BB101"/>
  <c r="BA101"/>
  <c r="BB100"/>
  <c r="BA100"/>
  <c r="BB99"/>
  <c r="BA99"/>
  <c r="BB98"/>
  <c r="BA98"/>
  <c r="BB97"/>
  <c r="BA97"/>
  <c r="BB96"/>
  <c r="BA96"/>
  <c r="BB95"/>
  <c r="BA95"/>
  <c r="BB94"/>
  <c r="BA94"/>
  <c r="BB93"/>
  <c r="BA93"/>
  <c r="BB92"/>
  <c r="BA92"/>
  <c r="BB91"/>
  <c r="BA91"/>
  <c r="BB90"/>
  <c r="BA90"/>
  <c r="BB89"/>
  <c r="BA89"/>
  <c r="BB88"/>
  <c r="BA88"/>
  <c r="BB87"/>
  <c r="BA87"/>
  <c r="BB86"/>
  <c r="BA86"/>
  <c r="BB85"/>
  <c r="BA85"/>
  <c r="BB84"/>
  <c r="BA84"/>
  <c r="BB83"/>
  <c r="BA83"/>
  <c r="BB82"/>
  <c r="BA82"/>
  <c r="BB81"/>
  <c r="BA81"/>
  <c r="BB80"/>
  <c r="BA80"/>
  <c r="BB79"/>
  <c r="BA79"/>
  <c r="BB78"/>
  <c r="BA78"/>
  <c r="BB77"/>
  <c r="BA77"/>
  <c r="BB76"/>
  <c r="BA76"/>
  <c r="BB75"/>
  <c r="BA75"/>
  <c r="BB74"/>
  <c r="BA74"/>
  <c r="BB73"/>
  <c r="BA73"/>
  <c r="BB72"/>
  <c r="BA72"/>
  <c r="BB71"/>
  <c r="BA71"/>
  <c r="BB70"/>
  <c r="BA70"/>
  <c r="BB69"/>
  <c r="BA69"/>
  <c r="BB68"/>
  <c r="BA68"/>
  <c r="BB67"/>
  <c r="BA67"/>
  <c r="BB66"/>
  <c r="BA66"/>
  <c r="BB65"/>
  <c r="BA65"/>
  <c r="BB64"/>
  <c r="BA64"/>
  <c r="BB63"/>
  <c r="BA63"/>
  <c r="BB62"/>
  <c r="BA62"/>
  <c r="BB61"/>
  <c r="BA61"/>
  <c r="BB60"/>
  <c r="BA60"/>
  <c r="BB59"/>
  <c r="BA59"/>
  <c r="BB58"/>
  <c r="BA58"/>
  <c r="BB57"/>
  <c r="BA57"/>
  <c r="BB56"/>
  <c r="BA56"/>
  <c r="BB55"/>
  <c r="BA55"/>
  <c r="BB54"/>
  <c r="BA54"/>
  <c r="BB53"/>
  <c r="BA53"/>
  <c r="BB52"/>
  <c r="BA52"/>
  <c r="BB51"/>
  <c r="BA51"/>
  <c r="BB50"/>
  <c r="BA50"/>
  <c r="BB49"/>
  <c r="BA49"/>
  <c r="BB48"/>
  <c r="BA48"/>
  <c r="BB47"/>
  <c r="BA47"/>
  <c r="BB46"/>
  <c r="BA46"/>
  <c r="BB45"/>
  <c r="BA45"/>
  <c r="BB44"/>
  <c r="BA44"/>
  <c r="BB43"/>
  <c r="BA43"/>
  <c r="BB42"/>
  <c r="BA42"/>
  <c r="BB41"/>
  <c r="BA41"/>
  <c r="BB40"/>
  <c r="BA40"/>
  <c r="BB39"/>
  <c r="BA39"/>
  <c r="BB38"/>
  <c r="BA38"/>
  <c r="BB37"/>
  <c r="BA37"/>
  <c r="BB36"/>
  <c r="BA36"/>
  <c r="BB35"/>
  <c r="BA35"/>
  <c r="BB34"/>
  <c r="BA34"/>
  <c r="BB33"/>
  <c r="BA33"/>
  <c r="BB32"/>
  <c r="BA32"/>
  <c r="BB31"/>
  <c r="BA31"/>
  <c r="BB30"/>
  <c r="BA30"/>
  <c r="BB29"/>
  <c r="BA29"/>
  <c r="BB28"/>
  <c r="BA28"/>
  <c r="BB27"/>
  <c r="BA27"/>
  <c r="BB26"/>
  <c r="BA26"/>
  <c r="BB25"/>
  <c r="BA25"/>
  <c r="BB24"/>
  <c r="BA24"/>
  <c r="BB23"/>
  <c r="BA23"/>
  <c r="BB22"/>
  <c r="BA22"/>
  <c r="BB21"/>
  <c r="BA21"/>
  <c r="BB20"/>
  <c r="BA20"/>
  <c r="BB19"/>
  <c r="BA19"/>
  <c r="BB18"/>
  <c r="BA18"/>
  <c r="BB17"/>
  <c r="BA17"/>
  <c r="BB16"/>
  <c r="BA16"/>
  <c r="BB15"/>
  <c r="BA15"/>
  <c r="BB14"/>
  <c r="BA14"/>
  <c r="BB13"/>
  <c r="BA13"/>
  <c r="BB12"/>
  <c r="BA12"/>
  <c r="BB11"/>
  <c r="BA11"/>
  <c r="BB6"/>
  <c r="BA6"/>
  <c r="AU110"/>
  <c r="U108" l="1"/>
  <c r="U109"/>
  <c r="U110"/>
  <c r="U111"/>
  <c r="U112"/>
  <c r="U113"/>
  <c r="U114"/>
  <c r="U115"/>
  <c r="U116"/>
  <c r="U117"/>
  <c r="U118"/>
  <c r="U119"/>
  <c r="U120"/>
  <c r="U121"/>
  <c r="U122"/>
  <c r="U123"/>
  <c r="U124"/>
  <c r="U125"/>
  <c r="U126"/>
  <c r="U127"/>
  <c r="U128"/>
  <c r="U129"/>
  <c r="U130"/>
  <c r="U131"/>
  <c r="U132"/>
  <c r="U133"/>
  <c r="U134"/>
  <c r="U135"/>
  <c r="V108"/>
  <c r="V109"/>
  <c r="V110"/>
  <c r="V111"/>
  <c r="V112"/>
  <c r="V113"/>
  <c r="V114"/>
  <c r="V115"/>
  <c r="V116"/>
  <c r="V117"/>
  <c r="V118"/>
  <c r="V119"/>
  <c r="V120"/>
  <c r="V121"/>
  <c r="V122"/>
  <c r="V123"/>
  <c r="V124"/>
  <c r="V125"/>
  <c r="V126"/>
  <c r="V127"/>
  <c r="V128"/>
  <c r="V129"/>
  <c r="V130"/>
  <c r="V131"/>
  <c r="V132"/>
  <c r="V133"/>
  <c r="V134"/>
  <c r="V135"/>
  <c r="AT135" l="1"/>
  <c r="AS135"/>
  <c r="AT134"/>
  <c r="AS134"/>
  <c r="AT133"/>
  <c r="AS133"/>
  <c r="AT132"/>
  <c r="AS132"/>
  <c r="AT131"/>
  <c r="AS131"/>
  <c r="AT130"/>
  <c r="AS130"/>
  <c r="AT129"/>
  <c r="AS129"/>
  <c r="AT128"/>
  <c r="AS128"/>
  <c r="AT127"/>
  <c r="AS127"/>
  <c r="AT126"/>
  <c r="AS126"/>
  <c r="AT125"/>
  <c r="AS125"/>
  <c r="AT124"/>
  <c r="AS124"/>
  <c r="AT123"/>
  <c r="AS123"/>
  <c r="AT122"/>
  <c r="AS122"/>
  <c r="AT121"/>
  <c r="AS121"/>
  <c r="AT120"/>
  <c r="AS120"/>
  <c r="AT119"/>
  <c r="AS119"/>
  <c r="AT118"/>
  <c r="AS118"/>
  <c r="AT117"/>
  <c r="AS117"/>
  <c r="AT116"/>
  <c r="AS116"/>
  <c r="AT115"/>
  <c r="AS115"/>
  <c r="AT114"/>
  <c r="AS114"/>
  <c r="AT113"/>
  <c r="AS113"/>
  <c r="AT112"/>
  <c r="AS112"/>
  <c r="AT111"/>
  <c r="AS111"/>
  <c r="AT110"/>
  <c r="AS110"/>
  <c r="AT109"/>
  <c r="AS109"/>
  <c r="AT108"/>
  <c r="AS108"/>
  <c r="AT107"/>
  <c r="AS107"/>
  <c r="AT106"/>
  <c r="AS106"/>
  <c r="AT105"/>
  <c r="AS105"/>
  <c r="AT104"/>
  <c r="AS104"/>
  <c r="AT103"/>
  <c r="AS103"/>
  <c r="AT102"/>
  <c r="AS102"/>
  <c r="AT101"/>
  <c r="AS101"/>
  <c r="AT100"/>
  <c r="AS100"/>
  <c r="AT99"/>
  <c r="AS99"/>
  <c r="AT98"/>
  <c r="AS98"/>
  <c r="AT97"/>
  <c r="AS97"/>
  <c r="AT96"/>
  <c r="AS96"/>
  <c r="AT95"/>
  <c r="AS95"/>
  <c r="AT94"/>
  <c r="AS94"/>
  <c r="AT93"/>
  <c r="AS93"/>
  <c r="AT92"/>
  <c r="AS92"/>
  <c r="AT91"/>
  <c r="AS91"/>
  <c r="AT90"/>
  <c r="AS90"/>
  <c r="AT89"/>
  <c r="AS89"/>
  <c r="AT88"/>
  <c r="AS88"/>
  <c r="AT87"/>
  <c r="AS87"/>
  <c r="AT86"/>
  <c r="AS86"/>
  <c r="AT85"/>
  <c r="AS85"/>
  <c r="AT84"/>
  <c r="AS84"/>
  <c r="AT83"/>
  <c r="AS83"/>
  <c r="AT82"/>
  <c r="AS82"/>
  <c r="AT81"/>
  <c r="AS81"/>
  <c r="AT80"/>
  <c r="AS80"/>
  <c r="AT79"/>
  <c r="AS79"/>
  <c r="AT78"/>
  <c r="AS78"/>
  <c r="AT77"/>
  <c r="AS77"/>
  <c r="AT76"/>
  <c r="AS76"/>
  <c r="AT75"/>
  <c r="AS75"/>
  <c r="AT74"/>
  <c r="AS74"/>
  <c r="AT73"/>
  <c r="AS73"/>
  <c r="AT72"/>
  <c r="AS72"/>
  <c r="AT71"/>
  <c r="AS71"/>
  <c r="AT70"/>
  <c r="AS70"/>
  <c r="AT69"/>
  <c r="AS69"/>
  <c r="AT68"/>
  <c r="AS68"/>
  <c r="AT67"/>
  <c r="AS67"/>
  <c r="AT66"/>
  <c r="AS66"/>
  <c r="AT65"/>
  <c r="AS65"/>
  <c r="AT64"/>
  <c r="AS64"/>
  <c r="AT63"/>
  <c r="AS63"/>
  <c r="AT62"/>
  <c r="AS62"/>
  <c r="AT61"/>
  <c r="AS61"/>
  <c r="AT60"/>
  <c r="AS60"/>
  <c r="AT59"/>
  <c r="AS59"/>
  <c r="AT58"/>
  <c r="AS58"/>
  <c r="AT57"/>
  <c r="AS57"/>
  <c r="AT56"/>
  <c r="AS56"/>
  <c r="AT55"/>
  <c r="AS55"/>
  <c r="AT54"/>
  <c r="AS54"/>
  <c r="AT53"/>
  <c r="AS53"/>
  <c r="AT52"/>
  <c r="AS52"/>
  <c r="AT51"/>
  <c r="AS51"/>
  <c r="AT50"/>
  <c r="AS50"/>
  <c r="AT49"/>
  <c r="AS49"/>
  <c r="AT48"/>
  <c r="AS48"/>
  <c r="AT47"/>
  <c r="AS47"/>
  <c r="AT46"/>
  <c r="AS46"/>
  <c r="AT45"/>
  <c r="AS45"/>
  <c r="AT44"/>
  <c r="AS44"/>
  <c r="AT43"/>
  <c r="AS43"/>
  <c r="AT42"/>
  <c r="AS42"/>
  <c r="AT41"/>
  <c r="AS41"/>
  <c r="AT40"/>
  <c r="AS40"/>
  <c r="AT39"/>
  <c r="AS39"/>
  <c r="AT38"/>
  <c r="AS38"/>
  <c r="AT37"/>
  <c r="AS37"/>
  <c r="AT36"/>
  <c r="AS36"/>
  <c r="AT35"/>
  <c r="AS35"/>
  <c r="AT34"/>
  <c r="AS34"/>
  <c r="AT33"/>
  <c r="AS33"/>
  <c r="AT32"/>
  <c r="AS32"/>
  <c r="AT31"/>
  <c r="AS31"/>
  <c r="AT30"/>
  <c r="AS30"/>
  <c r="AT29"/>
  <c r="AS29"/>
  <c r="AT28"/>
  <c r="AS28"/>
  <c r="AT27"/>
  <c r="AS27"/>
  <c r="AT26"/>
  <c r="AS26"/>
  <c r="AT25"/>
  <c r="AS25"/>
  <c r="AT24"/>
  <c r="AS24"/>
  <c r="AT23"/>
  <c r="AS23"/>
  <c r="AT22"/>
  <c r="AS22"/>
  <c r="AT21"/>
  <c r="AS21"/>
  <c r="AT20"/>
  <c r="AS20"/>
  <c r="AT19"/>
  <c r="AS19"/>
  <c r="AT18"/>
  <c r="AS18"/>
  <c r="AT17"/>
  <c r="AS17"/>
  <c r="AT16"/>
  <c r="AS16"/>
  <c r="AT15"/>
  <c r="AS15"/>
  <c r="AT14"/>
  <c r="AS14"/>
  <c r="AT13"/>
  <c r="AS13"/>
  <c r="AT12"/>
  <c r="AS12"/>
  <c r="AT11"/>
  <c r="AS11"/>
  <c r="AT6"/>
  <c r="AS6"/>
  <c r="G96"/>
  <c r="G97"/>
  <c r="G98"/>
  <c r="G99"/>
  <c r="G100"/>
  <c r="G101"/>
  <c r="G102"/>
  <c r="G103"/>
  <c r="G104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G122"/>
  <c r="G123"/>
  <c r="G124"/>
  <c r="G125"/>
  <c r="G126"/>
  <c r="G127"/>
  <c r="G128"/>
  <c r="G129"/>
  <c r="G130"/>
  <c r="G131"/>
  <c r="G132"/>
  <c r="G133"/>
  <c r="G134"/>
  <c r="G13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N108"/>
  <c r="N109"/>
  <c r="N110"/>
  <c r="N111"/>
  <c r="N112"/>
  <c r="N113"/>
  <c r="N114"/>
  <c r="N115"/>
  <c r="N116"/>
  <c r="N117"/>
  <c r="N118"/>
  <c r="N119"/>
  <c r="N120"/>
  <c r="N121"/>
  <c r="N122"/>
  <c r="N123"/>
  <c r="N124"/>
  <c r="N125"/>
  <c r="N126"/>
  <c r="N127"/>
  <c r="N128"/>
  <c r="N129"/>
  <c r="N130"/>
  <c r="N131"/>
  <c r="N132"/>
  <c r="N133"/>
  <c r="N134"/>
  <c r="N135"/>
  <c r="AC117"/>
  <c r="AC118"/>
  <c r="AC119"/>
  <c r="AC120"/>
  <c r="AC121"/>
  <c r="AC122"/>
  <c r="AC123"/>
  <c r="AC124"/>
  <c r="AC125"/>
  <c r="AC126"/>
  <c r="AC127"/>
  <c r="AC128"/>
  <c r="AC129"/>
  <c r="AC130"/>
  <c r="AC131"/>
  <c r="AC132"/>
  <c r="AC133"/>
  <c r="AC134"/>
  <c r="AC135"/>
  <c r="AD117"/>
  <c r="AD118"/>
  <c r="AD119"/>
  <c r="AD120"/>
  <c r="AD121"/>
  <c r="AD122"/>
  <c r="AD123"/>
  <c r="AD124"/>
  <c r="AD125"/>
  <c r="AD126"/>
  <c r="AD127"/>
  <c r="AD128"/>
  <c r="AD129"/>
  <c r="AD130"/>
  <c r="AD131"/>
  <c r="AD132"/>
  <c r="AD133"/>
  <c r="AD134"/>
  <c r="AD135"/>
  <c r="AK122"/>
  <c r="AK123"/>
  <c r="AK124"/>
  <c r="AK125"/>
  <c r="AK126"/>
  <c r="AK127"/>
  <c r="AK128"/>
  <c r="AK129"/>
  <c r="AK130"/>
  <c r="AK131"/>
  <c r="AK132"/>
  <c r="AK133"/>
  <c r="AK134"/>
  <c r="AK135"/>
  <c r="AL122"/>
  <c r="AL123"/>
  <c r="AL124"/>
  <c r="AL125"/>
  <c r="AL126"/>
  <c r="AL127"/>
  <c r="AL128"/>
  <c r="AL129"/>
  <c r="AL130"/>
  <c r="AL131"/>
  <c r="AL132"/>
  <c r="AL133"/>
  <c r="AL134"/>
  <c r="AL135"/>
  <c r="AM106" l="1"/>
  <c r="AU106" s="1"/>
  <c r="AM107"/>
  <c r="AU107" s="1"/>
  <c r="AM108"/>
  <c r="AU108" s="1"/>
  <c r="AM109"/>
  <c r="AU109" s="1"/>
  <c r="AM111"/>
  <c r="AU111" s="1"/>
  <c r="AM105"/>
  <c r="AU105" s="1"/>
  <c r="AL121"/>
  <c r="AK121"/>
  <c r="AL120"/>
  <c r="AK120"/>
  <c r="AL119"/>
  <c r="AK119"/>
  <c r="AL118"/>
  <c r="AK118"/>
  <c r="AL117"/>
  <c r="AK117"/>
  <c r="AL116"/>
  <c r="AK116"/>
  <c r="AL115"/>
  <c r="AK115"/>
  <c r="AL114"/>
  <c r="AK114"/>
  <c r="AL113"/>
  <c r="AK113"/>
  <c r="AL112"/>
  <c r="AK112"/>
  <c r="AL111"/>
  <c r="AK111"/>
  <c r="AL110"/>
  <c r="AK110"/>
  <c r="AL109"/>
  <c r="AK109"/>
  <c r="AL108"/>
  <c r="AK108"/>
  <c r="AL107"/>
  <c r="AK107"/>
  <c r="AL106"/>
  <c r="AK106"/>
  <c r="AL105"/>
  <c r="AK105"/>
  <c r="AL104"/>
  <c r="AK104"/>
  <c r="AL103"/>
  <c r="AK103"/>
  <c r="AL102"/>
  <c r="AK102"/>
  <c r="AL101"/>
  <c r="AK101"/>
  <c r="AL100"/>
  <c r="AK100"/>
  <c r="AL99"/>
  <c r="AK99"/>
  <c r="AL98"/>
  <c r="AK98"/>
  <c r="AL97"/>
  <c r="AK97"/>
  <c r="AL96"/>
  <c r="AK96"/>
  <c r="AL95"/>
  <c r="AK95"/>
  <c r="AL94"/>
  <c r="AK94"/>
  <c r="AL93"/>
  <c r="AK93"/>
  <c r="AL92"/>
  <c r="AK92"/>
  <c r="AL91"/>
  <c r="AK91"/>
  <c r="AL90"/>
  <c r="AK90"/>
  <c r="AL89"/>
  <c r="AK89"/>
  <c r="AL88"/>
  <c r="AK88"/>
  <c r="AL87"/>
  <c r="AK87"/>
  <c r="AL86"/>
  <c r="AK86"/>
  <c r="AL85"/>
  <c r="AK85"/>
  <c r="AL84"/>
  <c r="AK84"/>
  <c r="AL83"/>
  <c r="AK83"/>
  <c r="AL82"/>
  <c r="AK82"/>
  <c r="AL81"/>
  <c r="AK81"/>
  <c r="AL80"/>
  <c r="AK80"/>
  <c r="AL79"/>
  <c r="AK79"/>
  <c r="AL78"/>
  <c r="AK78"/>
  <c r="AL77"/>
  <c r="AK77"/>
  <c r="AL76"/>
  <c r="AK76"/>
  <c r="AL75"/>
  <c r="AK75"/>
  <c r="AL74"/>
  <c r="AK74"/>
  <c r="AL73"/>
  <c r="AK73"/>
  <c r="AL72"/>
  <c r="AK72"/>
  <c r="AL71"/>
  <c r="AK71"/>
  <c r="AL70"/>
  <c r="AK70"/>
  <c r="AL69"/>
  <c r="AK69"/>
  <c r="AL68"/>
  <c r="AK68"/>
  <c r="AL67"/>
  <c r="AK67"/>
  <c r="AL66"/>
  <c r="AK66"/>
  <c r="AL65"/>
  <c r="AK65"/>
  <c r="AL64"/>
  <c r="AK64"/>
  <c r="AL63"/>
  <c r="AK63"/>
  <c r="AL62"/>
  <c r="AK62"/>
  <c r="AL61"/>
  <c r="AK61"/>
  <c r="AL60"/>
  <c r="AK60"/>
  <c r="AL59"/>
  <c r="AK59"/>
  <c r="AL58"/>
  <c r="AK58"/>
  <c r="AL57"/>
  <c r="AK57"/>
  <c r="AL56"/>
  <c r="AK56"/>
  <c r="AL55"/>
  <c r="AK55"/>
  <c r="AL54"/>
  <c r="AK54"/>
  <c r="AL53"/>
  <c r="AK53"/>
  <c r="AL52"/>
  <c r="AK52"/>
  <c r="AL51"/>
  <c r="AK51"/>
  <c r="AL50"/>
  <c r="AK50"/>
  <c r="AL49"/>
  <c r="AK49"/>
  <c r="AL48"/>
  <c r="AK48"/>
  <c r="AL47"/>
  <c r="AK47"/>
  <c r="AL46"/>
  <c r="AK46"/>
  <c r="AL45"/>
  <c r="AK45"/>
  <c r="AL44"/>
  <c r="AK44"/>
  <c r="AL43"/>
  <c r="AK43"/>
  <c r="AL42"/>
  <c r="AK42"/>
  <c r="AL41"/>
  <c r="AK41"/>
  <c r="AL40"/>
  <c r="AK40"/>
  <c r="AL39"/>
  <c r="AK39"/>
  <c r="AL38"/>
  <c r="AK38"/>
  <c r="AL37"/>
  <c r="AK37"/>
  <c r="AL36"/>
  <c r="AK36"/>
  <c r="AL35"/>
  <c r="AK35"/>
  <c r="AL34"/>
  <c r="AK34"/>
  <c r="AL33"/>
  <c r="AK33"/>
  <c r="AL32"/>
  <c r="AK32"/>
  <c r="AL31"/>
  <c r="AK31"/>
  <c r="AL30"/>
  <c r="AK30"/>
  <c r="AL29"/>
  <c r="AK29"/>
  <c r="AL28"/>
  <c r="AK28"/>
  <c r="AL27"/>
  <c r="AK27"/>
  <c r="AL26"/>
  <c r="AK26"/>
  <c r="AL25"/>
  <c r="AK25"/>
  <c r="AL24"/>
  <c r="AK24"/>
  <c r="AL23"/>
  <c r="AK23"/>
  <c r="AL22"/>
  <c r="AK22"/>
  <c r="AL21"/>
  <c r="AK21"/>
  <c r="AL20"/>
  <c r="AK20"/>
  <c r="AL19"/>
  <c r="AK19"/>
  <c r="AL18"/>
  <c r="AK18"/>
  <c r="AL17"/>
  <c r="AK17"/>
  <c r="AL16"/>
  <c r="AK16"/>
  <c r="AL15"/>
  <c r="AK15"/>
  <c r="AL14"/>
  <c r="AK14"/>
  <c r="AL13"/>
  <c r="AK13"/>
  <c r="AL12"/>
  <c r="AK12"/>
  <c r="AL11"/>
  <c r="AK11"/>
  <c r="AL6"/>
  <c r="AK6"/>
  <c r="AE89" l="1"/>
  <c r="AE90"/>
  <c r="AE91"/>
  <c r="AE92"/>
  <c r="AE93"/>
  <c r="AE94"/>
  <c r="AE95"/>
  <c r="AE96"/>
  <c r="AE97"/>
  <c r="AE98"/>
  <c r="AE99"/>
  <c r="AE88"/>
  <c r="AE79"/>
  <c r="AE80"/>
  <c r="AE81"/>
  <c r="AE82"/>
  <c r="AE78"/>
  <c r="AE77"/>
  <c r="AE71"/>
  <c r="AC108" l="1"/>
  <c r="AC109"/>
  <c r="AC110"/>
  <c r="AC111"/>
  <c r="AC112"/>
  <c r="AC113"/>
  <c r="AC114"/>
  <c r="AC115"/>
  <c r="AC116"/>
  <c r="AD108"/>
  <c r="AD109"/>
  <c r="AD110"/>
  <c r="AD111"/>
  <c r="AD112"/>
  <c r="AD113"/>
  <c r="AD114"/>
  <c r="AD115"/>
  <c r="AD116"/>
  <c r="AD107"/>
  <c r="AC107"/>
  <c r="AD106"/>
  <c r="AC106"/>
  <c r="AD105"/>
  <c r="AC105"/>
  <c r="AD104"/>
  <c r="AC104"/>
  <c r="AD103"/>
  <c r="AC103"/>
  <c r="AE102"/>
  <c r="AM102" s="1"/>
  <c r="AU102" s="1"/>
  <c r="AD102"/>
  <c r="AC102"/>
  <c r="AE101"/>
  <c r="AM101" s="1"/>
  <c r="AU101" s="1"/>
  <c r="AD101"/>
  <c r="AC101"/>
  <c r="AE100"/>
  <c r="AD100"/>
  <c r="AC100"/>
  <c r="AD99"/>
  <c r="AC99"/>
  <c r="AD98"/>
  <c r="AC98"/>
  <c r="AD97"/>
  <c r="AC97"/>
  <c r="AD96"/>
  <c r="AC96"/>
  <c r="AD95"/>
  <c r="AC95"/>
  <c r="AD94"/>
  <c r="AC94"/>
  <c r="AD93"/>
  <c r="AC93"/>
  <c r="AD92"/>
  <c r="AC92"/>
  <c r="AD91"/>
  <c r="AC91"/>
  <c r="AD90"/>
  <c r="AC90"/>
  <c r="AD89"/>
  <c r="AC89"/>
  <c r="AD88"/>
  <c r="AC88"/>
  <c r="AE87"/>
  <c r="AD87"/>
  <c r="AC87"/>
  <c r="AE86"/>
  <c r="AD86"/>
  <c r="AC86"/>
  <c r="AE85"/>
  <c r="AD85"/>
  <c r="AC85"/>
  <c r="AE84"/>
  <c r="AD84"/>
  <c r="AC84"/>
  <c r="AE83"/>
  <c r="AD83"/>
  <c r="AC83"/>
  <c r="AD82"/>
  <c r="AC82"/>
  <c r="AD81"/>
  <c r="AC81"/>
  <c r="AD80"/>
  <c r="AC80"/>
  <c r="AD79"/>
  <c r="AC79"/>
  <c r="AD78"/>
  <c r="AC78"/>
  <c r="AD77"/>
  <c r="AC77"/>
  <c r="AE76"/>
  <c r="AD76"/>
  <c r="AC76"/>
  <c r="AE75"/>
  <c r="AD75"/>
  <c r="AC75"/>
  <c r="AE74"/>
  <c r="AD74"/>
  <c r="AC74"/>
  <c r="AE73"/>
  <c r="AD73"/>
  <c r="AC73"/>
  <c r="AE72"/>
  <c r="AD72"/>
  <c r="AC72"/>
  <c r="AD71"/>
  <c r="AC71"/>
  <c r="AD70"/>
  <c r="AC70"/>
  <c r="AD69"/>
  <c r="AC69"/>
  <c r="AD68"/>
  <c r="AC68"/>
  <c r="AD67"/>
  <c r="AC67"/>
  <c r="AD66"/>
  <c r="AC66"/>
  <c r="AD65"/>
  <c r="AC65"/>
  <c r="AD64"/>
  <c r="AC64"/>
  <c r="AD63"/>
  <c r="AC63"/>
  <c r="AD62"/>
  <c r="AC62"/>
  <c r="AD61"/>
  <c r="AC61"/>
  <c r="AD60"/>
  <c r="AC60"/>
  <c r="AD59"/>
  <c r="AC59"/>
  <c r="AD58"/>
  <c r="AC58"/>
  <c r="AD57"/>
  <c r="AC57"/>
  <c r="AD56"/>
  <c r="AC56"/>
  <c r="AD55"/>
  <c r="AC55"/>
  <c r="AD54"/>
  <c r="AC54"/>
  <c r="AD53"/>
  <c r="AC53"/>
  <c r="AD52"/>
  <c r="AC52"/>
  <c r="AD51"/>
  <c r="AC51"/>
  <c r="AD50"/>
  <c r="AC50"/>
  <c r="AD49"/>
  <c r="AC49"/>
  <c r="AD48"/>
  <c r="AC48"/>
  <c r="AD47"/>
  <c r="AC47"/>
  <c r="AD46"/>
  <c r="AC46"/>
  <c r="AD45"/>
  <c r="AC45"/>
  <c r="AD44"/>
  <c r="AC44"/>
  <c r="AD43"/>
  <c r="AC43"/>
  <c r="AD42"/>
  <c r="AC42"/>
  <c r="AD41"/>
  <c r="AC41"/>
  <c r="AD40"/>
  <c r="AC40"/>
  <c r="AD39"/>
  <c r="AC39"/>
  <c r="AD38"/>
  <c r="AC38"/>
  <c r="AD37"/>
  <c r="AC37"/>
  <c r="AD36"/>
  <c r="AC36"/>
  <c r="AD35"/>
  <c r="AC35"/>
  <c r="AD34"/>
  <c r="AC34"/>
  <c r="AD33"/>
  <c r="AC33"/>
  <c r="AD32"/>
  <c r="AC32"/>
  <c r="AD31"/>
  <c r="AC31"/>
  <c r="AD30"/>
  <c r="AC30"/>
  <c r="AD29"/>
  <c r="AC29"/>
  <c r="AD28"/>
  <c r="AC28"/>
  <c r="AD27"/>
  <c r="AC27"/>
  <c r="AD26"/>
  <c r="AC26"/>
  <c r="AD25"/>
  <c r="AC25"/>
  <c r="AD24"/>
  <c r="AC24"/>
  <c r="AD23"/>
  <c r="AC23"/>
  <c r="AD22"/>
  <c r="AC22"/>
  <c r="AD21"/>
  <c r="AC21"/>
  <c r="AD20"/>
  <c r="AC20"/>
  <c r="AD19"/>
  <c r="AC19"/>
  <c r="AD18"/>
  <c r="AC18"/>
  <c r="AD17"/>
  <c r="AC17"/>
  <c r="AD16"/>
  <c r="AC16"/>
  <c r="AD15"/>
  <c r="AC15"/>
  <c r="AD14"/>
  <c r="AC14"/>
  <c r="AD13"/>
  <c r="AC13"/>
  <c r="AD12"/>
  <c r="AC12"/>
  <c r="AD11"/>
  <c r="AC11"/>
  <c r="AD6"/>
  <c r="AC6"/>
  <c r="W101"/>
  <c r="W102"/>
  <c r="W100"/>
  <c r="W89"/>
  <c r="W90"/>
  <c r="W91"/>
  <c r="W92"/>
  <c r="W93"/>
  <c r="W94"/>
  <c r="W95"/>
  <c r="W96"/>
  <c r="W97"/>
  <c r="W98"/>
  <c r="W99"/>
  <c r="W88"/>
  <c r="W84"/>
  <c r="W85"/>
  <c r="W86"/>
  <c r="W87"/>
  <c r="W83"/>
  <c r="W78"/>
  <c r="W79"/>
  <c r="W80"/>
  <c r="W81"/>
  <c r="W82"/>
  <c r="W77"/>
  <c r="W71"/>
  <c r="V107" l="1"/>
  <c r="U107"/>
  <c r="V106"/>
  <c r="U106"/>
  <c r="V105"/>
  <c r="U105"/>
  <c r="V104"/>
  <c r="U104"/>
  <c r="V103"/>
  <c r="U103"/>
  <c r="V102"/>
  <c r="U102"/>
  <c r="V101"/>
  <c r="U101"/>
  <c r="V100"/>
  <c r="U100"/>
  <c r="V99"/>
  <c r="U99"/>
  <c r="V98"/>
  <c r="U98"/>
  <c r="V97"/>
  <c r="U97"/>
  <c r="V96"/>
  <c r="U96"/>
  <c r="V95"/>
  <c r="U95"/>
  <c r="V94"/>
  <c r="U94"/>
  <c r="V93"/>
  <c r="U93"/>
  <c r="V92"/>
  <c r="U92"/>
  <c r="V91"/>
  <c r="U91"/>
  <c r="V90"/>
  <c r="U90"/>
  <c r="V89"/>
  <c r="U89"/>
  <c r="V88"/>
  <c r="U88"/>
  <c r="V87"/>
  <c r="U87"/>
  <c r="V86"/>
  <c r="U86"/>
  <c r="V85"/>
  <c r="U85"/>
  <c r="V84"/>
  <c r="U84"/>
  <c r="V83"/>
  <c r="U83"/>
  <c r="V82"/>
  <c r="U82"/>
  <c r="V81"/>
  <c r="U81"/>
  <c r="V80"/>
  <c r="U80"/>
  <c r="V79"/>
  <c r="U79"/>
  <c r="V78"/>
  <c r="U78"/>
  <c r="V77"/>
  <c r="U77"/>
  <c r="W76"/>
  <c r="V76"/>
  <c r="U76"/>
  <c r="W75"/>
  <c r="V75"/>
  <c r="U75"/>
  <c r="W74"/>
  <c r="V74"/>
  <c r="U74"/>
  <c r="W73"/>
  <c r="V73"/>
  <c r="U73"/>
  <c r="W72"/>
  <c r="V72"/>
  <c r="U72"/>
  <c r="V71"/>
  <c r="U71"/>
  <c r="V70"/>
  <c r="U70"/>
  <c r="V69"/>
  <c r="U69"/>
  <c r="V68"/>
  <c r="U68"/>
  <c r="V67"/>
  <c r="U67"/>
  <c r="V66"/>
  <c r="U66"/>
  <c r="V65"/>
  <c r="U65"/>
  <c r="V64"/>
  <c r="U64"/>
  <c r="V63"/>
  <c r="U63"/>
  <c r="V62"/>
  <c r="U62"/>
  <c r="V61"/>
  <c r="U61"/>
  <c r="V60"/>
  <c r="U60"/>
  <c r="V59"/>
  <c r="U59"/>
  <c r="V58"/>
  <c r="U58"/>
  <c r="V57"/>
  <c r="U57"/>
  <c r="V56"/>
  <c r="U56"/>
  <c r="V55"/>
  <c r="U55"/>
  <c r="V54"/>
  <c r="U54"/>
  <c r="V53"/>
  <c r="U53"/>
  <c r="V52"/>
  <c r="U52"/>
  <c r="V51"/>
  <c r="U51"/>
  <c r="V50"/>
  <c r="U50"/>
  <c r="V49"/>
  <c r="U49"/>
  <c r="V48"/>
  <c r="U48"/>
  <c r="V47"/>
  <c r="U47"/>
  <c r="V46"/>
  <c r="U46"/>
  <c r="V45"/>
  <c r="U45"/>
  <c r="V44"/>
  <c r="U44"/>
  <c r="V43"/>
  <c r="U43"/>
  <c r="V42"/>
  <c r="U42"/>
  <c r="V41"/>
  <c r="U41"/>
  <c r="V40"/>
  <c r="U40"/>
  <c r="V39"/>
  <c r="U39"/>
  <c r="V38"/>
  <c r="U38"/>
  <c r="V37"/>
  <c r="U37"/>
  <c r="V36"/>
  <c r="U36"/>
  <c r="V35"/>
  <c r="U35"/>
  <c r="V34"/>
  <c r="U34"/>
  <c r="V33"/>
  <c r="U33"/>
  <c r="V32"/>
  <c r="U32"/>
  <c r="V31"/>
  <c r="U31"/>
  <c r="V30"/>
  <c r="U30"/>
  <c r="V29"/>
  <c r="U29"/>
  <c r="V28"/>
  <c r="U28"/>
  <c r="V27"/>
  <c r="U27"/>
  <c r="V26"/>
  <c r="U26"/>
  <c r="V25"/>
  <c r="U25"/>
  <c r="V24"/>
  <c r="U24"/>
  <c r="V23"/>
  <c r="U23"/>
  <c r="V22"/>
  <c r="U22"/>
  <c r="V21"/>
  <c r="U21"/>
  <c r="V20"/>
  <c r="U20"/>
  <c r="V19"/>
  <c r="U19"/>
  <c r="V18"/>
  <c r="U18"/>
  <c r="V17"/>
  <c r="U17"/>
  <c r="V16"/>
  <c r="U16"/>
  <c r="V15"/>
  <c r="U15"/>
  <c r="V14"/>
  <c r="U14"/>
  <c r="V13"/>
  <c r="U13"/>
  <c r="V12"/>
  <c r="U12"/>
  <c r="V11"/>
  <c r="U11"/>
  <c r="V6"/>
  <c r="U6"/>
  <c r="O82"/>
  <c r="O79"/>
  <c r="O80"/>
  <c r="O81"/>
  <c r="O72"/>
  <c r="O73"/>
  <c r="O74"/>
  <c r="O75"/>
  <c r="O76"/>
  <c r="O77"/>
  <c r="O78"/>
  <c r="O71"/>
  <c r="H71" l="1"/>
  <c r="H72"/>
  <c r="H73"/>
  <c r="H74"/>
  <c r="H75"/>
  <c r="H76"/>
  <c r="H77"/>
  <c r="H78"/>
  <c r="H79"/>
  <c r="H80"/>
  <c r="H81"/>
  <c r="H82"/>
  <c r="G72"/>
  <c r="G73"/>
  <c r="G74"/>
  <c r="G75"/>
  <c r="G76"/>
  <c r="G77"/>
  <c r="G78"/>
  <c r="G79"/>
  <c r="G80"/>
  <c r="G81"/>
  <c r="G82"/>
  <c r="M87"/>
  <c r="N87"/>
  <c r="M95"/>
  <c r="M96"/>
  <c r="M97"/>
  <c r="M98"/>
  <c r="M99"/>
  <c r="M100"/>
  <c r="M101"/>
  <c r="M102"/>
  <c r="M103"/>
  <c r="M104"/>
  <c r="M105"/>
  <c r="M106"/>
  <c r="M107"/>
  <c r="N96"/>
  <c r="N97"/>
  <c r="N98"/>
  <c r="N99"/>
  <c r="N100"/>
  <c r="N101"/>
  <c r="N102"/>
  <c r="N103"/>
  <c r="N104"/>
  <c r="N105"/>
  <c r="N106"/>
  <c r="N107"/>
  <c r="N95" l="1"/>
  <c r="N94"/>
  <c r="M94"/>
  <c r="N93"/>
  <c r="M93"/>
  <c r="N92"/>
  <c r="M92"/>
  <c r="N91"/>
  <c r="M91"/>
  <c r="N90"/>
  <c r="M90"/>
  <c r="N89"/>
  <c r="M89"/>
  <c r="N88"/>
  <c r="M88"/>
  <c r="N86"/>
  <c r="M86"/>
  <c r="N85"/>
  <c r="M85"/>
  <c r="N84"/>
  <c r="M84"/>
  <c r="N83"/>
  <c r="M83"/>
  <c r="N82"/>
  <c r="M82"/>
  <c r="N81"/>
  <c r="M81"/>
  <c r="N80"/>
  <c r="M80"/>
  <c r="N79"/>
  <c r="M79"/>
  <c r="N78"/>
  <c r="M78"/>
  <c r="N77"/>
  <c r="M77"/>
  <c r="N76"/>
  <c r="M76"/>
  <c r="N75"/>
  <c r="M75"/>
  <c r="N74"/>
  <c r="M74"/>
  <c r="N73"/>
  <c r="M73"/>
  <c r="N72"/>
  <c r="M72"/>
  <c r="N71"/>
  <c r="M71"/>
  <c r="N70"/>
  <c r="M70"/>
  <c r="N69"/>
  <c r="M69"/>
  <c r="N68"/>
  <c r="M68"/>
  <c r="N67"/>
  <c r="M67"/>
  <c r="N66"/>
  <c r="M66"/>
  <c r="N65"/>
  <c r="M65"/>
  <c r="N64"/>
  <c r="M64"/>
  <c r="N63"/>
  <c r="M63"/>
  <c r="N62"/>
  <c r="M62"/>
  <c r="N61"/>
  <c r="M61"/>
  <c r="N60"/>
  <c r="M60"/>
  <c r="N59"/>
  <c r="M59"/>
  <c r="N58"/>
  <c r="M58"/>
  <c r="N57"/>
  <c r="M57"/>
  <c r="N56"/>
  <c r="M56"/>
  <c r="N55"/>
  <c r="M55"/>
  <c r="N54"/>
  <c r="M54"/>
  <c r="N53"/>
  <c r="M53"/>
  <c r="N52"/>
  <c r="M52"/>
  <c r="N51"/>
  <c r="M51"/>
  <c r="N50"/>
  <c r="M50"/>
  <c r="N49"/>
  <c r="M49"/>
  <c r="N48"/>
  <c r="M48"/>
  <c r="N47"/>
  <c r="M47"/>
  <c r="N46"/>
  <c r="M46"/>
  <c r="N45"/>
  <c r="M45"/>
  <c r="N44"/>
  <c r="M44"/>
  <c r="N43"/>
  <c r="M43"/>
  <c r="N42"/>
  <c r="M42"/>
  <c r="N41"/>
  <c r="M41"/>
  <c r="N40"/>
  <c r="M40"/>
  <c r="N39"/>
  <c r="M39"/>
  <c r="N38"/>
  <c r="M38"/>
  <c r="N37"/>
  <c r="M37"/>
  <c r="N36"/>
  <c r="M36"/>
  <c r="N35"/>
  <c r="M35"/>
  <c r="N34"/>
  <c r="M34"/>
  <c r="N33"/>
  <c r="M33"/>
  <c r="N32"/>
  <c r="M32"/>
  <c r="N31"/>
  <c r="M31"/>
  <c r="N30"/>
  <c r="M30"/>
  <c r="N29"/>
  <c r="M29"/>
  <c r="N28"/>
  <c r="M28"/>
  <c r="N27"/>
  <c r="M27"/>
  <c r="N26"/>
  <c r="M26"/>
  <c r="N25"/>
  <c r="M25"/>
  <c r="N24"/>
  <c r="M24"/>
  <c r="N23"/>
  <c r="M23"/>
  <c r="N22"/>
  <c r="M22"/>
  <c r="N21"/>
  <c r="M21"/>
  <c r="N20"/>
  <c r="M20"/>
  <c r="N19"/>
  <c r="M19"/>
  <c r="N18"/>
  <c r="M18"/>
  <c r="N17"/>
  <c r="M17"/>
  <c r="N16"/>
  <c r="M16"/>
  <c r="N15"/>
  <c r="M15"/>
  <c r="N14"/>
  <c r="M14"/>
  <c r="N13"/>
  <c r="M13"/>
  <c r="N12"/>
  <c r="M12"/>
  <c r="N11"/>
  <c r="M11"/>
  <c r="N10"/>
  <c r="M10"/>
  <c r="N9"/>
  <c r="M9"/>
  <c r="N8"/>
  <c r="M8"/>
  <c r="N7"/>
  <c r="M7"/>
  <c r="N6"/>
  <c r="M6"/>
  <c r="N5"/>
  <c r="M5"/>
  <c r="N4"/>
  <c r="M4"/>
  <c r="N3"/>
  <c r="M3"/>
  <c r="G83" l="1"/>
  <c r="G71" l="1"/>
  <c r="H95"/>
  <c r="G95"/>
  <c r="H93"/>
  <c r="G93"/>
  <c r="H94"/>
  <c r="H92"/>
  <c r="G94"/>
  <c r="G92"/>
  <c r="G91"/>
  <c r="H91"/>
  <c r="H90"/>
  <c r="G90"/>
  <c r="H89"/>
  <c r="G89"/>
  <c r="H88"/>
  <c r="G88"/>
  <c r="H86"/>
  <c r="G86"/>
  <c r="H85"/>
  <c r="G85"/>
  <c r="H84"/>
  <c r="G84"/>
  <c r="H83"/>
  <c r="G7"/>
  <c r="G15"/>
  <c r="G23"/>
  <c r="G9"/>
  <c r="G3"/>
  <c r="G11"/>
  <c r="G19"/>
  <c r="G27"/>
  <c r="G17"/>
  <c r="G25"/>
  <c r="G5"/>
  <c r="G13"/>
  <c r="G21"/>
  <c r="G29"/>
  <c r="G31"/>
  <c r="G33"/>
  <c r="G35"/>
  <c r="G37"/>
  <c r="G39"/>
  <c r="G41"/>
  <c r="G43"/>
  <c r="G45"/>
  <c r="G47"/>
  <c r="G49"/>
  <c r="G51"/>
  <c r="G53"/>
  <c r="G55"/>
  <c r="G57"/>
  <c r="G59"/>
  <c r="G61"/>
  <c r="G63"/>
  <c r="G65"/>
  <c r="G67"/>
  <c r="G69"/>
  <c r="H3"/>
  <c r="H5"/>
  <c r="H7"/>
  <c r="H9"/>
  <c r="H11"/>
  <c r="H13"/>
  <c r="H15"/>
  <c r="H17"/>
  <c r="H19"/>
  <c r="H21"/>
  <c r="H23"/>
  <c r="H25"/>
  <c r="H27"/>
  <c r="H29"/>
  <c r="H31"/>
  <c r="H33"/>
  <c r="H35"/>
  <c r="H37"/>
  <c r="H39"/>
  <c r="H41"/>
  <c r="H43"/>
  <c r="H45"/>
  <c r="H47"/>
  <c r="H49"/>
  <c r="H51"/>
  <c r="H53"/>
  <c r="H55"/>
  <c r="H57"/>
  <c r="H59"/>
  <c r="H61"/>
  <c r="H63"/>
  <c r="H65"/>
  <c r="H67"/>
  <c r="H69"/>
  <c r="G4"/>
  <c r="G6"/>
  <c r="G8"/>
  <c r="G10"/>
  <c r="G12"/>
  <c r="G14"/>
  <c r="G16"/>
  <c r="G18"/>
  <c r="G20"/>
  <c r="G22"/>
  <c r="G24"/>
  <c r="G26"/>
  <c r="G28"/>
  <c r="G30"/>
  <c r="G32"/>
  <c r="G34"/>
  <c r="G36"/>
  <c r="G38"/>
  <c r="G40"/>
  <c r="G42"/>
  <c r="G44"/>
  <c r="G46"/>
  <c r="G48"/>
  <c r="G50"/>
  <c r="G52"/>
  <c r="G54"/>
  <c r="G56"/>
  <c r="G58"/>
  <c r="G60"/>
  <c r="G62"/>
  <c r="G64"/>
  <c r="G66"/>
  <c r="G68"/>
  <c r="G70"/>
  <c r="H4"/>
  <c r="H6"/>
  <c r="H8"/>
  <c r="H10"/>
  <c r="H12"/>
  <c r="H14"/>
  <c r="H16"/>
  <c r="H18"/>
  <c r="H20"/>
  <c r="H22"/>
  <c r="H24"/>
  <c r="H26"/>
  <c r="H28"/>
  <c r="H30"/>
  <c r="H32"/>
  <c r="H34"/>
  <c r="H36"/>
  <c r="H38"/>
  <c r="H40"/>
  <c r="H42"/>
  <c r="H44"/>
  <c r="H46"/>
  <c r="H48"/>
  <c r="H50"/>
  <c r="H52"/>
  <c r="H54"/>
  <c r="H56"/>
  <c r="H58"/>
  <c r="H60"/>
  <c r="H62"/>
  <c r="H64"/>
  <c r="H66"/>
  <c r="H68"/>
  <c r="H70"/>
</calcChain>
</file>

<file path=xl/sharedStrings.xml><?xml version="1.0" encoding="utf-8"?>
<sst xmlns="http://schemas.openxmlformats.org/spreadsheetml/2006/main" count="838" uniqueCount="113">
  <si>
    <t>Номенклатура</t>
  </si>
  <si>
    <t>Ед. изм.</t>
  </si>
  <si>
    <t>По учету</t>
  </si>
  <si>
    <t>Начальный срок</t>
  </si>
  <si>
    <t>Конечный срок</t>
  </si>
  <si>
    <t>Фрешность в %</t>
  </si>
  <si>
    <t>Фрешность в днях</t>
  </si>
  <si>
    <t>6589 МОЛОЧНЫЕ ГОСТ СН сос п/о мгс 0.41кг 10шт  ОСТАНКИНО</t>
  </si>
  <si>
    <t>шт</t>
  </si>
  <si>
    <t>6590 СЛИВОЧНЫЕ СН сос п/о мгс 0.41кг 10шт.  ОСТАНКИНО</t>
  </si>
  <si>
    <t>Фрешность меньше 50%</t>
  </si>
  <si>
    <t>451 Сосиски «Баварские» Фикс.вес 0,35 П/а ТМ «Стародворье»  Поком</t>
  </si>
  <si>
    <t>108  Сосиски С сыром,  0.42кг,ядрена копоть ПОКОМ</t>
  </si>
  <si>
    <t>103  Сосиски Классические, 0.42кг,ядрена копотьПОКОМ</t>
  </si>
  <si>
    <t>247  Сардельки Нежные, ВЕС.  ПОКОМ</t>
  </si>
  <si>
    <t>кг</t>
  </si>
  <si>
    <t>321 Сосиски Сочинки по-баварски с сыром ТМ Стародворье в оболочке  ПОКОМ</t>
  </si>
  <si>
    <t>Фрешность меньше 15 дней</t>
  </si>
  <si>
    <t>6527 ШПИКАЧКИ СОЧНЫЕ ПМ сар б/о мгс 1*3 45с ОСТАНКИНО</t>
  </si>
  <si>
    <t>248  Сардельки Сочные ТМ Особый рецепт,   ПОКОМ</t>
  </si>
  <si>
    <t>315 Колбаса Нежная ТМ Зареченские ТС Зареченские продукты в оболочкНТУ.  изделие вар  ПОКОМ</t>
  </si>
  <si>
    <t>363 Сардельки Филейские Вязанка ТМ Вязанка в обол NDX  ПОКОМ</t>
  </si>
  <si>
    <t>Колбаса вареная категории А "Докторская". Мясной продукт.  Торес</t>
  </si>
  <si>
    <t>017  Сосиски Вязанка Сливочные, Вязанка амицел ВЕС.ПОКОМ</t>
  </si>
  <si>
    <t>263  Шпикачки Стародворские, ВЕС.  ПОКОМ</t>
  </si>
  <si>
    <t>322 Сосиски Сочинки с сыром ТМ Стародворье в оболочке  ПОКОМ</t>
  </si>
  <si>
    <t>309  Сосиски Сочинки с сыром 0,4 кг ТМ Стародворье  ПОКОМ</t>
  </si>
  <si>
    <t>352  Сардельки Сочинки с сыром 0,4 кг ТМ Стародворье   ПОКОМ</t>
  </si>
  <si>
    <t>381  Сардельки Сочинки 0,4кг ТМ Стародворье  ПОКОМ</t>
  </si>
  <si>
    <t>371  Сосиски Сочинки Молочные 0,4 кг ТМ Стародворье  ПОКОМ</t>
  </si>
  <si>
    <t>083  Колбаса Швейцарская 0,17 кг., ШТ., сырокопченая   ПОКОМ</t>
  </si>
  <si>
    <t>259  Сосиски Сливочные Дугушка, ВЕС.   ПОКОМ</t>
  </si>
  <si>
    <t>271  Колбаса Сервелат Левантский ТМ Особый Рецепт, ВЕС. ПОКОМ</t>
  </si>
  <si>
    <t>016  Сосиски Вязанка Молочные, Вязанка вискофан  ВЕС.ПОКОМ</t>
  </si>
  <si>
    <t>243  Колбаса Сервелат Зернистый, ВЕС.  ПОКОМ</t>
  </si>
  <si>
    <t>257  Сосиски Молочные оригинальные ТМ Особый рецепт, ВЕС.   ПОКОМ</t>
  </si>
  <si>
    <t>297  Колбаса Мясорубская с рубленой грудинкой ВЕС ТМ Стародворье  ПОКОМ</t>
  </si>
  <si>
    <t>032  Сосиски Вязанка Сливочные, Вязанка амицел МГС, 0.45кг, ПОКОМ</t>
  </si>
  <si>
    <t>118  Колбаса Сервелат Филейбургский с филе сочного окорока, в/у 0,35 кг срез, БАВАРУШКА ПОКОМ</t>
  </si>
  <si>
    <t>323 Колбаса варенокопченая Балыкбургская рубленая ТМ Баварушка срез 0,35 кг   ПОКОМ</t>
  </si>
  <si>
    <t>3297 СЫТНЫЕ Папа может сар б/о мгс 1*3_СНГ  Останкино</t>
  </si>
  <si>
    <t>018  Сосиски Рубленые, Вязанка вискофан  ВЕС.ПОКОМ</t>
  </si>
  <si>
    <t>255  Сосиски Молочные для завтрака ТМ Особый рецепт, п/а МГС, ВЕС, ТМ Стародворье  ПОКОМ</t>
  </si>
  <si>
    <t>380 Колбаски Балыкбургские с сыром ТМ Баварушка вес  Поком</t>
  </si>
  <si>
    <t>313 Колбаса вареная Молокуша ТМ Вязанка в оболочке полиамид. ВЕС  ПОКОМ</t>
  </si>
  <si>
    <t>384  Колбаса Сочинка по-фински с сочным окороком ТМ Стародворье в оболочке фиброуз в ва  Поком</t>
  </si>
  <si>
    <t>6734 ОСОБАЯ СО ШПИКОМ Коровино(в сетке) 0,5кг  Останкино</t>
  </si>
  <si>
    <t>9007 Продукт йогуртовый пастериз Нежный с соком 1,2% 320г клубника (Кампина)  МК</t>
  </si>
  <si>
    <t>9008 Продукт йогуртовый пастериз Нежный с соком 1,2% 320г персик (Кампина)  МК</t>
  </si>
  <si>
    <t>9009 Нежный сливочный продукт йогуртный пастериз Абрикос и манго5% 4х100г (Кампина)  МК</t>
  </si>
  <si>
    <t>9010 Нежный сливочный продукт йогуртный пастериз Малина и земляника  5% 4х100г (Камп)  МК</t>
  </si>
  <si>
    <t>9011 Нежный сливочный продукт йогуртный пастериз Персик 5% 4х100г (Камп)  МК</t>
  </si>
  <si>
    <t>9013 Фруттис 1,2% 100гр нежн с соком Ягод морож Кампина  МК</t>
  </si>
  <si>
    <t>9014 Продукт йогуртовый пастериз Нежный с соком 1,2% 100г абрикос-манго (Кампина)  МК</t>
  </si>
  <si>
    <t>9015 Продукт йогуртовый пастериз Нежный с соком 1,2% 100г вишня (Кампина)  МК</t>
  </si>
  <si>
    <t>9016 Продукт йогуртовый пастериз Нежный с соком 1,2% 100г клубника (Кампина)  МК</t>
  </si>
  <si>
    <t>9017 Продукт йогуртовый пастериз Нежный с соком 1,2% 100г персик (Кампина)  МК</t>
  </si>
  <si>
    <t>9019 Продукт йогуртовый пастериз Фруттис 5% 115г вишня/черника (Кампина)  МК</t>
  </si>
  <si>
    <t>9020 Продукт йогуртовый пастериз Фруттис 5% 115 г дыня-манго/банан-клубника (Кампина) МК</t>
  </si>
  <si>
    <t>9021 Продукт йогуртовый пастериз Фруттис 5% 115 г инжир-черннослив/малина-земляника  МК</t>
  </si>
  <si>
    <t>9022 Продукт йогуртовый пастериз Фруттис 5% 115 г клубника/персик (Кампина)  МК</t>
  </si>
  <si>
    <t>9023 Продукт йогуртовый пастериз Фруттис 5% 115 г малина-черника/абрикос-манго (Кампина)  МК</t>
  </si>
  <si>
    <t>9024 Продукт йогуртовый пастериз Фруттис 5% 115 г персик-маракуйя/ананас-дыня (Кампина)  МК</t>
  </si>
  <si>
    <t>9025 Продукт йогуртовый пастериз Фруттис 8% 115г лесные ягоды/абрикос-манго ВАННОЧКА Камп  МК</t>
  </si>
  <si>
    <t>9026 Продукт йогуртовый пастериз Фруттис 8% 115г Банана-Сплит и Пинаколада ВАННОЧКА (Кампина)  МК</t>
  </si>
  <si>
    <t>9027 Продукт йогуртовый пастериз Фруттис 8% 115г вишня/персик-маракуйя ВАННОЧКА (Кампина)  МК</t>
  </si>
  <si>
    <t>9029 Продукт йогуртовый пастериз Фруттис 8% 115г малина/ананас-дыня ВАННОЧКА (Кампина)  МК</t>
  </si>
  <si>
    <t>9039 Продукт йогур.паст.фрукт."Эрмигурт молоч" м.д.жира 3,2%с наполн ананас-дыня 4*100г (Эрманн)  МК</t>
  </si>
  <si>
    <t>9040 Продукт йогур.паст.фрукт."Эрмигурт молоч" м.д.жира 3,2% с наполн клубника 4*100гр (Эрманн)  МК</t>
  </si>
  <si>
    <t>9041 Продукт йогуртовый паст фрукт "Эрмигурт Молочный" м.д.ж.. 3,2% 100г. лесные ягоды (Эрманн)  МК</t>
  </si>
  <si>
    <t>9042 Продукт йогур.паст.фрукт"Эрмигурт молоч" м.д.жира 3,2%с напол персик-манго 4*100гр (Эрманн)  МК</t>
  </si>
  <si>
    <t>9048 БЗМЖ Альпенленд 2,5% 95г малина/ябл-груша Прод.йогурт.  Эрман</t>
  </si>
  <si>
    <t>9049 БЗМЖ Продукт йогуртовый пастеризованный Альпенленд пит. 1,2% клубника 290г  Эрманн</t>
  </si>
  <si>
    <t>9050 БЗМЖ Продукт йогуртный паст фруктовый Альпенленд пит. 1,2% персик-маракуйа 290г  Эрманн</t>
  </si>
  <si>
    <t>9051 БЗМЖ Продукт йогуртовый пастеризованный Альпенленд пит. 1,2% яблоко-груша 290г  Эрманн</t>
  </si>
  <si>
    <t>9055 БЗМЖ Напиток йогуртовый паст фрукт Эрмигурт пит. м.д.ж.1,2% 290гр. клубника-киви  Эрманн</t>
  </si>
  <si>
    <t>9056 БЗМЖ Напиток йогуртовый паст фрукт Эрмигурт пит. м.д.ж.1,2% 290гр. лесная ягода   Эрманн</t>
  </si>
  <si>
    <t>9058 БЗМЖ Нежный сливочный продукт йогуртный пастериз.Клубника 5% 4*100г (Камп)  Эрманн  МК</t>
  </si>
  <si>
    <t>Европоддон (невозвратный)</t>
  </si>
  <si>
    <t xml:space="preserve"> 257  Сосиски Молочные оригинальные ТМ Особый рецепт, ВЕС.   ПОКОМ, SU000246</t>
  </si>
  <si>
    <t xml:space="preserve"> 250  Сардельки стародворские с говядиной в обол. NDX, ВЕС. ПОКОМ, SU000227</t>
  </si>
  <si>
    <t xml:space="preserve"> 283  Сосиски Сочинки, ВЕС, ТМ Стародворье ПОКОМ, SU002725</t>
  </si>
  <si>
    <t xml:space="preserve"> 302  Сосиски Сочинки по-баварски,  0.4кг, ТМ Стародворье  ПОКОМ, SU002799</t>
  </si>
  <si>
    <t xml:space="preserve"> 329  Сардельки Сочинки с сыром Стародворье ТМ, 0,4 кг. ПОКОМ, SU002759</t>
  </si>
  <si>
    <t xml:space="preserve"> 273  Сосиски Сочинки с сочной грудинкой, МГС 0.4кг,   ПОКОМ, SU002618</t>
  </si>
  <si>
    <t xml:space="preserve"> 328  Сардельки Сочинки Стародворье ТМ  0,4 кг ПОКОМ, SU002758</t>
  </si>
  <si>
    <t xml:space="preserve"> 248  Сардельки Сочные ТМ Особый рецепт,   ПОКОМ, SU002287</t>
  </si>
  <si>
    <t xml:space="preserve"> 341 Сосиски Сочинки Сливочные ТМ Стародворье ВЕС ПОКОМ, SU002845</t>
  </si>
  <si>
    <t xml:space="preserve"> 301  Сосиски Сочинки по-баварски с сыром,  0.4кг, ТМ Стародворье  ПОКОМ, SU002801</t>
  </si>
  <si>
    <t xml:space="preserve"> 309  Сосиски Сочинки с сыром 0,4 кг ТМ Стародворье  ПОКОМ, SU002686</t>
  </si>
  <si>
    <t xml:space="preserve"> 342 Сосиски Сочинки Молочные ТМ Стародворье 0,4 кг ПОКОМ, SU002842</t>
  </si>
  <si>
    <t xml:space="preserve"> 343 Сосиски Сочинки Сливочные ТМ Стародворье  0,4 кг, SU002844</t>
  </si>
  <si>
    <t>496  Колбаса Сочинка по-фински с сочным окроком 0,3кг ТМ Стародворье  ПОКОМ, SU002942</t>
  </si>
  <si>
    <t>515  Колбаса Сервелат Мясорубский Делюкс 0,3кг ТМ Стародворье  ПОКОМ, SU003829</t>
  </si>
  <si>
    <t xml:space="preserve"> 062  Колбаса Кракушка пряная с сальцем, 0.3кг в/у п/к, БАВАРУШКА ПОКОМ, SU002252</t>
  </si>
  <si>
    <t>495  Колбаса Сочинка по-европейски с сочной грудинкой 0,3кг ТМ Стародворье  ПОКОМ, SU002944</t>
  </si>
  <si>
    <t xml:space="preserve"> 023  Колбаса Докторская ГОСТ, Вязанка вектор, 0,4 кг, ПОКОМ, SU001485</t>
  </si>
  <si>
    <t xml:space="preserve"> 324  Ветчина Филейская ТМ Вязанка Столичная 0,45 кг ПОКОМ, SU002814</t>
  </si>
  <si>
    <t xml:space="preserve"> 279  Колбаса Докторский гарант, Вязанка вектор, 0,4 кг.  ПОКОМ, 4301011344</t>
  </si>
  <si>
    <t>Продано</t>
  </si>
  <si>
    <t>Списано</t>
  </si>
  <si>
    <t>ШТ</t>
  </si>
  <si>
    <t xml:space="preserve"> 319  Колбаса вареная Филейская ТМ Вязанка ТС Классическая, 0,45 кг. ПОКОМ, SU002815</t>
  </si>
  <si>
    <t>519  Грудинка 0,12 кг нарезка ТМ Стародворье  ПОКОМ, SU003921</t>
  </si>
  <si>
    <t>ши</t>
  </si>
  <si>
    <t xml:space="preserve"> 017  Сосиски Вязанка Сливочные, Вязанка амицел ВЕС.ПОКОМ, SU001721</t>
  </si>
  <si>
    <t xml:space="preserve"> 030  Сосиски Вязанка Молочные, Вязанка вискофан МГС, 0.45кг, ПОКОМ, 4301050979</t>
  </si>
  <si>
    <t xml:space="preserve"> 032  Сосиски Вязанка Сливочные, Вязанка амицел МГС, 0.45кг, ПОКОМ, 4301050983</t>
  </si>
  <si>
    <t xml:space="preserve"> 307  Колбаса Сервелат Мясорубский с мелкорубленным окороком 0,35 кг срез ТМ Стародворье   Поком, SU002848</t>
  </si>
  <si>
    <t>уценка 154шт</t>
  </si>
  <si>
    <t>21.772</t>
  </si>
  <si>
    <t xml:space="preserve"> 336  Ветчина Сливушка с индейкой ТМ Вязанка. ВЕС  ПОКОМ, 4301020235</t>
  </si>
  <si>
    <t xml:space="preserve"> 016  Сосиски Вязанка Молочные, Вязанка вискофан  ВЕС.ПОКОМ, SU001523</t>
  </si>
</sst>
</file>

<file path=xl/styles.xml><?xml version="1.0" encoding="utf-8"?>
<styleSheet xmlns="http://schemas.openxmlformats.org/spreadsheetml/2006/main">
  <numFmts count="1">
    <numFmt numFmtId="164" formatCode="0.000;[Red]\-0.000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  <charset val="204"/>
    </font>
    <font>
      <sz val="10"/>
      <name val="Arial"/>
      <family val="2"/>
    </font>
    <font>
      <b/>
      <sz val="14"/>
      <name val="Arial"/>
      <family val="2"/>
      <charset val="204"/>
    </font>
    <font>
      <sz val="8"/>
      <name val="Arial"/>
      <family val="2"/>
    </font>
    <font>
      <sz val="8"/>
      <name val="Calibri"/>
      <family val="2"/>
      <scheme val="minor"/>
    </font>
    <font>
      <sz val="10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sz val="8"/>
      <color theme="1"/>
      <name val="Arial"/>
      <family val="2"/>
    </font>
    <font>
      <b/>
      <sz val="12"/>
      <color theme="1"/>
      <name val="Arial"/>
      <family val="2"/>
      <charset val="204"/>
    </font>
    <font>
      <sz val="11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/>
  </cellStyleXfs>
  <cellXfs count="158">
    <xf numFmtId="0" fontId="0" fillId="0" borderId="0" xfId="0"/>
    <xf numFmtId="0" fontId="0" fillId="0" borderId="0" xfId="0" applyAlignment="1">
      <alignment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" fontId="3" fillId="0" borderId="1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7" borderId="0" xfId="0" applyNumberFormat="1" applyFill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4" fontId="5" fillId="0" borderId="2" xfId="2" applyNumberFormat="1" applyFont="1" applyBorder="1" applyAlignment="1">
      <alignment horizontal="center" vertical="center"/>
    </xf>
    <xf numFmtId="0" fontId="0" fillId="0" borderId="1" xfId="0" applyBorder="1"/>
    <xf numFmtId="0" fontId="0" fillId="0" borderId="6" xfId="0" applyBorder="1"/>
    <xf numFmtId="0" fontId="0" fillId="0" borderId="5" xfId="0" applyBorder="1"/>
    <xf numFmtId="14" fontId="0" fillId="0" borderId="9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2" fontId="7" fillId="0" borderId="1" xfId="0" applyNumberFormat="1" applyFont="1" applyFill="1" applyBorder="1" applyAlignment="1">
      <alignment horizontal="center" vertical="center" wrapText="1"/>
    </xf>
    <xf numFmtId="14" fontId="8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2" fontId="9" fillId="0" borderId="1" xfId="0" applyNumberFormat="1" applyFont="1" applyFill="1" applyBorder="1" applyAlignment="1">
      <alignment horizontal="center" vertical="center" wrapText="1"/>
    </xf>
    <xf numFmtId="14" fontId="10" fillId="0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Font="1" applyFill="1" applyBorder="1" applyAlignment="1">
      <alignment horizontal="center" vertical="center" wrapText="1"/>
    </xf>
    <xf numFmtId="2" fontId="9" fillId="0" borderId="2" xfId="2" applyNumberFormat="1" applyFont="1" applyFill="1" applyBorder="1" applyAlignment="1">
      <alignment horizontal="center" vertical="center"/>
    </xf>
    <xf numFmtId="14" fontId="0" fillId="0" borderId="0" xfId="0" applyNumberFormat="1" applyFont="1" applyFill="1" applyAlignment="1">
      <alignment horizontal="center" vertical="center"/>
    </xf>
    <xf numFmtId="0" fontId="9" fillId="0" borderId="3" xfId="0" applyFont="1" applyFill="1" applyBorder="1" applyAlignment="1">
      <alignment horizontal="center" vertical="center" wrapText="1"/>
    </xf>
    <xf numFmtId="2" fontId="9" fillId="0" borderId="3" xfId="0" applyNumberFormat="1" applyFont="1" applyFill="1" applyBorder="1" applyAlignment="1">
      <alignment horizontal="center" vertical="center" wrapText="1"/>
    </xf>
    <xf numFmtId="164" fontId="9" fillId="0" borderId="2" xfId="2" applyNumberFormat="1" applyFont="1" applyFill="1" applyBorder="1" applyAlignment="1">
      <alignment horizontal="center" vertical="center"/>
    </xf>
    <xf numFmtId="14" fontId="9" fillId="0" borderId="2" xfId="2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4" fontId="0" fillId="7" borderId="0" xfId="0" applyNumberFormat="1" applyFont="1" applyFill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 wrapText="1"/>
    </xf>
    <xf numFmtId="14" fontId="0" fillId="0" borderId="4" xfId="0" applyNumberFormat="1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 wrapText="1"/>
    </xf>
    <xf numFmtId="0" fontId="11" fillId="0" borderId="0" xfId="0" applyFont="1" applyAlignment="1">
      <alignment wrapText="1"/>
    </xf>
    <xf numFmtId="0" fontId="0" fillId="0" borderId="7" xfId="0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Font="1" applyAlignment="1">
      <alignment wrapText="1"/>
    </xf>
    <xf numFmtId="0" fontId="0" fillId="0" borderId="0" xfId="0" applyFont="1" applyAlignment="1">
      <alignment horizontal="center" vertical="center" wrapText="1"/>
    </xf>
    <xf numFmtId="2" fontId="0" fillId="0" borderId="0" xfId="0" applyNumberFormat="1" applyFont="1" applyAlignment="1">
      <alignment horizontal="center" vertical="center" wrapText="1"/>
    </xf>
    <xf numFmtId="14" fontId="0" fillId="0" borderId="0" xfId="0" applyNumberFormat="1" applyFont="1" applyAlignment="1">
      <alignment horizontal="center" vertical="center" wrapText="1"/>
    </xf>
    <xf numFmtId="0" fontId="0" fillId="5" borderId="0" xfId="0" applyFont="1" applyFill="1" applyAlignment="1">
      <alignment horizontal="center" vertical="center" wrapText="1"/>
    </xf>
    <xf numFmtId="0" fontId="7" fillId="0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center" wrapText="1"/>
    </xf>
    <xf numFmtId="2" fontId="7" fillId="2" borderId="1" xfId="0" applyNumberFormat="1" applyFont="1" applyFill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top" wrapText="1"/>
    </xf>
    <xf numFmtId="1" fontId="12" fillId="0" borderId="1" xfId="1" applyNumberFormat="1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" fontId="9" fillId="3" borderId="1" xfId="0" applyNumberFormat="1" applyFont="1" applyFill="1" applyBorder="1" applyAlignment="1">
      <alignment horizontal="center" vertical="center" wrapText="1"/>
    </xf>
    <xf numFmtId="14" fontId="10" fillId="4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9" fillId="8" borderId="2" xfId="2" applyNumberFormat="1" applyFont="1" applyFill="1" applyBorder="1" applyAlignment="1">
      <alignment vertical="top" wrapText="1" indent="6"/>
    </xf>
    <xf numFmtId="2" fontId="9" fillId="0" borderId="2" xfId="2" applyNumberFormat="1" applyFont="1" applyBorder="1" applyAlignment="1">
      <alignment horizontal="center" vertical="center"/>
    </xf>
    <xf numFmtId="14" fontId="0" fillId="0" borderId="0" xfId="0" applyNumberFormat="1" applyFont="1" applyAlignment="1">
      <alignment horizontal="center" vertical="center"/>
    </xf>
    <xf numFmtId="2" fontId="0" fillId="8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Font="1" applyFill="1" applyBorder="1" applyAlignment="1">
      <alignment horizontal="center" vertical="center" wrapText="1"/>
    </xf>
    <xf numFmtId="0" fontId="9" fillId="0" borderId="2" xfId="2" applyFont="1" applyFill="1" applyBorder="1" applyAlignment="1">
      <alignment vertical="top" wrapText="1" indent="4"/>
    </xf>
    <xf numFmtId="2" fontId="0" fillId="0" borderId="1" xfId="0" applyNumberFormat="1" applyFont="1" applyBorder="1" applyAlignment="1">
      <alignment horizontal="center" vertical="center" wrapText="1"/>
    </xf>
    <xf numFmtId="2" fontId="0" fillId="4" borderId="1" xfId="0" applyNumberFormat="1" applyFont="1" applyFill="1" applyBorder="1" applyAlignment="1">
      <alignment horizontal="center" vertical="center" wrapText="1"/>
    </xf>
    <xf numFmtId="2" fontId="0" fillId="9" borderId="1" xfId="0" applyNumberFormat="1" applyFont="1" applyFill="1" applyBorder="1" applyAlignment="1">
      <alignment horizontal="center" vertical="center" wrapText="1"/>
    </xf>
    <xf numFmtId="0" fontId="9" fillId="10" borderId="2" xfId="2" applyNumberFormat="1" applyFont="1" applyFill="1" applyBorder="1" applyAlignment="1">
      <alignment vertical="top" wrapText="1" indent="6"/>
    </xf>
    <xf numFmtId="2" fontId="0" fillId="10" borderId="1" xfId="0" applyNumberFormat="1" applyFont="1" applyFill="1" applyBorder="1" applyAlignment="1">
      <alignment horizontal="center" vertical="center" wrapText="1"/>
    </xf>
    <xf numFmtId="0" fontId="9" fillId="4" borderId="2" xfId="2" applyNumberFormat="1" applyFont="1" applyFill="1" applyBorder="1" applyAlignment="1">
      <alignment vertical="top" wrapText="1" indent="6"/>
    </xf>
    <xf numFmtId="0" fontId="0" fillId="0" borderId="1" xfId="0" applyFont="1" applyBorder="1" applyAlignment="1">
      <alignment horizontal="center" vertical="top" wrapText="1"/>
    </xf>
    <xf numFmtId="0" fontId="9" fillId="3" borderId="3" xfId="0" applyFont="1" applyFill="1" applyBorder="1" applyAlignment="1">
      <alignment horizontal="center" vertical="center" wrapText="1"/>
    </xf>
    <xf numFmtId="2" fontId="9" fillId="3" borderId="3" xfId="0" applyNumberFormat="1" applyFont="1" applyFill="1" applyBorder="1" applyAlignment="1">
      <alignment horizontal="center" vertical="center" wrapText="1"/>
    </xf>
    <xf numFmtId="164" fontId="9" fillId="0" borderId="2" xfId="2" applyNumberFormat="1" applyFont="1" applyBorder="1" applyAlignment="1">
      <alignment horizontal="center" vertical="center"/>
    </xf>
    <xf numFmtId="14" fontId="9" fillId="0" borderId="2" xfId="2" applyNumberFormat="1" applyFont="1" applyBorder="1" applyAlignment="1">
      <alignment horizontal="center" vertical="center"/>
    </xf>
    <xf numFmtId="2" fontId="0" fillId="0" borderId="1" xfId="0" applyNumberFormat="1" applyFont="1" applyBorder="1" applyAlignment="1">
      <alignment horizontal="center" vertical="center"/>
    </xf>
    <xf numFmtId="2" fontId="9" fillId="0" borderId="14" xfId="2" applyNumberFormat="1" applyFont="1" applyBorder="1" applyAlignment="1">
      <alignment horizontal="center" vertical="center"/>
    </xf>
    <xf numFmtId="2" fontId="9" fillId="0" borderId="13" xfId="2" applyNumberFormat="1" applyFont="1" applyBorder="1" applyAlignment="1">
      <alignment horizontal="center" vertical="center"/>
    </xf>
    <xf numFmtId="14" fontId="0" fillId="0" borderId="4" xfId="0" applyNumberFormat="1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/>
    </xf>
    <xf numFmtId="2" fontId="0" fillId="0" borderId="3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2" fontId="0" fillId="0" borderId="8" xfId="0" applyNumberFormat="1" applyFont="1" applyBorder="1" applyAlignment="1">
      <alignment horizontal="center" vertical="center"/>
    </xf>
    <xf numFmtId="14" fontId="0" fillId="0" borderId="9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2" fontId="0" fillId="0" borderId="4" xfId="0" applyNumberFormat="1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2" fontId="0" fillId="0" borderId="7" xfId="0" applyNumberFormat="1" applyFont="1" applyBorder="1" applyAlignment="1">
      <alignment horizontal="center" vertical="center"/>
    </xf>
    <xf numFmtId="0" fontId="9" fillId="0" borderId="2" xfId="2" applyNumberFormat="1" applyFont="1" applyBorder="1" applyAlignment="1">
      <alignment vertical="top" wrapText="1" indent="6"/>
    </xf>
    <xf numFmtId="2" fontId="0" fillId="0" borderId="9" xfId="0" applyNumberFormat="1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14" fontId="0" fillId="0" borderId="7" xfId="0" applyNumberFormat="1" applyFont="1" applyBorder="1" applyAlignment="1">
      <alignment horizontal="center" vertical="center"/>
    </xf>
    <xf numFmtId="0" fontId="9" fillId="9" borderId="2" xfId="2" applyNumberFormat="1" applyFont="1" applyFill="1" applyBorder="1" applyAlignment="1">
      <alignment vertical="top" wrapText="1" indent="6"/>
    </xf>
    <xf numFmtId="0" fontId="0" fillId="0" borderId="11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 wrapText="1"/>
    </xf>
    <xf numFmtId="2" fontId="0" fillId="0" borderId="10" xfId="0" applyNumberFormat="1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14" fontId="0" fillId="0" borderId="10" xfId="0" applyNumberFormat="1" applyFont="1" applyBorder="1" applyAlignment="1">
      <alignment horizontal="center" vertical="center"/>
    </xf>
    <xf numFmtId="14" fontId="0" fillId="0" borderId="5" xfId="0" applyNumberFormat="1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 wrapText="1"/>
    </xf>
    <xf numFmtId="2" fontId="0" fillId="0" borderId="4" xfId="0" applyNumberFormat="1" applyFont="1" applyBorder="1" applyAlignment="1">
      <alignment horizontal="center" vertical="center" wrapText="1"/>
    </xf>
    <xf numFmtId="14" fontId="0" fillId="0" borderId="11" xfId="0" applyNumberFormat="1" applyFont="1" applyBorder="1" applyAlignment="1">
      <alignment horizontal="center" vertical="center" wrapText="1"/>
    </xf>
    <xf numFmtId="14" fontId="0" fillId="0" borderId="16" xfId="0" applyNumberFormat="1" applyFont="1" applyBorder="1" applyAlignment="1">
      <alignment horizontal="center" vertical="center" wrapText="1"/>
    </xf>
    <xf numFmtId="2" fontId="0" fillId="0" borderId="10" xfId="0" applyNumberFormat="1" applyFont="1" applyBorder="1" applyAlignment="1">
      <alignment horizontal="center" vertical="center" wrapText="1"/>
    </xf>
    <xf numFmtId="14" fontId="0" fillId="0" borderId="10" xfId="0" applyNumberFormat="1" applyFont="1" applyBorder="1" applyAlignment="1">
      <alignment horizontal="center" vertical="center" wrapText="1"/>
    </xf>
    <xf numFmtId="14" fontId="0" fillId="0" borderId="5" xfId="0" applyNumberFormat="1" applyFont="1" applyBorder="1" applyAlignment="1">
      <alignment horizontal="center" vertical="center" wrapText="1"/>
    </xf>
    <xf numFmtId="2" fontId="0" fillId="0" borderId="5" xfId="0" applyNumberFormat="1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14" fontId="0" fillId="0" borderId="6" xfId="0" applyNumberFormat="1" applyFont="1" applyBorder="1" applyAlignment="1">
      <alignment horizontal="center" vertical="center" wrapText="1"/>
    </xf>
    <xf numFmtId="1" fontId="12" fillId="0" borderId="4" xfId="1" applyNumberFormat="1" applyFont="1" applyBorder="1" applyAlignment="1">
      <alignment horizontal="center" vertical="center"/>
    </xf>
    <xf numFmtId="0" fontId="0" fillId="0" borderId="11" xfId="0" applyFont="1" applyBorder="1" applyAlignment="1">
      <alignment wrapText="1"/>
    </xf>
    <xf numFmtId="0" fontId="0" fillId="0" borderId="7" xfId="0" applyFont="1" applyBorder="1" applyAlignment="1">
      <alignment horizontal="center" vertical="center" wrapText="1"/>
    </xf>
    <xf numFmtId="2" fontId="0" fillId="0" borderId="9" xfId="0" applyNumberFormat="1" applyFont="1" applyBorder="1" applyAlignment="1">
      <alignment horizontal="center" vertical="center" wrapText="1"/>
    </xf>
    <xf numFmtId="14" fontId="0" fillId="0" borderId="7" xfId="0" applyNumberFormat="1" applyFont="1" applyBorder="1" applyAlignment="1">
      <alignment horizontal="center" vertical="center" wrapText="1"/>
    </xf>
    <xf numFmtId="14" fontId="0" fillId="0" borderId="9" xfId="0" applyNumberFormat="1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9" xfId="0" applyFont="1" applyBorder="1" applyAlignment="1">
      <alignment wrapText="1"/>
    </xf>
    <xf numFmtId="2" fontId="0" fillId="0" borderId="3" xfId="0" applyNumberFormat="1" applyFont="1" applyBorder="1" applyAlignment="1">
      <alignment horizontal="center" vertical="center" wrapText="1"/>
    </xf>
    <xf numFmtId="14" fontId="0" fillId="0" borderId="3" xfId="0" applyNumberFormat="1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2" fontId="0" fillId="0" borderId="6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wrapText="1"/>
    </xf>
    <xf numFmtId="0" fontId="0" fillId="0" borderId="10" xfId="0" applyFont="1" applyBorder="1" applyAlignment="1">
      <alignment wrapText="1"/>
    </xf>
    <xf numFmtId="14" fontId="0" fillId="0" borderId="17" xfId="0" applyNumberFormat="1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2" fontId="0" fillId="0" borderId="18" xfId="0" applyNumberFormat="1" applyFont="1" applyBorder="1" applyAlignment="1">
      <alignment horizontal="center" vertical="center"/>
    </xf>
    <xf numFmtId="2" fontId="0" fillId="0" borderId="18" xfId="0" applyNumberFormat="1" applyFont="1" applyBorder="1" applyAlignment="1">
      <alignment horizontal="center" vertical="center" wrapText="1"/>
    </xf>
    <xf numFmtId="2" fontId="0" fillId="0" borderId="15" xfId="0" applyNumberFormat="1" applyFont="1" applyBorder="1" applyAlignment="1">
      <alignment horizontal="center" vertical="center" wrapText="1"/>
    </xf>
    <xf numFmtId="2" fontId="0" fillId="0" borderId="19" xfId="0" applyNumberFormat="1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/>
    </xf>
    <xf numFmtId="2" fontId="0" fillId="0" borderId="15" xfId="0" applyNumberFormat="1" applyFont="1" applyBorder="1" applyAlignment="1">
      <alignment horizontal="center" vertical="center"/>
    </xf>
    <xf numFmtId="0" fontId="5" fillId="0" borderId="2" xfId="2" applyNumberFormat="1" applyFont="1" applyBorder="1" applyAlignment="1">
      <alignment vertical="top" wrapText="1" indent="6"/>
    </xf>
    <xf numFmtId="0" fontId="13" fillId="5" borderId="0" xfId="0" applyFont="1" applyFill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 wrapText="1"/>
    </xf>
    <xf numFmtId="2" fontId="0" fillId="4" borderId="4" xfId="0" applyNumberFormat="1" applyFill="1" applyBorder="1" applyAlignment="1">
      <alignment horizontal="center" vertical="center" wrapText="1"/>
    </xf>
  </cellXfs>
  <cellStyles count="3">
    <cellStyle name="Обычный" xfId="0" builtinId="0"/>
    <cellStyle name="Обычный_Лист1" xfId="2"/>
    <cellStyle name="Процентный" xfId="1" builtinId="5"/>
  </cellStyles>
  <dxfs count="36"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E136"/>
  <sheetViews>
    <sheetView tabSelected="1" topLeftCell="B101" zoomScale="85" zoomScaleNormal="85" workbookViewId="0">
      <pane xSplit="1" topLeftCell="AW1" activePane="topRight" state="frozen"/>
      <selection activeCell="B1" sqref="B1"/>
      <selection pane="topRight" activeCell="B117" sqref="B117"/>
    </sheetView>
  </sheetViews>
  <sheetFormatPr defaultColWidth="8.85546875" defaultRowHeight="15"/>
  <cols>
    <col min="1" max="1" width="4" style="1" customWidth="1"/>
    <col min="2" max="2" width="45" style="55" customWidth="1"/>
    <col min="3" max="3" width="4.140625" style="56" customWidth="1"/>
    <col min="4" max="4" width="7" style="57" customWidth="1"/>
    <col min="5" max="5" width="11.140625" style="58" customWidth="1"/>
    <col min="6" max="6" width="11" style="58" customWidth="1"/>
    <col min="7" max="7" width="12.7109375" style="56" customWidth="1"/>
    <col min="8" max="8" width="12" style="56" customWidth="1"/>
    <col min="9" max="9" width="4.140625" style="56" customWidth="1"/>
    <col min="10" max="10" width="7" style="57" customWidth="1"/>
    <col min="11" max="11" width="11.140625" style="58" customWidth="1"/>
    <col min="12" max="12" width="11" style="58" customWidth="1"/>
    <col min="13" max="13" width="12.7109375" style="56" customWidth="1"/>
    <col min="14" max="14" width="12" style="56" customWidth="1"/>
    <col min="15" max="16" width="8.85546875" style="56" customWidth="1"/>
    <col min="17" max="17" width="4.140625" style="56" customWidth="1"/>
    <col min="18" max="18" width="7" style="57" customWidth="1"/>
    <col min="19" max="19" width="11.140625" style="58" customWidth="1"/>
    <col min="20" max="20" width="11" style="58" customWidth="1"/>
    <col min="21" max="21" width="12.7109375" style="56" customWidth="1"/>
    <col min="22" max="22" width="12" style="56" customWidth="1"/>
    <col min="23" max="24" width="8.85546875" style="56" customWidth="1"/>
    <col min="25" max="25" width="4.140625" style="56" customWidth="1"/>
    <col min="26" max="26" width="7" style="57" customWidth="1"/>
    <col min="27" max="27" width="11.140625" style="58" customWidth="1"/>
    <col min="28" max="28" width="11" style="58" customWidth="1"/>
    <col min="29" max="29" width="12.7109375" style="56" customWidth="1"/>
    <col min="30" max="30" width="12" style="56" customWidth="1"/>
    <col min="31" max="31" width="8.85546875" style="56" customWidth="1"/>
    <col min="32" max="32" width="10" style="56" customWidth="1"/>
    <col min="33" max="33" width="4.140625" style="56" customWidth="1"/>
    <col min="34" max="34" width="7" style="57" customWidth="1"/>
    <col min="35" max="35" width="11.140625" style="58" customWidth="1"/>
    <col min="36" max="36" width="11" style="58" customWidth="1"/>
    <col min="37" max="37" width="12.7109375" style="56" customWidth="1"/>
    <col min="38" max="38" width="12" style="56" customWidth="1"/>
    <col min="39" max="40" width="8.85546875" style="56" customWidth="1"/>
    <col min="41" max="41" width="4.140625" style="56" customWidth="1"/>
    <col min="42" max="42" width="7" style="57" customWidth="1"/>
    <col min="43" max="43" width="11.140625" style="6" customWidth="1"/>
    <col min="44" max="44" width="11" style="6" customWidth="1"/>
    <col min="45" max="45" width="12.7109375" style="5" customWidth="1"/>
    <col min="46" max="46" width="12" style="5" customWidth="1"/>
    <col min="47" max="48" width="8.85546875" style="5"/>
    <col min="49" max="49" width="4.140625" style="56" customWidth="1"/>
    <col min="50" max="50" width="7" style="57" customWidth="1"/>
    <col min="51" max="51" width="11.140625" style="6" customWidth="1"/>
    <col min="52" max="52" width="11" style="6" customWidth="1"/>
    <col min="53" max="53" width="12.7109375" style="5" customWidth="1"/>
    <col min="54" max="54" width="12" style="5" customWidth="1"/>
    <col min="55" max="56" width="8.85546875" style="5"/>
    <col min="57" max="280" width="8.85546875" style="1"/>
    <col min="281" max="281" width="4" style="1" customWidth="1"/>
    <col min="282" max="282" width="59.7109375" style="1" customWidth="1"/>
    <col min="283" max="283" width="4.85546875" style="1" customWidth="1"/>
    <col min="284" max="284" width="9" style="1" customWidth="1"/>
    <col min="285" max="285" width="15.85546875" style="1" customWidth="1"/>
    <col min="286" max="286" width="15.7109375" style="1" customWidth="1"/>
    <col min="287" max="287" width="15.42578125" style="1" customWidth="1"/>
    <col min="288" max="288" width="17.140625" style="1" customWidth="1"/>
    <col min="289" max="289" width="37.85546875" style="1" customWidth="1"/>
    <col min="290" max="290" width="36.5703125" style="1" customWidth="1"/>
    <col min="291" max="291" width="29.42578125" style="1" customWidth="1"/>
    <col min="292" max="536" width="8.85546875" style="1"/>
    <col min="537" max="537" width="4" style="1" customWidth="1"/>
    <col min="538" max="538" width="59.7109375" style="1" customWidth="1"/>
    <col min="539" max="539" width="4.85546875" style="1" customWidth="1"/>
    <col min="540" max="540" width="9" style="1" customWidth="1"/>
    <col min="541" max="541" width="15.85546875" style="1" customWidth="1"/>
    <col min="542" max="542" width="15.7109375" style="1" customWidth="1"/>
    <col min="543" max="543" width="15.42578125" style="1" customWidth="1"/>
    <col min="544" max="544" width="17.140625" style="1" customWidth="1"/>
    <col min="545" max="545" width="37.85546875" style="1" customWidth="1"/>
    <col min="546" max="546" width="36.5703125" style="1" customWidth="1"/>
    <col min="547" max="547" width="29.42578125" style="1" customWidth="1"/>
    <col min="548" max="792" width="8.85546875" style="1"/>
    <col min="793" max="793" width="4" style="1" customWidth="1"/>
    <col min="794" max="794" width="59.7109375" style="1" customWidth="1"/>
    <col min="795" max="795" width="4.85546875" style="1" customWidth="1"/>
    <col min="796" max="796" width="9" style="1" customWidth="1"/>
    <col min="797" max="797" width="15.85546875" style="1" customWidth="1"/>
    <col min="798" max="798" width="15.7109375" style="1" customWidth="1"/>
    <col min="799" max="799" width="15.42578125" style="1" customWidth="1"/>
    <col min="800" max="800" width="17.140625" style="1" customWidth="1"/>
    <col min="801" max="801" width="37.85546875" style="1" customWidth="1"/>
    <col min="802" max="802" width="36.5703125" style="1" customWidth="1"/>
    <col min="803" max="803" width="29.42578125" style="1" customWidth="1"/>
    <col min="804" max="1048" width="8.85546875" style="1"/>
    <col min="1049" max="1049" width="4" style="1" customWidth="1"/>
    <col min="1050" max="1050" width="59.7109375" style="1" customWidth="1"/>
    <col min="1051" max="1051" width="4.85546875" style="1" customWidth="1"/>
    <col min="1052" max="1052" width="9" style="1" customWidth="1"/>
    <col min="1053" max="1053" width="15.85546875" style="1" customWidth="1"/>
    <col min="1054" max="1054" width="15.7109375" style="1" customWidth="1"/>
    <col min="1055" max="1055" width="15.42578125" style="1" customWidth="1"/>
    <col min="1056" max="1056" width="17.140625" style="1" customWidth="1"/>
    <col min="1057" max="1057" width="37.85546875" style="1" customWidth="1"/>
    <col min="1058" max="1058" width="36.5703125" style="1" customWidth="1"/>
    <col min="1059" max="1059" width="29.42578125" style="1" customWidth="1"/>
    <col min="1060" max="1304" width="8.85546875" style="1"/>
    <col min="1305" max="1305" width="4" style="1" customWidth="1"/>
    <col min="1306" max="1306" width="59.7109375" style="1" customWidth="1"/>
    <col min="1307" max="1307" width="4.85546875" style="1" customWidth="1"/>
    <col min="1308" max="1308" width="9" style="1" customWidth="1"/>
    <col min="1309" max="1309" width="15.85546875" style="1" customWidth="1"/>
    <col min="1310" max="1310" width="15.7109375" style="1" customWidth="1"/>
    <col min="1311" max="1311" width="15.42578125" style="1" customWidth="1"/>
    <col min="1312" max="1312" width="17.140625" style="1" customWidth="1"/>
    <col min="1313" max="1313" width="37.85546875" style="1" customWidth="1"/>
    <col min="1314" max="1314" width="36.5703125" style="1" customWidth="1"/>
    <col min="1315" max="1315" width="29.42578125" style="1" customWidth="1"/>
    <col min="1316" max="1560" width="8.85546875" style="1"/>
    <col min="1561" max="1561" width="4" style="1" customWidth="1"/>
    <col min="1562" max="1562" width="59.7109375" style="1" customWidth="1"/>
    <col min="1563" max="1563" width="4.85546875" style="1" customWidth="1"/>
    <col min="1564" max="1564" width="9" style="1" customWidth="1"/>
    <col min="1565" max="1565" width="15.85546875" style="1" customWidth="1"/>
    <col min="1566" max="1566" width="15.7109375" style="1" customWidth="1"/>
    <col min="1567" max="1567" width="15.42578125" style="1" customWidth="1"/>
    <col min="1568" max="1568" width="17.140625" style="1" customWidth="1"/>
    <col min="1569" max="1569" width="37.85546875" style="1" customWidth="1"/>
    <col min="1570" max="1570" width="36.5703125" style="1" customWidth="1"/>
    <col min="1571" max="1571" width="29.42578125" style="1" customWidth="1"/>
    <col min="1572" max="1816" width="8.85546875" style="1"/>
    <col min="1817" max="1817" width="4" style="1" customWidth="1"/>
    <col min="1818" max="1818" width="59.7109375" style="1" customWidth="1"/>
    <col min="1819" max="1819" width="4.85546875" style="1" customWidth="1"/>
    <col min="1820" max="1820" width="9" style="1" customWidth="1"/>
    <col min="1821" max="1821" width="15.85546875" style="1" customWidth="1"/>
    <col min="1822" max="1822" width="15.7109375" style="1" customWidth="1"/>
    <col min="1823" max="1823" width="15.42578125" style="1" customWidth="1"/>
    <col min="1824" max="1824" width="17.140625" style="1" customWidth="1"/>
    <col min="1825" max="1825" width="37.85546875" style="1" customWidth="1"/>
    <col min="1826" max="1826" width="36.5703125" style="1" customWidth="1"/>
    <col min="1827" max="1827" width="29.42578125" style="1" customWidth="1"/>
    <col min="1828" max="2072" width="8.85546875" style="1"/>
    <col min="2073" max="2073" width="4" style="1" customWidth="1"/>
    <col min="2074" max="2074" width="59.7109375" style="1" customWidth="1"/>
    <col min="2075" max="2075" width="4.85546875" style="1" customWidth="1"/>
    <col min="2076" max="2076" width="9" style="1" customWidth="1"/>
    <col min="2077" max="2077" width="15.85546875" style="1" customWidth="1"/>
    <col min="2078" max="2078" width="15.7109375" style="1" customWidth="1"/>
    <col min="2079" max="2079" width="15.42578125" style="1" customWidth="1"/>
    <col min="2080" max="2080" width="17.140625" style="1" customWidth="1"/>
    <col min="2081" max="2081" width="37.85546875" style="1" customWidth="1"/>
    <col min="2082" max="2082" width="36.5703125" style="1" customWidth="1"/>
    <col min="2083" max="2083" width="29.42578125" style="1" customWidth="1"/>
    <col min="2084" max="2328" width="8.85546875" style="1"/>
    <col min="2329" max="2329" width="4" style="1" customWidth="1"/>
    <col min="2330" max="2330" width="59.7109375" style="1" customWidth="1"/>
    <col min="2331" max="2331" width="4.85546875" style="1" customWidth="1"/>
    <col min="2332" max="2332" width="9" style="1" customWidth="1"/>
    <col min="2333" max="2333" width="15.85546875" style="1" customWidth="1"/>
    <col min="2334" max="2334" width="15.7109375" style="1" customWidth="1"/>
    <col min="2335" max="2335" width="15.42578125" style="1" customWidth="1"/>
    <col min="2336" max="2336" width="17.140625" style="1" customWidth="1"/>
    <col min="2337" max="2337" width="37.85546875" style="1" customWidth="1"/>
    <col min="2338" max="2338" width="36.5703125" style="1" customWidth="1"/>
    <col min="2339" max="2339" width="29.42578125" style="1" customWidth="1"/>
    <col min="2340" max="2584" width="8.85546875" style="1"/>
    <col min="2585" max="2585" width="4" style="1" customWidth="1"/>
    <col min="2586" max="2586" width="59.7109375" style="1" customWidth="1"/>
    <col min="2587" max="2587" width="4.85546875" style="1" customWidth="1"/>
    <col min="2588" max="2588" width="9" style="1" customWidth="1"/>
    <col min="2589" max="2589" width="15.85546875" style="1" customWidth="1"/>
    <col min="2590" max="2590" width="15.7109375" style="1" customWidth="1"/>
    <col min="2591" max="2591" width="15.42578125" style="1" customWidth="1"/>
    <col min="2592" max="2592" width="17.140625" style="1" customWidth="1"/>
    <col min="2593" max="2593" width="37.85546875" style="1" customWidth="1"/>
    <col min="2594" max="2594" width="36.5703125" style="1" customWidth="1"/>
    <col min="2595" max="2595" width="29.42578125" style="1" customWidth="1"/>
    <col min="2596" max="2840" width="8.85546875" style="1"/>
    <col min="2841" max="2841" width="4" style="1" customWidth="1"/>
    <col min="2842" max="2842" width="59.7109375" style="1" customWidth="1"/>
    <col min="2843" max="2843" width="4.85546875" style="1" customWidth="1"/>
    <col min="2844" max="2844" width="9" style="1" customWidth="1"/>
    <col min="2845" max="2845" width="15.85546875" style="1" customWidth="1"/>
    <col min="2846" max="2846" width="15.7109375" style="1" customWidth="1"/>
    <col min="2847" max="2847" width="15.42578125" style="1" customWidth="1"/>
    <col min="2848" max="2848" width="17.140625" style="1" customWidth="1"/>
    <col min="2849" max="2849" width="37.85546875" style="1" customWidth="1"/>
    <col min="2850" max="2850" width="36.5703125" style="1" customWidth="1"/>
    <col min="2851" max="2851" width="29.42578125" style="1" customWidth="1"/>
    <col min="2852" max="3096" width="8.85546875" style="1"/>
    <col min="3097" max="3097" width="4" style="1" customWidth="1"/>
    <col min="3098" max="3098" width="59.7109375" style="1" customWidth="1"/>
    <col min="3099" max="3099" width="4.85546875" style="1" customWidth="1"/>
    <col min="3100" max="3100" width="9" style="1" customWidth="1"/>
    <col min="3101" max="3101" width="15.85546875" style="1" customWidth="1"/>
    <col min="3102" max="3102" width="15.7109375" style="1" customWidth="1"/>
    <col min="3103" max="3103" width="15.42578125" style="1" customWidth="1"/>
    <col min="3104" max="3104" width="17.140625" style="1" customWidth="1"/>
    <col min="3105" max="3105" width="37.85546875" style="1" customWidth="1"/>
    <col min="3106" max="3106" width="36.5703125" style="1" customWidth="1"/>
    <col min="3107" max="3107" width="29.42578125" style="1" customWidth="1"/>
    <col min="3108" max="3352" width="8.85546875" style="1"/>
    <col min="3353" max="3353" width="4" style="1" customWidth="1"/>
    <col min="3354" max="3354" width="59.7109375" style="1" customWidth="1"/>
    <col min="3355" max="3355" width="4.85546875" style="1" customWidth="1"/>
    <col min="3356" max="3356" width="9" style="1" customWidth="1"/>
    <col min="3357" max="3357" width="15.85546875" style="1" customWidth="1"/>
    <col min="3358" max="3358" width="15.7109375" style="1" customWidth="1"/>
    <col min="3359" max="3359" width="15.42578125" style="1" customWidth="1"/>
    <col min="3360" max="3360" width="17.140625" style="1" customWidth="1"/>
    <col min="3361" max="3361" width="37.85546875" style="1" customWidth="1"/>
    <col min="3362" max="3362" width="36.5703125" style="1" customWidth="1"/>
    <col min="3363" max="3363" width="29.42578125" style="1" customWidth="1"/>
    <col min="3364" max="3608" width="8.85546875" style="1"/>
    <col min="3609" max="3609" width="4" style="1" customWidth="1"/>
    <col min="3610" max="3610" width="59.7109375" style="1" customWidth="1"/>
    <col min="3611" max="3611" width="4.85546875" style="1" customWidth="1"/>
    <col min="3612" max="3612" width="9" style="1" customWidth="1"/>
    <col min="3613" max="3613" width="15.85546875" style="1" customWidth="1"/>
    <col min="3614" max="3614" width="15.7109375" style="1" customWidth="1"/>
    <col min="3615" max="3615" width="15.42578125" style="1" customWidth="1"/>
    <col min="3616" max="3616" width="17.140625" style="1" customWidth="1"/>
    <col min="3617" max="3617" width="37.85546875" style="1" customWidth="1"/>
    <col min="3618" max="3618" width="36.5703125" style="1" customWidth="1"/>
    <col min="3619" max="3619" width="29.42578125" style="1" customWidth="1"/>
    <col min="3620" max="3864" width="8.85546875" style="1"/>
    <col min="3865" max="3865" width="4" style="1" customWidth="1"/>
    <col min="3866" max="3866" width="59.7109375" style="1" customWidth="1"/>
    <col min="3867" max="3867" width="4.85546875" style="1" customWidth="1"/>
    <col min="3868" max="3868" width="9" style="1" customWidth="1"/>
    <col min="3869" max="3869" width="15.85546875" style="1" customWidth="1"/>
    <col min="3870" max="3870" width="15.7109375" style="1" customWidth="1"/>
    <col min="3871" max="3871" width="15.42578125" style="1" customWidth="1"/>
    <col min="3872" max="3872" width="17.140625" style="1" customWidth="1"/>
    <col min="3873" max="3873" width="37.85546875" style="1" customWidth="1"/>
    <col min="3874" max="3874" width="36.5703125" style="1" customWidth="1"/>
    <col min="3875" max="3875" width="29.42578125" style="1" customWidth="1"/>
    <col min="3876" max="4120" width="8.85546875" style="1"/>
    <col min="4121" max="4121" width="4" style="1" customWidth="1"/>
    <col min="4122" max="4122" width="59.7109375" style="1" customWidth="1"/>
    <col min="4123" max="4123" width="4.85546875" style="1" customWidth="1"/>
    <col min="4124" max="4124" width="9" style="1" customWidth="1"/>
    <col min="4125" max="4125" width="15.85546875" style="1" customWidth="1"/>
    <col min="4126" max="4126" width="15.7109375" style="1" customWidth="1"/>
    <col min="4127" max="4127" width="15.42578125" style="1" customWidth="1"/>
    <col min="4128" max="4128" width="17.140625" style="1" customWidth="1"/>
    <col min="4129" max="4129" width="37.85546875" style="1" customWidth="1"/>
    <col min="4130" max="4130" width="36.5703125" style="1" customWidth="1"/>
    <col min="4131" max="4131" width="29.42578125" style="1" customWidth="1"/>
    <col min="4132" max="4376" width="8.85546875" style="1"/>
    <col min="4377" max="4377" width="4" style="1" customWidth="1"/>
    <col min="4378" max="4378" width="59.7109375" style="1" customWidth="1"/>
    <col min="4379" max="4379" width="4.85546875" style="1" customWidth="1"/>
    <col min="4380" max="4380" width="9" style="1" customWidth="1"/>
    <col min="4381" max="4381" width="15.85546875" style="1" customWidth="1"/>
    <col min="4382" max="4382" width="15.7109375" style="1" customWidth="1"/>
    <col min="4383" max="4383" width="15.42578125" style="1" customWidth="1"/>
    <col min="4384" max="4384" width="17.140625" style="1" customWidth="1"/>
    <col min="4385" max="4385" width="37.85546875" style="1" customWidth="1"/>
    <col min="4386" max="4386" width="36.5703125" style="1" customWidth="1"/>
    <col min="4387" max="4387" width="29.42578125" style="1" customWidth="1"/>
    <col min="4388" max="4632" width="8.85546875" style="1"/>
    <col min="4633" max="4633" width="4" style="1" customWidth="1"/>
    <col min="4634" max="4634" width="59.7109375" style="1" customWidth="1"/>
    <col min="4635" max="4635" width="4.85546875" style="1" customWidth="1"/>
    <col min="4636" max="4636" width="9" style="1" customWidth="1"/>
    <col min="4637" max="4637" width="15.85546875" style="1" customWidth="1"/>
    <col min="4638" max="4638" width="15.7109375" style="1" customWidth="1"/>
    <col min="4639" max="4639" width="15.42578125" style="1" customWidth="1"/>
    <col min="4640" max="4640" width="17.140625" style="1" customWidth="1"/>
    <col min="4641" max="4641" width="37.85546875" style="1" customWidth="1"/>
    <col min="4642" max="4642" width="36.5703125" style="1" customWidth="1"/>
    <col min="4643" max="4643" width="29.42578125" style="1" customWidth="1"/>
    <col min="4644" max="4888" width="8.85546875" style="1"/>
    <col min="4889" max="4889" width="4" style="1" customWidth="1"/>
    <col min="4890" max="4890" width="59.7109375" style="1" customWidth="1"/>
    <col min="4891" max="4891" width="4.85546875" style="1" customWidth="1"/>
    <col min="4892" max="4892" width="9" style="1" customWidth="1"/>
    <col min="4893" max="4893" width="15.85546875" style="1" customWidth="1"/>
    <col min="4894" max="4894" width="15.7109375" style="1" customWidth="1"/>
    <col min="4895" max="4895" width="15.42578125" style="1" customWidth="1"/>
    <col min="4896" max="4896" width="17.140625" style="1" customWidth="1"/>
    <col min="4897" max="4897" width="37.85546875" style="1" customWidth="1"/>
    <col min="4898" max="4898" width="36.5703125" style="1" customWidth="1"/>
    <col min="4899" max="4899" width="29.42578125" style="1" customWidth="1"/>
    <col min="4900" max="5144" width="8.85546875" style="1"/>
    <col min="5145" max="5145" width="4" style="1" customWidth="1"/>
    <col min="5146" max="5146" width="59.7109375" style="1" customWidth="1"/>
    <col min="5147" max="5147" width="4.85546875" style="1" customWidth="1"/>
    <col min="5148" max="5148" width="9" style="1" customWidth="1"/>
    <col min="5149" max="5149" width="15.85546875" style="1" customWidth="1"/>
    <col min="5150" max="5150" width="15.7109375" style="1" customWidth="1"/>
    <col min="5151" max="5151" width="15.42578125" style="1" customWidth="1"/>
    <col min="5152" max="5152" width="17.140625" style="1" customWidth="1"/>
    <col min="5153" max="5153" width="37.85546875" style="1" customWidth="1"/>
    <col min="5154" max="5154" width="36.5703125" style="1" customWidth="1"/>
    <col min="5155" max="5155" width="29.42578125" style="1" customWidth="1"/>
    <col min="5156" max="5400" width="8.85546875" style="1"/>
    <col min="5401" max="5401" width="4" style="1" customWidth="1"/>
    <col min="5402" max="5402" width="59.7109375" style="1" customWidth="1"/>
    <col min="5403" max="5403" width="4.85546875" style="1" customWidth="1"/>
    <col min="5404" max="5404" width="9" style="1" customWidth="1"/>
    <col min="5405" max="5405" width="15.85546875" style="1" customWidth="1"/>
    <col min="5406" max="5406" width="15.7109375" style="1" customWidth="1"/>
    <col min="5407" max="5407" width="15.42578125" style="1" customWidth="1"/>
    <col min="5408" max="5408" width="17.140625" style="1" customWidth="1"/>
    <col min="5409" max="5409" width="37.85546875" style="1" customWidth="1"/>
    <col min="5410" max="5410" width="36.5703125" style="1" customWidth="1"/>
    <col min="5411" max="5411" width="29.42578125" style="1" customWidth="1"/>
    <col min="5412" max="5656" width="8.85546875" style="1"/>
    <col min="5657" max="5657" width="4" style="1" customWidth="1"/>
    <col min="5658" max="5658" width="59.7109375" style="1" customWidth="1"/>
    <col min="5659" max="5659" width="4.85546875" style="1" customWidth="1"/>
    <col min="5660" max="5660" width="9" style="1" customWidth="1"/>
    <col min="5661" max="5661" width="15.85546875" style="1" customWidth="1"/>
    <col min="5662" max="5662" width="15.7109375" style="1" customWidth="1"/>
    <col min="5663" max="5663" width="15.42578125" style="1" customWidth="1"/>
    <col min="5664" max="5664" width="17.140625" style="1" customWidth="1"/>
    <col min="5665" max="5665" width="37.85546875" style="1" customWidth="1"/>
    <col min="5666" max="5666" width="36.5703125" style="1" customWidth="1"/>
    <col min="5667" max="5667" width="29.42578125" style="1" customWidth="1"/>
    <col min="5668" max="5912" width="8.85546875" style="1"/>
    <col min="5913" max="5913" width="4" style="1" customWidth="1"/>
    <col min="5914" max="5914" width="59.7109375" style="1" customWidth="1"/>
    <col min="5915" max="5915" width="4.85546875" style="1" customWidth="1"/>
    <col min="5916" max="5916" width="9" style="1" customWidth="1"/>
    <col min="5917" max="5917" width="15.85546875" style="1" customWidth="1"/>
    <col min="5918" max="5918" width="15.7109375" style="1" customWidth="1"/>
    <col min="5919" max="5919" width="15.42578125" style="1" customWidth="1"/>
    <col min="5920" max="5920" width="17.140625" style="1" customWidth="1"/>
    <col min="5921" max="5921" width="37.85546875" style="1" customWidth="1"/>
    <col min="5922" max="5922" width="36.5703125" style="1" customWidth="1"/>
    <col min="5923" max="5923" width="29.42578125" style="1" customWidth="1"/>
    <col min="5924" max="6168" width="8.85546875" style="1"/>
    <col min="6169" max="6169" width="4" style="1" customWidth="1"/>
    <col min="6170" max="6170" width="59.7109375" style="1" customWidth="1"/>
    <col min="6171" max="6171" width="4.85546875" style="1" customWidth="1"/>
    <col min="6172" max="6172" width="9" style="1" customWidth="1"/>
    <col min="6173" max="6173" width="15.85546875" style="1" customWidth="1"/>
    <col min="6174" max="6174" width="15.7109375" style="1" customWidth="1"/>
    <col min="6175" max="6175" width="15.42578125" style="1" customWidth="1"/>
    <col min="6176" max="6176" width="17.140625" style="1" customWidth="1"/>
    <col min="6177" max="6177" width="37.85546875" style="1" customWidth="1"/>
    <col min="6178" max="6178" width="36.5703125" style="1" customWidth="1"/>
    <col min="6179" max="6179" width="29.42578125" style="1" customWidth="1"/>
    <col min="6180" max="6424" width="8.85546875" style="1"/>
    <col min="6425" max="6425" width="4" style="1" customWidth="1"/>
    <col min="6426" max="6426" width="59.7109375" style="1" customWidth="1"/>
    <col min="6427" max="6427" width="4.85546875" style="1" customWidth="1"/>
    <col min="6428" max="6428" width="9" style="1" customWidth="1"/>
    <col min="6429" max="6429" width="15.85546875" style="1" customWidth="1"/>
    <col min="6430" max="6430" width="15.7109375" style="1" customWidth="1"/>
    <col min="6431" max="6431" width="15.42578125" style="1" customWidth="1"/>
    <col min="6432" max="6432" width="17.140625" style="1" customWidth="1"/>
    <col min="6433" max="6433" width="37.85546875" style="1" customWidth="1"/>
    <col min="6434" max="6434" width="36.5703125" style="1" customWidth="1"/>
    <col min="6435" max="6435" width="29.42578125" style="1" customWidth="1"/>
    <col min="6436" max="6680" width="8.85546875" style="1"/>
    <col min="6681" max="6681" width="4" style="1" customWidth="1"/>
    <col min="6682" max="6682" width="59.7109375" style="1" customWidth="1"/>
    <col min="6683" max="6683" width="4.85546875" style="1" customWidth="1"/>
    <col min="6684" max="6684" width="9" style="1" customWidth="1"/>
    <col min="6685" max="6685" width="15.85546875" style="1" customWidth="1"/>
    <col min="6686" max="6686" width="15.7109375" style="1" customWidth="1"/>
    <col min="6687" max="6687" width="15.42578125" style="1" customWidth="1"/>
    <col min="6688" max="6688" width="17.140625" style="1" customWidth="1"/>
    <col min="6689" max="6689" width="37.85546875" style="1" customWidth="1"/>
    <col min="6690" max="6690" width="36.5703125" style="1" customWidth="1"/>
    <col min="6691" max="6691" width="29.42578125" style="1" customWidth="1"/>
    <col min="6692" max="6936" width="8.85546875" style="1"/>
    <col min="6937" max="6937" width="4" style="1" customWidth="1"/>
    <col min="6938" max="6938" width="59.7109375" style="1" customWidth="1"/>
    <col min="6939" max="6939" width="4.85546875" style="1" customWidth="1"/>
    <col min="6940" max="6940" width="9" style="1" customWidth="1"/>
    <col min="6941" max="6941" width="15.85546875" style="1" customWidth="1"/>
    <col min="6942" max="6942" width="15.7109375" style="1" customWidth="1"/>
    <col min="6943" max="6943" width="15.42578125" style="1" customWidth="1"/>
    <col min="6944" max="6944" width="17.140625" style="1" customWidth="1"/>
    <col min="6945" max="6945" width="37.85546875" style="1" customWidth="1"/>
    <col min="6946" max="6946" width="36.5703125" style="1" customWidth="1"/>
    <col min="6947" max="6947" width="29.42578125" style="1" customWidth="1"/>
    <col min="6948" max="7192" width="8.85546875" style="1"/>
    <col min="7193" max="7193" width="4" style="1" customWidth="1"/>
    <col min="7194" max="7194" width="59.7109375" style="1" customWidth="1"/>
    <col min="7195" max="7195" width="4.85546875" style="1" customWidth="1"/>
    <col min="7196" max="7196" width="9" style="1" customWidth="1"/>
    <col min="7197" max="7197" width="15.85546875" style="1" customWidth="1"/>
    <col min="7198" max="7198" width="15.7109375" style="1" customWidth="1"/>
    <col min="7199" max="7199" width="15.42578125" style="1" customWidth="1"/>
    <col min="7200" max="7200" width="17.140625" style="1" customWidth="1"/>
    <col min="7201" max="7201" width="37.85546875" style="1" customWidth="1"/>
    <col min="7202" max="7202" width="36.5703125" style="1" customWidth="1"/>
    <col min="7203" max="7203" width="29.42578125" style="1" customWidth="1"/>
    <col min="7204" max="7448" width="8.85546875" style="1"/>
    <col min="7449" max="7449" width="4" style="1" customWidth="1"/>
    <col min="7450" max="7450" width="59.7109375" style="1" customWidth="1"/>
    <col min="7451" max="7451" width="4.85546875" style="1" customWidth="1"/>
    <col min="7452" max="7452" width="9" style="1" customWidth="1"/>
    <col min="7453" max="7453" width="15.85546875" style="1" customWidth="1"/>
    <col min="7454" max="7454" width="15.7109375" style="1" customWidth="1"/>
    <col min="7455" max="7455" width="15.42578125" style="1" customWidth="1"/>
    <col min="7456" max="7456" width="17.140625" style="1" customWidth="1"/>
    <col min="7457" max="7457" width="37.85546875" style="1" customWidth="1"/>
    <col min="7458" max="7458" width="36.5703125" style="1" customWidth="1"/>
    <col min="7459" max="7459" width="29.42578125" style="1" customWidth="1"/>
    <col min="7460" max="7704" width="8.85546875" style="1"/>
    <col min="7705" max="7705" width="4" style="1" customWidth="1"/>
    <col min="7706" max="7706" width="59.7109375" style="1" customWidth="1"/>
    <col min="7707" max="7707" width="4.85546875" style="1" customWidth="1"/>
    <col min="7708" max="7708" width="9" style="1" customWidth="1"/>
    <col min="7709" max="7709" width="15.85546875" style="1" customWidth="1"/>
    <col min="7710" max="7710" width="15.7109375" style="1" customWidth="1"/>
    <col min="7711" max="7711" width="15.42578125" style="1" customWidth="1"/>
    <col min="7712" max="7712" width="17.140625" style="1" customWidth="1"/>
    <col min="7713" max="7713" width="37.85546875" style="1" customWidth="1"/>
    <col min="7714" max="7714" width="36.5703125" style="1" customWidth="1"/>
    <col min="7715" max="7715" width="29.42578125" style="1" customWidth="1"/>
    <col min="7716" max="7960" width="8.85546875" style="1"/>
    <col min="7961" max="7961" width="4" style="1" customWidth="1"/>
    <col min="7962" max="7962" width="59.7109375" style="1" customWidth="1"/>
    <col min="7963" max="7963" width="4.85546875" style="1" customWidth="1"/>
    <col min="7964" max="7964" width="9" style="1" customWidth="1"/>
    <col min="7965" max="7965" width="15.85546875" style="1" customWidth="1"/>
    <col min="7966" max="7966" width="15.7109375" style="1" customWidth="1"/>
    <col min="7967" max="7967" width="15.42578125" style="1" customWidth="1"/>
    <col min="7968" max="7968" width="17.140625" style="1" customWidth="1"/>
    <col min="7969" max="7969" width="37.85546875" style="1" customWidth="1"/>
    <col min="7970" max="7970" width="36.5703125" style="1" customWidth="1"/>
    <col min="7971" max="7971" width="29.42578125" style="1" customWidth="1"/>
    <col min="7972" max="8216" width="8.85546875" style="1"/>
    <col min="8217" max="8217" width="4" style="1" customWidth="1"/>
    <col min="8218" max="8218" width="59.7109375" style="1" customWidth="1"/>
    <col min="8219" max="8219" width="4.85546875" style="1" customWidth="1"/>
    <col min="8220" max="8220" width="9" style="1" customWidth="1"/>
    <col min="8221" max="8221" width="15.85546875" style="1" customWidth="1"/>
    <col min="8222" max="8222" width="15.7109375" style="1" customWidth="1"/>
    <col min="8223" max="8223" width="15.42578125" style="1" customWidth="1"/>
    <col min="8224" max="8224" width="17.140625" style="1" customWidth="1"/>
    <col min="8225" max="8225" width="37.85546875" style="1" customWidth="1"/>
    <col min="8226" max="8226" width="36.5703125" style="1" customWidth="1"/>
    <col min="8227" max="8227" width="29.42578125" style="1" customWidth="1"/>
    <col min="8228" max="8472" width="8.85546875" style="1"/>
    <col min="8473" max="8473" width="4" style="1" customWidth="1"/>
    <col min="8474" max="8474" width="59.7109375" style="1" customWidth="1"/>
    <col min="8475" max="8475" width="4.85546875" style="1" customWidth="1"/>
    <col min="8476" max="8476" width="9" style="1" customWidth="1"/>
    <col min="8477" max="8477" width="15.85546875" style="1" customWidth="1"/>
    <col min="8478" max="8478" width="15.7109375" style="1" customWidth="1"/>
    <col min="8479" max="8479" width="15.42578125" style="1" customWidth="1"/>
    <col min="8480" max="8480" width="17.140625" style="1" customWidth="1"/>
    <col min="8481" max="8481" width="37.85546875" style="1" customWidth="1"/>
    <col min="8482" max="8482" width="36.5703125" style="1" customWidth="1"/>
    <col min="8483" max="8483" width="29.42578125" style="1" customWidth="1"/>
    <col min="8484" max="8728" width="8.85546875" style="1"/>
    <col min="8729" max="8729" width="4" style="1" customWidth="1"/>
    <col min="8730" max="8730" width="59.7109375" style="1" customWidth="1"/>
    <col min="8731" max="8731" width="4.85546875" style="1" customWidth="1"/>
    <col min="8732" max="8732" width="9" style="1" customWidth="1"/>
    <col min="8733" max="8733" width="15.85546875" style="1" customWidth="1"/>
    <col min="8734" max="8734" width="15.7109375" style="1" customWidth="1"/>
    <col min="8735" max="8735" width="15.42578125" style="1" customWidth="1"/>
    <col min="8736" max="8736" width="17.140625" style="1" customWidth="1"/>
    <col min="8737" max="8737" width="37.85546875" style="1" customWidth="1"/>
    <col min="8738" max="8738" width="36.5703125" style="1" customWidth="1"/>
    <col min="8739" max="8739" width="29.42578125" style="1" customWidth="1"/>
    <col min="8740" max="8984" width="8.85546875" style="1"/>
    <col min="8985" max="8985" width="4" style="1" customWidth="1"/>
    <col min="8986" max="8986" width="59.7109375" style="1" customWidth="1"/>
    <col min="8987" max="8987" width="4.85546875" style="1" customWidth="1"/>
    <col min="8988" max="8988" width="9" style="1" customWidth="1"/>
    <col min="8989" max="8989" width="15.85546875" style="1" customWidth="1"/>
    <col min="8990" max="8990" width="15.7109375" style="1" customWidth="1"/>
    <col min="8991" max="8991" width="15.42578125" style="1" customWidth="1"/>
    <col min="8992" max="8992" width="17.140625" style="1" customWidth="1"/>
    <col min="8993" max="8993" width="37.85546875" style="1" customWidth="1"/>
    <col min="8994" max="8994" width="36.5703125" style="1" customWidth="1"/>
    <col min="8995" max="8995" width="29.42578125" style="1" customWidth="1"/>
    <col min="8996" max="9240" width="8.85546875" style="1"/>
    <col min="9241" max="9241" width="4" style="1" customWidth="1"/>
    <col min="9242" max="9242" width="59.7109375" style="1" customWidth="1"/>
    <col min="9243" max="9243" width="4.85546875" style="1" customWidth="1"/>
    <col min="9244" max="9244" width="9" style="1" customWidth="1"/>
    <col min="9245" max="9245" width="15.85546875" style="1" customWidth="1"/>
    <col min="9246" max="9246" width="15.7109375" style="1" customWidth="1"/>
    <col min="9247" max="9247" width="15.42578125" style="1" customWidth="1"/>
    <col min="9248" max="9248" width="17.140625" style="1" customWidth="1"/>
    <col min="9249" max="9249" width="37.85546875" style="1" customWidth="1"/>
    <col min="9250" max="9250" width="36.5703125" style="1" customWidth="1"/>
    <col min="9251" max="9251" width="29.42578125" style="1" customWidth="1"/>
    <col min="9252" max="9496" width="8.85546875" style="1"/>
    <col min="9497" max="9497" width="4" style="1" customWidth="1"/>
    <col min="9498" max="9498" width="59.7109375" style="1" customWidth="1"/>
    <col min="9499" max="9499" width="4.85546875" style="1" customWidth="1"/>
    <col min="9500" max="9500" width="9" style="1" customWidth="1"/>
    <col min="9501" max="9501" width="15.85546875" style="1" customWidth="1"/>
    <col min="9502" max="9502" width="15.7109375" style="1" customWidth="1"/>
    <col min="9503" max="9503" width="15.42578125" style="1" customWidth="1"/>
    <col min="9504" max="9504" width="17.140625" style="1" customWidth="1"/>
    <col min="9505" max="9505" width="37.85546875" style="1" customWidth="1"/>
    <col min="9506" max="9506" width="36.5703125" style="1" customWidth="1"/>
    <col min="9507" max="9507" width="29.42578125" style="1" customWidth="1"/>
    <col min="9508" max="9752" width="8.85546875" style="1"/>
    <col min="9753" max="9753" width="4" style="1" customWidth="1"/>
    <col min="9754" max="9754" width="59.7109375" style="1" customWidth="1"/>
    <col min="9755" max="9755" width="4.85546875" style="1" customWidth="1"/>
    <col min="9756" max="9756" width="9" style="1" customWidth="1"/>
    <col min="9757" max="9757" width="15.85546875" style="1" customWidth="1"/>
    <col min="9758" max="9758" width="15.7109375" style="1" customWidth="1"/>
    <col min="9759" max="9759" width="15.42578125" style="1" customWidth="1"/>
    <col min="9760" max="9760" width="17.140625" style="1" customWidth="1"/>
    <col min="9761" max="9761" width="37.85546875" style="1" customWidth="1"/>
    <col min="9762" max="9762" width="36.5703125" style="1" customWidth="1"/>
    <col min="9763" max="9763" width="29.42578125" style="1" customWidth="1"/>
    <col min="9764" max="10008" width="8.85546875" style="1"/>
    <col min="10009" max="10009" width="4" style="1" customWidth="1"/>
    <col min="10010" max="10010" width="59.7109375" style="1" customWidth="1"/>
    <col min="10011" max="10011" width="4.85546875" style="1" customWidth="1"/>
    <col min="10012" max="10012" width="9" style="1" customWidth="1"/>
    <col min="10013" max="10013" width="15.85546875" style="1" customWidth="1"/>
    <col min="10014" max="10014" width="15.7109375" style="1" customWidth="1"/>
    <col min="10015" max="10015" width="15.42578125" style="1" customWidth="1"/>
    <col min="10016" max="10016" width="17.140625" style="1" customWidth="1"/>
    <col min="10017" max="10017" width="37.85546875" style="1" customWidth="1"/>
    <col min="10018" max="10018" width="36.5703125" style="1" customWidth="1"/>
    <col min="10019" max="10019" width="29.42578125" style="1" customWidth="1"/>
    <col min="10020" max="10264" width="8.85546875" style="1"/>
    <col min="10265" max="10265" width="4" style="1" customWidth="1"/>
    <col min="10266" max="10266" width="59.7109375" style="1" customWidth="1"/>
    <col min="10267" max="10267" width="4.85546875" style="1" customWidth="1"/>
    <col min="10268" max="10268" width="9" style="1" customWidth="1"/>
    <col min="10269" max="10269" width="15.85546875" style="1" customWidth="1"/>
    <col min="10270" max="10270" width="15.7109375" style="1" customWidth="1"/>
    <col min="10271" max="10271" width="15.42578125" style="1" customWidth="1"/>
    <col min="10272" max="10272" width="17.140625" style="1" customWidth="1"/>
    <col min="10273" max="10273" width="37.85546875" style="1" customWidth="1"/>
    <col min="10274" max="10274" width="36.5703125" style="1" customWidth="1"/>
    <col min="10275" max="10275" width="29.42578125" style="1" customWidth="1"/>
    <col min="10276" max="10520" width="8.85546875" style="1"/>
    <col min="10521" max="10521" width="4" style="1" customWidth="1"/>
    <col min="10522" max="10522" width="59.7109375" style="1" customWidth="1"/>
    <col min="10523" max="10523" width="4.85546875" style="1" customWidth="1"/>
    <col min="10524" max="10524" width="9" style="1" customWidth="1"/>
    <col min="10525" max="10525" width="15.85546875" style="1" customWidth="1"/>
    <col min="10526" max="10526" width="15.7109375" style="1" customWidth="1"/>
    <col min="10527" max="10527" width="15.42578125" style="1" customWidth="1"/>
    <col min="10528" max="10528" width="17.140625" style="1" customWidth="1"/>
    <col min="10529" max="10529" width="37.85546875" style="1" customWidth="1"/>
    <col min="10530" max="10530" width="36.5703125" style="1" customWidth="1"/>
    <col min="10531" max="10531" width="29.42578125" style="1" customWidth="1"/>
    <col min="10532" max="10776" width="8.85546875" style="1"/>
    <col min="10777" max="10777" width="4" style="1" customWidth="1"/>
    <col min="10778" max="10778" width="59.7109375" style="1" customWidth="1"/>
    <col min="10779" max="10779" width="4.85546875" style="1" customWidth="1"/>
    <col min="10780" max="10780" width="9" style="1" customWidth="1"/>
    <col min="10781" max="10781" width="15.85546875" style="1" customWidth="1"/>
    <col min="10782" max="10782" width="15.7109375" style="1" customWidth="1"/>
    <col min="10783" max="10783" width="15.42578125" style="1" customWidth="1"/>
    <col min="10784" max="10784" width="17.140625" style="1" customWidth="1"/>
    <col min="10785" max="10785" width="37.85546875" style="1" customWidth="1"/>
    <col min="10786" max="10786" width="36.5703125" style="1" customWidth="1"/>
    <col min="10787" max="10787" width="29.42578125" style="1" customWidth="1"/>
    <col min="10788" max="11032" width="8.85546875" style="1"/>
    <col min="11033" max="11033" width="4" style="1" customWidth="1"/>
    <col min="11034" max="11034" width="59.7109375" style="1" customWidth="1"/>
    <col min="11035" max="11035" width="4.85546875" style="1" customWidth="1"/>
    <col min="11036" max="11036" width="9" style="1" customWidth="1"/>
    <col min="11037" max="11037" width="15.85546875" style="1" customWidth="1"/>
    <col min="11038" max="11038" width="15.7109375" style="1" customWidth="1"/>
    <col min="11039" max="11039" width="15.42578125" style="1" customWidth="1"/>
    <col min="11040" max="11040" width="17.140625" style="1" customWidth="1"/>
    <col min="11041" max="11041" width="37.85546875" style="1" customWidth="1"/>
    <col min="11042" max="11042" width="36.5703125" style="1" customWidth="1"/>
    <col min="11043" max="11043" width="29.42578125" style="1" customWidth="1"/>
    <col min="11044" max="11288" width="8.85546875" style="1"/>
    <col min="11289" max="11289" width="4" style="1" customWidth="1"/>
    <col min="11290" max="11290" width="59.7109375" style="1" customWidth="1"/>
    <col min="11291" max="11291" width="4.85546875" style="1" customWidth="1"/>
    <col min="11292" max="11292" width="9" style="1" customWidth="1"/>
    <col min="11293" max="11293" width="15.85546875" style="1" customWidth="1"/>
    <col min="11294" max="11294" width="15.7109375" style="1" customWidth="1"/>
    <col min="11295" max="11295" width="15.42578125" style="1" customWidth="1"/>
    <col min="11296" max="11296" width="17.140625" style="1" customWidth="1"/>
    <col min="11297" max="11297" width="37.85546875" style="1" customWidth="1"/>
    <col min="11298" max="11298" width="36.5703125" style="1" customWidth="1"/>
    <col min="11299" max="11299" width="29.42578125" style="1" customWidth="1"/>
    <col min="11300" max="11544" width="8.85546875" style="1"/>
    <col min="11545" max="11545" width="4" style="1" customWidth="1"/>
    <col min="11546" max="11546" width="59.7109375" style="1" customWidth="1"/>
    <col min="11547" max="11547" width="4.85546875" style="1" customWidth="1"/>
    <col min="11548" max="11548" width="9" style="1" customWidth="1"/>
    <col min="11549" max="11549" width="15.85546875" style="1" customWidth="1"/>
    <col min="11550" max="11550" width="15.7109375" style="1" customWidth="1"/>
    <col min="11551" max="11551" width="15.42578125" style="1" customWidth="1"/>
    <col min="11552" max="11552" width="17.140625" style="1" customWidth="1"/>
    <col min="11553" max="11553" width="37.85546875" style="1" customWidth="1"/>
    <col min="11554" max="11554" width="36.5703125" style="1" customWidth="1"/>
    <col min="11555" max="11555" width="29.42578125" style="1" customWidth="1"/>
    <col min="11556" max="11800" width="8.85546875" style="1"/>
    <col min="11801" max="11801" width="4" style="1" customWidth="1"/>
    <col min="11802" max="11802" width="59.7109375" style="1" customWidth="1"/>
    <col min="11803" max="11803" width="4.85546875" style="1" customWidth="1"/>
    <col min="11804" max="11804" width="9" style="1" customWidth="1"/>
    <col min="11805" max="11805" width="15.85546875" style="1" customWidth="1"/>
    <col min="11806" max="11806" width="15.7109375" style="1" customWidth="1"/>
    <col min="11807" max="11807" width="15.42578125" style="1" customWidth="1"/>
    <col min="11808" max="11808" width="17.140625" style="1" customWidth="1"/>
    <col min="11809" max="11809" width="37.85546875" style="1" customWidth="1"/>
    <col min="11810" max="11810" width="36.5703125" style="1" customWidth="1"/>
    <col min="11811" max="11811" width="29.42578125" style="1" customWidth="1"/>
    <col min="11812" max="12056" width="8.85546875" style="1"/>
    <col min="12057" max="12057" width="4" style="1" customWidth="1"/>
    <col min="12058" max="12058" width="59.7109375" style="1" customWidth="1"/>
    <col min="12059" max="12059" width="4.85546875" style="1" customWidth="1"/>
    <col min="12060" max="12060" width="9" style="1" customWidth="1"/>
    <col min="12061" max="12061" width="15.85546875" style="1" customWidth="1"/>
    <col min="12062" max="12062" width="15.7109375" style="1" customWidth="1"/>
    <col min="12063" max="12063" width="15.42578125" style="1" customWidth="1"/>
    <col min="12064" max="12064" width="17.140625" style="1" customWidth="1"/>
    <col min="12065" max="12065" width="37.85546875" style="1" customWidth="1"/>
    <col min="12066" max="12066" width="36.5703125" style="1" customWidth="1"/>
    <col min="12067" max="12067" width="29.42578125" style="1" customWidth="1"/>
    <col min="12068" max="12312" width="8.85546875" style="1"/>
    <col min="12313" max="12313" width="4" style="1" customWidth="1"/>
    <col min="12314" max="12314" width="59.7109375" style="1" customWidth="1"/>
    <col min="12315" max="12315" width="4.85546875" style="1" customWidth="1"/>
    <col min="12316" max="12316" width="9" style="1" customWidth="1"/>
    <col min="12317" max="12317" width="15.85546875" style="1" customWidth="1"/>
    <col min="12318" max="12318" width="15.7109375" style="1" customWidth="1"/>
    <col min="12319" max="12319" width="15.42578125" style="1" customWidth="1"/>
    <col min="12320" max="12320" width="17.140625" style="1" customWidth="1"/>
    <col min="12321" max="12321" width="37.85546875" style="1" customWidth="1"/>
    <col min="12322" max="12322" width="36.5703125" style="1" customWidth="1"/>
    <col min="12323" max="12323" width="29.42578125" style="1" customWidth="1"/>
    <col min="12324" max="12568" width="8.85546875" style="1"/>
    <col min="12569" max="12569" width="4" style="1" customWidth="1"/>
    <col min="12570" max="12570" width="59.7109375" style="1" customWidth="1"/>
    <col min="12571" max="12571" width="4.85546875" style="1" customWidth="1"/>
    <col min="12572" max="12572" width="9" style="1" customWidth="1"/>
    <col min="12573" max="12573" width="15.85546875" style="1" customWidth="1"/>
    <col min="12574" max="12574" width="15.7109375" style="1" customWidth="1"/>
    <col min="12575" max="12575" width="15.42578125" style="1" customWidth="1"/>
    <col min="12576" max="12576" width="17.140625" style="1" customWidth="1"/>
    <col min="12577" max="12577" width="37.85546875" style="1" customWidth="1"/>
    <col min="12578" max="12578" width="36.5703125" style="1" customWidth="1"/>
    <col min="12579" max="12579" width="29.42578125" style="1" customWidth="1"/>
    <col min="12580" max="12824" width="8.85546875" style="1"/>
    <col min="12825" max="12825" width="4" style="1" customWidth="1"/>
    <col min="12826" max="12826" width="59.7109375" style="1" customWidth="1"/>
    <col min="12827" max="12827" width="4.85546875" style="1" customWidth="1"/>
    <col min="12828" max="12828" width="9" style="1" customWidth="1"/>
    <col min="12829" max="12829" width="15.85546875" style="1" customWidth="1"/>
    <col min="12830" max="12830" width="15.7109375" style="1" customWidth="1"/>
    <col min="12831" max="12831" width="15.42578125" style="1" customWidth="1"/>
    <col min="12832" max="12832" width="17.140625" style="1" customWidth="1"/>
    <col min="12833" max="12833" width="37.85546875" style="1" customWidth="1"/>
    <col min="12834" max="12834" width="36.5703125" style="1" customWidth="1"/>
    <col min="12835" max="12835" width="29.42578125" style="1" customWidth="1"/>
    <col min="12836" max="13080" width="8.85546875" style="1"/>
    <col min="13081" max="13081" width="4" style="1" customWidth="1"/>
    <col min="13082" max="13082" width="59.7109375" style="1" customWidth="1"/>
    <col min="13083" max="13083" width="4.85546875" style="1" customWidth="1"/>
    <col min="13084" max="13084" width="9" style="1" customWidth="1"/>
    <col min="13085" max="13085" width="15.85546875" style="1" customWidth="1"/>
    <col min="13086" max="13086" width="15.7109375" style="1" customWidth="1"/>
    <col min="13087" max="13087" width="15.42578125" style="1" customWidth="1"/>
    <col min="13088" max="13088" width="17.140625" style="1" customWidth="1"/>
    <col min="13089" max="13089" width="37.85546875" style="1" customWidth="1"/>
    <col min="13090" max="13090" width="36.5703125" style="1" customWidth="1"/>
    <col min="13091" max="13091" width="29.42578125" style="1" customWidth="1"/>
    <col min="13092" max="13336" width="8.85546875" style="1"/>
    <col min="13337" max="13337" width="4" style="1" customWidth="1"/>
    <col min="13338" max="13338" width="59.7109375" style="1" customWidth="1"/>
    <col min="13339" max="13339" width="4.85546875" style="1" customWidth="1"/>
    <col min="13340" max="13340" width="9" style="1" customWidth="1"/>
    <col min="13341" max="13341" width="15.85546875" style="1" customWidth="1"/>
    <col min="13342" max="13342" width="15.7109375" style="1" customWidth="1"/>
    <col min="13343" max="13343" width="15.42578125" style="1" customWidth="1"/>
    <col min="13344" max="13344" width="17.140625" style="1" customWidth="1"/>
    <col min="13345" max="13345" width="37.85546875" style="1" customWidth="1"/>
    <col min="13346" max="13346" width="36.5703125" style="1" customWidth="1"/>
    <col min="13347" max="13347" width="29.42578125" style="1" customWidth="1"/>
    <col min="13348" max="13592" width="8.85546875" style="1"/>
    <col min="13593" max="13593" width="4" style="1" customWidth="1"/>
    <col min="13594" max="13594" width="59.7109375" style="1" customWidth="1"/>
    <col min="13595" max="13595" width="4.85546875" style="1" customWidth="1"/>
    <col min="13596" max="13596" width="9" style="1" customWidth="1"/>
    <col min="13597" max="13597" width="15.85546875" style="1" customWidth="1"/>
    <col min="13598" max="13598" width="15.7109375" style="1" customWidth="1"/>
    <col min="13599" max="13599" width="15.42578125" style="1" customWidth="1"/>
    <col min="13600" max="13600" width="17.140625" style="1" customWidth="1"/>
    <col min="13601" max="13601" width="37.85546875" style="1" customWidth="1"/>
    <col min="13602" max="13602" width="36.5703125" style="1" customWidth="1"/>
    <col min="13603" max="13603" width="29.42578125" style="1" customWidth="1"/>
    <col min="13604" max="13848" width="8.85546875" style="1"/>
    <col min="13849" max="13849" width="4" style="1" customWidth="1"/>
    <col min="13850" max="13850" width="59.7109375" style="1" customWidth="1"/>
    <col min="13851" max="13851" width="4.85546875" style="1" customWidth="1"/>
    <col min="13852" max="13852" width="9" style="1" customWidth="1"/>
    <col min="13853" max="13853" width="15.85546875" style="1" customWidth="1"/>
    <col min="13854" max="13854" width="15.7109375" style="1" customWidth="1"/>
    <col min="13855" max="13855" width="15.42578125" style="1" customWidth="1"/>
    <col min="13856" max="13856" width="17.140625" style="1" customWidth="1"/>
    <col min="13857" max="13857" width="37.85546875" style="1" customWidth="1"/>
    <col min="13858" max="13858" width="36.5703125" style="1" customWidth="1"/>
    <col min="13859" max="13859" width="29.42578125" style="1" customWidth="1"/>
    <col min="13860" max="14104" width="8.85546875" style="1"/>
    <col min="14105" max="14105" width="4" style="1" customWidth="1"/>
    <col min="14106" max="14106" width="59.7109375" style="1" customWidth="1"/>
    <col min="14107" max="14107" width="4.85546875" style="1" customWidth="1"/>
    <col min="14108" max="14108" width="9" style="1" customWidth="1"/>
    <col min="14109" max="14109" width="15.85546875" style="1" customWidth="1"/>
    <col min="14110" max="14110" width="15.7109375" style="1" customWidth="1"/>
    <col min="14111" max="14111" width="15.42578125" style="1" customWidth="1"/>
    <col min="14112" max="14112" width="17.140625" style="1" customWidth="1"/>
    <col min="14113" max="14113" width="37.85546875" style="1" customWidth="1"/>
    <col min="14114" max="14114" width="36.5703125" style="1" customWidth="1"/>
    <col min="14115" max="14115" width="29.42578125" style="1" customWidth="1"/>
    <col min="14116" max="14360" width="8.85546875" style="1"/>
    <col min="14361" max="14361" width="4" style="1" customWidth="1"/>
    <col min="14362" max="14362" width="59.7109375" style="1" customWidth="1"/>
    <col min="14363" max="14363" width="4.85546875" style="1" customWidth="1"/>
    <col min="14364" max="14364" width="9" style="1" customWidth="1"/>
    <col min="14365" max="14365" width="15.85546875" style="1" customWidth="1"/>
    <col min="14366" max="14366" width="15.7109375" style="1" customWidth="1"/>
    <col min="14367" max="14367" width="15.42578125" style="1" customWidth="1"/>
    <col min="14368" max="14368" width="17.140625" style="1" customWidth="1"/>
    <col min="14369" max="14369" width="37.85546875" style="1" customWidth="1"/>
    <col min="14370" max="14370" width="36.5703125" style="1" customWidth="1"/>
    <col min="14371" max="14371" width="29.42578125" style="1" customWidth="1"/>
    <col min="14372" max="14616" width="8.85546875" style="1"/>
    <col min="14617" max="14617" width="4" style="1" customWidth="1"/>
    <col min="14618" max="14618" width="59.7109375" style="1" customWidth="1"/>
    <col min="14619" max="14619" width="4.85546875" style="1" customWidth="1"/>
    <col min="14620" max="14620" width="9" style="1" customWidth="1"/>
    <col min="14621" max="14621" width="15.85546875" style="1" customWidth="1"/>
    <col min="14622" max="14622" width="15.7109375" style="1" customWidth="1"/>
    <col min="14623" max="14623" width="15.42578125" style="1" customWidth="1"/>
    <col min="14624" max="14624" width="17.140625" style="1" customWidth="1"/>
    <col min="14625" max="14625" width="37.85546875" style="1" customWidth="1"/>
    <col min="14626" max="14626" width="36.5703125" style="1" customWidth="1"/>
    <col min="14627" max="14627" width="29.42578125" style="1" customWidth="1"/>
    <col min="14628" max="14872" width="8.85546875" style="1"/>
    <col min="14873" max="14873" width="4" style="1" customWidth="1"/>
    <col min="14874" max="14874" width="59.7109375" style="1" customWidth="1"/>
    <col min="14875" max="14875" width="4.85546875" style="1" customWidth="1"/>
    <col min="14876" max="14876" width="9" style="1" customWidth="1"/>
    <col min="14877" max="14877" width="15.85546875" style="1" customWidth="1"/>
    <col min="14878" max="14878" width="15.7109375" style="1" customWidth="1"/>
    <col min="14879" max="14879" width="15.42578125" style="1" customWidth="1"/>
    <col min="14880" max="14880" width="17.140625" style="1" customWidth="1"/>
    <col min="14881" max="14881" width="37.85546875" style="1" customWidth="1"/>
    <col min="14882" max="14882" width="36.5703125" style="1" customWidth="1"/>
    <col min="14883" max="14883" width="29.42578125" style="1" customWidth="1"/>
    <col min="14884" max="15128" width="8.85546875" style="1"/>
    <col min="15129" max="15129" width="4" style="1" customWidth="1"/>
    <col min="15130" max="15130" width="59.7109375" style="1" customWidth="1"/>
    <col min="15131" max="15131" width="4.85546875" style="1" customWidth="1"/>
    <col min="15132" max="15132" width="9" style="1" customWidth="1"/>
    <col min="15133" max="15133" width="15.85546875" style="1" customWidth="1"/>
    <col min="15134" max="15134" width="15.7109375" style="1" customWidth="1"/>
    <col min="15135" max="15135" width="15.42578125" style="1" customWidth="1"/>
    <col min="15136" max="15136" width="17.140625" style="1" customWidth="1"/>
    <col min="15137" max="15137" width="37.85546875" style="1" customWidth="1"/>
    <col min="15138" max="15138" width="36.5703125" style="1" customWidth="1"/>
    <col min="15139" max="15139" width="29.42578125" style="1" customWidth="1"/>
    <col min="15140" max="15384" width="8.85546875" style="1"/>
    <col min="15385" max="15385" width="4" style="1" customWidth="1"/>
    <col min="15386" max="15386" width="59.7109375" style="1" customWidth="1"/>
    <col min="15387" max="15387" width="4.85546875" style="1" customWidth="1"/>
    <col min="15388" max="15388" width="9" style="1" customWidth="1"/>
    <col min="15389" max="15389" width="15.85546875" style="1" customWidth="1"/>
    <col min="15390" max="15390" width="15.7109375" style="1" customWidth="1"/>
    <col min="15391" max="15391" width="15.42578125" style="1" customWidth="1"/>
    <col min="15392" max="15392" width="17.140625" style="1" customWidth="1"/>
    <col min="15393" max="15393" width="37.85546875" style="1" customWidth="1"/>
    <col min="15394" max="15394" width="36.5703125" style="1" customWidth="1"/>
    <col min="15395" max="15395" width="29.42578125" style="1" customWidth="1"/>
    <col min="15396" max="15640" width="8.85546875" style="1"/>
    <col min="15641" max="15641" width="4" style="1" customWidth="1"/>
    <col min="15642" max="15642" width="59.7109375" style="1" customWidth="1"/>
    <col min="15643" max="15643" width="4.85546875" style="1" customWidth="1"/>
    <col min="15644" max="15644" width="9" style="1" customWidth="1"/>
    <col min="15645" max="15645" width="15.85546875" style="1" customWidth="1"/>
    <col min="15646" max="15646" width="15.7109375" style="1" customWidth="1"/>
    <col min="15647" max="15647" width="15.42578125" style="1" customWidth="1"/>
    <col min="15648" max="15648" width="17.140625" style="1" customWidth="1"/>
    <col min="15649" max="15649" width="37.85546875" style="1" customWidth="1"/>
    <col min="15650" max="15650" width="36.5703125" style="1" customWidth="1"/>
    <col min="15651" max="15651" width="29.42578125" style="1" customWidth="1"/>
    <col min="15652" max="15896" width="8.85546875" style="1"/>
    <col min="15897" max="15897" width="4" style="1" customWidth="1"/>
    <col min="15898" max="15898" width="59.7109375" style="1" customWidth="1"/>
    <col min="15899" max="15899" width="4.85546875" style="1" customWidth="1"/>
    <col min="15900" max="15900" width="9" style="1" customWidth="1"/>
    <col min="15901" max="15901" width="15.85546875" style="1" customWidth="1"/>
    <col min="15902" max="15902" width="15.7109375" style="1" customWidth="1"/>
    <col min="15903" max="15903" width="15.42578125" style="1" customWidth="1"/>
    <col min="15904" max="15904" width="17.140625" style="1" customWidth="1"/>
    <col min="15905" max="15905" width="37.85546875" style="1" customWidth="1"/>
    <col min="15906" max="15906" width="36.5703125" style="1" customWidth="1"/>
    <col min="15907" max="15907" width="29.42578125" style="1" customWidth="1"/>
    <col min="15908" max="16152" width="8.85546875" style="1"/>
    <col min="16153" max="16153" width="4" style="1" customWidth="1"/>
    <col min="16154" max="16154" width="59.7109375" style="1" customWidth="1"/>
    <col min="16155" max="16155" width="4.85546875" style="1" customWidth="1"/>
    <col min="16156" max="16156" width="9" style="1" customWidth="1"/>
    <col min="16157" max="16157" width="15.85546875" style="1" customWidth="1"/>
    <col min="16158" max="16158" width="15.7109375" style="1" customWidth="1"/>
    <col min="16159" max="16159" width="15.42578125" style="1" customWidth="1"/>
    <col min="16160" max="16160" width="17.140625" style="1" customWidth="1"/>
    <col min="16161" max="16161" width="37.85546875" style="1" customWidth="1"/>
    <col min="16162" max="16162" width="36.5703125" style="1" customWidth="1"/>
    <col min="16163" max="16163" width="29.42578125" style="1" customWidth="1"/>
    <col min="16164" max="16384" width="8.85546875" style="1"/>
  </cols>
  <sheetData>
    <row r="1" spans="1:56" ht="22.15" customHeight="1">
      <c r="G1" s="35">
        <v>46027</v>
      </c>
      <c r="H1" s="35">
        <v>46027</v>
      </c>
      <c r="M1" s="35">
        <v>46030</v>
      </c>
      <c r="N1" s="35">
        <v>46030</v>
      </c>
      <c r="O1" s="56" t="s">
        <v>99</v>
      </c>
      <c r="P1" s="56" t="s">
        <v>100</v>
      </c>
      <c r="U1" s="35">
        <v>46034</v>
      </c>
      <c r="V1" s="35">
        <v>46034</v>
      </c>
      <c r="W1" s="59" t="s">
        <v>99</v>
      </c>
      <c r="X1" s="59" t="s">
        <v>100</v>
      </c>
      <c r="AC1" s="35">
        <v>46037</v>
      </c>
      <c r="AD1" s="35">
        <v>46037</v>
      </c>
      <c r="AE1" s="59" t="s">
        <v>99</v>
      </c>
      <c r="AF1" s="59" t="s">
        <v>100</v>
      </c>
      <c r="AK1" s="35">
        <v>46041</v>
      </c>
      <c r="AL1" s="35">
        <v>46041</v>
      </c>
      <c r="AM1" s="59" t="s">
        <v>99</v>
      </c>
      <c r="AN1" s="59" t="s">
        <v>100</v>
      </c>
      <c r="AS1" s="7">
        <v>46044</v>
      </c>
      <c r="AT1" s="7">
        <v>46044</v>
      </c>
      <c r="AU1" s="37" t="s">
        <v>99</v>
      </c>
      <c r="AV1" s="37" t="s">
        <v>100</v>
      </c>
      <c r="BA1" s="7">
        <v>46048</v>
      </c>
      <c r="BB1" s="7">
        <v>46048</v>
      </c>
      <c r="BC1" s="37" t="s">
        <v>99</v>
      </c>
      <c r="BD1" s="37" t="s">
        <v>100</v>
      </c>
    </row>
    <row r="2" spans="1:56" ht="30" customHeight="1">
      <c r="A2"/>
      <c r="B2" s="60" t="s">
        <v>0</v>
      </c>
      <c r="C2" s="21" t="s">
        <v>1</v>
      </c>
      <c r="D2" s="22" t="s">
        <v>2</v>
      </c>
      <c r="E2" s="23" t="s">
        <v>3</v>
      </c>
      <c r="F2" s="23" t="s">
        <v>4</v>
      </c>
      <c r="G2" s="34" t="s">
        <v>5</v>
      </c>
      <c r="H2" s="34" t="s">
        <v>6</v>
      </c>
      <c r="I2" s="61" t="s">
        <v>1</v>
      </c>
      <c r="J2" s="62" t="s">
        <v>2</v>
      </c>
      <c r="K2" s="63" t="s">
        <v>3</v>
      </c>
      <c r="L2" s="63" t="s">
        <v>4</v>
      </c>
      <c r="M2" s="34" t="s">
        <v>5</v>
      </c>
      <c r="N2" s="34" t="s">
        <v>6</v>
      </c>
      <c r="O2" s="64"/>
      <c r="P2" s="64"/>
      <c r="Q2" s="61" t="s">
        <v>1</v>
      </c>
      <c r="R2" s="62" t="s">
        <v>2</v>
      </c>
      <c r="S2" s="63" t="s">
        <v>3</v>
      </c>
      <c r="T2" s="63" t="s">
        <v>4</v>
      </c>
      <c r="U2" s="34" t="s">
        <v>5</v>
      </c>
      <c r="V2" s="34" t="s">
        <v>6</v>
      </c>
      <c r="W2" s="64"/>
      <c r="X2" s="64"/>
      <c r="Y2" s="61" t="s">
        <v>1</v>
      </c>
      <c r="Z2" s="62" t="s">
        <v>2</v>
      </c>
      <c r="AA2" s="63" t="s">
        <v>3</v>
      </c>
      <c r="AB2" s="63" t="s">
        <v>4</v>
      </c>
      <c r="AC2" s="34" t="s">
        <v>5</v>
      </c>
      <c r="AD2" s="34" t="s">
        <v>6</v>
      </c>
      <c r="AE2" s="64"/>
      <c r="AF2" s="64"/>
      <c r="AG2" s="61" t="s">
        <v>1</v>
      </c>
      <c r="AH2" s="62" t="s">
        <v>2</v>
      </c>
      <c r="AI2" s="63" t="s">
        <v>3</v>
      </c>
      <c r="AJ2" s="63" t="s">
        <v>4</v>
      </c>
      <c r="AK2" s="34" t="s">
        <v>5</v>
      </c>
      <c r="AL2" s="34" t="s">
        <v>6</v>
      </c>
      <c r="AM2" s="64"/>
      <c r="AN2" s="64"/>
      <c r="AO2" s="61" t="s">
        <v>1</v>
      </c>
      <c r="AP2" s="62" t="s">
        <v>2</v>
      </c>
      <c r="AQ2" s="2" t="s">
        <v>3</v>
      </c>
      <c r="AR2" s="2" t="s">
        <v>4</v>
      </c>
      <c r="AS2" s="3" t="s">
        <v>5</v>
      </c>
      <c r="AT2" s="3" t="s">
        <v>6</v>
      </c>
      <c r="AU2" s="19"/>
      <c r="AV2" s="19"/>
      <c r="AW2" s="61" t="s">
        <v>1</v>
      </c>
      <c r="AX2" s="62" t="s">
        <v>2</v>
      </c>
      <c r="AY2" s="2" t="s">
        <v>3</v>
      </c>
      <c r="AZ2" s="2" t="s">
        <v>4</v>
      </c>
      <c r="BA2" s="3" t="s">
        <v>5</v>
      </c>
      <c r="BB2" s="3" t="s">
        <v>6</v>
      </c>
      <c r="BC2" s="19"/>
      <c r="BD2" s="19"/>
    </row>
    <row r="3" spans="1:56" ht="22.15" hidden="1" customHeight="1">
      <c r="A3"/>
      <c r="B3" s="65" t="s">
        <v>7</v>
      </c>
      <c r="C3" s="24" t="s">
        <v>8</v>
      </c>
      <c r="D3" s="25">
        <v>124</v>
      </c>
      <c r="E3" s="26">
        <v>45254</v>
      </c>
      <c r="F3" s="26">
        <v>45299</v>
      </c>
      <c r="G3" s="66">
        <f t="shared" ref="G3:G37" si="0">IFERROR((F3-$G$1)/(F3-E3)*100,"")</f>
        <v>-1617.7777777777778</v>
      </c>
      <c r="H3" s="66">
        <f t="shared" ref="H3:H37" si="1">F3-$H$1</f>
        <v>-728</v>
      </c>
      <c r="I3" s="67" t="s">
        <v>8</v>
      </c>
      <c r="J3" s="68">
        <v>124</v>
      </c>
      <c r="K3" s="69">
        <v>45254</v>
      </c>
      <c r="L3" s="69">
        <v>45299</v>
      </c>
      <c r="M3" s="66">
        <f t="shared" ref="M3:M37" si="2">IFERROR((L3-$G$1)/(L3-K3)*100,"")</f>
        <v>-1617.7777777777778</v>
      </c>
      <c r="N3" s="66">
        <f t="shared" ref="N3:N37" si="3">L3-$H$1</f>
        <v>-728</v>
      </c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1"/>
      <c r="AR3" s="1"/>
      <c r="AS3" s="1"/>
      <c r="AT3" s="1"/>
      <c r="AU3" s="1"/>
      <c r="AV3" s="1"/>
      <c r="AW3" s="55"/>
      <c r="AX3" s="55"/>
      <c r="AY3" s="1"/>
      <c r="AZ3" s="1"/>
      <c r="BA3" s="1"/>
      <c r="BB3" s="1"/>
      <c r="BC3" s="1"/>
      <c r="BD3" s="1"/>
    </row>
    <row r="4" spans="1:56" ht="22.15" hidden="1" customHeight="1">
      <c r="A4"/>
      <c r="B4" s="65" t="s">
        <v>9</v>
      </c>
      <c r="C4" s="24" t="s">
        <v>8</v>
      </c>
      <c r="D4" s="25">
        <v>115</v>
      </c>
      <c r="E4" s="26">
        <v>45254</v>
      </c>
      <c r="F4" s="26">
        <v>45299</v>
      </c>
      <c r="G4" s="66">
        <f t="shared" si="0"/>
        <v>-1617.7777777777778</v>
      </c>
      <c r="H4" s="66">
        <f t="shared" si="1"/>
        <v>-728</v>
      </c>
      <c r="I4" s="67" t="s">
        <v>8</v>
      </c>
      <c r="J4" s="68">
        <v>115</v>
      </c>
      <c r="K4" s="69">
        <v>45254</v>
      </c>
      <c r="L4" s="69">
        <v>45299</v>
      </c>
      <c r="M4" s="66">
        <f t="shared" si="2"/>
        <v>-1617.7777777777778</v>
      </c>
      <c r="N4" s="66">
        <f t="shared" si="3"/>
        <v>-728</v>
      </c>
      <c r="O4" s="154" t="s">
        <v>10</v>
      </c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  <c r="AC4" s="154"/>
      <c r="AD4" s="154"/>
      <c r="AE4" s="154"/>
      <c r="AF4" s="154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1"/>
      <c r="AR4" s="1"/>
      <c r="AS4" s="1"/>
      <c r="AT4" s="1"/>
      <c r="AU4" s="1"/>
      <c r="AV4" s="1"/>
      <c r="AW4" s="55"/>
      <c r="AX4" s="55"/>
      <c r="AY4" s="1"/>
      <c r="AZ4" s="1"/>
      <c r="BA4" s="1"/>
      <c r="BB4" s="1"/>
      <c r="BC4" s="1"/>
      <c r="BD4" s="1"/>
    </row>
    <row r="5" spans="1:56" ht="22.15" hidden="1" customHeight="1">
      <c r="A5"/>
      <c r="B5" s="65" t="s">
        <v>11</v>
      </c>
      <c r="C5" s="24" t="s">
        <v>8</v>
      </c>
      <c r="D5" s="25">
        <v>54</v>
      </c>
      <c r="E5" s="27">
        <v>45256</v>
      </c>
      <c r="F5" s="27">
        <v>45301</v>
      </c>
      <c r="G5" s="66">
        <f t="shared" si="0"/>
        <v>-1613.3333333333333</v>
      </c>
      <c r="H5" s="66">
        <f t="shared" si="1"/>
        <v>-726</v>
      </c>
      <c r="I5" s="67" t="s">
        <v>8</v>
      </c>
      <c r="J5" s="68">
        <v>54</v>
      </c>
      <c r="K5" s="70">
        <v>45256</v>
      </c>
      <c r="L5" s="70">
        <v>45301</v>
      </c>
      <c r="M5" s="66">
        <f t="shared" si="2"/>
        <v>-1613.3333333333333</v>
      </c>
      <c r="N5" s="66">
        <f t="shared" si="3"/>
        <v>-726</v>
      </c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1"/>
      <c r="AR5" s="1"/>
      <c r="AS5" s="1"/>
      <c r="AT5" s="1"/>
      <c r="AU5" s="1"/>
      <c r="AV5" s="1"/>
      <c r="AW5" s="55"/>
      <c r="AX5" s="55"/>
      <c r="AY5" s="1"/>
      <c r="AZ5" s="1"/>
      <c r="BA5" s="1"/>
      <c r="BB5" s="1"/>
      <c r="BC5" s="1"/>
      <c r="BD5" s="1"/>
    </row>
    <row r="6" spans="1:56" ht="22.15" hidden="1" customHeight="1">
      <c r="A6"/>
      <c r="B6" s="65" t="s">
        <v>12</v>
      </c>
      <c r="C6" s="24" t="s">
        <v>8</v>
      </c>
      <c r="D6" s="25">
        <v>65</v>
      </c>
      <c r="E6" s="27">
        <v>45268</v>
      </c>
      <c r="F6" s="27">
        <v>45303</v>
      </c>
      <c r="G6" s="66">
        <f t="shared" si="0"/>
        <v>-2068.5714285714289</v>
      </c>
      <c r="H6" s="66">
        <f t="shared" si="1"/>
        <v>-724</v>
      </c>
      <c r="I6" s="67" t="s">
        <v>8</v>
      </c>
      <c r="J6" s="68">
        <v>65</v>
      </c>
      <c r="K6" s="70">
        <v>45268</v>
      </c>
      <c r="L6" s="70">
        <v>45303</v>
      </c>
      <c r="M6" s="66">
        <f t="shared" si="2"/>
        <v>-2068.5714285714289</v>
      </c>
      <c r="N6" s="66">
        <f t="shared" si="3"/>
        <v>-724</v>
      </c>
      <c r="O6" s="71"/>
      <c r="P6" s="71"/>
      <c r="Q6" s="67" t="s">
        <v>8</v>
      </c>
      <c r="R6" s="68">
        <v>65</v>
      </c>
      <c r="S6" s="70">
        <v>45268</v>
      </c>
      <c r="T6" s="70">
        <v>45303</v>
      </c>
      <c r="U6" s="66">
        <f t="shared" ref="U6" si="4">IFERROR((T6-$G$1)/(T6-S6)*100,"")</f>
        <v>-2068.5714285714289</v>
      </c>
      <c r="V6" s="66">
        <f t="shared" ref="V6" si="5">T6-$H$1</f>
        <v>-724</v>
      </c>
      <c r="W6" s="71"/>
      <c r="X6" s="71"/>
      <c r="Y6" s="67" t="s">
        <v>8</v>
      </c>
      <c r="Z6" s="68">
        <v>65</v>
      </c>
      <c r="AA6" s="70">
        <v>45268</v>
      </c>
      <c r="AB6" s="70">
        <v>45303</v>
      </c>
      <c r="AC6" s="66">
        <f t="shared" ref="AC6" si="6">IFERROR((AB6-$G$1)/(AB6-AA6)*100,"")</f>
        <v>-2068.5714285714289</v>
      </c>
      <c r="AD6" s="66">
        <f t="shared" ref="AD6" si="7">AB6-$H$1</f>
        <v>-724</v>
      </c>
      <c r="AE6" s="71"/>
      <c r="AF6" s="71"/>
      <c r="AG6" s="67" t="s">
        <v>8</v>
      </c>
      <c r="AH6" s="68">
        <v>65</v>
      </c>
      <c r="AI6" s="70">
        <v>45268</v>
      </c>
      <c r="AJ6" s="70">
        <v>45303</v>
      </c>
      <c r="AK6" s="66">
        <f t="shared" ref="AK6" si="8">IFERROR((AJ6-$G$1)/(AJ6-AI6)*100,"")</f>
        <v>-2068.5714285714289</v>
      </c>
      <c r="AL6" s="66">
        <f t="shared" ref="AL6" si="9">AJ6-$H$1</f>
        <v>-724</v>
      </c>
      <c r="AM6" s="71"/>
      <c r="AN6" s="71"/>
      <c r="AO6" s="67" t="s">
        <v>8</v>
      </c>
      <c r="AP6" s="68">
        <v>65</v>
      </c>
      <c r="AQ6" s="8">
        <v>45268</v>
      </c>
      <c r="AR6" s="8">
        <v>45303</v>
      </c>
      <c r="AS6" s="4">
        <f t="shared" ref="AS6" si="10">IFERROR((AR6-$G$1)/(AR6-AQ6)*100,"")</f>
        <v>-2068.5714285714289</v>
      </c>
      <c r="AT6" s="4">
        <f t="shared" ref="AT6" si="11">AR6-$H$1</f>
        <v>-724</v>
      </c>
      <c r="AU6" s="18"/>
      <c r="AV6" s="18"/>
      <c r="AW6" s="67" t="s">
        <v>8</v>
      </c>
      <c r="AX6" s="68">
        <v>65</v>
      </c>
      <c r="AY6" s="8">
        <v>45268</v>
      </c>
      <c r="AZ6" s="8">
        <v>45303</v>
      </c>
      <c r="BA6" s="4">
        <f t="shared" ref="BA6" si="12">IFERROR((AZ6-$G$1)/(AZ6-AY6)*100,"")</f>
        <v>-2068.5714285714289</v>
      </c>
      <c r="BB6" s="4">
        <f t="shared" ref="BB6" si="13">AZ6-$H$1</f>
        <v>-724</v>
      </c>
      <c r="BC6" s="18"/>
      <c r="BD6" s="18"/>
    </row>
    <row r="7" spans="1:56" ht="22.15" hidden="1" customHeight="1">
      <c r="A7"/>
      <c r="B7" s="65" t="s">
        <v>13</v>
      </c>
      <c r="C7" s="24" t="s">
        <v>8</v>
      </c>
      <c r="D7" s="25">
        <v>32</v>
      </c>
      <c r="E7" s="27">
        <v>45269</v>
      </c>
      <c r="F7" s="27">
        <v>45304</v>
      </c>
      <c r="G7" s="66">
        <f t="shared" si="0"/>
        <v>-2065.7142857142858</v>
      </c>
      <c r="H7" s="66">
        <f t="shared" si="1"/>
        <v>-723</v>
      </c>
      <c r="I7" s="67" t="s">
        <v>8</v>
      </c>
      <c r="J7" s="68">
        <v>32</v>
      </c>
      <c r="K7" s="70">
        <v>45269</v>
      </c>
      <c r="L7" s="70">
        <v>45304</v>
      </c>
      <c r="M7" s="66">
        <f t="shared" si="2"/>
        <v>-2065.7142857142858</v>
      </c>
      <c r="N7" s="66">
        <f t="shared" si="3"/>
        <v>-723</v>
      </c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5"/>
      <c r="Z7" s="155"/>
      <c r="AA7" s="155"/>
      <c r="AB7" s="155"/>
      <c r="AC7" s="155"/>
      <c r="AD7" s="155"/>
      <c r="AE7" s="155"/>
      <c r="AF7" s="1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1"/>
      <c r="AR7" s="1"/>
      <c r="AS7" s="1"/>
      <c r="AT7" s="1"/>
      <c r="AU7" s="1"/>
      <c r="AV7" s="1"/>
      <c r="AW7" s="55"/>
      <c r="AX7" s="55"/>
      <c r="AY7" s="1"/>
      <c r="AZ7" s="1"/>
      <c r="BA7" s="1"/>
      <c r="BB7" s="1"/>
      <c r="BC7" s="1"/>
      <c r="BD7" s="1"/>
    </row>
    <row r="8" spans="1:56" ht="22.15" hidden="1" customHeight="1">
      <c r="A8"/>
      <c r="B8" s="65" t="s">
        <v>14</v>
      </c>
      <c r="C8" s="24" t="s">
        <v>15</v>
      </c>
      <c r="D8" s="25">
        <v>217.8</v>
      </c>
      <c r="E8" s="27">
        <v>45275</v>
      </c>
      <c r="F8" s="27">
        <v>45305</v>
      </c>
      <c r="G8" s="66">
        <f t="shared" si="0"/>
        <v>-2406.6666666666665</v>
      </c>
      <c r="H8" s="66">
        <f t="shared" si="1"/>
        <v>-722</v>
      </c>
      <c r="I8" s="67" t="s">
        <v>15</v>
      </c>
      <c r="J8" s="68">
        <v>217.8</v>
      </c>
      <c r="K8" s="70">
        <v>45275</v>
      </c>
      <c r="L8" s="70">
        <v>45305</v>
      </c>
      <c r="M8" s="66">
        <f t="shared" si="2"/>
        <v>-2406.6666666666665</v>
      </c>
      <c r="N8" s="66">
        <f t="shared" si="3"/>
        <v>-722</v>
      </c>
      <c r="O8" s="153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53"/>
      <c r="AE8" s="153"/>
      <c r="AF8" s="153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1"/>
      <c r="AR8" s="1"/>
      <c r="AS8" s="1"/>
      <c r="AT8" s="1"/>
      <c r="AU8" s="1"/>
      <c r="AV8" s="1"/>
      <c r="AW8" s="55"/>
      <c r="AX8" s="55"/>
      <c r="AY8" s="1"/>
      <c r="AZ8" s="1"/>
      <c r="BA8" s="1"/>
      <c r="BB8" s="1"/>
      <c r="BC8" s="1"/>
      <c r="BD8" s="1"/>
    </row>
    <row r="9" spans="1:56" ht="22.15" hidden="1" customHeight="1">
      <c r="A9"/>
      <c r="B9" s="65" t="s">
        <v>16</v>
      </c>
      <c r="C9" s="24" t="s">
        <v>15</v>
      </c>
      <c r="D9" s="25">
        <v>68.8</v>
      </c>
      <c r="E9" s="27">
        <v>45265</v>
      </c>
      <c r="F9" s="27">
        <v>45305</v>
      </c>
      <c r="G9" s="66">
        <f t="shared" si="0"/>
        <v>-1805</v>
      </c>
      <c r="H9" s="66">
        <f t="shared" si="1"/>
        <v>-722</v>
      </c>
      <c r="I9" s="67" t="s">
        <v>15</v>
      </c>
      <c r="J9" s="68">
        <v>68.8</v>
      </c>
      <c r="K9" s="70">
        <v>45265</v>
      </c>
      <c r="L9" s="70">
        <v>45305</v>
      </c>
      <c r="M9" s="66">
        <f t="shared" si="2"/>
        <v>-1805</v>
      </c>
      <c r="N9" s="66">
        <f t="shared" si="3"/>
        <v>-722</v>
      </c>
      <c r="O9" s="154" t="s">
        <v>17</v>
      </c>
      <c r="P9" s="154"/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  <c r="AC9" s="154"/>
      <c r="AD9" s="154"/>
      <c r="AE9" s="154"/>
      <c r="AF9" s="154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1"/>
      <c r="AR9" s="1"/>
      <c r="AS9" s="1"/>
      <c r="AT9" s="1"/>
      <c r="AU9" s="1"/>
      <c r="AV9" s="1"/>
      <c r="AW9" s="55"/>
      <c r="AX9" s="55"/>
      <c r="AY9" s="1"/>
      <c r="AZ9" s="1"/>
      <c r="BA9" s="1"/>
      <c r="BB9" s="1"/>
      <c r="BC9" s="1"/>
      <c r="BD9" s="1"/>
    </row>
    <row r="10" spans="1:56" ht="22.15" hidden="1" customHeight="1">
      <c r="A10"/>
      <c r="B10" s="65" t="s">
        <v>18</v>
      </c>
      <c r="C10" s="24" t="s">
        <v>15</v>
      </c>
      <c r="D10" s="25">
        <v>42.16</v>
      </c>
      <c r="E10" s="27">
        <v>45260</v>
      </c>
      <c r="F10" s="27">
        <v>45305</v>
      </c>
      <c r="G10" s="66">
        <f t="shared" si="0"/>
        <v>-1604.4444444444443</v>
      </c>
      <c r="H10" s="66">
        <f t="shared" si="1"/>
        <v>-722</v>
      </c>
      <c r="I10" s="67" t="s">
        <v>15</v>
      </c>
      <c r="J10" s="68">
        <v>42.16</v>
      </c>
      <c r="K10" s="70">
        <v>45260</v>
      </c>
      <c r="L10" s="70">
        <v>45305</v>
      </c>
      <c r="M10" s="66">
        <f t="shared" si="2"/>
        <v>-1604.4444444444443</v>
      </c>
      <c r="N10" s="66">
        <f t="shared" si="3"/>
        <v>-722</v>
      </c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  <c r="AC10" s="154"/>
      <c r="AD10" s="154"/>
      <c r="AE10" s="154"/>
      <c r="AF10" s="154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1"/>
      <c r="AR10" s="1"/>
      <c r="AS10" s="1"/>
      <c r="AT10" s="1"/>
      <c r="AU10" s="1"/>
      <c r="AV10" s="1"/>
      <c r="AW10" s="55"/>
      <c r="AX10" s="55"/>
      <c r="AY10" s="1"/>
      <c r="AZ10" s="1"/>
      <c r="BA10" s="1"/>
      <c r="BB10" s="1"/>
      <c r="BC10" s="1"/>
      <c r="BD10" s="1"/>
    </row>
    <row r="11" spans="1:56" ht="22.15" hidden="1" customHeight="1">
      <c r="A11"/>
      <c r="B11" s="65" t="s">
        <v>19</v>
      </c>
      <c r="C11" s="24" t="s">
        <v>15</v>
      </c>
      <c r="D11" s="25">
        <v>205.58</v>
      </c>
      <c r="E11" s="27">
        <v>45276</v>
      </c>
      <c r="F11" s="27">
        <v>45306</v>
      </c>
      <c r="G11" s="66">
        <f t="shared" si="0"/>
        <v>-2403.3333333333335</v>
      </c>
      <c r="H11" s="66">
        <f t="shared" si="1"/>
        <v>-721</v>
      </c>
      <c r="I11" s="67" t="s">
        <v>15</v>
      </c>
      <c r="J11" s="68">
        <v>205.58</v>
      </c>
      <c r="K11" s="70">
        <v>45276</v>
      </c>
      <c r="L11" s="70">
        <v>45306</v>
      </c>
      <c r="M11" s="66">
        <f t="shared" si="2"/>
        <v>-2403.3333333333335</v>
      </c>
      <c r="N11" s="66">
        <f t="shared" si="3"/>
        <v>-721</v>
      </c>
      <c r="Q11" s="67" t="s">
        <v>15</v>
      </c>
      <c r="R11" s="68">
        <v>205.58</v>
      </c>
      <c r="S11" s="70">
        <v>45276</v>
      </c>
      <c r="T11" s="70">
        <v>45306</v>
      </c>
      <c r="U11" s="66">
        <f t="shared" ref="U11:U37" si="14">IFERROR((T11-$G$1)/(T11-S11)*100,"")</f>
        <v>-2403.3333333333335</v>
      </c>
      <c r="V11" s="66">
        <f t="shared" ref="V11:V37" si="15">T11-$H$1</f>
        <v>-721</v>
      </c>
      <c r="Y11" s="67" t="s">
        <v>15</v>
      </c>
      <c r="Z11" s="68">
        <v>205.58</v>
      </c>
      <c r="AA11" s="70">
        <v>45276</v>
      </c>
      <c r="AB11" s="70">
        <v>45306</v>
      </c>
      <c r="AC11" s="66">
        <f t="shared" ref="AC11:AC37" si="16">IFERROR((AB11-$G$1)/(AB11-AA11)*100,"")</f>
        <v>-2403.3333333333335</v>
      </c>
      <c r="AD11" s="66">
        <f t="shared" ref="AD11:AD37" si="17">AB11-$H$1</f>
        <v>-721</v>
      </c>
      <c r="AG11" s="67" t="s">
        <v>15</v>
      </c>
      <c r="AH11" s="68">
        <v>205.58</v>
      </c>
      <c r="AI11" s="70">
        <v>45276</v>
      </c>
      <c r="AJ11" s="70">
        <v>45306</v>
      </c>
      <c r="AK11" s="66">
        <f t="shared" ref="AK11:AK37" si="18">IFERROR((AJ11-$G$1)/(AJ11-AI11)*100,"")</f>
        <v>-2403.3333333333335</v>
      </c>
      <c r="AL11" s="66">
        <f t="shared" ref="AL11:AL37" si="19">AJ11-$H$1</f>
        <v>-721</v>
      </c>
      <c r="AO11" s="67" t="s">
        <v>15</v>
      </c>
      <c r="AP11" s="68">
        <v>205.58</v>
      </c>
      <c r="AQ11" s="8">
        <v>45276</v>
      </c>
      <c r="AR11" s="8">
        <v>45306</v>
      </c>
      <c r="AS11" s="4">
        <f t="shared" ref="AS11:AS37" si="20">IFERROR((AR11-$G$1)/(AR11-AQ11)*100,"")</f>
        <v>-2403.3333333333335</v>
      </c>
      <c r="AT11" s="4">
        <f t="shared" ref="AT11:AT37" si="21">AR11-$H$1</f>
        <v>-721</v>
      </c>
      <c r="AW11" s="67" t="s">
        <v>15</v>
      </c>
      <c r="AX11" s="68">
        <v>205.58</v>
      </c>
      <c r="AY11" s="8">
        <v>45276</v>
      </c>
      <c r="AZ11" s="8">
        <v>45306</v>
      </c>
      <c r="BA11" s="4">
        <f t="shared" ref="BA11:BA37" si="22">IFERROR((AZ11-$G$1)/(AZ11-AY11)*100,"")</f>
        <v>-2403.3333333333335</v>
      </c>
      <c r="BB11" s="4">
        <f t="shared" ref="BB11:BB37" si="23">AZ11-$H$1</f>
        <v>-721</v>
      </c>
    </row>
    <row r="12" spans="1:56" ht="22.15" hidden="1" customHeight="1">
      <c r="A12"/>
      <c r="B12" s="65" t="s">
        <v>20</v>
      </c>
      <c r="C12" s="24" t="s">
        <v>15</v>
      </c>
      <c r="D12" s="25">
        <v>12</v>
      </c>
      <c r="E12" s="27">
        <v>45256</v>
      </c>
      <c r="F12" s="27">
        <v>45306</v>
      </c>
      <c r="G12" s="66">
        <f t="shared" si="0"/>
        <v>-1442</v>
      </c>
      <c r="H12" s="66">
        <f t="shared" si="1"/>
        <v>-721</v>
      </c>
      <c r="I12" s="67" t="s">
        <v>15</v>
      </c>
      <c r="J12" s="68">
        <v>12</v>
      </c>
      <c r="K12" s="70">
        <v>45256</v>
      </c>
      <c r="L12" s="70">
        <v>45306</v>
      </c>
      <c r="M12" s="66">
        <f t="shared" si="2"/>
        <v>-1442</v>
      </c>
      <c r="N12" s="66">
        <f t="shared" si="3"/>
        <v>-721</v>
      </c>
      <c r="Q12" s="67" t="s">
        <v>15</v>
      </c>
      <c r="R12" s="68">
        <v>12</v>
      </c>
      <c r="S12" s="70">
        <v>45256</v>
      </c>
      <c r="T12" s="70">
        <v>45306</v>
      </c>
      <c r="U12" s="66">
        <f t="shared" si="14"/>
        <v>-1442</v>
      </c>
      <c r="V12" s="66">
        <f t="shared" si="15"/>
        <v>-721</v>
      </c>
      <c r="Y12" s="67" t="s">
        <v>15</v>
      </c>
      <c r="Z12" s="68">
        <v>12</v>
      </c>
      <c r="AA12" s="70">
        <v>45256</v>
      </c>
      <c r="AB12" s="70">
        <v>45306</v>
      </c>
      <c r="AC12" s="66">
        <f t="shared" si="16"/>
        <v>-1442</v>
      </c>
      <c r="AD12" s="66">
        <f t="shared" si="17"/>
        <v>-721</v>
      </c>
      <c r="AG12" s="67" t="s">
        <v>15</v>
      </c>
      <c r="AH12" s="68">
        <v>12</v>
      </c>
      <c r="AI12" s="70">
        <v>45256</v>
      </c>
      <c r="AJ12" s="70">
        <v>45306</v>
      </c>
      <c r="AK12" s="66">
        <f t="shared" si="18"/>
        <v>-1442</v>
      </c>
      <c r="AL12" s="66">
        <f t="shared" si="19"/>
        <v>-721</v>
      </c>
      <c r="AO12" s="67" t="s">
        <v>15</v>
      </c>
      <c r="AP12" s="68">
        <v>12</v>
      </c>
      <c r="AQ12" s="8">
        <v>45256</v>
      </c>
      <c r="AR12" s="8">
        <v>45306</v>
      </c>
      <c r="AS12" s="4">
        <f t="shared" si="20"/>
        <v>-1442</v>
      </c>
      <c r="AT12" s="4">
        <f t="shared" si="21"/>
        <v>-721</v>
      </c>
      <c r="AW12" s="67" t="s">
        <v>15</v>
      </c>
      <c r="AX12" s="68">
        <v>12</v>
      </c>
      <c r="AY12" s="8">
        <v>45256</v>
      </c>
      <c r="AZ12" s="8">
        <v>45306</v>
      </c>
      <c r="BA12" s="4">
        <f t="shared" si="22"/>
        <v>-1442</v>
      </c>
      <c r="BB12" s="4">
        <f t="shared" si="23"/>
        <v>-721</v>
      </c>
    </row>
    <row r="13" spans="1:56" ht="22.15" hidden="1" customHeight="1">
      <c r="A13"/>
      <c r="B13" s="65" t="s">
        <v>21</v>
      </c>
      <c r="C13" s="24" t="s">
        <v>15</v>
      </c>
      <c r="D13" s="25">
        <v>89.266999999999996</v>
      </c>
      <c r="E13" s="27">
        <v>45276</v>
      </c>
      <c r="F13" s="27">
        <v>45306</v>
      </c>
      <c r="G13" s="66">
        <f t="shared" si="0"/>
        <v>-2403.3333333333335</v>
      </c>
      <c r="H13" s="66">
        <f t="shared" si="1"/>
        <v>-721</v>
      </c>
      <c r="I13" s="67" t="s">
        <v>15</v>
      </c>
      <c r="J13" s="68">
        <v>89.266999999999996</v>
      </c>
      <c r="K13" s="70">
        <v>45276</v>
      </c>
      <c r="L13" s="70">
        <v>45306</v>
      </c>
      <c r="M13" s="66">
        <f t="shared" si="2"/>
        <v>-2403.3333333333335</v>
      </c>
      <c r="N13" s="66">
        <f t="shared" si="3"/>
        <v>-721</v>
      </c>
      <c r="Q13" s="67" t="s">
        <v>15</v>
      </c>
      <c r="R13" s="68">
        <v>89.266999999999996</v>
      </c>
      <c r="S13" s="70">
        <v>45276</v>
      </c>
      <c r="T13" s="70">
        <v>45306</v>
      </c>
      <c r="U13" s="66">
        <f t="shared" si="14"/>
        <v>-2403.3333333333335</v>
      </c>
      <c r="V13" s="66">
        <f t="shared" si="15"/>
        <v>-721</v>
      </c>
      <c r="Y13" s="67" t="s">
        <v>15</v>
      </c>
      <c r="Z13" s="68">
        <v>89.266999999999996</v>
      </c>
      <c r="AA13" s="70">
        <v>45276</v>
      </c>
      <c r="AB13" s="70">
        <v>45306</v>
      </c>
      <c r="AC13" s="66">
        <f t="shared" si="16"/>
        <v>-2403.3333333333335</v>
      </c>
      <c r="AD13" s="66">
        <f t="shared" si="17"/>
        <v>-721</v>
      </c>
      <c r="AG13" s="67" t="s">
        <v>15</v>
      </c>
      <c r="AH13" s="68">
        <v>89.266999999999996</v>
      </c>
      <c r="AI13" s="70">
        <v>45276</v>
      </c>
      <c r="AJ13" s="70">
        <v>45306</v>
      </c>
      <c r="AK13" s="66">
        <f t="shared" si="18"/>
        <v>-2403.3333333333335</v>
      </c>
      <c r="AL13" s="66">
        <f t="shared" si="19"/>
        <v>-721</v>
      </c>
      <c r="AO13" s="67" t="s">
        <v>15</v>
      </c>
      <c r="AP13" s="68">
        <v>89.266999999999996</v>
      </c>
      <c r="AQ13" s="8">
        <v>45276</v>
      </c>
      <c r="AR13" s="8">
        <v>45306</v>
      </c>
      <c r="AS13" s="4">
        <f t="shared" si="20"/>
        <v>-2403.3333333333335</v>
      </c>
      <c r="AT13" s="4">
        <f t="shared" si="21"/>
        <v>-721</v>
      </c>
      <c r="AW13" s="67" t="s">
        <v>15</v>
      </c>
      <c r="AX13" s="68">
        <v>89.266999999999996</v>
      </c>
      <c r="AY13" s="8">
        <v>45276</v>
      </c>
      <c r="AZ13" s="8">
        <v>45306</v>
      </c>
      <c r="BA13" s="4">
        <f t="shared" si="22"/>
        <v>-2403.3333333333335</v>
      </c>
      <c r="BB13" s="4">
        <f t="shared" si="23"/>
        <v>-721</v>
      </c>
    </row>
    <row r="14" spans="1:56" ht="22.15" hidden="1" customHeight="1">
      <c r="A14"/>
      <c r="B14" s="65" t="s">
        <v>22</v>
      </c>
      <c r="C14" s="24" t="s">
        <v>15</v>
      </c>
      <c r="D14" s="25">
        <v>57.1</v>
      </c>
      <c r="E14" s="27">
        <v>45229</v>
      </c>
      <c r="F14" s="27">
        <v>45306</v>
      </c>
      <c r="G14" s="66">
        <f t="shared" si="0"/>
        <v>-936.36363636363637</v>
      </c>
      <c r="H14" s="66">
        <f t="shared" si="1"/>
        <v>-721</v>
      </c>
      <c r="I14" s="67" t="s">
        <v>15</v>
      </c>
      <c r="J14" s="68">
        <v>57.1</v>
      </c>
      <c r="K14" s="70">
        <v>45229</v>
      </c>
      <c r="L14" s="70">
        <v>45306</v>
      </c>
      <c r="M14" s="66">
        <f t="shared" si="2"/>
        <v>-936.36363636363637</v>
      </c>
      <c r="N14" s="66">
        <f t="shared" si="3"/>
        <v>-721</v>
      </c>
      <c r="Q14" s="67" t="s">
        <v>15</v>
      </c>
      <c r="R14" s="68">
        <v>57.1</v>
      </c>
      <c r="S14" s="70">
        <v>45229</v>
      </c>
      <c r="T14" s="70">
        <v>45306</v>
      </c>
      <c r="U14" s="66">
        <f t="shared" si="14"/>
        <v>-936.36363636363637</v>
      </c>
      <c r="V14" s="66">
        <f t="shared" si="15"/>
        <v>-721</v>
      </c>
      <c r="Y14" s="67" t="s">
        <v>15</v>
      </c>
      <c r="Z14" s="68">
        <v>57.1</v>
      </c>
      <c r="AA14" s="70">
        <v>45229</v>
      </c>
      <c r="AB14" s="70">
        <v>45306</v>
      </c>
      <c r="AC14" s="66">
        <f t="shared" si="16"/>
        <v>-936.36363636363637</v>
      </c>
      <c r="AD14" s="66">
        <f t="shared" si="17"/>
        <v>-721</v>
      </c>
      <c r="AG14" s="67" t="s">
        <v>15</v>
      </c>
      <c r="AH14" s="68">
        <v>57.1</v>
      </c>
      <c r="AI14" s="70">
        <v>45229</v>
      </c>
      <c r="AJ14" s="70">
        <v>45306</v>
      </c>
      <c r="AK14" s="66">
        <f t="shared" si="18"/>
        <v>-936.36363636363637</v>
      </c>
      <c r="AL14" s="66">
        <f t="shared" si="19"/>
        <v>-721</v>
      </c>
      <c r="AO14" s="67" t="s">
        <v>15</v>
      </c>
      <c r="AP14" s="68">
        <v>57.1</v>
      </c>
      <c r="AQ14" s="8">
        <v>45229</v>
      </c>
      <c r="AR14" s="8">
        <v>45306</v>
      </c>
      <c r="AS14" s="4">
        <f t="shared" si="20"/>
        <v>-936.36363636363637</v>
      </c>
      <c r="AT14" s="4">
        <f t="shared" si="21"/>
        <v>-721</v>
      </c>
      <c r="AW14" s="67" t="s">
        <v>15</v>
      </c>
      <c r="AX14" s="68">
        <v>57.1</v>
      </c>
      <c r="AY14" s="8">
        <v>45229</v>
      </c>
      <c r="AZ14" s="8">
        <v>45306</v>
      </c>
      <c r="BA14" s="4">
        <f t="shared" si="22"/>
        <v>-936.36363636363637</v>
      </c>
      <c r="BB14" s="4">
        <f t="shared" si="23"/>
        <v>-721</v>
      </c>
    </row>
    <row r="15" spans="1:56" ht="22.15" hidden="1" customHeight="1">
      <c r="A15"/>
      <c r="B15" s="65" t="s">
        <v>23</v>
      </c>
      <c r="C15" s="24" t="s">
        <v>15</v>
      </c>
      <c r="D15" s="25">
        <v>159.1</v>
      </c>
      <c r="E15" s="27">
        <v>45262</v>
      </c>
      <c r="F15" s="27">
        <v>45307</v>
      </c>
      <c r="G15" s="66">
        <f t="shared" si="0"/>
        <v>-1600</v>
      </c>
      <c r="H15" s="66">
        <f t="shared" si="1"/>
        <v>-720</v>
      </c>
      <c r="I15" s="67" t="s">
        <v>15</v>
      </c>
      <c r="J15" s="68">
        <v>159.1</v>
      </c>
      <c r="K15" s="70">
        <v>45262</v>
      </c>
      <c r="L15" s="70">
        <v>45307</v>
      </c>
      <c r="M15" s="66">
        <f t="shared" si="2"/>
        <v>-1600</v>
      </c>
      <c r="N15" s="66">
        <f t="shared" si="3"/>
        <v>-720</v>
      </c>
      <c r="Q15" s="67" t="s">
        <v>15</v>
      </c>
      <c r="R15" s="68">
        <v>159.1</v>
      </c>
      <c r="S15" s="70">
        <v>45262</v>
      </c>
      <c r="T15" s="70">
        <v>45307</v>
      </c>
      <c r="U15" s="66">
        <f t="shared" si="14"/>
        <v>-1600</v>
      </c>
      <c r="V15" s="66">
        <f t="shared" si="15"/>
        <v>-720</v>
      </c>
      <c r="Y15" s="67" t="s">
        <v>15</v>
      </c>
      <c r="Z15" s="68">
        <v>159.1</v>
      </c>
      <c r="AA15" s="70">
        <v>45262</v>
      </c>
      <c r="AB15" s="70">
        <v>45307</v>
      </c>
      <c r="AC15" s="66">
        <f t="shared" si="16"/>
        <v>-1600</v>
      </c>
      <c r="AD15" s="66">
        <f t="shared" si="17"/>
        <v>-720</v>
      </c>
      <c r="AG15" s="67" t="s">
        <v>15</v>
      </c>
      <c r="AH15" s="68">
        <v>159.1</v>
      </c>
      <c r="AI15" s="70">
        <v>45262</v>
      </c>
      <c r="AJ15" s="70">
        <v>45307</v>
      </c>
      <c r="AK15" s="66">
        <f t="shared" si="18"/>
        <v>-1600</v>
      </c>
      <c r="AL15" s="66">
        <f t="shared" si="19"/>
        <v>-720</v>
      </c>
      <c r="AO15" s="67" t="s">
        <v>15</v>
      </c>
      <c r="AP15" s="68">
        <v>159.1</v>
      </c>
      <c r="AQ15" s="8">
        <v>45262</v>
      </c>
      <c r="AR15" s="8">
        <v>45307</v>
      </c>
      <c r="AS15" s="4">
        <f t="shared" si="20"/>
        <v>-1600</v>
      </c>
      <c r="AT15" s="4">
        <f t="shared" si="21"/>
        <v>-720</v>
      </c>
      <c r="AW15" s="67" t="s">
        <v>15</v>
      </c>
      <c r="AX15" s="68">
        <v>159.1</v>
      </c>
      <c r="AY15" s="8">
        <v>45262</v>
      </c>
      <c r="AZ15" s="8">
        <v>45307</v>
      </c>
      <c r="BA15" s="4">
        <f t="shared" si="22"/>
        <v>-1600</v>
      </c>
      <c r="BB15" s="4">
        <f t="shared" si="23"/>
        <v>-720</v>
      </c>
    </row>
    <row r="16" spans="1:56" ht="22.15" hidden="1" customHeight="1">
      <c r="A16"/>
      <c r="B16" s="65" t="s">
        <v>24</v>
      </c>
      <c r="C16" s="24" t="s">
        <v>15</v>
      </c>
      <c r="D16" s="25">
        <v>218.5</v>
      </c>
      <c r="E16" s="27">
        <v>45277</v>
      </c>
      <c r="F16" s="27">
        <v>45307</v>
      </c>
      <c r="G16" s="66">
        <f t="shared" si="0"/>
        <v>-2400</v>
      </c>
      <c r="H16" s="66">
        <f t="shared" si="1"/>
        <v>-720</v>
      </c>
      <c r="I16" s="67" t="s">
        <v>15</v>
      </c>
      <c r="J16" s="68">
        <v>218.5</v>
      </c>
      <c r="K16" s="70">
        <v>45277</v>
      </c>
      <c r="L16" s="70">
        <v>45307</v>
      </c>
      <c r="M16" s="66">
        <f t="shared" si="2"/>
        <v>-2400</v>
      </c>
      <c r="N16" s="66">
        <f t="shared" si="3"/>
        <v>-720</v>
      </c>
      <c r="Q16" s="67" t="s">
        <v>15</v>
      </c>
      <c r="R16" s="68">
        <v>218.5</v>
      </c>
      <c r="S16" s="70">
        <v>45277</v>
      </c>
      <c r="T16" s="70">
        <v>45307</v>
      </c>
      <c r="U16" s="66">
        <f t="shared" si="14"/>
        <v>-2400</v>
      </c>
      <c r="V16" s="66">
        <f t="shared" si="15"/>
        <v>-720</v>
      </c>
      <c r="Y16" s="67" t="s">
        <v>15</v>
      </c>
      <c r="Z16" s="68">
        <v>218.5</v>
      </c>
      <c r="AA16" s="70">
        <v>45277</v>
      </c>
      <c r="AB16" s="70">
        <v>45307</v>
      </c>
      <c r="AC16" s="66">
        <f t="shared" si="16"/>
        <v>-2400</v>
      </c>
      <c r="AD16" s="66">
        <f t="shared" si="17"/>
        <v>-720</v>
      </c>
      <c r="AG16" s="67" t="s">
        <v>15</v>
      </c>
      <c r="AH16" s="68">
        <v>218.5</v>
      </c>
      <c r="AI16" s="70">
        <v>45277</v>
      </c>
      <c r="AJ16" s="70">
        <v>45307</v>
      </c>
      <c r="AK16" s="66">
        <f t="shared" si="18"/>
        <v>-2400</v>
      </c>
      <c r="AL16" s="66">
        <f t="shared" si="19"/>
        <v>-720</v>
      </c>
      <c r="AO16" s="67" t="s">
        <v>15</v>
      </c>
      <c r="AP16" s="68">
        <v>218.5</v>
      </c>
      <c r="AQ16" s="8">
        <v>45277</v>
      </c>
      <c r="AR16" s="8">
        <v>45307</v>
      </c>
      <c r="AS16" s="4">
        <f t="shared" si="20"/>
        <v>-2400</v>
      </c>
      <c r="AT16" s="4">
        <f t="shared" si="21"/>
        <v>-720</v>
      </c>
      <c r="AW16" s="67" t="s">
        <v>15</v>
      </c>
      <c r="AX16" s="68">
        <v>218.5</v>
      </c>
      <c r="AY16" s="8">
        <v>45277</v>
      </c>
      <c r="AZ16" s="8">
        <v>45307</v>
      </c>
      <c r="BA16" s="4">
        <f t="shared" si="22"/>
        <v>-2400</v>
      </c>
      <c r="BB16" s="4">
        <f t="shared" si="23"/>
        <v>-720</v>
      </c>
    </row>
    <row r="17" spans="1:54" ht="22.15" hidden="1" customHeight="1">
      <c r="A17"/>
      <c r="B17" s="65" t="s">
        <v>25</v>
      </c>
      <c r="C17" s="24" t="s">
        <v>15</v>
      </c>
      <c r="D17" s="25">
        <v>187.7</v>
      </c>
      <c r="E17" s="27">
        <v>45267</v>
      </c>
      <c r="F17" s="27">
        <v>45307</v>
      </c>
      <c r="G17" s="66">
        <f t="shared" si="0"/>
        <v>-1800</v>
      </c>
      <c r="H17" s="66">
        <f t="shared" si="1"/>
        <v>-720</v>
      </c>
      <c r="I17" s="67" t="s">
        <v>15</v>
      </c>
      <c r="J17" s="68">
        <v>187.7</v>
      </c>
      <c r="K17" s="70">
        <v>45267</v>
      </c>
      <c r="L17" s="70">
        <v>45307</v>
      </c>
      <c r="M17" s="66">
        <f t="shared" si="2"/>
        <v>-1800</v>
      </c>
      <c r="N17" s="66">
        <f t="shared" si="3"/>
        <v>-720</v>
      </c>
      <c r="Q17" s="67" t="s">
        <v>15</v>
      </c>
      <c r="R17" s="68">
        <v>187.7</v>
      </c>
      <c r="S17" s="70">
        <v>45267</v>
      </c>
      <c r="T17" s="70">
        <v>45307</v>
      </c>
      <c r="U17" s="66">
        <f t="shared" si="14"/>
        <v>-1800</v>
      </c>
      <c r="V17" s="66">
        <f t="shared" si="15"/>
        <v>-720</v>
      </c>
      <c r="Y17" s="67" t="s">
        <v>15</v>
      </c>
      <c r="Z17" s="68">
        <v>187.7</v>
      </c>
      <c r="AA17" s="70">
        <v>45267</v>
      </c>
      <c r="AB17" s="70">
        <v>45307</v>
      </c>
      <c r="AC17" s="66">
        <f t="shared" si="16"/>
        <v>-1800</v>
      </c>
      <c r="AD17" s="66">
        <f t="shared" si="17"/>
        <v>-720</v>
      </c>
      <c r="AG17" s="67" t="s">
        <v>15</v>
      </c>
      <c r="AH17" s="68">
        <v>187.7</v>
      </c>
      <c r="AI17" s="70">
        <v>45267</v>
      </c>
      <c r="AJ17" s="70">
        <v>45307</v>
      </c>
      <c r="AK17" s="66">
        <f t="shared" si="18"/>
        <v>-1800</v>
      </c>
      <c r="AL17" s="66">
        <f t="shared" si="19"/>
        <v>-720</v>
      </c>
      <c r="AO17" s="67" t="s">
        <v>15</v>
      </c>
      <c r="AP17" s="68">
        <v>187.7</v>
      </c>
      <c r="AQ17" s="8">
        <v>45267</v>
      </c>
      <c r="AR17" s="8">
        <v>45307</v>
      </c>
      <c r="AS17" s="4">
        <f t="shared" si="20"/>
        <v>-1800</v>
      </c>
      <c r="AT17" s="4">
        <f t="shared" si="21"/>
        <v>-720</v>
      </c>
      <c r="AW17" s="67" t="s">
        <v>15</v>
      </c>
      <c r="AX17" s="68">
        <v>187.7</v>
      </c>
      <c r="AY17" s="8">
        <v>45267</v>
      </c>
      <c r="AZ17" s="8">
        <v>45307</v>
      </c>
      <c r="BA17" s="4">
        <f t="shared" si="22"/>
        <v>-1800</v>
      </c>
      <c r="BB17" s="4">
        <f t="shared" si="23"/>
        <v>-720</v>
      </c>
    </row>
    <row r="18" spans="1:54" ht="22.15" hidden="1" customHeight="1">
      <c r="A18"/>
      <c r="B18" s="65" t="s">
        <v>26</v>
      </c>
      <c r="C18" s="24" t="s">
        <v>8</v>
      </c>
      <c r="D18" s="25">
        <v>77</v>
      </c>
      <c r="E18" s="27">
        <v>45268</v>
      </c>
      <c r="F18" s="27">
        <v>45308</v>
      </c>
      <c r="G18" s="66">
        <f t="shared" si="0"/>
        <v>-1797.5000000000002</v>
      </c>
      <c r="H18" s="66">
        <f t="shared" si="1"/>
        <v>-719</v>
      </c>
      <c r="I18" s="67" t="s">
        <v>8</v>
      </c>
      <c r="J18" s="68">
        <v>77</v>
      </c>
      <c r="K18" s="70">
        <v>45268</v>
      </c>
      <c r="L18" s="70">
        <v>45308</v>
      </c>
      <c r="M18" s="66">
        <f t="shared" si="2"/>
        <v>-1797.5000000000002</v>
      </c>
      <c r="N18" s="66">
        <f t="shared" si="3"/>
        <v>-719</v>
      </c>
      <c r="Q18" s="67" t="s">
        <v>8</v>
      </c>
      <c r="R18" s="68">
        <v>77</v>
      </c>
      <c r="S18" s="70">
        <v>45268</v>
      </c>
      <c r="T18" s="70">
        <v>45308</v>
      </c>
      <c r="U18" s="66">
        <f t="shared" si="14"/>
        <v>-1797.5000000000002</v>
      </c>
      <c r="V18" s="66">
        <f t="shared" si="15"/>
        <v>-719</v>
      </c>
      <c r="Y18" s="67" t="s">
        <v>8</v>
      </c>
      <c r="Z18" s="68">
        <v>77</v>
      </c>
      <c r="AA18" s="70">
        <v>45268</v>
      </c>
      <c r="AB18" s="70">
        <v>45308</v>
      </c>
      <c r="AC18" s="66">
        <f t="shared" si="16"/>
        <v>-1797.5000000000002</v>
      </c>
      <c r="AD18" s="66">
        <f t="shared" si="17"/>
        <v>-719</v>
      </c>
      <c r="AG18" s="67" t="s">
        <v>8</v>
      </c>
      <c r="AH18" s="68">
        <v>77</v>
      </c>
      <c r="AI18" s="70">
        <v>45268</v>
      </c>
      <c r="AJ18" s="70">
        <v>45308</v>
      </c>
      <c r="AK18" s="66">
        <f t="shared" si="18"/>
        <v>-1797.5000000000002</v>
      </c>
      <c r="AL18" s="66">
        <f t="shared" si="19"/>
        <v>-719</v>
      </c>
      <c r="AO18" s="67" t="s">
        <v>8</v>
      </c>
      <c r="AP18" s="68">
        <v>77</v>
      </c>
      <c r="AQ18" s="8">
        <v>45268</v>
      </c>
      <c r="AR18" s="8">
        <v>45308</v>
      </c>
      <c r="AS18" s="4">
        <f t="shared" si="20"/>
        <v>-1797.5000000000002</v>
      </c>
      <c r="AT18" s="4">
        <f t="shared" si="21"/>
        <v>-719</v>
      </c>
      <c r="AW18" s="67" t="s">
        <v>8</v>
      </c>
      <c r="AX18" s="68">
        <v>77</v>
      </c>
      <c r="AY18" s="8">
        <v>45268</v>
      </c>
      <c r="AZ18" s="8">
        <v>45308</v>
      </c>
      <c r="BA18" s="4">
        <f t="shared" si="22"/>
        <v>-1797.5000000000002</v>
      </c>
      <c r="BB18" s="4">
        <f t="shared" si="23"/>
        <v>-719</v>
      </c>
    </row>
    <row r="19" spans="1:54" ht="22.15" hidden="1" customHeight="1">
      <c r="A19"/>
      <c r="B19" s="65" t="s">
        <v>27</v>
      </c>
      <c r="C19" s="24" t="s">
        <v>8</v>
      </c>
      <c r="D19" s="25">
        <v>241</v>
      </c>
      <c r="E19" s="27">
        <v>45268</v>
      </c>
      <c r="F19" s="27">
        <v>45308</v>
      </c>
      <c r="G19" s="66">
        <f t="shared" si="0"/>
        <v>-1797.5000000000002</v>
      </c>
      <c r="H19" s="66">
        <f t="shared" si="1"/>
        <v>-719</v>
      </c>
      <c r="I19" s="67" t="s">
        <v>8</v>
      </c>
      <c r="J19" s="68">
        <v>241</v>
      </c>
      <c r="K19" s="70">
        <v>45268</v>
      </c>
      <c r="L19" s="70">
        <v>45308</v>
      </c>
      <c r="M19" s="66">
        <f t="shared" si="2"/>
        <v>-1797.5000000000002</v>
      </c>
      <c r="N19" s="66">
        <f t="shared" si="3"/>
        <v>-719</v>
      </c>
      <c r="Q19" s="67" t="s">
        <v>8</v>
      </c>
      <c r="R19" s="68">
        <v>241</v>
      </c>
      <c r="S19" s="70">
        <v>45268</v>
      </c>
      <c r="T19" s="70">
        <v>45308</v>
      </c>
      <c r="U19" s="66">
        <f t="shared" si="14"/>
        <v>-1797.5000000000002</v>
      </c>
      <c r="V19" s="66">
        <f t="shared" si="15"/>
        <v>-719</v>
      </c>
      <c r="Y19" s="67" t="s">
        <v>8</v>
      </c>
      <c r="Z19" s="68">
        <v>241</v>
      </c>
      <c r="AA19" s="70">
        <v>45268</v>
      </c>
      <c r="AB19" s="70">
        <v>45308</v>
      </c>
      <c r="AC19" s="66">
        <f t="shared" si="16"/>
        <v>-1797.5000000000002</v>
      </c>
      <c r="AD19" s="66">
        <f t="shared" si="17"/>
        <v>-719</v>
      </c>
      <c r="AG19" s="67" t="s">
        <v>8</v>
      </c>
      <c r="AH19" s="68">
        <v>241</v>
      </c>
      <c r="AI19" s="70">
        <v>45268</v>
      </c>
      <c r="AJ19" s="70">
        <v>45308</v>
      </c>
      <c r="AK19" s="66">
        <f t="shared" si="18"/>
        <v>-1797.5000000000002</v>
      </c>
      <c r="AL19" s="66">
        <f t="shared" si="19"/>
        <v>-719</v>
      </c>
      <c r="AO19" s="67" t="s">
        <v>8</v>
      </c>
      <c r="AP19" s="68">
        <v>241</v>
      </c>
      <c r="AQ19" s="8">
        <v>45268</v>
      </c>
      <c r="AR19" s="8">
        <v>45308</v>
      </c>
      <c r="AS19" s="4">
        <f t="shared" si="20"/>
        <v>-1797.5000000000002</v>
      </c>
      <c r="AT19" s="4">
        <f t="shared" si="21"/>
        <v>-719</v>
      </c>
      <c r="AW19" s="67" t="s">
        <v>8</v>
      </c>
      <c r="AX19" s="68">
        <v>241</v>
      </c>
      <c r="AY19" s="8">
        <v>45268</v>
      </c>
      <c r="AZ19" s="8">
        <v>45308</v>
      </c>
      <c r="BA19" s="4">
        <f t="shared" si="22"/>
        <v>-1797.5000000000002</v>
      </c>
      <c r="BB19" s="4">
        <f t="shared" si="23"/>
        <v>-719</v>
      </c>
    </row>
    <row r="20" spans="1:54" ht="22.15" hidden="1" customHeight="1">
      <c r="A20"/>
      <c r="B20" s="65" t="s">
        <v>28</v>
      </c>
      <c r="C20" s="24" t="s">
        <v>8</v>
      </c>
      <c r="D20" s="25">
        <v>354</v>
      </c>
      <c r="E20" s="27">
        <v>45268</v>
      </c>
      <c r="F20" s="27">
        <v>45308</v>
      </c>
      <c r="G20" s="66">
        <f t="shared" si="0"/>
        <v>-1797.5000000000002</v>
      </c>
      <c r="H20" s="66">
        <f t="shared" si="1"/>
        <v>-719</v>
      </c>
      <c r="I20" s="67" t="s">
        <v>8</v>
      </c>
      <c r="J20" s="68">
        <v>354</v>
      </c>
      <c r="K20" s="70">
        <v>45268</v>
      </c>
      <c r="L20" s="70">
        <v>45308</v>
      </c>
      <c r="M20" s="66">
        <f t="shared" si="2"/>
        <v>-1797.5000000000002</v>
      </c>
      <c r="N20" s="66">
        <f t="shared" si="3"/>
        <v>-719</v>
      </c>
      <c r="Q20" s="67" t="s">
        <v>8</v>
      </c>
      <c r="R20" s="68">
        <v>354</v>
      </c>
      <c r="S20" s="70">
        <v>45268</v>
      </c>
      <c r="T20" s="70">
        <v>45308</v>
      </c>
      <c r="U20" s="66">
        <f t="shared" si="14"/>
        <v>-1797.5000000000002</v>
      </c>
      <c r="V20" s="66">
        <f t="shared" si="15"/>
        <v>-719</v>
      </c>
      <c r="Y20" s="67" t="s">
        <v>8</v>
      </c>
      <c r="Z20" s="68">
        <v>354</v>
      </c>
      <c r="AA20" s="70">
        <v>45268</v>
      </c>
      <c r="AB20" s="70">
        <v>45308</v>
      </c>
      <c r="AC20" s="66">
        <f t="shared" si="16"/>
        <v>-1797.5000000000002</v>
      </c>
      <c r="AD20" s="66">
        <f t="shared" si="17"/>
        <v>-719</v>
      </c>
      <c r="AG20" s="67" t="s">
        <v>8</v>
      </c>
      <c r="AH20" s="68">
        <v>354</v>
      </c>
      <c r="AI20" s="70">
        <v>45268</v>
      </c>
      <c r="AJ20" s="70">
        <v>45308</v>
      </c>
      <c r="AK20" s="66">
        <f t="shared" si="18"/>
        <v>-1797.5000000000002</v>
      </c>
      <c r="AL20" s="66">
        <f t="shared" si="19"/>
        <v>-719</v>
      </c>
      <c r="AO20" s="67" t="s">
        <v>8</v>
      </c>
      <c r="AP20" s="68">
        <v>354</v>
      </c>
      <c r="AQ20" s="8">
        <v>45268</v>
      </c>
      <c r="AR20" s="8">
        <v>45308</v>
      </c>
      <c r="AS20" s="4">
        <f t="shared" si="20"/>
        <v>-1797.5000000000002</v>
      </c>
      <c r="AT20" s="4">
        <f t="shared" si="21"/>
        <v>-719</v>
      </c>
      <c r="AW20" s="67" t="s">
        <v>8</v>
      </c>
      <c r="AX20" s="68">
        <v>354</v>
      </c>
      <c r="AY20" s="8">
        <v>45268</v>
      </c>
      <c r="AZ20" s="8">
        <v>45308</v>
      </c>
      <c r="BA20" s="4">
        <f t="shared" si="22"/>
        <v>-1797.5000000000002</v>
      </c>
      <c r="BB20" s="4">
        <f t="shared" si="23"/>
        <v>-719</v>
      </c>
    </row>
    <row r="21" spans="1:54" ht="22.15" hidden="1" customHeight="1">
      <c r="A21"/>
      <c r="B21" s="65" t="s">
        <v>29</v>
      </c>
      <c r="C21" s="24" t="s">
        <v>8</v>
      </c>
      <c r="D21" s="25">
        <v>3</v>
      </c>
      <c r="E21" s="27">
        <v>45270</v>
      </c>
      <c r="F21" s="27">
        <v>45310</v>
      </c>
      <c r="G21" s="66">
        <f t="shared" si="0"/>
        <v>-1792.5</v>
      </c>
      <c r="H21" s="66">
        <f t="shared" si="1"/>
        <v>-717</v>
      </c>
      <c r="I21" s="67" t="s">
        <v>8</v>
      </c>
      <c r="J21" s="68">
        <v>3</v>
      </c>
      <c r="K21" s="70">
        <v>45270</v>
      </c>
      <c r="L21" s="70">
        <v>45310</v>
      </c>
      <c r="M21" s="66">
        <f t="shared" si="2"/>
        <v>-1792.5</v>
      </c>
      <c r="N21" s="66">
        <f t="shared" si="3"/>
        <v>-717</v>
      </c>
      <c r="Q21" s="67" t="s">
        <v>8</v>
      </c>
      <c r="R21" s="68">
        <v>3</v>
      </c>
      <c r="S21" s="70">
        <v>45270</v>
      </c>
      <c r="T21" s="70">
        <v>45310</v>
      </c>
      <c r="U21" s="66">
        <f t="shared" si="14"/>
        <v>-1792.5</v>
      </c>
      <c r="V21" s="66">
        <f t="shared" si="15"/>
        <v>-717</v>
      </c>
      <c r="Y21" s="67" t="s">
        <v>8</v>
      </c>
      <c r="Z21" s="68">
        <v>3</v>
      </c>
      <c r="AA21" s="70">
        <v>45270</v>
      </c>
      <c r="AB21" s="70">
        <v>45310</v>
      </c>
      <c r="AC21" s="66">
        <f t="shared" si="16"/>
        <v>-1792.5</v>
      </c>
      <c r="AD21" s="66">
        <f t="shared" si="17"/>
        <v>-717</v>
      </c>
      <c r="AG21" s="67" t="s">
        <v>8</v>
      </c>
      <c r="AH21" s="68">
        <v>3</v>
      </c>
      <c r="AI21" s="70">
        <v>45270</v>
      </c>
      <c r="AJ21" s="70">
        <v>45310</v>
      </c>
      <c r="AK21" s="66">
        <f t="shared" si="18"/>
        <v>-1792.5</v>
      </c>
      <c r="AL21" s="66">
        <f t="shared" si="19"/>
        <v>-717</v>
      </c>
      <c r="AO21" s="67" t="s">
        <v>8</v>
      </c>
      <c r="AP21" s="68">
        <v>3</v>
      </c>
      <c r="AQ21" s="8">
        <v>45270</v>
      </c>
      <c r="AR21" s="8">
        <v>45310</v>
      </c>
      <c r="AS21" s="4">
        <f t="shared" si="20"/>
        <v>-1792.5</v>
      </c>
      <c r="AT21" s="4">
        <f t="shared" si="21"/>
        <v>-717</v>
      </c>
      <c r="AW21" s="67" t="s">
        <v>8</v>
      </c>
      <c r="AX21" s="68">
        <v>3</v>
      </c>
      <c r="AY21" s="8">
        <v>45270</v>
      </c>
      <c r="AZ21" s="8">
        <v>45310</v>
      </c>
      <c r="BA21" s="4">
        <f t="shared" si="22"/>
        <v>-1792.5</v>
      </c>
      <c r="BB21" s="4">
        <f t="shared" si="23"/>
        <v>-717</v>
      </c>
    </row>
    <row r="22" spans="1:54" ht="22.15" hidden="1" customHeight="1">
      <c r="A22"/>
      <c r="B22" s="65" t="s">
        <v>30</v>
      </c>
      <c r="C22" s="24" t="s">
        <v>8</v>
      </c>
      <c r="D22" s="25">
        <v>45</v>
      </c>
      <c r="E22" s="27">
        <v>45268</v>
      </c>
      <c r="F22" s="27">
        <v>45311</v>
      </c>
      <c r="G22" s="66">
        <f t="shared" si="0"/>
        <v>-1665.1162790697676</v>
      </c>
      <c r="H22" s="66">
        <f t="shared" si="1"/>
        <v>-716</v>
      </c>
      <c r="I22" s="67" t="s">
        <v>8</v>
      </c>
      <c r="J22" s="68">
        <v>45</v>
      </c>
      <c r="K22" s="70">
        <v>45268</v>
      </c>
      <c r="L22" s="70">
        <v>45311</v>
      </c>
      <c r="M22" s="66">
        <f t="shared" si="2"/>
        <v>-1665.1162790697676</v>
      </c>
      <c r="N22" s="66">
        <f t="shared" si="3"/>
        <v>-716</v>
      </c>
      <c r="Q22" s="67" t="s">
        <v>8</v>
      </c>
      <c r="R22" s="68">
        <v>45</v>
      </c>
      <c r="S22" s="70">
        <v>45268</v>
      </c>
      <c r="T22" s="70">
        <v>45311</v>
      </c>
      <c r="U22" s="66">
        <f t="shared" si="14"/>
        <v>-1665.1162790697676</v>
      </c>
      <c r="V22" s="66">
        <f t="shared" si="15"/>
        <v>-716</v>
      </c>
      <c r="Y22" s="67" t="s">
        <v>8</v>
      </c>
      <c r="Z22" s="68">
        <v>45</v>
      </c>
      <c r="AA22" s="70">
        <v>45268</v>
      </c>
      <c r="AB22" s="70">
        <v>45311</v>
      </c>
      <c r="AC22" s="66">
        <f t="shared" si="16"/>
        <v>-1665.1162790697676</v>
      </c>
      <c r="AD22" s="66">
        <f t="shared" si="17"/>
        <v>-716</v>
      </c>
      <c r="AG22" s="67" t="s">
        <v>8</v>
      </c>
      <c r="AH22" s="68">
        <v>45</v>
      </c>
      <c r="AI22" s="70">
        <v>45268</v>
      </c>
      <c r="AJ22" s="70">
        <v>45311</v>
      </c>
      <c r="AK22" s="66">
        <f t="shared" si="18"/>
        <v>-1665.1162790697676</v>
      </c>
      <c r="AL22" s="66">
        <f t="shared" si="19"/>
        <v>-716</v>
      </c>
      <c r="AO22" s="67" t="s">
        <v>8</v>
      </c>
      <c r="AP22" s="68">
        <v>45</v>
      </c>
      <c r="AQ22" s="8">
        <v>45268</v>
      </c>
      <c r="AR22" s="8">
        <v>45311</v>
      </c>
      <c r="AS22" s="4">
        <f t="shared" si="20"/>
        <v>-1665.1162790697676</v>
      </c>
      <c r="AT22" s="4">
        <f t="shared" si="21"/>
        <v>-716</v>
      </c>
      <c r="AW22" s="67" t="s">
        <v>8</v>
      </c>
      <c r="AX22" s="68">
        <v>45</v>
      </c>
      <c r="AY22" s="8">
        <v>45268</v>
      </c>
      <c r="AZ22" s="8">
        <v>45311</v>
      </c>
      <c r="BA22" s="4">
        <f t="shared" si="22"/>
        <v>-1665.1162790697676</v>
      </c>
      <c r="BB22" s="4">
        <f t="shared" si="23"/>
        <v>-716</v>
      </c>
    </row>
    <row r="23" spans="1:54" ht="22.15" hidden="1" customHeight="1">
      <c r="A23"/>
      <c r="B23" s="65" t="s">
        <v>31</v>
      </c>
      <c r="C23" s="24" t="s">
        <v>15</v>
      </c>
      <c r="D23" s="25">
        <v>97.5</v>
      </c>
      <c r="E23" s="27">
        <v>45268</v>
      </c>
      <c r="F23" s="27">
        <v>45311</v>
      </c>
      <c r="G23" s="66">
        <f t="shared" si="0"/>
        <v>-1665.1162790697676</v>
      </c>
      <c r="H23" s="66">
        <f t="shared" si="1"/>
        <v>-716</v>
      </c>
      <c r="I23" s="67" t="s">
        <v>15</v>
      </c>
      <c r="J23" s="68">
        <v>97.5</v>
      </c>
      <c r="K23" s="70">
        <v>45268</v>
      </c>
      <c r="L23" s="70">
        <v>45311</v>
      </c>
      <c r="M23" s="66">
        <f t="shared" si="2"/>
        <v>-1665.1162790697676</v>
      </c>
      <c r="N23" s="66">
        <f t="shared" si="3"/>
        <v>-716</v>
      </c>
      <c r="Q23" s="67" t="s">
        <v>15</v>
      </c>
      <c r="R23" s="68">
        <v>97.5</v>
      </c>
      <c r="S23" s="70">
        <v>45268</v>
      </c>
      <c r="T23" s="70">
        <v>45311</v>
      </c>
      <c r="U23" s="66">
        <f t="shared" si="14"/>
        <v>-1665.1162790697676</v>
      </c>
      <c r="V23" s="66">
        <f t="shared" si="15"/>
        <v>-716</v>
      </c>
      <c r="Y23" s="67" t="s">
        <v>15</v>
      </c>
      <c r="Z23" s="68">
        <v>97.5</v>
      </c>
      <c r="AA23" s="70">
        <v>45268</v>
      </c>
      <c r="AB23" s="70">
        <v>45311</v>
      </c>
      <c r="AC23" s="66">
        <f t="shared" si="16"/>
        <v>-1665.1162790697676</v>
      </c>
      <c r="AD23" s="66">
        <f t="shared" si="17"/>
        <v>-716</v>
      </c>
      <c r="AG23" s="67" t="s">
        <v>15</v>
      </c>
      <c r="AH23" s="68">
        <v>97.5</v>
      </c>
      <c r="AI23" s="70">
        <v>45268</v>
      </c>
      <c r="AJ23" s="70">
        <v>45311</v>
      </c>
      <c r="AK23" s="66">
        <f t="shared" si="18"/>
        <v>-1665.1162790697676</v>
      </c>
      <c r="AL23" s="66">
        <f t="shared" si="19"/>
        <v>-716</v>
      </c>
      <c r="AO23" s="67" t="s">
        <v>15</v>
      </c>
      <c r="AP23" s="68">
        <v>97.5</v>
      </c>
      <c r="AQ23" s="8">
        <v>45268</v>
      </c>
      <c r="AR23" s="8">
        <v>45311</v>
      </c>
      <c r="AS23" s="4">
        <f t="shared" si="20"/>
        <v>-1665.1162790697676</v>
      </c>
      <c r="AT23" s="4">
        <f t="shared" si="21"/>
        <v>-716</v>
      </c>
      <c r="AW23" s="67" t="s">
        <v>15</v>
      </c>
      <c r="AX23" s="68">
        <v>97.5</v>
      </c>
      <c r="AY23" s="8">
        <v>45268</v>
      </c>
      <c r="AZ23" s="8">
        <v>45311</v>
      </c>
      <c r="BA23" s="4">
        <f t="shared" si="22"/>
        <v>-1665.1162790697676</v>
      </c>
      <c r="BB23" s="4">
        <f t="shared" si="23"/>
        <v>-716</v>
      </c>
    </row>
    <row r="24" spans="1:54" ht="22.15" hidden="1" customHeight="1">
      <c r="A24"/>
      <c r="B24" s="65" t="s">
        <v>32</v>
      </c>
      <c r="C24" s="24" t="s">
        <v>15</v>
      </c>
      <c r="D24" s="25">
        <v>85.93</v>
      </c>
      <c r="E24" s="27">
        <v>45276</v>
      </c>
      <c r="F24" s="27">
        <v>45311</v>
      </c>
      <c r="G24" s="66">
        <f t="shared" si="0"/>
        <v>-2045.7142857142856</v>
      </c>
      <c r="H24" s="66">
        <f t="shared" si="1"/>
        <v>-716</v>
      </c>
      <c r="I24" s="67" t="s">
        <v>15</v>
      </c>
      <c r="J24" s="68">
        <v>85.93</v>
      </c>
      <c r="K24" s="70">
        <v>45276</v>
      </c>
      <c r="L24" s="70">
        <v>45311</v>
      </c>
      <c r="M24" s="66">
        <f t="shared" si="2"/>
        <v>-2045.7142857142856</v>
      </c>
      <c r="N24" s="66">
        <f t="shared" si="3"/>
        <v>-716</v>
      </c>
      <c r="Q24" s="67" t="s">
        <v>15</v>
      </c>
      <c r="R24" s="68">
        <v>85.93</v>
      </c>
      <c r="S24" s="70">
        <v>45276</v>
      </c>
      <c r="T24" s="70">
        <v>45311</v>
      </c>
      <c r="U24" s="66">
        <f t="shared" si="14"/>
        <v>-2045.7142857142856</v>
      </c>
      <c r="V24" s="66">
        <f t="shared" si="15"/>
        <v>-716</v>
      </c>
      <c r="Y24" s="67" t="s">
        <v>15</v>
      </c>
      <c r="Z24" s="68">
        <v>85.93</v>
      </c>
      <c r="AA24" s="70">
        <v>45276</v>
      </c>
      <c r="AB24" s="70">
        <v>45311</v>
      </c>
      <c r="AC24" s="66">
        <f t="shared" si="16"/>
        <v>-2045.7142857142856</v>
      </c>
      <c r="AD24" s="66">
        <f t="shared" si="17"/>
        <v>-716</v>
      </c>
      <c r="AG24" s="67" t="s">
        <v>15</v>
      </c>
      <c r="AH24" s="68">
        <v>85.93</v>
      </c>
      <c r="AI24" s="70">
        <v>45276</v>
      </c>
      <c r="AJ24" s="70">
        <v>45311</v>
      </c>
      <c r="AK24" s="66">
        <f t="shared" si="18"/>
        <v>-2045.7142857142856</v>
      </c>
      <c r="AL24" s="66">
        <f t="shared" si="19"/>
        <v>-716</v>
      </c>
      <c r="AO24" s="67" t="s">
        <v>15</v>
      </c>
      <c r="AP24" s="68">
        <v>85.93</v>
      </c>
      <c r="AQ24" s="8">
        <v>45276</v>
      </c>
      <c r="AR24" s="8">
        <v>45311</v>
      </c>
      <c r="AS24" s="4">
        <f t="shared" si="20"/>
        <v>-2045.7142857142856</v>
      </c>
      <c r="AT24" s="4">
        <f t="shared" si="21"/>
        <v>-716</v>
      </c>
      <c r="AW24" s="67" t="s">
        <v>15</v>
      </c>
      <c r="AX24" s="68">
        <v>85.93</v>
      </c>
      <c r="AY24" s="8">
        <v>45276</v>
      </c>
      <c r="AZ24" s="8">
        <v>45311</v>
      </c>
      <c r="BA24" s="4">
        <f t="shared" si="22"/>
        <v>-2045.7142857142856</v>
      </c>
      <c r="BB24" s="4">
        <f t="shared" si="23"/>
        <v>-716</v>
      </c>
    </row>
    <row r="25" spans="1:54" ht="22.15" hidden="1" customHeight="1">
      <c r="A25"/>
      <c r="B25" s="65" t="s">
        <v>33</v>
      </c>
      <c r="C25" s="24" t="s">
        <v>15</v>
      </c>
      <c r="D25" s="25">
        <v>216.8</v>
      </c>
      <c r="E25" s="27">
        <v>45267</v>
      </c>
      <c r="F25" s="27">
        <v>45312</v>
      </c>
      <c r="G25" s="66">
        <f t="shared" si="0"/>
        <v>-1588.8888888888889</v>
      </c>
      <c r="H25" s="66">
        <f t="shared" si="1"/>
        <v>-715</v>
      </c>
      <c r="I25" s="67" t="s">
        <v>15</v>
      </c>
      <c r="J25" s="68">
        <v>216.8</v>
      </c>
      <c r="K25" s="70">
        <v>45267</v>
      </c>
      <c r="L25" s="70">
        <v>45312</v>
      </c>
      <c r="M25" s="66">
        <f t="shared" si="2"/>
        <v>-1588.8888888888889</v>
      </c>
      <c r="N25" s="66">
        <f t="shared" si="3"/>
        <v>-715</v>
      </c>
      <c r="Q25" s="67" t="s">
        <v>15</v>
      </c>
      <c r="R25" s="68">
        <v>216.8</v>
      </c>
      <c r="S25" s="70">
        <v>45267</v>
      </c>
      <c r="T25" s="70">
        <v>45312</v>
      </c>
      <c r="U25" s="66">
        <f t="shared" si="14"/>
        <v>-1588.8888888888889</v>
      </c>
      <c r="V25" s="66">
        <f t="shared" si="15"/>
        <v>-715</v>
      </c>
      <c r="Y25" s="67" t="s">
        <v>15</v>
      </c>
      <c r="Z25" s="68">
        <v>216.8</v>
      </c>
      <c r="AA25" s="70">
        <v>45267</v>
      </c>
      <c r="AB25" s="70">
        <v>45312</v>
      </c>
      <c r="AC25" s="66">
        <f t="shared" si="16"/>
        <v>-1588.8888888888889</v>
      </c>
      <c r="AD25" s="66">
        <f t="shared" si="17"/>
        <v>-715</v>
      </c>
      <c r="AG25" s="67" t="s">
        <v>15</v>
      </c>
      <c r="AH25" s="68">
        <v>216.8</v>
      </c>
      <c r="AI25" s="70">
        <v>45267</v>
      </c>
      <c r="AJ25" s="70">
        <v>45312</v>
      </c>
      <c r="AK25" s="66">
        <f t="shared" si="18"/>
        <v>-1588.8888888888889</v>
      </c>
      <c r="AL25" s="66">
        <f t="shared" si="19"/>
        <v>-715</v>
      </c>
      <c r="AO25" s="67" t="s">
        <v>15</v>
      </c>
      <c r="AP25" s="68">
        <v>216.8</v>
      </c>
      <c r="AQ25" s="8">
        <v>45267</v>
      </c>
      <c r="AR25" s="8">
        <v>45312</v>
      </c>
      <c r="AS25" s="4">
        <f t="shared" si="20"/>
        <v>-1588.8888888888889</v>
      </c>
      <c r="AT25" s="4">
        <f t="shared" si="21"/>
        <v>-715</v>
      </c>
      <c r="AW25" s="67" t="s">
        <v>15</v>
      </c>
      <c r="AX25" s="68">
        <v>216.8</v>
      </c>
      <c r="AY25" s="8">
        <v>45267</v>
      </c>
      <c r="AZ25" s="8">
        <v>45312</v>
      </c>
      <c r="BA25" s="4">
        <f t="shared" si="22"/>
        <v>-1588.8888888888889</v>
      </c>
      <c r="BB25" s="4">
        <f t="shared" si="23"/>
        <v>-715</v>
      </c>
    </row>
    <row r="26" spans="1:54" ht="22.15" hidden="1" customHeight="1">
      <c r="A26"/>
      <c r="B26" s="65" t="s">
        <v>34</v>
      </c>
      <c r="C26" s="24" t="s">
        <v>15</v>
      </c>
      <c r="D26" s="25">
        <v>170.9</v>
      </c>
      <c r="E26" s="27">
        <v>45277</v>
      </c>
      <c r="F26" s="27">
        <v>45312</v>
      </c>
      <c r="G26" s="66">
        <f t="shared" si="0"/>
        <v>-2042.8571428571427</v>
      </c>
      <c r="H26" s="66">
        <f t="shared" si="1"/>
        <v>-715</v>
      </c>
      <c r="I26" s="67" t="s">
        <v>15</v>
      </c>
      <c r="J26" s="68">
        <v>170.9</v>
      </c>
      <c r="K26" s="70">
        <v>45277</v>
      </c>
      <c r="L26" s="70">
        <v>45312</v>
      </c>
      <c r="M26" s="66">
        <f t="shared" si="2"/>
        <v>-2042.8571428571427</v>
      </c>
      <c r="N26" s="66">
        <f t="shared" si="3"/>
        <v>-715</v>
      </c>
      <c r="Q26" s="67" t="s">
        <v>15</v>
      </c>
      <c r="R26" s="68">
        <v>170.9</v>
      </c>
      <c r="S26" s="70">
        <v>45277</v>
      </c>
      <c r="T26" s="70">
        <v>45312</v>
      </c>
      <c r="U26" s="66">
        <f t="shared" si="14"/>
        <v>-2042.8571428571427</v>
      </c>
      <c r="V26" s="66">
        <f t="shared" si="15"/>
        <v>-715</v>
      </c>
      <c r="Y26" s="67" t="s">
        <v>15</v>
      </c>
      <c r="Z26" s="68">
        <v>170.9</v>
      </c>
      <c r="AA26" s="70">
        <v>45277</v>
      </c>
      <c r="AB26" s="70">
        <v>45312</v>
      </c>
      <c r="AC26" s="66">
        <f t="shared" si="16"/>
        <v>-2042.8571428571427</v>
      </c>
      <c r="AD26" s="66">
        <f t="shared" si="17"/>
        <v>-715</v>
      </c>
      <c r="AG26" s="67" t="s">
        <v>15</v>
      </c>
      <c r="AH26" s="68">
        <v>170.9</v>
      </c>
      <c r="AI26" s="70">
        <v>45277</v>
      </c>
      <c r="AJ26" s="70">
        <v>45312</v>
      </c>
      <c r="AK26" s="66">
        <f t="shared" si="18"/>
        <v>-2042.8571428571427</v>
      </c>
      <c r="AL26" s="66">
        <f t="shared" si="19"/>
        <v>-715</v>
      </c>
      <c r="AO26" s="67" t="s">
        <v>15</v>
      </c>
      <c r="AP26" s="68">
        <v>170.9</v>
      </c>
      <c r="AQ26" s="8">
        <v>45277</v>
      </c>
      <c r="AR26" s="8">
        <v>45312</v>
      </c>
      <c r="AS26" s="4">
        <f t="shared" si="20"/>
        <v>-2042.8571428571427</v>
      </c>
      <c r="AT26" s="4">
        <f t="shared" si="21"/>
        <v>-715</v>
      </c>
      <c r="AW26" s="67" t="s">
        <v>15</v>
      </c>
      <c r="AX26" s="68">
        <v>170.9</v>
      </c>
      <c r="AY26" s="8">
        <v>45277</v>
      </c>
      <c r="AZ26" s="8">
        <v>45312</v>
      </c>
      <c r="BA26" s="4">
        <f t="shared" si="22"/>
        <v>-2042.8571428571427</v>
      </c>
      <c r="BB26" s="4">
        <f t="shared" si="23"/>
        <v>-715</v>
      </c>
    </row>
    <row r="27" spans="1:54" ht="22.15" hidden="1" customHeight="1">
      <c r="A27"/>
      <c r="B27" s="65" t="s">
        <v>35</v>
      </c>
      <c r="C27" s="24" t="s">
        <v>15</v>
      </c>
      <c r="D27" s="25">
        <v>159.9</v>
      </c>
      <c r="E27" s="27">
        <v>45277</v>
      </c>
      <c r="F27" s="27">
        <v>45312</v>
      </c>
      <c r="G27" s="66">
        <f t="shared" si="0"/>
        <v>-2042.8571428571427</v>
      </c>
      <c r="H27" s="66">
        <f t="shared" si="1"/>
        <v>-715</v>
      </c>
      <c r="I27" s="67" t="s">
        <v>15</v>
      </c>
      <c r="J27" s="68">
        <v>159.9</v>
      </c>
      <c r="K27" s="70">
        <v>45277</v>
      </c>
      <c r="L27" s="70">
        <v>45312</v>
      </c>
      <c r="M27" s="66">
        <f t="shared" si="2"/>
        <v>-2042.8571428571427</v>
      </c>
      <c r="N27" s="66">
        <f t="shared" si="3"/>
        <v>-715</v>
      </c>
      <c r="Q27" s="67" t="s">
        <v>15</v>
      </c>
      <c r="R27" s="68">
        <v>159.9</v>
      </c>
      <c r="S27" s="70">
        <v>45277</v>
      </c>
      <c r="T27" s="70">
        <v>45312</v>
      </c>
      <c r="U27" s="66">
        <f t="shared" si="14"/>
        <v>-2042.8571428571427</v>
      </c>
      <c r="V27" s="66">
        <f t="shared" si="15"/>
        <v>-715</v>
      </c>
      <c r="Y27" s="67" t="s">
        <v>15</v>
      </c>
      <c r="Z27" s="68">
        <v>159.9</v>
      </c>
      <c r="AA27" s="70">
        <v>45277</v>
      </c>
      <c r="AB27" s="70">
        <v>45312</v>
      </c>
      <c r="AC27" s="66">
        <f t="shared" si="16"/>
        <v>-2042.8571428571427</v>
      </c>
      <c r="AD27" s="66">
        <f t="shared" si="17"/>
        <v>-715</v>
      </c>
      <c r="AG27" s="67" t="s">
        <v>15</v>
      </c>
      <c r="AH27" s="68">
        <v>159.9</v>
      </c>
      <c r="AI27" s="70">
        <v>45277</v>
      </c>
      <c r="AJ27" s="70">
        <v>45312</v>
      </c>
      <c r="AK27" s="66">
        <f t="shared" si="18"/>
        <v>-2042.8571428571427</v>
      </c>
      <c r="AL27" s="66">
        <f t="shared" si="19"/>
        <v>-715</v>
      </c>
      <c r="AO27" s="67" t="s">
        <v>15</v>
      </c>
      <c r="AP27" s="68">
        <v>159.9</v>
      </c>
      <c r="AQ27" s="8">
        <v>45277</v>
      </c>
      <c r="AR27" s="8">
        <v>45312</v>
      </c>
      <c r="AS27" s="4">
        <f t="shared" si="20"/>
        <v>-2042.8571428571427</v>
      </c>
      <c r="AT27" s="4">
        <f t="shared" si="21"/>
        <v>-715</v>
      </c>
      <c r="AW27" s="67" t="s">
        <v>15</v>
      </c>
      <c r="AX27" s="68">
        <v>159.9</v>
      </c>
      <c r="AY27" s="8">
        <v>45277</v>
      </c>
      <c r="AZ27" s="8">
        <v>45312</v>
      </c>
      <c r="BA27" s="4">
        <f t="shared" si="22"/>
        <v>-2042.8571428571427</v>
      </c>
      <c r="BB27" s="4">
        <f t="shared" si="23"/>
        <v>-715</v>
      </c>
    </row>
    <row r="28" spans="1:54" ht="22.15" hidden="1" customHeight="1">
      <c r="A28"/>
      <c r="B28" s="65" t="s">
        <v>36</v>
      </c>
      <c r="C28" s="24" t="s">
        <v>15</v>
      </c>
      <c r="D28" s="25">
        <v>358.6</v>
      </c>
      <c r="E28" s="27">
        <v>45272</v>
      </c>
      <c r="F28" s="27">
        <v>45312</v>
      </c>
      <c r="G28" s="66">
        <f t="shared" si="0"/>
        <v>-1787.5</v>
      </c>
      <c r="H28" s="66">
        <f t="shared" si="1"/>
        <v>-715</v>
      </c>
      <c r="I28" s="67" t="s">
        <v>15</v>
      </c>
      <c r="J28" s="68">
        <v>358.6</v>
      </c>
      <c r="K28" s="70">
        <v>45272</v>
      </c>
      <c r="L28" s="70">
        <v>45312</v>
      </c>
      <c r="M28" s="66">
        <f t="shared" si="2"/>
        <v>-1787.5</v>
      </c>
      <c r="N28" s="66">
        <f t="shared" si="3"/>
        <v>-715</v>
      </c>
      <c r="Q28" s="67" t="s">
        <v>15</v>
      </c>
      <c r="R28" s="68">
        <v>358.6</v>
      </c>
      <c r="S28" s="70">
        <v>45272</v>
      </c>
      <c r="T28" s="70">
        <v>45312</v>
      </c>
      <c r="U28" s="66">
        <f t="shared" si="14"/>
        <v>-1787.5</v>
      </c>
      <c r="V28" s="66">
        <f t="shared" si="15"/>
        <v>-715</v>
      </c>
      <c r="Y28" s="67" t="s">
        <v>15</v>
      </c>
      <c r="Z28" s="68">
        <v>358.6</v>
      </c>
      <c r="AA28" s="70">
        <v>45272</v>
      </c>
      <c r="AB28" s="70">
        <v>45312</v>
      </c>
      <c r="AC28" s="66">
        <f t="shared" si="16"/>
        <v>-1787.5</v>
      </c>
      <c r="AD28" s="66">
        <f t="shared" si="17"/>
        <v>-715</v>
      </c>
      <c r="AG28" s="67" t="s">
        <v>15</v>
      </c>
      <c r="AH28" s="68">
        <v>358.6</v>
      </c>
      <c r="AI28" s="70">
        <v>45272</v>
      </c>
      <c r="AJ28" s="70">
        <v>45312</v>
      </c>
      <c r="AK28" s="66">
        <f t="shared" si="18"/>
        <v>-1787.5</v>
      </c>
      <c r="AL28" s="66">
        <f t="shared" si="19"/>
        <v>-715</v>
      </c>
      <c r="AO28" s="67" t="s">
        <v>15</v>
      </c>
      <c r="AP28" s="68">
        <v>358.6</v>
      </c>
      <c r="AQ28" s="8">
        <v>45272</v>
      </c>
      <c r="AR28" s="8">
        <v>45312</v>
      </c>
      <c r="AS28" s="4">
        <f t="shared" si="20"/>
        <v>-1787.5</v>
      </c>
      <c r="AT28" s="4">
        <f t="shared" si="21"/>
        <v>-715</v>
      </c>
      <c r="AW28" s="67" t="s">
        <v>15</v>
      </c>
      <c r="AX28" s="68">
        <v>358.6</v>
      </c>
      <c r="AY28" s="8">
        <v>45272</v>
      </c>
      <c r="AZ28" s="8">
        <v>45312</v>
      </c>
      <c r="BA28" s="4">
        <f t="shared" si="22"/>
        <v>-1787.5</v>
      </c>
      <c r="BB28" s="4">
        <f t="shared" si="23"/>
        <v>-715</v>
      </c>
    </row>
    <row r="29" spans="1:54" ht="22.15" hidden="1" customHeight="1">
      <c r="A29"/>
      <c r="B29" s="65" t="s">
        <v>37</v>
      </c>
      <c r="C29" s="24" t="s">
        <v>8</v>
      </c>
      <c r="D29" s="25">
        <v>94</v>
      </c>
      <c r="E29" s="27">
        <v>45268</v>
      </c>
      <c r="F29" s="27">
        <v>45313</v>
      </c>
      <c r="G29" s="66">
        <f t="shared" si="0"/>
        <v>-1586.6666666666667</v>
      </c>
      <c r="H29" s="66">
        <f t="shared" si="1"/>
        <v>-714</v>
      </c>
      <c r="I29" s="67" t="s">
        <v>8</v>
      </c>
      <c r="J29" s="68">
        <v>94</v>
      </c>
      <c r="K29" s="70">
        <v>45268</v>
      </c>
      <c r="L29" s="70">
        <v>45313</v>
      </c>
      <c r="M29" s="66">
        <f t="shared" si="2"/>
        <v>-1586.6666666666667</v>
      </c>
      <c r="N29" s="66">
        <f t="shared" si="3"/>
        <v>-714</v>
      </c>
      <c r="Q29" s="67" t="s">
        <v>8</v>
      </c>
      <c r="R29" s="68">
        <v>94</v>
      </c>
      <c r="S29" s="70">
        <v>45268</v>
      </c>
      <c r="T29" s="70">
        <v>45313</v>
      </c>
      <c r="U29" s="66">
        <f t="shared" si="14"/>
        <v>-1586.6666666666667</v>
      </c>
      <c r="V29" s="66">
        <f t="shared" si="15"/>
        <v>-714</v>
      </c>
      <c r="Y29" s="67" t="s">
        <v>8</v>
      </c>
      <c r="Z29" s="68">
        <v>94</v>
      </c>
      <c r="AA29" s="70">
        <v>45268</v>
      </c>
      <c r="AB29" s="70">
        <v>45313</v>
      </c>
      <c r="AC29" s="66">
        <f t="shared" si="16"/>
        <v>-1586.6666666666667</v>
      </c>
      <c r="AD29" s="66">
        <f t="shared" si="17"/>
        <v>-714</v>
      </c>
      <c r="AG29" s="67" t="s">
        <v>8</v>
      </c>
      <c r="AH29" s="68">
        <v>94</v>
      </c>
      <c r="AI29" s="70">
        <v>45268</v>
      </c>
      <c r="AJ29" s="70">
        <v>45313</v>
      </c>
      <c r="AK29" s="66">
        <f t="shared" si="18"/>
        <v>-1586.6666666666667</v>
      </c>
      <c r="AL29" s="66">
        <f t="shared" si="19"/>
        <v>-714</v>
      </c>
      <c r="AO29" s="67" t="s">
        <v>8</v>
      </c>
      <c r="AP29" s="68">
        <v>94</v>
      </c>
      <c r="AQ29" s="8">
        <v>45268</v>
      </c>
      <c r="AR29" s="8">
        <v>45313</v>
      </c>
      <c r="AS29" s="4">
        <f t="shared" si="20"/>
        <v>-1586.6666666666667</v>
      </c>
      <c r="AT29" s="4">
        <f t="shared" si="21"/>
        <v>-714</v>
      </c>
      <c r="AW29" s="67" t="s">
        <v>8</v>
      </c>
      <c r="AX29" s="68">
        <v>94</v>
      </c>
      <c r="AY29" s="8">
        <v>45268</v>
      </c>
      <c r="AZ29" s="8">
        <v>45313</v>
      </c>
      <c r="BA29" s="4">
        <f t="shared" si="22"/>
        <v>-1586.6666666666667</v>
      </c>
      <c r="BB29" s="4">
        <f t="shared" si="23"/>
        <v>-714</v>
      </c>
    </row>
    <row r="30" spans="1:54" ht="22.15" hidden="1" customHeight="1">
      <c r="A30"/>
      <c r="B30" s="65" t="s">
        <v>38</v>
      </c>
      <c r="C30" s="24" t="s">
        <v>8</v>
      </c>
      <c r="D30" s="25">
        <v>134</v>
      </c>
      <c r="E30" s="27">
        <v>45268</v>
      </c>
      <c r="F30" s="27">
        <v>45313</v>
      </c>
      <c r="G30" s="66">
        <f t="shared" si="0"/>
        <v>-1586.6666666666667</v>
      </c>
      <c r="H30" s="66">
        <f t="shared" si="1"/>
        <v>-714</v>
      </c>
      <c r="I30" s="67" t="s">
        <v>8</v>
      </c>
      <c r="J30" s="68">
        <v>134</v>
      </c>
      <c r="K30" s="70">
        <v>45268</v>
      </c>
      <c r="L30" s="70">
        <v>45313</v>
      </c>
      <c r="M30" s="66">
        <f t="shared" si="2"/>
        <v>-1586.6666666666667</v>
      </c>
      <c r="N30" s="66">
        <f t="shared" si="3"/>
        <v>-714</v>
      </c>
      <c r="Q30" s="67" t="s">
        <v>8</v>
      </c>
      <c r="R30" s="68">
        <v>134</v>
      </c>
      <c r="S30" s="70">
        <v>45268</v>
      </c>
      <c r="T30" s="70">
        <v>45313</v>
      </c>
      <c r="U30" s="66">
        <f t="shared" si="14"/>
        <v>-1586.6666666666667</v>
      </c>
      <c r="V30" s="66">
        <f t="shared" si="15"/>
        <v>-714</v>
      </c>
      <c r="Y30" s="67" t="s">
        <v>8</v>
      </c>
      <c r="Z30" s="68">
        <v>134</v>
      </c>
      <c r="AA30" s="70">
        <v>45268</v>
      </c>
      <c r="AB30" s="70">
        <v>45313</v>
      </c>
      <c r="AC30" s="66">
        <f t="shared" si="16"/>
        <v>-1586.6666666666667</v>
      </c>
      <c r="AD30" s="66">
        <f t="shared" si="17"/>
        <v>-714</v>
      </c>
      <c r="AG30" s="67" t="s">
        <v>8</v>
      </c>
      <c r="AH30" s="68">
        <v>134</v>
      </c>
      <c r="AI30" s="70">
        <v>45268</v>
      </c>
      <c r="AJ30" s="70">
        <v>45313</v>
      </c>
      <c r="AK30" s="66">
        <f t="shared" si="18"/>
        <v>-1586.6666666666667</v>
      </c>
      <c r="AL30" s="66">
        <f t="shared" si="19"/>
        <v>-714</v>
      </c>
      <c r="AO30" s="67" t="s">
        <v>8</v>
      </c>
      <c r="AP30" s="68">
        <v>134</v>
      </c>
      <c r="AQ30" s="8">
        <v>45268</v>
      </c>
      <c r="AR30" s="8">
        <v>45313</v>
      </c>
      <c r="AS30" s="4">
        <f t="shared" si="20"/>
        <v>-1586.6666666666667</v>
      </c>
      <c r="AT30" s="4">
        <f t="shared" si="21"/>
        <v>-714</v>
      </c>
      <c r="AW30" s="67" t="s">
        <v>8</v>
      </c>
      <c r="AX30" s="68">
        <v>134</v>
      </c>
      <c r="AY30" s="8">
        <v>45268</v>
      </c>
      <c r="AZ30" s="8">
        <v>45313</v>
      </c>
      <c r="BA30" s="4">
        <f t="shared" si="22"/>
        <v>-1586.6666666666667</v>
      </c>
      <c r="BB30" s="4">
        <f t="shared" si="23"/>
        <v>-714</v>
      </c>
    </row>
    <row r="31" spans="1:54" ht="22.15" hidden="1" customHeight="1">
      <c r="A31"/>
      <c r="B31" s="65" t="s">
        <v>39</v>
      </c>
      <c r="C31" s="24" t="s">
        <v>8</v>
      </c>
      <c r="D31" s="25">
        <v>2</v>
      </c>
      <c r="E31" s="27">
        <v>45268</v>
      </c>
      <c r="F31" s="27">
        <v>45313</v>
      </c>
      <c r="G31" s="66">
        <f t="shared" si="0"/>
        <v>-1586.6666666666667</v>
      </c>
      <c r="H31" s="66">
        <f t="shared" si="1"/>
        <v>-714</v>
      </c>
      <c r="I31" s="67" t="s">
        <v>8</v>
      </c>
      <c r="J31" s="68">
        <v>2</v>
      </c>
      <c r="K31" s="70">
        <v>45268</v>
      </c>
      <c r="L31" s="70">
        <v>45313</v>
      </c>
      <c r="M31" s="66">
        <f t="shared" si="2"/>
        <v>-1586.6666666666667</v>
      </c>
      <c r="N31" s="66">
        <f t="shared" si="3"/>
        <v>-714</v>
      </c>
      <c r="Q31" s="67" t="s">
        <v>8</v>
      </c>
      <c r="R31" s="68">
        <v>2</v>
      </c>
      <c r="S31" s="70">
        <v>45268</v>
      </c>
      <c r="T31" s="70">
        <v>45313</v>
      </c>
      <c r="U31" s="66">
        <f t="shared" si="14"/>
        <v>-1586.6666666666667</v>
      </c>
      <c r="V31" s="66">
        <f t="shared" si="15"/>
        <v>-714</v>
      </c>
      <c r="Y31" s="67" t="s">
        <v>8</v>
      </c>
      <c r="Z31" s="68">
        <v>2</v>
      </c>
      <c r="AA31" s="70">
        <v>45268</v>
      </c>
      <c r="AB31" s="70">
        <v>45313</v>
      </c>
      <c r="AC31" s="66">
        <f t="shared" si="16"/>
        <v>-1586.6666666666667</v>
      </c>
      <c r="AD31" s="66">
        <f t="shared" si="17"/>
        <v>-714</v>
      </c>
      <c r="AG31" s="67" t="s">
        <v>8</v>
      </c>
      <c r="AH31" s="68">
        <v>2</v>
      </c>
      <c r="AI31" s="70">
        <v>45268</v>
      </c>
      <c r="AJ31" s="70">
        <v>45313</v>
      </c>
      <c r="AK31" s="66">
        <f t="shared" si="18"/>
        <v>-1586.6666666666667</v>
      </c>
      <c r="AL31" s="66">
        <f t="shared" si="19"/>
        <v>-714</v>
      </c>
      <c r="AO31" s="67" t="s">
        <v>8</v>
      </c>
      <c r="AP31" s="68">
        <v>2</v>
      </c>
      <c r="AQ31" s="8">
        <v>45268</v>
      </c>
      <c r="AR31" s="8">
        <v>45313</v>
      </c>
      <c r="AS31" s="4">
        <f t="shared" si="20"/>
        <v>-1586.6666666666667</v>
      </c>
      <c r="AT31" s="4">
        <f t="shared" si="21"/>
        <v>-714</v>
      </c>
      <c r="AW31" s="67" t="s">
        <v>8</v>
      </c>
      <c r="AX31" s="68">
        <v>2</v>
      </c>
      <c r="AY31" s="8">
        <v>45268</v>
      </c>
      <c r="AZ31" s="8">
        <v>45313</v>
      </c>
      <c r="BA31" s="4">
        <f t="shared" si="22"/>
        <v>-1586.6666666666667</v>
      </c>
      <c r="BB31" s="4">
        <f t="shared" si="23"/>
        <v>-714</v>
      </c>
    </row>
    <row r="32" spans="1:54" ht="22.15" hidden="1" customHeight="1">
      <c r="A32"/>
      <c r="B32" s="65" t="s">
        <v>40</v>
      </c>
      <c r="C32" s="24" t="s">
        <v>15</v>
      </c>
      <c r="D32" s="25">
        <v>273.39999999999998</v>
      </c>
      <c r="E32" s="27">
        <v>45268</v>
      </c>
      <c r="F32" s="27">
        <v>45313</v>
      </c>
      <c r="G32" s="66">
        <f t="shared" si="0"/>
        <v>-1586.6666666666667</v>
      </c>
      <c r="H32" s="66">
        <f t="shared" si="1"/>
        <v>-714</v>
      </c>
      <c r="I32" s="67" t="s">
        <v>15</v>
      </c>
      <c r="J32" s="68">
        <v>273.39999999999998</v>
      </c>
      <c r="K32" s="70">
        <v>45268</v>
      </c>
      <c r="L32" s="70">
        <v>45313</v>
      </c>
      <c r="M32" s="66">
        <f t="shared" si="2"/>
        <v>-1586.6666666666667</v>
      </c>
      <c r="N32" s="66">
        <f t="shared" si="3"/>
        <v>-714</v>
      </c>
      <c r="Q32" s="67" t="s">
        <v>15</v>
      </c>
      <c r="R32" s="68">
        <v>273.39999999999998</v>
      </c>
      <c r="S32" s="70">
        <v>45268</v>
      </c>
      <c r="T32" s="70">
        <v>45313</v>
      </c>
      <c r="U32" s="66">
        <f t="shared" si="14"/>
        <v>-1586.6666666666667</v>
      </c>
      <c r="V32" s="66">
        <f t="shared" si="15"/>
        <v>-714</v>
      </c>
      <c r="Y32" s="67" t="s">
        <v>15</v>
      </c>
      <c r="Z32" s="68">
        <v>273.39999999999998</v>
      </c>
      <c r="AA32" s="70">
        <v>45268</v>
      </c>
      <c r="AB32" s="70">
        <v>45313</v>
      </c>
      <c r="AC32" s="66">
        <f t="shared" si="16"/>
        <v>-1586.6666666666667</v>
      </c>
      <c r="AD32" s="66">
        <f t="shared" si="17"/>
        <v>-714</v>
      </c>
      <c r="AG32" s="67" t="s">
        <v>15</v>
      </c>
      <c r="AH32" s="68">
        <v>273.39999999999998</v>
      </c>
      <c r="AI32" s="70">
        <v>45268</v>
      </c>
      <c r="AJ32" s="70">
        <v>45313</v>
      </c>
      <c r="AK32" s="66">
        <f t="shared" si="18"/>
        <v>-1586.6666666666667</v>
      </c>
      <c r="AL32" s="66">
        <f t="shared" si="19"/>
        <v>-714</v>
      </c>
      <c r="AO32" s="67" t="s">
        <v>15</v>
      </c>
      <c r="AP32" s="68">
        <v>273.39999999999998</v>
      </c>
      <c r="AQ32" s="8">
        <v>45268</v>
      </c>
      <c r="AR32" s="8">
        <v>45313</v>
      </c>
      <c r="AS32" s="4">
        <f t="shared" si="20"/>
        <v>-1586.6666666666667</v>
      </c>
      <c r="AT32" s="4">
        <f t="shared" si="21"/>
        <v>-714</v>
      </c>
      <c r="AW32" s="67" t="s">
        <v>15</v>
      </c>
      <c r="AX32" s="68">
        <v>273.39999999999998</v>
      </c>
      <c r="AY32" s="8">
        <v>45268</v>
      </c>
      <c r="AZ32" s="8">
        <v>45313</v>
      </c>
      <c r="BA32" s="4">
        <f t="shared" si="22"/>
        <v>-1586.6666666666667</v>
      </c>
      <c r="BB32" s="4">
        <f t="shared" si="23"/>
        <v>-714</v>
      </c>
    </row>
    <row r="33" spans="1:54" ht="22.15" hidden="1" customHeight="1">
      <c r="A33"/>
      <c r="B33" s="65" t="s">
        <v>41</v>
      </c>
      <c r="C33" s="24" t="s">
        <v>15</v>
      </c>
      <c r="D33" s="25">
        <v>160.19999999999999</v>
      </c>
      <c r="E33" s="27">
        <v>45274</v>
      </c>
      <c r="F33" s="27">
        <v>45314</v>
      </c>
      <c r="G33" s="66">
        <f t="shared" si="0"/>
        <v>-1782.5</v>
      </c>
      <c r="H33" s="66">
        <f t="shared" si="1"/>
        <v>-713</v>
      </c>
      <c r="I33" s="67" t="s">
        <v>15</v>
      </c>
      <c r="J33" s="68">
        <v>160.19999999999999</v>
      </c>
      <c r="K33" s="70">
        <v>45274</v>
      </c>
      <c r="L33" s="70">
        <v>45314</v>
      </c>
      <c r="M33" s="66">
        <f t="shared" si="2"/>
        <v>-1782.5</v>
      </c>
      <c r="N33" s="66">
        <f t="shared" si="3"/>
        <v>-713</v>
      </c>
      <c r="Q33" s="67" t="s">
        <v>15</v>
      </c>
      <c r="R33" s="68">
        <v>160.19999999999999</v>
      </c>
      <c r="S33" s="70">
        <v>45274</v>
      </c>
      <c r="T33" s="70">
        <v>45314</v>
      </c>
      <c r="U33" s="66">
        <f t="shared" si="14"/>
        <v>-1782.5</v>
      </c>
      <c r="V33" s="66">
        <f t="shared" si="15"/>
        <v>-713</v>
      </c>
      <c r="Y33" s="67" t="s">
        <v>15</v>
      </c>
      <c r="Z33" s="68">
        <v>160.19999999999999</v>
      </c>
      <c r="AA33" s="70">
        <v>45274</v>
      </c>
      <c r="AB33" s="70">
        <v>45314</v>
      </c>
      <c r="AC33" s="66">
        <f t="shared" si="16"/>
        <v>-1782.5</v>
      </c>
      <c r="AD33" s="66">
        <f t="shared" si="17"/>
        <v>-713</v>
      </c>
      <c r="AG33" s="67" t="s">
        <v>15</v>
      </c>
      <c r="AH33" s="68">
        <v>160.19999999999999</v>
      </c>
      <c r="AI33" s="70">
        <v>45274</v>
      </c>
      <c r="AJ33" s="70">
        <v>45314</v>
      </c>
      <c r="AK33" s="66">
        <f t="shared" si="18"/>
        <v>-1782.5</v>
      </c>
      <c r="AL33" s="66">
        <f t="shared" si="19"/>
        <v>-713</v>
      </c>
      <c r="AO33" s="67" t="s">
        <v>15</v>
      </c>
      <c r="AP33" s="68">
        <v>160.19999999999999</v>
      </c>
      <c r="AQ33" s="8">
        <v>45274</v>
      </c>
      <c r="AR33" s="8">
        <v>45314</v>
      </c>
      <c r="AS33" s="4">
        <f t="shared" si="20"/>
        <v>-1782.5</v>
      </c>
      <c r="AT33" s="4">
        <f t="shared" si="21"/>
        <v>-713</v>
      </c>
      <c r="AW33" s="67" t="s">
        <v>15</v>
      </c>
      <c r="AX33" s="68">
        <v>160.19999999999999</v>
      </c>
      <c r="AY33" s="8">
        <v>45274</v>
      </c>
      <c r="AZ33" s="8">
        <v>45314</v>
      </c>
      <c r="BA33" s="4">
        <f t="shared" si="22"/>
        <v>-1782.5</v>
      </c>
      <c r="BB33" s="4">
        <f t="shared" si="23"/>
        <v>-713</v>
      </c>
    </row>
    <row r="34" spans="1:54" ht="22.15" hidden="1" customHeight="1">
      <c r="A34"/>
      <c r="B34" s="65" t="s">
        <v>42</v>
      </c>
      <c r="C34" s="24" t="s">
        <v>15</v>
      </c>
      <c r="D34" s="25">
        <v>351.4</v>
      </c>
      <c r="E34" s="27">
        <v>45275</v>
      </c>
      <c r="F34" s="27">
        <v>45315</v>
      </c>
      <c r="G34" s="66">
        <f t="shared" si="0"/>
        <v>-1780</v>
      </c>
      <c r="H34" s="66">
        <f t="shared" si="1"/>
        <v>-712</v>
      </c>
      <c r="I34" s="67" t="s">
        <v>15</v>
      </c>
      <c r="J34" s="68">
        <v>351.4</v>
      </c>
      <c r="K34" s="70">
        <v>45275</v>
      </c>
      <c r="L34" s="70">
        <v>45315</v>
      </c>
      <c r="M34" s="66">
        <f t="shared" si="2"/>
        <v>-1780</v>
      </c>
      <c r="N34" s="66">
        <f t="shared" si="3"/>
        <v>-712</v>
      </c>
      <c r="Q34" s="67" t="s">
        <v>15</v>
      </c>
      <c r="R34" s="68">
        <v>351.4</v>
      </c>
      <c r="S34" s="70">
        <v>45275</v>
      </c>
      <c r="T34" s="70">
        <v>45315</v>
      </c>
      <c r="U34" s="66">
        <f t="shared" si="14"/>
        <v>-1780</v>
      </c>
      <c r="V34" s="66">
        <f t="shared" si="15"/>
        <v>-712</v>
      </c>
      <c r="Y34" s="67" t="s">
        <v>15</v>
      </c>
      <c r="Z34" s="68">
        <v>351.4</v>
      </c>
      <c r="AA34" s="70">
        <v>45275</v>
      </c>
      <c r="AB34" s="70">
        <v>45315</v>
      </c>
      <c r="AC34" s="66">
        <f t="shared" si="16"/>
        <v>-1780</v>
      </c>
      <c r="AD34" s="66">
        <f t="shared" si="17"/>
        <v>-712</v>
      </c>
      <c r="AG34" s="67" t="s">
        <v>15</v>
      </c>
      <c r="AH34" s="68">
        <v>351.4</v>
      </c>
      <c r="AI34" s="70">
        <v>45275</v>
      </c>
      <c r="AJ34" s="70">
        <v>45315</v>
      </c>
      <c r="AK34" s="66">
        <f t="shared" si="18"/>
        <v>-1780</v>
      </c>
      <c r="AL34" s="66">
        <f t="shared" si="19"/>
        <v>-712</v>
      </c>
      <c r="AO34" s="67" t="s">
        <v>15</v>
      </c>
      <c r="AP34" s="68">
        <v>351.4</v>
      </c>
      <c r="AQ34" s="8">
        <v>45275</v>
      </c>
      <c r="AR34" s="8">
        <v>45315</v>
      </c>
      <c r="AS34" s="4">
        <f t="shared" si="20"/>
        <v>-1780</v>
      </c>
      <c r="AT34" s="4">
        <f t="shared" si="21"/>
        <v>-712</v>
      </c>
      <c r="AW34" s="67" t="s">
        <v>15</v>
      </c>
      <c r="AX34" s="68">
        <v>351.4</v>
      </c>
      <c r="AY34" s="8">
        <v>45275</v>
      </c>
      <c r="AZ34" s="8">
        <v>45315</v>
      </c>
      <c r="BA34" s="4">
        <f t="shared" si="22"/>
        <v>-1780</v>
      </c>
      <c r="BB34" s="4">
        <f t="shared" si="23"/>
        <v>-712</v>
      </c>
    </row>
    <row r="35" spans="1:54" ht="22.15" hidden="1" customHeight="1">
      <c r="A35"/>
      <c r="B35" s="65" t="s">
        <v>43</v>
      </c>
      <c r="C35" s="24" t="s">
        <v>15</v>
      </c>
      <c r="D35" s="25">
        <v>19.004000000000001</v>
      </c>
      <c r="E35" s="27">
        <v>45275</v>
      </c>
      <c r="F35" s="27">
        <v>45315</v>
      </c>
      <c r="G35" s="66">
        <f t="shared" si="0"/>
        <v>-1780</v>
      </c>
      <c r="H35" s="66">
        <f t="shared" si="1"/>
        <v>-712</v>
      </c>
      <c r="I35" s="67" t="s">
        <v>15</v>
      </c>
      <c r="J35" s="68">
        <v>19.004000000000001</v>
      </c>
      <c r="K35" s="70">
        <v>45275</v>
      </c>
      <c r="L35" s="70">
        <v>45315</v>
      </c>
      <c r="M35" s="66">
        <f t="shared" si="2"/>
        <v>-1780</v>
      </c>
      <c r="N35" s="66">
        <f t="shared" si="3"/>
        <v>-712</v>
      </c>
      <c r="Q35" s="67" t="s">
        <v>15</v>
      </c>
      <c r="R35" s="68">
        <v>19.004000000000001</v>
      </c>
      <c r="S35" s="70">
        <v>45275</v>
      </c>
      <c r="T35" s="70">
        <v>45315</v>
      </c>
      <c r="U35" s="66">
        <f t="shared" si="14"/>
        <v>-1780</v>
      </c>
      <c r="V35" s="66">
        <f t="shared" si="15"/>
        <v>-712</v>
      </c>
      <c r="Y35" s="67" t="s">
        <v>15</v>
      </c>
      <c r="Z35" s="68">
        <v>19.004000000000001</v>
      </c>
      <c r="AA35" s="70">
        <v>45275</v>
      </c>
      <c r="AB35" s="70">
        <v>45315</v>
      </c>
      <c r="AC35" s="66">
        <f t="shared" si="16"/>
        <v>-1780</v>
      </c>
      <c r="AD35" s="66">
        <f t="shared" si="17"/>
        <v>-712</v>
      </c>
      <c r="AG35" s="67" t="s">
        <v>15</v>
      </c>
      <c r="AH35" s="68">
        <v>19.004000000000001</v>
      </c>
      <c r="AI35" s="70">
        <v>45275</v>
      </c>
      <c r="AJ35" s="70">
        <v>45315</v>
      </c>
      <c r="AK35" s="66">
        <f t="shared" si="18"/>
        <v>-1780</v>
      </c>
      <c r="AL35" s="66">
        <f t="shared" si="19"/>
        <v>-712</v>
      </c>
      <c r="AO35" s="67" t="s">
        <v>15</v>
      </c>
      <c r="AP35" s="68">
        <v>19.004000000000001</v>
      </c>
      <c r="AQ35" s="8">
        <v>45275</v>
      </c>
      <c r="AR35" s="8">
        <v>45315</v>
      </c>
      <c r="AS35" s="4">
        <f t="shared" si="20"/>
        <v>-1780</v>
      </c>
      <c r="AT35" s="4">
        <f t="shared" si="21"/>
        <v>-712</v>
      </c>
      <c r="AW35" s="67" t="s">
        <v>15</v>
      </c>
      <c r="AX35" s="68">
        <v>19.004000000000001</v>
      </c>
      <c r="AY35" s="8">
        <v>45275</v>
      </c>
      <c r="AZ35" s="8">
        <v>45315</v>
      </c>
      <c r="BA35" s="4">
        <f t="shared" si="22"/>
        <v>-1780</v>
      </c>
      <c r="BB35" s="4">
        <f t="shared" si="23"/>
        <v>-712</v>
      </c>
    </row>
    <row r="36" spans="1:54" ht="22.15" hidden="1" customHeight="1">
      <c r="A36"/>
      <c r="B36" s="65" t="s">
        <v>44</v>
      </c>
      <c r="C36" s="24" t="s">
        <v>15</v>
      </c>
      <c r="D36" s="25">
        <v>6.56</v>
      </c>
      <c r="E36" s="27"/>
      <c r="F36" s="27"/>
      <c r="G36" s="66" t="str">
        <f t="shared" si="0"/>
        <v/>
      </c>
      <c r="H36" s="66">
        <f t="shared" si="1"/>
        <v>-46027</v>
      </c>
      <c r="I36" s="67" t="s">
        <v>15</v>
      </c>
      <c r="J36" s="68">
        <v>6.56</v>
      </c>
      <c r="K36" s="70"/>
      <c r="L36" s="70"/>
      <c r="M36" s="66" t="str">
        <f t="shared" si="2"/>
        <v/>
      </c>
      <c r="N36" s="66">
        <f t="shared" si="3"/>
        <v>-46027</v>
      </c>
      <c r="Q36" s="67" t="s">
        <v>15</v>
      </c>
      <c r="R36" s="68">
        <v>6.56</v>
      </c>
      <c r="S36" s="70"/>
      <c r="T36" s="70"/>
      <c r="U36" s="66" t="str">
        <f t="shared" si="14"/>
        <v/>
      </c>
      <c r="V36" s="66">
        <f t="shared" si="15"/>
        <v>-46027</v>
      </c>
      <c r="Y36" s="67" t="s">
        <v>15</v>
      </c>
      <c r="Z36" s="68">
        <v>6.56</v>
      </c>
      <c r="AA36" s="70"/>
      <c r="AB36" s="70"/>
      <c r="AC36" s="66" t="str">
        <f t="shared" si="16"/>
        <v/>
      </c>
      <c r="AD36" s="66">
        <f t="shared" si="17"/>
        <v>-46027</v>
      </c>
      <c r="AG36" s="67" t="s">
        <v>15</v>
      </c>
      <c r="AH36" s="68">
        <v>6.56</v>
      </c>
      <c r="AI36" s="70"/>
      <c r="AJ36" s="70"/>
      <c r="AK36" s="66" t="str">
        <f t="shared" si="18"/>
        <v/>
      </c>
      <c r="AL36" s="66">
        <f t="shared" si="19"/>
        <v>-46027</v>
      </c>
      <c r="AO36" s="67" t="s">
        <v>15</v>
      </c>
      <c r="AP36" s="68">
        <v>6.56</v>
      </c>
      <c r="AQ36" s="8"/>
      <c r="AR36" s="8"/>
      <c r="AS36" s="4" t="str">
        <f t="shared" si="20"/>
        <v/>
      </c>
      <c r="AT36" s="4">
        <f t="shared" si="21"/>
        <v>-46027</v>
      </c>
      <c r="AW36" s="67" t="s">
        <v>15</v>
      </c>
      <c r="AX36" s="68">
        <v>6.56</v>
      </c>
      <c r="AY36" s="8"/>
      <c r="AZ36" s="8"/>
      <c r="BA36" s="4" t="str">
        <f t="shared" si="22"/>
        <v/>
      </c>
      <c r="BB36" s="4">
        <f t="shared" si="23"/>
        <v>-46027</v>
      </c>
    </row>
    <row r="37" spans="1:54" ht="22.15" hidden="1" customHeight="1">
      <c r="A37"/>
      <c r="B37" s="65" t="s">
        <v>45</v>
      </c>
      <c r="C37" s="24" t="s">
        <v>15</v>
      </c>
      <c r="D37" s="25">
        <v>115.69499999999999</v>
      </c>
      <c r="E37" s="27">
        <v>45276</v>
      </c>
      <c r="F37" s="27">
        <v>45316</v>
      </c>
      <c r="G37" s="66">
        <f t="shared" si="0"/>
        <v>-1777.4999999999998</v>
      </c>
      <c r="H37" s="66">
        <f t="shared" si="1"/>
        <v>-711</v>
      </c>
      <c r="I37" s="67" t="s">
        <v>15</v>
      </c>
      <c r="J37" s="68">
        <v>115.69499999999999</v>
      </c>
      <c r="K37" s="70">
        <v>45276</v>
      </c>
      <c r="L37" s="70">
        <v>45316</v>
      </c>
      <c r="M37" s="66">
        <f t="shared" si="2"/>
        <v>-1777.4999999999998</v>
      </c>
      <c r="N37" s="66">
        <f t="shared" si="3"/>
        <v>-711</v>
      </c>
      <c r="Q37" s="67" t="s">
        <v>15</v>
      </c>
      <c r="R37" s="68">
        <v>115.69499999999999</v>
      </c>
      <c r="S37" s="70">
        <v>45276</v>
      </c>
      <c r="T37" s="70">
        <v>45316</v>
      </c>
      <c r="U37" s="66">
        <f t="shared" si="14"/>
        <v>-1777.4999999999998</v>
      </c>
      <c r="V37" s="66">
        <f t="shared" si="15"/>
        <v>-711</v>
      </c>
      <c r="Y37" s="67" t="s">
        <v>15</v>
      </c>
      <c r="Z37" s="68">
        <v>115.69499999999999</v>
      </c>
      <c r="AA37" s="70">
        <v>45276</v>
      </c>
      <c r="AB37" s="70">
        <v>45316</v>
      </c>
      <c r="AC37" s="66">
        <f t="shared" si="16"/>
        <v>-1777.4999999999998</v>
      </c>
      <c r="AD37" s="66">
        <f t="shared" si="17"/>
        <v>-711</v>
      </c>
      <c r="AG37" s="67" t="s">
        <v>15</v>
      </c>
      <c r="AH37" s="68">
        <v>115.69499999999999</v>
      </c>
      <c r="AI37" s="70">
        <v>45276</v>
      </c>
      <c r="AJ37" s="70">
        <v>45316</v>
      </c>
      <c r="AK37" s="66">
        <f t="shared" si="18"/>
        <v>-1777.4999999999998</v>
      </c>
      <c r="AL37" s="66">
        <f t="shared" si="19"/>
        <v>-711</v>
      </c>
      <c r="AO37" s="67" t="s">
        <v>15</v>
      </c>
      <c r="AP37" s="68">
        <v>115.69499999999999</v>
      </c>
      <c r="AQ37" s="8">
        <v>45276</v>
      </c>
      <c r="AR37" s="8">
        <v>45316</v>
      </c>
      <c r="AS37" s="4">
        <f t="shared" si="20"/>
        <v>-1777.4999999999998</v>
      </c>
      <c r="AT37" s="4">
        <f t="shared" si="21"/>
        <v>-711</v>
      </c>
      <c r="AW37" s="67" t="s">
        <v>15</v>
      </c>
      <c r="AX37" s="68">
        <v>115.69499999999999</v>
      </c>
      <c r="AY37" s="8">
        <v>45276</v>
      </c>
      <c r="AZ37" s="8">
        <v>45316</v>
      </c>
      <c r="BA37" s="4">
        <f t="shared" si="22"/>
        <v>-1777.4999999999998</v>
      </c>
      <c r="BB37" s="4">
        <f t="shared" si="23"/>
        <v>-711</v>
      </c>
    </row>
    <row r="38" spans="1:54" ht="22.15" hidden="1" customHeight="1">
      <c r="A38"/>
      <c r="B38" s="65" t="s">
        <v>46</v>
      </c>
      <c r="C38" s="24" t="s">
        <v>8</v>
      </c>
      <c r="D38" s="25">
        <v>234</v>
      </c>
      <c r="E38" s="27">
        <v>45260</v>
      </c>
      <c r="F38" s="27">
        <v>45320</v>
      </c>
      <c r="G38" s="66">
        <f>IFERROR((F38-$G$1)/(F38-E38)*100,"")</f>
        <v>-1178.3333333333333</v>
      </c>
      <c r="H38" s="66">
        <f>F38-$H$1</f>
        <v>-707</v>
      </c>
      <c r="I38" s="67" t="s">
        <v>8</v>
      </c>
      <c r="J38" s="68">
        <v>234</v>
      </c>
      <c r="K38" s="70">
        <v>45260</v>
      </c>
      <c r="L38" s="70">
        <v>45320</v>
      </c>
      <c r="M38" s="66">
        <f>IFERROR((L38-$G$1)/(L38-K38)*100,"")</f>
        <v>-1178.3333333333333</v>
      </c>
      <c r="N38" s="66">
        <f>L38-$H$1</f>
        <v>-707</v>
      </c>
      <c r="Q38" s="67" t="s">
        <v>8</v>
      </c>
      <c r="R38" s="68">
        <v>234</v>
      </c>
      <c r="S38" s="70">
        <v>45260</v>
      </c>
      <c r="T38" s="70">
        <v>45320</v>
      </c>
      <c r="U38" s="66">
        <f>IFERROR((T38-$G$1)/(T38-S38)*100,"")</f>
        <v>-1178.3333333333333</v>
      </c>
      <c r="V38" s="66">
        <f>T38-$H$1</f>
        <v>-707</v>
      </c>
      <c r="Y38" s="67" t="s">
        <v>8</v>
      </c>
      <c r="Z38" s="68">
        <v>234</v>
      </c>
      <c r="AA38" s="70">
        <v>45260</v>
      </c>
      <c r="AB38" s="70">
        <v>45320</v>
      </c>
      <c r="AC38" s="66">
        <f>IFERROR((AB38-$G$1)/(AB38-AA38)*100,"")</f>
        <v>-1178.3333333333333</v>
      </c>
      <c r="AD38" s="66">
        <f>AB38-$H$1</f>
        <v>-707</v>
      </c>
      <c r="AG38" s="67" t="s">
        <v>8</v>
      </c>
      <c r="AH38" s="68">
        <v>234</v>
      </c>
      <c r="AI38" s="70">
        <v>45260</v>
      </c>
      <c r="AJ38" s="70">
        <v>45320</v>
      </c>
      <c r="AK38" s="66">
        <f>IFERROR((AJ38-$G$1)/(AJ38-AI38)*100,"")</f>
        <v>-1178.3333333333333</v>
      </c>
      <c r="AL38" s="66">
        <f>AJ38-$H$1</f>
        <v>-707</v>
      </c>
      <c r="AO38" s="67" t="s">
        <v>8</v>
      </c>
      <c r="AP38" s="68">
        <v>234</v>
      </c>
      <c r="AQ38" s="8">
        <v>45260</v>
      </c>
      <c r="AR38" s="8">
        <v>45320</v>
      </c>
      <c r="AS38" s="4">
        <f>IFERROR((AR38-$G$1)/(AR38-AQ38)*100,"")</f>
        <v>-1178.3333333333333</v>
      </c>
      <c r="AT38" s="4">
        <f>AR38-$H$1</f>
        <v>-707</v>
      </c>
      <c r="AW38" s="67" t="s">
        <v>8</v>
      </c>
      <c r="AX38" s="68">
        <v>234</v>
      </c>
      <c r="AY38" s="8">
        <v>45260</v>
      </c>
      <c r="AZ38" s="8">
        <v>45320</v>
      </c>
      <c r="BA38" s="4">
        <f>IFERROR((AZ38-$G$1)/(AZ38-AY38)*100,"")</f>
        <v>-1178.3333333333333</v>
      </c>
      <c r="BB38" s="4">
        <f>AZ38-$H$1</f>
        <v>-707</v>
      </c>
    </row>
    <row r="39" spans="1:54" ht="22.15" hidden="1" customHeight="1">
      <c r="A39"/>
      <c r="B39" s="65" t="s">
        <v>47</v>
      </c>
      <c r="C39" s="24" t="s">
        <v>8</v>
      </c>
      <c r="D39" s="25">
        <v>480</v>
      </c>
      <c r="E39" s="27"/>
      <c r="F39" s="27"/>
      <c r="G39" s="66" t="str">
        <f t="shared" ref="G39:G82" si="24">IFERROR((F39-$G$1)/(F39-E39)*100,"")</f>
        <v/>
      </c>
      <c r="H39" s="66">
        <f t="shared" ref="H39:H71" si="25">F39-$H$1</f>
        <v>-46027</v>
      </c>
      <c r="I39" s="67" t="s">
        <v>8</v>
      </c>
      <c r="J39" s="68">
        <v>480</v>
      </c>
      <c r="K39" s="70"/>
      <c r="L39" s="70"/>
      <c r="M39" s="66" t="str">
        <f t="shared" ref="M39:M82" si="26">IFERROR((L39-$G$1)/(L39-K39)*100,"")</f>
        <v/>
      </c>
      <c r="N39" s="66">
        <f t="shared" ref="N39:N87" si="27">L39-$H$1</f>
        <v>-46027</v>
      </c>
      <c r="Q39" s="67" t="s">
        <v>8</v>
      </c>
      <c r="R39" s="68">
        <v>480</v>
      </c>
      <c r="S39" s="70"/>
      <c r="T39" s="70"/>
      <c r="U39" s="66" t="str">
        <f t="shared" ref="U39:U82" si="28">IFERROR((T39-$G$1)/(T39-S39)*100,"")</f>
        <v/>
      </c>
      <c r="V39" s="66">
        <f t="shared" ref="V39:V102" si="29">T39-$H$1</f>
        <v>-46027</v>
      </c>
      <c r="Y39" s="67" t="s">
        <v>8</v>
      </c>
      <c r="Z39" s="68">
        <v>480</v>
      </c>
      <c r="AA39" s="70"/>
      <c r="AB39" s="70"/>
      <c r="AC39" s="66" t="str">
        <f t="shared" ref="AC39:AC82" si="30">IFERROR((AB39-$G$1)/(AB39-AA39)*100,"")</f>
        <v/>
      </c>
      <c r="AD39" s="66">
        <f t="shared" ref="AD39:AD102" si="31">AB39-$H$1</f>
        <v>-46027</v>
      </c>
      <c r="AG39" s="67" t="s">
        <v>8</v>
      </c>
      <c r="AH39" s="68">
        <v>480</v>
      </c>
      <c r="AI39" s="70"/>
      <c r="AJ39" s="70"/>
      <c r="AK39" s="66" t="str">
        <f t="shared" ref="AK39:AK82" si="32">IFERROR((AJ39-$G$1)/(AJ39-AI39)*100,"")</f>
        <v/>
      </c>
      <c r="AL39" s="66">
        <f t="shared" ref="AL39:AL102" si="33">AJ39-$H$1</f>
        <v>-46027</v>
      </c>
      <c r="AO39" s="67" t="s">
        <v>8</v>
      </c>
      <c r="AP39" s="68">
        <v>480</v>
      </c>
      <c r="AQ39" s="8"/>
      <c r="AR39" s="8"/>
      <c r="AS39" s="4" t="str">
        <f t="shared" ref="AS39:AS82" si="34">IFERROR((AR39-$G$1)/(AR39-AQ39)*100,"")</f>
        <v/>
      </c>
      <c r="AT39" s="4">
        <f t="shared" ref="AT39:AT102" si="35">AR39-$H$1</f>
        <v>-46027</v>
      </c>
      <c r="AW39" s="67" t="s">
        <v>8</v>
      </c>
      <c r="AX39" s="68">
        <v>480</v>
      </c>
      <c r="AY39" s="8"/>
      <c r="AZ39" s="8"/>
      <c r="BA39" s="4" t="str">
        <f t="shared" ref="BA39:BA82" si="36">IFERROR((AZ39-$G$1)/(AZ39-AY39)*100,"")</f>
        <v/>
      </c>
      <c r="BB39" s="4">
        <f t="shared" ref="BB39:BB102" si="37">AZ39-$H$1</f>
        <v>-46027</v>
      </c>
    </row>
    <row r="40" spans="1:54" ht="22.15" hidden="1" customHeight="1">
      <c r="A40"/>
      <c r="B40" s="65" t="s">
        <v>48</v>
      </c>
      <c r="C40" s="24" t="s">
        <v>8</v>
      </c>
      <c r="D40" s="25">
        <v>480</v>
      </c>
      <c r="E40" s="27"/>
      <c r="F40" s="27"/>
      <c r="G40" s="66" t="str">
        <f t="shared" si="24"/>
        <v/>
      </c>
      <c r="H40" s="66">
        <f t="shared" si="25"/>
        <v>-46027</v>
      </c>
      <c r="I40" s="67" t="s">
        <v>8</v>
      </c>
      <c r="J40" s="68">
        <v>480</v>
      </c>
      <c r="K40" s="70"/>
      <c r="L40" s="70"/>
      <c r="M40" s="66" t="str">
        <f t="shared" si="26"/>
        <v/>
      </c>
      <c r="N40" s="66">
        <f t="shared" si="27"/>
        <v>-46027</v>
      </c>
      <c r="Q40" s="67" t="s">
        <v>8</v>
      </c>
      <c r="R40" s="68">
        <v>480</v>
      </c>
      <c r="S40" s="70"/>
      <c r="T40" s="70"/>
      <c r="U40" s="66" t="str">
        <f t="shared" si="28"/>
        <v/>
      </c>
      <c r="V40" s="66">
        <f t="shared" si="29"/>
        <v>-46027</v>
      </c>
      <c r="Y40" s="67" t="s">
        <v>8</v>
      </c>
      <c r="Z40" s="68">
        <v>480</v>
      </c>
      <c r="AA40" s="70"/>
      <c r="AB40" s="70"/>
      <c r="AC40" s="66" t="str">
        <f t="shared" si="30"/>
        <v/>
      </c>
      <c r="AD40" s="66">
        <f t="shared" si="31"/>
        <v>-46027</v>
      </c>
      <c r="AG40" s="67" t="s">
        <v>8</v>
      </c>
      <c r="AH40" s="68">
        <v>480</v>
      </c>
      <c r="AI40" s="70"/>
      <c r="AJ40" s="70"/>
      <c r="AK40" s="66" t="str">
        <f t="shared" si="32"/>
        <v/>
      </c>
      <c r="AL40" s="66">
        <f t="shared" si="33"/>
        <v>-46027</v>
      </c>
      <c r="AO40" s="67" t="s">
        <v>8</v>
      </c>
      <c r="AP40" s="68">
        <v>480</v>
      </c>
      <c r="AQ40" s="8"/>
      <c r="AR40" s="8"/>
      <c r="AS40" s="4" t="str">
        <f t="shared" si="34"/>
        <v/>
      </c>
      <c r="AT40" s="4">
        <f t="shared" si="35"/>
        <v>-46027</v>
      </c>
      <c r="AW40" s="67" t="s">
        <v>8</v>
      </c>
      <c r="AX40" s="68">
        <v>480</v>
      </c>
      <c r="AY40" s="8"/>
      <c r="AZ40" s="8"/>
      <c r="BA40" s="4" t="str">
        <f t="shared" si="36"/>
        <v/>
      </c>
      <c r="BB40" s="4">
        <f t="shared" si="37"/>
        <v>-46027</v>
      </c>
    </row>
    <row r="41" spans="1:54" ht="22.15" hidden="1" customHeight="1">
      <c r="A41"/>
      <c r="B41" s="65" t="s">
        <v>49</v>
      </c>
      <c r="C41" s="24" t="s">
        <v>8</v>
      </c>
      <c r="D41" s="25">
        <v>2136</v>
      </c>
      <c r="E41" s="27"/>
      <c r="F41" s="27"/>
      <c r="G41" s="66" t="str">
        <f t="shared" si="24"/>
        <v/>
      </c>
      <c r="H41" s="66">
        <f t="shared" si="25"/>
        <v>-46027</v>
      </c>
      <c r="I41" s="67" t="s">
        <v>8</v>
      </c>
      <c r="J41" s="68">
        <v>2136</v>
      </c>
      <c r="K41" s="70"/>
      <c r="L41" s="70"/>
      <c r="M41" s="66" t="str">
        <f t="shared" si="26"/>
        <v/>
      </c>
      <c r="N41" s="66">
        <f t="shared" si="27"/>
        <v>-46027</v>
      </c>
      <c r="Q41" s="67" t="s">
        <v>8</v>
      </c>
      <c r="R41" s="68">
        <v>2136</v>
      </c>
      <c r="S41" s="70"/>
      <c r="T41" s="70"/>
      <c r="U41" s="66" t="str">
        <f t="shared" si="28"/>
        <v/>
      </c>
      <c r="V41" s="66">
        <f t="shared" si="29"/>
        <v>-46027</v>
      </c>
      <c r="Y41" s="67" t="s">
        <v>8</v>
      </c>
      <c r="Z41" s="68">
        <v>2136</v>
      </c>
      <c r="AA41" s="70"/>
      <c r="AB41" s="70"/>
      <c r="AC41" s="66" t="str">
        <f t="shared" si="30"/>
        <v/>
      </c>
      <c r="AD41" s="66">
        <f t="shared" si="31"/>
        <v>-46027</v>
      </c>
      <c r="AG41" s="67" t="s">
        <v>8</v>
      </c>
      <c r="AH41" s="68">
        <v>2136</v>
      </c>
      <c r="AI41" s="70"/>
      <c r="AJ41" s="70"/>
      <c r="AK41" s="66" t="str">
        <f t="shared" si="32"/>
        <v/>
      </c>
      <c r="AL41" s="66">
        <f t="shared" si="33"/>
        <v>-46027</v>
      </c>
      <c r="AO41" s="67" t="s">
        <v>8</v>
      </c>
      <c r="AP41" s="68">
        <v>2136</v>
      </c>
      <c r="AQ41" s="8"/>
      <c r="AR41" s="8"/>
      <c r="AS41" s="4" t="str">
        <f t="shared" si="34"/>
        <v/>
      </c>
      <c r="AT41" s="4">
        <f t="shared" si="35"/>
        <v>-46027</v>
      </c>
      <c r="AW41" s="67" t="s">
        <v>8</v>
      </c>
      <c r="AX41" s="68">
        <v>2136</v>
      </c>
      <c r="AY41" s="8"/>
      <c r="AZ41" s="8"/>
      <c r="BA41" s="4" t="str">
        <f t="shared" si="36"/>
        <v/>
      </c>
      <c r="BB41" s="4">
        <f t="shared" si="37"/>
        <v>-46027</v>
      </c>
    </row>
    <row r="42" spans="1:54" ht="22.15" hidden="1" customHeight="1">
      <c r="A42"/>
      <c r="B42" s="65" t="s">
        <v>50</v>
      </c>
      <c r="C42" s="24" t="s">
        <v>8</v>
      </c>
      <c r="D42" s="25">
        <v>192</v>
      </c>
      <c r="E42" s="27"/>
      <c r="F42" s="27"/>
      <c r="G42" s="66" t="str">
        <f t="shared" si="24"/>
        <v/>
      </c>
      <c r="H42" s="66">
        <f t="shared" si="25"/>
        <v>-46027</v>
      </c>
      <c r="I42" s="67" t="s">
        <v>8</v>
      </c>
      <c r="J42" s="68">
        <v>192</v>
      </c>
      <c r="K42" s="70"/>
      <c r="L42" s="70"/>
      <c r="M42" s="66" t="str">
        <f t="shared" si="26"/>
        <v/>
      </c>
      <c r="N42" s="66">
        <f t="shared" si="27"/>
        <v>-46027</v>
      </c>
      <c r="Q42" s="67" t="s">
        <v>8</v>
      </c>
      <c r="R42" s="68">
        <v>192</v>
      </c>
      <c r="S42" s="70"/>
      <c r="T42" s="70"/>
      <c r="U42" s="66" t="str">
        <f t="shared" si="28"/>
        <v/>
      </c>
      <c r="V42" s="66">
        <f t="shared" si="29"/>
        <v>-46027</v>
      </c>
      <c r="Y42" s="67" t="s">
        <v>8</v>
      </c>
      <c r="Z42" s="68">
        <v>192</v>
      </c>
      <c r="AA42" s="70"/>
      <c r="AB42" s="70"/>
      <c r="AC42" s="66" t="str">
        <f t="shared" si="30"/>
        <v/>
      </c>
      <c r="AD42" s="66">
        <f t="shared" si="31"/>
        <v>-46027</v>
      </c>
      <c r="AG42" s="67" t="s">
        <v>8</v>
      </c>
      <c r="AH42" s="68">
        <v>192</v>
      </c>
      <c r="AI42" s="70"/>
      <c r="AJ42" s="70"/>
      <c r="AK42" s="66" t="str">
        <f t="shared" si="32"/>
        <v/>
      </c>
      <c r="AL42" s="66">
        <f t="shared" si="33"/>
        <v>-46027</v>
      </c>
      <c r="AO42" s="67" t="s">
        <v>8</v>
      </c>
      <c r="AP42" s="68">
        <v>192</v>
      </c>
      <c r="AQ42" s="8"/>
      <c r="AR42" s="8"/>
      <c r="AS42" s="4" t="str">
        <f t="shared" si="34"/>
        <v/>
      </c>
      <c r="AT42" s="4">
        <f t="shared" si="35"/>
        <v>-46027</v>
      </c>
      <c r="AW42" s="67" t="s">
        <v>8</v>
      </c>
      <c r="AX42" s="68">
        <v>192</v>
      </c>
      <c r="AY42" s="8"/>
      <c r="AZ42" s="8"/>
      <c r="BA42" s="4" t="str">
        <f t="shared" si="36"/>
        <v/>
      </c>
      <c r="BB42" s="4">
        <f t="shared" si="37"/>
        <v>-46027</v>
      </c>
    </row>
    <row r="43" spans="1:54" ht="22.15" hidden="1" customHeight="1">
      <c r="A43"/>
      <c r="B43" s="65" t="s">
        <v>51</v>
      </c>
      <c r="C43" s="24" t="s">
        <v>8</v>
      </c>
      <c r="D43" s="25">
        <v>192</v>
      </c>
      <c r="E43" s="27"/>
      <c r="F43" s="27"/>
      <c r="G43" s="66" t="str">
        <f t="shared" si="24"/>
        <v/>
      </c>
      <c r="H43" s="66">
        <f t="shared" si="25"/>
        <v>-46027</v>
      </c>
      <c r="I43" s="67" t="s">
        <v>8</v>
      </c>
      <c r="J43" s="68">
        <v>192</v>
      </c>
      <c r="K43" s="70"/>
      <c r="L43" s="70"/>
      <c r="M43" s="66" t="str">
        <f t="shared" si="26"/>
        <v/>
      </c>
      <c r="N43" s="66">
        <f t="shared" si="27"/>
        <v>-46027</v>
      </c>
      <c r="Q43" s="67" t="s">
        <v>8</v>
      </c>
      <c r="R43" s="68">
        <v>192</v>
      </c>
      <c r="S43" s="70"/>
      <c r="T43" s="70"/>
      <c r="U43" s="66" t="str">
        <f t="shared" si="28"/>
        <v/>
      </c>
      <c r="V43" s="66">
        <f t="shared" si="29"/>
        <v>-46027</v>
      </c>
      <c r="Y43" s="67" t="s">
        <v>8</v>
      </c>
      <c r="Z43" s="68">
        <v>192</v>
      </c>
      <c r="AA43" s="70"/>
      <c r="AB43" s="70"/>
      <c r="AC43" s="66" t="str">
        <f t="shared" si="30"/>
        <v/>
      </c>
      <c r="AD43" s="66">
        <f t="shared" si="31"/>
        <v>-46027</v>
      </c>
      <c r="AG43" s="67" t="s">
        <v>8</v>
      </c>
      <c r="AH43" s="68">
        <v>192</v>
      </c>
      <c r="AI43" s="70"/>
      <c r="AJ43" s="70"/>
      <c r="AK43" s="66" t="str">
        <f t="shared" si="32"/>
        <v/>
      </c>
      <c r="AL43" s="66">
        <f t="shared" si="33"/>
        <v>-46027</v>
      </c>
      <c r="AO43" s="67" t="s">
        <v>8</v>
      </c>
      <c r="AP43" s="68">
        <v>192</v>
      </c>
      <c r="AQ43" s="8"/>
      <c r="AR43" s="8"/>
      <c r="AS43" s="4" t="str">
        <f t="shared" si="34"/>
        <v/>
      </c>
      <c r="AT43" s="4">
        <f t="shared" si="35"/>
        <v>-46027</v>
      </c>
      <c r="AW43" s="67" t="s">
        <v>8</v>
      </c>
      <c r="AX43" s="68">
        <v>192</v>
      </c>
      <c r="AY43" s="8"/>
      <c r="AZ43" s="8"/>
      <c r="BA43" s="4" t="str">
        <f t="shared" si="36"/>
        <v/>
      </c>
      <c r="BB43" s="4">
        <f t="shared" si="37"/>
        <v>-46027</v>
      </c>
    </row>
    <row r="44" spans="1:54" ht="22.15" hidden="1" customHeight="1">
      <c r="A44"/>
      <c r="B44" s="65" t="s">
        <v>52</v>
      </c>
      <c r="C44" s="24" t="s">
        <v>8</v>
      </c>
      <c r="D44" s="25">
        <v>2368</v>
      </c>
      <c r="E44" s="27"/>
      <c r="F44" s="27"/>
      <c r="G44" s="66" t="str">
        <f t="shared" si="24"/>
        <v/>
      </c>
      <c r="H44" s="66">
        <f t="shared" si="25"/>
        <v>-46027</v>
      </c>
      <c r="I44" s="67" t="s">
        <v>8</v>
      </c>
      <c r="J44" s="68">
        <v>2368</v>
      </c>
      <c r="K44" s="70"/>
      <c r="L44" s="70"/>
      <c r="M44" s="66" t="str">
        <f t="shared" si="26"/>
        <v/>
      </c>
      <c r="N44" s="66">
        <f t="shared" si="27"/>
        <v>-46027</v>
      </c>
      <c r="Q44" s="67" t="s">
        <v>8</v>
      </c>
      <c r="R44" s="68">
        <v>2368</v>
      </c>
      <c r="S44" s="70"/>
      <c r="T44" s="70"/>
      <c r="U44" s="66" t="str">
        <f t="shared" si="28"/>
        <v/>
      </c>
      <c r="V44" s="66">
        <f t="shared" si="29"/>
        <v>-46027</v>
      </c>
      <c r="Y44" s="67" t="s">
        <v>8</v>
      </c>
      <c r="Z44" s="68">
        <v>2368</v>
      </c>
      <c r="AA44" s="70"/>
      <c r="AB44" s="70"/>
      <c r="AC44" s="66" t="str">
        <f t="shared" si="30"/>
        <v/>
      </c>
      <c r="AD44" s="66">
        <f t="shared" si="31"/>
        <v>-46027</v>
      </c>
      <c r="AG44" s="67" t="s">
        <v>8</v>
      </c>
      <c r="AH44" s="68">
        <v>2368</v>
      </c>
      <c r="AI44" s="70"/>
      <c r="AJ44" s="70"/>
      <c r="AK44" s="66" t="str">
        <f t="shared" si="32"/>
        <v/>
      </c>
      <c r="AL44" s="66">
        <f t="shared" si="33"/>
        <v>-46027</v>
      </c>
      <c r="AO44" s="67" t="s">
        <v>8</v>
      </c>
      <c r="AP44" s="68">
        <v>2368</v>
      </c>
      <c r="AQ44" s="8"/>
      <c r="AR44" s="8"/>
      <c r="AS44" s="4" t="str">
        <f t="shared" si="34"/>
        <v/>
      </c>
      <c r="AT44" s="4">
        <f t="shared" si="35"/>
        <v>-46027</v>
      </c>
      <c r="AW44" s="67" t="s">
        <v>8</v>
      </c>
      <c r="AX44" s="68">
        <v>2368</v>
      </c>
      <c r="AY44" s="8"/>
      <c r="AZ44" s="8"/>
      <c r="BA44" s="4" t="str">
        <f t="shared" si="36"/>
        <v/>
      </c>
      <c r="BB44" s="4">
        <f t="shared" si="37"/>
        <v>-46027</v>
      </c>
    </row>
    <row r="45" spans="1:54" ht="22.15" hidden="1" customHeight="1">
      <c r="A45"/>
      <c r="B45" s="65" t="s">
        <v>53</v>
      </c>
      <c r="C45" s="24" t="s">
        <v>8</v>
      </c>
      <c r="D45" s="25">
        <v>836</v>
      </c>
      <c r="E45" s="27"/>
      <c r="F45" s="27"/>
      <c r="G45" s="66" t="str">
        <f t="shared" si="24"/>
        <v/>
      </c>
      <c r="H45" s="66">
        <f t="shared" si="25"/>
        <v>-46027</v>
      </c>
      <c r="I45" s="67" t="s">
        <v>8</v>
      </c>
      <c r="J45" s="68">
        <v>836</v>
      </c>
      <c r="K45" s="70"/>
      <c r="L45" s="70"/>
      <c r="M45" s="66" t="str">
        <f t="shared" si="26"/>
        <v/>
      </c>
      <c r="N45" s="66">
        <f t="shared" si="27"/>
        <v>-46027</v>
      </c>
      <c r="Q45" s="67" t="s">
        <v>8</v>
      </c>
      <c r="R45" s="68">
        <v>836</v>
      </c>
      <c r="S45" s="70"/>
      <c r="T45" s="70"/>
      <c r="U45" s="66" t="str">
        <f t="shared" si="28"/>
        <v/>
      </c>
      <c r="V45" s="66">
        <f t="shared" si="29"/>
        <v>-46027</v>
      </c>
      <c r="Y45" s="67" t="s">
        <v>8</v>
      </c>
      <c r="Z45" s="68">
        <v>836</v>
      </c>
      <c r="AA45" s="70"/>
      <c r="AB45" s="70"/>
      <c r="AC45" s="66" t="str">
        <f t="shared" si="30"/>
        <v/>
      </c>
      <c r="AD45" s="66">
        <f t="shared" si="31"/>
        <v>-46027</v>
      </c>
      <c r="AG45" s="67" t="s">
        <v>8</v>
      </c>
      <c r="AH45" s="68">
        <v>836</v>
      </c>
      <c r="AI45" s="70"/>
      <c r="AJ45" s="70"/>
      <c r="AK45" s="66" t="str">
        <f t="shared" si="32"/>
        <v/>
      </c>
      <c r="AL45" s="66">
        <f t="shared" si="33"/>
        <v>-46027</v>
      </c>
      <c r="AO45" s="67" t="s">
        <v>8</v>
      </c>
      <c r="AP45" s="68">
        <v>836</v>
      </c>
      <c r="AQ45" s="8"/>
      <c r="AR45" s="8"/>
      <c r="AS45" s="4" t="str">
        <f t="shared" si="34"/>
        <v/>
      </c>
      <c r="AT45" s="4">
        <f t="shared" si="35"/>
        <v>-46027</v>
      </c>
      <c r="AW45" s="67" t="s">
        <v>8</v>
      </c>
      <c r="AX45" s="68">
        <v>836</v>
      </c>
      <c r="AY45" s="8"/>
      <c r="AZ45" s="8"/>
      <c r="BA45" s="4" t="str">
        <f t="shared" si="36"/>
        <v/>
      </c>
      <c r="BB45" s="4">
        <f t="shared" si="37"/>
        <v>-46027</v>
      </c>
    </row>
    <row r="46" spans="1:54" ht="22.15" hidden="1" customHeight="1">
      <c r="A46"/>
      <c r="B46" s="65" t="s">
        <v>54</v>
      </c>
      <c r="C46" s="24" t="s">
        <v>8</v>
      </c>
      <c r="D46" s="25">
        <v>620</v>
      </c>
      <c r="E46" s="27"/>
      <c r="F46" s="27"/>
      <c r="G46" s="66" t="str">
        <f t="shared" si="24"/>
        <v/>
      </c>
      <c r="H46" s="66">
        <f t="shared" si="25"/>
        <v>-46027</v>
      </c>
      <c r="I46" s="67" t="s">
        <v>8</v>
      </c>
      <c r="J46" s="68">
        <v>620</v>
      </c>
      <c r="K46" s="70"/>
      <c r="L46" s="70"/>
      <c r="M46" s="66" t="str">
        <f t="shared" si="26"/>
        <v/>
      </c>
      <c r="N46" s="66">
        <f t="shared" si="27"/>
        <v>-46027</v>
      </c>
      <c r="Q46" s="67" t="s">
        <v>8</v>
      </c>
      <c r="R46" s="68">
        <v>620</v>
      </c>
      <c r="S46" s="70"/>
      <c r="T46" s="70"/>
      <c r="U46" s="66" t="str">
        <f t="shared" si="28"/>
        <v/>
      </c>
      <c r="V46" s="66">
        <f t="shared" si="29"/>
        <v>-46027</v>
      </c>
      <c r="Y46" s="67" t="s">
        <v>8</v>
      </c>
      <c r="Z46" s="68">
        <v>620</v>
      </c>
      <c r="AA46" s="70"/>
      <c r="AB46" s="70"/>
      <c r="AC46" s="66" t="str">
        <f t="shared" si="30"/>
        <v/>
      </c>
      <c r="AD46" s="66">
        <f t="shared" si="31"/>
        <v>-46027</v>
      </c>
      <c r="AG46" s="67" t="s">
        <v>8</v>
      </c>
      <c r="AH46" s="68">
        <v>620</v>
      </c>
      <c r="AI46" s="70"/>
      <c r="AJ46" s="70"/>
      <c r="AK46" s="66" t="str">
        <f t="shared" si="32"/>
        <v/>
      </c>
      <c r="AL46" s="66">
        <f t="shared" si="33"/>
        <v>-46027</v>
      </c>
      <c r="AO46" s="67" t="s">
        <v>8</v>
      </c>
      <c r="AP46" s="68">
        <v>620</v>
      </c>
      <c r="AQ46" s="8"/>
      <c r="AR46" s="8"/>
      <c r="AS46" s="4" t="str">
        <f t="shared" si="34"/>
        <v/>
      </c>
      <c r="AT46" s="4">
        <f t="shared" si="35"/>
        <v>-46027</v>
      </c>
      <c r="AW46" s="67" t="s">
        <v>8</v>
      </c>
      <c r="AX46" s="68">
        <v>620</v>
      </c>
      <c r="AY46" s="8"/>
      <c r="AZ46" s="8"/>
      <c r="BA46" s="4" t="str">
        <f t="shared" si="36"/>
        <v/>
      </c>
      <c r="BB46" s="4">
        <f t="shared" si="37"/>
        <v>-46027</v>
      </c>
    </row>
    <row r="47" spans="1:54" ht="22.15" hidden="1" customHeight="1">
      <c r="A47"/>
      <c r="B47" s="65" t="s">
        <v>55</v>
      </c>
      <c r="C47" s="24" t="s">
        <v>8</v>
      </c>
      <c r="D47" s="25">
        <v>1484</v>
      </c>
      <c r="E47" s="27"/>
      <c r="F47" s="27"/>
      <c r="G47" s="66" t="str">
        <f t="shared" si="24"/>
        <v/>
      </c>
      <c r="H47" s="66">
        <f t="shared" si="25"/>
        <v>-46027</v>
      </c>
      <c r="I47" s="67" t="s">
        <v>8</v>
      </c>
      <c r="J47" s="68">
        <v>1484</v>
      </c>
      <c r="K47" s="70"/>
      <c r="L47" s="70"/>
      <c r="M47" s="66" t="str">
        <f t="shared" si="26"/>
        <v/>
      </c>
      <c r="N47" s="66">
        <f t="shared" si="27"/>
        <v>-46027</v>
      </c>
      <c r="Q47" s="67" t="s">
        <v>8</v>
      </c>
      <c r="R47" s="68">
        <v>1484</v>
      </c>
      <c r="S47" s="70"/>
      <c r="T47" s="70"/>
      <c r="U47" s="66" t="str">
        <f t="shared" si="28"/>
        <v/>
      </c>
      <c r="V47" s="66">
        <f t="shared" si="29"/>
        <v>-46027</v>
      </c>
      <c r="Y47" s="67" t="s">
        <v>8</v>
      </c>
      <c r="Z47" s="68">
        <v>1484</v>
      </c>
      <c r="AA47" s="70"/>
      <c r="AB47" s="70"/>
      <c r="AC47" s="66" t="str">
        <f t="shared" si="30"/>
        <v/>
      </c>
      <c r="AD47" s="66">
        <f t="shared" si="31"/>
        <v>-46027</v>
      </c>
      <c r="AG47" s="67" t="s">
        <v>8</v>
      </c>
      <c r="AH47" s="68">
        <v>1484</v>
      </c>
      <c r="AI47" s="70"/>
      <c r="AJ47" s="70"/>
      <c r="AK47" s="66" t="str">
        <f t="shared" si="32"/>
        <v/>
      </c>
      <c r="AL47" s="66">
        <f t="shared" si="33"/>
        <v>-46027</v>
      </c>
      <c r="AO47" s="67" t="s">
        <v>8</v>
      </c>
      <c r="AP47" s="68">
        <v>1484</v>
      </c>
      <c r="AQ47" s="8"/>
      <c r="AR47" s="8"/>
      <c r="AS47" s="4" t="str">
        <f t="shared" si="34"/>
        <v/>
      </c>
      <c r="AT47" s="4">
        <f t="shared" si="35"/>
        <v>-46027</v>
      </c>
      <c r="AW47" s="67" t="s">
        <v>8</v>
      </c>
      <c r="AX47" s="68">
        <v>1484</v>
      </c>
      <c r="AY47" s="8"/>
      <c r="AZ47" s="8"/>
      <c r="BA47" s="4" t="str">
        <f t="shared" si="36"/>
        <v/>
      </c>
      <c r="BB47" s="4">
        <f t="shared" si="37"/>
        <v>-46027</v>
      </c>
    </row>
    <row r="48" spans="1:54" ht="22.15" hidden="1" customHeight="1">
      <c r="A48"/>
      <c r="B48" s="65" t="s">
        <v>56</v>
      </c>
      <c r="C48" s="24" t="s">
        <v>8</v>
      </c>
      <c r="D48" s="25">
        <v>644</v>
      </c>
      <c r="E48" s="27"/>
      <c r="F48" s="27"/>
      <c r="G48" s="66" t="str">
        <f t="shared" si="24"/>
        <v/>
      </c>
      <c r="H48" s="66">
        <f t="shared" si="25"/>
        <v>-46027</v>
      </c>
      <c r="I48" s="67" t="s">
        <v>8</v>
      </c>
      <c r="J48" s="68">
        <v>644</v>
      </c>
      <c r="K48" s="70"/>
      <c r="L48" s="70"/>
      <c r="M48" s="66" t="str">
        <f t="shared" si="26"/>
        <v/>
      </c>
      <c r="N48" s="66">
        <f t="shared" si="27"/>
        <v>-46027</v>
      </c>
      <c r="Q48" s="67" t="s">
        <v>8</v>
      </c>
      <c r="R48" s="68">
        <v>644</v>
      </c>
      <c r="S48" s="70"/>
      <c r="T48" s="70"/>
      <c r="U48" s="66" t="str">
        <f t="shared" si="28"/>
        <v/>
      </c>
      <c r="V48" s="66">
        <f t="shared" si="29"/>
        <v>-46027</v>
      </c>
      <c r="Y48" s="67" t="s">
        <v>8</v>
      </c>
      <c r="Z48" s="68">
        <v>644</v>
      </c>
      <c r="AA48" s="70"/>
      <c r="AB48" s="70"/>
      <c r="AC48" s="66" t="str">
        <f t="shared" si="30"/>
        <v/>
      </c>
      <c r="AD48" s="66">
        <f t="shared" si="31"/>
        <v>-46027</v>
      </c>
      <c r="AG48" s="67" t="s">
        <v>8</v>
      </c>
      <c r="AH48" s="68">
        <v>644</v>
      </c>
      <c r="AI48" s="70"/>
      <c r="AJ48" s="70"/>
      <c r="AK48" s="66" t="str">
        <f t="shared" si="32"/>
        <v/>
      </c>
      <c r="AL48" s="66">
        <f t="shared" si="33"/>
        <v>-46027</v>
      </c>
      <c r="AO48" s="67" t="s">
        <v>8</v>
      </c>
      <c r="AP48" s="68">
        <v>644</v>
      </c>
      <c r="AQ48" s="8"/>
      <c r="AR48" s="8"/>
      <c r="AS48" s="4" t="str">
        <f t="shared" si="34"/>
        <v/>
      </c>
      <c r="AT48" s="4">
        <f t="shared" si="35"/>
        <v>-46027</v>
      </c>
      <c r="AW48" s="67" t="s">
        <v>8</v>
      </c>
      <c r="AX48" s="68">
        <v>644</v>
      </c>
      <c r="AY48" s="8"/>
      <c r="AZ48" s="8"/>
      <c r="BA48" s="4" t="str">
        <f t="shared" si="36"/>
        <v/>
      </c>
      <c r="BB48" s="4">
        <f t="shared" si="37"/>
        <v>-46027</v>
      </c>
    </row>
    <row r="49" spans="1:54" ht="22.15" hidden="1" customHeight="1">
      <c r="A49"/>
      <c r="B49" s="65" t="s">
        <v>57</v>
      </c>
      <c r="C49" s="24" t="s">
        <v>8</v>
      </c>
      <c r="D49" s="25">
        <v>716</v>
      </c>
      <c r="E49" s="27"/>
      <c r="F49" s="27"/>
      <c r="G49" s="66" t="str">
        <f t="shared" si="24"/>
        <v/>
      </c>
      <c r="H49" s="66">
        <f t="shared" si="25"/>
        <v>-46027</v>
      </c>
      <c r="I49" s="67" t="s">
        <v>8</v>
      </c>
      <c r="J49" s="68">
        <v>716</v>
      </c>
      <c r="K49" s="70"/>
      <c r="L49" s="70"/>
      <c r="M49" s="66" t="str">
        <f t="shared" si="26"/>
        <v/>
      </c>
      <c r="N49" s="66">
        <f t="shared" si="27"/>
        <v>-46027</v>
      </c>
      <c r="Q49" s="67" t="s">
        <v>8</v>
      </c>
      <c r="R49" s="68">
        <v>716</v>
      </c>
      <c r="S49" s="70"/>
      <c r="T49" s="70"/>
      <c r="U49" s="66" t="str">
        <f t="shared" si="28"/>
        <v/>
      </c>
      <c r="V49" s="66">
        <f t="shared" si="29"/>
        <v>-46027</v>
      </c>
      <c r="Y49" s="67" t="s">
        <v>8</v>
      </c>
      <c r="Z49" s="68">
        <v>716</v>
      </c>
      <c r="AA49" s="70"/>
      <c r="AB49" s="70"/>
      <c r="AC49" s="66" t="str">
        <f t="shared" si="30"/>
        <v/>
      </c>
      <c r="AD49" s="66">
        <f t="shared" si="31"/>
        <v>-46027</v>
      </c>
      <c r="AG49" s="67" t="s">
        <v>8</v>
      </c>
      <c r="AH49" s="68">
        <v>716</v>
      </c>
      <c r="AI49" s="70"/>
      <c r="AJ49" s="70"/>
      <c r="AK49" s="66" t="str">
        <f t="shared" si="32"/>
        <v/>
      </c>
      <c r="AL49" s="66">
        <f t="shared" si="33"/>
        <v>-46027</v>
      </c>
      <c r="AO49" s="67" t="s">
        <v>8</v>
      </c>
      <c r="AP49" s="68">
        <v>716</v>
      </c>
      <c r="AQ49" s="8"/>
      <c r="AR49" s="8"/>
      <c r="AS49" s="4" t="str">
        <f t="shared" si="34"/>
        <v/>
      </c>
      <c r="AT49" s="4">
        <f t="shared" si="35"/>
        <v>-46027</v>
      </c>
      <c r="AW49" s="67" t="s">
        <v>8</v>
      </c>
      <c r="AX49" s="68">
        <v>716</v>
      </c>
      <c r="AY49" s="8"/>
      <c r="AZ49" s="8"/>
      <c r="BA49" s="4" t="str">
        <f t="shared" si="36"/>
        <v/>
      </c>
      <c r="BB49" s="4">
        <f t="shared" si="37"/>
        <v>-46027</v>
      </c>
    </row>
    <row r="50" spans="1:54" ht="22.15" hidden="1" customHeight="1">
      <c r="A50"/>
      <c r="B50" s="65" t="s">
        <v>58</v>
      </c>
      <c r="C50" s="24" t="s">
        <v>8</v>
      </c>
      <c r="D50" s="25">
        <v>500</v>
      </c>
      <c r="E50" s="27"/>
      <c r="F50" s="27"/>
      <c r="G50" s="66" t="str">
        <f t="shared" si="24"/>
        <v/>
      </c>
      <c r="H50" s="66">
        <f t="shared" si="25"/>
        <v>-46027</v>
      </c>
      <c r="I50" s="67" t="s">
        <v>8</v>
      </c>
      <c r="J50" s="68">
        <v>500</v>
      </c>
      <c r="K50" s="70"/>
      <c r="L50" s="70"/>
      <c r="M50" s="66" t="str">
        <f t="shared" si="26"/>
        <v/>
      </c>
      <c r="N50" s="66">
        <f t="shared" si="27"/>
        <v>-46027</v>
      </c>
      <c r="Q50" s="67" t="s">
        <v>8</v>
      </c>
      <c r="R50" s="68">
        <v>500</v>
      </c>
      <c r="S50" s="70"/>
      <c r="T50" s="70"/>
      <c r="U50" s="66" t="str">
        <f t="shared" si="28"/>
        <v/>
      </c>
      <c r="V50" s="66">
        <f t="shared" si="29"/>
        <v>-46027</v>
      </c>
      <c r="Y50" s="67" t="s">
        <v>8</v>
      </c>
      <c r="Z50" s="68">
        <v>500</v>
      </c>
      <c r="AA50" s="70"/>
      <c r="AB50" s="70"/>
      <c r="AC50" s="66" t="str">
        <f t="shared" si="30"/>
        <v/>
      </c>
      <c r="AD50" s="66">
        <f t="shared" si="31"/>
        <v>-46027</v>
      </c>
      <c r="AG50" s="67" t="s">
        <v>8</v>
      </c>
      <c r="AH50" s="68">
        <v>500</v>
      </c>
      <c r="AI50" s="70"/>
      <c r="AJ50" s="70"/>
      <c r="AK50" s="66" t="str">
        <f t="shared" si="32"/>
        <v/>
      </c>
      <c r="AL50" s="66">
        <f t="shared" si="33"/>
        <v>-46027</v>
      </c>
      <c r="AO50" s="67" t="s">
        <v>8</v>
      </c>
      <c r="AP50" s="68">
        <v>500</v>
      </c>
      <c r="AQ50" s="8"/>
      <c r="AR50" s="8"/>
      <c r="AS50" s="4" t="str">
        <f t="shared" si="34"/>
        <v/>
      </c>
      <c r="AT50" s="4">
        <f t="shared" si="35"/>
        <v>-46027</v>
      </c>
      <c r="AW50" s="67" t="s">
        <v>8</v>
      </c>
      <c r="AX50" s="68">
        <v>500</v>
      </c>
      <c r="AY50" s="8"/>
      <c r="AZ50" s="8"/>
      <c r="BA50" s="4" t="str">
        <f t="shared" si="36"/>
        <v/>
      </c>
      <c r="BB50" s="4">
        <f t="shared" si="37"/>
        <v>-46027</v>
      </c>
    </row>
    <row r="51" spans="1:54" ht="22.15" hidden="1" customHeight="1">
      <c r="A51"/>
      <c r="B51" s="65" t="s">
        <v>59</v>
      </c>
      <c r="C51" s="24" t="s">
        <v>8</v>
      </c>
      <c r="D51" s="25">
        <v>956</v>
      </c>
      <c r="E51" s="27"/>
      <c r="F51" s="27"/>
      <c r="G51" s="66" t="str">
        <f t="shared" si="24"/>
        <v/>
      </c>
      <c r="H51" s="66">
        <f t="shared" si="25"/>
        <v>-46027</v>
      </c>
      <c r="I51" s="67" t="s">
        <v>8</v>
      </c>
      <c r="J51" s="68">
        <v>956</v>
      </c>
      <c r="K51" s="70"/>
      <c r="L51" s="70"/>
      <c r="M51" s="66" t="str">
        <f t="shared" si="26"/>
        <v/>
      </c>
      <c r="N51" s="66">
        <f t="shared" si="27"/>
        <v>-46027</v>
      </c>
      <c r="Q51" s="67" t="s">
        <v>8</v>
      </c>
      <c r="R51" s="68">
        <v>956</v>
      </c>
      <c r="S51" s="70"/>
      <c r="T51" s="70"/>
      <c r="U51" s="66" t="str">
        <f t="shared" si="28"/>
        <v/>
      </c>
      <c r="V51" s="66">
        <f t="shared" si="29"/>
        <v>-46027</v>
      </c>
      <c r="Y51" s="67" t="s">
        <v>8</v>
      </c>
      <c r="Z51" s="68">
        <v>956</v>
      </c>
      <c r="AA51" s="70"/>
      <c r="AB51" s="70"/>
      <c r="AC51" s="66" t="str">
        <f t="shared" si="30"/>
        <v/>
      </c>
      <c r="AD51" s="66">
        <f t="shared" si="31"/>
        <v>-46027</v>
      </c>
      <c r="AG51" s="67" t="s">
        <v>8</v>
      </c>
      <c r="AH51" s="68">
        <v>956</v>
      </c>
      <c r="AI51" s="70"/>
      <c r="AJ51" s="70"/>
      <c r="AK51" s="66" t="str">
        <f t="shared" si="32"/>
        <v/>
      </c>
      <c r="AL51" s="66">
        <f t="shared" si="33"/>
        <v>-46027</v>
      </c>
      <c r="AO51" s="67" t="s">
        <v>8</v>
      </c>
      <c r="AP51" s="68">
        <v>956</v>
      </c>
      <c r="AQ51" s="8"/>
      <c r="AR51" s="8"/>
      <c r="AS51" s="4" t="str">
        <f t="shared" si="34"/>
        <v/>
      </c>
      <c r="AT51" s="4">
        <f t="shared" si="35"/>
        <v>-46027</v>
      </c>
      <c r="AW51" s="67" t="s">
        <v>8</v>
      </c>
      <c r="AX51" s="68">
        <v>956</v>
      </c>
      <c r="AY51" s="8"/>
      <c r="AZ51" s="8"/>
      <c r="BA51" s="4" t="str">
        <f t="shared" si="36"/>
        <v/>
      </c>
      <c r="BB51" s="4">
        <f t="shared" si="37"/>
        <v>-46027</v>
      </c>
    </row>
    <row r="52" spans="1:54" ht="22.15" hidden="1" customHeight="1">
      <c r="A52"/>
      <c r="B52" s="65" t="s">
        <v>60</v>
      </c>
      <c r="C52" s="24" t="s">
        <v>8</v>
      </c>
      <c r="D52" s="25">
        <v>2012</v>
      </c>
      <c r="E52" s="27"/>
      <c r="F52" s="27"/>
      <c r="G52" s="66" t="str">
        <f t="shared" si="24"/>
        <v/>
      </c>
      <c r="H52" s="66">
        <f t="shared" si="25"/>
        <v>-46027</v>
      </c>
      <c r="I52" s="67" t="s">
        <v>8</v>
      </c>
      <c r="J52" s="68">
        <v>2012</v>
      </c>
      <c r="K52" s="70"/>
      <c r="L52" s="70"/>
      <c r="M52" s="66" t="str">
        <f t="shared" si="26"/>
        <v/>
      </c>
      <c r="N52" s="66">
        <f t="shared" si="27"/>
        <v>-46027</v>
      </c>
      <c r="Q52" s="67" t="s">
        <v>8</v>
      </c>
      <c r="R52" s="68">
        <v>2012</v>
      </c>
      <c r="S52" s="70"/>
      <c r="T52" s="70"/>
      <c r="U52" s="66" t="str">
        <f t="shared" si="28"/>
        <v/>
      </c>
      <c r="V52" s="66">
        <f t="shared" si="29"/>
        <v>-46027</v>
      </c>
      <c r="Y52" s="67" t="s">
        <v>8</v>
      </c>
      <c r="Z52" s="68">
        <v>2012</v>
      </c>
      <c r="AA52" s="70"/>
      <c r="AB52" s="70"/>
      <c r="AC52" s="66" t="str">
        <f t="shared" si="30"/>
        <v/>
      </c>
      <c r="AD52" s="66">
        <f t="shared" si="31"/>
        <v>-46027</v>
      </c>
      <c r="AG52" s="67" t="s">
        <v>8</v>
      </c>
      <c r="AH52" s="68">
        <v>2012</v>
      </c>
      <c r="AI52" s="70"/>
      <c r="AJ52" s="70"/>
      <c r="AK52" s="66" t="str">
        <f t="shared" si="32"/>
        <v/>
      </c>
      <c r="AL52" s="66">
        <f t="shared" si="33"/>
        <v>-46027</v>
      </c>
      <c r="AO52" s="67" t="s">
        <v>8</v>
      </c>
      <c r="AP52" s="68">
        <v>2012</v>
      </c>
      <c r="AQ52" s="8"/>
      <c r="AR52" s="8"/>
      <c r="AS52" s="4" t="str">
        <f t="shared" si="34"/>
        <v/>
      </c>
      <c r="AT52" s="4">
        <f t="shared" si="35"/>
        <v>-46027</v>
      </c>
      <c r="AW52" s="67" t="s">
        <v>8</v>
      </c>
      <c r="AX52" s="68">
        <v>2012</v>
      </c>
      <c r="AY52" s="8"/>
      <c r="AZ52" s="8"/>
      <c r="BA52" s="4" t="str">
        <f t="shared" si="36"/>
        <v/>
      </c>
      <c r="BB52" s="4">
        <f t="shared" si="37"/>
        <v>-46027</v>
      </c>
    </row>
    <row r="53" spans="1:54" ht="22.15" hidden="1" customHeight="1">
      <c r="A53"/>
      <c r="B53" s="65" t="s">
        <v>61</v>
      </c>
      <c r="C53" s="24" t="s">
        <v>8</v>
      </c>
      <c r="D53" s="25">
        <v>740</v>
      </c>
      <c r="E53" s="27"/>
      <c r="F53" s="27"/>
      <c r="G53" s="66" t="str">
        <f t="shared" si="24"/>
        <v/>
      </c>
      <c r="H53" s="66">
        <f t="shared" si="25"/>
        <v>-46027</v>
      </c>
      <c r="I53" s="67" t="s">
        <v>8</v>
      </c>
      <c r="J53" s="68">
        <v>740</v>
      </c>
      <c r="K53" s="70"/>
      <c r="L53" s="70"/>
      <c r="M53" s="66" t="str">
        <f t="shared" si="26"/>
        <v/>
      </c>
      <c r="N53" s="66">
        <f t="shared" si="27"/>
        <v>-46027</v>
      </c>
      <c r="Q53" s="67" t="s">
        <v>8</v>
      </c>
      <c r="R53" s="68">
        <v>740</v>
      </c>
      <c r="S53" s="70"/>
      <c r="T53" s="70"/>
      <c r="U53" s="66" t="str">
        <f t="shared" si="28"/>
        <v/>
      </c>
      <c r="V53" s="66">
        <f t="shared" si="29"/>
        <v>-46027</v>
      </c>
      <c r="Y53" s="67" t="s">
        <v>8</v>
      </c>
      <c r="Z53" s="68">
        <v>740</v>
      </c>
      <c r="AA53" s="70"/>
      <c r="AB53" s="70"/>
      <c r="AC53" s="66" t="str">
        <f t="shared" si="30"/>
        <v/>
      </c>
      <c r="AD53" s="66">
        <f t="shared" si="31"/>
        <v>-46027</v>
      </c>
      <c r="AG53" s="67" t="s">
        <v>8</v>
      </c>
      <c r="AH53" s="68">
        <v>740</v>
      </c>
      <c r="AI53" s="70"/>
      <c r="AJ53" s="70"/>
      <c r="AK53" s="66" t="str">
        <f t="shared" si="32"/>
        <v/>
      </c>
      <c r="AL53" s="66">
        <f t="shared" si="33"/>
        <v>-46027</v>
      </c>
      <c r="AO53" s="67" t="s">
        <v>8</v>
      </c>
      <c r="AP53" s="68">
        <v>740</v>
      </c>
      <c r="AQ53" s="8"/>
      <c r="AR53" s="8"/>
      <c r="AS53" s="4" t="str">
        <f t="shared" si="34"/>
        <v/>
      </c>
      <c r="AT53" s="4">
        <f t="shared" si="35"/>
        <v>-46027</v>
      </c>
      <c r="AW53" s="67" t="s">
        <v>8</v>
      </c>
      <c r="AX53" s="68">
        <v>740</v>
      </c>
      <c r="AY53" s="8"/>
      <c r="AZ53" s="8"/>
      <c r="BA53" s="4" t="str">
        <f t="shared" si="36"/>
        <v/>
      </c>
      <c r="BB53" s="4">
        <f t="shared" si="37"/>
        <v>-46027</v>
      </c>
    </row>
    <row r="54" spans="1:54" ht="22.15" hidden="1" customHeight="1">
      <c r="A54"/>
      <c r="B54" s="65" t="s">
        <v>62</v>
      </c>
      <c r="C54" s="24" t="s">
        <v>8</v>
      </c>
      <c r="D54" s="25">
        <v>92</v>
      </c>
      <c r="E54" s="27"/>
      <c r="F54" s="27"/>
      <c r="G54" s="66" t="str">
        <f t="shared" si="24"/>
        <v/>
      </c>
      <c r="H54" s="66">
        <f t="shared" si="25"/>
        <v>-46027</v>
      </c>
      <c r="I54" s="67" t="s">
        <v>8</v>
      </c>
      <c r="J54" s="68">
        <v>92</v>
      </c>
      <c r="K54" s="70"/>
      <c r="L54" s="70"/>
      <c r="M54" s="66" t="str">
        <f t="shared" si="26"/>
        <v/>
      </c>
      <c r="N54" s="66">
        <f t="shared" si="27"/>
        <v>-46027</v>
      </c>
      <c r="Q54" s="67" t="s">
        <v>8</v>
      </c>
      <c r="R54" s="68">
        <v>92</v>
      </c>
      <c r="S54" s="70"/>
      <c r="T54" s="70"/>
      <c r="U54" s="66" t="str">
        <f t="shared" si="28"/>
        <v/>
      </c>
      <c r="V54" s="66">
        <f t="shared" si="29"/>
        <v>-46027</v>
      </c>
      <c r="Y54" s="67" t="s">
        <v>8</v>
      </c>
      <c r="Z54" s="68">
        <v>92</v>
      </c>
      <c r="AA54" s="70"/>
      <c r="AB54" s="70"/>
      <c r="AC54" s="66" t="str">
        <f t="shared" si="30"/>
        <v/>
      </c>
      <c r="AD54" s="66">
        <f t="shared" si="31"/>
        <v>-46027</v>
      </c>
      <c r="AG54" s="67" t="s">
        <v>8</v>
      </c>
      <c r="AH54" s="68">
        <v>92</v>
      </c>
      <c r="AI54" s="70"/>
      <c r="AJ54" s="70"/>
      <c r="AK54" s="66" t="str">
        <f t="shared" si="32"/>
        <v/>
      </c>
      <c r="AL54" s="66">
        <f t="shared" si="33"/>
        <v>-46027</v>
      </c>
      <c r="AO54" s="67" t="s">
        <v>8</v>
      </c>
      <c r="AP54" s="68">
        <v>92</v>
      </c>
      <c r="AQ54" s="8"/>
      <c r="AR54" s="8"/>
      <c r="AS54" s="4" t="str">
        <f t="shared" si="34"/>
        <v/>
      </c>
      <c r="AT54" s="4">
        <f t="shared" si="35"/>
        <v>-46027</v>
      </c>
      <c r="AW54" s="67" t="s">
        <v>8</v>
      </c>
      <c r="AX54" s="68">
        <v>92</v>
      </c>
      <c r="AY54" s="8"/>
      <c r="AZ54" s="8"/>
      <c r="BA54" s="4" t="str">
        <f t="shared" si="36"/>
        <v/>
      </c>
      <c r="BB54" s="4">
        <f t="shared" si="37"/>
        <v>-46027</v>
      </c>
    </row>
    <row r="55" spans="1:54" ht="22.15" hidden="1" customHeight="1">
      <c r="A55"/>
      <c r="B55" s="65" t="s">
        <v>63</v>
      </c>
      <c r="C55" s="24" t="s">
        <v>8</v>
      </c>
      <c r="D55" s="25">
        <v>636</v>
      </c>
      <c r="E55" s="27"/>
      <c r="F55" s="27"/>
      <c r="G55" s="66" t="str">
        <f t="shared" si="24"/>
        <v/>
      </c>
      <c r="H55" s="66">
        <f t="shared" si="25"/>
        <v>-46027</v>
      </c>
      <c r="I55" s="67" t="s">
        <v>8</v>
      </c>
      <c r="J55" s="68">
        <v>636</v>
      </c>
      <c r="K55" s="70"/>
      <c r="L55" s="70"/>
      <c r="M55" s="66" t="str">
        <f t="shared" si="26"/>
        <v/>
      </c>
      <c r="N55" s="66">
        <f t="shared" si="27"/>
        <v>-46027</v>
      </c>
      <c r="Q55" s="67" t="s">
        <v>8</v>
      </c>
      <c r="R55" s="68">
        <v>636</v>
      </c>
      <c r="S55" s="70"/>
      <c r="T55" s="70"/>
      <c r="U55" s="66" t="str">
        <f t="shared" si="28"/>
        <v/>
      </c>
      <c r="V55" s="66">
        <f t="shared" si="29"/>
        <v>-46027</v>
      </c>
      <c r="Y55" s="67" t="s">
        <v>8</v>
      </c>
      <c r="Z55" s="68">
        <v>636</v>
      </c>
      <c r="AA55" s="70"/>
      <c r="AB55" s="70"/>
      <c r="AC55" s="66" t="str">
        <f t="shared" si="30"/>
        <v/>
      </c>
      <c r="AD55" s="66">
        <f t="shared" si="31"/>
        <v>-46027</v>
      </c>
      <c r="AG55" s="67" t="s">
        <v>8</v>
      </c>
      <c r="AH55" s="68">
        <v>636</v>
      </c>
      <c r="AI55" s="70"/>
      <c r="AJ55" s="70"/>
      <c r="AK55" s="66" t="str">
        <f t="shared" si="32"/>
        <v/>
      </c>
      <c r="AL55" s="66">
        <f t="shared" si="33"/>
        <v>-46027</v>
      </c>
      <c r="AO55" s="67" t="s">
        <v>8</v>
      </c>
      <c r="AP55" s="68">
        <v>636</v>
      </c>
      <c r="AQ55" s="8"/>
      <c r="AR55" s="8"/>
      <c r="AS55" s="4" t="str">
        <f t="shared" si="34"/>
        <v/>
      </c>
      <c r="AT55" s="4">
        <f t="shared" si="35"/>
        <v>-46027</v>
      </c>
      <c r="AW55" s="67" t="s">
        <v>8</v>
      </c>
      <c r="AX55" s="68">
        <v>636</v>
      </c>
      <c r="AY55" s="8"/>
      <c r="AZ55" s="8"/>
      <c r="BA55" s="4" t="str">
        <f t="shared" si="36"/>
        <v/>
      </c>
      <c r="BB55" s="4">
        <f t="shared" si="37"/>
        <v>-46027</v>
      </c>
    </row>
    <row r="56" spans="1:54" ht="22.15" hidden="1" customHeight="1">
      <c r="A56"/>
      <c r="B56" s="65" t="s">
        <v>64</v>
      </c>
      <c r="C56" s="24" t="s">
        <v>8</v>
      </c>
      <c r="D56" s="25">
        <v>636</v>
      </c>
      <c r="E56" s="27"/>
      <c r="F56" s="27"/>
      <c r="G56" s="66" t="str">
        <f t="shared" si="24"/>
        <v/>
      </c>
      <c r="H56" s="66">
        <f t="shared" si="25"/>
        <v>-46027</v>
      </c>
      <c r="I56" s="67" t="s">
        <v>8</v>
      </c>
      <c r="J56" s="68">
        <v>636</v>
      </c>
      <c r="K56" s="70"/>
      <c r="L56" s="70"/>
      <c r="M56" s="66" t="str">
        <f t="shared" si="26"/>
        <v/>
      </c>
      <c r="N56" s="66">
        <f t="shared" si="27"/>
        <v>-46027</v>
      </c>
      <c r="Q56" s="67" t="s">
        <v>8</v>
      </c>
      <c r="R56" s="68">
        <v>636</v>
      </c>
      <c r="S56" s="70"/>
      <c r="T56" s="70"/>
      <c r="U56" s="66" t="str">
        <f t="shared" si="28"/>
        <v/>
      </c>
      <c r="V56" s="66">
        <f t="shared" si="29"/>
        <v>-46027</v>
      </c>
      <c r="Y56" s="67" t="s">
        <v>8</v>
      </c>
      <c r="Z56" s="68">
        <v>636</v>
      </c>
      <c r="AA56" s="70"/>
      <c r="AB56" s="70"/>
      <c r="AC56" s="66" t="str">
        <f t="shared" si="30"/>
        <v/>
      </c>
      <c r="AD56" s="66">
        <f t="shared" si="31"/>
        <v>-46027</v>
      </c>
      <c r="AG56" s="67" t="s">
        <v>8</v>
      </c>
      <c r="AH56" s="68">
        <v>636</v>
      </c>
      <c r="AI56" s="70"/>
      <c r="AJ56" s="70"/>
      <c r="AK56" s="66" t="str">
        <f t="shared" si="32"/>
        <v/>
      </c>
      <c r="AL56" s="66">
        <f t="shared" si="33"/>
        <v>-46027</v>
      </c>
      <c r="AO56" s="67" t="s">
        <v>8</v>
      </c>
      <c r="AP56" s="68">
        <v>636</v>
      </c>
      <c r="AQ56" s="8"/>
      <c r="AR56" s="8"/>
      <c r="AS56" s="4" t="str">
        <f t="shared" si="34"/>
        <v/>
      </c>
      <c r="AT56" s="4">
        <f t="shared" si="35"/>
        <v>-46027</v>
      </c>
      <c r="AW56" s="67" t="s">
        <v>8</v>
      </c>
      <c r="AX56" s="68">
        <v>636</v>
      </c>
      <c r="AY56" s="8"/>
      <c r="AZ56" s="8"/>
      <c r="BA56" s="4" t="str">
        <f t="shared" si="36"/>
        <v/>
      </c>
      <c r="BB56" s="4">
        <f t="shared" si="37"/>
        <v>-46027</v>
      </c>
    </row>
    <row r="57" spans="1:54" ht="22.15" hidden="1" customHeight="1">
      <c r="A57"/>
      <c r="B57" s="65" t="s">
        <v>65</v>
      </c>
      <c r="C57" s="24" t="s">
        <v>8</v>
      </c>
      <c r="D57" s="25">
        <v>620</v>
      </c>
      <c r="E57" s="27"/>
      <c r="F57" s="27"/>
      <c r="G57" s="66" t="str">
        <f t="shared" si="24"/>
        <v/>
      </c>
      <c r="H57" s="66">
        <f t="shared" si="25"/>
        <v>-46027</v>
      </c>
      <c r="I57" s="67" t="s">
        <v>8</v>
      </c>
      <c r="J57" s="68">
        <v>620</v>
      </c>
      <c r="K57" s="70"/>
      <c r="L57" s="70"/>
      <c r="M57" s="66" t="str">
        <f t="shared" si="26"/>
        <v/>
      </c>
      <c r="N57" s="66">
        <f t="shared" si="27"/>
        <v>-46027</v>
      </c>
      <c r="Q57" s="67" t="s">
        <v>8</v>
      </c>
      <c r="R57" s="68">
        <v>620</v>
      </c>
      <c r="S57" s="70"/>
      <c r="T57" s="70"/>
      <c r="U57" s="66" t="str">
        <f t="shared" si="28"/>
        <v/>
      </c>
      <c r="V57" s="66">
        <f t="shared" si="29"/>
        <v>-46027</v>
      </c>
      <c r="Y57" s="67" t="s">
        <v>8</v>
      </c>
      <c r="Z57" s="68">
        <v>620</v>
      </c>
      <c r="AA57" s="70"/>
      <c r="AB57" s="70"/>
      <c r="AC57" s="66" t="str">
        <f t="shared" si="30"/>
        <v/>
      </c>
      <c r="AD57" s="66">
        <f t="shared" si="31"/>
        <v>-46027</v>
      </c>
      <c r="AG57" s="67" t="s">
        <v>8</v>
      </c>
      <c r="AH57" s="68">
        <v>620</v>
      </c>
      <c r="AI57" s="70"/>
      <c r="AJ57" s="70"/>
      <c r="AK57" s="66" t="str">
        <f t="shared" si="32"/>
        <v/>
      </c>
      <c r="AL57" s="66">
        <f t="shared" si="33"/>
        <v>-46027</v>
      </c>
      <c r="AO57" s="67" t="s">
        <v>8</v>
      </c>
      <c r="AP57" s="68">
        <v>620</v>
      </c>
      <c r="AQ57" s="8"/>
      <c r="AR57" s="8"/>
      <c r="AS57" s="4" t="str">
        <f t="shared" si="34"/>
        <v/>
      </c>
      <c r="AT57" s="4">
        <f t="shared" si="35"/>
        <v>-46027</v>
      </c>
      <c r="AW57" s="67" t="s">
        <v>8</v>
      </c>
      <c r="AX57" s="68">
        <v>620</v>
      </c>
      <c r="AY57" s="8"/>
      <c r="AZ57" s="8"/>
      <c r="BA57" s="4" t="str">
        <f t="shared" si="36"/>
        <v/>
      </c>
      <c r="BB57" s="4">
        <f t="shared" si="37"/>
        <v>-46027</v>
      </c>
    </row>
    <row r="58" spans="1:54" ht="22.15" hidden="1" customHeight="1">
      <c r="A58"/>
      <c r="B58" s="65" t="s">
        <v>66</v>
      </c>
      <c r="C58" s="24" t="s">
        <v>8</v>
      </c>
      <c r="D58" s="25">
        <v>636</v>
      </c>
      <c r="E58" s="27"/>
      <c r="F58" s="27"/>
      <c r="G58" s="66" t="str">
        <f t="shared" si="24"/>
        <v/>
      </c>
      <c r="H58" s="66">
        <f t="shared" si="25"/>
        <v>-46027</v>
      </c>
      <c r="I58" s="67" t="s">
        <v>8</v>
      </c>
      <c r="J58" s="68">
        <v>636</v>
      </c>
      <c r="K58" s="70"/>
      <c r="L58" s="70"/>
      <c r="M58" s="66" t="str">
        <f t="shared" si="26"/>
        <v/>
      </c>
      <c r="N58" s="66">
        <f t="shared" si="27"/>
        <v>-46027</v>
      </c>
      <c r="Q58" s="67" t="s">
        <v>8</v>
      </c>
      <c r="R58" s="68">
        <v>636</v>
      </c>
      <c r="S58" s="70"/>
      <c r="T58" s="70"/>
      <c r="U58" s="66" t="str">
        <f t="shared" si="28"/>
        <v/>
      </c>
      <c r="V58" s="66">
        <f t="shared" si="29"/>
        <v>-46027</v>
      </c>
      <c r="Y58" s="67" t="s">
        <v>8</v>
      </c>
      <c r="Z58" s="68">
        <v>636</v>
      </c>
      <c r="AA58" s="70"/>
      <c r="AB58" s="70"/>
      <c r="AC58" s="66" t="str">
        <f t="shared" si="30"/>
        <v/>
      </c>
      <c r="AD58" s="66">
        <f t="shared" si="31"/>
        <v>-46027</v>
      </c>
      <c r="AG58" s="67" t="s">
        <v>8</v>
      </c>
      <c r="AH58" s="68">
        <v>636</v>
      </c>
      <c r="AI58" s="70"/>
      <c r="AJ58" s="70"/>
      <c r="AK58" s="66" t="str">
        <f t="shared" si="32"/>
        <v/>
      </c>
      <c r="AL58" s="66">
        <f t="shared" si="33"/>
        <v>-46027</v>
      </c>
      <c r="AO58" s="67" t="s">
        <v>8</v>
      </c>
      <c r="AP58" s="68">
        <v>636</v>
      </c>
      <c r="AQ58" s="8"/>
      <c r="AR58" s="8"/>
      <c r="AS58" s="4" t="str">
        <f t="shared" si="34"/>
        <v/>
      </c>
      <c r="AT58" s="4">
        <f t="shared" si="35"/>
        <v>-46027</v>
      </c>
      <c r="AW58" s="67" t="s">
        <v>8</v>
      </c>
      <c r="AX58" s="68">
        <v>636</v>
      </c>
      <c r="AY58" s="8"/>
      <c r="AZ58" s="8"/>
      <c r="BA58" s="4" t="str">
        <f t="shared" si="36"/>
        <v/>
      </c>
      <c r="BB58" s="4">
        <f t="shared" si="37"/>
        <v>-46027</v>
      </c>
    </row>
    <row r="59" spans="1:54" ht="22.15" hidden="1" customHeight="1">
      <c r="A59"/>
      <c r="B59" s="65" t="s">
        <v>67</v>
      </c>
      <c r="C59" s="24" t="s">
        <v>8</v>
      </c>
      <c r="D59" s="25">
        <v>3844</v>
      </c>
      <c r="E59" s="27"/>
      <c r="F59" s="27"/>
      <c r="G59" s="66" t="str">
        <f t="shared" si="24"/>
        <v/>
      </c>
      <c r="H59" s="66">
        <f t="shared" si="25"/>
        <v>-46027</v>
      </c>
      <c r="I59" s="67" t="s">
        <v>8</v>
      </c>
      <c r="J59" s="68">
        <v>3844</v>
      </c>
      <c r="K59" s="70"/>
      <c r="L59" s="70"/>
      <c r="M59" s="66" t="str">
        <f t="shared" si="26"/>
        <v/>
      </c>
      <c r="N59" s="66">
        <f t="shared" si="27"/>
        <v>-46027</v>
      </c>
      <c r="Q59" s="67" t="s">
        <v>8</v>
      </c>
      <c r="R59" s="68">
        <v>3844</v>
      </c>
      <c r="S59" s="70"/>
      <c r="T59" s="70"/>
      <c r="U59" s="66" t="str">
        <f t="shared" si="28"/>
        <v/>
      </c>
      <c r="V59" s="66">
        <f t="shared" si="29"/>
        <v>-46027</v>
      </c>
      <c r="Y59" s="67" t="s">
        <v>8</v>
      </c>
      <c r="Z59" s="68">
        <v>3844</v>
      </c>
      <c r="AA59" s="70"/>
      <c r="AB59" s="70"/>
      <c r="AC59" s="66" t="str">
        <f t="shared" si="30"/>
        <v/>
      </c>
      <c r="AD59" s="66">
        <f t="shared" si="31"/>
        <v>-46027</v>
      </c>
      <c r="AG59" s="67" t="s">
        <v>8</v>
      </c>
      <c r="AH59" s="68">
        <v>3844</v>
      </c>
      <c r="AI59" s="70"/>
      <c r="AJ59" s="70"/>
      <c r="AK59" s="66" t="str">
        <f t="shared" si="32"/>
        <v/>
      </c>
      <c r="AL59" s="66">
        <f t="shared" si="33"/>
        <v>-46027</v>
      </c>
      <c r="AO59" s="67" t="s">
        <v>8</v>
      </c>
      <c r="AP59" s="68">
        <v>3844</v>
      </c>
      <c r="AQ59" s="8"/>
      <c r="AR59" s="8"/>
      <c r="AS59" s="4" t="str">
        <f t="shared" si="34"/>
        <v/>
      </c>
      <c r="AT59" s="4">
        <f t="shared" si="35"/>
        <v>-46027</v>
      </c>
      <c r="AW59" s="67" t="s">
        <v>8</v>
      </c>
      <c r="AX59" s="68">
        <v>3844</v>
      </c>
      <c r="AY59" s="8"/>
      <c r="AZ59" s="8"/>
      <c r="BA59" s="4" t="str">
        <f t="shared" si="36"/>
        <v/>
      </c>
      <c r="BB59" s="4">
        <f t="shared" si="37"/>
        <v>-46027</v>
      </c>
    </row>
    <row r="60" spans="1:54" ht="22.15" hidden="1" customHeight="1">
      <c r="A60"/>
      <c r="B60" s="65" t="s">
        <v>68</v>
      </c>
      <c r="C60" s="24" t="s">
        <v>8</v>
      </c>
      <c r="D60" s="25">
        <v>3244</v>
      </c>
      <c r="E60" s="27"/>
      <c r="F60" s="27"/>
      <c r="G60" s="66" t="str">
        <f t="shared" si="24"/>
        <v/>
      </c>
      <c r="H60" s="66">
        <f t="shared" si="25"/>
        <v>-46027</v>
      </c>
      <c r="I60" s="67" t="s">
        <v>8</v>
      </c>
      <c r="J60" s="68">
        <v>3244</v>
      </c>
      <c r="K60" s="70"/>
      <c r="L60" s="70"/>
      <c r="M60" s="66" t="str">
        <f t="shared" si="26"/>
        <v/>
      </c>
      <c r="N60" s="66">
        <f t="shared" si="27"/>
        <v>-46027</v>
      </c>
      <c r="Q60" s="67" t="s">
        <v>8</v>
      </c>
      <c r="R60" s="68">
        <v>3244</v>
      </c>
      <c r="S60" s="70"/>
      <c r="T60" s="70"/>
      <c r="U60" s="66" t="str">
        <f t="shared" si="28"/>
        <v/>
      </c>
      <c r="V60" s="66">
        <f t="shared" si="29"/>
        <v>-46027</v>
      </c>
      <c r="Y60" s="67" t="s">
        <v>8</v>
      </c>
      <c r="Z60" s="68">
        <v>3244</v>
      </c>
      <c r="AA60" s="70"/>
      <c r="AB60" s="70"/>
      <c r="AC60" s="66" t="str">
        <f t="shared" si="30"/>
        <v/>
      </c>
      <c r="AD60" s="66">
        <f t="shared" si="31"/>
        <v>-46027</v>
      </c>
      <c r="AG60" s="67" t="s">
        <v>8</v>
      </c>
      <c r="AH60" s="68">
        <v>3244</v>
      </c>
      <c r="AI60" s="70"/>
      <c r="AJ60" s="70"/>
      <c r="AK60" s="66" t="str">
        <f t="shared" si="32"/>
        <v/>
      </c>
      <c r="AL60" s="66">
        <f t="shared" si="33"/>
        <v>-46027</v>
      </c>
      <c r="AO60" s="67" t="s">
        <v>8</v>
      </c>
      <c r="AP60" s="68">
        <v>3244</v>
      </c>
      <c r="AQ60" s="8"/>
      <c r="AR60" s="8"/>
      <c r="AS60" s="4" t="str">
        <f t="shared" si="34"/>
        <v/>
      </c>
      <c r="AT60" s="4">
        <f t="shared" si="35"/>
        <v>-46027</v>
      </c>
      <c r="AW60" s="67" t="s">
        <v>8</v>
      </c>
      <c r="AX60" s="68">
        <v>3244</v>
      </c>
      <c r="AY60" s="8"/>
      <c r="AZ60" s="8"/>
      <c r="BA60" s="4" t="str">
        <f t="shared" si="36"/>
        <v/>
      </c>
      <c r="BB60" s="4">
        <f t="shared" si="37"/>
        <v>-46027</v>
      </c>
    </row>
    <row r="61" spans="1:54" ht="22.15" hidden="1" customHeight="1">
      <c r="A61"/>
      <c r="B61" s="65" t="s">
        <v>69</v>
      </c>
      <c r="C61" s="24" t="s">
        <v>8</v>
      </c>
      <c r="D61" s="25">
        <v>3244</v>
      </c>
      <c r="E61" s="27"/>
      <c r="F61" s="27"/>
      <c r="G61" s="66" t="str">
        <f t="shared" si="24"/>
        <v/>
      </c>
      <c r="H61" s="66">
        <f t="shared" si="25"/>
        <v>-46027</v>
      </c>
      <c r="I61" s="67" t="s">
        <v>8</v>
      </c>
      <c r="J61" s="68">
        <v>3244</v>
      </c>
      <c r="K61" s="70"/>
      <c r="L61" s="70"/>
      <c r="M61" s="66" t="str">
        <f t="shared" si="26"/>
        <v/>
      </c>
      <c r="N61" s="66">
        <f t="shared" si="27"/>
        <v>-46027</v>
      </c>
      <c r="Q61" s="67" t="s">
        <v>8</v>
      </c>
      <c r="R61" s="68">
        <v>3244</v>
      </c>
      <c r="S61" s="70"/>
      <c r="T61" s="70"/>
      <c r="U61" s="66" t="str">
        <f t="shared" si="28"/>
        <v/>
      </c>
      <c r="V61" s="66">
        <f t="shared" si="29"/>
        <v>-46027</v>
      </c>
      <c r="Y61" s="67" t="s">
        <v>8</v>
      </c>
      <c r="Z61" s="68">
        <v>3244</v>
      </c>
      <c r="AA61" s="70"/>
      <c r="AB61" s="70"/>
      <c r="AC61" s="66" t="str">
        <f t="shared" si="30"/>
        <v/>
      </c>
      <c r="AD61" s="66">
        <f t="shared" si="31"/>
        <v>-46027</v>
      </c>
      <c r="AG61" s="67" t="s">
        <v>8</v>
      </c>
      <c r="AH61" s="68">
        <v>3244</v>
      </c>
      <c r="AI61" s="70"/>
      <c r="AJ61" s="70"/>
      <c r="AK61" s="66" t="str">
        <f t="shared" si="32"/>
        <v/>
      </c>
      <c r="AL61" s="66">
        <f t="shared" si="33"/>
        <v>-46027</v>
      </c>
      <c r="AO61" s="67" t="s">
        <v>8</v>
      </c>
      <c r="AP61" s="68">
        <v>3244</v>
      </c>
      <c r="AQ61" s="8"/>
      <c r="AR61" s="8"/>
      <c r="AS61" s="4" t="str">
        <f t="shared" si="34"/>
        <v/>
      </c>
      <c r="AT61" s="4">
        <f t="shared" si="35"/>
        <v>-46027</v>
      </c>
      <c r="AW61" s="67" t="s">
        <v>8</v>
      </c>
      <c r="AX61" s="68">
        <v>3244</v>
      </c>
      <c r="AY61" s="8"/>
      <c r="AZ61" s="8"/>
      <c r="BA61" s="4" t="str">
        <f t="shared" si="36"/>
        <v/>
      </c>
      <c r="BB61" s="4">
        <f t="shared" si="37"/>
        <v>-46027</v>
      </c>
    </row>
    <row r="62" spans="1:54" ht="22.15" hidden="1" customHeight="1">
      <c r="A62"/>
      <c r="B62" s="65" t="s">
        <v>70</v>
      </c>
      <c r="C62" s="24" t="s">
        <v>8</v>
      </c>
      <c r="D62" s="25">
        <v>3268</v>
      </c>
      <c r="E62" s="27"/>
      <c r="F62" s="27"/>
      <c r="G62" s="66" t="str">
        <f t="shared" si="24"/>
        <v/>
      </c>
      <c r="H62" s="66">
        <f t="shared" si="25"/>
        <v>-46027</v>
      </c>
      <c r="I62" s="67" t="s">
        <v>8</v>
      </c>
      <c r="J62" s="68">
        <v>3268</v>
      </c>
      <c r="K62" s="70"/>
      <c r="L62" s="70"/>
      <c r="M62" s="66" t="str">
        <f t="shared" si="26"/>
        <v/>
      </c>
      <c r="N62" s="66">
        <f t="shared" si="27"/>
        <v>-46027</v>
      </c>
      <c r="Q62" s="67" t="s">
        <v>8</v>
      </c>
      <c r="R62" s="68">
        <v>3268</v>
      </c>
      <c r="S62" s="70"/>
      <c r="T62" s="70"/>
      <c r="U62" s="66" t="str">
        <f t="shared" si="28"/>
        <v/>
      </c>
      <c r="V62" s="66">
        <f t="shared" si="29"/>
        <v>-46027</v>
      </c>
      <c r="Y62" s="67" t="s">
        <v>8</v>
      </c>
      <c r="Z62" s="68">
        <v>3268</v>
      </c>
      <c r="AA62" s="70"/>
      <c r="AB62" s="70"/>
      <c r="AC62" s="66" t="str">
        <f t="shared" si="30"/>
        <v/>
      </c>
      <c r="AD62" s="66">
        <f t="shared" si="31"/>
        <v>-46027</v>
      </c>
      <c r="AG62" s="67" t="s">
        <v>8</v>
      </c>
      <c r="AH62" s="68">
        <v>3268</v>
      </c>
      <c r="AI62" s="70"/>
      <c r="AJ62" s="70"/>
      <c r="AK62" s="66" t="str">
        <f t="shared" si="32"/>
        <v/>
      </c>
      <c r="AL62" s="66">
        <f t="shared" si="33"/>
        <v>-46027</v>
      </c>
      <c r="AO62" s="67" t="s">
        <v>8</v>
      </c>
      <c r="AP62" s="68">
        <v>3268</v>
      </c>
      <c r="AQ62" s="8"/>
      <c r="AR62" s="8"/>
      <c r="AS62" s="4" t="str">
        <f t="shared" si="34"/>
        <v/>
      </c>
      <c r="AT62" s="4">
        <f t="shared" si="35"/>
        <v>-46027</v>
      </c>
      <c r="AW62" s="67" t="s">
        <v>8</v>
      </c>
      <c r="AX62" s="68">
        <v>3268</v>
      </c>
      <c r="AY62" s="8"/>
      <c r="AZ62" s="8"/>
      <c r="BA62" s="4" t="str">
        <f t="shared" si="36"/>
        <v/>
      </c>
      <c r="BB62" s="4">
        <f t="shared" si="37"/>
        <v>-46027</v>
      </c>
    </row>
    <row r="63" spans="1:54" ht="22.15" hidden="1" customHeight="1">
      <c r="A63"/>
      <c r="B63" s="65" t="s">
        <v>71</v>
      </c>
      <c r="C63" s="24" t="s">
        <v>8</v>
      </c>
      <c r="D63" s="25">
        <v>1608</v>
      </c>
      <c r="E63" s="27"/>
      <c r="F63" s="27"/>
      <c r="G63" s="66" t="str">
        <f t="shared" si="24"/>
        <v/>
      </c>
      <c r="H63" s="66">
        <f t="shared" si="25"/>
        <v>-46027</v>
      </c>
      <c r="I63" s="67" t="s">
        <v>8</v>
      </c>
      <c r="J63" s="68">
        <v>1608</v>
      </c>
      <c r="K63" s="70"/>
      <c r="L63" s="70"/>
      <c r="M63" s="66" t="str">
        <f t="shared" si="26"/>
        <v/>
      </c>
      <c r="N63" s="66">
        <f t="shared" si="27"/>
        <v>-46027</v>
      </c>
      <c r="Q63" s="67" t="s">
        <v>8</v>
      </c>
      <c r="R63" s="68">
        <v>1608</v>
      </c>
      <c r="S63" s="70"/>
      <c r="T63" s="70"/>
      <c r="U63" s="66" t="str">
        <f t="shared" si="28"/>
        <v/>
      </c>
      <c r="V63" s="66">
        <f t="shared" si="29"/>
        <v>-46027</v>
      </c>
      <c r="Y63" s="67" t="s">
        <v>8</v>
      </c>
      <c r="Z63" s="68">
        <v>1608</v>
      </c>
      <c r="AA63" s="70"/>
      <c r="AB63" s="70"/>
      <c r="AC63" s="66" t="str">
        <f t="shared" si="30"/>
        <v/>
      </c>
      <c r="AD63" s="66">
        <f t="shared" si="31"/>
        <v>-46027</v>
      </c>
      <c r="AG63" s="67" t="s">
        <v>8</v>
      </c>
      <c r="AH63" s="68">
        <v>1608</v>
      </c>
      <c r="AI63" s="70"/>
      <c r="AJ63" s="70"/>
      <c r="AK63" s="66" t="str">
        <f t="shared" si="32"/>
        <v/>
      </c>
      <c r="AL63" s="66">
        <f t="shared" si="33"/>
        <v>-46027</v>
      </c>
      <c r="AO63" s="67" t="s">
        <v>8</v>
      </c>
      <c r="AP63" s="68">
        <v>1608</v>
      </c>
      <c r="AQ63" s="8"/>
      <c r="AR63" s="8"/>
      <c r="AS63" s="4" t="str">
        <f t="shared" si="34"/>
        <v/>
      </c>
      <c r="AT63" s="4">
        <f t="shared" si="35"/>
        <v>-46027</v>
      </c>
      <c r="AW63" s="67" t="s">
        <v>8</v>
      </c>
      <c r="AX63" s="68">
        <v>1608</v>
      </c>
      <c r="AY63" s="8"/>
      <c r="AZ63" s="8"/>
      <c r="BA63" s="4" t="str">
        <f t="shared" si="36"/>
        <v/>
      </c>
      <c r="BB63" s="4">
        <f t="shared" si="37"/>
        <v>-46027</v>
      </c>
    </row>
    <row r="64" spans="1:54" ht="22.15" hidden="1" customHeight="1">
      <c r="A64"/>
      <c r="B64" s="65" t="s">
        <v>72</v>
      </c>
      <c r="C64" s="24" t="s">
        <v>8</v>
      </c>
      <c r="D64" s="25">
        <v>1284</v>
      </c>
      <c r="E64" s="27"/>
      <c r="F64" s="27"/>
      <c r="G64" s="66" t="str">
        <f t="shared" si="24"/>
        <v/>
      </c>
      <c r="H64" s="66">
        <f t="shared" si="25"/>
        <v>-46027</v>
      </c>
      <c r="I64" s="67" t="s">
        <v>8</v>
      </c>
      <c r="J64" s="68">
        <v>1284</v>
      </c>
      <c r="K64" s="70"/>
      <c r="L64" s="70"/>
      <c r="M64" s="66" t="str">
        <f t="shared" si="26"/>
        <v/>
      </c>
      <c r="N64" s="66">
        <f t="shared" si="27"/>
        <v>-46027</v>
      </c>
      <c r="Q64" s="67" t="s">
        <v>8</v>
      </c>
      <c r="R64" s="68">
        <v>1284</v>
      </c>
      <c r="S64" s="70"/>
      <c r="T64" s="70"/>
      <c r="U64" s="66" t="str">
        <f t="shared" si="28"/>
        <v/>
      </c>
      <c r="V64" s="66">
        <f t="shared" si="29"/>
        <v>-46027</v>
      </c>
      <c r="Y64" s="67" t="s">
        <v>8</v>
      </c>
      <c r="Z64" s="68">
        <v>1284</v>
      </c>
      <c r="AA64" s="70"/>
      <c r="AB64" s="70"/>
      <c r="AC64" s="66" t="str">
        <f t="shared" si="30"/>
        <v/>
      </c>
      <c r="AD64" s="66">
        <f t="shared" si="31"/>
        <v>-46027</v>
      </c>
      <c r="AG64" s="67" t="s">
        <v>8</v>
      </c>
      <c r="AH64" s="68">
        <v>1284</v>
      </c>
      <c r="AI64" s="70"/>
      <c r="AJ64" s="70"/>
      <c r="AK64" s="66" t="str">
        <f t="shared" si="32"/>
        <v/>
      </c>
      <c r="AL64" s="66">
        <f t="shared" si="33"/>
        <v>-46027</v>
      </c>
      <c r="AO64" s="67" t="s">
        <v>8</v>
      </c>
      <c r="AP64" s="68">
        <v>1284</v>
      </c>
      <c r="AQ64" s="8"/>
      <c r="AR64" s="8"/>
      <c r="AS64" s="4" t="str">
        <f t="shared" si="34"/>
        <v/>
      </c>
      <c r="AT64" s="4">
        <f t="shared" si="35"/>
        <v>-46027</v>
      </c>
      <c r="AW64" s="67" t="s">
        <v>8</v>
      </c>
      <c r="AX64" s="68">
        <v>1284</v>
      </c>
      <c r="AY64" s="8"/>
      <c r="AZ64" s="8"/>
      <c r="BA64" s="4" t="str">
        <f t="shared" si="36"/>
        <v/>
      </c>
      <c r="BB64" s="4">
        <f t="shared" si="37"/>
        <v>-46027</v>
      </c>
    </row>
    <row r="65" spans="1:56" ht="22.15" hidden="1" customHeight="1">
      <c r="A65"/>
      <c r="B65" s="65" t="s">
        <v>73</v>
      </c>
      <c r="C65" s="24" t="s">
        <v>8</v>
      </c>
      <c r="D65" s="25">
        <v>1266</v>
      </c>
      <c r="E65" s="27"/>
      <c r="F65" s="27"/>
      <c r="G65" s="66" t="str">
        <f t="shared" si="24"/>
        <v/>
      </c>
      <c r="H65" s="66">
        <f t="shared" si="25"/>
        <v>-46027</v>
      </c>
      <c r="I65" s="67" t="s">
        <v>8</v>
      </c>
      <c r="J65" s="68">
        <v>1266</v>
      </c>
      <c r="K65" s="70"/>
      <c r="L65" s="70"/>
      <c r="M65" s="66" t="str">
        <f t="shared" si="26"/>
        <v/>
      </c>
      <c r="N65" s="66">
        <f t="shared" si="27"/>
        <v>-46027</v>
      </c>
      <c r="Q65" s="67" t="s">
        <v>8</v>
      </c>
      <c r="R65" s="68">
        <v>1266</v>
      </c>
      <c r="S65" s="70"/>
      <c r="T65" s="70"/>
      <c r="U65" s="66" t="str">
        <f t="shared" si="28"/>
        <v/>
      </c>
      <c r="V65" s="66">
        <f t="shared" si="29"/>
        <v>-46027</v>
      </c>
      <c r="Y65" s="67" t="s">
        <v>8</v>
      </c>
      <c r="Z65" s="68">
        <v>1266</v>
      </c>
      <c r="AA65" s="70"/>
      <c r="AB65" s="70"/>
      <c r="AC65" s="66" t="str">
        <f t="shared" si="30"/>
        <v/>
      </c>
      <c r="AD65" s="66">
        <f t="shared" si="31"/>
        <v>-46027</v>
      </c>
      <c r="AG65" s="67" t="s">
        <v>8</v>
      </c>
      <c r="AH65" s="68">
        <v>1266</v>
      </c>
      <c r="AI65" s="70"/>
      <c r="AJ65" s="70"/>
      <c r="AK65" s="66" t="str">
        <f t="shared" si="32"/>
        <v/>
      </c>
      <c r="AL65" s="66">
        <f t="shared" si="33"/>
        <v>-46027</v>
      </c>
      <c r="AO65" s="67" t="s">
        <v>8</v>
      </c>
      <c r="AP65" s="68">
        <v>1266</v>
      </c>
      <c r="AQ65" s="8"/>
      <c r="AR65" s="8"/>
      <c r="AS65" s="4" t="str">
        <f t="shared" si="34"/>
        <v/>
      </c>
      <c r="AT65" s="4">
        <f t="shared" si="35"/>
        <v>-46027</v>
      </c>
      <c r="AW65" s="67" t="s">
        <v>8</v>
      </c>
      <c r="AX65" s="68">
        <v>1266</v>
      </c>
      <c r="AY65" s="8"/>
      <c r="AZ65" s="8"/>
      <c r="BA65" s="4" t="str">
        <f t="shared" si="36"/>
        <v/>
      </c>
      <c r="BB65" s="4">
        <f t="shared" si="37"/>
        <v>-46027</v>
      </c>
    </row>
    <row r="66" spans="1:56" ht="22.15" hidden="1" customHeight="1">
      <c r="A66"/>
      <c r="B66" s="65" t="s">
        <v>74</v>
      </c>
      <c r="C66" s="24" t="s">
        <v>8</v>
      </c>
      <c r="D66" s="25">
        <v>1278</v>
      </c>
      <c r="E66" s="27"/>
      <c r="F66" s="27"/>
      <c r="G66" s="66" t="str">
        <f t="shared" si="24"/>
        <v/>
      </c>
      <c r="H66" s="66">
        <f t="shared" si="25"/>
        <v>-46027</v>
      </c>
      <c r="I66" s="67" t="s">
        <v>8</v>
      </c>
      <c r="J66" s="68">
        <v>1278</v>
      </c>
      <c r="K66" s="70"/>
      <c r="L66" s="70"/>
      <c r="M66" s="66" t="str">
        <f t="shared" si="26"/>
        <v/>
      </c>
      <c r="N66" s="66">
        <f t="shared" si="27"/>
        <v>-46027</v>
      </c>
      <c r="Q66" s="67" t="s">
        <v>8</v>
      </c>
      <c r="R66" s="68">
        <v>1278</v>
      </c>
      <c r="S66" s="70"/>
      <c r="T66" s="70"/>
      <c r="U66" s="66" t="str">
        <f t="shared" si="28"/>
        <v/>
      </c>
      <c r="V66" s="66">
        <f t="shared" si="29"/>
        <v>-46027</v>
      </c>
      <c r="Y66" s="67" t="s">
        <v>8</v>
      </c>
      <c r="Z66" s="68">
        <v>1278</v>
      </c>
      <c r="AA66" s="70"/>
      <c r="AB66" s="70"/>
      <c r="AC66" s="66" t="str">
        <f t="shared" si="30"/>
        <v/>
      </c>
      <c r="AD66" s="66">
        <f t="shared" si="31"/>
        <v>-46027</v>
      </c>
      <c r="AG66" s="67" t="s">
        <v>8</v>
      </c>
      <c r="AH66" s="68">
        <v>1278</v>
      </c>
      <c r="AI66" s="70"/>
      <c r="AJ66" s="70"/>
      <c r="AK66" s="66" t="str">
        <f t="shared" si="32"/>
        <v/>
      </c>
      <c r="AL66" s="66">
        <f t="shared" si="33"/>
        <v>-46027</v>
      </c>
      <c r="AO66" s="67" t="s">
        <v>8</v>
      </c>
      <c r="AP66" s="68">
        <v>1278</v>
      </c>
      <c r="AQ66" s="8"/>
      <c r="AR66" s="8"/>
      <c r="AS66" s="4" t="str">
        <f t="shared" si="34"/>
        <v/>
      </c>
      <c r="AT66" s="4">
        <f t="shared" si="35"/>
        <v>-46027</v>
      </c>
      <c r="AW66" s="67" t="s">
        <v>8</v>
      </c>
      <c r="AX66" s="68">
        <v>1278</v>
      </c>
      <c r="AY66" s="8"/>
      <c r="AZ66" s="8"/>
      <c r="BA66" s="4" t="str">
        <f t="shared" si="36"/>
        <v/>
      </c>
      <c r="BB66" s="4">
        <f t="shared" si="37"/>
        <v>-46027</v>
      </c>
    </row>
    <row r="67" spans="1:56" ht="22.15" hidden="1" customHeight="1">
      <c r="A67"/>
      <c r="B67" s="65" t="s">
        <v>75</v>
      </c>
      <c r="C67" s="24" t="s">
        <v>8</v>
      </c>
      <c r="D67" s="25">
        <v>300</v>
      </c>
      <c r="E67" s="27"/>
      <c r="F67" s="27"/>
      <c r="G67" s="66" t="str">
        <f t="shared" si="24"/>
        <v/>
      </c>
      <c r="H67" s="66">
        <f t="shared" si="25"/>
        <v>-46027</v>
      </c>
      <c r="I67" s="67" t="s">
        <v>8</v>
      </c>
      <c r="J67" s="68">
        <v>300</v>
      </c>
      <c r="K67" s="70"/>
      <c r="L67" s="70"/>
      <c r="M67" s="66" t="str">
        <f t="shared" si="26"/>
        <v/>
      </c>
      <c r="N67" s="66">
        <f t="shared" si="27"/>
        <v>-46027</v>
      </c>
      <c r="Q67" s="67" t="s">
        <v>8</v>
      </c>
      <c r="R67" s="68">
        <v>300</v>
      </c>
      <c r="S67" s="70"/>
      <c r="T67" s="70"/>
      <c r="U67" s="66" t="str">
        <f t="shared" si="28"/>
        <v/>
      </c>
      <c r="V67" s="66">
        <f t="shared" si="29"/>
        <v>-46027</v>
      </c>
      <c r="Y67" s="67" t="s">
        <v>8</v>
      </c>
      <c r="Z67" s="68">
        <v>300</v>
      </c>
      <c r="AA67" s="70"/>
      <c r="AB67" s="70"/>
      <c r="AC67" s="66" t="str">
        <f t="shared" si="30"/>
        <v/>
      </c>
      <c r="AD67" s="66">
        <f t="shared" si="31"/>
        <v>-46027</v>
      </c>
      <c r="AG67" s="67" t="s">
        <v>8</v>
      </c>
      <c r="AH67" s="68">
        <v>300</v>
      </c>
      <c r="AI67" s="70"/>
      <c r="AJ67" s="70"/>
      <c r="AK67" s="66" t="str">
        <f t="shared" si="32"/>
        <v/>
      </c>
      <c r="AL67" s="66">
        <f t="shared" si="33"/>
        <v>-46027</v>
      </c>
      <c r="AO67" s="67" t="s">
        <v>8</v>
      </c>
      <c r="AP67" s="68">
        <v>300</v>
      </c>
      <c r="AQ67" s="8"/>
      <c r="AR67" s="8"/>
      <c r="AS67" s="4" t="str">
        <f t="shared" si="34"/>
        <v/>
      </c>
      <c r="AT67" s="4">
        <f t="shared" si="35"/>
        <v>-46027</v>
      </c>
      <c r="AW67" s="67" t="s">
        <v>8</v>
      </c>
      <c r="AX67" s="68">
        <v>300</v>
      </c>
      <c r="AY67" s="8"/>
      <c r="AZ67" s="8"/>
      <c r="BA67" s="4" t="str">
        <f t="shared" si="36"/>
        <v/>
      </c>
      <c r="BB67" s="4">
        <f t="shared" si="37"/>
        <v>-46027</v>
      </c>
    </row>
    <row r="68" spans="1:56" ht="22.15" hidden="1" customHeight="1">
      <c r="A68"/>
      <c r="B68" s="65" t="s">
        <v>76</v>
      </c>
      <c r="C68" s="24" t="s">
        <v>8</v>
      </c>
      <c r="D68" s="25">
        <v>306</v>
      </c>
      <c r="E68" s="27"/>
      <c r="F68" s="27"/>
      <c r="G68" s="66" t="str">
        <f t="shared" si="24"/>
        <v/>
      </c>
      <c r="H68" s="66">
        <f t="shared" si="25"/>
        <v>-46027</v>
      </c>
      <c r="I68" s="67" t="s">
        <v>8</v>
      </c>
      <c r="J68" s="68">
        <v>306</v>
      </c>
      <c r="K68" s="70"/>
      <c r="L68" s="70"/>
      <c r="M68" s="66" t="str">
        <f t="shared" si="26"/>
        <v/>
      </c>
      <c r="N68" s="66">
        <f t="shared" si="27"/>
        <v>-46027</v>
      </c>
      <c r="Q68" s="67" t="s">
        <v>8</v>
      </c>
      <c r="R68" s="68">
        <v>306</v>
      </c>
      <c r="S68" s="70"/>
      <c r="T68" s="70"/>
      <c r="U68" s="66" t="str">
        <f t="shared" si="28"/>
        <v/>
      </c>
      <c r="V68" s="66">
        <f t="shared" si="29"/>
        <v>-46027</v>
      </c>
      <c r="Y68" s="67" t="s">
        <v>8</v>
      </c>
      <c r="Z68" s="68">
        <v>306</v>
      </c>
      <c r="AA68" s="70"/>
      <c r="AB68" s="70"/>
      <c r="AC68" s="66" t="str">
        <f t="shared" si="30"/>
        <v/>
      </c>
      <c r="AD68" s="66">
        <f t="shared" si="31"/>
        <v>-46027</v>
      </c>
      <c r="AG68" s="67" t="s">
        <v>8</v>
      </c>
      <c r="AH68" s="68">
        <v>306</v>
      </c>
      <c r="AI68" s="70"/>
      <c r="AJ68" s="70"/>
      <c r="AK68" s="66" t="str">
        <f t="shared" si="32"/>
        <v/>
      </c>
      <c r="AL68" s="66">
        <f t="shared" si="33"/>
        <v>-46027</v>
      </c>
      <c r="AO68" s="67" t="s">
        <v>8</v>
      </c>
      <c r="AP68" s="68">
        <v>306</v>
      </c>
      <c r="AQ68" s="8"/>
      <c r="AR68" s="8"/>
      <c r="AS68" s="4" t="str">
        <f t="shared" si="34"/>
        <v/>
      </c>
      <c r="AT68" s="4">
        <f t="shared" si="35"/>
        <v>-46027</v>
      </c>
      <c r="AW68" s="67" t="s">
        <v>8</v>
      </c>
      <c r="AX68" s="68">
        <v>306</v>
      </c>
      <c r="AY68" s="8"/>
      <c r="AZ68" s="8"/>
      <c r="BA68" s="4" t="str">
        <f t="shared" si="36"/>
        <v/>
      </c>
      <c r="BB68" s="4">
        <f t="shared" si="37"/>
        <v>-46027</v>
      </c>
    </row>
    <row r="69" spans="1:56" ht="22.15" hidden="1" customHeight="1">
      <c r="A69"/>
      <c r="B69" s="65" t="s">
        <v>77</v>
      </c>
      <c r="C69" s="24" t="s">
        <v>8</v>
      </c>
      <c r="D69" s="25">
        <v>1296</v>
      </c>
      <c r="E69" s="27"/>
      <c r="F69" s="27"/>
      <c r="G69" s="66" t="str">
        <f t="shared" si="24"/>
        <v/>
      </c>
      <c r="H69" s="66">
        <f t="shared" si="25"/>
        <v>-46027</v>
      </c>
      <c r="I69" s="67" t="s">
        <v>8</v>
      </c>
      <c r="J69" s="68">
        <v>1296</v>
      </c>
      <c r="K69" s="70"/>
      <c r="L69" s="70"/>
      <c r="M69" s="66" t="str">
        <f t="shared" si="26"/>
        <v/>
      </c>
      <c r="N69" s="66">
        <f t="shared" si="27"/>
        <v>-46027</v>
      </c>
      <c r="Q69" s="67" t="s">
        <v>8</v>
      </c>
      <c r="R69" s="68">
        <v>1296</v>
      </c>
      <c r="S69" s="70"/>
      <c r="T69" s="70"/>
      <c r="U69" s="66" t="str">
        <f t="shared" si="28"/>
        <v/>
      </c>
      <c r="V69" s="66">
        <f t="shared" si="29"/>
        <v>-46027</v>
      </c>
      <c r="Y69" s="67" t="s">
        <v>8</v>
      </c>
      <c r="Z69" s="68">
        <v>1296</v>
      </c>
      <c r="AA69" s="70"/>
      <c r="AB69" s="70"/>
      <c r="AC69" s="66" t="str">
        <f t="shared" si="30"/>
        <v/>
      </c>
      <c r="AD69" s="66">
        <f t="shared" si="31"/>
        <v>-46027</v>
      </c>
      <c r="AG69" s="67" t="s">
        <v>8</v>
      </c>
      <c r="AH69" s="68">
        <v>1296</v>
      </c>
      <c r="AI69" s="70"/>
      <c r="AJ69" s="70"/>
      <c r="AK69" s="66" t="str">
        <f t="shared" si="32"/>
        <v/>
      </c>
      <c r="AL69" s="66">
        <f t="shared" si="33"/>
        <v>-46027</v>
      </c>
      <c r="AO69" s="67" t="s">
        <v>8</v>
      </c>
      <c r="AP69" s="68">
        <v>1296</v>
      </c>
      <c r="AQ69" s="8"/>
      <c r="AR69" s="8"/>
      <c r="AS69" s="4" t="str">
        <f t="shared" si="34"/>
        <v/>
      </c>
      <c r="AT69" s="4">
        <f t="shared" si="35"/>
        <v>-46027</v>
      </c>
      <c r="AW69" s="67" t="s">
        <v>8</v>
      </c>
      <c r="AX69" s="68">
        <v>1296</v>
      </c>
      <c r="AY69" s="8"/>
      <c r="AZ69" s="8"/>
      <c r="BA69" s="4" t="str">
        <f t="shared" si="36"/>
        <v/>
      </c>
      <c r="BB69" s="4">
        <f t="shared" si="37"/>
        <v>-46027</v>
      </c>
    </row>
    <row r="70" spans="1:56" ht="22.15" hidden="1" customHeight="1">
      <c r="A70"/>
      <c r="B70" s="65" t="s">
        <v>78</v>
      </c>
      <c r="C70" s="24" t="s">
        <v>8</v>
      </c>
      <c r="D70" s="25">
        <v>414</v>
      </c>
      <c r="E70" s="27"/>
      <c r="F70" s="27"/>
      <c r="G70" s="66" t="str">
        <f t="shared" si="24"/>
        <v/>
      </c>
      <c r="H70" s="66">
        <f t="shared" si="25"/>
        <v>-46027</v>
      </c>
      <c r="I70" s="67" t="s">
        <v>8</v>
      </c>
      <c r="J70" s="68">
        <v>414</v>
      </c>
      <c r="K70" s="70"/>
      <c r="L70" s="70"/>
      <c r="M70" s="66" t="str">
        <f t="shared" si="26"/>
        <v/>
      </c>
      <c r="N70" s="66">
        <f t="shared" si="27"/>
        <v>-46027</v>
      </c>
      <c r="Q70" s="67" t="s">
        <v>8</v>
      </c>
      <c r="R70" s="68">
        <v>414</v>
      </c>
      <c r="S70" s="70"/>
      <c r="T70" s="70"/>
      <c r="U70" s="66" t="str">
        <f t="shared" si="28"/>
        <v/>
      </c>
      <c r="V70" s="66">
        <f t="shared" si="29"/>
        <v>-46027</v>
      </c>
      <c r="Y70" s="67" t="s">
        <v>8</v>
      </c>
      <c r="Z70" s="68">
        <v>414</v>
      </c>
      <c r="AA70" s="70"/>
      <c r="AB70" s="70"/>
      <c r="AC70" s="66" t="str">
        <f t="shared" si="30"/>
        <v/>
      </c>
      <c r="AD70" s="66">
        <f t="shared" si="31"/>
        <v>-46027</v>
      </c>
      <c r="AG70" s="67" t="s">
        <v>8</v>
      </c>
      <c r="AH70" s="68">
        <v>414</v>
      </c>
      <c r="AI70" s="70"/>
      <c r="AJ70" s="70"/>
      <c r="AK70" s="66" t="str">
        <f t="shared" si="32"/>
        <v/>
      </c>
      <c r="AL70" s="66">
        <f t="shared" si="33"/>
        <v>-46027</v>
      </c>
      <c r="AO70" s="67" t="s">
        <v>8</v>
      </c>
      <c r="AP70" s="68">
        <v>414</v>
      </c>
      <c r="AQ70" s="8"/>
      <c r="AR70" s="8"/>
      <c r="AS70" s="4" t="str">
        <f t="shared" si="34"/>
        <v/>
      </c>
      <c r="AT70" s="4">
        <f t="shared" si="35"/>
        <v>-46027</v>
      </c>
      <c r="AW70" s="67" t="s">
        <v>8</v>
      </c>
      <c r="AX70" s="68">
        <v>414</v>
      </c>
      <c r="AY70" s="8"/>
      <c r="AZ70" s="8"/>
      <c r="BA70" s="4" t="str">
        <f t="shared" si="36"/>
        <v/>
      </c>
      <c r="BB70" s="4">
        <f t="shared" si="37"/>
        <v>-46027</v>
      </c>
    </row>
    <row r="71" spans="1:56" ht="22.15" customHeight="1">
      <c r="A71"/>
      <c r="B71" s="72" t="s">
        <v>79</v>
      </c>
      <c r="C71" s="24" t="s">
        <v>15</v>
      </c>
      <c r="D71" s="28">
        <v>5</v>
      </c>
      <c r="E71" s="29">
        <v>45997</v>
      </c>
      <c r="F71" s="27">
        <v>46036</v>
      </c>
      <c r="G71" s="66">
        <f t="shared" si="24"/>
        <v>23.076923076923077</v>
      </c>
      <c r="H71" s="66">
        <f t="shared" si="25"/>
        <v>9</v>
      </c>
      <c r="I71" s="67" t="s">
        <v>15</v>
      </c>
      <c r="J71" s="73">
        <v>0</v>
      </c>
      <c r="K71" s="74"/>
      <c r="L71" s="70">
        <v>46036</v>
      </c>
      <c r="M71" s="66">
        <f t="shared" si="26"/>
        <v>1.9549917455904075E-2</v>
      </c>
      <c r="N71" s="66">
        <f t="shared" si="27"/>
        <v>9</v>
      </c>
      <c r="O71" s="75">
        <f>D71-J71</f>
        <v>5</v>
      </c>
      <c r="P71" s="64"/>
      <c r="Q71" s="67" t="s">
        <v>15</v>
      </c>
      <c r="R71" s="73">
        <v>0</v>
      </c>
      <c r="S71" s="74"/>
      <c r="T71" s="70"/>
      <c r="U71" s="66" t="str">
        <f t="shared" si="28"/>
        <v/>
      </c>
      <c r="V71" s="66">
        <f t="shared" si="29"/>
        <v>-46027</v>
      </c>
      <c r="W71" s="75">
        <f>D71-R71</f>
        <v>5</v>
      </c>
      <c r="X71" s="64"/>
      <c r="Y71" s="67" t="s">
        <v>15</v>
      </c>
      <c r="Z71" s="73">
        <v>0</v>
      </c>
      <c r="AA71" s="74"/>
      <c r="AB71" s="70"/>
      <c r="AC71" s="66" t="str">
        <f t="shared" si="30"/>
        <v/>
      </c>
      <c r="AD71" s="66">
        <f t="shared" si="31"/>
        <v>-46027</v>
      </c>
      <c r="AE71" s="75">
        <f>D71-Z71</f>
        <v>5</v>
      </c>
      <c r="AF71" s="64"/>
      <c r="AG71" s="67" t="s">
        <v>15</v>
      </c>
      <c r="AH71" s="73">
        <v>0</v>
      </c>
      <c r="AI71" s="74"/>
      <c r="AJ71" s="70"/>
      <c r="AK71" s="66" t="str">
        <f t="shared" si="32"/>
        <v/>
      </c>
      <c r="AL71" s="66">
        <f t="shared" si="33"/>
        <v>-46027</v>
      </c>
      <c r="AM71" s="76"/>
      <c r="AN71" s="64"/>
      <c r="AO71" s="67" t="s">
        <v>15</v>
      </c>
      <c r="AP71" s="73">
        <v>0</v>
      </c>
      <c r="AQ71" s="9"/>
      <c r="AR71" s="8"/>
      <c r="AS71" s="4" t="str">
        <f t="shared" si="34"/>
        <v/>
      </c>
      <c r="AT71" s="4">
        <f t="shared" si="35"/>
        <v>-46027</v>
      </c>
      <c r="AU71" s="46"/>
      <c r="AV71" s="19"/>
      <c r="AW71" s="67" t="s">
        <v>15</v>
      </c>
      <c r="AX71" s="73">
        <v>0</v>
      </c>
      <c r="AY71" s="9"/>
      <c r="AZ71" s="8"/>
      <c r="BA71" s="4" t="str">
        <f t="shared" si="36"/>
        <v/>
      </c>
      <c r="BB71" s="4">
        <f t="shared" si="37"/>
        <v>-46027</v>
      </c>
      <c r="BC71" s="46"/>
      <c r="BD71" s="19"/>
    </row>
    <row r="72" spans="1:56" ht="22.15" hidden="1" customHeight="1">
      <c r="A72"/>
      <c r="B72" s="77"/>
      <c r="C72" s="24"/>
      <c r="D72" s="28"/>
      <c r="E72" s="27"/>
      <c r="F72" s="27">
        <v>46035</v>
      </c>
      <c r="G72" s="66">
        <f t="shared" si="24"/>
        <v>1.7378081894210924E-2</v>
      </c>
      <c r="H72" s="66">
        <f t="shared" ref="H72:H82" si="38">F72-$H$1</f>
        <v>8</v>
      </c>
      <c r="I72" s="67"/>
      <c r="J72" s="73"/>
      <c r="K72" s="70"/>
      <c r="L72" s="70"/>
      <c r="M72" s="66" t="str">
        <f t="shared" si="26"/>
        <v/>
      </c>
      <c r="N72" s="66">
        <f t="shared" si="27"/>
        <v>-46027</v>
      </c>
      <c r="O72" s="78">
        <f t="shared" ref="O72:O82" si="39">D72-J72</f>
        <v>0</v>
      </c>
      <c r="P72" s="64"/>
      <c r="Q72" s="67"/>
      <c r="R72" s="73"/>
      <c r="S72" s="70"/>
      <c r="T72" s="70"/>
      <c r="U72" s="66" t="str">
        <f t="shared" si="28"/>
        <v/>
      </c>
      <c r="V72" s="66">
        <f t="shared" si="29"/>
        <v>-46027</v>
      </c>
      <c r="W72" s="78">
        <f t="shared" ref="W72:W76" si="40">L72-R72</f>
        <v>0</v>
      </c>
      <c r="X72" s="64"/>
      <c r="Y72" s="67"/>
      <c r="Z72" s="73"/>
      <c r="AA72" s="70"/>
      <c r="AB72" s="70"/>
      <c r="AC72" s="66" t="str">
        <f t="shared" si="30"/>
        <v/>
      </c>
      <c r="AD72" s="66">
        <f t="shared" si="31"/>
        <v>-46027</v>
      </c>
      <c r="AE72" s="78">
        <f t="shared" ref="AE72:AE76" si="41">T72-Z72</f>
        <v>0</v>
      </c>
      <c r="AF72" s="64"/>
      <c r="AG72" s="67"/>
      <c r="AH72" s="73"/>
      <c r="AI72" s="70"/>
      <c r="AJ72" s="70"/>
      <c r="AK72" s="66" t="str">
        <f t="shared" si="32"/>
        <v/>
      </c>
      <c r="AL72" s="66">
        <f t="shared" si="33"/>
        <v>-46027</v>
      </c>
      <c r="AM72" s="76"/>
      <c r="AN72" s="64"/>
      <c r="AO72" s="67"/>
      <c r="AP72" s="73"/>
      <c r="AQ72" s="8"/>
      <c r="AR72" s="8"/>
      <c r="AS72" s="4" t="str">
        <f t="shared" si="34"/>
        <v/>
      </c>
      <c r="AT72" s="4">
        <f t="shared" si="35"/>
        <v>-46027</v>
      </c>
      <c r="AU72" s="46"/>
      <c r="AV72" s="19"/>
      <c r="AW72" s="67"/>
      <c r="AX72" s="73"/>
      <c r="AY72" s="8"/>
      <c r="AZ72" s="8"/>
      <c r="BA72" s="4" t="str">
        <f t="shared" si="36"/>
        <v/>
      </c>
      <c r="BB72" s="4">
        <f t="shared" si="37"/>
        <v>-46027</v>
      </c>
      <c r="BC72" s="46"/>
      <c r="BD72" s="19"/>
    </row>
    <row r="73" spans="1:56" ht="22.15" hidden="1" customHeight="1">
      <c r="A73"/>
      <c r="B73" s="77"/>
      <c r="C73" s="24"/>
      <c r="D73" s="28"/>
      <c r="E73" s="27"/>
      <c r="F73" s="27">
        <v>46036</v>
      </c>
      <c r="G73" s="66">
        <f t="shared" si="24"/>
        <v>1.9549917455904075E-2</v>
      </c>
      <c r="H73" s="66">
        <f t="shared" si="38"/>
        <v>9</v>
      </c>
      <c r="I73" s="67"/>
      <c r="J73" s="73"/>
      <c r="K73" s="70"/>
      <c r="L73" s="70"/>
      <c r="M73" s="66" t="str">
        <f t="shared" si="26"/>
        <v/>
      </c>
      <c r="N73" s="66">
        <f t="shared" si="27"/>
        <v>-46027</v>
      </c>
      <c r="O73" s="78">
        <f t="shared" si="39"/>
        <v>0</v>
      </c>
      <c r="P73" s="64"/>
      <c r="Q73" s="67"/>
      <c r="R73" s="73"/>
      <c r="S73" s="70"/>
      <c r="T73" s="70"/>
      <c r="U73" s="66" t="str">
        <f t="shared" si="28"/>
        <v/>
      </c>
      <c r="V73" s="66">
        <f t="shared" si="29"/>
        <v>-46027</v>
      </c>
      <c r="W73" s="78">
        <f t="shared" si="40"/>
        <v>0</v>
      </c>
      <c r="X73" s="64"/>
      <c r="Y73" s="67"/>
      <c r="Z73" s="73"/>
      <c r="AA73" s="70"/>
      <c r="AB73" s="70"/>
      <c r="AC73" s="66" t="str">
        <f t="shared" si="30"/>
        <v/>
      </c>
      <c r="AD73" s="66">
        <f t="shared" si="31"/>
        <v>-46027</v>
      </c>
      <c r="AE73" s="78">
        <f t="shared" si="41"/>
        <v>0</v>
      </c>
      <c r="AF73" s="64"/>
      <c r="AG73" s="67"/>
      <c r="AH73" s="73"/>
      <c r="AI73" s="70"/>
      <c r="AJ73" s="70"/>
      <c r="AK73" s="66" t="str">
        <f t="shared" si="32"/>
        <v/>
      </c>
      <c r="AL73" s="66">
        <f t="shared" si="33"/>
        <v>-46027</v>
      </c>
      <c r="AM73" s="76"/>
      <c r="AN73" s="64"/>
      <c r="AO73" s="67"/>
      <c r="AP73" s="73"/>
      <c r="AQ73" s="8"/>
      <c r="AR73" s="8"/>
      <c r="AS73" s="4" t="str">
        <f t="shared" si="34"/>
        <v/>
      </c>
      <c r="AT73" s="4">
        <f t="shared" si="35"/>
        <v>-46027</v>
      </c>
      <c r="AU73" s="46"/>
      <c r="AV73" s="19"/>
      <c r="AW73" s="67"/>
      <c r="AX73" s="73"/>
      <c r="AY73" s="8"/>
      <c r="AZ73" s="8"/>
      <c r="BA73" s="4" t="str">
        <f t="shared" si="36"/>
        <v/>
      </c>
      <c r="BB73" s="4">
        <f t="shared" si="37"/>
        <v>-46027</v>
      </c>
      <c r="BC73" s="46"/>
      <c r="BD73" s="19"/>
    </row>
    <row r="74" spans="1:56" ht="22.15" hidden="1" customHeight="1">
      <c r="A74"/>
      <c r="B74" s="77"/>
      <c r="C74" s="24"/>
      <c r="D74" s="28"/>
      <c r="E74" s="27"/>
      <c r="F74" s="27">
        <v>46037</v>
      </c>
      <c r="G74" s="66">
        <f t="shared" si="24"/>
        <v>2.1721658665855723E-2</v>
      </c>
      <c r="H74" s="66">
        <f t="shared" si="38"/>
        <v>10</v>
      </c>
      <c r="I74" s="67"/>
      <c r="J74" s="73"/>
      <c r="K74" s="70"/>
      <c r="L74" s="70"/>
      <c r="M74" s="66" t="str">
        <f t="shared" si="26"/>
        <v/>
      </c>
      <c r="N74" s="66">
        <f t="shared" si="27"/>
        <v>-46027</v>
      </c>
      <c r="O74" s="78">
        <f t="shared" si="39"/>
        <v>0</v>
      </c>
      <c r="P74" s="64"/>
      <c r="Q74" s="67"/>
      <c r="R74" s="73"/>
      <c r="S74" s="70"/>
      <c r="T74" s="70"/>
      <c r="U74" s="66" t="str">
        <f t="shared" si="28"/>
        <v/>
      </c>
      <c r="V74" s="66">
        <f t="shared" si="29"/>
        <v>-46027</v>
      </c>
      <c r="W74" s="78">
        <f t="shared" si="40"/>
        <v>0</v>
      </c>
      <c r="X74" s="64"/>
      <c r="Y74" s="67"/>
      <c r="Z74" s="73"/>
      <c r="AA74" s="70"/>
      <c r="AB74" s="70"/>
      <c r="AC74" s="66" t="str">
        <f t="shared" si="30"/>
        <v/>
      </c>
      <c r="AD74" s="66">
        <f t="shared" si="31"/>
        <v>-46027</v>
      </c>
      <c r="AE74" s="78">
        <f t="shared" si="41"/>
        <v>0</v>
      </c>
      <c r="AF74" s="64"/>
      <c r="AG74" s="67"/>
      <c r="AH74" s="73"/>
      <c r="AI74" s="70"/>
      <c r="AJ74" s="70"/>
      <c r="AK74" s="66" t="str">
        <f t="shared" si="32"/>
        <v/>
      </c>
      <c r="AL74" s="66">
        <f t="shared" si="33"/>
        <v>-46027</v>
      </c>
      <c r="AM74" s="76"/>
      <c r="AN74" s="64"/>
      <c r="AO74" s="67"/>
      <c r="AP74" s="73"/>
      <c r="AQ74" s="8"/>
      <c r="AR74" s="8"/>
      <c r="AS74" s="4" t="str">
        <f t="shared" si="34"/>
        <v/>
      </c>
      <c r="AT74" s="4">
        <f t="shared" si="35"/>
        <v>-46027</v>
      </c>
      <c r="AU74" s="46"/>
      <c r="AV74" s="19"/>
      <c r="AW74" s="67"/>
      <c r="AX74" s="73"/>
      <c r="AY74" s="8"/>
      <c r="AZ74" s="8"/>
      <c r="BA74" s="4" t="str">
        <f t="shared" si="36"/>
        <v/>
      </c>
      <c r="BB74" s="4">
        <f t="shared" si="37"/>
        <v>-46027</v>
      </c>
      <c r="BC74" s="46"/>
      <c r="BD74" s="19"/>
    </row>
    <row r="75" spans="1:56" ht="22.15" hidden="1" customHeight="1">
      <c r="A75"/>
      <c r="B75" s="77"/>
      <c r="C75" s="24"/>
      <c r="D75" s="28"/>
      <c r="E75" s="27"/>
      <c r="F75" s="27">
        <v>46038</v>
      </c>
      <c r="G75" s="66">
        <f t="shared" si="24"/>
        <v>2.3893305530214171E-2</v>
      </c>
      <c r="H75" s="66">
        <f t="shared" si="38"/>
        <v>11</v>
      </c>
      <c r="I75" s="67"/>
      <c r="J75" s="73"/>
      <c r="K75" s="70"/>
      <c r="L75" s="70"/>
      <c r="M75" s="66" t="str">
        <f t="shared" si="26"/>
        <v/>
      </c>
      <c r="N75" s="66">
        <f t="shared" si="27"/>
        <v>-46027</v>
      </c>
      <c r="O75" s="78">
        <f t="shared" si="39"/>
        <v>0</v>
      </c>
      <c r="P75" s="64"/>
      <c r="Q75" s="67"/>
      <c r="R75" s="73"/>
      <c r="S75" s="70"/>
      <c r="T75" s="70"/>
      <c r="U75" s="66" t="str">
        <f t="shared" si="28"/>
        <v/>
      </c>
      <c r="V75" s="66">
        <f t="shared" si="29"/>
        <v>-46027</v>
      </c>
      <c r="W75" s="78">
        <f t="shared" si="40"/>
        <v>0</v>
      </c>
      <c r="X75" s="64"/>
      <c r="Y75" s="67"/>
      <c r="Z75" s="73"/>
      <c r="AA75" s="70"/>
      <c r="AB75" s="70"/>
      <c r="AC75" s="66" t="str">
        <f t="shared" si="30"/>
        <v/>
      </c>
      <c r="AD75" s="66">
        <f t="shared" si="31"/>
        <v>-46027</v>
      </c>
      <c r="AE75" s="78">
        <f t="shared" si="41"/>
        <v>0</v>
      </c>
      <c r="AF75" s="64"/>
      <c r="AG75" s="67"/>
      <c r="AH75" s="73"/>
      <c r="AI75" s="70"/>
      <c r="AJ75" s="70"/>
      <c r="AK75" s="66" t="str">
        <f t="shared" si="32"/>
        <v/>
      </c>
      <c r="AL75" s="66">
        <f t="shared" si="33"/>
        <v>-46027</v>
      </c>
      <c r="AM75" s="76"/>
      <c r="AN75" s="64"/>
      <c r="AO75" s="67"/>
      <c r="AP75" s="73"/>
      <c r="AQ75" s="8"/>
      <c r="AR75" s="8"/>
      <c r="AS75" s="4" t="str">
        <f t="shared" si="34"/>
        <v/>
      </c>
      <c r="AT75" s="4">
        <f t="shared" si="35"/>
        <v>-46027</v>
      </c>
      <c r="AU75" s="46"/>
      <c r="AV75" s="19"/>
      <c r="AW75" s="67"/>
      <c r="AX75" s="73"/>
      <c r="AY75" s="8"/>
      <c r="AZ75" s="8"/>
      <c r="BA75" s="4" t="str">
        <f t="shared" si="36"/>
        <v/>
      </c>
      <c r="BB75" s="4">
        <f t="shared" si="37"/>
        <v>-46027</v>
      </c>
      <c r="BC75" s="46"/>
      <c r="BD75" s="19"/>
    </row>
    <row r="76" spans="1:56" ht="22.15" hidden="1" customHeight="1">
      <c r="A76"/>
      <c r="B76" s="77"/>
      <c r="C76" s="24"/>
      <c r="D76" s="28"/>
      <c r="E76" s="27"/>
      <c r="F76" s="27">
        <v>46039</v>
      </c>
      <c r="G76" s="66">
        <f t="shared" si="24"/>
        <v>2.6064858055127177E-2</v>
      </c>
      <c r="H76" s="66">
        <f t="shared" si="38"/>
        <v>12</v>
      </c>
      <c r="I76" s="67"/>
      <c r="J76" s="73"/>
      <c r="K76" s="70"/>
      <c r="L76" s="70"/>
      <c r="M76" s="66" t="str">
        <f t="shared" si="26"/>
        <v/>
      </c>
      <c r="N76" s="66">
        <f t="shared" si="27"/>
        <v>-46027</v>
      </c>
      <c r="O76" s="78">
        <f t="shared" si="39"/>
        <v>0</v>
      </c>
      <c r="P76" s="64"/>
      <c r="Q76" s="67"/>
      <c r="R76" s="73"/>
      <c r="S76" s="70"/>
      <c r="T76" s="70"/>
      <c r="U76" s="66" t="str">
        <f t="shared" si="28"/>
        <v/>
      </c>
      <c r="V76" s="66">
        <f t="shared" si="29"/>
        <v>-46027</v>
      </c>
      <c r="W76" s="78">
        <f t="shared" si="40"/>
        <v>0</v>
      </c>
      <c r="X76" s="64"/>
      <c r="Y76" s="67"/>
      <c r="Z76" s="73"/>
      <c r="AA76" s="70"/>
      <c r="AB76" s="70"/>
      <c r="AC76" s="66" t="str">
        <f t="shared" si="30"/>
        <v/>
      </c>
      <c r="AD76" s="66">
        <f t="shared" si="31"/>
        <v>-46027</v>
      </c>
      <c r="AE76" s="78">
        <f t="shared" si="41"/>
        <v>0</v>
      </c>
      <c r="AF76" s="64"/>
      <c r="AG76" s="67"/>
      <c r="AH76" s="73"/>
      <c r="AI76" s="70"/>
      <c r="AJ76" s="70"/>
      <c r="AK76" s="66" t="str">
        <f t="shared" si="32"/>
        <v/>
      </c>
      <c r="AL76" s="66">
        <f t="shared" si="33"/>
        <v>-46027</v>
      </c>
      <c r="AM76" s="76"/>
      <c r="AN76" s="64"/>
      <c r="AO76" s="67"/>
      <c r="AP76" s="73"/>
      <c r="AQ76" s="8"/>
      <c r="AR76" s="8"/>
      <c r="AS76" s="4" t="str">
        <f t="shared" si="34"/>
        <v/>
      </c>
      <c r="AT76" s="4">
        <f t="shared" si="35"/>
        <v>-46027</v>
      </c>
      <c r="AU76" s="46"/>
      <c r="AV76" s="19"/>
      <c r="AW76" s="67"/>
      <c r="AX76" s="73"/>
      <c r="AY76" s="8"/>
      <c r="AZ76" s="8"/>
      <c r="BA76" s="4" t="str">
        <f t="shared" si="36"/>
        <v/>
      </c>
      <c r="BB76" s="4">
        <f t="shared" si="37"/>
        <v>-46027</v>
      </c>
      <c r="BC76" s="46"/>
      <c r="BD76" s="19"/>
    </row>
    <row r="77" spans="1:56" ht="22.15" customHeight="1">
      <c r="A77"/>
      <c r="B77" s="72" t="s">
        <v>80</v>
      </c>
      <c r="C77" s="24" t="s">
        <v>15</v>
      </c>
      <c r="D77" s="28">
        <v>131</v>
      </c>
      <c r="E77" s="27">
        <v>46010</v>
      </c>
      <c r="F77" s="27">
        <v>46040</v>
      </c>
      <c r="G77" s="66">
        <f t="shared" si="24"/>
        <v>43.333333333333336</v>
      </c>
      <c r="H77" s="66">
        <f t="shared" si="38"/>
        <v>13</v>
      </c>
      <c r="I77" s="67" t="s">
        <v>15</v>
      </c>
      <c r="J77" s="73">
        <v>57</v>
      </c>
      <c r="K77" s="70">
        <v>46010</v>
      </c>
      <c r="L77" s="70">
        <v>46040</v>
      </c>
      <c r="M77" s="66">
        <f t="shared" si="26"/>
        <v>43.333333333333336</v>
      </c>
      <c r="N77" s="66">
        <f t="shared" si="27"/>
        <v>13</v>
      </c>
      <c r="O77" s="79">
        <f t="shared" si="39"/>
        <v>74</v>
      </c>
      <c r="P77" s="64"/>
      <c r="Q77" s="67" t="s">
        <v>15</v>
      </c>
      <c r="R77" s="73">
        <v>25</v>
      </c>
      <c r="S77" s="70">
        <v>46010</v>
      </c>
      <c r="T77" s="70">
        <v>46040</v>
      </c>
      <c r="U77" s="66">
        <f t="shared" si="28"/>
        <v>43.333333333333336</v>
      </c>
      <c r="V77" s="66">
        <f t="shared" si="29"/>
        <v>13</v>
      </c>
      <c r="W77" s="80">
        <f>D77-R77</f>
        <v>106</v>
      </c>
      <c r="X77" s="64"/>
      <c r="Y77" s="67" t="s">
        <v>15</v>
      </c>
      <c r="Z77" s="73">
        <v>0</v>
      </c>
      <c r="AA77" s="70"/>
      <c r="AB77" s="70"/>
      <c r="AC77" s="66" t="str">
        <f t="shared" si="30"/>
        <v/>
      </c>
      <c r="AD77" s="66">
        <f t="shared" si="31"/>
        <v>-46027</v>
      </c>
      <c r="AE77" s="75">
        <f>D77-Z77</f>
        <v>131</v>
      </c>
      <c r="AF77" s="64"/>
      <c r="AG77" s="67" t="s">
        <v>15</v>
      </c>
      <c r="AH77" s="73">
        <v>0</v>
      </c>
      <c r="AI77" s="70"/>
      <c r="AJ77" s="70"/>
      <c r="AK77" s="66" t="str">
        <f t="shared" si="32"/>
        <v/>
      </c>
      <c r="AL77" s="66">
        <f t="shared" si="33"/>
        <v>-46027</v>
      </c>
      <c r="AM77" s="76"/>
      <c r="AN77" s="64"/>
      <c r="AO77" s="67" t="s">
        <v>15</v>
      </c>
      <c r="AP77" s="73">
        <v>0</v>
      </c>
      <c r="AQ77" s="8"/>
      <c r="AR77" s="8"/>
      <c r="AS77" s="4" t="str">
        <f t="shared" si="34"/>
        <v/>
      </c>
      <c r="AT77" s="4">
        <f t="shared" si="35"/>
        <v>-46027</v>
      </c>
      <c r="AU77" s="46"/>
      <c r="AV77" s="19"/>
      <c r="AW77" s="67" t="s">
        <v>15</v>
      </c>
      <c r="AX77" s="73">
        <v>0</v>
      </c>
      <c r="AY77" s="8"/>
      <c r="AZ77" s="8"/>
      <c r="BA77" s="4" t="str">
        <f t="shared" si="36"/>
        <v/>
      </c>
      <c r="BB77" s="4">
        <f t="shared" si="37"/>
        <v>-46027</v>
      </c>
      <c r="BC77" s="46"/>
      <c r="BD77" s="19"/>
    </row>
    <row r="78" spans="1:56" ht="22.15" customHeight="1">
      <c r="A78"/>
      <c r="B78" s="81" t="s">
        <v>85</v>
      </c>
      <c r="C78" s="24" t="s">
        <v>8</v>
      </c>
      <c r="D78" s="28">
        <v>3</v>
      </c>
      <c r="E78" s="27">
        <v>45995</v>
      </c>
      <c r="F78" s="27">
        <v>46035</v>
      </c>
      <c r="G78" s="66">
        <f t="shared" si="24"/>
        <v>20</v>
      </c>
      <c r="H78" s="66">
        <f t="shared" si="38"/>
        <v>8</v>
      </c>
      <c r="I78" s="67" t="s">
        <v>8</v>
      </c>
      <c r="J78" s="73">
        <v>0</v>
      </c>
      <c r="K78" s="70"/>
      <c r="L78" s="70">
        <v>46035</v>
      </c>
      <c r="M78" s="66">
        <f t="shared" si="26"/>
        <v>1.7378081894210924E-2</v>
      </c>
      <c r="N78" s="66">
        <f t="shared" si="27"/>
        <v>8</v>
      </c>
      <c r="O78" s="75">
        <f t="shared" si="39"/>
        <v>3</v>
      </c>
      <c r="P78" s="64"/>
      <c r="Q78" s="67" t="s">
        <v>8</v>
      </c>
      <c r="R78" s="73">
        <v>0</v>
      </c>
      <c r="S78" s="70"/>
      <c r="T78" s="70"/>
      <c r="U78" s="66" t="str">
        <f t="shared" si="28"/>
        <v/>
      </c>
      <c r="V78" s="66">
        <f t="shared" si="29"/>
        <v>-46027</v>
      </c>
      <c r="W78" s="82">
        <f t="shared" ref="W78:W82" si="42">D78-R78</f>
        <v>3</v>
      </c>
      <c r="X78" s="64"/>
      <c r="Y78" s="67" t="s">
        <v>8</v>
      </c>
      <c r="Z78" s="73">
        <v>0</v>
      </c>
      <c r="AA78" s="70"/>
      <c r="AB78" s="70"/>
      <c r="AC78" s="66" t="str">
        <f t="shared" si="30"/>
        <v/>
      </c>
      <c r="AD78" s="66">
        <f t="shared" si="31"/>
        <v>-46027</v>
      </c>
      <c r="AE78" s="82">
        <f>D78-Z78</f>
        <v>3</v>
      </c>
      <c r="AF78" s="64"/>
      <c r="AG78" s="67" t="s">
        <v>8</v>
      </c>
      <c r="AH78" s="73">
        <v>0</v>
      </c>
      <c r="AI78" s="70"/>
      <c r="AJ78" s="70"/>
      <c r="AK78" s="66" t="str">
        <f t="shared" si="32"/>
        <v/>
      </c>
      <c r="AL78" s="66">
        <f t="shared" si="33"/>
        <v>-46027</v>
      </c>
      <c r="AM78" s="76"/>
      <c r="AN78" s="64"/>
      <c r="AO78" s="67" t="s">
        <v>8</v>
      </c>
      <c r="AP78" s="73">
        <v>0</v>
      </c>
      <c r="AQ78" s="8"/>
      <c r="AR78" s="8"/>
      <c r="AS78" s="4" t="str">
        <f t="shared" si="34"/>
        <v/>
      </c>
      <c r="AT78" s="4">
        <f t="shared" si="35"/>
        <v>-46027</v>
      </c>
      <c r="AU78" s="46"/>
      <c r="AV78" s="19"/>
      <c r="AW78" s="67" t="s">
        <v>8</v>
      </c>
      <c r="AX78" s="73">
        <v>0</v>
      </c>
      <c r="AY78" s="8"/>
      <c r="AZ78" s="8"/>
      <c r="BA78" s="4" t="str">
        <f t="shared" si="36"/>
        <v/>
      </c>
      <c r="BB78" s="4">
        <f t="shared" si="37"/>
        <v>-46027</v>
      </c>
      <c r="BC78" s="46"/>
      <c r="BD78" s="19"/>
    </row>
    <row r="79" spans="1:56" ht="22.15" customHeight="1">
      <c r="A79"/>
      <c r="B79" s="81" t="s">
        <v>81</v>
      </c>
      <c r="C79" s="24" t="s">
        <v>15</v>
      </c>
      <c r="D79" s="28">
        <v>5</v>
      </c>
      <c r="E79" s="27">
        <v>45990</v>
      </c>
      <c r="F79" s="27">
        <v>46035</v>
      </c>
      <c r="G79" s="66">
        <f t="shared" si="24"/>
        <v>17.777777777777779</v>
      </c>
      <c r="H79" s="66">
        <f t="shared" si="38"/>
        <v>8</v>
      </c>
      <c r="I79" s="67" t="s">
        <v>15</v>
      </c>
      <c r="J79" s="73">
        <v>5</v>
      </c>
      <c r="K79" s="70">
        <v>45990</v>
      </c>
      <c r="L79" s="70">
        <v>46035</v>
      </c>
      <c r="M79" s="66">
        <f t="shared" si="26"/>
        <v>17.777777777777779</v>
      </c>
      <c r="N79" s="66">
        <f t="shared" si="27"/>
        <v>8</v>
      </c>
      <c r="O79" s="79">
        <f>D79-J79</f>
        <v>0</v>
      </c>
      <c r="P79" s="64"/>
      <c r="Q79" s="67" t="s">
        <v>15</v>
      </c>
      <c r="R79" s="73">
        <v>0</v>
      </c>
      <c r="S79" s="70"/>
      <c r="T79" s="70"/>
      <c r="U79" s="66" t="str">
        <f t="shared" si="28"/>
        <v/>
      </c>
      <c r="V79" s="66">
        <f t="shared" si="29"/>
        <v>-46027</v>
      </c>
      <c r="W79" s="82">
        <f t="shared" si="42"/>
        <v>5</v>
      </c>
      <c r="X79" s="64"/>
      <c r="Y79" s="67" t="s">
        <v>15</v>
      </c>
      <c r="Z79" s="73">
        <v>0</v>
      </c>
      <c r="AA79" s="70"/>
      <c r="AB79" s="70"/>
      <c r="AC79" s="66" t="str">
        <f t="shared" si="30"/>
        <v/>
      </c>
      <c r="AD79" s="66">
        <f t="shared" si="31"/>
        <v>-46027</v>
      </c>
      <c r="AE79" s="82">
        <f t="shared" ref="AE79:AE82" si="43">D79-Z79</f>
        <v>5</v>
      </c>
      <c r="AF79" s="64"/>
      <c r="AG79" s="67" t="s">
        <v>15</v>
      </c>
      <c r="AH79" s="73">
        <v>0</v>
      </c>
      <c r="AI79" s="70"/>
      <c r="AJ79" s="70"/>
      <c r="AK79" s="66" t="str">
        <f t="shared" si="32"/>
        <v/>
      </c>
      <c r="AL79" s="66">
        <f t="shared" si="33"/>
        <v>-46027</v>
      </c>
      <c r="AM79" s="76"/>
      <c r="AN79" s="64"/>
      <c r="AO79" s="67" t="s">
        <v>15</v>
      </c>
      <c r="AP79" s="73">
        <v>0</v>
      </c>
      <c r="AQ79" s="8"/>
      <c r="AR79" s="8"/>
      <c r="AS79" s="4" t="str">
        <f t="shared" si="34"/>
        <v/>
      </c>
      <c r="AT79" s="4">
        <f t="shared" si="35"/>
        <v>-46027</v>
      </c>
      <c r="AU79" s="46"/>
      <c r="AV79" s="19"/>
      <c r="AW79" s="67" t="s">
        <v>15</v>
      </c>
      <c r="AX79" s="73">
        <v>0</v>
      </c>
      <c r="AY79" s="8"/>
      <c r="AZ79" s="8"/>
      <c r="BA79" s="4" t="str">
        <f t="shared" si="36"/>
        <v/>
      </c>
      <c r="BB79" s="4">
        <f t="shared" si="37"/>
        <v>-46027</v>
      </c>
      <c r="BC79" s="46"/>
      <c r="BD79" s="19"/>
    </row>
    <row r="80" spans="1:56" ht="22.15" customHeight="1">
      <c r="A80"/>
      <c r="B80" s="83" t="s">
        <v>82</v>
      </c>
      <c r="C80" s="24" t="s">
        <v>8</v>
      </c>
      <c r="D80" s="28">
        <v>204</v>
      </c>
      <c r="E80" s="27">
        <v>45990</v>
      </c>
      <c r="F80" s="27">
        <v>46035</v>
      </c>
      <c r="G80" s="66">
        <f t="shared" si="24"/>
        <v>17.777777777777779</v>
      </c>
      <c r="H80" s="66">
        <f t="shared" si="38"/>
        <v>8</v>
      </c>
      <c r="I80" s="67" t="s">
        <v>8</v>
      </c>
      <c r="J80" s="73">
        <v>187</v>
      </c>
      <c r="K80" s="70">
        <v>45990</v>
      </c>
      <c r="L80" s="70">
        <v>46035</v>
      </c>
      <c r="M80" s="66">
        <f t="shared" si="26"/>
        <v>17.777777777777779</v>
      </c>
      <c r="N80" s="66">
        <f t="shared" si="27"/>
        <v>8</v>
      </c>
      <c r="O80" s="79">
        <f t="shared" si="39"/>
        <v>17</v>
      </c>
      <c r="P80" s="64"/>
      <c r="Q80" s="67" t="s">
        <v>8</v>
      </c>
      <c r="R80" s="73">
        <v>154</v>
      </c>
      <c r="S80" s="70"/>
      <c r="T80" s="70"/>
      <c r="U80" s="66" t="str">
        <f t="shared" si="28"/>
        <v/>
      </c>
      <c r="V80" s="66">
        <f t="shared" si="29"/>
        <v>-46027</v>
      </c>
      <c r="W80" s="79">
        <f t="shared" si="42"/>
        <v>50</v>
      </c>
      <c r="X80" s="64"/>
      <c r="Y80" s="67" t="s">
        <v>8</v>
      </c>
      <c r="Z80" s="73">
        <v>154</v>
      </c>
      <c r="AA80" s="70"/>
      <c r="AB80" s="70"/>
      <c r="AC80" s="66" t="str">
        <f t="shared" si="30"/>
        <v/>
      </c>
      <c r="AD80" s="66">
        <f t="shared" si="31"/>
        <v>-46027</v>
      </c>
      <c r="AE80" s="82">
        <f t="shared" si="43"/>
        <v>50</v>
      </c>
      <c r="AF80" s="84" t="s">
        <v>109</v>
      </c>
      <c r="AG80" s="67" t="s">
        <v>8</v>
      </c>
      <c r="AH80" s="73">
        <v>0</v>
      </c>
      <c r="AI80" s="70"/>
      <c r="AJ80" s="70"/>
      <c r="AK80" s="66" t="str">
        <f t="shared" si="32"/>
        <v/>
      </c>
      <c r="AL80" s="66">
        <f t="shared" si="33"/>
        <v>-46027</v>
      </c>
      <c r="AM80" s="76"/>
      <c r="AN80" s="64"/>
      <c r="AO80" s="67" t="s">
        <v>8</v>
      </c>
      <c r="AP80" s="73">
        <v>0</v>
      </c>
      <c r="AQ80" s="8"/>
      <c r="AR80" s="8"/>
      <c r="AS80" s="4" t="str">
        <f t="shared" si="34"/>
        <v/>
      </c>
      <c r="AT80" s="4">
        <f t="shared" si="35"/>
        <v>-46027</v>
      </c>
      <c r="AU80" s="46"/>
      <c r="AV80" s="19"/>
      <c r="AW80" s="67" t="s">
        <v>8</v>
      </c>
      <c r="AX80" s="73">
        <v>0</v>
      </c>
      <c r="AY80" s="8"/>
      <c r="AZ80" s="8"/>
      <c r="BA80" s="4" t="str">
        <f t="shared" si="36"/>
        <v/>
      </c>
      <c r="BB80" s="4">
        <f t="shared" si="37"/>
        <v>-46027</v>
      </c>
      <c r="BC80" s="46"/>
      <c r="BD80" s="19"/>
    </row>
    <row r="81" spans="1:56" ht="22.15" customHeight="1">
      <c r="A81"/>
      <c r="B81" s="81" t="s">
        <v>83</v>
      </c>
      <c r="C81" s="30" t="s">
        <v>8</v>
      </c>
      <c r="D81" s="31">
        <v>25</v>
      </c>
      <c r="E81" s="27">
        <v>45998</v>
      </c>
      <c r="F81" s="27">
        <v>46038</v>
      </c>
      <c r="G81" s="66">
        <f t="shared" si="24"/>
        <v>27.500000000000004</v>
      </c>
      <c r="H81" s="66">
        <f t="shared" si="38"/>
        <v>11</v>
      </c>
      <c r="I81" s="85" t="s">
        <v>8</v>
      </c>
      <c r="J81" s="86">
        <v>0</v>
      </c>
      <c r="K81" s="70"/>
      <c r="L81" s="70">
        <v>46038</v>
      </c>
      <c r="M81" s="66">
        <f t="shared" si="26"/>
        <v>2.3893305530214171E-2</v>
      </c>
      <c r="N81" s="66">
        <f t="shared" si="27"/>
        <v>11</v>
      </c>
      <c r="O81" s="75">
        <f t="shared" si="39"/>
        <v>25</v>
      </c>
      <c r="P81" s="64"/>
      <c r="Q81" s="85" t="s">
        <v>8</v>
      </c>
      <c r="R81" s="86">
        <v>0</v>
      </c>
      <c r="S81" s="70"/>
      <c r="T81" s="70"/>
      <c r="U81" s="66" t="str">
        <f t="shared" si="28"/>
        <v/>
      </c>
      <c r="V81" s="66">
        <f t="shared" si="29"/>
        <v>-46027</v>
      </c>
      <c r="W81" s="82">
        <f t="shared" si="42"/>
        <v>25</v>
      </c>
      <c r="X81" s="64"/>
      <c r="Y81" s="85" t="s">
        <v>8</v>
      </c>
      <c r="Z81" s="86">
        <v>0</v>
      </c>
      <c r="AA81" s="70"/>
      <c r="AB81" s="70"/>
      <c r="AC81" s="66" t="str">
        <f t="shared" si="30"/>
        <v/>
      </c>
      <c r="AD81" s="66">
        <f t="shared" si="31"/>
        <v>-46027</v>
      </c>
      <c r="AE81" s="82">
        <f t="shared" si="43"/>
        <v>25</v>
      </c>
      <c r="AF81" s="64"/>
      <c r="AG81" s="85" t="s">
        <v>8</v>
      </c>
      <c r="AH81" s="86">
        <v>0</v>
      </c>
      <c r="AI81" s="70"/>
      <c r="AJ81" s="70"/>
      <c r="AK81" s="66" t="str">
        <f t="shared" si="32"/>
        <v/>
      </c>
      <c r="AL81" s="66">
        <f t="shared" si="33"/>
        <v>-46027</v>
      </c>
      <c r="AM81" s="76"/>
      <c r="AN81" s="64"/>
      <c r="AO81" s="85" t="s">
        <v>8</v>
      </c>
      <c r="AP81" s="86">
        <v>0</v>
      </c>
      <c r="AQ81" s="8"/>
      <c r="AR81" s="8"/>
      <c r="AS81" s="4" t="str">
        <f t="shared" si="34"/>
        <v/>
      </c>
      <c r="AT81" s="4">
        <f t="shared" si="35"/>
        <v>-46027</v>
      </c>
      <c r="AU81" s="46"/>
      <c r="AV81" s="19"/>
      <c r="AW81" s="85" t="s">
        <v>8</v>
      </c>
      <c r="AX81" s="86">
        <v>0</v>
      </c>
      <c r="AY81" s="8"/>
      <c r="AZ81" s="8"/>
      <c r="BA81" s="4" t="str">
        <f t="shared" si="36"/>
        <v/>
      </c>
      <c r="BB81" s="4">
        <f t="shared" si="37"/>
        <v>-46027</v>
      </c>
      <c r="BC81" s="46"/>
      <c r="BD81" s="19"/>
    </row>
    <row r="82" spans="1:56" ht="22.15" customHeight="1">
      <c r="A82"/>
      <c r="B82" s="81" t="s">
        <v>84</v>
      </c>
      <c r="C82" s="32" t="s">
        <v>8</v>
      </c>
      <c r="D82" s="28">
        <v>12</v>
      </c>
      <c r="E82" s="33">
        <v>45988</v>
      </c>
      <c r="F82" s="33">
        <v>46033</v>
      </c>
      <c r="G82" s="66">
        <f t="shared" si="24"/>
        <v>13.333333333333334</v>
      </c>
      <c r="H82" s="66">
        <f t="shared" si="38"/>
        <v>6</v>
      </c>
      <c r="I82" s="87" t="s">
        <v>8</v>
      </c>
      <c r="J82" s="73">
        <v>12</v>
      </c>
      <c r="K82" s="88">
        <v>45988</v>
      </c>
      <c r="L82" s="88">
        <v>46033</v>
      </c>
      <c r="M82" s="66">
        <f t="shared" si="26"/>
        <v>13.333333333333334</v>
      </c>
      <c r="N82" s="66">
        <f t="shared" si="27"/>
        <v>6</v>
      </c>
      <c r="O82" s="78">
        <f t="shared" si="39"/>
        <v>0</v>
      </c>
      <c r="P82" s="64"/>
      <c r="Q82" s="87" t="s">
        <v>8</v>
      </c>
      <c r="R82" s="73">
        <v>0</v>
      </c>
      <c r="S82" s="88"/>
      <c r="T82" s="88"/>
      <c r="U82" s="66" t="str">
        <f t="shared" si="28"/>
        <v/>
      </c>
      <c r="V82" s="66">
        <f t="shared" si="29"/>
        <v>-46027</v>
      </c>
      <c r="W82" s="82">
        <f t="shared" si="42"/>
        <v>12</v>
      </c>
      <c r="X82" s="64"/>
      <c r="Y82" s="87" t="s">
        <v>8</v>
      </c>
      <c r="Z82" s="73">
        <v>0</v>
      </c>
      <c r="AA82" s="88"/>
      <c r="AB82" s="88"/>
      <c r="AC82" s="66" t="str">
        <f t="shared" si="30"/>
        <v/>
      </c>
      <c r="AD82" s="66">
        <f t="shared" si="31"/>
        <v>-46027</v>
      </c>
      <c r="AE82" s="82">
        <f t="shared" si="43"/>
        <v>12</v>
      </c>
      <c r="AF82" s="64"/>
      <c r="AG82" s="87" t="s">
        <v>8</v>
      </c>
      <c r="AH82" s="73">
        <v>0</v>
      </c>
      <c r="AI82" s="88"/>
      <c r="AJ82" s="88"/>
      <c r="AK82" s="66" t="str">
        <f t="shared" si="32"/>
        <v/>
      </c>
      <c r="AL82" s="66">
        <f t="shared" si="33"/>
        <v>-46027</v>
      </c>
      <c r="AM82" s="76"/>
      <c r="AN82" s="64"/>
      <c r="AO82" s="87" t="s">
        <v>8</v>
      </c>
      <c r="AP82" s="73">
        <v>0</v>
      </c>
      <c r="AQ82" s="10"/>
      <c r="AR82" s="10"/>
      <c r="AS82" s="4" t="str">
        <f t="shared" si="34"/>
        <v/>
      </c>
      <c r="AT82" s="4">
        <f t="shared" si="35"/>
        <v>-46027</v>
      </c>
      <c r="AU82" s="46"/>
      <c r="AV82" s="19"/>
      <c r="AW82" s="87" t="s">
        <v>8</v>
      </c>
      <c r="AX82" s="73">
        <v>0</v>
      </c>
      <c r="AY82" s="10"/>
      <c r="AZ82" s="10"/>
      <c r="BA82" s="4" t="str">
        <f t="shared" si="36"/>
        <v/>
      </c>
      <c r="BB82" s="4">
        <f t="shared" si="37"/>
        <v>-46027</v>
      </c>
      <c r="BC82" s="46"/>
      <c r="BD82" s="19"/>
    </row>
    <row r="83" spans="1:56" ht="22.15" customHeight="1">
      <c r="A83"/>
      <c r="B83" s="81" t="s">
        <v>79</v>
      </c>
      <c r="C83" s="67"/>
      <c r="D83" s="73"/>
      <c r="E83" s="70"/>
      <c r="F83" s="70"/>
      <c r="G83" s="66" t="str">
        <f>IFERROR((F83-$G$1)/(F83-E83)*100,"")</f>
        <v/>
      </c>
      <c r="H83" s="66">
        <f t="shared" ref="H83" si="44">F83-$H$1</f>
        <v>-46027</v>
      </c>
      <c r="I83" s="67" t="s">
        <v>15</v>
      </c>
      <c r="J83" s="73">
        <v>8.8680000000000003</v>
      </c>
      <c r="K83" s="70">
        <v>46011</v>
      </c>
      <c r="L83" s="70">
        <v>46051</v>
      </c>
      <c r="M83" s="66">
        <f>IFERROR((L83-$G$1)/(L83-K83)*100,"")</f>
        <v>60</v>
      </c>
      <c r="N83" s="66">
        <f t="shared" si="27"/>
        <v>24</v>
      </c>
      <c r="O83" s="64"/>
      <c r="P83" s="64"/>
      <c r="Q83" s="67" t="s">
        <v>15</v>
      </c>
      <c r="R83" s="73">
        <v>0</v>
      </c>
      <c r="S83" s="70"/>
      <c r="T83" s="70"/>
      <c r="U83" s="66" t="str">
        <f>IFERROR((T83-$G$1)/(T83-S83)*100,"")</f>
        <v/>
      </c>
      <c r="V83" s="66">
        <f t="shared" si="29"/>
        <v>-46027</v>
      </c>
      <c r="W83" s="82">
        <f>J83-R83</f>
        <v>8.8680000000000003</v>
      </c>
      <c r="X83" s="64"/>
      <c r="Y83" s="67" t="s">
        <v>15</v>
      </c>
      <c r="Z83" s="73">
        <v>0</v>
      </c>
      <c r="AA83" s="70"/>
      <c r="AB83" s="70"/>
      <c r="AC83" s="66" t="str">
        <f>IFERROR((AB83-$G$1)/(AB83-AA83)*100,"")</f>
        <v/>
      </c>
      <c r="AD83" s="66">
        <f t="shared" si="31"/>
        <v>-46027</v>
      </c>
      <c r="AE83" s="82">
        <f>R83-Z83</f>
        <v>0</v>
      </c>
      <c r="AF83" s="64"/>
      <c r="AG83" s="67" t="s">
        <v>15</v>
      </c>
      <c r="AH83" s="73">
        <v>0</v>
      </c>
      <c r="AI83" s="70"/>
      <c r="AJ83" s="70"/>
      <c r="AK83" s="66" t="str">
        <f>IFERROR((AJ83-$G$1)/(AJ83-AI83)*100,"")</f>
        <v/>
      </c>
      <c r="AL83" s="66">
        <f t="shared" si="33"/>
        <v>-46027</v>
      </c>
      <c r="AM83" s="76"/>
      <c r="AN83" s="64"/>
      <c r="AO83" s="67" t="s">
        <v>15</v>
      </c>
      <c r="AP83" s="73">
        <v>0</v>
      </c>
      <c r="AQ83" s="8"/>
      <c r="AR83" s="8"/>
      <c r="AS83" s="4" t="str">
        <f>IFERROR((AR83-$G$1)/(AR83-AQ83)*100,"")</f>
        <v/>
      </c>
      <c r="AT83" s="4">
        <f t="shared" si="35"/>
        <v>-46027</v>
      </c>
      <c r="AU83" s="46"/>
      <c r="AV83" s="19"/>
      <c r="AW83" s="67" t="s">
        <v>15</v>
      </c>
      <c r="AX83" s="73">
        <v>0</v>
      </c>
      <c r="AY83" s="8"/>
      <c r="AZ83" s="8"/>
      <c r="BA83" s="4" t="str">
        <f>IFERROR((AZ83-$G$1)/(AZ83-AY83)*100,"")</f>
        <v/>
      </c>
      <c r="BB83" s="4">
        <f t="shared" si="37"/>
        <v>-46027</v>
      </c>
      <c r="BC83" s="46"/>
      <c r="BD83" s="19"/>
    </row>
    <row r="84" spans="1:56" ht="22.15" customHeight="1">
      <c r="A84"/>
      <c r="B84" s="81" t="s">
        <v>86</v>
      </c>
      <c r="C84" s="67"/>
      <c r="D84" s="68"/>
      <c r="E84" s="70"/>
      <c r="F84" s="70"/>
      <c r="G84" s="66" t="str">
        <f t="shared" ref="G84:G86" si="45">IFERROR((F84-$G$1)/(F84-E84)*100,"")</f>
        <v/>
      </c>
      <c r="H84" s="66">
        <f t="shared" ref="H84:H86" si="46">F84-$H$1</f>
        <v>-46027</v>
      </c>
      <c r="I84" s="67" t="s">
        <v>15</v>
      </c>
      <c r="J84" s="68">
        <v>28.334</v>
      </c>
      <c r="K84" s="70">
        <v>46010</v>
      </c>
      <c r="L84" s="70">
        <v>46050</v>
      </c>
      <c r="M84" s="66">
        <f t="shared" ref="M84:M87" si="47">IFERROR((L84-$G$1)/(L84-K84)*100,"")</f>
        <v>57.499999999999993</v>
      </c>
      <c r="N84" s="66">
        <f t="shared" si="27"/>
        <v>23</v>
      </c>
      <c r="O84" s="64"/>
      <c r="P84" s="64"/>
      <c r="Q84" s="67" t="s">
        <v>15</v>
      </c>
      <c r="R84" s="68">
        <v>0</v>
      </c>
      <c r="S84" s="70"/>
      <c r="T84" s="70"/>
      <c r="U84" s="66" t="str">
        <f t="shared" ref="U84:U135" si="48">IFERROR((T84-$G$1)/(T84-S84)*100,"")</f>
        <v/>
      </c>
      <c r="V84" s="66">
        <f t="shared" si="29"/>
        <v>-46027</v>
      </c>
      <c r="W84" s="82">
        <f t="shared" ref="W84:W87" si="49">J84-R84</f>
        <v>28.334</v>
      </c>
      <c r="X84" s="64"/>
      <c r="Y84" s="67" t="s">
        <v>15</v>
      </c>
      <c r="Z84" s="68">
        <v>0</v>
      </c>
      <c r="AA84" s="70"/>
      <c r="AB84" s="70"/>
      <c r="AC84" s="66" t="str">
        <f t="shared" ref="AC84:AC135" si="50">IFERROR((AB84-$G$1)/(AB84-AA84)*100,"")</f>
        <v/>
      </c>
      <c r="AD84" s="66">
        <f t="shared" si="31"/>
        <v>-46027</v>
      </c>
      <c r="AE84" s="82">
        <f t="shared" ref="AE84:AE87" si="51">R84-Z84</f>
        <v>0</v>
      </c>
      <c r="AF84" s="64"/>
      <c r="AG84" s="67" t="s">
        <v>15</v>
      </c>
      <c r="AH84" s="68">
        <v>0</v>
      </c>
      <c r="AI84" s="70"/>
      <c r="AJ84" s="70"/>
      <c r="AK84" s="66" t="str">
        <f t="shared" ref="AK84:AK135" si="52">IFERROR((AJ84-$G$1)/(AJ84-AI84)*100,"")</f>
        <v/>
      </c>
      <c r="AL84" s="66">
        <f t="shared" si="33"/>
        <v>-46027</v>
      </c>
      <c r="AM84" s="76"/>
      <c r="AN84" s="64"/>
      <c r="AO84" s="67" t="s">
        <v>15</v>
      </c>
      <c r="AP84" s="68">
        <v>0</v>
      </c>
      <c r="AQ84" s="8"/>
      <c r="AR84" s="8"/>
      <c r="AS84" s="4" t="str">
        <f t="shared" ref="AS84:AS135" si="53">IFERROR((AR84-$G$1)/(AR84-AQ84)*100,"")</f>
        <v/>
      </c>
      <c r="AT84" s="4">
        <f t="shared" si="35"/>
        <v>-46027</v>
      </c>
      <c r="AU84" s="46"/>
      <c r="AV84" s="19"/>
      <c r="AW84" s="67" t="s">
        <v>15</v>
      </c>
      <c r="AX84" s="68">
        <v>0</v>
      </c>
      <c r="AY84" s="8"/>
      <c r="AZ84" s="8"/>
      <c r="BA84" s="4" t="str">
        <f t="shared" ref="BA84:BA135" si="54">IFERROR((AZ84-$G$1)/(AZ84-AY84)*100,"")</f>
        <v/>
      </c>
      <c r="BB84" s="4">
        <f t="shared" si="37"/>
        <v>-46027</v>
      </c>
      <c r="BC84" s="46"/>
      <c r="BD84" s="19"/>
    </row>
    <row r="85" spans="1:56" ht="22.15" customHeight="1">
      <c r="A85"/>
      <c r="B85" s="81" t="s">
        <v>86</v>
      </c>
      <c r="C85" s="67"/>
      <c r="D85" s="73"/>
      <c r="E85" s="70"/>
      <c r="F85" s="70"/>
      <c r="G85" s="66" t="str">
        <f t="shared" si="45"/>
        <v/>
      </c>
      <c r="H85" s="66">
        <f t="shared" si="46"/>
        <v>-46027</v>
      </c>
      <c r="I85" s="67" t="s">
        <v>15</v>
      </c>
      <c r="J85" s="73">
        <v>9.0210000000000008</v>
      </c>
      <c r="K85" s="70">
        <v>46007</v>
      </c>
      <c r="L85" s="70">
        <v>46047</v>
      </c>
      <c r="M85" s="66">
        <f t="shared" si="47"/>
        <v>50</v>
      </c>
      <c r="N85" s="66">
        <f t="shared" si="27"/>
        <v>20</v>
      </c>
      <c r="O85" s="64"/>
      <c r="P85" s="64"/>
      <c r="Q85" s="67" t="s">
        <v>15</v>
      </c>
      <c r="R85" s="73">
        <v>0</v>
      </c>
      <c r="S85" s="70"/>
      <c r="T85" s="70"/>
      <c r="U85" s="66" t="str">
        <f t="shared" si="48"/>
        <v/>
      </c>
      <c r="V85" s="66">
        <f t="shared" si="29"/>
        <v>-46027</v>
      </c>
      <c r="W85" s="82">
        <f t="shared" si="49"/>
        <v>9.0210000000000008</v>
      </c>
      <c r="X85" s="64"/>
      <c r="Y85" s="67" t="s">
        <v>15</v>
      </c>
      <c r="Z85" s="73">
        <v>0</v>
      </c>
      <c r="AA85" s="70"/>
      <c r="AB85" s="70"/>
      <c r="AC85" s="66" t="str">
        <f t="shared" si="50"/>
        <v/>
      </c>
      <c r="AD85" s="66">
        <f t="shared" si="31"/>
        <v>-46027</v>
      </c>
      <c r="AE85" s="82">
        <f t="shared" si="51"/>
        <v>0</v>
      </c>
      <c r="AF85" s="64"/>
      <c r="AG85" s="67" t="s">
        <v>15</v>
      </c>
      <c r="AH85" s="73">
        <v>0</v>
      </c>
      <c r="AI85" s="70"/>
      <c r="AJ85" s="70"/>
      <c r="AK85" s="66" t="str">
        <f t="shared" si="52"/>
        <v/>
      </c>
      <c r="AL85" s="66">
        <f t="shared" si="33"/>
        <v>-46027</v>
      </c>
      <c r="AM85" s="76"/>
      <c r="AN85" s="64"/>
      <c r="AO85" s="67" t="s">
        <v>15</v>
      </c>
      <c r="AP85" s="73">
        <v>0</v>
      </c>
      <c r="AQ85" s="8"/>
      <c r="AR85" s="8"/>
      <c r="AS85" s="4" t="str">
        <f t="shared" si="53"/>
        <v/>
      </c>
      <c r="AT85" s="4">
        <f t="shared" si="35"/>
        <v>-46027</v>
      </c>
      <c r="AU85" s="46"/>
      <c r="AV85" s="19"/>
      <c r="AW85" s="67" t="s">
        <v>15</v>
      </c>
      <c r="AX85" s="73">
        <v>0</v>
      </c>
      <c r="AY85" s="8"/>
      <c r="AZ85" s="8"/>
      <c r="BA85" s="4" t="str">
        <f t="shared" si="54"/>
        <v/>
      </c>
      <c r="BB85" s="4">
        <f t="shared" si="37"/>
        <v>-46027</v>
      </c>
      <c r="BC85" s="46"/>
      <c r="BD85" s="19"/>
    </row>
    <row r="86" spans="1:56" ht="22.15" customHeight="1">
      <c r="A86"/>
      <c r="B86" s="81" t="s">
        <v>86</v>
      </c>
      <c r="C86" s="67"/>
      <c r="D86" s="73"/>
      <c r="E86" s="70"/>
      <c r="F86" s="70"/>
      <c r="G86" s="66" t="str">
        <f t="shared" si="45"/>
        <v/>
      </c>
      <c r="H86" s="66">
        <f t="shared" si="46"/>
        <v>-46027</v>
      </c>
      <c r="I86" s="67" t="s">
        <v>15</v>
      </c>
      <c r="J86" s="73">
        <v>8.41</v>
      </c>
      <c r="K86" s="70">
        <v>46008</v>
      </c>
      <c r="L86" s="70">
        <v>46043</v>
      </c>
      <c r="M86" s="66">
        <f t="shared" si="47"/>
        <v>45.714285714285715</v>
      </c>
      <c r="N86" s="66">
        <f t="shared" si="27"/>
        <v>16</v>
      </c>
      <c r="O86" s="64"/>
      <c r="P86" s="64"/>
      <c r="Q86" s="67" t="s">
        <v>15</v>
      </c>
      <c r="R86" s="73">
        <v>0</v>
      </c>
      <c r="S86" s="70"/>
      <c r="T86" s="70"/>
      <c r="U86" s="66" t="str">
        <f t="shared" si="48"/>
        <v/>
      </c>
      <c r="V86" s="66">
        <f t="shared" si="29"/>
        <v>-46027</v>
      </c>
      <c r="W86" s="82">
        <f t="shared" si="49"/>
        <v>8.41</v>
      </c>
      <c r="X86" s="64"/>
      <c r="Y86" s="67" t="s">
        <v>15</v>
      </c>
      <c r="Z86" s="73">
        <v>0</v>
      </c>
      <c r="AA86" s="70"/>
      <c r="AB86" s="70"/>
      <c r="AC86" s="66" t="str">
        <f t="shared" si="50"/>
        <v/>
      </c>
      <c r="AD86" s="66">
        <f t="shared" si="31"/>
        <v>-46027</v>
      </c>
      <c r="AE86" s="82">
        <f t="shared" si="51"/>
        <v>0</v>
      </c>
      <c r="AF86" s="64"/>
      <c r="AG86" s="67" t="s">
        <v>15</v>
      </c>
      <c r="AH86" s="73">
        <v>0</v>
      </c>
      <c r="AI86" s="70"/>
      <c r="AJ86" s="70"/>
      <c r="AK86" s="66" t="str">
        <f t="shared" si="52"/>
        <v/>
      </c>
      <c r="AL86" s="66">
        <f t="shared" si="33"/>
        <v>-46027</v>
      </c>
      <c r="AM86" s="76"/>
      <c r="AN86" s="64"/>
      <c r="AO86" s="67" t="s">
        <v>15</v>
      </c>
      <c r="AP86" s="73">
        <v>0</v>
      </c>
      <c r="AQ86" s="8"/>
      <c r="AR86" s="8"/>
      <c r="AS86" s="4" t="str">
        <f t="shared" si="53"/>
        <v/>
      </c>
      <c r="AT86" s="4">
        <f t="shared" si="35"/>
        <v>-46027</v>
      </c>
      <c r="AU86" s="46"/>
      <c r="AV86" s="19"/>
      <c r="AW86" s="67" t="s">
        <v>15</v>
      </c>
      <c r="AX86" s="73">
        <v>0</v>
      </c>
      <c r="AY86" s="8"/>
      <c r="AZ86" s="8"/>
      <c r="BA86" s="4" t="str">
        <f t="shared" si="54"/>
        <v/>
      </c>
      <c r="BB86" s="4">
        <f t="shared" si="37"/>
        <v>-46027</v>
      </c>
      <c r="BC86" s="46"/>
      <c r="BD86" s="19"/>
    </row>
    <row r="87" spans="1:56" ht="22.15" customHeight="1">
      <c r="A87"/>
      <c r="B87" s="83" t="s">
        <v>87</v>
      </c>
      <c r="C87" s="67"/>
      <c r="D87" s="73"/>
      <c r="E87" s="70"/>
      <c r="F87" s="70"/>
      <c r="G87" s="66"/>
      <c r="H87" s="66"/>
      <c r="I87" s="67" t="s">
        <v>15</v>
      </c>
      <c r="J87" s="73">
        <v>84.07</v>
      </c>
      <c r="K87" s="70">
        <v>46010</v>
      </c>
      <c r="L87" s="70">
        <v>46050</v>
      </c>
      <c r="M87" s="66">
        <f t="shared" si="47"/>
        <v>57.499999999999993</v>
      </c>
      <c r="N87" s="66">
        <f t="shared" si="27"/>
        <v>23</v>
      </c>
      <c r="O87" s="64"/>
      <c r="P87" s="64"/>
      <c r="Q87" s="67" t="s">
        <v>15</v>
      </c>
      <c r="R87" s="73">
        <v>78.647999999999996</v>
      </c>
      <c r="S87" s="70">
        <v>46010</v>
      </c>
      <c r="T87" s="70">
        <v>46050</v>
      </c>
      <c r="U87" s="66">
        <f t="shared" si="48"/>
        <v>57.499999999999993</v>
      </c>
      <c r="V87" s="66">
        <f t="shared" si="29"/>
        <v>23</v>
      </c>
      <c r="W87" s="79">
        <f t="shared" si="49"/>
        <v>5.421999999999997</v>
      </c>
      <c r="X87" s="64"/>
      <c r="Y87" s="67" t="s">
        <v>15</v>
      </c>
      <c r="Z87" s="73">
        <v>52</v>
      </c>
      <c r="AA87" s="70">
        <v>46010</v>
      </c>
      <c r="AB87" s="70">
        <v>46050</v>
      </c>
      <c r="AC87" s="66">
        <f t="shared" si="50"/>
        <v>57.499999999999993</v>
      </c>
      <c r="AD87" s="66">
        <f t="shared" si="31"/>
        <v>23</v>
      </c>
      <c r="AE87" s="79">
        <f t="shared" si="51"/>
        <v>26.647999999999996</v>
      </c>
      <c r="AF87" s="64"/>
      <c r="AG87" s="67" t="s">
        <v>15</v>
      </c>
      <c r="AH87" s="73">
        <v>0</v>
      </c>
      <c r="AI87" s="70"/>
      <c r="AJ87" s="70"/>
      <c r="AK87" s="66" t="str">
        <f t="shared" si="52"/>
        <v/>
      </c>
      <c r="AL87" s="66">
        <f t="shared" si="33"/>
        <v>-46027</v>
      </c>
      <c r="AM87" s="76"/>
      <c r="AN87" s="64"/>
      <c r="AO87" s="67" t="s">
        <v>15</v>
      </c>
      <c r="AP87" s="73">
        <v>0</v>
      </c>
      <c r="AQ87" s="8"/>
      <c r="AR87" s="8"/>
      <c r="AS87" s="4" t="str">
        <f t="shared" si="53"/>
        <v/>
      </c>
      <c r="AT87" s="4">
        <f t="shared" si="35"/>
        <v>-46027</v>
      </c>
      <c r="AU87" s="46"/>
      <c r="AV87" s="19"/>
      <c r="AW87" s="67" t="s">
        <v>15</v>
      </c>
      <c r="AX87" s="73">
        <v>0</v>
      </c>
      <c r="AY87" s="8"/>
      <c r="AZ87" s="8"/>
      <c r="BA87" s="4" t="str">
        <f t="shared" si="54"/>
        <v/>
      </c>
      <c r="BB87" s="4">
        <f t="shared" si="37"/>
        <v>-46027</v>
      </c>
      <c r="BC87" s="46"/>
      <c r="BD87" s="19"/>
    </row>
    <row r="88" spans="1:56" ht="22.15" customHeight="1">
      <c r="A88"/>
      <c r="B88" s="72" t="s">
        <v>88</v>
      </c>
      <c r="C88" s="67"/>
      <c r="D88" s="73"/>
      <c r="E88" s="70"/>
      <c r="F88" s="70"/>
      <c r="G88" s="66" t="str">
        <f t="shared" ref="G88" si="55">IFERROR((F88-$G$1)/(F88-E88)*100,"")</f>
        <v/>
      </c>
      <c r="H88" s="66">
        <f t="shared" ref="H88" si="56">F88-$H$1</f>
        <v>-46027</v>
      </c>
      <c r="I88" s="67" t="s">
        <v>8</v>
      </c>
      <c r="J88" s="73">
        <v>301</v>
      </c>
      <c r="K88" s="70">
        <v>46013</v>
      </c>
      <c r="L88" s="70">
        <v>46053</v>
      </c>
      <c r="M88" s="66">
        <f t="shared" ref="M88:M135" si="57">IFERROR((L88-$G$1)/(L88-K88)*100,"")</f>
        <v>65</v>
      </c>
      <c r="N88" s="66">
        <f t="shared" ref="N88:N95" si="58">L88-$H$1</f>
        <v>26</v>
      </c>
      <c r="O88" s="64"/>
      <c r="P88" s="64"/>
      <c r="Q88" s="67" t="s">
        <v>8</v>
      </c>
      <c r="R88" s="73">
        <v>0</v>
      </c>
      <c r="S88" s="70"/>
      <c r="T88" s="70"/>
      <c r="U88" s="66" t="str">
        <f t="shared" si="48"/>
        <v/>
      </c>
      <c r="V88" s="66">
        <f t="shared" si="29"/>
        <v>-46027</v>
      </c>
      <c r="W88" s="75">
        <f>J88-R88</f>
        <v>301</v>
      </c>
      <c r="X88" s="64"/>
      <c r="Y88" s="67" t="s">
        <v>8</v>
      </c>
      <c r="Z88" s="89">
        <v>214</v>
      </c>
      <c r="AA88" s="44">
        <v>46013</v>
      </c>
      <c r="AB88" s="44">
        <v>46053</v>
      </c>
      <c r="AC88" s="66">
        <f t="shared" si="50"/>
        <v>65</v>
      </c>
      <c r="AD88" s="66">
        <f t="shared" si="31"/>
        <v>26</v>
      </c>
      <c r="AE88" s="75">
        <f>J88-Z88</f>
        <v>87</v>
      </c>
      <c r="AF88" s="64"/>
      <c r="AG88" s="67" t="s">
        <v>8</v>
      </c>
      <c r="AH88" s="73">
        <v>0</v>
      </c>
      <c r="AI88" s="70"/>
      <c r="AJ88" s="70"/>
      <c r="AK88" s="66" t="str">
        <f t="shared" si="52"/>
        <v/>
      </c>
      <c r="AL88" s="66">
        <f t="shared" si="33"/>
        <v>-46027</v>
      </c>
      <c r="AM88" s="76"/>
      <c r="AN88" s="64"/>
      <c r="AO88" s="67" t="s">
        <v>8</v>
      </c>
      <c r="AP88" s="73">
        <v>0</v>
      </c>
      <c r="AQ88" s="8"/>
      <c r="AR88" s="8"/>
      <c r="AS88" s="4" t="str">
        <f t="shared" si="53"/>
        <v/>
      </c>
      <c r="AT88" s="4">
        <f t="shared" si="35"/>
        <v>-46027</v>
      </c>
      <c r="AU88" s="46"/>
      <c r="AV88" s="19"/>
      <c r="AW88" s="67" t="s">
        <v>8</v>
      </c>
      <c r="AX88" s="73">
        <v>0</v>
      </c>
      <c r="AY88" s="8"/>
      <c r="AZ88" s="8"/>
      <c r="BA88" s="4" t="str">
        <f t="shared" si="54"/>
        <v/>
      </c>
      <c r="BB88" s="4">
        <f t="shared" si="37"/>
        <v>-46027</v>
      </c>
      <c r="BC88" s="46"/>
      <c r="BD88" s="19"/>
    </row>
    <row r="89" spans="1:56" ht="22.15" customHeight="1">
      <c r="A89"/>
      <c r="B89" s="72" t="s">
        <v>82</v>
      </c>
      <c r="C89" s="67"/>
      <c r="D89" s="73"/>
      <c r="E89" s="70"/>
      <c r="F89" s="70"/>
      <c r="G89" s="66" t="str">
        <f t="shared" ref="G89:G91" si="59">IFERROR((F89-$G$1)/(F89-E89)*100,"")</f>
        <v/>
      </c>
      <c r="H89" s="66">
        <f t="shared" ref="H89:H91" si="60">F89-$H$1</f>
        <v>-46027</v>
      </c>
      <c r="I89" s="67" t="s">
        <v>8</v>
      </c>
      <c r="J89" s="73">
        <v>177</v>
      </c>
      <c r="K89" s="70">
        <v>45990</v>
      </c>
      <c r="L89" s="70">
        <v>46053</v>
      </c>
      <c r="M89" s="66">
        <f t="shared" si="57"/>
        <v>41.269841269841265</v>
      </c>
      <c r="N89" s="66">
        <f t="shared" si="58"/>
        <v>26</v>
      </c>
      <c r="O89" s="64"/>
      <c r="P89" s="64"/>
      <c r="Q89" s="67" t="s">
        <v>8</v>
      </c>
      <c r="R89" s="73">
        <v>0</v>
      </c>
      <c r="S89" s="70"/>
      <c r="T89" s="70"/>
      <c r="U89" s="66" t="str">
        <f t="shared" si="48"/>
        <v/>
      </c>
      <c r="V89" s="66">
        <f t="shared" si="29"/>
        <v>-46027</v>
      </c>
      <c r="W89" s="75">
        <f t="shared" ref="W89:W99" si="61">J89-R89</f>
        <v>177</v>
      </c>
      <c r="X89" s="64"/>
      <c r="Y89" s="67" t="s">
        <v>8</v>
      </c>
      <c r="Z89" s="90">
        <v>0</v>
      </c>
      <c r="AA89" s="70"/>
      <c r="AB89" s="70"/>
      <c r="AC89" s="66" t="str">
        <f t="shared" si="50"/>
        <v/>
      </c>
      <c r="AD89" s="66">
        <f t="shared" si="31"/>
        <v>-46027</v>
      </c>
      <c r="AE89" s="75">
        <f t="shared" ref="AE89:AE99" si="62">J89-Z89</f>
        <v>177</v>
      </c>
      <c r="AF89" s="64"/>
      <c r="AG89" s="67" t="s">
        <v>8</v>
      </c>
      <c r="AH89" s="73">
        <v>0</v>
      </c>
      <c r="AI89" s="70"/>
      <c r="AJ89" s="70"/>
      <c r="AK89" s="66" t="str">
        <f t="shared" si="52"/>
        <v/>
      </c>
      <c r="AL89" s="66">
        <f t="shared" si="33"/>
        <v>-46027</v>
      </c>
      <c r="AM89" s="76"/>
      <c r="AN89" s="64"/>
      <c r="AO89" s="67" t="s">
        <v>8</v>
      </c>
      <c r="AP89" s="73">
        <v>0</v>
      </c>
      <c r="AQ89" s="8"/>
      <c r="AR89" s="8"/>
      <c r="AS89" s="4" t="str">
        <f t="shared" si="53"/>
        <v/>
      </c>
      <c r="AT89" s="4">
        <f t="shared" si="35"/>
        <v>-46027</v>
      </c>
      <c r="AU89" s="46"/>
      <c r="AV89" s="19"/>
      <c r="AW89" s="67" t="s">
        <v>8</v>
      </c>
      <c r="AX89" s="73">
        <v>0</v>
      </c>
      <c r="AY89" s="8"/>
      <c r="AZ89" s="8"/>
      <c r="BA89" s="4" t="str">
        <f t="shared" si="54"/>
        <v/>
      </c>
      <c r="BB89" s="4">
        <f t="shared" si="37"/>
        <v>-46027</v>
      </c>
      <c r="BC89" s="46"/>
      <c r="BD89" s="19"/>
    </row>
    <row r="90" spans="1:56" ht="22.15" customHeight="1">
      <c r="A90"/>
      <c r="B90" s="72" t="s">
        <v>83</v>
      </c>
      <c r="C90" s="67"/>
      <c r="D90" s="73"/>
      <c r="E90" s="70"/>
      <c r="F90" s="70"/>
      <c r="G90" s="66" t="str">
        <f t="shared" si="59"/>
        <v/>
      </c>
      <c r="H90" s="66">
        <f t="shared" si="60"/>
        <v>-46027</v>
      </c>
      <c r="I90" s="67" t="s">
        <v>8</v>
      </c>
      <c r="J90" s="73">
        <v>95</v>
      </c>
      <c r="K90" s="70">
        <v>46013</v>
      </c>
      <c r="L90" s="70">
        <v>46053</v>
      </c>
      <c r="M90" s="66">
        <f t="shared" si="57"/>
        <v>65</v>
      </c>
      <c r="N90" s="66">
        <f t="shared" si="58"/>
        <v>26</v>
      </c>
      <c r="O90" s="64"/>
      <c r="P90" s="64"/>
      <c r="Q90" s="67" t="s">
        <v>8</v>
      </c>
      <c r="R90" s="73">
        <v>0</v>
      </c>
      <c r="S90" s="70"/>
      <c r="T90" s="70"/>
      <c r="U90" s="66" t="str">
        <f t="shared" si="48"/>
        <v/>
      </c>
      <c r="V90" s="66">
        <f t="shared" si="29"/>
        <v>-46027</v>
      </c>
      <c r="W90" s="75">
        <f t="shared" si="61"/>
        <v>95</v>
      </c>
      <c r="X90" s="64"/>
      <c r="Y90" s="67" t="s">
        <v>8</v>
      </c>
      <c r="Z90" s="73">
        <v>0</v>
      </c>
      <c r="AA90" s="70"/>
      <c r="AB90" s="70"/>
      <c r="AC90" s="66" t="str">
        <f t="shared" si="50"/>
        <v/>
      </c>
      <c r="AD90" s="66">
        <f t="shared" si="31"/>
        <v>-46027</v>
      </c>
      <c r="AE90" s="75">
        <f t="shared" si="62"/>
        <v>95</v>
      </c>
      <c r="AF90" s="64"/>
      <c r="AG90" s="67" t="s">
        <v>8</v>
      </c>
      <c r="AH90" s="73">
        <v>0</v>
      </c>
      <c r="AI90" s="70"/>
      <c r="AJ90" s="70"/>
      <c r="AK90" s="66" t="str">
        <f t="shared" si="52"/>
        <v/>
      </c>
      <c r="AL90" s="66">
        <f t="shared" si="33"/>
        <v>-46027</v>
      </c>
      <c r="AM90" s="76"/>
      <c r="AN90" s="64"/>
      <c r="AO90" s="67" t="s">
        <v>8</v>
      </c>
      <c r="AP90" s="73">
        <v>0</v>
      </c>
      <c r="AQ90" s="8"/>
      <c r="AR90" s="8"/>
      <c r="AS90" s="4" t="str">
        <f t="shared" si="53"/>
        <v/>
      </c>
      <c r="AT90" s="4">
        <f t="shared" si="35"/>
        <v>-46027</v>
      </c>
      <c r="AU90" s="46"/>
      <c r="AV90" s="19"/>
      <c r="AW90" s="67" t="s">
        <v>8</v>
      </c>
      <c r="AX90" s="73">
        <v>0</v>
      </c>
      <c r="AY90" s="8"/>
      <c r="AZ90" s="8"/>
      <c r="BA90" s="4" t="str">
        <f t="shared" si="54"/>
        <v/>
      </c>
      <c r="BB90" s="4">
        <f t="shared" si="37"/>
        <v>-46027</v>
      </c>
      <c r="BC90" s="46"/>
      <c r="BD90" s="19"/>
    </row>
    <row r="91" spans="1:56" ht="22.15" customHeight="1">
      <c r="A91"/>
      <c r="B91" s="72" t="s">
        <v>85</v>
      </c>
      <c r="C91" s="67"/>
      <c r="D91" s="73"/>
      <c r="E91" s="70"/>
      <c r="F91" s="70"/>
      <c r="G91" s="66" t="str">
        <f t="shared" si="59"/>
        <v/>
      </c>
      <c r="H91" s="66">
        <f t="shared" si="60"/>
        <v>-46027</v>
      </c>
      <c r="I91" s="67" t="s">
        <v>104</v>
      </c>
      <c r="J91" s="73">
        <v>3</v>
      </c>
      <c r="K91" s="70">
        <v>46010</v>
      </c>
      <c r="L91" s="70">
        <v>46050</v>
      </c>
      <c r="M91" s="66">
        <f t="shared" si="57"/>
        <v>57.499999999999993</v>
      </c>
      <c r="N91" s="66">
        <f t="shared" si="58"/>
        <v>23</v>
      </c>
      <c r="O91" s="64"/>
      <c r="P91" s="64"/>
      <c r="Q91" s="67" t="s">
        <v>101</v>
      </c>
      <c r="R91" s="73">
        <v>0</v>
      </c>
      <c r="S91" s="70"/>
      <c r="T91" s="70"/>
      <c r="U91" s="66" t="str">
        <f t="shared" si="48"/>
        <v/>
      </c>
      <c r="V91" s="66">
        <f t="shared" si="29"/>
        <v>-46027</v>
      </c>
      <c r="W91" s="75">
        <f t="shared" si="61"/>
        <v>3</v>
      </c>
      <c r="X91" s="64"/>
      <c r="Y91" s="67" t="s">
        <v>101</v>
      </c>
      <c r="Z91" s="73">
        <v>0</v>
      </c>
      <c r="AA91" s="70"/>
      <c r="AB91" s="70"/>
      <c r="AC91" s="66" t="str">
        <f t="shared" si="50"/>
        <v/>
      </c>
      <c r="AD91" s="66">
        <f t="shared" si="31"/>
        <v>-46027</v>
      </c>
      <c r="AE91" s="75">
        <f t="shared" si="62"/>
        <v>3</v>
      </c>
      <c r="AF91" s="64"/>
      <c r="AG91" s="67" t="s">
        <v>101</v>
      </c>
      <c r="AH91" s="73">
        <v>0</v>
      </c>
      <c r="AI91" s="70"/>
      <c r="AJ91" s="70"/>
      <c r="AK91" s="66" t="str">
        <f t="shared" si="52"/>
        <v/>
      </c>
      <c r="AL91" s="66">
        <f t="shared" si="33"/>
        <v>-46027</v>
      </c>
      <c r="AM91" s="76"/>
      <c r="AN91" s="64"/>
      <c r="AO91" s="67" t="s">
        <v>101</v>
      </c>
      <c r="AP91" s="73">
        <v>0</v>
      </c>
      <c r="AQ91" s="8"/>
      <c r="AR91" s="8"/>
      <c r="AS91" s="4" t="str">
        <f t="shared" si="53"/>
        <v/>
      </c>
      <c r="AT91" s="4">
        <f t="shared" si="35"/>
        <v>-46027</v>
      </c>
      <c r="AU91" s="46"/>
      <c r="AV91" s="19"/>
      <c r="AW91" s="67" t="s">
        <v>101</v>
      </c>
      <c r="AX91" s="73">
        <v>0</v>
      </c>
      <c r="AY91" s="8"/>
      <c r="AZ91" s="8"/>
      <c r="BA91" s="4" t="str">
        <f t="shared" si="54"/>
        <v/>
      </c>
      <c r="BB91" s="4">
        <f t="shared" si="37"/>
        <v>-46027</v>
      </c>
      <c r="BC91" s="46"/>
      <c r="BD91" s="19"/>
    </row>
    <row r="92" spans="1:56" ht="22.15" customHeight="1">
      <c r="A92"/>
      <c r="B92" s="72" t="s">
        <v>89</v>
      </c>
      <c r="C92" s="67"/>
      <c r="D92" s="73"/>
      <c r="E92" s="70"/>
      <c r="F92" s="70"/>
      <c r="G92" s="66" t="str">
        <f t="shared" ref="G92:G135" si="63">IFERROR((F92-$G$1)/(F92-E92)*100,"")</f>
        <v/>
      </c>
      <c r="H92" s="66">
        <f t="shared" ref="H92:H134" si="64">F92-$H$1</f>
        <v>-46027</v>
      </c>
      <c r="I92" s="67" t="s">
        <v>8</v>
      </c>
      <c r="J92" s="73">
        <v>263</v>
      </c>
      <c r="K92" s="70">
        <v>46009</v>
      </c>
      <c r="L92" s="70">
        <v>46049</v>
      </c>
      <c r="M92" s="66">
        <f t="shared" si="57"/>
        <v>55.000000000000007</v>
      </c>
      <c r="N92" s="66">
        <f t="shared" si="58"/>
        <v>22</v>
      </c>
      <c r="O92" s="64"/>
      <c r="P92" s="64"/>
      <c r="Q92" s="67" t="s">
        <v>8</v>
      </c>
      <c r="R92" s="73">
        <v>0</v>
      </c>
      <c r="S92" s="70"/>
      <c r="T92" s="70"/>
      <c r="U92" s="66" t="str">
        <f t="shared" si="48"/>
        <v/>
      </c>
      <c r="V92" s="66">
        <f t="shared" si="29"/>
        <v>-46027</v>
      </c>
      <c r="W92" s="75">
        <f t="shared" si="61"/>
        <v>263</v>
      </c>
      <c r="X92" s="64"/>
      <c r="Y92" s="67" t="s">
        <v>8</v>
      </c>
      <c r="Z92" s="73">
        <v>0</v>
      </c>
      <c r="AA92" s="70"/>
      <c r="AB92" s="70"/>
      <c r="AC92" s="66" t="str">
        <f t="shared" si="50"/>
        <v/>
      </c>
      <c r="AD92" s="66">
        <f t="shared" si="31"/>
        <v>-46027</v>
      </c>
      <c r="AE92" s="75">
        <f t="shared" si="62"/>
        <v>263</v>
      </c>
      <c r="AF92" s="64"/>
      <c r="AG92" s="67" t="s">
        <v>8</v>
      </c>
      <c r="AH92" s="73">
        <v>0</v>
      </c>
      <c r="AI92" s="70"/>
      <c r="AJ92" s="70"/>
      <c r="AK92" s="66" t="str">
        <f t="shared" si="52"/>
        <v/>
      </c>
      <c r="AL92" s="66">
        <f t="shared" si="33"/>
        <v>-46027</v>
      </c>
      <c r="AM92" s="76"/>
      <c r="AN92" s="64"/>
      <c r="AO92" s="67" t="s">
        <v>8</v>
      </c>
      <c r="AP92" s="73">
        <v>0</v>
      </c>
      <c r="AQ92" s="8"/>
      <c r="AR92" s="8"/>
      <c r="AS92" s="4" t="str">
        <f t="shared" si="53"/>
        <v/>
      </c>
      <c r="AT92" s="4">
        <f t="shared" si="35"/>
        <v>-46027</v>
      </c>
      <c r="AU92" s="46"/>
      <c r="AV92" s="19"/>
      <c r="AW92" s="67" t="s">
        <v>8</v>
      </c>
      <c r="AX92" s="73">
        <v>0</v>
      </c>
      <c r="AY92" s="8"/>
      <c r="AZ92" s="8"/>
      <c r="BA92" s="4" t="str">
        <f t="shared" si="54"/>
        <v/>
      </c>
      <c r="BB92" s="4">
        <f t="shared" si="37"/>
        <v>-46027</v>
      </c>
      <c r="BC92" s="46"/>
      <c r="BD92" s="19"/>
    </row>
    <row r="93" spans="1:56" ht="22.15" customHeight="1">
      <c r="A93"/>
      <c r="B93" s="72" t="s">
        <v>90</v>
      </c>
      <c r="C93" s="67"/>
      <c r="D93" s="73"/>
      <c r="E93" s="70"/>
      <c r="F93" s="70"/>
      <c r="G93" s="66" t="str">
        <f t="shared" si="63"/>
        <v/>
      </c>
      <c r="H93" s="66">
        <f t="shared" si="64"/>
        <v>-46027</v>
      </c>
      <c r="I93" s="67" t="s">
        <v>8</v>
      </c>
      <c r="J93" s="73">
        <v>210</v>
      </c>
      <c r="K93" s="70">
        <v>46004</v>
      </c>
      <c r="L93" s="70">
        <v>46044</v>
      </c>
      <c r="M93" s="66">
        <f t="shared" si="57"/>
        <v>42.5</v>
      </c>
      <c r="N93" s="66">
        <f t="shared" si="58"/>
        <v>17</v>
      </c>
      <c r="O93" s="64"/>
      <c r="P93" s="64"/>
      <c r="Q93" s="67" t="s">
        <v>8</v>
      </c>
      <c r="R93" s="73">
        <v>0</v>
      </c>
      <c r="S93" s="70"/>
      <c r="T93" s="70"/>
      <c r="U93" s="66" t="str">
        <f t="shared" si="48"/>
        <v/>
      </c>
      <c r="V93" s="66">
        <f t="shared" si="29"/>
        <v>-46027</v>
      </c>
      <c r="W93" s="75">
        <f t="shared" si="61"/>
        <v>210</v>
      </c>
      <c r="X93" s="64"/>
      <c r="Y93" s="67" t="s">
        <v>8</v>
      </c>
      <c r="Z93" s="73">
        <v>0</v>
      </c>
      <c r="AA93" s="70"/>
      <c r="AB93" s="70"/>
      <c r="AC93" s="66" t="str">
        <f t="shared" si="50"/>
        <v/>
      </c>
      <c r="AD93" s="66">
        <f t="shared" si="31"/>
        <v>-46027</v>
      </c>
      <c r="AE93" s="75">
        <f t="shared" si="62"/>
        <v>210</v>
      </c>
      <c r="AF93" s="64"/>
      <c r="AG93" s="67" t="s">
        <v>8</v>
      </c>
      <c r="AH93" s="73">
        <v>0</v>
      </c>
      <c r="AI93" s="70"/>
      <c r="AJ93" s="70"/>
      <c r="AK93" s="66" t="str">
        <f t="shared" si="52"/>
        <v/>
      </c>
      <c r="AL93" s="66">
        <f t="shared" si="33"/>
        <v>-46027</v>
      </c>
      <c r="AM93" s="76"/>
      <c r="AN93" s="64"/>
      <c r="AO93" s="67" t="s">
        <v>8</v>
      </c>
      <c r="AP93" s="73">
        <v>0</v>
      </c>
      <c r="AQ93" s="8"/>
      <c r="AR93" s="8"/>
      <c r="AS93" s="4" t="str">
        <f t="shared" si="53"/>
        <v/>
      </c>
      <c r="AT93" s="4">
        <f t="shared" si="35"/>
        <v>-46027</v>
      </c>
      <c r="AU93" s="46"/>
      <c r="AV93" s="19"/>
      <c r="AW93" s="67" t="s">
        <v>8</v>
      </c>
      <c r="AX93" s="73">
        <v>0</v>
      </c>
      <c r="AY93" s="8"/>
      <c r="AZ93" s="8"/>
      <c r="BA93" s="4" t="str">
        <f t="shared" si="54"/>
        <v/>
      </c>
      <c r="BB93" s="4">
        <f t="shared" si="37"/>
        <v>-46027</v>
      </c>
      <c r="BC93" s="46"/>
      <c r="BD93" s="19"/>
    </row>
    <row r="94" spans="1:56" ht="22.15" customHeight="1">
      <c r="A94" s="12"/>
      <c r="B94" s="72" t="s">
        <v>91</v>
      </c>
      <c r="C94" s="67"/>
      <c r="D94" s="73"/>
      <c r="E94" s="70"/>
      <c r="F94" s="70"/>
      <c r="G94" s="66" t="str">
        <f t="shared" si="63"/>
        <v/>
      </c>
      <c r="H94" s="66">
        <f t="shared" si="64"/>
        <v>-46027</v>
      </c>
      <c r="I94" s="67" t="s">
        <v>8</v>
      </c>
      <c r="J94" s="73">
        <v>359</v>
      </c>
      <c r="K94" s="70">
        <v>46012</v>
      </c>
      <c r="L94" s="70">
        <v>46042</v>
      </c>
      <c r="M94" s="66">
        <f t="shared" si="57"/>
        <v>50</v>
      </c>
      <c r="N94" s="66">
        <f t="shared" si="58"/>
        <v>15</v>
      </c>
      <c r="O94" s="64"/>
      <c r="P94" s="64"/>
      <c r="Q94" s="67" t="s">
        <v>8</v>
      </c>
      <c r="R94" s="73">
        <v>0</v>
      </c>
      <c r="S94" s="70"/>
      <c r="T94" s="70"/>
      <c r="U94" s="66" t="str">
        <f t="shared" si="48"/>
        <v/>
      </c>
      <c r="V94" s="66">
        <f t="shared" si="29"/>
        <v>-46027</v>
      </c>
      <c r="W94" s="75">
        <f t="shared" si="61"/>
        <v>359</v>
      </c>
      <c r="X94" s="64"/>
      <c r="Y94" s="67" t="s">
        <v>8</v>
      </c>
      <c r="Z94" s="73">
        <v>0</v>
      </c>
      <c r="AA94" s="70"/>
      <c r="AB94" s="70"/>
      <c r="AC94" s="66" t="str">
        <f t="shared" si="50"/>
        <v/>
      </c>
      <c r="AD94" s="66">
        <f t="shared" si="31"/>
        <v>-46027</v>
      </c>
      <c r="AE94" s="75">
        <f t="shared" si="62"/>
        <v>359</v>
      </c>
      <c r="AF94" s="64"/>
      <c r="AG94" s="67" t="s">
        <v>8</v>
      </c>
      <c r="AH94" s="73">
        <v>0</v>
      </c>
      <c r="AI94" s="70"/>
      <c r="AJ94" s="70"/>
      <c r="AK94" s="66" t="str">
        <f t="shared" si="52"/>
        <v/>
      </c>
      <c r="AL94" s="66">
        <f t="shared" si="33"/>
        <v>-46027</v>
      </c>
      <c r="AM94" s="76"/>
      <c r="AN94" s="64"/>
      <c r="AO94" s="67" t="s">
        <v>8</v>
      </c>
      <c r="AP94" s="73">
        <v>0</v>
      </c>
      <c r="AQ94" s="8"/>
      <c r="AR94" s="8"/>
      <c r="AS94" s="4" t="str">
        <f t="shared" si="53"/>
        <v/>
      </c>
      <c r="AT94" s="4">
        <f t="shared" si="35"/>
        <v>-46027</v>
      </c>
      <c r="AU94" s="46"/>
      <c r="AV94" s="19"/>
      <c r="AW94" s="67" t="s">
        <v>8</v>
      </c>
      <c r="AX94" s="73">
        <v>0</v>
      </c>
      <c r="AY94" s="8"/>
      <c r="AZ94" s="8"/>
      <c r="BA94" s="4" t="str">
        <f t="shared" si="54"/>
        <v/>
      </c>
      <c r="BB94" s="4">
        <f t="shared" si="37"/>
        <v>-46027</v>
      </c>
      <c r="BC94" s="46"/>
      <c r="BD94" s="19"/>
    </row>
    <row r="95" spans="1:56" ht="22.15" customHeight="1">
      <c r="A95" s="12"/>
      <c r="B95" s="72" t="s">
        <v>92</v>
      </c>
      <c r="C95" s="67"/>
      <c r="D95" s="91"/>
      <c r="E95" s="70"/>
      <c r="F95" s="92"/>
      <c r="G95" s="66" t="str">
        <f t="shared" si="63"/>
        <v/>
      </c>
      <c r="H95" s="66">
        <f t="shared" si="64"/>
        <v>-46027</v>
      </c>
      <c r="I95" s="67" t="s">
        <v>8</v>
      </c>
      <c r="J95" s="73">
        <v>31</v>
      </c>
      <c r="K95" s="70">
        <v>46010</v>
      </c>
      <c r="L95" s="70">
        <v>46050</v>
      </c>
      <c r="M95" s="66">
        <f t="shared" si="57"/>
        <v>57.499999999999993</v>
      </c>
      <c r="N95" s="66">
        <f t="shared" si="58"/>
        <v>23</v>
      </c>
      <c r="O95" s="64"/>
      <c r="P95" s="64"/>
      <c r="Q95" s="67" t="s">
        <v>8</v>
      </c>
      <c r="R95" s="73">
        <v>0</v>
      </c>
      <c r="S95" s="70"/>
      <c r="T95" s="70"/>
      <c r="U95" s="66" t="str">
        <f t="shared" si="48"/>
        <v/>
      </c>
      <c r="V95" s="66">
        <f t="shared" si="29"/>
        <v>-46027</v>
      </c>
      <c r="W95" s="75">
        <f t="shared" si="61"/>
        <v>31</v>
      </c>
      <c r="X95" s="64"/>
      <c r="Y95" s="67" t="s">
        <v>8</v>
      </c>
      <c r="Z95" s="73">
        <v>0</v>
      </c>
      <c r="AA95" s="70"/>
      <c r="AB95" s="70"/>
      <c r="AC95" s="66" t="str">
        <f t="shared" si="50"/>
        <v/>
      </c>
      <c r="AD95" s="66">
        <f t="shared" si="31"/>
        <v>-46027</v>
      </c>
      <c r="AE95" s="75">
        <f t="shared" si="62"/>
        <v>31</v>
      </c>
      <c r="AF95" s="64"/>
      <c r="AG95" s="67" t="s">
        <v>8</v>
      </c>
      <c r="AH95" s="73">
        <v>0</v>
      </c>
      <c r="AI95" s="70"/>
      <c r="AJ95" s="70"/>
      <c r="AK95" s="66" t="str">
        <f t="shared" si="52"/>
        <v/>
      </c>
      <c r="AL95" s="66">
        <f t="shared" si="33"/>
        <v>-46027</v>
      </c>
      <c r="AM95" s="76"/>
      <c r="AN95" s="64"/>
      <c r="AO95" s="67" t="s">
        <v>8</v>
      </c>
      <c r="AP95" s="73">
        <v>0</v>
      </c>
      <c r="AQ95" s="8"/>
      <c r="AR95" s="8"/>
      <c r="AS95" s="4" t="str">
        <f t="shared" si="53"/>
        <v/>
      </c>
      <c r="AT95" s="4">
        <f t="shared" si="35"/>
        <v>-46027</v>
      </c>
      <c r="AU95" s="46"/>
      <c r="AV95" s="19"/>
      <c r="AW95" s="67" t="s">
        <v>8</v>
      </c>
      <c r="AX95" s="73">
        <v>0</v>
      </c>
      <c r="AY95" s="8"/>
      <c r="AZ95" s="8"/>
      <c r="BA95" s="4" t="str">
        <f t="shared" si="54"/>
        <v/>
      </c>
      <c r="BB95" s="4">
        <f t="shared" si="37"/>
        <v>-46027</v>
      </c>
      <c r="BC95" s="46"/>
      <c r="BD95" s="19"/>
    </row>
    <row r="96" spans="1:56" ht="22.15" customHeight="1">
      <c r="A96" s="12"/>
      <c r="B96" s="72" t="s">
        <v>93</v>
      </c>
      <c r="C96" s="93"/>
      <c r="D96" s="94"/>
      <c r="E96" s="95"/>
      <c r="F96" s="96"/>
      <c r="G96" s="66" t="str">
        <f t="shared" si="63"/>
        <v/>
      </c>
      <c r="H96" s="66">
        <f t="shared" si="64"/>
        <v>-46027</v>
      </c>
      <c r="I96" s="97" t="s">
        <v>8</v>
      </c>
      <c r="J96" s="98">
        <v>32</v>
      </c>
      <c r="K96" s="99">
        <v>46012</v>
      </c>
      <c r="L96" s="45">
        <v>46052</v>
      </c>
      <c r="M96" s="66">
        <f t="shared" si="57"/>
        <v>62.5</v>
      </c>
      <c r="N96" s="66">
        <f t="shared" ref="N96:N135" si="65">L96-$H$1</f>
        <v>25</v>
      </c>
      <c r="O96" s="64"/>
      <c r="P96" s="64"/>
      <c r="Q96" s="97" t="s">
        <v>8</v>
      </c>
      <c r="R96" s="98">
        <v>0</v>
      </c>
      <c r="S96" s="99"/>
      <c r="T96" s="45"/>
      <c r="U96" s="66" t="str">
        <f t="shared" si="48"/>
        <v/>
      </c>
      <c r="V96" s="66">
        <f t="shared" si="29"/>
        <v>-46027</v>
      </c>
      <c r="W96" s="75">
        <f t="shared" si="61"/>
        <v>32</v>
      </c>
      <c r="X96" s="64"/>
      <c r="Y96" s="97" t="s">
        <v>8</v>
      </c>
      <c r="Z96" s="98">
        <v>0</v>
      </c>
      <c r="AA96" s="99"/>
      <c r="AB96" s="45"/>
      <c r="AC96" s="66" t="str">
        <f t="shared" si="50"/>
        <v/>
      </c>
      <c r="AD96" s="66">
        <f t="shared" si="31"/>
        <v>-46027</v>
      </c>
      <c r="AE96" s="75">
        <f t="shared" si="62"/>
        <v>32</v>
      </c>
      <c r="AF96" s="64"/>
      <c r="AG96" s="97" t="s">
        <v>8</v>
      </c>
      <c r="AH96" s="98">
        <v>0</v>
      </c>
      <c r="AI96" s="99"/>
      <c r="AJ96" s="45"/>
      <c r="AK96" s="66" t="str">
        <f t="shared" si="52"/>
        <v/>
      </c>
      <c r="AL96" s="66">
        <f t="shared" si="33"/>
        <v>-46027</v>
      </c>
      <c r="AM96" s="76"/>
      <c r="AN96" s="64"/>
      <c r="AO96" s="97" t="s">
        <v>8</v>
      </c>
      <c r="AP96" s="98">
        <v>0</v>
      </c>
      <c r="AQ96" s="14"/>
      <c r="AR96" s="15"/>
      <c r="AS96" s="4" t="str">
        <f t="shared" si="53"/>
        <v/>
      </c>
      <c r="AT96" s="4">
        <f t="shared" si="35"/>
        <v>-46027</v>
      </c>
      <c r="AU96" s="46"/>
      <c r="AV96" s="19"/>
      <c r="AW96" s="97" t="s">
        <v>8</v>
      </c>
      <c r="AX96" s="98">
        <v>0</v>
      </c>
      <c r="AY96" s="14"/>
      <c r="AZ96" s="15"/>
      <c r="BA96" s="4" t="str">
        <f t="shared" si="54"/>
        <v/>
      </c>
      <c r="BB96" s="4">
        <f t="shared" si="37"/>
        <v>-46027</v>
      </c>
      <c r="BC96" s="46"/>
      <c r="BD96" s="19"/>
    </row>
    <row r="97" spans="1:57" ht="22.15" customHeight="1">
      <c r="A97" s="12"/>
      <c r="B97" s="72" t="s">
        <v>94</v>
      </c>
      <c r="C97" s="100"/>
      <c r="D97" s="89"/>
      <c r="E97" s="101"/>
      <c r="F97" s="100"/>
      <c r="G97" s="66" t="str">
        <f t="shared" si="63"/>
        <v/>
      </c>
      <c r="H97" s="66">
        <f t="shared" si="64"/>
        <v>-46027</v>
      </c>
      <c r="I97" s="100" t="s">
        <v>8</v>
      </c>
      <c r="J97" s="89">
        <v>26</v>
      </c>
      <c r="K97" s="45">
        <v>46013</v>
      </c>
      <c r="L97" s="44">
        <v>46053</v>
      </c>
      <c r="M97" s="66">
        <f t="shared" si="57"/>
        <v>65</v>
      </c>
      <c r="N97" s="66">
        <f t="shared" si="65"/>
        <v>26</v>
      </c>
      <c r="O97" s="64"/>
      <c r="P97" s="64"/>
      <c r="Q97" s="100" t="s">
        <v>8</v>
      </c>
      <c r="R97" s="89">
        <v>0</v>
      </c>
      <c r="S97" s="45"/>
      <c r="T97" s="44"/>
      <c r="U97" s="66" t="str">
        <f t="shared" si="48"/>
        <v/>
      </c>
      <c r="V97" s="66">
        <f t="shared" si="29"/>
        <v>-46027</v>
      </c>
      <c r="W97" s="75">
        <f t="shared" si="61"/>
        <v>26</v>
      </c>
      <c r="X97" s="64"/>
      <c r="Y97" s="100" t="s">
        <v>8</v>
      </c>
      <c r="Z97" s="89">
        <v>0</v>
      </c>
      <c r="AA97" s="45"/>
      <c r="AB97" s="44"/>
      <c r="AC97" s="66" t="str">
        <f t="shared" si="50"/>
        <v/>
      </c>
      <c r="AD97" s="66">
        <f t="shared" si="31"/>
        <v>-46027</v>
      </c>
      <c r="AE97" s="75">
        <f t="shared" si="62"/>
        <v>26</v>
      </c>
      <c r="AF97" s="64"/>
      <c r="AG97" s="100" t="s">
        <v>8</v>
      </c>
      <c r="AH97" s="89">
        <v>0</v>
      </c>
      <c r="AI97" s="45"/>
      <c r="AJ97" s="44"/>
      <c r="AK97" s="66" t="str">
        <f t="shared" si="52"/>
        <v/>
      </c>
      <c r="AL97" s="66">
        <f t="shared" si="33"/>
        <v>-46027</v>
      </c>
      <c r="AM97" s="76"/>
      <c r="AN97" s="64"/>
      <c r="AO97" s="100" t="s">
        <v>8</v>
      </c>
      <c r="AP97" s="89">
        <v>0</v>
      </c>
      <c r="AQ97" s="15"/>
      <c r="AR97" s="16"/>
      <c r="AS97" s="4" t="str">
        <f t="shared" si="53"/>
        <v/>
      </c>
      <c r="AT97" s="4">
        <f t="shared" si="35"/>
        <v>-46027</v>
      </c>
      <c r="AU97" s="46"/>
      <c r="AV97" s="19"/>
      <c r="AW97" s="100" t="s">
        <v>8</v>
      </c>
      <c r="AX97" s="89">
        <v>0</v>
      </c>
      <c r="AY97" s="15"/>
      <c r="AZ97" s="16"/>
      <c r="BA97" s="4" t="str">
        <f t="shared" si="54"/>
        <v/>
      </c>
      <c r="BB97" s="4">
        <f t="shared" si="37"/>
        <v>-46027</v>
      </c>
      <c r="BC97" s="46"/>
      <c r="BD97" s="19"/>
    </row>
    <row r="98" spans="1:57" ht="22.15" customHeight="1">
      <c r="A98" s="12"/>
      <c r="B98" s="72" t="s">
        <v>95</v>
      </c>
      <c r="C98" s="100"/>
      <c r="D98" s="102"/>
      <c r="E98" s="100"/>
      <c r="F98" s="101"/>
      <c r="G98" s="66" t="str">
        <f t="shared" si="63"/>
        <v/>
      </c>
      <c r="H98" s="66">
        <f t="shared" si="64"/>
        <v>-46027</v>
      </c>
      <c r="I98" s="100" t="s">
        <v>8</v>
      </c>
      <c r="J98" s="89">
        <v>68</v>
      </c>
      <c r="K98" s="45">
        <v>46011</v>
      </c>
      <c r="L98" s="45">
        <v>46051</v>
      </c>
      <c r="M98" s="66">
        <f t="shared" si="57"/>
        <v>60</v>
      </c>
      <c r="N98" s="66">
        <f t="shared" si="65"/>
        <v>24</v>
      </c>
      <c r="O98" s="64"/>
      <c r="P98" s="64"/>
      <c r="Q98" s="100" t="s">
        <v>8</v>
      </c>
      <c r="R98" s="89">
        <v>0</v>
      </c>
      <c r="S98" s="45"/>
      <c r="T98" s="45"/>
      <c r="U98" s="66" t="str">
        <f t="shared" si="48"/>
        <v/>
      </c>
      <c r="V98" s="66">
        <f t="shared" si="29"/>
        <v>-46027</v>
      </c>
      <c r="W98" s="75">
        <f t="shared" si="61"/>
        <v>68</v>
      </c>
      <c r="X98" s="64"/>
      <c r="Y98" s="100" t="s">
        <v>8</v>
      </c>
      <c r="Z98" s="89">
        <v>0</v>
      </c>
      <c r="AA98" s="45"/>
      <c r="AB98" s="45"/>
      <c r="AC98" s="66" t="str">
        <f t="shared" si="50"/>
        <v/>
      </c>
      <c r="AD98" s="66">
        <f t="shared" si="31"/>
        <v>-46027</v>
      </c>
      <c r="AE98" s="75">
        <f t="shared" si="62"/>
        <v>68</v>
      </c>
      <c r="AF98" s="64"/>
      <c r="AG98" s="100" t="s">
        <v>8</v>
      </c>
      <c r="AH98" s="89">
        <v>0</v>
      </c>
      <c r="AI98" s="45"/>
      <c r="AJ98" s="45"/>
      <c r="AK98" s="66" t="str">
        <f t="shared" si="52"/>
        <v/>
      </c>
      <c r="AL98" s="66">
        <f t="shared" si="33"/>
        <v>-46027</v>
      </c>
      <c r="AM98" s="76"/>
      <c r="AN98" s="64"/>
      <c r="AO98" s="100" t="s">
        <v>8</v>
      </c>
      <c r="AP98" s="89">
        <v>0</v>
      </c>
      <c r="AQ98" s="15"/>
      <c r="AR98" s="15"/>
      <c r="AS98" s="4" t="str">
        <f t="shared" si="53"/>
        <v/>
      </c>
      <c r="AT98" s="4">
        <f t="shared" si="35"/>
        <v>-46027</v>
      </c>
      <c r="AU98" s="46"/>
      <c r="AV98" s="19"/>
      <c r="AW98" s="100" t="s">
        <v>8</v>
      </c>
      <c r="AX98" s="89">
        <v>0</v>
      </c>
      <c r="AY98" s="15"/>
      <c r="AZ98" s="15"/>
      <c r="BA98" s="4" t="str">
        <f t="shared" si="54"/>
        <v/>
      </c>
      <c r="BB98" s="4">
        <f t="shared" si="37"/>
        <v>-46027</v>
      </c>
      <c r="BC98" s="46"/>
      <c r="BD98" s="19"/>
    </row>
    <row r="99" spans="1:57" ht="22.15" customHeight="1">
      <c r="A99" s="13"/>
      <c r="B99" s="72" t="s">
        <v>95</v>
      </c>
      <c r="C99" s="103"/>
      <c r="D99" s="104"/>
      <c r="E99" s="103"/>
      <c r="F99" s="101"/>
      <c r="G99" s="66" t="str">
        <f t="shared" si="63"/>
        <v/>
      </c>
      <c r="H99" s="66">
        <f t="shared" si="64"/>
        <v>-46027</v>
      </c>
      <c r="I99" s="97" t="s">
        <v>8</v>
      </c>
      <c r="J99" s="102">
        <v>12</v>
      </c>
      <c r="K99" s="45">
        <v>46012</v>
      </c>
      <c r="L99" s="45">
        <v>46052</v>
      </c>
      <c r="M99" s="66">
        <f t="shared" si="57"/>
        <v>62.5</v>
      </c>
      <c r="N99" s="66">
        <f t="shared" si="65"/>
        <v>25</v>
      </c>
      <c r="O99" s="64"/>
      <c r="P99" s="64"/>
      <c r="Q99" s="97" t="s">
        <v>8</v>
      </c>
      <c r="R99" s="102">
        <v>0</v>
      </c>
      <c r="S99" s="45"/>
      <c r="T99" s="45"/>
      <c r="U99" s="66" t="str">
        <f t="shared" si="48"/>
        <v/>
      </c>
      <c r="V99" s="66">
        <f t="shared" si="29"/>
        <v>-46027</v>
      </c>
      <c r="W99" s="75">
        <f t="shared" si="61"/>
        <v>12</v>
      </c>
      <c r="X99" s="64"/>
      <c r="Y99" s="97" t="s">
        <v>8</v>
      </c>
      <c r="Z99" s="102">
        <v>0</v>
      </c>
      <c r="AA99" s="45"/>
      <c r="AB99" s="45"/>
      <c r="AC99" s="66" t="str">
        <f t="shared" si="50"/>
        <v/>
      </c>
      <c r="AD99" s="66">
        <f t="shared" si="31"/>
        <v>-46027</v>
      </c>
      <c r="AE99" s="75">
        <f t="shared" si="62"/>
        <v>12</v>
      </c>
      <c r="AF99" s="64"/>
      <c r="AG99" s="97" t="s">
        <v>8</v>
      </c>
      <c r="AH99" s="102">
        <v>0</v>
      </c>
      <c r="AI99" s="45"/>
      <c r="AJ99" s="45"/>
      <c r="AK99" s="66" t="str">
        <f t="shared" si="52"/>
        <v/>
      </c>
      <c r="AL99" s="66">
        <f t="shared" si="33"/>
        <v>-46027</v>
      </c>
      <c r="AM99" s="76"/>
      <c r="AN99" s="64"/>
      <c r="AO99" s="97" t="s">
        <v>8</v>
      </c>
      <c r="AP99" s="102">
        <v>0</v>
      </c>
      <c r="AQ99" s="15"/>
      <c r="AR99" s="15"/>
      <c r="AS99" s="4" t="str">
        <f t="shared" si="53"/>
        <v/>
      </c>
      <c r="AT99" s="4">
        <f t="shared" si="35"/>
        <v>-46027</v>
      </c>
      <c r="AU99" s="46"/>
      <c r="AV99" s="19"/>
      <c r="AW99" s="97" t="s">
        <v>8</v>
      </c>
      <c r="AX99" s="102">
        <v>0</v>
      </c>
      <c r="AY99" s="15"/>
      <c r="AZ99" s="15"/>
      <c r="BA99" s="4" t="str">
        <f t="shared" si="54"/>
        <v/>
      </c>
      <c r="BB99" s="4">
        <f t="shared" si="37"/>
        <v>-46027</v>
      </c>
      <c r="BC99" s="46"/>
      <c r="BD99" s="19"/>
    </row>
    <row r="100" spans="1:57" ht="22.15" customHeight="1">
      <c r="A100" s="11"/>
      <c r="B100" s="105" t="s">
        <v>96</v>
      </c>
      <c r="C100" s="100"/>
      <c r="D100" s="89"/>
      <c r="E100" s="101"/>
      <c r="F100" s="101"/>
      <c r="G100" s="66" t="str">
        <f t="shared" si="63"/>
        <v/>
      </c>
      <c r="H100" s="66">
        <f t="shared" si="64"/>
        <v>-46027</v>
      </c>
      <c r="I100" s="100" t="s">
        <v>8</v>
      </c>
      <c r="J100" s="102">
        <v>10</v>
      </c>
      <c r="K100" s="45">
        <v>45994</v>
      </c>
      <c r="L100" s="45">
        <v>46044</v>
      </c>
      <c r="M100" s="66">
        <f t="shared" si="57"/>
        <v>34</v>
      </c>
      <c r="N100" s="66">
        <f t="shared" si="65"/>
        <v>17</v>
      </c>
      <c r="O100" s="64"/>
      <c r="P100" s="64"/>
      <c r="Q100" s="100" t="s">
        <v>8</v>
      </c>
      <c r="R100" s="102">
        <v>32</v>
      </c>
      <c r="S100" s="45">
        <v>45994</v>
      </c>
      <c r="T100" s="45">
        <v>46044</v>
      </c>
      <c r="U100" s="66">
        <f t="shared" si="48"/>
        <v>34</v>
      </c>
      <c r="V100" s="66">
        <f t="shared" si="29"/>
        <v>17</v>
      </c>
      <c r="W100" s="78">
        <f>J100-R100</f>
        <v>-22</v>
      </c>
      <c r="X100" s="64"/>
      <c r="Y100" s="100" t="s">
        <v>8</v>
      </c>
      <c r="Z100" s="102">
        <v>10</v>
      </c>
      <c r="AA100" s="45">
        <v>45994</v>
      </c>
      <c r="AB100" s="45">
        <v>46044</v>
      </c>
      <c r="AC100" s="66">
        <f t="shared" si="50"/>
        <v>34</v>
      </c>
      <c r="AD100" s="66">
        <f t="shared" si="31"/>
        <v>17</v>
      </c>
      <c r="AE100" s="78">
        <f>R100-Z100</f>
        <v>22</v>
      </c>
      <c r="AF100" s="64"/>
      <c r="AG100" s="100" t="s">
        <v>8</v>
      </c>
      <c r="AH100" s="102">
        <v>0</v>
      </c>
      <c r="AI100" s="45"/>
      <c r="AJ100" s="45"/>
      <c r="AK100" s="66" t="str">
        <f t="shared" si="52"/>
        <v/>
      </c>
      <c r="AL100" s="66">
        <f t="shared" si="33"/>
        <v>-46027</v>
      </c>
      <c r="AM100" s="76"/>
      <c r="AN100" s="64"/>
      <c r="AO100" s="100" t="s">
        <v>8</v>
      </c>
      <c r="AP100" s="102">
        <v>0</v>
      </c>
      <c r="AQ100" s="15"/>
      <c r="AR100" s="15"/>
      <c r="AS100" s="4" t="str">
        <f t="shared" si="53"/>
        <v/>
      </c>
      <c r="AT100" s="4">
        <f t="shared" si="35"/>
        <v>-46027</v>
      </c>
      <c r="AU100" s="46"/>
      <c r="AV100" s="19"/>
      <c r="AW100" s="100" t="s">
        <v>8</v>
      </c>
      <c r="AX100" s="102">
        <v>0</v>
      </c>
      <c r="AY100" s="15"/>
      <c r="AZ100" s="15"/>
      <c r="BA100" s="4" t="str">
        <f t="shared" si="54"/>
        <v/>
      </c>
      <c r="BB100" s="4">
        <f t="shared" si="37"/>
        <v>-46027</v>
      </c>
      <c r="BC100" s="46"/>
      <c r="BD100" s="19"/>
    </row>
    <row r="101" spans="1:57" ht="22.15" customHeight="1">
      <c r="A101"/>
      <c r="B101" s="72" t="s">
        <v>97</v>
      </c>
      <c r="C101" s="97"/>
      <c r="D101" s="106"/>
      <c r="E101" s="107"/>
      <c r="F101" s="96"/>
      <c r="G101" s="66" t="str">
        <f t="shared" si="63"/>
        <v/>
      </c>
      <c r="H101" s="66">
        <f t="shared" si="64"/>
        <v>-46027</v>
      </c>
      <c r="I101" s="96" t="s">
        <v>8</v>
      </c>
      <c r="J101" s="104">
        <v>29</v>
      </c>
      <c r="K101" s="108">
        <v>45994</v>
      </c>
      <c r="L101" s="108">
        <v>46044</v>
      </c>
      <c r="M101" s="66">
        <f t="shared" si="57"/>
        <v>34</v>
      </c>
      <c r="N101" s="66">
        <f t="shared" si="65"/>
        <v>17</v>
      </c>
      <c r="O101" s="64"/>
      <c r="P101" s="64"/>
      <c r="Q101" s="96" t="s">
        <v>8</v>
      </c>
      <c r="R101" s="104">
        <v>19</v>
      </c>
      <c r="S101" s="108">
        <v>45994</v>
      </c>
      <c r="T101" s="108">
        <v>46044</v>
      </c>
      <c r="U101" s="66">
        <f t="shared" si="48"/>
        <v>34</v>
      </c>
      <c r="V101" s="66">
        <f t="shared" si="29"/>
        <v>17</v>
      </c>
      <c r="W101" s="78">
        <f t="shared" ref="W101:W102" si="66">J101-R101</f>
        <v>10</v>
      </c>
      <c r="X101" s="64"/>
      <c r="Y101" s="96" t="s">
        <v>8</v>
      </c>
      <c r="Z101" s="104">
        <v>0</v>
      </c>
      <c r="AA101" s="108"/>
      <c r="AB101" s="108"/>
      <c r="AC101" s="66" t="str">
        <f t="shared" si="50"/>
        <v/>
      </c>
      <c r="AD101" s="66">
        <f t="shared" si="31"/>
        <v>-46027</v>
      </c>
      <c r="AE101" s="78">
        <f t="shared" ref="AE101:AE102" si="67">R101-Z101</f>
        <v>19</v>
      </c>
      <c r="AF101" s="64"/>
      <c r="AG101" s="96" t="s">
        <v>8</v>
      </c>
      <c r="AH101" s="104">
        <v>12</v>
      </c>
      <c r="AI101" s="108">
        <v>45994</v>
      </c>
      <c r="AJ101" s="108">
        <v>46044</v>
      </c>
      <c r="AK101" s="66">
        <f t="shared" si="52"/>
        <v>34</v>
      </c>
      <c r="AL101" s="66">
        <f t="shared" si="33"/>
        <v>17</v>
      </c>
      <c r="AM101" s="78">
        <f>AE101-AH101</f>
        <v>7</v>
      </c>
      <c r="AN101" s="64"/>
      <c r="AO101" s="96" t="s">
        <v>8</v>
      </c>
      <c r="AP101" s="104">
        <v>0</v>
      </c>
      <c r="AQ101" s="17"/>
      <c r="AR101" s="17"/>
      <c r="AS101" s="4" t="str">
        <f t="shared" si="53"/>
        <v/>
      </c>
      <c r="AT101" s="4">
        <f t="shared" si="35"/>
        <v>-46027</v>
      </c>
      <c r="AU101" s="20">
        <f>AM101-AP101</f>
        <v>7</v>
      </c>
      <c r="AV101" s="19"/>
      <c r="AW101" s="96" t="s">
        <v>8</v>
      </c>
      <c r="AX101" s="104">
        <v>0</v>
      </c>
      <c r="AY101" s="17"/>
      <c r="AZ101" s="17"/>
      <c r="BA101" s="4" t="str">
        <f t="shared" si="54"/>
        <v/>
      </c>
      <c r="BB101" s="4">
        <f t="shared" si="37"/>
        <v>-46027</v>
      </c>
      <c r="BC101" s="20"/>
      <c r="BD101" s="19"/>
    </row>
    <row r="102" spans="1:57" ht="22.15" customHeight="1">
      <c r="A102"/>
      <c r="B102" s="72" t="s">
        <v>98</v>
      </c>
      <c r="C102" s="101"/>
      <c r="D102" s="89"/>
      <c r="E102" s="101"/>
      <c r="F102" s="100"/>
      <c r="G102" s="66" t="str">
        <f t="shared" si="63"/>
        <v/>
      </c>
      <c r="H102" s="66">
        <f t="shared" si="64"/>
        <v>-46027</v>
      </c>
      <c r="I102" s="100" t="s">
        <v>8</v>
      </c>
      <c r="J102" s="102">
        <v>28</v>
      </c>
      <c r="K102" s="44">
        <v>45993</v>
      </c>
      <c r="L102" s="44">
        <v>46043</v>
      </c>
      <c r="M102" s="66">
        <f t="shared" si="57"/>
        <v>32</v>
      </c>
      <c r="N102" s="66">
        <f t="shared" si="65"/>
        <v>16</v>
      </c>
      <c r="O102" s="64"/>
      <c r="P102" s="64"/>
      <c r="Q102" s="101" t="s">
        <v>8</v>
      </c>
      <c r="R102" s="102">
        <v>23</v>
      </c>
      <c r="S102" s="44">
        <v>45993</v>
      </c>
      <c r="T102" s="44">
        <v>46043</v>
      </c>
      <c r="U102" s="66">
        <f t="shared" si="48"/>
        <v>32</v>
      </c>
      <c r="V102" s="66">
        <f t="shared" si="29"/>
        <v>16</v>
      </c>
      <c r="W102" s="78">
        <f t="shared" si="66"/>
        <v>5</v>
      </c>
      <c r="X102" s="64"/>
      <c r="Y102" s="101" t="s">
        <v>8</v>
      </c>
      <c r="Z102" s="102">
        <v>17</v>
      </c>
      <c r="AA102" s="44">
        <v>45993</v>
      </c>
      <c r="AB102" s="44">
        <v>46043</v>
      </c>
      <c r="AC102" s="66">
        <f t="shared" si="50"/>
        <v>32</v>
      </c>
      <c r="AD102" s="66">
        <f t="shared" si="31"/>
        <v>16</v>
      </c>
      <c r="AE102" s="78">
        <f t="shared" si="67"/>
        <v>6</v>
      </c>
      <c r="AF102" s="64"/>
      <c r="AG102" s="101" t="s">
        <v>8</v>
      </c>
      <c r="AH102" s="102">
        <v>0</v>
      </c>
      <c r="AI102" s="44"/>
      <c r="AJ102" s="44"/>
      <c r="AK102" s="66" t="str">
        <f t="shared" si="52"/>
        <v/>
      </c>
      <c r="AL102" s="66">
        <f t="shared" si="33"/>
        <v>-46027</v>
      </c>
      <c r="AM102" s="78">
        <f>Z102-AE102</f>
        <v>11</v>
      </c>
      <c r="AN102" s="64"/>
      <c r="AO102" s="101" t="s">
        <v>8</v>
      </c>
      <c r="AP102" s="102">
        <v>0</v>
      </c>
      <c r="AQ102" s="16"/>
      <c r="AR102" s="16"/>
      <c r="AS102" s="4" t="str">
        <f t="shared" si="53"/>
        <v/>
      </c>
      <c r="AT102" s="4">
        <f t="shared" si="35"/>
        <v>-46027</v>
      </c>
      <c r="AU102" s="20">
        <f>AM102-AP102</f>
        <v>11</v>
      </c>
      <c r="AV102" s="19"/>
      <c r="AW102" s="101" t="s">
        <v>8</v>
      </c>
      <c r="AX102" s="102">
        <v>0</v>
      </c>
      <c r="AY102" s="16"/>
      <c r="AZ102" s="16"/>
      <c r="BA102" s="4" t="str">
        <f t="shared" si="54"/>
        <v/>
      </c>
      <c r="BB102" s="4">
        <f t="shared" si="37"/>
        <v>-46027</v>
      </c>
      <c r="BC102" s="20"/>
      <c r="BD102" s="19"/>
    </row>
    <row r="103" spans="1:57" ht="22.15" customHeight="1">
      <c r="A103"/>
      <c r="B103" s="105" t="s">
        <v>102</v>
      </c>
      <c r="C103" s="101"/>
      <c r="D103" s="89"/>
      <c r="E103" s="101"/>
      <c r="F103" s="100"/>
      <c r="G103" s="66" t="str">
        <f t="shared" si="63"/>
        <v/>
      </c>
      <c r="H103" s="66">
        <f t="shared" si="64"/>
        <v>-46027</v>
      </c>
      <c r="I103" s="101"/>
      <c r="J103" s="102"/>
      <c r="K103" s="101"/>
      <c r="L103" s="101"/>
      <c r="M103" s="66" t="str">
        <f t="shared" si="57"/>
        <v/>
      </c>
      <c r="N103" s="66">
        <f t="shared" si="65"/>
        <v>-46027</v>
      </c>
      <c r="O103" s="64"/>
      <c r="P103" s="64"/>
      <c r="Q103" s="101" t="s">
        <v>101</v>
      </c>
      <c r="R103" s="102">
        <v>30</v>
      </c>
      <c r="S103" s="44">
        <v>45994</v>
      </c>
      <c r="T103" s="44">
        <v>46044</v>
      </c>
      <c r="U103" s="66">
        <f t="shared" si="48"/>
        <v>34</v>
      </c>
      <c r="V103" s="66">
        <f t="shared" ref="V103:V135" si="68">T103-$H$1</f>
        <v>17</v>
      </c>
      <c r="W103" s="64"/>
      <c r="X103" s="64"/>
      <c r="Y103" s="101" t="s">
        <v>101</v>
      </c>
      <c r="Z103" s="102">
        <v>0</v>
      </c>
      <c r="AA103" s="44"/>
      <c r="AB103" s="44"/>
      <c r="AC103" s="66" t="str">
        <f t="shared" si="50"/>
        <v/>
      </c>
      <c r="AD103" s="66">
        <f t="shared" ref="AD103:AD135" si="69">AB103-$H$1</f>
        <v>-46027</v>
      </c>
      <c r="AE103" s="64"/>
      <c r="AF103" s="64"/>
      <c r="AG103" s="101" t="s">
        <v>101</v>
      </c>
      <c r="AH103" s="102">
        <v>0</v>
      </c>
      <c r="AI103" s="44"/>
      <c r="AJ103" s="44"/>
      <c r="AK103" s="66" t="str">
        <f t="shared" si="52"/>
        <v/>
      </c>
      <c r="AL103" s="66">
        <f t="shared" ref="AL103:AL135" si="70">AJ103-$H$1</f>
        <v>-46027</v>
      </c>
      <c r="AM103" s="64"/>
      <c r="AN103" s="64"/>
      <c r="AO103" s="101" t="s">
        <v>101</v>
      </c>
      <c r="AP103" s="102">
        <v>0</v>
      </c>
      <c r="AQ103" s="16"/>
      <c r="AR103" s="16"/>
      <c r="AS103" s="4" t="str">
        <f t="shared" si="53"/>
        <v/>
      </c>
      <c r="AT103" s="4">
        <f t="shared" ref="AT103:AT135" si="71">AR103-$H$1</f>
        <v>-46027</v>
      </c>
      <c r="AU103" s="19"/>
      <c r="AV103" s="19"/>
      <c r="AW103" s="101" t="s">
        <v>101</v>
      </c>
      <c r="AX103" s="102">
        <v>0</v>
      </c>
      <c r="AY103" s="16"/>
      <c r="AZ103" s="16"/>
      <c r="BA103" s="4" t="str">
        <f t="shared" si="54"/>
        <v/>
      </c>
      <c r="BB103" s="4">
        <f t="shared" ref="BB103:BB135" si="72">AZ103-$H$1</f>
        <v>-46027</v>
      </c>
      <c r="BC103" s="19"/>
      <c r="BD103" s="19"/>
    </row>
    <row r="104" spans="1:57" ht="22.15" customHeight="1">
      <c r="A104"/>
      <c r="B104" s="105" t="s">
        <v>103</v>
      </c>
      <c r="C104" s="101"/>
      <c r="D104" s="89"/>
      <c r="E104" s="101"/>
      <c r="F104" s="100"/>
      <c r="G104" s="66" t="str">
        <f t="shared" si="63"/>
        <v/>
      </c>
      <c r="H104" s="66">
        <f t="shared" si="64"/>
        <v>-46027</v>
      </c>
      <c r="I104" s="101"/>
      <c r="J104" s="102"/>
      <c r="K104" s="101"/>
      <c r="L104" s="101"/>
      <c r="M104" s="66" t="str">
        <f t="shared" si="57"/>
        <v/>
      </c>
      <c r="N104" s="66">
        <f t="shared" si="65"/>
        <v>-46027</v>
      </c>
      <c r="O104" s="64"/>
      <c r="P104" s="64"/>
      <c r="Q104" s="101" t="s">
        <v>101</v>
      </c>
      <c r="R104" s="102">
        <v>20</v>
      </c>
      <c r="S104" s="44">
        <v>46006</v>
      </c>
      <c r="T104" s="44">
        <v>46051</v>
      </c>
      <c r="U104" s="66">
        <f t="shared" si="48"/>
        <v>53.333333333333336</v>
      </c>
      <c r="V104" s="66">
        <f t="shared" si="68"/>
        <v>24</v>
      </c>
      <c r="W104" s="64"/>
      <c r="X104" s="64"/>
      <c r="Y104" s="101" t="s">
        <v>101</v>
      </c>
      <c r="Z104" s="102">
        <v>0</v>
      </c>
      <c r="AA104" s="44"/>
      <c r="AB104" s="44"/>
      <c r="AC104" s="66" t="str">
        <f t="shared" si="50"/>
        <v/>
      </c>
      <c r="AD104" s="66">
        <f t="shared" si="69"/>
        <v>-46027</v>
      </c>
      <c r="AE104" s="64"/>
      <c r="AF104" s="64"/>
      <c r="AG104" s="101" t="s">
        <v>101</v>
      </c>
      <c r="AH104" s="102">
        <v>5</v>
      </c>
      <c r="AI104" s="44">
        <v>46006</v>
      </c>
      <c r="AJ104" s="44">
        <v>46051</v>
      </c>
      <c r="AK104" s="66">
        <f t="shared" si="52"/>
        <v>53.333333333333336</v>
      </c>
      <c r="AL104" s="66">
        <f t="shared" si="70"/>
        <v>24</v>
      </c>
      <c r="AM104" s="64"/>
      <c r="AN104" s="64"/>
      <c r="AO104" s="101" t="s">
        <v>101</v>
      </c>
      <c r="AP104" s="102">
        <v>0</v>
      </c>
      <c r="AQ104" s="16"/>
      <c r="AR104" s="16"/>
      <c r="AS104" s="4" t="str">
        <f t="shared" si="53"/>
        <v/>
      </c>
      <c r="AT104" s="4">
        <f t="shared" si="71"/>
        <v>-46027</v>
      </c>
      <c r="AU104" s="19"/>
      <c r="AV104" s="19"/>
      <c r="AW104" s="101" t="s">
        <v>101</v>
      </c>
      <c r="AX104" s="102">
        <v>0</v>
      </c>
      <c r="AY104" s="16"/>
      <c r="AZ104" s="16"/>
      <c r="BA104" s="4" t="str">
        <f t="shared" si="54"/>
        <v/>
      </c>
      <c r="BB104" s="4">
        <f t="shared" si="72"/>
        <v>-46027</v>
      </c>
      <c r="BC104" s="19"/>
      <c r="BD104" s="19"/>
    </row>
    <row r="105" spans="1:57" ht="22.15" customHeight="1">
      <c r="A105"/>
      <c r="B105" s="72" t="s">
        <v>105</v>
      </c>
      <c r="C105" s="101"/>
      <c r="D105" s="89"/>
      <c r="E105" s="101"/>
      <c r="F105" s="100"/>
      <c r="G105" s="66" t="str">
        <f t="shared" si="63"/>
        <v/>
      </c>
      <c r="H105" s="66">
        <f t="shared" si="64"/>
        <v>-46027</v>
      </c>
      <c r="I105" s="101"/>
      <c r="J105" s="102"/>
      <c r="K105" s="101"/>
      <c r="L105" s="101"/>
      <c r="M105" s="66" t="str">
        <f t="shared" si="57"/>
        <v/>
      </c>
      <c r="N105" s="66">
        <f t="shared" si="65"/>
        <v>-46027</v>
      </c>
      <c r="O105" s="64"/>
      <c r="P105" s="64"/>
      <c r="Q105" s="101"/>
      <c r="R105" s="102"/>
      <c r="S105" s="101"/>
      <c r="T105" s="101"/>
      <c r="U105" s="66" t="str">
        <f t="shared" si="48"/>
        <v/>
      </c>
      <c r="V105" s="66">
        <f t="shared" si="68"/>
        <v>-46027</v>
      </c>
      <c r="W105" s="64"/>
      <c r="X105" s="64"/>
      <c r="Y105" s="101" t="s">
        <v>15</v>
      </c>
      <c r="Z105" s="102">
        <v>52</v>
      </c>
      <c r="AA105" s="44">
        <v>46009</v>
      </c>
      <c r="AB105" s="44">
        <v>46054</v>
      </c>
      <c r="AC105" s="66">
        <f t="shared" si="50"/>
        <v>60</v>
      </c>
      <c r="AD105" s="66">
        <f t="shared" si="69"/>
        <v>27</v>
      </c>
      <c r="AE105" s="64"/>
      <c r="AF105" s="64"/>
      <c r="AG105" s="101" t="s">
        <v>15</v>
      </c>
      <c r="AH105" s="102">
        <v>30</v>
      </c>
      <c r="AI105" s="44">
        <v>46021</v>
      </c>
      <c r="AJ105" s="44">
        <v>46061</v>
      </c>
      <c r="AK105" s="66">
        <f t="shared" si="52"/>
        <v>85</v>
      </c>
      <c r="AL105" s="66">
        <f t="shared" si="70"/>
        <v>34</v>
      </c>
      <c r="AM105" s="78">
        <f>Z105-AH105</f>
        <v>22</v>
      </c>
      <c r="AN105" s="64"/>
      <c r="AO105" s="101" t="s">
        <v>15</v>
      </c>
      <c r="AP105" s="102">
        <v>0</v>
      </c>
      <c r="AQ105" s="16"/>
      <c r="AR105" s="16"/>
      <c r="AS105" s="4" t="str">
        <f t="shared" si="53"/>
        <v/>
      </c>
      <c r="AT105" s="4">
        <f t="shared" si="71"/>
        <v>-46027</v>
      </c>
      <c r="AU105" s="20">
        <f>AM105-AP105</f>
        <v>22</v>
      </c>
      <c r="AV105" s="19"/>
      <c r="AW105" s="101" t="s">
        <v>15</v>
      </c>
      <c r="AX105" s="102">
        <v>0</v>
      </c>
      <c r="AY105" s="16"/>
      <c r="AZ105" s="16"/>
      <c r="BA105" s="4" t="str">
        <f t="shared" si="54"/>
        <v/>
      </c>
      <c r="BB105" s="4">
        <f t="shared" si="72"/>
        <v>-46027</v>
      </c>
      <c r="BC105" s="20"/>
      <c r="BD105" s="19"/>
    </row>
    <row r="106" spans="1:57" ht="22.15" customHeight="1">
      <c r="A106"/>
      <c r="B106" s="72" t="s">
        <v>106</v>
      </c>
      <c r="C106" s="101"/>
      <c r="D106" s="102"/>
      <c r="E106" s="101"/>
      <c r="F106" s="101"/>
      <c r="G106" s="66" t="str">
        <f t="shared" si="63"/>
        <v/>
      </c>
      <c r="H106" s="66">
        <f t="shared" si="64"/>
        <v>-46027</v>
      </c>
      <c r="I106" s="101"/>
      <c r="J106" s="102"/>
      <c r="K106" s="101"/>
      <c r="L106" s="101"/>
      <c r="M106" s="66" t="str">
        <f t="shared" si="57"/>
        <v/>
      </c>
      <c r="N106" s="66">
        <f t="shared" si="65"/>
        <v>-46027</v>
      </c>
      <c r="O106" s="64"/>
      <c r="P106" s="64"/>
      <c r="Q106" s="101"/>
      <c r="R106" s="102"/>
      <c r="S106" s="101"/>
      <c r="T106" s="101"/>
      <c r="U106" s="66" t="str">
        <f t="shared" si="48"/>
        <v/>
      </c>
      <c r="V106" s="66">
        <f t="shared" si="68"/>
        <v>-46027</v>
      </c>
      <c r="W106" s="64"/>
      <c r="X106" s="64"/>
      <c r="Y106" s="101" t="s">
        <v>8</v>
      </c>
      <c r="Z106" s="102">
        <v>161</v>
      </c>
      <c r="AA106" s="44">
        <v>46009</v>
      </c>
      <c r="AB106" s="44">
        <v>46054</v>
      </c>
      <c r="AC106" s="66">
        <f t="shared" si="50"/>
        <v>60</v>
      </c>
      <c r="AD106" s="66">
        <f t="shared" si="69"/>
        <v>27</v>
      </c>
      <c r="AE106" s="64"/>
      <c r="AF106" s="64"/>
      <c r="AG106" s="101" t="s">
        <v>15</v>
      </c>
      <c r="AH106" s="102">
        <v>20</v>
      </c>
      <c r="AI106" s="44">
        <v>46026</v>
      </c>
      <c r="AJ106" s="44">
        <v>46056</v>
      </c>
      <c r="AK106" s="66">
        <f t="shared" si="52"/>
        <v>96.666666666666671</v>
      </c>
      <c r="AL106" s="66">
        <f t="shared" si="70"/>
        <v>29</v>
      </c>
      <c r="AM106" s="78">
        <f t="shared" ref="AM106:AM111" si="73">Z106-AH106</f>
        <v>141</v>
      </c>
      <c r="AN106" s="64"/>
      <c r="AO106" s="101" t="s">
        <v>15</v>
      </c>
      <c r="AP106" s="102">
        <v>0</v>
      </c>
      <c r="AQ106" s="16"/>
      <c r="AR106" s="16"/>
      <c r="AS106" s="4" t="str">
        <f t="shared" si="53"/>
        <v/>
      </c>
      <c r="AT106" s="4">
        <f t="shared" si="71"/>
        <v>-46027</v>
      </c>
      <c r="AU106" s="20">
        <f t="shared" ref="AU106:AU111" si="74">AM106-AP106</f>
        <v>141</v>
      </c>
      <c r="AV106" s="19"/>
      <c r="AW106" s="101" t="s">
        <v>15</v>
      </c>
      <c r="AX106" s="102">
        <v>0</v>
      </c>
      <c r="AY106" s="16"/>
      <c r="AZ106" s="16"/>
      <c r="BA106" s="4" t="str">
        <f t="shared" si="54"/>
        <v/>
      </c>
      <c r="BB106" s="4">
        <f t="shared" si="72"/>
        <v>-46027</v>
      </c>
      <c r="BC106" s="20"/>
      <c r="BD106" s="19"/>
    </row>
    <row r="107" spans="1:57" ht="22.15" customHeight="1">
      <c r="A107"/>
      <c r="B107" s="72" t="s">
        <v>107</v>
      </c>
      <c r="C107" s="100"/>
      <c r="D107" s="102"/>
      <c r="E107" s="101"/>
      <c r="F107" s="101"/>
      <c r="G107" s="66" t="str">
        <f t="shared" si="63"/>
        <v/>
      </c>
      <c r="H107" s="66">
        <f t="shared" si="64"/>
        <v>-46027</v>
      </c>
      <c r="I107" s="101"/>
      <c r="J107" s="102"/>
      <c r="K107" s="101"/>
      <c r="L107" s="101"/>
      <c r="M107" s="66" t="str">
        <f t="shared" si="57"/>
        <v/>
      </c>
      <c r="N107" s="66">
        <f t="shared" si="65"/>
        <v>-46027</v>
      </c>
      <c r="O107" s="64"/>
      <c r="P107" s="64"/>
      <c r="Q107" s="101"/>
      <c r="R107" s="102"/>
      <c r="S107" s="101"/>
      <c r="T107" s="101"/>
      <c r="U107" s="66" t="str">
        <f t="shared" si="48"/>
        <v/>
      </c>
      <c r="V107" s="66">
        <f t="shared" si="68"/>
        <v>-46027</v>
      </c>
      <c r="W107" s="64"/>
      <c r="X107" s="64"/>
      <c r="Y107" s="101" t="s">
        <v>8</v>
      </c>
      <c r="Z107" s="102">
        <v>252</v>
      </c>
      <c r="AA107" s="44">
        <v>46011</v>
      </c>
      <c r="AB107" s="44">
        <v>46056</v>
      </c>
      <c r="AC107" s="66">
        <f t="shared" si="50"/>
        <v>64.444444444444443</v>
      </c>
      <c r="AD107" s="66">
        <f t="shared" si="69"/>
        <v>29</v>
      </c>
      <c r="AE107" s="64"/>
      <c r="AF107" s="64"/>
      <c r="AG107" s="101" t="s">
        <v>8</v>
      </c>
      <c r="AH107" s="102">
        <v>39</v>
      </c>
      <c r="AI107" s="44">
        <v>46009</v>
      </c>
      <c r="AJ107" s="44">
        <v>46054</v>
      </c>
      <c r="AK107" s="66">
        <f t="shared" si="52"/>
        <v>60</v>
      </c>
      <c r="AL107" s="66">
        <f t="shared" si="70"/>
        <v>27</v>
      </c>
      <c r="AM107" s="78">
        <f t="shared" si="73"/>
        <v>213</v>
      </c>
      <c r="AN107" s="64"/>
      <c r="AO107" s="101" t="s">
        <v>8</v>
      </c>
      <c r="AP107" s="102">
        <v>0</v>
      </c>
      <c r="AQ107" s="16"/>
      <c r="AR107" s="16"/>
      <c r="AS107" s="4" t="str">
        <f t="shared" si="53"/>
        <v/>
      </c>
      <c r="AT107" s="4">
        <f t="shared" si="71"/>
        <v>-46027</v>
      </c>
      <c r="AU107" s="20">
        <f t="shared" si="74"/>
        <v>213</v>
      </c>
      <c r="AV107" s="19"/>
      <c r="AW107" s="101" t="s">
        <v>8</v>
      </c>
      <c r="AX107" s="102">
        <v>0</v>
      </c>
      <c r="AY107" s="16"/>
      <c r="AZ107" s="16"/>
      <c r="BA107" s="4" t="str">
        <f t="shared" si="54"/>
        <v/>
      </c>
      <c r="BB107" s="4">
        <f t="shared" si="72"/>
        <v>-46027</v>
      </c>
      <c r="BC107" s="20"/>
      <c r="BD107" s="19"/>
    </row>
    <row r="108" spans="1:57" ht="22.15" customHeight="1">
      <c r="A108"/>
      <c r="B108" s="72" t="s">
        <v>82</v>
      </c>
      <c r="C108" s="101"/>
      <c r="D108" s="102"/>
      <c r="E108" s="101"/>
      <c r="F108" s="101"/>
      <c r="G108" s="66" t="str">
        <f t="shared" si="63"/>
        <v/>
      </c>
      <c r="H108" s="66">
        <f t="shared" si="64"/>
        <v>-46027</v>
      </c>
      <c r="I108" s="101"/>
      <c r="J108" s="89"/>
      <c r="K108" s="110"/>
      <c r="L108" s="100"/>
      <c r="M108" s="66" t="str">
        <f t="shared" si="57"/>
        <v/>
      </c>
      <c r="N108" s="66">
        <f t="shared" si="65"/>
        <v>-46027</v>
      </c>
      <c r="O108" s="111"/>
      <c r="P108" s="64"/>
      <c r="Q108" s="150"/>
      <c r="R108" s="151"/>
      <c r="S108" s="100"/>
      <c r="T108" s="100"/>
      <c r="U108" s="66" t="str">
        <f t="shared" si="48"/>
        <v/>
      </c>
      <c r="V108" s="66">
        <f t="shared" si="68"/>
        <v>-46027</v>
      </c>
      <c r="W108" s="64"/>
      <c r="X108" s="127"/>
      <c r="Y108" s="101" t="s">
        <v>8</v>
      </c>
      <c r="Z108" s="89">
        <v>196</v>
      </c>
      <c r="AA108" s="45">
        <v>46009</v>
      </c>
      <c r="AB108" s="44">
        <v>46054</v>
      </c>
      <c r="AC108" s="66">
        <f t="shared" si="50"/>
        <v>60</v>
      </c>
      <c r="AD108" s="66">
        <f t="shared" si="69"/>
        <v>27</v>
      </c>
      <c r="AE108" s="64"/>
      <c r="AF108" s="111"/>
      <c r="AG108" s="103" t="s">
        <v>8</v>
      </c>
      <c r="AH108" s="102">
        <v>48</v>
      </c>
      <c r="AI108" s="45">
        <v>46011</v>
      </c>
      <c r="AJ108" s="45">
        <v>46056</v>
      </c>
      <c r="AK108" s="66">
        <f t="shared" si="52"/>
        <v>64.444444444444443</v>
      </c>
      <c r="AL108" s="66">
        <f t="shared" si="70"/>
        <v>29</v>
      </c>
      <c r="AM108" s="78">
        <f t="shared" si="73"/>
        <v>148</v>
      </c>
      <c r="AN108" s="111"/>
      <c r="AO108" s="103" t="s">
        <v>8</v>
      </c>
      <c r="AP108" s="102">
        <v>0</v>
      </c>
      <c r="AQ108" s="15"/>
      <c r="AR108" s="45"/>
      <c r="AS108" s="4" t="str">
        <f t="shared" si="53"/>
        <v/>
      </c>
      <c r="AT108" s="4">
        <f t="shared" si="71"/>
        <v>-46027</v>
      </c>
      <c r="AU108" s="20">
        <f t="shared" si="74"/>
        <v>148</v>
      </c>
      <c r="AV108" s="38"/>
      <c r="AW108" s="103" t="s">
        <v>8</v>
      </c>
      <c r="AX108" s="102">
        <v>0</v>
      </c>
      <c r="AY108" s="15"/>
      <c r="AZ108" s="45"/>
      <c r="BA108" s="4" t="str">
        <f t="shared" si="54"/>
        <v/>
      </c>
      <c r="BB108" s="4">
        <f t="shared" si="72"/>
        <v>-46027</v>
      </c>
      <c r="BC108" s="20"/>
      <c r="BD108" s="38"/>
    </row>
    <row r="109" spans="1:57" ht="22.15" customHeight="1">
      <c r="A109"/>
      <c r="B109" s="72" t="s">
        <v>108</v>
      </c>
      <c r="C109" s="101"/>
      <c r="D109" s="102"/>
      <c r="E109" s="101"/>
      <c r="F109" s="101"/>
      <c r="G109" s="66" t="str">
        <f t="shared" si="63"/>
        <v/>
      </c>
      <c r="H109" s="66">
        <f t="shared" si="64"/>
        <v>-46027</v>
      </c>
      <c r="I109" s="95"/>
      <c r="J109" s="112"/>
      <c r="K109" s="113"/>
      <c r="L109" s="95"/>
      <c r="M109" s="66" t="str">
        <f t="shared" si="57"/>
        <v/>
      </c>
      <c r="N109" s="66">
        <f t="shared" si="65"/>
        <v>-46027</v>
      </c>
      <c r="O109" s="114"/>
      <c r="P109" s="115"/>
      <c r="Q109" s="113"/>
      <c r="R109" s="146"/>
      <c r="S109" s="95"/>
      <c r="T109" s="95"/>
      <c r="U109" s="66" t="str">
        <f t="shared" si="48"/>
        <v/>
      </c>
      <c r="V109" s="66">
        <f t="shared" si="68"/>
        <v>-46027</v>
      </c>
      <c r="W109" s="115"/>
      <c r="X109" s="116"/>
      <c r="Y109" s="101" t="s">
        <v>8</v>
      </c>
      <c r="Z109" s="89">
        <v>56</v>
      </c>
      <c r="AA109" s="45">
        <v>46011</v>
      </c>
      <c r="AB109" s="44">
        <v>46051</v>
      </c>
      <c r="AC109" s="66">
        <f t="shared" si="50"/>
        <v>60</v>
      </c>
      <c r="AD109" s="66">
        <f t="shared" si="69"/>
        <v>24</v>
      </c>
      <c r="AE109" s="64"/>
      <c r="AF109" s="111"/>
      <c r="AG109" s="101" t="s">
        <v>8</v>
      </c>
      <c r="AH109" s="89">
        <v>36</v>
      </c>
      <c r="AI109" s="45">
        <v>46011</v>
      </c>
      <c r="AJ109" s="45">
        <v>46051</v>
      </c>
      <c r="AK109" s="66">
        <f t="shared" si="52"/>
        <v>60</v>
      </c>
      <c r="AL109" s="66">
        <f t="shared" si="70"/>
        <v>24</v>
      </c>
      <c r="AM109" s="78">
        <f t="shared" si="73"/>
        <v>20</v>
      </c>
      <c r="AN109" s="111"/>
      <c r="AO109" s="101" t="s">
        <v>8</v>
      </c>
      <c r="AP109" s="89">
        <v>0</v>
      </c>
      <c r="AQ109" s="15"/>
      <c r="AR109" s="15"/>
      <c r="AS109" s="4" t="str">
        <f t="shared" si="53"/>
        <v/>
      </c>
      <c r="AT109" s="4">
        <f t="shared" si="71"/>
        <v>-46027</v>
      </c>
      <c r="AU109" s="20">
        <f t="shared" si="74"/>
        <v>20</v>
      </c>
      <c r="AV109" s="38"/>
      <c r="AW109" s="101" t="s">
        <v>8</v>
      </c>
      <c r="AX109" s="89">
        <v>0</v>
      </c>
      <c r="AY109" s="15"/>
      <c r="AZ109" s="15"/>
      <c r="BA109" s="4" t="str">
        <f t="shared" si="54"/>
        <v/>
      </c>
      <c r="BB109" s="4">
        <f t="shared" si="72"/>
        <v>-46027</v>
      </c>
      <c r="BC109" s="20"/>
      <c r="BD109" s="38"/>
    </row>
    <row r="110" spans="1:57" ht="22.15" customHeight="1">
      <c r="A110"/>
      <c r="B110" s="72" t="s">
        <v>83</v>
      </c>
      <c r="C110" s="93"/>
      <c r="D110" s="102"/>
      <c r="E110" s="101"/>
      <c r="F110" s="101"/>
      <c r="G110" s="66" t="str">
        <f t="shared" si="63"/>
        <v/>
      </c>
      <c r="H110" s="66">
        <f t="shared" si="64"/>
        <v>-46027</v>
      </c>
      <c r="I110" s="100"/>
      <c r="J110" s="89"/>
      <c r="K110" s="100"/>
      <c r="L110" s="100"/>
      <c r="M110" s="66" t="str">
        <f t="shared" si="57"/>
        <v/>
      </c>
      <c r="N110" s="66">
        <f t="shared" si="65"/>
        <v>-46027</v>
      </c>
      <c r="O110" s="64"/>
      <c r="P110" s="64"/>
      <c r="Q110" s="113"/>
      <c r="R110" s="146"/>
      <c r="S110" s="95"/>
      <c r="T110" s="95"/>
      <c r="U110" s="66" t="str">
        <f t="shared" si="48"/>
        <v/>
      </c>
      <c r="V110" s="66">
        <f t="shared" si="68"/>
        <v>-46027</v>
      </c>
      <c r="W110" s="115"/>
      <c r="X110" s="116"/>
      <c r="Y110" s="100" t="s">
        <v>8</v>
      </c>
      <c r="Z110" s="112">
        <v>33</v>
      </c>
      <c r="AA110" s="117">
        <v>46013</v>
      </c>
      <c r="AB110" s="118">
        <v>46053</v>
      </c>
      <c r="AC110" s="66">
        <f t="shared" si="50"/>
        <v>65</v>
      </c>
      <c r="AD110" s="66">
        <f t="shared" si="69"/>
        <v>26</v>
      </c>
      <c r="AE110" s="115"/>
      <c r="AF110" s="114"/>
      <c r="AG110" s="101" t="s">
        <v>8</v>
      </c>
      <c r="AH110" s="89">
        <v>48</v>
      </c>
      <c r="AI110" s="45">
        <v>46013</v>
      </c>
      <c r="AJ110" s="45">
        <v>46053</v>
      </c>
      <c r="AK110" s="66">
        <f t="shared" si="52"/>
        <v>65</v>
      </c>
      <c r="AL110" s="66">
        <f t="shared" si="70"/>
        <v>26</v>
      </c>
      <c r="AM110" s="78"/>
      <c r="AN110" s="111"/>
      <c r="AO110" s="101" t="s">
        <v>8</v>
      </c>
      <c r="AP110" s="89">
        <v>0</v>
      </c>
      <c r="AQ110" s="15"/>
      <c r="AR110" s="15"/>
      <c r="AS110" s="4" t="str">
        <f t="shared" si="53"/>
        <v/>
      </c>
      <c r="AT110" s="4">
        <f t="shared" si="71"/>
        <v>-46027</v>
      </c>
      <c r="AU110" s="20">
        <f t="shared" si="74"/>
        <v>0</v>
      </c>
      <c r="AV110" s="38"/>
      <c r="AW110" s="101" t="s">
        <v>8</v>
      </c>
      <c r="AX110" s="89">
        <v>0</v>
      </c>
      <c r="AY110" s="15"/>
      <c r="AZ110" s="15"/>
      <c r="BA110" s="4" t="str">
        <f t="shared" si="54"/>
        <v/>
      </c>
      <c r="BB110" s="4">
        <f t="shared" si="72"/>
        <v>-46027</v>
      </c>
      <c r="BC110" s="20"/>
      <c r="BD110" s="38"/>
      <c r="BE110" s="47"/>
    </row>
    <row r="111" spans="1:57" ht="22.5">
      <c r="B111" s="72" t="s">
        <v>91</v>
      </c>
      <c r="C111" s="119"/>
      <c r="D111" s="120"/>
      <c r="E111" s="92"/>
      <c r="F111" s="92"/>
      <c r="G111" s="66" t="str">
        <f t="shared" si="63"/>
        <v/>
      </c>
      <c r="H111" s="66">
        <f t="shared" si="64"/>
        <v>-46027</v>
      </c>
      <c r="I111" s="111"/>
      <c r="J111" s="78"/>
      <c r="K111" s="121"/>
      <c r="L111" s="70"/>
      <c r="M111" s="66" t="str">
        <f t="shared" si="57"/>
        <v/>
      </c>
      <c r="N111" s="66">
        <f t="shared" si="65"/>
        <v>-46027</v>
      </c>
      <c r="O111" s="115"/>
      <c r="P111" s="115"/>
      <c r="Q111" s="116"/>
      <c r="R111" s="147"/>
      <c r="S111" s="124"/>
      <c r="T111" s="124"/>
      <c r="U111" s="66" t="str">
        <f t="shared" si="48"/>
        <v/>
      </c>
      <c r="V111" s="66">
        <f t="shared" si="68"/>
        <v>-46027</v>
      </c>
      <c r="W111" s="115"/>
      <c r="X111" s="116"/>
      <c r="Y111" s="115" t="s">
        <v>8</v>
      </c>
      <c r="Z111" s="123">
        <v>22</v>
      </c>
      <c r="AA111" s="124">
        <v>46013</v>
      </c>
      <c r="AB111" s="125">
        <v>46053</v>
      </c>
      <c r="AC111" s="66">
        <f t="shared" si="50"/>
        <v>65</v>
      </c>
      <c r="AD111" s="66">
        <f t="shared" si="69"/>
        <v>26</v>
      </c>
      <c r="AE111" s="115"/>
      <c r="AF111" s="114"/>
      <c r="AG111" s="101" t="s">
        <v>8</v>
      </c>
      <c r="AH111" s="89">
        <v>6</v>
      </c>
      <c r="AI111" s="45">
        <v>46013</v>
      </c>
      <c r="AJ111" s="45">
        <v>46053</v>
      </c>
      <c r="AK111" s="66">
        <f t="shared" si="52"/>
        <v>65</v>
      </c>
      <c r="AL111" s="66">
        <f t="shared" si="70"/>
        <v>26</v>
      </c>
      <c r="AM111" s="78">
        <f t="shared" si="73"/>
        <v>16</v>
      </c>
      <c r="AN111" s="111"/>
      <c r="AO111" s="101" t="s">
        <v>8</v>
      </c>
      <c r="AP111" s="89">
        <v>0</v>
      </c>
      <c r="AQ111" s="15"/>
      <c r="AR111" s="15"/>
      <c r="AS111" s="4" t="str">
        <f t="shared" si="53"/>
        <v/>
      </c>
      <c r="AT111" s="4">
        <f t="shared" si="71"/>
        <v>-46027</v>
      </c>
      <c r="AU111" s="20">
        <f t="shared" si="74"/>
        <v>16</v>
      </c>
      <c r="AV111" s="38"/>
      <c r="AW111" s="101" t="s">
        <v>8</v>
      </c>
      <c r="AX111" s="89">
        <v>0</v>
      </c>
      <c r="AY111" s="15"/>
      <c r="AZ111" s="15"/>
      <c r="BA111" s="4" t="str">
        <f t="shared" si="54"/>
        <v/>
      </c>
      <c r="BB111" s="4">
        <f t="shared" si="72"/>
        <v>-46027</v>
      </c>
      <c r="BC111" s="20"/>
      <c r="BD111" s="38"/>
    </row>
    <row r="112" spans="1:57" ht="22.5">
      <c r="B112" s="109" t="s">
        <v>97</v>
      </c>
      <c r="C112" s="114"/>
      <c r="D112" s="126"/>
      <c r="E112" s="92"/>
      <c r="F112" s="92"/>
      <c r="G112" s="66" t="str">
        <f t="shared" si="63"/>
        <v/>
      </c>
      <c r="H112" s="66">
        <f t="shared" si="64"/>
        <v>-46027</v>
      </c>
      <c r="I112" s="111"/>
      <c r="J112" s="78"/>
      <c r="K112" s="121"/>
      <c r="L112" s="70"/>
      <c r="M112" s="66" t="str">
        <f t="shared" si="57"/>
        <v/>
      </c>
      <c r="N112" s="66">
        <f t="shared" si="65"/>
        <v>-46027</v>
      </c>
      <c r="O112" s="64"/>
      <c r="P112" s="64"/>
      <c r="Q112" s="127"/>
      <c r="R112" s="148"/>
      <c r="S112" s="70"/>
      <c r="T112" s="70"/>
      <c r="U112" s="66" t="str">
        <f t="shared" si="48"/>
        <v/>
      </c>
      <c r="V112" s="66">
        <f t="shared" si="68"/>
        <v>-46027</v>
      </c>
      <c r="W112" s="64"/>
      <c r="X112" s="127"/>
      <c r="Y112" s="64"/>
      <c r="Z112" s="78"/>
      <c r="AA112" s="70"/>
      <c r="AB112" s="92"/>
      <c r="AC112" s="66" t="str">
        <f t="shared" si="50"/>
        <v/>
      </c>
      <c r="AD112" s="66">
        <f t="shared" si="69"/>
        <v>-46027</v>
      </c>
      <c r="AE112" s="64"/>
      <c r="AF112" s="111"/>
      <c r="AG112" s="111"/>
      <c r="AH112" s="78"/>
      <c r="AI112" s="70"/>
      <c r="AJ112" s="70"/>
      <c r="AK112" s="66" t="str">
        <f t="shared" si="52"/>
        <v/>
      </c>
      <c r="AL112" s="66">
        <f t="shared" si="70"/>
        <v>-46027</v>
      </c>
      <c r="AM112" s="111"/>
      <c r="AN112" s="111"/>
      <c r="AO112" s="111" t="s">
        <v>8</v>
      </c>
      <c r="AP112" s="78">
        <v>22</v>
      </c>
      <c r="AQ112" s="8">
        <v>46012</v>
      </c>
      <c r="AR112" s="8">
        <v>46062</v>
      </c>
      <c r="AS112" s="4">
        <f t="shared" si="53"/>
        <v>70</v>
      </c>
      <c r="AT112" s="4">
        <f t="shared" si="71"/>
        <v>35</v>
      </c>
      <c r="AU112" s="38"/>
      <c r="AV112" s="38"/>
      <c r="AW112" s="111" t="s">
        <v>8</v>
      </c>
      <c r="AX112" s="78">
        <v>0</v>
      </c>
      <c r="AY112" s="8"/>
      <c r="AZ112" s="8"/>
      <c r="BA112" s="4" t="str">
        <f t="shared" si="54"/>
        <v/>
      </c>
      <c r="BB112" s="4">
        <f t="shared" si="72"/>
        <v>-46027</v>
      </c>
      <c r="BC112" s="38"/>
      <c r="BD112" s="38"/>
    </row>
    <row r="113" spans="2:56" ht="22.5">
      <c r="B113" s="109" t="s">
        <v>79</v>
      </c>
      <c r="C113" s="111"/>
      <c r="D113" s="120"/>
      <c r="E113" s="92"/>
      <c r="F113" s="92"/>
      <c r="G113" s="66" t="str">
        <f t="shared" si="63"/>
        <v/>
      </c>
      <c r="H113" s="66">
        <f t="shared" si="64"/>
        <v>-46027</v>
      </c>
      <c r="I113" s="111"/>
      <c r="J113" s="78"/>
      <c r="K113" s="121"/>
      <c r="L113" s="70"/>
      <c r="M113" s="66" t="str">
        <f t="shared" si="57"/>
        <v/>
      </c>
      <c r="N113" s="66">
        <f t="shared" si="65"/>
        <v>-46027</v>
      </c>
      <c r="O113" s="64"/>
      <c r="P113" s="64"/>
      <c r="Q113" s="127"/>
      <c r="R113" s="148"/>
      <c r="S113" s="70"/>
      <c r="T113" s="70"/>
      <c r="U113" s="66" t="str">
        <f t="shared" si="48"/>
        <v/>
      </c>
      <c r="V113" s="66">
        <f t="shared" si="68"/>
        <v>-46027</v>
      </c>
      <c r="W113" s="64"/>
      <c r="X113" s="127"/>
      <c r="Y113" s="64"/>
      <c r="Z113" s="78"/>
      <c r="AA113" s="70"/>
      <c r="AB113" s="92"/>
      <c r="AC113" s="66" t="str">
        <f t="shared" si="50"/>
        <v/>
      </c>
      <c r="AD113" s="66">
        <f t="shared" si="69"/>
        <v>-46027</v>
      </c>
      <c r="AE113" s="64"/>
      <c r="AF113" s="111"/>
      <c r="AG113" s="111"/>
      <c r="AH113" s="78"/>
      <c r="AI113" s="70"/>
      <c r="AJ113" s="70"/>
      <c r="AK113" s="66" t="str">
        <f t="shared" si="52"/>
        <v/>
      </c>
      <c r="AL113" s="66">
        <f t="shared" si="70"/>
        <v>-46027</v>
      </c>
      <c r="AM113" s="111"/>
      <c r="AN113" s="111"/>
      <c r="AO113" s="111" t="s">
        <v>15</v>
      </c>
      <c r="AP113" s="78" t="s">
        <v>110</v>
      </c>
      <c r="AQ113" s="8">
        <v>46021</v>
      </c>
      <c r="AR113" s="8">
        <v>46061</v>
      </c>
      <c r="AS113" s="4">
        <f t="shared" si="53"/>
        <v>85</v>
      </c>
      <c r="AT113" s="4">
        <f t="shared" si="71"/>
        <v>34</v>
      </c>
      <c r="AU113" s="38"/>
      <c r="AV113" s="38"/>
      <c r="AW113" s="111" t="s">
        <v>15</v>
      </c>
      <c r="AX113" s="78"/>
      <c r="AY113" s="8"/>
      <c r="AZ113" s="8"/>
      <c r="BA113" s="4" t="str">
        <f t="shared" si="54"/>
        <v/>
      </c>
      <c r="BB113" s="4">
        <f t="shared" si="72"/>
        <v>-46027</v>
      </c>
      <c r="BC113" s="38"/>
      <c r="BD113" s="38"/>
    </row>
    <row r="114" spans="2:56" ht="22.5">
      <c r="B114" s="109" t="s">
        <v>103</v>
      </c>
      <c r="C114" s="114"/>
      <c r="D114" s="126"/>
      <c r="E114" s="125"/>
      <c r="F114" s="92"/>
      <c r="G114" s="66" t="str">
        <f t="shared" si="63"/>
        <v/>
      </c>
      <c r="H114" s="66">
        <f t="shared" si="64"/>
        <v>-46027</v>
      </c>
      <c r="I114" s="111"/>
      <c r="J114" s="78"/>
      <c r="K114" s="121"/>
      <c r="L114" s="70"/>
      <c r="M114" s="66" t="str">
        <f t="shared" si="57"/>
        <v/>
      </c>
      <c r="N114" s="66">
        <f t="shared" si="65"/>
        <v>-46027</v>
      </c>
      <c r="O114" s="64"/>
      <c r="P114" s="64"/>
      <c r="Q114" s="127"/>
      <c r="R114" s="148"/>
      <c r="S114" s="70"/>
      <c r="T114" s="70"/>
      <c r="U114" s="66" t="str">
        <f t="shared" si="48"/>
        <v/>
      </c>
      <c r="V114" s="66">
        <f t="shared" si="68"/>
        <v>-46027</v>
      </c>
      <c r="W114" s="64"/>
      <c r="X114" s="127"/>
      <c r="Y114" s="64"/>
      <c r="Z114" s="78"/>
      <c r="AA114" s="70"/>
      <c r="AB114" s="92"/>
      <c r="AC114" s="66" t="str">
        <f t="shared" si="50"/>
        <v/>
      </c>
      <c r="AD114" s="66">
        <f t="shared" si="69"/>
        <v>-46027</v>
      </c>
      <c r="AE114" s="64"/>
      <c r="AF114" s="111"/>
      <c r="AG114" s="111"/>
      <c r="AH114" s="78"/>
      <c r="AI114" s="70"/>
      <c r="AJ114" s="70"/>
      <c r="AK114" s="66" t="str">
        <f t="shared" si="52"/>
        <v/>
      </c>
      <c r="AL114" s="66">
        <f t="shared" si="70"/>
        <v>-46027</v>
      </c>
      <c r="AM114" s="111"/>
      <c r="AN114" s="111"/>
      <c r="AO114" s="111" t="s">
        <v>8</v>
      </c>
      <c r="AP114" s="78">
        <v>20</v>
      </c>
      <c r="AQ114" s="8">
        <v>46013</v>
      </c>
      <c r="AR114" s="8">
        <v>46058</v>
      </c>
      <c r="AS114" s="4">
        <f t="shared" si="53"/>
        <v>68.888888888888886</v>
      </c>
      <c r="AT114" s="4">
        <f t="shared" si="71"/>
        <v>31</v>
      </c>
      <c r="AU114" s="38"/>
      <c r="AV114" s="38"/>
      <c r="AW114" s="111" t="s">
        <v>8</v>
      </c>
      <c r="AX114" s="78">
        <v>19</v>
      </c>
      <c r="AY114" s="8">
        <v>46013</v>
      </c>
      <c r="AZ114" s="8">
        <v>46058</v>
      </c>
      <c r="BA114" s="4">
        <f t="shared" si="54"/>
        <v>68.888888888888886</v>
      </c>
      <c r="BB114" s="4">
        <f t="shared" si="72"/>
        <v>31</v>
      </c>
      <c r="BC114" s="156">
        <f>AP114-AX114</f>
        <v>1</v>
      </c>
      <c r="BD114" s="38"/>
    </row>
    <row r="115" spans="2:56" ht="22.5">
      <c r="B115" s="109" t="s">
        <v>88</v>
      </c>
      <c r="C115" s="128"/>
      <c r="D115" s="126"/>
      <c r="E115" s="125"/>
      <c r="F115" s="129"/>
      <c r="G115" s="66" t="str">
        <f t="shared" si="63"/>
        <v/>
      </c>
      <c r="H115" s="66">
        <f t="shared" si="64"/>
        <v>-46027</v>
      </c>
      <c r="I115" s="111"/>
      <c r="J115" s="78"/>
      <c r="K115" s="121"/>
      <c r="L115" s="70"/>
      <c r="M115" s="66" t="str">
        <f t="shared" si="57"/>
        <v/>
      </c>
      <c r="N115" s="66">
        <f t="shared" si="65"/>
        <v>-46027</v>
      </c>
      <c r="O115" s="64"/>
      <c r="P115" s="64"/>
      <c r="Q115" s="127"/>
      <c r="R115" s="148"/>
      <c r="S115" s="70"/>
      <c r="T115" s="70"/>
      <c r="U115" s="66" t="str">
        <f t="shared" si="48"/>
        <v/>
      </c>
      <c r="V115" s="66">
        <f t="shared" si="68"/>
        <v>-46027</v>
      </c>
      <c r="W115" s="64"/>
      <c r="X115" s="127"/>
      <c r="Y115" s="64"/>
      <c r="Z115" s="78"/>
      <c r="AA115" s="70"/>
      <c r="AB115" s="92"/>
      <c r="AC115" s="66" t="str">
        <f t="shared" si="50"/>
        <v/>
      </c>
      <c r="AD115" s="66">
        <f t="shared" si="69"/>
        <v>-46027</v>
      </c>
      <c r="AE115" s="64"/>
      <c r="AF115" s="111"/>
      <c r="AG115" s="64"/>
      <c r="AH115" s="78"/>
      <c r="AI115" s="70"/>
      <c r="AJ115" s="70"/>
      <c r="AK115" s="66" t="str">
        <f t="shared" si="52"/>
        <v/>
      </c>
      <c r="AL115" s="66">
        <f t="shared" si="70"/>
        <v>-46027</v>
      </c>
      <c r="AM115" s="111"/>
      <c r="AN115" s="111"/>
      <c r="AO115" s="64" t="s">
        <v>8</v>
      </c>
      <c r="AP115" s="78">
        <v>48</v>
      </c>
      <c r="AQ115" s="8">
        <v>46013</v>
      </c>
      <c r="AR115" s="8">
        <v>46053</v>
      </c>
      <c r="AS115" s="4">
        <f t="shared" si="53"/>
        <v>65</v>
      </c>
      <c r="AT115" s="4">
        <f t="shared" si="71"/>
        <v>26</v>
      </c>
      <c r="AU115" s="38"/>
      <c r="AV115" s="38"/>
      <c r="AW115" s="64" t="s">
        <v>8</v>
      </c>
      <c r="AX115" s="78">
        <v>48</v>
      </c>
      <c r="AY115" s="8">
        <v>46013</v>
      </c>
      <c r="AZ115" s="8">
        <v>46053</v>
      </c>
      <c r="BA115" s="4">
        <f t="shared" si="54"/>
        <v>65</v>
      </c>
      <c r="BB115" s="4">
        <f t="shared" si="72"/>
        <v>26</v>
      </c>
      <c r="BC115" s="157">
        <f t="shared" ref="BC115:BC116" si="75">AP115-AX115</f>
        <v>0</v>
      </c>
      <c r="BD115" s="38"/>
    </row>
    <row r="116" spans="2:56" ht="22.5">
      <c r="B116" s="109" t="s">
        <v>88</v>
      </c>
      <c r="C116" s="64"/>
      <c r="D116" s="120"/>
      <c r="E116" s="70"/>
      <c r="F116" s="121"/>
      <c r="G116" s="66" t="str">
        <f t="shared" si="63"/>
        <v/>
      </c>
      <c r="H116" s="66">
        <f t="shared" si="64"/>
        <v>-46027</v>
      </c>
      <c r="I116" s="64"/>
      <c r="J116" s="126"/>
      <c r="K116" s="70"/>
      <c r="L116" s="70"/>
      <c r="M116" s="66" t="str">
        <f t="shared" si="57"/>
        <v/>
      </c>
      <c r="N116" s="66">
        <f t="shared" si="65"/>
        <v>-46027</v>
      </c>
      <c r="O116" s="64"/>
      <c r="P116" s="64"/>
      <c r="Q116" s="127"/>
      <c r="R116" s="148"/>
      <c r="S116" s="70"/>
      <c r="T116" s="70"/>
      <c r="U116" s="66" t="str">
        <f t="shared" si="48"/>
        <v/>
      </c>
      <c r="V116" s="66">
        <f t="shared" si="68"/>
        <v>-46027</v>
      </c>
      <c r="W116" s="64"/>
      <c r="X116" s="127"/>
      <c r="Y116" s="64"/>
      <c r="Z116" s="78"/>
      <c r="AA116" s="70"/>
      <c r="AB116" s="92"/>
      <c r="AC116" s="66" t="str">
        <f t="shared" si="50"/>
        <v/>
      </c>
      <c r="AD116" s="130">
        <f t="shared" si="69"/>
        <v>-46027</v>
      </c>
      <c r="AE116" s="64"/>
      <c r="AF116" s="111"/>
      <c r="AG116" s="64"/>
      <c r="AH116" s="78"/>
      <c r="AI116" s="70"/>
      <c r="AJ116" s="70"/>
      <c r="AK116" s="66" t="str">
        <f t="shared" si="52"/>
        <v/>
      </c>
      <c r="AL116" s="66">
        <f t="shared" si="70"/>
        <v>-46027</v>
      </c>
      <c r="AM116" s="111"/>
      <c r="AN116" s="111"/>
      <c r="AO116" s="64" t="s">
        <v>8</v>
      </c>
      <c r="AP116" s="78">
        <v>22</v>
      </c>
      <c r="AQ116" s="8">
        <v>46011</v>
      </c>
      <c r="AR116" s="8">
        <v>46051</v>
      </c>
      <c r="AS116" s="4">
        <f t="shared" si="53"/>
        <v>60</v>
      </c>
      <c r="AT116" s="4">
        <f t="shared" si="71"/>
        <v>24</v>
      </c>
      <c r="AU116" s="38"/>
      <c r="AV116" s="38"/>
      <c r="AW116" s="64" t="s">
        <v>8</v>
      </c>
      <c r="AX116" s="78">
        <v>13</v>
      </c>
      <c r="AY116" s="8">
        <v>46011</v>
      </c>
      <c r="AZ116" s="8">
        <v>46051</v>
      </c>
      <c r="BA116" s="4">
        <f t="shared" si="54"/>
        <v>60</v>
      </c>
      <c r="BB116" s="4">
        <f t="shared" si="72"/>
        <v>24</v>
      </c>
      <c r="BC116" s="156">
        <f t="shared" si="75"/>
        <v>9</v>
      </c>
      <c r="BD116" s="38"/>
    </row>
    <row r="117" spans="2:56" ht="22.5">
      <c r="B117" s="109" t="s">
        <v>80</v>
      </c>
      <c r="C117" s="111"/>
      <c r="D117" s="120"/>
      <c r="E117" s="70"/>
      <c r="F117" s="121"/>
      <c r="G117" s="66" t="str">
        <f t="shared" si="63"/>
        <v/>
      </c>
      <c r="H117" s="66">
        <f t="shared" si="64"/>
        <v>-46027</v>
      </c>
      <c r="I117" s="64"/>
      <c r="J117" s="78"/>
      <c r="K117" s="70"/>
      <c r="L117" s="70"/>
      <c r="M117" s="66" t="str">
        <f t="shared" si="57"/>
        <v/>
      </c>
      <c r="N117" s="66">
        <f t="shared" si="65"/>
        <v>-46027</v>
      </c>
      <c r="O117" s="64"/>
      <c r="P117" s="64"/>
      <c r="Q117" s="127"/>
      <c r="R117" s="148"/>
      <c r="S117" s="70"/>
      <c r="T117" s="70"/>
      <c r="U117" s="66" t="str">
        <f t="shared" si="48"/>
        <v/>
      </c>
      <c r="V117" s="66">
        <f t="shared" si="68"/>
        <v>-46027</v>
      </c>
      <c r="W117" s="64"/>
      <c r="X117" s="127"/>
      <c r="Y117" s="64"/>
      <c r="Z117" s="120"/>
      <c r="AA117" s="70"/>
      <c r="AB117" s="70"/>
      <c r="AC117" s="66" t="str">
        <f t="shared" si="50"/>
        <v/>
      </c>
      <c r="AD117" s="130">
        <f t="shared" si="69"/>
        <v>-46027</v>
      </c>
      <c r="AE117" s="64"/>
      <c r="AF117" s="111"/>
      <c r="AG117" s="115"/>
      <c r="AH117" s="123"/>
      <c r="AI117" s="124"/>
      <c r="AJ117" s="124"/>
      <c r="AK117" s="66" t="str">
        <f t="shared" si="52"/>
        <v/>
      </c>
      <c r="AL117" s="66">
        <f t="shared" si="70"/>
        <v>-46027</v>
      </c>
      <c r="AM117" s="114"/>
      <c r="AN117" s="114"/>
      <c r="AO117" s="115"/>
      <c r="AP117" s="123"/>
      <c r="AQ117" s="41"/>
      <c r="AR117" s="41"/>
      <c r="AS117" s="4" t="str">
        <f t="shared" si="53"/>
        <v/>
      </c>
      <c r="AT117" s="4">
        <f t="shared" si="71"/>
        <v>-46027</v>
      </c>
      <c r="AU117" s="39"/>
      <c r="AV117" s="39"/>
      <c r="AW117" s="115" t="s">
        <v>15</v>
      </c>
      <c r="AX117" s="123">
        <v>90</v>
      </c>
      <c r="AY117" s="41">
        <v>46039</v>
      </c>
      <c r="AZ117" s="41">
        <v>46069</v>
      </c>
      <c r="BA117" s="4">
        <f t="shared" si="54"/>
        <v>140</v>
      </c>
      <c r="BB117" s="4">
        <f t="shared" si="72"/>
        <v>42</v>
      </c>
      <c r="BC117" s="39"/>
      <c r="BD117" s="39"/>
    </row>
    <row r="118" spans="2:56" ht="22.5">
      <c r="B118" s="109" t="s">
        <v>79</v>
      </c>
      <c r="C118" s="111"/>
      <c r="D118" s="78"/>
      <c r="E118" s="70"/>
      <c r="F118" s="121"/>
      <c r="G118" s="66" t="str">
        <f t="shared" si="63"/>
        <v/>
      </c>
      <c r="H118" s="66">
        <f t="shared" si="64"/>
        <v>-46027</v>
      </c>
      <c r="I118" s="64"/>
      <c r="J118" s="78"/>
      <c r="K118" s="70"/>
      <c r="L118" s="70"/>
      <c r="M118" s="66" t="str">
        <f t="shared" si="57"/>
        <v/>
      </c>
      <c r="N118" s="66">
        <f t="shared" si="65"/>
        <v>-46027</v>
      </c>
      <c r="O118" s="64"/>
      <c r="P118" s="64"/>
      <c r="Q118" s="127"/>
      <c r="R118" s="148"/>
      <c r="S118" s="70"/>
      <c r="T118" s="70"/>
      <c r="U118" s="66" t="str">
        <f t="shared" si="48"/>
        <v/>
      </c>
      <c r="V118" s="66">
        <f t="shared" si="68"/>
        <v>-46027</v>
      </c>
      <c r="W118" s="64"/>
      <c r="X118" s="127"/>
      <c r="Y118" s="64"/>
      <c r="Z118" s="120"/>
      <c r="AA118" s="70"/>
      <c r="AB118" s="70"/>
      <c r="AC118" s="66" t="str">
        <f t="shared" si="50"/>
        <v/>
      </c>
      <c r="AD118" s="130">
        <f t="shared" si="69"/>
        <v>-46027</v>
      </c>
      <c r="AE118" s="64"/>
      <c r="AF118" s="111"/>
      <c r="AG118" s="64"/>
      <c r="AH118" s="78"/>
      <c r="AI118" s="70"/>
      <c r="AJ118" s="70"/>
      <c r="AK118" s="66" t="str">
        <f t="shared" si="52"/>
        <v/>
      </c>
      <c r="AL118" s="66">
        <f t="shared" si="70"/>
        <v>-46027</v>
      </c>
      <c r="AM118" s="111"/>
      <c r="AN118" s="111"/>
      <c r="AO118" s="64"/>
      <c r="AP118" s="78"/>
      <c r="AQ118" s="8"/>
      <c r="AR118" s="8"/>
      <c r="AS118" s="4" t="str">
        <f t="shared" si="53"/>
        <v/>
      </c>
      <c r="AT118" s="4">
        <f t="shared" si="71"/>
        <v>-46027</v>
      </c>
      <c r="AU118" s="38"/>
      <c r="AV118" s="38"/>
      <c r="AW118" s="64" t="s">
        <v>15</v>
      </c>
      <c r="AX118" s="78">
        <v>30</v>
      </c>
      <c r="AY118" s="8">
        <v>46031</v>
      </c>
      <c r="AZ118" s="8">
        <v>46071</v>
      </c>
      <c r="BA118" s="4">
        <f t="shared" si="54"/>
        <v>110.00000000000001</v>
      </c>
      <c r="BB118" s="4">
        <f t="shared" si="72"/>
        <v>44</v>
      </c>
      <c r="BC118" s="38"/>
      <c r="BD118" s="38"/>
    </row>
    <row r="119" spans="2:56" ht="22.5">
      <c r="B119" s="152" t="s">
        <v>111</v>
      </c>
      <c r="C119" s="111"/>
      <c r="D119" s="78"/>
      <c r="E119" s="70"/>
      <c r="F119" s="121"/>
      <c r="G119" s="66" t="str">
        <f t="shared" si="63"/>
        <v/>
      </c>
      <c r="H119" s="66">
        <f t="shared" si="64"/>
        <v>-46027</v>
      </c>
      <c r="I119" s="64"/>
      <c r="J119" s="78"/>
      <c r="K119" s="70"/>
      <c r="L119" s="70"/>
      <c r="M119" s="66" t="str">
        <f t="shared" si="57"/>
        <v/>
      </c>
      <c r="N119" s="66">
        <f t="shared" si="65"/>
        <v>-46027</v>
      </c>
      <c r="O119" s="64"/>
      <c r="P119" s="64"/>
      <c r="Q119" s="127"/>
      <c r="R119" s="148"/>
      <c r="S119" s="70"/>
      <c r="T119" s="70"/>
      <c r="U119" s="66" t="str">
        <f t="shared" si="48"/>
        <v/>
      </c>
      <c r="V119" s="66">
        <f t="shared" si="68"/>
        <v>-46027</v>
      </c>
      <c r="W119" s="64"/>
      <c r="X119" s="127"/>
      <c r="Y119" s="64"/>
      <c r="Z119" s="120"/>
      <c r="AA119" s="70"/>
      <c r="AB119" s="70"/>
      <c r="AC119" s="66" t="str">
        <f t="shared" si="50"/>
        <v/>
      </c>
      <c r="AD119" s="130">
        <f t="shared" si="69"/>
        <v>-46027</v>
      </c>
      <c r="AE119" s="64"/>
      <c r="AF119" s="111"/>
      <c r="AG119" s="111"/>
      <c r="AH119" s="78"/>
      <c r="AI119" s="70"/>
      <c r="AJ119" s="70"/>
      <c r="AK119" s="66" t="str">
        <f t="shared" si="52"/>
        <v/>
      </c>
      <c r="AL119" s="66">
        <f t="shared" si="70"/>
        <v>-46027</v>
      </c>
      <c r="AM119" s="111"/>
      <c r="AN119" s="111"/>
      <c r="AO119" s="111"/>
      <c r="AP119" s="78"/>
      <c r="AQ119" s="8"/>
      <c r="AR119" s="8"/>
      <c r="AS119" s="4" t="str">
        <f t="shared" si="53"/>
        <v/>
      </c>
      <c r="AT119" s="4">
        <f t="shared" si="71"/>
        <v>-46027</v>
      </c>
      <c r="AU119" s="38"/>
      <c r="AV119" s="38"/>
      <c r="AW119" s="111" t="s">
        <v>15</v>
      </c>
      <c r="AX119" s="78">
        <v>35</v>
      </c>
      <c r="AY119" s="8">
        <v>46011</v>
      </c>
      <c r="AZ119" s="8">
        <v>46066</v>
      </c>
      <c r="BA119" s="4">
        <f t="shared" si="54"/>
        <v>70.909090909090907</v>
      </c>
      <c r="BB119" s="4">
        <f t="shared" si="72"/>
        <v>39</v>
      </c>
      <c r="BC119" s="38"/>
      <c r="BD119" s="38"/>
    </row>
    <row r="120" spans="2:56" ht="22.5">
      <c r="B120" s="152" t="s">
        <v>112</v>
      </c>
      <c r="C120" s="111"/>
      <c r="D120" s="78"/>
      <c r="E120" s="70"/>
      <c r="F120" s="121"/>
      <c r="G120" s="66" t="str">
        <f t="shared" si="63"/>
        <v/>
      </c>
      <c r="H120" s="66">
        <f t="shared" si="64"/>
        <v>-46027</v>
      </c>
      <c r="I120" s="64"/>
      <c r="J120" s="78"/>
      <c r="K120" s="70"/>
      <c r="L120" s="70"/>
      <c r="M120" s="66" t="str">
        <f t="shared" si="57"/>
        <v/>
      </c>
      <c r="N120" s="66">
        <f t="shared" si="65"/>
        <v>-46027</v>
      </c>
      <c r="O120" s="64"/>
      <c r="P120" s="64"/>
      <c r="Q120" s="127"/>
      <c r="R120" s="148"/>
      <c r="S120" s="70"/>
      <c r="T120" s="70"/>
      <c r="U120" s="66" t="str">
        <f t="shared" si="48"/>
        <v/>
      </c>
      <c r="V120" s="66">
        <f t="shared" si="68"/>
        <v>-46027</v>
      </c>
      <c r="W120" s="64"/>
      <c r="X120" s="127"/>
      <c r="Y120" s="64"/>
      <c r="Z120" s="120"/>
      <c r="AA120" s="70"/>
      <c r="AB120" s="70"/>
      <c r="AC120" s="66" t="str">
        <f t="shared" si="50"/>
        <v/>
      </c>
      <c r="AD120" s="130">
        <f t="shared" si="69"/>
        <v>-46027</v>
      </c>
      <c r="AE120" s="64"/>
      <c r="AF120" s="111"/>
      <c r="AG120" s="114"/>
      <c r="AH120" s="78"/>
      <c r="AI120" s="70"/>
      <c r="AJ120" s="70"/>
      <c r="AK120" s="66" t="str">
        <f t="shared" si="52"/>
        <v/>
      </c>
      <c r="AL120" s="66">
        <f t="shared" si="70"/>
        <v>-46027</v>
      </c>
      <c r="AM120" s="111"/>
      <c r="AN120" s="111"/>
      <c r="AO120" s="114"/>
      <c r="AP120" s="78"/>
      <c r="AQ120" s="8"/>
      <c r="AR120" s="8"/>
      <c r="AS120" s="4" t="str">
        <f t="shared" si="53"/>
        <v/>
      </c>
      <c r="AT120" s="4">
        <f t="shared" si="71"/>
        <v>-46027</v>
      </c>
      <c r="AU120" s="38"/>
      <c r="AV120" s="38"/>
      <c r="AW120" s="114" t="s">
        <v>15</v>
      </c>
      <c r="AX120" s="78">
        <v>130</v>
      </c>
      <c r="AY120" s="8">
        <v>46031</v>
      </c>
      <c r="AZ120" s="8">
        <v>46071</v>
      </c>
      <c r="BA120" s="4">
        <f t="shared" si="54"/>
        <v>110.00000000000001</v>
      </c>
      <c r="BB120" s="4">
        <f t="shared" si="72"/>
        <v>44</v>
      </c>
      <c r="BC120" s="38"/>
      <c r="BD120" s="38"/>
    </row>
    <row r="121" spans="2:56" ht="22.5">
      <c r="B121" s="152" t="s">
        <v>81</v>
      </c>
      <c r="C121" s="111"/>
      <c r="D121" s="78"/>
      <c r="E121" s="70"/>
      <c r="F121" s="121"/>
      <c r="G121" s="66" t="str">
        <f t="shared" si="63"/>
        <v/>
      </c>
      <c r="H121" s="66">
        <f t="shared" si="64"/>
        <v>-46027</v>
      </c>
      <c r="I121" s="64"/>
      <c r="J121" s="78"/>
      <c r="K121" s="70"/>
      <c r="L121" s="70"/>
      <c r="M121" s="66" t="str">
        <f t="shared" si="57"/>
        <v/>
      </c>
      <c r="N121" s="66">
        <f t="shared" si="65"/>
        <v>-46027</v>
      </c>
      <c r="O121" s="64"/>
      <c r="P121" s="64"/>
      <c r="Q121" s="127"/>
      <c r="R121" s="148"/>
      <c r="S121" s="70"/>
      <c r="T121" s="70"/>
      <c r="U121" s="66" t="str">
        <f t="shared" si="48"/>
        <v/>
      </c>
      <c r="V121" s="66">
        <f t="shared" si="68"/>
        <v>-46027</v>
      </c>
      <c r="W121" s="64"/>
      <c r="X121" s="127"/>
      <c r="Y121" s="64"/>
      <c r="Z121" s="120"/>
      <c r="AA121" s="70"/>
      <c r="AB121" s="70"/>
      <c r="AC121" s="66" t="str">
        <f t="shared" si="50"/>
        <v/>
      </c>
      <c r="AD121" s="130">
        <f t="shared" si="69"/>
        <v>-46027</v>
      </c>
      <c r="AE121" s="64"/>
      <c r="AF121" s="111"/>
      <c r="AG121" s="114"/>
      <c r="AH121" s="123"/>
      <c r="AI121" s="124"/>
      <c r="AJ121" s="124"/>
      <c r="AK121" s="66" t="str">
        <f t="shared" si="52"/>
        <v/>
      </c>
      <c r="AL121" s="66">
        <f t="shared" si="70"/>
        <v>-46027</v>
      </c>
      <c r="AM121" s="114"/>
      <c r="AN121" s="114"/>
      <c r="AO121" s="114"/>
      <c r="AP121" s="123"/>
      <c r="AQ121" s="41"/>
      <c r="AR121" s="41"/>
      <c r="AS121" s="4" t="str">
        <f t="shared" si="53"/>
        <v/>
      </c>
      <c r="AT121" s="4">
        <f t="shared" si="71"/>
        <v>-46027</v>
      </c>
      <c r="AU121" s="39"/>
      <c r="AV121" s="39"/>
      <c r="AW121" s="114" t="s">
        <v>15</v>
      </c>
      <c r="AX121" s="123">
        <v>35</v>
      </c>
      <c r="AY121" s="41">
        <v>46026</v>
      </c>
      <c r="AZ121" s="41">
        <v>46071</v>
      </c>
      <c r="BA121" s="4">
        <f t="shared" si="54"/>
        <v>97.777777777777771</v>
      </c>
      <c r="BB121" s="4">
        <f t="shared" si="72"/>
        <v>44</v>
      </c>
      <c r="BC121" s="39"/>
      <c r="BD121" s="39"/>
    </row>
    <row r="122" spans="2:56" ht="22.5">
      <c r="B122" s="152" t="s">
        <v>102</v>
      </c>
      <c r="C122" s="64"/>
      <c r="D122" s="78"/>
      <c r="E122" s="70"/>
      <c r="F122" s="121"/>
      <c r="G122" s="66" t="str">
        <f t="shared" si="63"/>
        <v/>
      </c>
      <c r="H122" s="66">
        <f t="shared" si="64"/>
        <v>-46027</v>
      </c>
      <c r="I122" s="64"/>
      <c r="J122" s="78"/>
      <c r="K122" s="70"/>
      <c r="L122" s="70"/>
      <c r="M122" s="66" t="str">
        <f t="shared" si="57"/>
        <v/>
      </c>
      <c r="N122" s="66">
        <f t="shared" si="65"/>
        <v>-46027</v>
      </c>
      <c r="O122" s="64"/>
      <c r="P122" s="64"/>
      <c r="Q122" s="127"/>
      <c r="R122" s="148"/>
      <c r="S122" s="70"/>
      <c r="T122" s="70"/>
      <c r="U122" s="66" t="str">
        <f t="shared" si="48"/>
        <v/>
      </c>
      <c r="V122" s="66">
        <f t="shared" si="68"/>
        <v>-46027</v>
      </c>
      <c r="W122" s="64"/>
      <c r="X122" s="127"/>
      <c r="Y122" s="64"/>
      <c r="Z122" s="120"/>
      <c r="AA122" s="70"/>
      <c r="AB122" s="70"/>
      <c r="AC122" s="66" t="str">
        <f t="shared" si="50"/>
        <v/>
      </c>
      <c r="AD122" s="130">
        <f t="shared" si="69"/>
        <v>-46027</v>
      </c>
      <c r="AE122" s="64"/>
      <c r="AF122" s="111"/>
      <c r="AG122" s="132"/>
      <c r="AH122" s="133"/>
      <c r="AI122" s="134"/>
      <c r="AJ122" s="135"/>
      <c r="AK122" s="66" t="str">
        <f t="shared" si="52"/>
        <v/>
      </c>
      <c r="AL122" s="66">
        <f t="shared" si="70"/>
        <v>-46027</v>
      </c>
      <c r="AM122" s="136"/>
      <c r="AN122" s="132"/>
      <c r="AO122" s="132"/>
      <c r="AP122" s="133"/>
      <c r="AQ122" s="49"/>
      <c r="AR122" s="51"/>
      <c r="AS122" s="4" t="str">
        <f t="shared" si="53"/>
        <v/>
      </c>
      <c r="AT122" s="4">
        <f t="shared" si="71"/>
        <v>-46027</v>
      </c>
      <c r="AU122" s="53"/>
      <c r="AV122" s="48"/>
      <c r="AW122" s="132" t="s">
        <v>8</v>
      </c>
      <c r="AX122" s="133">
        <v>4</v>
      </c>
      <c r="AY122" s="49">
        <v>46012</v>
      </c>
      <c r="AZ122" s="51">
        <v>46062</v>
      </c>
      <c r="BA122" s="4">
        <f t="shared" si="54"/>
        <v>70</v>
      </c>
      <c r="BB122" s="4">
        <f t="shared" si="72"/>
        <v>35</v>
      </c>
      <c r="BC122" s="53"/>
      <c r="BD122" s="48"/>
    </row>
    <row r="123" spans="2:56">
      <c r="B123" s="137"/>
      <c r="C123" s="128"/>
      <c r="D123" s="138"/>
      <c r="E123" s="139"/>
      <c r="G123" s="66" t="str">
        <f t="shared" si="63"/>
        <v/>
      </c>
      <c r="H123" s="66">
        <f t="shared" si="64"/>
        <v>-46027</v>
      </c>
      <c r="I123" s="140"/>
      <c r="J123" s="138"/>
      <c r="K123" s="139"/>
      <c r="L123" s="139"/>
      <c r="M123" s="66" t="str">
        <f t="shared" si="57"/>
        <v/>
      </c>
      <c r="N123" s="66">
        <f t="shared" si="65"/>
        <v>-46027</v>
      </c>
      <c r="O123" s="140"/>
      <c r="P123" s="140"/>
      <c r="R123" s="149"/>
      <c r="S123" s="139"/>
      <c r="T123" s="139"/>
      <c r="U123" s="66" t="str">
        <f t="shared" si="48"/>
        <v/>
      </c>
      <c r="V123" s="66">
        <f t="shared" si="68"/>
        <v>-46027</v>
      </c>
      <c r="W123" s="140"/>
      <c r="Y123" s="140"/>
      <c r="Z123" s="141"/>
      <c r="AA123" s="139"/>
      <c r="AB123" s="139"/>
      <c r="AC123" s="66" t="str">
        <f t="shared" si="50"/>
        <v/>
      </c>
      <c r="AD123" s="130">
        <f t="shared" si="69"/>
        <v>-46027</v>
      </c>
      <c r="AE123" s="140"/>
      <c r="AF123" s="128"/>
      <c r="AG123" s="111"/>
      <c r="AH123" s="78"/>
      <c r="AI123" s="92"/>
      <c r="AJ123" s="70"/>
      <c r="AK123" s="66" t="str">
        <f t="shared" si="52"/>
        <v/>
      </c>
      <c r="AL123" s="66">
        <f t="shared" si="70"/>
        <v>-46027</v>
      </c>
      <c r="AM123" s="64"/>
      <c r="AN123" s="111"/>
      <c r="AO123" s="111"/>
      <c r="AP123" s="78"/>
      <c r="AQ123" s="43"/>
      <c r="AR123" s="8"/>
      <c r="AS123" s="4" t="str">
        <f t="shared" si="53"/>
        <v/>
      </c>
      <c r="AT123" s="4">
        <f t="shared" si="71"/>
        <v>-46027</v>
      </c>
      <c r="AU123" s="19"/>
      <c r="AV123" s="38"/>
      <c r="AW123" s="111"/>
      <c r="AX123" s="78"/>
      <c r="AY123" s="43"/>
      <c r="AZ123" s="8"/>
      <c r="BA123" s="4" t="str">
        <f t="shared" si="54"/>
        <v/>
      </c>
      <c r="BB123" s="4">
        <f t="shared" si="72"/>
        <v>-46027</v>
      </c>
      <c r="BC123" s="19"/>
      <c r="BD123" s="38"/>
    </row>
    <row r="124" spans="2:56">
      <c r="B124" s="142"/>
      <c r="C124" s="64"/>
      <c r="D124" s="78"/>
      <c r="E124" s="70"/>
      <c r="F124" s="121"/>
      <c r="G124" s="66" t="str">
        <f t="shared" si="63"/>
        <v/>
      </c>
      <c r="H124" s="66">
        <f t="shared" si="64"/>
        <v>-46027</v>
      </c>
      <c r="I124" s="64"/>
      <c r="J124" s="78"/>
      <c r="K124" s="70"/>
      <c r="L124" s="70"/>
      <c r="M124" s="66" t="str">
        <f t="shared" si="57"/>
        <v/>
      </c>
      <c r="N124" s="66">
        <f t="shared" si="65"/>
        <v>-46027</v>
      </c>
      <c r="O124" s="64"/>
      <c r="P124" s="64"/>
      <c r="Q124" s="127"/>
      <c r="R124" s="148"/>
      <c r="S124" s="70"/>
      <c r="T124" s="70"/>
      <c r="U124" s="66" t="str">
        <f t="shared" si="48"/>
        <v/>
      </c>
      <c r="V124" s="66">
        <f t="shared" si="68"/>
        <v>-46027</v>
      </c>
      <c r="W124" s="64"/>
      <c r="X124" s="127"/>
      <c r="Y124" s="64"/>
      <c r="Z124" s="120"/>
      <c r="AA124" s="70"/>
      <c r="AB124" s="70"/>
      <c r="AC124" s="66" t="str">
        <f t="shared" si="50"/>
        <v/>
      </c>
      <c r="AD124" s="130">
        <f t="shared" si="69"/>
        <v>-46027</v>
      </c>
      <c r="AE124" s="64"/>
      <c r="AF124" s="111"/>
      <c r="AG124" s="111"/>
      <c r="AH124" s="78"/>
      <c r="AI124" s="92"/>
      <c r="AJ124" s="70"/>
      <c r="AK124" s="66" t="str">
        <f t="shared" si="52"/>
        <v/>
      </c>
      <c r="AL124" s="66">
        <f t="shared" si="70"/>
        <v>-46027</v>
      </c>
      <c r="AM124" s="64"/>
      <c r="AN124" s="111"/>
      <c r="AO124" s="111"/>
      <c r="AP124" s="78"/>
      <c r="AQ124" s="43"/>
      <c r="AR124" s="8"/>
      <c r="AS124" s="4" t="str">
        <f t="shared" si="53"/>
        <v/>
      </c>
      <c r="AT124" s="4">
        <f t="shared" si="71"/>
        <v>-46027</v>
      </c>
      <c r="AU124" s="19"/>
      <c r="AV124" s="38"/>
      <c r="AW124" s="111"/>
      <c r="AX124" s="78"/>
      <c r="AY124" s="43"/>
      <c r="AZ124" s="8"/>
      <c r="BA124" s="4" t="str">
        <f t="shared" si="54"/>
        <v/>
      </c>
      <c r="BB124" s="4">
        <f t="shared" si="72"/>
        <v>-46027</v>
      </c>
      <c r="BC124" s="19"/>
      <c r="BD124" s="38"/>
    </row>
    <row r="125" spans="2:56">
      <c r="B125" s="143"/>
      <c r="C125" s="115"/>
      <c r="D125" s="123"/>
      <c r="E125" s="124"/>
      <c r="F125" s="122"/>
      <c r="G125" s="66" t="str">
        <f t="shared" si="63"/>
        <v/>
      </c>
      <c r="H125" s="66">
        <f t="shared" si="64"/>
        <v>-46027</v>
      </c>
      <c r="I125" s="115"/>
      <c r="J125" s="123"/>
      <c r="K125" s="124"/>
      <c r="L125" s="124"/>
      <c r="M125" s="66" t="str">
        <f t="shared" si="57"/>
        <v/>
      </c>
      <c r="N125" s="66">
        <f t="shared" si="65"/>
        <v>-46027</v>
      </c>
      <c r="O125" s="115"/>
      <c r="P125" s="115"/>
      <c r="Q125" s="116"/>
      <c r="R125" s="147"/>
      <c r="S125" s="124"/>
      <c r="T125" s="124"/>
      <c r="U125" s="66" t="str">
        <f t="shared" si="48"/>
        <v/>
      </c>
      <c r="V125" s="66">
        <f t="shared" si="68"/>
        <v>-46027</v>
      </c>
      <c r="W125" s="115"/>
      <c r="X125" s="116"/>
      <c r="Y125" s="115"/>
      <c r="Z125" s="126"/>
      <c r="AA125" s="124"/>
      <c r="AB125" s="124"/>
      <c r="AC125" s="66" t="str">
        <f t="shared" si="50"/>
        <v/>
      </c>
      <c r="AD125" s="130">
        <f t="shared" si="69"/>
        <v>-46027</v>
      </c>
      <c r="AE125" s="115"/>
      <c r="AF125" s="114"/>
      <c r="AG125" s="111"/>
      <c r="AH125" s="78"/>
      <c r="AI125" s="92"/>
      <c r="AJ125" s="70"/>
      <c r="AK125" s="66" t="str">
        <f t="shared" si="52"/>
        <v/>
      </c>
      <c r="AL125" s="66">
        <f t="shared" si="70"/>
        <v>-46027</v>
      </c>
      <c r="AM125" s="64"/>
      <c r="AN125" s="111"/>
      <c r="AO125" s="111"/>
      <c r="AP125" s="78"/>
      <c r="AQ125" s="43"/>
      <c r="AR125" s="8"/>
      <c r="AS125" s="4" t="str">
        <f t="shared" si="53"/>
        <v/>
      </c>
      <c r="AT125" s="4">
        <f t="shared" si="71"/>
        <v>-46027</v>
      </c>
      <c r="AU125" s="19"/>
      <c r="AV125" s="38"/>
      <c r="AW125" s="111"/>
      <c r="AX125" s="78"/>
      <c r="AY125" s="43"/>
      <c r="AZ125" s="8"/>
      <c r="BA125" s="4" t="str">
        <f t="shared" si="54"/>
        <v/>
      </c>
      <c r="BB125" s="4">
        <f t="shared" si="72"/>
        <v>-46027</v>
      </c>
      <c r="BC125" s="19"/>
      <c r="BD125" s="38"/>
    </row>
    <row r="126" spans="2:56">
      <c r="C126" s="128"/>
      <c r="D126" s="138"/>
      <c r="E126" s="139"/>
      <c r="G126" s="66" t="str">
        <f t="shared" si="63"/>
        <v/>
      </c>
      <c r="H126" s="66">
        <f t="shared" si="64"/>
        <v>-46027</v>
      </c>
      <c r="I126" s="64"/>
      <c r="J126" s="78"/>
      <c r="K126" s="70"/>
      <c r="L126" s="70"/>
      <c r="M126" s="66" t="str">
        <f t="shared" si="57"/>
        <v/>
      </c>
      <c r="N126" s="66">
        <f t="shared" si="65"/>
        <v>-46027</v>
      </c>
      <c r="O126" s="64"/>
      <c r="P126" s="64"/>
      <c r="Q126" s="127"/>
      <c r="R126" s="148"/>
      <c r="S126" s="70"/>
      <c r="T126" s="70"/>
      <c r="U126" s="66" t="str">
        <f t="shared" si="48"/>
        <v/>
      </c>
      <c r="V126" s="66">
        <f t="shared" si="68"/>
        <v>-46027</v>
      </c>
      <c r="W126" s="64"/>
      <c r="X126" s="127"/>
      <c r="Y126" s="64"/>
      <c r="Z126" s="120"/>
      <c r="AA126" s="70"/>
      <c r="AB126" s="70"/>
      <c r="AC126" s="66" t="str">
        <f t="shared" si="50"/>
        <v/>
      </c>
      <c r="AD126" s="130">
        <f t="shared" si="69"/>
        <v>-46027</v>
      </c>
      <c r="AE126" s="64"/>
      <c r="AF126" s="111"/>
      <c r="AG126" s="111"/>
      <c r="AH126" s="78"/>
      <c r="AI126" s="92"/>
      <c r="AJ126" s="70"/>
      <c r="AK126" s="66" t="str">
        <f t="shared" si="52"/>
        <v/>
      </c>
      <c r="AL126" s="66">
        <f t="shared" si="70"/>
        <v>-46027</v>
      </c>
      <c r="AM126" s="64"/>
      <c r="AN126" s="111"/>
      <c r="AO126" s="111"/>
      <c r="AP126" s="78"/>
      <c r="AQ126" s="43"/>
      <c r="AR126" s="8"/>
      <c r="AS126" s="4" t="str">
        <f t="shared" si="53"/>
        <v/>
      </c>
      <c r="AT126" s="4">
        <f t="shared" si="71"/>
        <v>-46027</v>
      </c>
      <c r="AU126" s="19"/>
      <c r="AV126" s="38"/>
      <c r="AW126" s="111"/>
      <c r="AX126" s="78"/>
      <c r="AY126" s="43"/>
      <c r="AZ126" s="8"/>
      <c r="BA126" s="4" t="str">
        <f t="shared" si="54"/>
        <v/>
      </c>
      <c r="BB126" s="4">
        <f t="shared" si="72"/>
        <v>-46027</v>
      </c>
      <c r="BC126" s="19"/>
      <c r="BD126" s="38"/>
    </row>
    <row r="127" spans="2:56">
      <c r="B127" s="142"/>
      <c r="C127" s="64"/>
      <c r="D127" s="78"/>
      <c r="E127" s="70"/>
      <c r="F127" s="121"/>
      <c r="G127" s="66" t="str">
        <f t="shared" si="63"/>
        <v/>
      </c>
      <c r="H127" s="66">
        <f t="shared" si="64"/>
        <v>-46027</v>
      </c>
      <c r="I127" s="64"/>
      <c r="J127" s="78"/>
      <c r="K127" s="70"/>
      <c r="L127" s="70"/>
      <c r="M127" s="66" t="str">
        <f t="shared" si="57"/>
        <v/>
      </c>
      <c r="N127" s="66">
        <f t="shared" si="65"/>
        <v>-46027</v>
      </c>
      <c r="O127" s="64"/>
      <c r="P127" s="64"/>
      <c r="Q127" s="127"/>
      <c r="R127" s="148"/>
      <c r="S127" s="70"/>
      <c r="T127" s="70"/>
      <c r="U127" s="66" t="str">
        <f t="shared" si="48"/>
        <v/>
      </c>
      <c r="V127" s="66">
        <f t="shared" si="68"/>
        <v>-46027</v>
      </c>
      <c r="W127" s="64"/>
      <c r="X127" s="127"/>
      <c r="Y127" s="64"/>
      <c r="Z127" s="120"/>
      <c r="AA127" s="70"/>
      <c r="AB127" s="70"/>
      <c r="AC127" s="66" t="str">
        <f t="shared" si="50"/>
        <v/>
      </c>
      <c r="AD127" s="130">
        <f t="shared" si="69"/>
        <v>-46027</v>
      </c>
      <c r="AE127" s="64"/>
      <c r="AF127" s="111"/>
      <c r="AG127" s="114"/>
      <c r="AH127" s="123"/>
      <c r="AI127" s="125"/>
      <c r="AJ127" s="124"/>
      <c r="AK127" s="66" t="str">
        <f t="shared" si="52"/>
        <v/>
      </c>
      <c r="AL127" s="66">
        <f t="shared" si="70"/>
        <v>-46027</v>
      </c>
      <c r="AM127" s="64"/>
      <c r="AN127" s="111"/>
      <c r="AO127" s="114"/>
      <c r="AP127" s="123"/>
      <c r="AQ127" s="42"/>
      <c r="AR127" s="41"/>
      <c r="AS127" s="4" t="str">
        <f t="shared" si="53"/>
        <v/>
      </c>
      <c r="AT127" s="4">
        <f t="shared" si="71"/>
        <v>-46027</v>
      </c>
      <c r="AU127" s="19"/>
      <c r="AV127" s="38"/>
      <c r="AW127" s="114"/>
      <c r="AX127" s="123"/>
      <c r="AY127" s="42"/>
      <c r="AZ127" s="41"/>
      <c r="BA127" s="4" t="str">
        <f t="shared" si="54"/>
        <v/>
      </c>
      <c r="BB127" s="4">
        <f t="shared" si="72"/>
        <v>-46027</v>
      </c>
      <c r="BC127" s="19"/>
      <c r="BD127" s="38"/>
    </row>
    <row r="128" spans="2:56">
      <c r="B128" s="142"/>
      <c r="C128" s="128"/>
      <c r="D128" s="138"/>
      <c r="E128" s="139"/>
      <c r="G128" s="66" t="str">
        <f t="shared" si="63"/>
        <v/>
      </c>
      <c r="H128" s="66">
        <f t="shared" si="64"/>
        <v>-46027</v>
      </c>
      <c r="I128" s="115"/>
      <c r="J128" s="123"/>
      <c r="K128" s="124"/>
      <c r="L128" s="124"/>
      <c r="M128" s="66" t="str">
        <f t="shared" si="57"/>
        <v/>
      </c>
      <c r="N128" s="66">
        <f t="shared" si="65"/>
        <v>-46027</v>
      </c>
      <c r="O128" s="115"/>
      <c r="P128" s="115"/>
      <c r="Q128" s="116"/>
      <c r="R128" s="147"/>
      <c r="S128" s="124"/>
      <c r="T128" s="124"/>
      <c r="U128" s="66" t="str">
        <f t="shared" si="48"/>
        <v/>
      </c>
      <c r="V128" s="66">
        <f t="shared" si="68"/>
        <v>-46027</v>
      </c>
      <c r="W128" s="115"/>
      <c r="X128" s="116"/>
      <c r="Y128" s="115"/>
      <c r="Z128" s="126"/>
      <c r="AA128" s="124"/>
      <c r="AB128" s="124"/>
      <c r="AC128" s="66" t="str">
        <f t="shared" si="50"/>
        <v/>
      </c>
      <c r="AD128" s="130">
        <f t="shared" si="69"/>
        <v>-46027</v>
      </c>
      <c r="AE128" s="115"/>
      <c r="AF128" s="114"/>
      <c r="AG128" s="111"/>
      <c r="AH128" s="78"/>
      <c r="AI128" s="92"/>
      <c r="AJ128" s="70"/>
      <c r="AK128" s="66" t="str">
        <f t="shared" si="52"/>
        <v/>
      </c>
      <c r="AL128" s="66">
        <f t="shared" si="70"/>
        <v>-46027</v>
      </c>
      <c r="AM128" s="64"/>
      <c r="AN128" s="111"/>
      <c r="AO128" s="111"/>
      <c r="AP128" s="78"/>
      <c r="AQ128" s="43"/>
      <c r="AR128" s="8"/>
      <c r="AS128" s="4" t="str">
        <f t="shared" si="53"/>
        <v/>
      </c>
      <c r="AT128" s="4">
        <f t="shared" si="71"/>
        <v>-46027</v>
      </c>
      <c r="AU128" s="19"/>
      <c r="AV128" s="38"/>
      <c r="AW128" s="111"/>
      <c r="AX128" s="78"/>
      <c r="AY128" s="43"/>
      <c r="AZ128" s="8"/>
      <c r="BA128" s="4" t="str">
        <f t="shared" si="54"/>
        <v/>
      </c>
      <c r="BB128" s="4">
        <f t="shared" si="72"/>
        <v>-46027</v>
      </c>
      <c r="BC128" s="19"/>
      <c r="BD128" s="38"/>
    </row>
    <row r="129" spans="2:56">
      <c r="B129" s="131"/>
      <c r="C129" s="64"/>
      <c r="D129" s="78"/>
      <c r="E129" s="70"/>
      <c r="F129" s="121"/>
      <c r="G129" s="66" t="str">
        <f t="shared" si="63"/>
        <v/>
      </c>
      <c r="H129" s="66">
        <f t="shared" si="64"/>
        <v>-46027</v>
      </c>
      <c r="I129" s="64"/>
      <c r="J129" s="78"/>
      <c r="K129" s="70"/>
      <c r="L129" s="70"/>
      <c r="M129" s="66" t="str">
        <f t="shared" si="57"/>
        <v/>
      </c>
      <c r="N129" s="66">
        <f t="shared" si="65"/>
        <v>-46027</v>
      </c>
      <c r="O129" s="64"/>
      <c r="P129" s="64"/>
      <c r="Q129" s="127"/>
      <c r="R129" s="148"/>
      <c r="S129" s="70"/>
      <c r="T129" s="70"/>
      <c r="U129" s="66" t="str">
        <f t="shared" si="48"/>
        <v/>
      </c>
      <c r="V129" s="66">
        <f t="shared" si="68"/>
        <v>-46027</v>
      </c>
      <c r="W129" s="64"/>
      <c r="X129" s="127"/>
      <c r="Y129" s="64"/>
      <c r="Z129" s="120"/>
      <c r="AA129" s="70"/>
      <c r="AB129" s="70"/>
      <c r="AC129" s="66" t="str">
        <f t="shared" si="50"/>
        <v/>
      </c>
      <c r="AD129" s="130">
        <f t="shared" si="69"/>
        <v>-46027</v>
      </c>
      <c r="AE129" s="64"/>
      <c r="AF129" s="111"/>
      <c r="AG129" s="111"/>
      <c r="AH129" s="123"/>
      <c r="AI129" s="125"/>
      <c r="AJ129" s="124"/>
      <c r="AK129" s="66" t="str">
        <f t="shared" si="52"/>
        <v/>
      </c>
      <c r="AL129" s="66">
        <f t="shared" si="70"/>
        <v>-46027</v>
      </c>
      <c r="AM129" s="115"/>
      <c r="AN129" s="114"/>
      <c r="AO129" s="111"/>
      <c r="AP129" s="123"/>
      <c r="AQ129" s="42"/>
      <c r="AR129" s="41"/>
      <c r="AS129" s="4" t="str">
        <f t="shared" si="53"/>
        <v/>
      </c>
      <c r="AT129" s="4">
        <f t="shared" si="71"/>
        <v>-46027</v>
      </c>
      <c r="AU129" s="40"/>
      <c r="AV129" s="39"/>
      <c r="AW129" s="111"/>
      <c r="AX129" s="123"/>
      <c r="AY129" s="42"/>
      <c r="AZ129" s="41"/>
      <c r="BA129" s="4" t="str">
        <f t="shared" si="54"/>
        <v/>
      </c>
      <c r="BB129" s="4">
        <f t="shared" si="72"/>
        <v>-46027</v>
      </c>
      <c r="BC129" s="40"/>
      <c r="BD129" s="39"/>
    </row>
    <row r="130" spans="2:56">
      <c r="B130" s="142"/>
      <c r="C130" s="136"/>
      <c r="D130" s="133"/>
      <c r="E130" s="70"/>
      <c r="F130" s="144"/>
      <c r="G130" s="66" t="str">
        <f t="shared" si="63"/>
        <v/>
      </c>
      <c r="H130" s="66">
        <f t="shared" si="64"/>
        <v>-46027</v>
      </c>
      <c r="I130" s="140"/>
      <c r="J130" s="138"/>
      <c r="K130" s="139"/>
      <c r="L130" s="139"/>
      <c r="M130" s="66" t="str">
        <f t="shared" si="57"/>
        <v/>
      </c>
      <c r="N130" s="66">
        <f t="shared" si="65"/>
        <v>-46027</v>
      </c>
      <c r="O130" s="140"/>
      <c r="P130" s="140"/>
      <c r="R130" s="149"/>
      <c r="S130" s="139"/>
      <c r="T130" s="139"/>
      <c r="U130" s="66" t="str">
        <f t="shared" si="48"/>
        <v/>
      </c>
      <c r="V130" s="66">
        <f t="shared" si="68"/>
        <v>-46027</v>
      </c>
      <c r="W130" s="140"/>
      <c r="Y130" s="140"/>
      <c r="Z130" s="141"/>
      <c r="AA130" s="70"/>
      <c r="AB130" s="70"/>
      <c r="AC130" s="66" t="str">
        <f t="shared" si="50"/>
        <v/>
      </c>
      <c r="AD130" s="130">
        <f t="shared" si="69"/>
        <v>-46027</v>
      </c>
      <c r="AE130" s="64"/>
      <c r="AF130" s="111"/>
      <c r="AG130" s="114"/>
      <c r="AH130" s="78"/>
      <c r="AI130" s="92"/>
      <c r="AJ130" s="70"/>
      <c r="AK130" s="66" t="str">
        <f t="shared" si="52"/>
        <v/>
      </c>
      <c r="AL130" s="66">
        <f t="shared" si="70"/>
        <v>-46027</v>
      </c>
      <c r="AM130" s="64"/>
      <c r="AN130" s="111"/>
      <c r="AO130" s="114"/>
      <c r="AP130" s="78"/>
      <c r="AQ130" s="43"/>
      <c r="AR130" s="8"/>
      <c r="AS130" s="4" t="str">
        <f t="shared" si="53"/>
        <v/>
      </c>
      <c r="AT130" s="4">
        <f t="shared" si="71"/>
        <v>-46027</v>
      </c>
      <c r="AU130" s="19"/>
      <c r="AV130" s="38"/>
      <c r="AW130" s="114"/>
      <c r="AX130" s="78"/>
      <c r="AY130" s="43"/>
      <c r="AZ130" s="8"/>
      <c r="BA130" s="4" t="str">
        <f t="shared" si="54"/>
        <v/>
      </c>
      <c r="BB130" s="4">
        <f t="shared" si="72"/>
        <v>-46027</v>
      </c>
      <c r="BC130" s="19"/>
      <c r="BD130" s="38"/>
    </row>
    <row r="131" spans="2:56">
      <c r="B131" s="142"/>
      <c r="C131" s="64"/>
      <c r="D131" s="78"/>
      <c r="E131" s="92"/>
      <c r="F131" s="121"/>
      <c r="G131" s="66" t="str">
        <f t="shared" si="63"/>
        <v/>
      </c>
      <c r="H131" s="66">
        <f t="shared" si="64"/>
        <v>-46027</v>
      </c>
      <c r="I131" s="64"/>
      <c r="J131" s="78"/>
      <c r="K131" s="70"/>
      <c r="L131" s="70"/>
      <c r="M131" s="66" t="str">
        <f t="shared" si="57"/>
        <v/>
      </c>
      <c r="N131" s="66">
        <f t="shared" si="65"/>
        <v>-46027</v>
      </c>
      <c r="O131" s="64"/>
      <c r="P131" s="64"/>
      <c r="Q131" s="127"/>
      <c r="R131" s="148"/>
      <c r="S131" s="70"/>
      <c r="T131" s="70"/>
      <c r="U131" s="66" t="str">
        <f t="shared" si="48"/>
        <v/>
      </c>
      <c r="V131" s="66">
        <f t="shared" si="68"/>
        <v>-46027</v>
      </c>
      <c r="W131" s="64"/>
      <c r="X131" s="127"/>
      <c r="Y131" s="64"/>
      <c r="Z131" s="120"/>
      <c r="AA131" s="124"/>
      <c r="AB131" s="124"/>
      <c r="AC131" s="66" t="str">
        <f t="shared" si="50"/>
        <v/>
      </c>
      <c r="AD131" s="130">
        <f t="shared" si="69"/>
        <v>-46027</v>
      </c>
      <c r="AE131" s="115"/>
      <c r="AF131" s="114"/>
      <c r="AG131" s="111"/>
      <c r="AH131" s="78"/>
      <c r="AI131" s="92"/>
      <c r="AJ131" s="70"/>
      <c r="AK131" s="66" t="str">
        <f t="shared" si="52"/>
        <v/>
      </c>
      <c r="AL131" s="66">
        <f t="shared" si="70"/>
        <v>-46027</v>
      </c>
      <c r="AM131" s="64"/>
      <c r="AN131" s="111"/>
      <c r="AO131" s="111"/>
      <c r="AP131" s="78"/>
      <c r="AQ131" s="43"/>
      <c r="AR131" s="8"/>
      <c r="AS131" s="4" t="str">
        <f t="shared" si="53"/>
        <v/>
      </c>
      <c r="AT131" s="4">
        <f t="shared" si="71"/>
        <v>-46027</v>
      </c>
      <c r="AU131" s="19"/>
      <c r="AV131" s="38"/>
      <c r="AW131" s="111"/>
      <c r="AX131" s="78"/>
      <c r="AY131" s="43"/>
      <c r="AZ131" s="8"/>
      <c r="BA131" s="4" t="str">
        <f t="shared" si="54"/>
        <v/>
      </c>
      <c r="BB131" s="4">
        <f t="shared" si="72"/>
        <v>-46027</v>
      </c>
      <c r="BC131" s="19"/>
      <c r="BD131" s="38"/>
    </row>
    <row r="132" spans="2:56">
      <c r="B132" s="131"/>
      <c r="C132" s="127"/>
      <c r="D132" s="78"/>
      <c r="E132" s="92"/>
      <c r="F132" s="92"/>
      <c r="G132" s="66" t="str">
        <f t="shared" si="63"/>
        <v/>
      </c>
      <c r="H132" s="66">
        <f t="shared" si="64"/>
        <v>-46027</v>
      </c>
      <c r="I132" s="140"/>
      <c r="J132" s="138"/>
      <c r="K132" s="139"/>
      <c r="L132" s="139"/>
      <c r="M132" s="66" t="str">
        <f t="shared" si="57"/>
        <v/>
      </c>
      <c r="N132" s="66">
        <f t="shared" si="65"/>
        <v>-46027</v>
      </c>
      <c r="O132" s="140"/>
      <c r="P132" s="140"/>
      <c r="R132" s="149"/>
      <c r="S132" s="139"/>
      <c r="T132" s="139"/>
      <c r="U132" s="66" t="str">
        <f t="shared" si="48"/>
        <v/>
      </c>
      <c r="V132" s="66">
        <f t="shared" si="68"/>
        <v>-46027</v>
      </c>
      <c r="W132" s="140"/>
      <c r="Y132" s="140"/>
      <c r="Z132" s="141"/>
      <c r="AA132" s="139"/>
      <c r="AB132" s="139"/>
      <c r="AC132" s="66" t="str">
        <f t="shared" si="50"/>
        <v/>
      </c>
      <c r="AD132" s="130">
        <f t="shared" si="69"/>
        <v>-46027</v>
      </c>
      <c r="AE132" s="140"/>
      <c r="AF132" s="128"/>
      <c r="AG132" s="111"/>
      <c r="AH132" s="78"/>
      <c r="AI132" s="92"/>
      <c r="AJ132" s="70"/>
      <c r="AK132" s="66" t="str">
        <f t="shared" si="52"/>
        <v/>
      </c>
      <c r="AL132" s="66">
        <f t="shared" si="70"/>
        <v>-46027</v>
      </c>
      <c r="AM132" s="64"/>
      <c r="AN132" s="111"/>
      <c r="AO132" s="111"/>
      <c r="AP132" s="78"/>
      <c r="AQ132" s="43"/>
      <c r="AR132" s="8"/>
      <c r="AS132" s="4" t="str">
        <f t="shared" si="53"/>
        <v/>
      </c>
      <c r="AT132" s="4">
        <f t="shared" si="71"/>
        <v>-46027</v>
      </c>
      <c r="AU132" s="19"/>
      <c r="AV132" s="38"/>
      <c r="AW132" s="111"/>
      <c r="AX132" s="78"/>
      <c r="AY132" s="43"/>
      <c r="AZ132" s="8"/>
      <c r="BA132" s="4" t="str">
        <f t="shared" si="54"/>
        <v/>
      </c>
      <c r="BB132" s="4">
        <f t="shared" si="72"/>
        <v>-46027</v>
      </c>
      <c r="BC132" s="19"/>
      <c r="BD132" s="38"/>
    </row>
    <row r="133" spans="2:56">
      <c r="B133" s="131"/>
      <c r="D133" s="138"/>
      <c r="E133" s="129"/>
      <c r="F133" s="129"/>
      <c r="G133" s="66" t="str">
        <f t="shared" si="63"/>
        <v/>
      </c>
      <c r="H133" s="66">
        <f t="shared" si="64"/>
        <v>-46027</v>
      </c>
      <c r="I133" s="64"/>
      <c r="J133" s="78"/>
      <c r="K133" s="70"/>
      <c r="L133" s="70"/>
      <c r="M133" s="66" t="str">
        <f t="shared" si="57"/>
        <v/>
      </c>
      <c r="N133" s="66">
        <f t="shared" si="65"/>
        <v>-46027</v>
      </c>
      <c r="O133" s="64"/>
      <c r="P133" s="64"/>
      <c r="Q133" s="127"/>
      <c r="R133" s="148"/>
      <c r="S133" s="70"/>
      <c r="T133" s="70"/>
      <c r="U133" s="66" t="str">
        <f t="shared" si="48"/>
        <v/>
      </c>
      <c r="V133" s="66">
        <f t="shared" si="68"/>
        <v>-46027</v>
      </c>
      <c r="W133" s="64"/>
      <c r="X133" s="127"/>
      <c r="Y133" s="64"/>
      <c r="Z133" s="120"/>
      <c r="AA133" s="70"/>
      <c r="AB133" s="70"/>
      <c r="AC133" s="66" t="str">
        <f t="shared" si="50"/>
        <v/>
      </c>
      <c r="AD133" s="130">
        <f t="shared" si="69"/>
        <v>-46027</v>
      </c>
      <c r="AE133" s="64"/>
      <c r="AF133" s="111"/>
      <c r="AG133" s="111"/>
      <c r="AH133" s="78"/>
      <c r="AI133" s="92"/>
      <c r="AJ133" s="70"/>
      <c r="AK133" s="66" t="str">
        <f t="shared" si="52"/>
        <v/>
      </c>
      <c r="AL133" s="66">
        <f t="shared" si="70"/>
        <v>-46027</v>
      </c>
      <c r="AM133" s="64"/>
      <c r="AN133" s="111"/>
      <c r="AO133" s="111"/>
      <c r="AP133" s="78"/>
      <c r="AQ133" s="43"/>
      <c r="AR133" s="8"/>
      <c r="AS133" s="4" t="str">
        <f t="shared" si="53"/>
        <v/>
      </c>
      <c r="AT133" s="4">
        <f t="shared" si="71"/>
        <v>-46027</v>
      </c>
      <c r="AU133" s="19"/>
      <c r="AV133" s="38"/>
      <c r="AW133" s="111"/>
      <c r="AX133" s="78"/>
      <c r="AY133" s="43"/>
      <c r="AZ133" s="8"/>
      <c r="BA133" s="4" t="str">
        <f t="shared" si="54"/>
        <v/>
      </c>
      <c r="BB133" s="4">
        <f t="shared" si="72"/>
        <v>-46027</v>
      </c>
      <c r="BC133" s="19"/>
      <c r="BD133" s="38"/>
    </row>
    <row r="134" spans="2:56">
      <c r="B134" s="142"/>
      <c r="C134" s="145"/>
      <c r="D134" s="78"/>
      <c r="E134" s="92"/>
      <c r="F134" s="92"/>
      <c r="G134" s="66" t="str">
        <f t="shared" si="63"/>
        <v/>
      </c>
      <c r="H134" s="66">
        <f t="shared" si="64"/>
        <v>-46027</v>
      </c>
      <c r="I134" s="64"/>
      <c r="J134" s="78"/>
      <c r="K134" s="70"/>
      <c r="L134" s="70"/>
      <c r="M134" s="66" t="str">
        <f t="shared" si="57"/>
        <v/>
      </c>
      <c r="N134" s="66">
        <f t="shared" si="65"/>
        <v>-46027</v>
      </c>
      <c r="O134" s="64"/>
      <c r="P134" s="64"/>
      <c r="Q134" s="127"/>
      <c r="R134" s="148"/>
      <c r="S134" s="70"/>
      <c r="T134" s="70"/>
      <c r="U134" s="66" t="str">
        <f t="shared" si="48"/>
        <v/>
      </c>
      <c r="V134" s="66">
        <f t="shared" si="68"/>
        <v>-46027</v>
      </c>
      <c r="W134" s="64"/>
      <c r="X134" s="127"/>
      <c r="Y134" s="64"/>
      <c r="Z134" s="120"/>
      <c r="AA134" s="70"/>
      <c r="AB134" s="70"/>
      <c r="AC134" s="66" t="str">
        <f t="shared" si="50"/>
        <v/>
      </c>
      <c r="AD134" s="130">
        <f t="shared" si="69"/>
        <v>-46027</v>
      </c>
      <c r="AE134" s="64"/>
      <c r="AF134" s="111"/>
      <c r="AG134" s="111"/>
      <c r="AH134" s="123"/>
      <c r="AI134" s="129"/>
      <c r="AJ134" s="139"/>
      <c r="AK134" s="66" t="str">
        <f t="shared" si="52"/>
        <v/>
      </c>
      <c r="AL134" s="66">
        <f t="shared" si="70"/>
        <v>-46027</v>
      </c>
      <c r="AM134" s="140"/>
      <c r="AN134" s="111"/>
      <c r="AO134" s="111"/>
      <c r="AP134" s="123"/>
      <c r="AQ134" s="50"/>
      <c r="AR134" s="52"/>
      <c r="AS134" s="4" t="str">
        <f t="shared" si="53"/>
        <v/>
      </c>
      <c r="AT134" s="4">
        <f t="shared" si="71"/>
        <v>-46027</v>
      </c>
      <c r="AU134" s="54"/>
      <c r="AV134" s="38"/>
      <c r="AW134" s="111"/>
      <c r="AX134" s="123"/>
      <c r="AY134" s="50"/>
      <c r="AZ134" s="52"/>
      <c r="BA134" s="4" t="str">
        <f t="shared" si="54"/>
        <v/>
      </c>
      <c r="BB134" s="4">
        <f t="shared" si="72"/>
        <v>-46027</v>
      </c>
      <c r="BC134" s="54"/>
      <c r="BD134" s="38"/>
    </row>
    <row r="135" spans="2:56">
      <c r="B135" s="131"/>
      <c r="C135" s="111"/>
      <c r="D135" s="123"/>
      <c r="E135" s="125"/>
      <c r="F135" s="125"/>
      <c r="G135" s="66" t="str">
        <f t="shared" si="63"/>
        <v/>
      </c>
      <c r="H135" s="66"/>
      <c r="I135" s="64"/>
      <c r="J135" s="78"/>
      <c r="K135" s="70"/>
      <c r="L135" s="70"/>
      <c r="M135" s="66" t="str">
        <f t="shared" si="57"/>
        <v/>
      </c>
      <c r="N135" s="66">
        <f t="shared" si="65"/>
        <v>-46027</v>
      </c>
      <c r="O135" s="64"/>
      <c r="P135" s="64"/>
      <c r="Q135" s="127"/>
      <c r="R135" s="148"/>
      <c r="S135" s="70"/>
      <c r="T135" s="70"/>
      <c r="U135" s="66" t="str">
        <f t="shared" si="48"/>
        <v/>
      </c>
      <c r="V135" s="66">
        <f t="shared" si="68"/>
        <v>-46027</v>
      </c>
      <c r="W135" s="64"/>
      <c r="X135" s="127"/>
      <c r="Y135" s="64"/>
      <c r="Z135" s="120"/>
      <c r="AA135" s="70"/>
      <c r="AB135" s="70"/>
      <c r="AC135" s="66" t="str">
        <f t="shared" si="50"/>
        <v/>
      </c>
      <c r="AD135" s="130">
        <f t="shared" si="69"/>
        <v>-46027</v>
      </c>
      <c r="AE135" s="64"/>
      <c r="AF135" s="111"/>
      <c r="AG135" s="64"/>
      <c r="AH135" s="78"/>
      <c r="AI135" s="92"/>
      <c r="AJ135" s="70"/>
      <c r="AK135" s="66" t="str">
        <f t="shared" si="52"/>
        <v/>
      </c>
      <c r="AL135" s="66">
        <f t="shared" si="70"/>
        <v>-46027</v>
      </c>
      <c r="AM135" s="64"/>
      <c r="AN135" s="111"/>
      <c r="AO135" s="64"/>
      <c r="AP135" s="78"/>
      <c r="AQ135" s="43"/>
      <c r="AR135" s="8"/>
      <c r="AS135" s="4" t="str">
        <f t="shared" si="53"/>
        <v/>
      </c>
      <c r="AT135" s="4">
        <f t="shared" si="71"/>
        <v>-46027</v>
      </c>
      <c r="AU135" s="19"/>
      <c r="AV135" s="38"/>
      <c r="AW135" s="64"/>
      <c r="AX135" s="78"/>
      <c r="AY135" s="43"/>
      <c r="AZ135" s="8"/>
      <c r="BA135" s="4" t="str">
        <f t="shared" si="54"/>
        <v/>
      </c>
      <c r="BB135" s="4">
        <f t="shared" si="72"/>
        <v>-46027</v>
      </c>
      <c r="BC135" s="19"/>
      <c r="BD135" s="38"/>
    </row>
    <row r="136" spans="2:56">
      <c r="H136" s="66"/>
      <c r="AK136" s="128"/>
      <c r="AS136" s="36"/>
      <c r="BA136" s="36"/>
    </row>
  </sheetData>
  <mergeCells count="5">
    <mergeCell ref="O3:AF3"/>
    <mergeCell ref="O4:AF5"/>
    <mergeCell ref="O7:AF7"/>
    <mergeCell ref="O8:AF8"/>
    <mergeCell ref="O9:AF10"/>
  </mergeCells>
  <phoneticPr fontId="6" type="noConversion"/>
  <conditionalFormatting sqref="G3:H95 AC3:AD135 M3:N135 H96:H136 G96:G135 U3:V135">
    <cfRule type="cellIs" dxfId="35" priority="115" stopIfTrue="1" operator="equal">
      <formula>50</formula>
    </cfRule>
    <cfRule type="cellIs" dxfId="34" priority="116" stopIfTrue="1" operator="lessThan">
      <formula>50</formula>
    </cfRule>
    <cfRule type="cellIs" dxfId="33" priority="117" stopIfTrue="1" operator="greaterThan">
      <formula>50</formula>
    </cfRule>
  </conditionalFormatting>
  <conditionalFormatting sqref="AD3:AD135 N3:N135 H3:H136 V3:V135">
    <cfRule type="cellIs" dxfId="32" priority="109" stopIfTrue="1" operator="between">
      <formula>15</formula>
      <formula>20</formula>
    </cfRule>
    <cfRule type="cellIs" dxfId="31" priority="110" stopIfTrue="1" operator="lessThan">
      <formula>15</formula>
    </cfRule>
    <cfRule type="cellIs" dxfId="30" priority="111" stopIfTrue="1" operator="greaterThan">
      <formula>20</formula>
    </cfRule>
    <cfRule type="cellIs" dxfId="29" priority="112" stopIfTrue="1" operator="between">
      <formula>15</formula>
      <formula>20</formula>
    </cfRule>
    <cfRule type="cellIs" dxfId="28" priority="113" stopIfTrue="1" operator="lessThan">
      <formula>15</formula>
    </cfRule>
    <cfRule type="cellIs" dxfId="27" priority="114" stopIfTrue="1" operator="greaterThan">
      <formula>20</formula>
    </cfRule>
  </conditionalFormatting>
  <conditionalFormatting sqref="AK3:AL135">
    <cfRule type="cellIs" dxfId="26" priority="25" stopIfTrue="1" operator="equal">
      <formula>50</formula>
    </cfRule>
    <cfRule type="cellIs" dxfId="25" priority="26" stopIfTrue="1" operator="lessThan">
      <formula>50</formula>
    </cfRule>
    <cfRule type="cellIs" dxfId="24" priority="27" stopIfTrue="1" operator="greaterThan">
      <formula>50</formula>
    </cfRule>
  </conditionalFormatting>
  <conditionalFormatting sqref="AL3:AL135">
    <cfRule type="cellIs" dxfId="23" priority="19" stopIfTrue="1" operator="between">
      <formula>15</formula>
      <formula>20</formula>
    </cfRule>
    <cfRule type="cellIs" dxfId="22" priority="20" stopIfTrue="1" operator="lessThan">
      <formula>15</formula>
    </cfRule>
    <cfRule type="cellIs" dxfId="21" priority="21" stopIfTrue="1" operator="greaterThan">
      <formula>20</formula>
    </cfRule>
    <cfRule type="cellIs" dxfId="20" priority="22" stopIfTrue="1" operator="between">
      <formula>15</formula>
      <formula>20</formula>
    </cfRule>
    <cfRule type="cellIs" dxfId="19" priority="23" stopIfTrue="1" operator="lessThan">
      <formula>15</formula>
    </cfRule>
    <cfRule type="cellIs" dxfId="18" priority="24" stopIfTrue="1" operator="greaterThan">
      <formula>20</formula>
    </cfRule>
  </conditionalFormatting>
  <conditionalFormatting sqref="AS3:AT135">
    <cfRule type="cellIs" dxfId="17" priority="16" stopIfTrue="1" operator="equal">
      <formula>50</formula>
    </cfRule>
    <cfRule type="cellIs" dxfId="16" priority="17" stopIfTrue="1" operator="lessThan">
      <formula>50</formula>
    </cfRule>
    <cfRule type="cellIs" dxfId="15" priority="18" stopIfTrue="1" operator="greaterThan">
      <formula>50</formula>
    </cfRule>
  </conditionalFormatting>
  <conditionalFormatting sqref="AT3:AT135">
    <cfRule type="cellIs" dxfId="14" priority="10" stopIfTrue="1" operator="between">
      <formula>15</formula>
      <formula>20</formula>
    </cfRule>
    <cfRule type="cellIs" dxfId="13" priority="11" stopIfTrue="1" operator="lessThan">
      <formula>15</formula>
    </cfRule>
    <cfRule type="cellIs" dxfId="12" priority="12" stopIfTrue="1" operator="greaterThan">
      <formula>20</formula>
    </cfRule>
    <cfRule type="cellIs" dxfId="11" priority="13" stopIfTrue="1" operator="between">
      <formula>15</formula>
      <formula>20</formula>
    </cfRule>
    <cfRule type="cellIs" dxfId="10" priority="14" stopIfTrue="1" operator="lessThan">
      <formula>15</formula>
    </cfRule>
    <cfRule type="cellIs" dxfId="9" priority="15" stopIfTrue="1" operator="greaterThan">
      <formula>20</formula>
    </cfRule>
  </conditionalFormatting>
  <conditionalFormatting sqref="BA3:BB135">
    <cfRule type="cellIs" dxfId="8" priority="7" stopIfTrue="1" operator="equal">
      <formula>50</formula>
    </cfRule>
    <cfRule type="cellIs" dxfId="7" priority="8" stopIfTrue="1" operator="lessThan">
      <formula>50</formula>
    </cfRule>
    <cfRule type="cellIs" dxfId="6" priority="9" stopIfTrue="1" operator="greaterThan">
      <formula>50</formula>
    </cfRule>
  </conditionalFormatting>
  <conditionalFormatting sqref="BB3:BB135">
    <cfRule type="cellIs" dxfId="5" priority="1" stopIfTrue="1" operator="between">
      <formula>15</formula>
      <formula>20</formula>
    </cfRule>
    <cfRule type="cellIs" dxfId="4" priority="2" stopIfTrue="1" operator="lessThan">
      <formula>15</formula>
    </cfRule>
    <cfRule type="cellIs" dxfId="3" priority="3" stopIfTrue="1" operator="greaterThan">
      <formula>20</formula>
    </cfRule>
    <cfRule type="cellIs" dxfId="2" priority="4" stopIfTrue="1" operator="between">
      <formula>15</formula>
      <formula>20</formula>
    </cfRule>
    <cfRule type="cellIs" dxfId="1" priority="5" stopIfTrue="1" operator="lessThan">
      <formula>15</formula>
    </cfRule>
    <cfRule type="cellIs" dxfId="0" priority="6" stopIfTrue="1" operator="greaterThan">
      <formula>20</formula>
    </cfRule>
  </conditionalFormatting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Zver</cp:lastModifiedBy>
  <cp:lastPrinted>2024-10-09T13:18:46Z</cp:lastPrinted>
  <dcterms:created xsi:type="dcterms:W3CDTF">2015-06-05T18:19:34Z</dcterms:created>
  <dcterms:modified xsi:type="dcterms:W3CDTF">2026-01-26T10:22:58Z</dcterms:modified>
</cp:coreProperties>
</file>