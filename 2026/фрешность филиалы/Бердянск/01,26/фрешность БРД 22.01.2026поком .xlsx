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106" i="1"/>
  <c r="AU107"/>
  <c r="AU108"/>
  <c r="AU109"/>
  <c r="AU110"/>
  <c r="AU111"/>
  <c r="AU105"/>
  <c r="AU102"/>
  <c r="U108" l="1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AT135" l="1"/>
  <c r="AS135"/>
  <c r="AT134"/>
  <c r="AS134"/>
  <c r="AT133"/>
  <c r="AS133"/>
  <c r="AT132"/>
  <c r="AS132"/>
  <c r="AT131"/>
  <c r="AS131"/>
  <c r="AT130"/>
  <c r="AS130"/>
  <c r="AT129"/>
  <c r="AS129"/>
  <c r="AT128"/>
  <c r="AS128"/>
  <c r="AT127"/>
  <c r="AS127"/>
  <c r="AT126"/>
  <c r="AS126"/>
  <c r="AT125"/>
  <c r="AS125"/>
  <c r="AT124"/>
  <c r="AS124"/>
  <c r="AT123"/>
  <c r="AS123"/>
  <c r="AT122"/>
  <c r="AS122"/>
  <c r="AT121"/>
  <c r="AS121"/>
  <c r="AT120"/>
  <c r="AS120"/>
  <c r="AT119"/>
  <c r="AS119"/>
  <c r="AT118"/>
  <c r="AS118"/>
  <c r="AT117"/>
  <c r="AS117"/>
  <c r="AT116"/>
  <c r="AS116"/>
  <c r="AT115"/>
  <c r="AS115"/>
  <c r="AT114"/>
  <c r="AS114"/>
  <c r="AT113"/>
  <c r="AS113"/>
  <c r="AT112"/>
  <c r="AS112"/>
  <c r="AT111"/>
  <c r="AS111"/>
  <c r="AT110"/>
  <c r="AS110"/>
  <c r="AT109"/>
  <c r="AS109"/>
  <c r="AT108"/>
  <c r="AS108"/>
  <c r="AT107"/>
  <c r="AS107"/>
  <c r="AT106"/>
  <c r="AS106"/>
  <c r="AT105"/>
  <c r="AS105"/>
  <c r="AT104"/>
  <c r="AS104"/>
  <c r="AT103"/>
  <c r="AS103"/>
  <c r="AT102"/>
  <c r="AS102"/>
  <c r="AU101"/>
  <c r="AT101"/>
  <c r="AS101"/>
  <c r="AT100"/>
  <c r="AS100"/>
  <c r="AT99"/>
  <c r="AS99"/>
  <c r="AT98"/>
  <c r="AS98"/>
  <c r="AT97"/>
  <c r="AS97"/>
  <c r="AT96"/>
  <c r="AS96"/>
  <c r="AT95"/>
  <c r="AS95"/>
  <c r="AT94"/>
  <c r="AS94"/>
  <c r="AT93"/>
  <c r="AS93"/>
  <c r="AT92"/>
  <c r="AS92"/>
  <c r="AT91"/>
  <c r="AS91"/>
  <c r="AT90"/>
  <c r="AS90"/>
  <c r="AT89"/>
  <c r="AS89"/>
  <c r="AT88"/>
  <c r="AS88"/>
  <c r="AT87"/>
  <c r="AS87"/>
  <c r="AT86"/>
  <c r="AS86"/>
  <c r="AT85"/>
  <c r="AS85"/>
  <c r="AT84"/>
  <c r="AS84"/>
  <c r="AT83"/>
  <c r="AS83"/>
  <c r="AT82"/>
  <c r="AS82"/>
  <c r="AT81"/>
  <c r="AS81"/>
  <c r="AT80"/>
  <c r="AS80"/>
  <c r="AT79"/>
  <c r="AS79"/>
  <c r="AT78"/>
  <c r="AS78"/>
  <c r="AT77"/>
  <c r="AS77"/>
  <c r="AT76"/>
  <c r="AS76"/>
  <c r="AT75"/>
  <c r="AS75"/>
  <c r="AT74"/>
  <c r="AS74"/>
  <c r="AT73"/>
  <c r="AS73"/>
  <c r="AT72"/>
  <c r="AS72"/>
  <c r="AT71"/>
  <c r="AS71"/>
  <c r="AT70"/>
  <c r="AS70"/>
  <c r="AT69"/>
  <c r="AS69"/>
  <c r="AT68"/>
  <c r="AS68"/>
  <c r="AT67"/>
  <c r="AS67"/>
  <c r="AT66"/>
  <c r="AS66"/>
  <c r="AT65"/>
  <c r="AS65"/>
  <c r="AT64"/>
  <c r="AS64"/>
  <c r="AT63"/>
  <c r="AS63"/>
  <c r="AT62"/>
  <c r="AS62"/>
  <c r="AT61"/>
  <c r="AS61"/>
  <c r="AT60"/>
  <c r="AS60"/>
  <c r="AT59"/>
  <c r="AS59"/>
  <c r="AT58"/>
  <c r="AS58"/>
  <c r="AT57"/>
  <c r="AS57"/>
  <c r="AT56"/>
  <c r="AS56"/>
  <c r="AT55"/>
  <c r="AS55"/>
  <c r="AT54"/>
  <c r="AS54"/>
  <c r="AT53"/>
  <c r="AS53"/>
  <c r="AT52"/>
  <c r="AS52"/>
  <c r="AT51"/>
  <c r="AS51"/>
  <c r="AT50"/>
  <c r="AS50"/>
  <c r="AT49"/>
  <c r="AS49"/>
  <c r="AT48"/>
  <c r="AS48"/>
  <c r="AT47"/>
  <c r="AS47"/>
  <c r="AT46"/>
  <c r="AS46"/>
  <c r="AT45"/>
  <c r="AS45"/>
  <c r="AT44"/>
  <c r="AS44"/>
  <c r="AT43"/>
  <c r="AS43"/>
  <c r="AT42"/>
  <c r="AS42"/>
  <c r="AT41"/>
  <c r="AS41"/>
  <c r="AT40"/>
  <c r="AS40"/>
  <c r="AT39"/>
  <c r="AS39"/>
  <c r="AT38"/>
  <c r="AS38"/>
  <c r="AT37"/>
  <c r="AS37"/>
  <c r="AT36"/>
  <c r="AS36"/>
  <c r="AT35"/>
  <c r="AS35"/>
  <c r="AT34"/>
  <c r="AS34"/>
  <c r="AT33"/>
  <c r="AS33"/>
  <c r="AT32"/>
  <c r="AS32"/>
  <c r="AT31"/>
  <c r="AS31"/>
  <c r="AT30"/>
  <c r="AS30"/>
  <c r="AT29"/>
  <c r="AS29"/>
  <c r="AT28"/>
  <c r="AS28"/>
  <c r="AT27"/>
  <c r="AS27"/>
  <c r="AT26"/>
  <c r="AS26"/>
  <c r="AT25"/>
  <c r="AS25"/>
  <c r="AT24"/>
  <c r="AS24"/>
  <c r="AT23"/>
  <c r="AS23"/>
  <c r="AT22"/>
  <c r="AS22"/>
  <c r="AT21"/>
  <c r="AS21"/>
  <c r="AT20"/>
  <c r="AS20"/>
  <c r="AT19"/>
  <c r="AS19"/>
  <c r="AT18"/>
  <c r="AS18"/>
  <c r="AT17"/>
  <c r="AS17"/>
  <c r="AT16"/>
  <c r="AS16"/>
  <c r="AT15"/>
  <c r="AS15"/>
  <c r="AT14"/>
  <c r="AS14"/>
  <c r="AT13"/>
  <c r="AS13"/>
  <c r="AT12"/>
  <c r="AS12"/>
  <c r="AT11"/>
  <c r="AS11"/>
  <c r="AT6"/>
  <c r="AS6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K122"/>
  <c r="AK123"/>
  <c r="AK124"/>
  <c r="AK125"/>
  <c r="AK126"/>
  <c r="AK127"/>
  <c r="AK128"/>
  <c r="AK129"/>
  <c r="AK130"/>
  <c r="AK131"/>
  <c r="AK132"/>
  <c r="AK133"/>
  <c r="AK134"/>
  <c r="AK135"/>
  <c r="AL122"/>
  <c r="AL123"/>
  <c r="AL124"/>
  <c r="AL125"/>
  <c r="AL126"/>
  <c r="AL127"/>
  <c r="AL128"/>
  <c r="AL129"/>
  <c r="AL130"/>
  <c r="AL131"/>
  <c r="AL132"/>
  <c r="AL133"/>
  <c r="AL134"/>
  <c r="AL135"/>
  <c r="AM106" l="1"/>
  <c r="AM107"/>
  <c r="AM108"/>
  <c r="AM109"/>
  <c r="AM111"/>
  <c r="AM105"/>
  <c r="AL121"/>
  <c r="AK121"/>
  <c r="AL120"/>
  <c r="AK120"/>
  <c r="AL119"/>
  <c r="AK119"/>
  <c r="AL118"/>
  <c r="AK118"/>
  <c r="AL117"/>
  <c r="AK117"/>
  <c r="AL116"/>
  <c r="AK116"/>
  <c r="AL115"/>
  <c r="AK115"/>
  <c r="AL114"/>
  <c r="AK114"/>
  <c r="AL113"/>
  <c r="AK113"/>
  <c r="AL112"/>
  <c r="AK112"/>
  <c r="AL111"/>
  <c r="AK111"/>
  <c r="AL110"/>
  <c r="AK110"/>
  <c r="AL109"/>
  <c r="AK109"/>
  <c r="AL108"/>
  <c r="AK108"/>
  <c r="AL107"/>
  <c r="AK107"/>
  <c r="AL106"/>
  <c r="AK106"/>
  <c r="AL105"/>
  <c r="AK105"/>
  <c r="AL104"/>
  <c r="AK104"/>
  <c r="AL103"/>
  <c r="AK103"/>
  <c r="AL102"/>
  <c r="AK102"/>
  <c r="AL101"/>
  <c r="AK101"/>
  <c r="AL100"/>
  <c r="AK100"/>
  <c r="AL99"/>
  <c r="AK99"/>
  <c r="AL98"/>
  <c r="AK98"/>
  <c r="AL97"/>
  <c r="AK97"/>
  <c r="AL96"/>
  <c r="AK96"/>
  <c r="AL95"/>
  <c r="AK95"/>
  <c r="AL94"/>
  <c r="AK94"/>
  <c r="AL93"/>
  <c r="AK93"/>
  <c r="AL92"/>
  <c r="AK92"/>
  <c r="AL91"/>
  <c r="AK91"/>
  <c r="AL90"/>
  <c r="AK90"/>
  <c r="AL89"/>
  <c r="AK89"/>
  <c r="AL88"/>
  <c r="AK88"/>
  <c r="AL87"/>
  <c r="AK87"/>
  <c r="AL86"/>
  <c r="AK86"/>
  <c r="AL85"/>
  <c r="AK85"/>
  <c r="AL84"/>
  <c r="AK84"/>
  <c r="AL83"/>
  <c r="AK83"/>
  <c r="AL82"/>
  <c r="AK82"/>
  <c r="AL81"/>
  <c r="AK81"/>
  <c r="AL80"/>
  <c r="AK80"/>
  <c r="AL79"/>
  <c r="AK79"/>
  <c r="AL78"/>
  <c r="AK78"/>
  <c r="AL77"/>
  <c r="AK77"/>
  <c r="AL76"/>
  <c r="AK76"/>
  <c r="AL75"/>
  <c r="AK75"/>
  <c r="AL74"/>
  <c r="AK74"/>
  <c r="AL73"/>
  <c r="AK73"/>
  <c r="AL72"/>
  <c r="AK72"/>
  <c r="AL71"/>
  <c r="AK71"/>
  <c r="AL70"/>
  <c r="AK70"/>
  <c r="AL69"/>
  <c r="AK69"/>
  <c r="AL68"/>
  <c r="AK68"/>
  <c r="AL67"/>
  <c r="AK67"/>
  <c r="AL66"/>
  <c r="AK66"/>
  <c r="AL65"/>
  <c r="AK65"/>
  <c r="AL64"/>
  <c r="AK64"/>
  <c r="AL63"/>
  <c r="AK63"/>
  <c r="AL62"/>
  <c r="AK62"/>
  <c r="AL61"/>
  <c r="AK61"/>
  <c r="AL60"/>
  <c r="AK60"/>
  <c r="AL59"/>
  <c r="AK59"/>
  <c r="AL58"/>
  <c r="AK58"/>
  <c r="AL57"/>
  <c r="AK57"/>
  <c r="AL56"/>
  <c r="AK56"/>
  <c r="AL55"/>
  <c r="AK55"/>
  <c r="AL54"/>
  <c r="AK54"/>
  <c r="AL53"/>
  <c r="AK53"/>
  <c r="AL52"/>
  <c r="AK52"/>
  <c r="AL51"/>
  <c r="AK51"/>
  <c r="AL50"/>
  <c r="AK50"/>
  <c r="AL49"/>
  <c r="AK49"/>
  <c r="AL48"/>
  <c r="AK48"/>
  <c r="AL47"/>
  <c r="AK47"/>
  <c r="AL46"/>
  <c r="AK46"/>
  <c r="AL45"/>
  <c r="AK45"/>
  <c r="AL44"/>
  <c r="AK44"/>
  <c r="AL43"/>
  <c r="AK43"/>
  <c r="AL42"/>
  <c r="AK42"/>
  <c r="AL41"/>
  <c r="AK41"/>
  <c r="AL40"/>
  <c r="AK40"/>
  <c r="AL39"/>
  <c r="AK39"/>
  <c r="AL38"/>
  <c r="AK38"/>
  <c r="AL37"/>
  <c r="AK37"/>
  <c r="AL36"/>
  <c r="AK36"/>
  <c r="AL35"/>
  <c r="AK35"/>
  <c r="AL34"/>
  <c r="AK34"/>
  <c r="AL33"/>
  <c r="AK33"/>
  <c r="AL32"/>
  <c r="AK32"/>
  <c r="AL31"/>
  <c r="AK31"/>
  <c r="AL30"/>
  <c r="AK30"/>
  <c r="AL29"/>
  <c r="AK29"/>
  <c r="AL28"/>
  <c r="AK28"/>
  <c r="AL27"/>
  <c r="AK27"/>
  <c r="AL26"/>
  <c r="AK26"/>
  <c r="AL25"/>
  <c r="AK25"/>
  <c r="AL24"/>
  <c r="AK24"/>
  <c r="AL23"/>
  <c r="AK23"/>
  <c r="AL22"/>
  <c r="AK22"/>
  <c r="AL21"/>
  <c r="AK21"/>
  <c r="AL20"/>
  <c r="AK20"/>
  <c r="AL19"/>
  <c r="AK19"/>
  <c r="AL18"/>
  <c r="AK18"/>
  <c r="AL17"/>
  <c r="AK17"/>
  <c r="AL16"/>
  <c r="AK16"/>
  <c r="AL15"/>
  <c r="AK15"/>
  <c r="AL14"/>
  <c r="AK14"/>
  <c r="AL13"/>
  <c r="AK13"/>
  <c r="AL12"/>
  <c r="AK12"/>
  <c r="AL11"/>
  <c r="AK11"/>
  <c r="AL6"/>
  <c r="AK6"/>
  <c r="AE89" l="1"/>
  <c r="AE90"/>
  <c r="AE91"/>
  <c r="AE92"/>
  <c r="AE93"/>
  <c r="AE94"/>
  <c r="AE95"/>
  <c r="AE96"/>
  <c r="AE97"/>
  <c r="AE98"/>
  <c r="AE99"/>
  <c r="AE88"/>
  <c r="AE79"/>
  <c r="AE80"/>
  <c r="AE81"/>
  <c r="AE82"/>
  <c r="AE78"/>
  <c r="AE77"/>
  <c r="AE71"/>
  <c r="AC108" l="1"/>
  <c r="AC109"/>
  <c r="AC110"/>
  <c r="AC111"/>
  <c r="AC112"/>
  <c r="AC113"/>
  <c r="AC114"/>
  <c r="AC115"/>
  <c r="AC116"/>
  <c r="AD108"/>
  <c r="AD109"/>
  <c r="AD110"/>
  <c r="AD111"/>
  <c r="AD112"/>
  <c r="AD113"/>
  <c r="AD114"/>
  <c r="AD115"/>
  <c r="AD116"/>
  <c r="AD107"/>
  <c r="AC107"/>
  <c r="AD106"/>
  <c r="AC106"/>
  <c r="AD105"/>
  <c r="AC105"/>
  <c r="AD104"/>
  <c r="AC104"/>
  <c r="AD103"/>
  <c r="AC103"/>
  <c r="AE102"/>
  <c r="AM102" s="1"/>
  <c r="AD102"/>
  <c r="AC102"/>
  <c r="AE101"/>
  <c r="AM101" s="1"/>
  <c r="AD101"/>
  <c r="AC101"/>
  <c r="AE100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E87"/>
  <c r="AD87"/>
  <c r="AC87"/>
  <c r="AE86"/>
  <c r="AD86"/>
  <c r="AC86"/>
  <c r="AE85"/>
  <c r="AD85"/>
  <c r="AC85"/>
  <c r="AE84"/>
  <c r="AD84"/>
  <c r="AC84"/>
  <c r="AE83"/>
  <c r="AD83"/>
  <c r="AC83"/>
  <c r="AD82"/>
  <c r="AC82"/>
  <c r="AD81"/>
  <c r="AC81"/>
  <c r="AD80"/>
  <c r="AC80"/>
  <c r="AD79"/>
  <c r="AC79"/>
  <c r="AD78"/>
  <c r="AC78"/>
  <c r="AD77"/>
  <c r="AC77"/>
  <c r="AE76"/>
  <c r="AD76"/>
  <c r="AC76"/>
  <c r="AE75"/>
  <c r="AD75"/>
  <c r="AC75"/>
  <c r="AE74"/>
  <c r="AD74"/>
  <c r="AC74"/>
  <c r="AE73"/>
  <c r="AD73"/>
  <c r="AC73"/>
  <c r="AE72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6"/>
  <c r="AC6"/>
  <c r="W101"/>
  <c r="W102"/>
  <c r="W100"/>
  <c r="W89"/>
  <c r="W90"/>
  <c r="W91"/>
  <c r="W92"/>
  <c r="W93"/>
  <c r="W94"/>
  <c r="W95"/>
  <c r="W96"/>
  <c r="W97"/>
  <c r="W98"/>
  <c r="W99"/>
  <c r="W88"/>
  <c r="W84"/>
  <c r="W85"/>
  <c r="W86"/>
  <c r="W87"/>
  <c r="W83"/>
  <c r="W78"/>
  <c r="W79"/>
  <c r="W80"/>
  <c r="W81"/>
  <c r="W82"/>
  <c r="W77"/>
  <c r="W71"/>
  <c r="V107" l="1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W76"/>
  <c r="V76"/>
  <c r="U76"/>
  <c r="W75"/>
  <c r="V75"/>
  <c r="U75"/>
  <c r="W74"/>
  <c r="V74"/>
  <c r="U74"/>
  <c r="W73"/>
  <c r="V73"/>
  <c r="U73"/>
  <c r="W72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6"/>
  <c r="U6"/>
  <c r="O82"/>
  <c r="O79"/>
  <c r="O80"/>
  <c r="O81"/>
  <c r="O72"/>
  <c r="O73"/>
  <c r="O74"/>
  <c r="O75"/>
  <c r="O76"/>
  <c r="O77"/>
  <c r="O78"/>
  <c r="O71"/>
  <c r="H71" l="1"/>
  <c r="H72"/>
  <c r="H73"/>
  <c r="H74"/>
  <c r="H75"/>
  <c r="H76"/>
  <c r="H77"/>
  <c r="H78"/>
  <c r="H79"/>
  <c r="H80"/>
  <c r="H81"/>
  <c r="H82"/>
  <c r="G72"/>
  <c r="G73"/>
  <c r="G74"/>
  <c r="G75"/>
  <c r="G76"/>
  <c r="G77"/>
  <c r="G78"/>
  <c r="G79"/>
  <c r="G80"/>
  <c r="G81"/>
  <c r="G82"/>
  <c r="M87"/>
  <c r="N87"/>
  <c r="M95"/>
  <c r="M96"/>
  <c r="M97"/>
  <c r="M98"/>
  <c r="M99"/>
  <c r="M100"/>
  <c r="M101"/>
  <c r="M102"/>
  <c r="M103"/>
  <c r="M104"/>
  <c r="M105"/>
  <c r="M106"/>
  <c r="M107"/>
  <c r="N96"/>
  <c r="N97"/>
  <c r="N98"/>
  <c r="N99"/>
  <c r="N100"/>
  <c r="N101"/>
  <c r="N102"/>
  <c r="N103"/>
  <c r="N104"/>
  <c r="N105"/>
  <c r="N106"/>
  <c r="N107"/>
  <c r="N95" l="1"/>
  <c r="N94"/>
  <c r="M94"/>
  <c r="N93"/>
  <c r="M93"/>
  <c r="N92"/>
  <c r="M92"/>
  <c r="N91"/>
  <c r="M91"/>
  <c r="N90"/>
  <c r="M90"/>
  <c r="N89"/>
  <c r="M89"/>
  <c r="N88"/>
  <c r="M88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83" l="1"/>
  <c r="G71" l="1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<sst xmlns="http://schemas.openxmlformats.org/spreadsheetml/2006/main" count="716" uniqueCount="111">
  <si>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</si>
  <si>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</si>
  <si>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</si>
  <si>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</si>
  <si>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</si>
  <si>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</si>
  <si>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</si>
  <si>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</si>
  <si>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</si>
  <si>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</si>
  <si>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</si>
  <si>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</si>
  <si>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</si>
  <si>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</si>
  <si>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</si>
  <si>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</si>
  <si>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</si>
  <si>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</si>
  <si>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</si>
  <si>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</si>
  <si>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</si>
  <si>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</si>
  <si>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</si>
  <si>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</si>
  <si>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</si>
  <si>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</si>
  <si>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</si>
  <si>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</si>
  <si>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</si>
  <si>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</si>
  <si>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</si>
  <si>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</si>
  <si>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</si>
  <si>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</si>
  <si>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</si>
  <si>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</si>
  <si>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</si>
  <si>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</si>
  <si>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</si>
  <si>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</si>
  <si>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</si>
  <si>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</si>
  <si>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</si>
  <si>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</si>
  <si>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</si>
  <si>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</si>
  <si>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</si>
  <si>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</si>
  <si>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</si>
  <si>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</si>
  <si>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</si>
  <si>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</si>
  <si>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</si>
  <si>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</si>
  <si>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</si>
  <si>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</si>
  <si>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</si>
  <si>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</si>
  <si>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</si>
  <si>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</si>
  <si>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</si>
  <si>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</si>
  <si>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</si>
  <si>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</si>
  <si>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</si>
  <si>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</si>
  <si>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</si>
  <si>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</si>
  <si>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</si>
  <si>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</si>
  <si>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</si>
  <si>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</si>
  <si>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</si>
  <si>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</si>
  <si>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</si>
  <si>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</si>
  <si>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</si>
  <si>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</si>
  <si>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</si>
  <si>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257  Сосиски Молочные оригинальные ТМ Особый рецепт, ВЕС.   ПОКОМ, SU000246</t>
  </si>
  <si>
    <t xml:space="preserve"> 250  Сардельки стародворские с говядиной в обол. NDX, ВЕС. ПОКОМ, SU000227</t>
  </si>
  <si>
    <t xml:space="preserve"> 283  Сосиски Сочинки, ВЕС, ТМ Стародворье ПОКОМ, SU002725</t>
  </si>
  <si>
    <t xml:space="preserve"> 302  Сосиски Сочинки по-баварски,  0.4кг, ТМ Стародворье  ПОКОМ, SU002799</t>
  </si>
  <si>
    <t xml:space="preserve"> 329  Сардельки Сочинки с сыром Стародворье ТМ, 0,4 кг. ПОКОМ, SU002759</t>
  </si>
  <si>
    <t xml:space="preserve"> 273  Сосиски Сочинки с сочной грудинкой, МГС 0.4кг,   ПОКОМ, SU002618</t>
  </si>
  <si>
    <t xml:space="preserve"> 328  Сардельки Сочинки Стародворье ТМ  0,4 кг ПОКОМ, SU002758</t>
  </si>
  <si>
    <t xml:space="preserve"> 248  Сардельки Сочные ТМ Особый рецепт,   ПОКОМ, SU002287</t>
  </si>
  <si>
    <t xml:space="preserve"> 341 Сосиски Сочинки Сливочные ТМ Стародворье ВЕС ПОКОМ, SU002845</t>
  </si>
  <si>
    <t xml:space="preserve"> 301  Сосиски Сочинки по-баварски с сыром,  0.4кг, ТМ Стародворье  ПОКОМ, SU002801</t>
  </si>
  <si>
    <t xml:space="preserve"> 309  Сосиски Сочинки с сыром 0,4 кг ТМ Стародворье  ПОКОМ, SU002686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</si>
  <si>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</si>
  <si>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кг, SU002844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</si>
  <si>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</si>
  <si>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</si>
  <si>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 xml:space="preserve"> 062  Колбаса Кракушка пряная с сальцем, 0.3кг в/у п/к, БАВАРУШКА ПОКОМ, SU002252</t>
  </si>
  <si>
    <t>495  Колбаса Сочинка по-европейски с сочной грудинкой 0,3кг ТМ Стародворье  ПОКОМ, SU002944</t>
  </si>
  <si>
    <t xml:space="preserve"> 023  Колбаса Докторская ГОСТ, Вязанка вектор, 0,4 кг, ПОКОМ, SU001485</t>
  </si>
  <si>
    <t xml:space="preserve"> 324  Ветчина Филейская ТМ Вязанка Столичная 0,45 кг ПОКОМ, SU002814</t>
  </si>
  <si>
    <t xml:space="preserve"> 279  Колбаса Докторский гарант, Вязанка вектор, 0,4 кг.  ПОКОМ, 4301011344</t>
  </si>
  <si>
    <t>Продано</t>
  </si>
  <si>
    <t>Списано</t>
  </si>
  <si>
    <t>ШТ</t>
  </si>
  <si>
    <t xml:space="preserve"> 319  Колбаса вареная Филейская ТМ Вязанка ТС Классическая, 0,45 кг. ПОКОМ, SU002815</t>
  </si>
  <si>
    <t>519  Грудинка 0,12 кг нарезка ТМ Стародворье  ПОКОМ, SU003921</t>
  </si>
  <si>
    <t>ши</t>
  </si>
  <si>
    <t xml:space="preserve"> 017  Сосиски Вязанка Сливочные, Вязанка амицел ВЕС.ПОКОМ, SU001721</t>
  </si>
  <si>
    <t xml:space="preserve"> 030  Сосиски Вязанка Молочные, Вязанка вискофан МГС, 0.45кг, ПОКОМ, 4301050979</t>
  </si>
  <si>
    <t xml:space="preserve"> 032  Сосиски Вязанка Сливочные, Вязанка амицел МГС, 0.45кг, ПОКОМ, 4301050983</t>
  </si>
  <si>
    <t xml:space="preserve"> 307  Колбаса Сервелат Мясорубский с мелкорубленным окороком 0,35 кг срез ТМ Стародворье   Поком, SU002848</t>
  </si>
  <si>
    <t>уценка 154шт</t>
  </si>
  <si>
    <t>21.772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</si>
</sst>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</font>
    <font>
      <b/>
      <sz val="12"/>
      <color theme="1"/>
      <name val="Arial"/>
      <family val="2"/>
      <charset val="204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57">
    <xf numFmtId="0" fontId="0" fillId="0" borderId="0" xfId="0"/>
    <xf numFmtId="0" fontId="0" fillId="0" borderId="0" xfId="0" applyAlignment="1">
      <alignment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5" fillId="0" borderId="2" xfId="2" applyNumberFormat="1" applyFon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2" fontId="9" fillId="0" borderId="2" xfId="2" applyNumberFormat="1" applyFon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2" fontId="9" fillId="0" borderId="3" xfId="0" applyNumberFormat="1" applyFont="1" applyFill="1" applyBorder="1" applyAlignment="1">
      <alignment horizontal="center" vertical="center" wrapText="1"/>
    </xf>
    <xf numFmtId="164" fontId="9" fillId="0" borderId="2" xfId="2" applyNumberFormat="1" applyFont="1" applyFill="1" applyBorder="1" applyAlignment="1">
      <alignment horizontal="center" vertical="center"/>
    </xf>
    <xf numFmtId="14" fontId="9" fillId="0" borderId="2" xfId="2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0" fillId="7" borderId="0" xfId="0" applyNumberFormat="1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4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top" wrapText="1"/>
    </xf>
    <xf numFmtId="1" fontId="12" fillId="0" borderId="1" xfId="1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8" borderId="2" xfId="2" applyNumberFormat="1" applyFont="1" applyFill="1" applyBorder="1" applyAlignment="1">
      <alignment vertical="top" wrapText="1" indent="6"/>
    </xf>
    <xf numFmtId="2" fontId="9" fillId="0" borderId="2" xfId="2" applyNumberFormat="1" applyFont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2" fontId="0" fillId="8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vertical="top" wrapText="1" indent="4"/>
    </xf>
    <xf numFmtId="2" fontId="0" fillId="0" borderId="1" xfId="0" applyNumberFormat="1" applyFont="1" applyBorder="1" applyAlignment="1">
      <alignment horizontal="center" vertical="center" wrapText="1"/>
    </xf>
    <xf numFmtId="2" fontId="0" fillId="4" borderId="1" xfId="0" applyNumberFormat="1" applyFont="1" applyFill="1" applyBorder="1" applyAlignment="1">
      <alignment horizontal="center" vertical="center" wrapText="1"/>
    </xf>
    <xf numFmtId="2" fontId="0" fillId="9" borderId="1" xfId="0" applyNumberFormat="1" applyFont="1" applyFill="1" applyBorder="1" applyAlignment="1">
      <alignment horizontal="center" vertical="center" wrapText="1"/>
    </xf>
    <xf numFmtId="0" fontId="9" fillId="10" borderId="2" xfId="2" applyNumberFormat="1" applyFont="1" applyFill="1" applyBorder="1" applyAlignment="1">
      <alignment vertical="top" wrapText="1" indent="6"/>
    </xf>
    <xf numFmtId="2" fontId="0" fillId="10" borderId="1" xfId="0" applyNumberFormat="1" applyFont="1" applyFill="1" applyBorder="1" applyAlignment="1">
      <alignment horizontal="center" vertical="center" wrapText="1"/>
    </xf>
    <xf numFmtId="0" fontId="9" fillId="4" borderId="2" xfId="2" applyNumberFormat="1" applyFont="1" applyFill="1" applyBorder="1" applyAlignment="1">
      <alignment vertical="top" wrapText="1" indent="6"/>
    </xf>
    <xf numFmtId="0" fontId="0" fillId="0" borderId="1" xfId="0" applyFont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 wrapText="1"/>
    </xf>
    <xf numFmtId="2" fontId="9" fillId="3" borderId="3" xfId="0" applyNumberFormat="1" applyFont="1" applyFill="1" applyBorder="1" applyAlignment="1">
      <alignment horizontal="center" vertical="center" wrapText="1"/>
    </xf>
    <xf numFmtId="164" fontId="9" fillId="0" borderId="2" xfId="2" applyNumberFormat="1" applyFont="1" applyBorder="1" applyAlignment="1">
      <alignment horizontal="center" vertical="center"/>
    </xf>
    <xf numFmtId="14" fontId="9" fillId="0" borderId="2" xfId="2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9" fillId="0" borderId="14" xfId="2" applyNumberFormat="1" applyFont="1" applyBorder="1" applyAlignment="1">
      <alignment horizontal="center" vertical="center"/>
    </xf>
    <xf numFmtId="2" fontId="9" fillId="0" borderId="13" xfId="2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0" fontId="9" fillId="0" borderId="2" xfId="2" applyNumberFormat="1" applyFont="1" applyBorder="1" applyAlignment="1">
      <alignment vertical="top" wrapText="1" indent="6"/>
    </xf>
    <xf numFmtId="2" fontId="0" fillId="0" borderId="9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/>
    </xf>
    <xf numFmtId="0" fontId="9" fillId="9" borderId="2" xfId="2" applyNumberFormat="1" applyFont="1" applyFill="1" applyBorder="1" applyAlignment="1">
      <alignment vertical="top" wrapText="1" indent="6"/>
    </xf>
    <xf numFmtId="0" fontId="0" fillId="0" borderId="1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2" fontId="0" fillId="0" borderId="10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14" fontId="0" fillId="0" borderId="10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2" fontId="0" fillId="0" borderId="4" xfId="0" applyNumberFormat="1" applyFont="1" applyBorder="1" applyAlignment="1">
      <alignment horizontal="center" vertical="center" wrapText="1"/>
    </xf>
    <xf numFmtId="14" fontId="0" fillId="0" borderId="11" xfId="0" applyNumberFormat="1" applyFont="1" applyBorder="1" applyAlignment="1">
      <alignment horizontal="center" vertical="center" wrapText="1"/>
    </xf>
    <xf numFmtId="14" fontId="0" fillId="0" borderId="16" xfId="0" applyNumberFormat="1" applyFont="1" applyBorder="1" applyAlignment="1">
      <alignment horizontal="center" vertical="center" wrapText="1"/>
    </xf>
    <xf numFmtId="2" fontId="0" fillId="0" borderId="10" xfId="0" applyNumberFormat="1" applyFont="1" applyBorder="1" applyAlignment="1">
      <alignment horizontal="center" vertical="center" wrapText="1"/>
    </xf>
    <xf numFmtId="14" fontId="0" fillId="0" borderId="10" xfId="0" applyNumberFormat="1" applyFont="1" applyBorder="1" applyAlignment="1">
      <alignment horizontal="center" vertical="center" wrapText="1"/>
    </xf>
    <xf numFmtId="14" fontId="0" fillId="0" borderId="5" xfId="0" applyNumberFormat="1" applyFont="1" applyBorder="1" applyAlignment="1">
      <alignment horizontal="center" vertical="center" wrapText="1"/>
    </xf>
    <xf numFmtId="2" fontId="0" fillId="0" borderId="5" xfId="0" applyNumberFormat="1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14" fontId="0" fillId="0" borderId="6" xfId="0" applyNumberFormat="1" applyFont="1" applyBorder="1" applyAlignment="1">
      <alignment horizontal="center" vertical="center" wrapText="1"/>
    </xf>
    <xf numFmtId="1" fontId="12" fillId="0" borderId="4" xfId="1" applyNumberFormat="1" applyFont="1" applyBorder="1" applyAlignment="1">
      <alignment horizontal="center" vertical="center"/>
    </xf>
    <xf numFmtId="0" fontId="0" fillId="0" borderId="11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7" xfId="0" applyFont="1" applyBorder="1" applyAlignment="1">
      <alignment horizontal="center" vertical="center" wrapText="1"/>
    </xf>
    <xf numFmtId="2" fontId="0" fillId="0" borderId="9" xfId="0" applyNumberFormat="1" applyFont="1" applyBorder="1" applyAlignment="1">
      <alignment horizontal="center" vertical="center" wrapText="1"/>
    </xf>
    <xf numFmtId="14" fontId="0" fillId="0" borderId="7" xfId="0" applyNumberFormat="1" applyFont="1" applyBorder="1" applyAlignment="1">
      <alignment horizontal="center" vertical="center" wrapText="1"/>
    </xf>
    <xf numFmtId="14" fontId="0" fillId="0" borderId="9" xfId="0" applyNumberFormat="1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Border="1" applyAlignment="1">
      <alignment wrapText="1"/>
    </xf>
    <xf numFmtId="2" fontId="0" fillId="0" borderId="3" xfId="0" applyNumberFormat="1" applyFont="1" applyBorder="1" applyAlignment="1">
      <alignment horizontal="center" vertical="center" wrapText="1"/>
    </xf>
    <xf numFmtId="14" fontId="0" fillId="0" borderId="3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2" fontId="0" fillId="0" borderId="6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0" xfId="0" applyFont="1" applyBorder="1" applyAlignment="1">
      <alignment wrapText="1"/>
    </xf>
    <xf numFmtId="14" fontId="0" fillId="0" borderId="17" xfId="0" applyNumberFormat="1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2" fontId="0" fillId="0" borderId="18" xfId="0" applyNumberFormat="1" applyFont="1" applyBorder="1" applyAlignment="1">
      <alignment horizontal="center" vertical="center"/>
    </xf>
    <xf numFmtId="2" fontId="0" fillId="0" borderId="18" xfId="0" applyNumberFormat="1" applyFont="1" applyBorder="1" applyAlignment="1">
      <alignment horizontal="center" vertical="center" wrapText="1"/>
    </xf>
    <xf numFmtId="2" fontId="0" fillId="0" borderId="15" xfId="0" applyNumberFormat="1" applyFont="1" applyBorder="1" applyAlignment="1">
      <alignment horizontal="center" vertical="center" wrapText="1"/>
    </xf>
    <xf numFmtId="2" fontId="0" fillId="0" borderId="19" xfId="0" applyNumberFormat="1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2" fontId="0" fillId="0" borderId="15" xfId="0" applyNumberFormat="1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9" borderId="11" xfId="0" applyFont="1" applyFill="1" applyBorder="1" applyAlignment="1">
      <alignment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27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W136"/>
  <sheetViews>
    <sheetView tabSelected="1" topLeftCell="B95" zoomScale="85" zoomScaleNormal="85" workbookViewId="0">
      <pane xSplit="1" topLeftCell="AO1" activePane="topRight" state="frozen"/>
      <selection activeCell="B1" sqref="B1"/>
      <selection pane="topRight" activeCell="B112" sqref="B112:B120"/>
    </sheetView>
  </sheetViews>
  <sheetFormatPr defaultColWidth="8.85546875" defaultRowHeight="15"/>
  <cols>
    <col min="1" max="1" width="4" style="1" customWidth="1"/>
    <col min="2" max="2" width="45" style="55" customWidth="1"/>
    <col min="3" max="3" width="4.140625" style="56" customWidth="1"/>
    <col min="4" max="4" width="7" style="57" customWidth="1"/>
    <col min="5" max="5" width="11.140625" style="58" customWidth="1"/>
    <col min="6" max="6" width="11" style="58" customWidth="1"/>
    <col min="7" max="7" width="12.7109375" style="56" customWidth="1"/>
    <col min="8" max="8" width="12" style="56" customWidth="1"/>
    <col min="9" max="9" width="4.140625" style="56" customWidth="1"/>
    <col min="10" max="10" width="7" style="57" customWidth="1"/>
    <col min="11" max="11" width="11.140625" style="58" customWidth="1"/>
    <col min="12" max="12" width="11" style="58" customWidth="1"/>
    <col min="13" max="13" width="12.7109375" style="56" customWidth="1"/>
    <col min="14" max="14" width="12" style="56" customWidth="1"/>
    <col min="15" max="16" width="8.85546875" style="56" customWidth="1"/>
    <col min="17" max="17" width="4.140625" style="56" customWidth="1"/>
    <col min="18" max="18" width="7" style="57" customWidth="1"/>
    <col min="19" max="19" width="11.140625" style="58" customWidth="1"/>
    <col min="20" max="20" width="11" style="58" customWidth="1"/>
    <col min="21" max="21" width="12.7109375" style="56" customWidth="1"/>
    <col min="22" max="22" width="12" style="56" customWidth="1"/>
    <col min="23" max="24" width="8.85546875" style="56" customWidth="1"/>
    <col min="25" max="25" width="4.140625" style="56" customWidth="1"/>
    <col min="26" max="26" width="7" style="57" customWidth="1"/>
    <col min="27" max="27" width="11.140625" style="58" customWidth="1"/>
    <col min="28" max="28" width="11" style="58" customWidth="1"/>
    <col min="29" max="29" width="12.7109375" style="56" customWidth="1"/>
    <col min="30" max="30" width="12" style="56" customWidth="1"/>
    <col min="31" max="31" width="8.85546875" style="56" customWidth="1"/>
    <col min="32" max="32" width="10" style="56" customWidth="1"/>
    <col min="33" max="33" width="4.140625" style="56" customWidth="1"/>
    <col min="34" max="34" width="7" style="57" customWidth="1"/>
    <col min="35" max="35" width="11.140625" style="58" customWidth="1"/>
    <col min="36" max="36" width="11" style="58" customWidth="1"/>
    <col min="37" max="37" width="12.7109375" style="56" customWidth="1"/>
    <col min="38" max="38" width="12" style="56" customWidth="1"/>
    <col min="39" max="40" width="8.85546875" style="56" customWidth="1"/>
    <col min="41" max="41" width="4.140625" style="56" customWidth="1"/>
    <col min="42" max="42" width="7" style="57" customWidth="1"/>
    <col min="43" max="43" width="11.140625" style="6" customWidth="1"/>
    <col min="44" max="44" width="11" style="6" customWidth="1"/>
    <col min="45" max="45" width="12.7109375" style="5" customWidth="1"/>
    <col min="46" max="46" width="12" style="5" customWidth="1"/>
    <col min="47" max="48" width="8.85546875" style="5"/>
    <col min="49" max="272" width="8.85546875" style="1"/>
    <col min="273" max="273" width="4" style="1" customWidth="1"/>
    <col min="274" max="274" width="59.7109375" style="1" customWidth="1"/>
    <col min="275" max="275" width="4.85546875" style="1" customWidth="1"/>
    <col min="276" max="276" width="9" style="1" customWidth="1"/>
    <col min="277" max="277" width="15.85546875" style="1" customWidth="1"/>
    <col min="278" max="278" width="15.7109375" style="1" customWidth="1"/>
    <col min="279" max="279" width="15.42578125" style="1" customWidth="1"/>
    <col min="280" max="280" width="17.140625" style="1" customWidth="1"/>
    <col min="281" max="281" width="37.85546875" style="1" customWidth="1"/>
    <col min="282" max="282" width="36.5703125" style="1" customWidth="1"/>
    <col min="283" max="283" width="29.42578125" style="1" customWidth="1"/>
    <col min="284" max="528" width="8.85546875" style="1"/>
    <col min="529" max="529" width="4" style="1" customWidth="1"/>
    <col min="530" max="530" width="59.7109375" style="1" customWidth="1"/>
    <col min="531" max="531" width="4.85546875" style="1" customWidth="1"/>
    <col min="532" max="532" width="9" style="1" customWidth="1"/>
    <col min="533" max="533" width="15.85546875" style="1" customWidth="1"/>
    <col min="534" max="534" width="15.7109375" style="1" customWidth="1"/>
    <col min="535" max="535" width="15.42578125" style="1" customWidth="1"/>
    <col min="536" max="536" width="17.140625" style="1" customWidth="1"/>
    <col min="537" max="537" width="37.85546875" style="1" customWidth="1"/>
    <col min="538" max="538" width="36.5703125" style="1" customWidth="1"/>
    <col min="539" max="539" width="29.42578125" style="1" customWidth="1"/>
    <col min="540" max="784" width="8.85546875" style="1"/>
    <col min="785" max="785" width="4" style="1" customWidth="1"/>
    <col min="786" max="786" width="59.7109375" style="1" customWidth="1"/>
    <col min="787" max="787" width="4.85546875" style="1" customWidth="1"/>
    <col min="788" max="788" width="9" style="1" customWidth="1"/>
    <col min="789" max="789" width="15.85546875" style="1" customWidth="1"/>
    <col min="790" max="790" width="15.7109375" style="1" customWidth="1"/>
    <col min="791" max="791" width="15.42578125" style="1" customWidth="1"/>
    <col min="792" max="792" width="17.140625" style="1" customWidth="1"/>
    <col min="793" max="793" width="37.85546875" style="1" customWidth="1"/>
    <col min="794" max="794" width="36.5703125" style="1" customWidth="1"/>
    <col min="795" max="795" width="29.42578125" style="1" customWidth="1"/>
    <col min="796" max="1040" width="8.85546875" style="1"/>
    <col min="1041" max="1041" width="4" style="1" customWidth="1"/>
    <col min="1042" max="1042" width="59.7109375" style="1" customWidth="1"/>
    <col min="1043" max="1043" width="4.85546875" style="1" customWidth="1"/>
    <col min="1044" max="1044" width="9" style="1" customWidth="1"/>
    <col min="1045" max="1045" width="15.85546875" style="1" customWidth="1"/>
    <col min="1046" max="1046" width="15.7109375" style="1" customWidth="1"/>
    <col min="1047" max="1047" width="15.42578125" style="1" customWidth="1"/>
    <col min="1048" max="1048" width="17.140625" style="1" customWidth="1"/>
    <col min="1049" max="1049" width="37.85546875" style="1" customWidth="1"/>
    <col min="1050" max="1050" width="36.5703125" style="1" customWidth="1"/>
    <col min="1051" max="1051" width="29.42578125" style="1" customWidth="1"/>
    <col min="1052" max="1296" width="8.85546875" style="1"/>
    <col min="1297" max="1297" width="4" style="1" customWidth="1"/>
    <col min="1298" max="1298" width="59.7109375" style="1" customWidth="1"/>
    <col min="1299" max="1299" width="4.85546875" style="1" customWidth="1"/>
    <col min="1300" max="1300" width="9" style="1" customWidth="1"/>
    <col min="1301" max="1301" width="15.85546875" style="1" customWidth="1"/>
    <col min="1302" max="1302" width="15.7109375" style="1" customWidth="1"/>
    <col min="1303" max="1303" width="15.42578125" style="1" customWidth="1"/>
    <col min="1304" max="1304" width="17.140625" style="1" customWidth="1"/>
    <col min="1305" max="1305" width="37.85546875" style="1" customWidth="1"/>
    <col min="1306" max="1306" width="36.5703125" style="1" customWidth="1"/>
    <col min="1307" max="1307" width="29.42578125" style="1" customWidth="1"/>
    <col min="1308" max="1552" width="8.85546875" style="1"/>
    <col min="1553" max="1553" width="4" style="1" customWidth="1"/>
    <col min="1554" max="1554" width="59.7109375" style="1" customWidth="1"/>
    <col min="1555" max="1555" width="4.85546875" style="1" customWidth="1"/>
    <col min="1556" max="1556" width="9" style="1" customWidth="1"/>
    <col min="1557" max="1557" width="15.85546875" style="1" customWidth="1"/>
    <col min="1558" max="1558" width="15.7109375" style="1" customWidth="1"/>
    <col min="1559" max="1559" width="15.42578125" style="1" customWidth="1"/>
    <col min="1560" max="1560" width="17.140625" style="1" customWidth="1"/>
    <col min="1561" max="1561" width="37.85546875" style="1" customWidth="1"/>
    <col min="1562" max="1562" width="36.5703125" style="1" customWidth="1"/>
    <col min="1563" max="1563" width="29.42578125" style="1" customWidth="1"/>
    <col min="1564" max="1808" width="8.85546875" style="1"/>
    <col min="1809" max="1809" width="4" style="1" customWidth="1"/>
    <col min="1810" max="1810" width="59.7109375" style="1" customWidth="1"/>
    <col min="1811" max="1811" width="4.85546875" style="1" customWidth="1"/>
    <col min="1812" max="1812" width="9" style="1" customWidth="1"/>
    <col min="1813" max="1813" width="15.85546875" style="1" customWidth="1"/>
    <col min="1814" max="1814" width="15.7109375" style="1" customWidth="1"/>
    <col min="1815" max="1815" width="15.42578125" style="1" customWidth="1"/>
    <col min="1816" max="1816" width="17.140625" style="1" customWidth="1"/>
    <col min="1817" max="1817" width="37.85546875" style="1" customWidth="1"/>
    <col min="1818" max="1818" width="36.5703125" style="1" customWidth="1"/>
    <col min="1819" max="1819" width="29.42578125" style="1" customWidth="1"/>
    <col min="1820" max="2064" width="8.85546875" style="1"/>
    <col min="2065" max="2065" width="4" style="1" customWidth="1"/>
    <col min="2066" max="2066" width="59.7109375" style="1" customWidth="1"/>
    <col min="2067" max="2067" width="4.85546875" style="1" customWidth="1"/>
    <col min="2068" max="2068" width="9" style="1" customWidth="1"/>
    <col min="2069" max="2069" width="15.85546875" style="1" customWidth="1"/>
    <col min="2070" max="2070" width="15.7109375" style="1" customWidth="1"/>
    <col min="2071" max="2071" width="15.42578125" style="1" customWidth="1"/>
    <col min="2072" max="2072" width="17.140625" style="1" customWidth="1"/>
    <col min="2073" max="2073" width="37.85546875" style="1" customWidth="1"/>
    <col min="2074" max="2074" width="36.5703125" style="1" customWidth="1"/>
    <col min="2075" max="2075" width="29.42578125" style="1" customWidth="1"/>
    <col min="2076" max="2320" width="8.85546875" style="1"/>
    <col min="2321" max="2321" width="4" style="1" customWidth="1"/>
    <col min="2322" max="2322" width="59.7109375" style="1" customWidth="1"/>
    <col min="2323" max="2323" width="4.85546875" style="1" customWidth="1"/>
    <col min="2324" max="2324" width="9" style="1" customWidth="1"/>
    <col min="2325" max="2325" width="15.85546875" style="1" customWidth="1"/>
    <col min="2326" max="2326" width="15.7109375" style="1" customWidth="1"/>
    <col min="2327" max="2327" width="15.42578125" style="1" customWidth="1"/>
    <col min="2328" max="2328" width="17.140625" style="1" customWidth="1"/>
    <col min="2329" max="2329" width="37.85546875" style="1" customWidth="1"/>
    <col min="2330" max="2330" width="36.5703125" style="1" customWidth="1"/>
    <col min="2331" max="2331" width="29.42578125" style="1" customWidth="1"/>
    <col min="2332" max="2576" width="8.85546875" style="1"/>
    <col min="2577" max="2577" width="4" style="1" customWidth="1"/>
    <col min="2578" max="2578" width="59.7109375" style="1" customWidth="1"/>
    <col min="2579" max="2579" width="4.85546875" style="1" customWidth="1"/>
    <col min="2580" max="2580" width="9" style="1" customWidth="1"/>
    <col min="2581" max="2581" width="15.85546875" style="1" customWidth="1"/>
    <col min="2582" max="2582" width="15.7109375" style="1" customWidth="1"/>
    <col min="2583" max="2583" width="15.42578125" style="1" customWidth="1"/>
    <col min="2584" max="2584" width="17.140625" style="1" customWidth="1"/>
    <col min="2585" max="2585" width="37.85546875" style="1" customWidth="1"/>
    <col min="2586" max="2586" width="36.5703125" style="1" customWidth="1"/>
    <col min="2587" max="2587" width="29.42578125" style="1" customWidth="1"/>
    <col min="2588" max="2832" width="8.85546875" style="1"/>
    <col min="2833" max="2833" width="4" style="1" customWidth="1"/>
    <col min="2834" max="2834" width="59.7109375" style="1" customWidth="1"/>
    <col min="2835" max="2835" width="4.85546875" style="1" customWidth="1"/>
    <col min="2836" max="2836" width="9" style="1" customWidth="1"/>
    <col min="2837" max="2837" width="15.85546875" style="1" customWidth="1"/>
    <col min="2838" max="2838" width="15.7109375" style="1" customWidth="1"/>
    <col min="2839" max="2839" width="15.42578125" style="1" customWidth="1"/>
    <col min="2840" max="2840" width="17.140625" style="1" customWidth="1"/>
    <col min="2841" max="2841" width="37.85546875" style="1" customWidth="1"/>
    <col min="2842" max="2842" width="36.5703125" style="1" customWidth="1"/>
    <col min="2843" max="2843" width="29.42578125" style="1" customWidth="1"/>
    <col min="2844" max="3088" width="8.85546875" style="1"/>
    <col min="3089" max="3089" width="4" style="1" customWidth="1"/>
    <col min="3090" max="3090" width="59.7109375" style="1" customWidth="1"/>
    <col min="3091" max="3091" width="4.85546875" style="1" customWidth="1"/>
    <col min="3092" max="3092" width="9" style="1" customWidth="1"/>
    <col min="3093" max="3093" width="15.85546875" style="1" customWidth="1"/>
    <col min="3094" max="3094" width="15.7109375" style="1" customWidth="1"/>
    <col min="3095" max="3095" width="15.42578125" style="1" customWidth="1"/>
    <col min="3096" max="3096" width="17.140625" style="1" customWidth="1"/>
    <col min="3097" max="3097" width="37.85546875" style="1" customWidth="1"/>
    <col min="3098" max="3098" width="36.5703125" style="1" customWidth="1"/>
    <col min="3099" max="3099" width="29.42578125" style="1" customWidth="1"/>
    <col min="3100" max="3344" width="8.85546875" style="1"/>
    <col min="3345" max="3345" width="4" style="1" customWidth="1"/>
    <col min="3346" max="3346" width="59.7109375" style="1" customWidth="1"/>
    <col min="3347" max="3347" width="4.85546875" style="1" customWidth="1"/>
    <col min="3348" max="3348" width="9" style="1" customWidth="1"/>
    <col min="3349" max="3349" width="15.85546875" style="1" customWidth="1"/>
    <col min="3350" max="3350" width="15.7109375" style="1" customWidth="1"/>
    <col min="3351" max="3351" width="15.42578125" style="1" customWidth="1"/>
    <col min="3352" max="3352" width="17.140625" style="1" customWidth="1"/>
    <col min="3353" max="3353" width="37.85546875" style="1" customWidth="1"/>
    <col min="3354" max="3354" width="36.5703125" style="1" customWidth="1"/>
    <col min="3355" max="3355" width="29.42578125" style="1" customWidth="1"/>
    <col min="3356" max="3600" width="8.85546875" style="1"/>
    <col min="3601" max="3601" width="4" style="1" customWidth="1"/>
    <col min="3602" max="3602" width="59.7109375" style="1" customWidth="1"/>
    <col min="3603" max="3603" width="4.85546875" style="1" customWidth="1"/>
    <col min="3604" max="3604" width="9" style="1" customWidth="1"/>
    <col min="3605" max="3605" width="15.85546875" style="1" customWidth="1"/>
    <col min="3606" max="3606" width="15.7109375" style="1" customWidth="1"/>
    <col min="3607" max="3607" width="15.42578125" style="1" customWidth="1"/>
    <col min="3608" max="3608" width="17.140625" style="1" customWidth="1"/>
    <col min="3609" max="3609" width="37.85546875" style="1" customWidth="1"/>
    <col min="3610" max="3610" width="36.5703125" style="1" customWidth="1"/>
    <col min="3611" max="3611" width="29.42578125" style="1" customWidth="1"/>
    <col min="3612" max="3856" width="8.85546875" style="1"/>
    <col min="3857" max="3857" width="4" style="1" customWidth="1"/>
    <col min="3858" max="3858" width="59.7109375" style="1" customWidth="1"/>
    <col min="3859" max="3859" width="4.85546875" style="1" customWidth="1"/>
    <col min="3860" max="3860" width="9" style="1" customWidth="1"/>
    <col min="3861" max="3861" width="15.85546875" style="1" customWidth="1"/>
    <col min="3862" max="3862" width="15.7109375" style="1" customWidth="1"/>
    <col min="3863" max="3863" width="15.42578125" style="1" customWidth="1"/>
    <col min="3864" max="3864" width="17.140625" style="1" customWidth="1"/>
    <col min="3865" max="3865" width="37.85546875" style="1" customWidth="1"/>
    <col min="3866" max="3866" width="36.5703125" style="1" customWidth="1"/>
    <col min="3867" max="3867" width="29.42578125" style="1" customWidth="1"/>
    <col min="3868" max="4112" width="8.85546875" style="1"/>
    <col min="4113" max="4113" width="4" style="1" customWidth="1"/>
    <col min="4114" max="4114" width="59.7109375" style="1" customWidth="1"/>
    <col min="4115" max="4115" width="4.85546875" style="1" customWidth="1"/>
    <col min="4116" max="4116" width="9" style="1" customWidth="1"/>
    <col min="4117" max="4117" width="15.85546875" style="1" customWidth="1"/>
    <col min="4118" max="4118" width="15.7109375" style="1" customWidth="1"/>
    <col min="4119" max="4119" width="15.42578125" style="1" customWidth="1"/>
    <col min="4120" max="4120" width="17.140625" style="1" customWidth="1"/>
    <col min="4121" max="4121" width="37.85546875" style="1" customWidth="1"/>
    <col min="4122" max="4122" width="36.5703125" style="1" customWidth="1"/>
    <col min="4123" max="4123" width="29.42578125" style="1" customWidth="1"/>
    <col min="4124" max="4368" width="8.85546875" style="1"/>
    <col min="4369" max="4369" width="4" style="1" customWidth="1"/>
    <col min="4370" max="4370" width="59.7109375" style="1" customWidth="1"/>
    <col min="4371" max="4371" width="4.85546875" style="1" customWidth="1"/>
    <col min="4372" max="4372" width="9" style="1" customWidth="1"/>
    <col min="4373" max="4373" width="15.85546875" style="1" customWidth="1"/>
    <col min="4374" max="4374" width="15.7109375" style="1" customWidth="1"/>
    <col min="4375" max="4375" width="15.42578125" style="1" customWidth="1"/>
    <col min="4376" max="4376" width="17.140625" style="1" customWidth="1"/>
    <col min="4377" max="4377" width="37.85546875" style="1" customWidth="1"/>
    <col min="4378" max="4378" width="36.5703125" style="1" customWidth="1"/>
    <col min="4379" max="4379" width="29.42578125" style="1" customWidth="1"/>
    <col min="4380" max="4624" width="8.85546875" style="1"/>
    <col min="4625" max="4625" width="4" style="1" customWidth="1"/>
    <col min="4626" max="4626" width="59.7109375" style="1" customWidth="1"/>
    <col min="4627" max="4627" width="4.85546875" style="1" customWidth="1"/>
    <col min="4628" max="4628" width="9" style="1" customWidth="1"/>
    <col min="4629" max="4629" width="15.85546875" style="1" customWidth="1"/>
    <col min="4630" max="4630" width="15.7109375" style="1" customWidth="1"/>
    <col min="4631" max="4631" width="15.42578125" style="1" customWidth="1"/>
    <col min="4632" max="4632" width="17.140625" style="1" customWidth="1"/>
    <col min="4633" max="4633" width="37.85546875" style="1" customWidth="1"/>
    <col min="4634" max="4634" width="36.5703125" style="1" customWidth="1"/>
    <col min="4635" max="4635" width="29.42578125" style="1" customWidth="1"/>
    <col min="4636" max="4880" width="8.85546875" style="1"/>
    <col min="4881" max="4881" width="4" style="1" customWidth="1"/>
    <col min="4882" max="4882" width="59.7109375" style="1" customWidth="1"/>
    <col min="4883" max="4883" width="4.85546875" style="1" customWidth="1"/>
    <col min="4884" max="4884" width="9" style="1" customWidth="1"/>
    <col min="4885" max="4885" width="15.85546875" style="1" customWidth="1"/>
    <col min="4886" max="4886" width="15.7109375" style="1" customWidth="1"/>
    <col min="4887" max="4887" width="15.42578125" style="1" customWidth="1"/>
    <col min="4888" max="4888" width="17.140625" style="1" customWidth="1"/>
    <col min="4889" max="4889" width="37.85546875" style="1" customWidth="1"/>
    <col min="4890" max="4890" width="36.5703125" style="1" customWidth="1"/>
    <col min="4891" max="4891" width="29.42578125" style="1" customWidth="1"/>
    <col min="4892" max="5136" width="8.85546875" style="1"/>
    <col min="5137" max="5137" width="4" style="1" customWidth="1"/>
    <col min="5138" max="5138" width="59.7109375" style="1" customWidth="1"/>
    <col min="5139" max="5139" width="4.85546875" style="1" customWidth="1"/>
    <col min="5140" max="5140" width="9" style="1" customWidth="1"/>
    <col min="5141" max="5141" width="15.85546875" style="1" customWidth="1"/>
    <col min="5142" max="5142" width="15.7109375" style="1" customWidth="1"/>
    <col min="5143" max="5143" width="15.42578125" style="1" customWidth="1"/>
    <col min="5144" max="5144" width="17.140625" style="1" customWidth="1"/>
    <col min="5145" max="5145" width="37.85546875" style="1" customWidth="1"/>
    <col min="5146" max="5146" width="36.5703125" style="1" customWidth="1"/>
    <col min="5147" max="5147" width="29.42578125" style="1" customWidth="1"/>
    <col min="5148" max="5392" width="8.85546875" style="1"/>
    <col min="5393" max="5393" width="4" style="1" customWidth="1"/>
    <col min="5394" max="5394" width="59.7109375" style="1" customWidth="1"/>
    <col min="5395" max="5395" width="4.85546875" style="1" customWidth="1"/>
    <col min="5396" max="5396" width="9" style="1" customWidth="1"/>
    <col min="5397" max="5397" width="15.85546875" style="1" customWidth="1"/>
    <col min="5398" max="5398" width="15.7109375" style="1" customWidth="1"/>
    <col min="5399" max="5399" width="15.42578125" style="1" customWidth="1"/>
    <col min="5400" max="5400" width="17.140625" style="1" customWidth="1"/>
    <col min="5401" max="5401" width="37.85546875" style="1" customWidth="1"/>
    <col min="5402" max="5402" width="36.5703125" style="1" customWidth="1"/>
    <col min="5403" max="5403" width="29.42578125" style="1" customWidth="1"/>
    <col min="5404" max="5648" width="8.85546875" style="1"/>
    <col min="5649" max="5649" width="4" style="1" customWidth="1"/>
    <col min="5650" max="5650" width="59.7109375" style="1" customWidth="1"/>
    <col min="5651" max="5651" width="4.85546875" style="1" customWidth="1"/>
    <col min="5652" max="5652" width="9" style="1" customWidth="1"/>
    <col min="5653" max="5653" width="15.85546875" style="1" customWidth="1"/>
    <col min="5654" max="5654" width="15.7109375" style="1" customWidth="1"/>
    <col min="5655" max="5655" width="15.42578125" style="1" customWidth="1"/>
    <col min="5656" max="5656" width="17.140625" style="1" customWidth="1"/>
    <col min="5657" max="5657" width="37.85546875" style="1" customWidth="1"/>
    <col min="5658" max="5658" width="36.5703125" style="1" customWidth="1"/>
    <col min="5659" max="5659" width="29.42578125" style="1" customWidth="1"/>
    <col min="5660" max="5904" width="8.85546875" style="1"/>
    <col min="5905" max="5905" width="4" style="1" customWidth="1"/>
    <col min="5906" max="5906" width="59.7109375" style="1" customWidth="1"/>
    <col min="5907" max="5907" width="4.85546875" style="1" customWidth="1"/>
    <col min="5908" max="5908" width="9" style="1" customWidth="1"/>
    <col min="5909" max="5909" width="15.85546875" style="1" customWidth="1"/>
    <col min="5910" max="5910" width="15.7109375" style="1" customWidth="1"/>
    <col min="5911" max="5911" width="15.42578125" style="1" customWidth="1"/>
    <col min="5912" max="5912" width="17.140625" style="1" customWidth="1"/>
    <col min="5913" max="5913" width="37.85546875" style="1" customWidth="1"/>
    <col min="5914" max="5914" width="36.5703125" style="1" customWidth="1"/>
    <col min="5915" max="5915" width="29.42578125" style="1" customWidth="1"/>
    <col min="5916" max="6160" width="8.85546875" style="1"/>
    <col min="6161" max="6161" width="4" style="1" customWidth="1"/>
    <col min="6162" max="6162" width="59.7109375" style="1" customWidth="1"/>
    <col min="6163" max="6163" width="4.85546875" style="1" customWidth="1"/>
    <col min="6164" max="6164" width="9" style="1" customWidth="1"/>
    <col min="6165" max="6165" width="15.85546875" style="1" customWidth="1"/>
    <col min="6166" max="6166" width="15.7109375" style="1" customWidth="1"/>
    <col min="6167" max="6167" width="15.42578125" style="1" customWidth="1"/>
    <col min="6168" max="6168" width="17.140625" style="1" customWidth="1"/>
    <col min="6169" max="6169" width="37.85546875" style="1" customWidth="1"/>
    <col min="6170" max="6170" width="36.5703125" style="1" customWidth="1"/>
    <col min="6171" max="6171" width="29.42578125" style="1" customWidth="1"/>
    <col min="6172" max="6416" width="8.85546875" style="1"/>
    <col min="6417" max="6417" width="4" style="1" customWidth="1"/>
    <col min="6418" max="6418" width="59.7109375" style="1" customWidth="1"/>
    <col min="6419" max="6419" width="4.85546875" style="1" customWidth="1"/>
    <col min="6420" max="6420" width="9" style="1" customWidth="1"/>
    <col min="6421" max="6421" width="15.85546875" style="1" customWidth="1"/>
    <col min="6422" max="6422" width="15.7109375" style="1" customWidth="1"/>
    <col min="6423" max="6423" width="15.42578125" style="1" customWidth="1"/>
    <col min="6424" max="6424" width="17.140625" style="1" customWidth="1"/>
    <col min="6425" max="6425" width="37.85546875" style="1" customWidth="1"/>
    <col min="6426" max="6426" width="36.5703125" style="1" customWidth="1"/>
    <col min="6427" max="6427" width="29.42578125" style="1" customWidth="1"/>
    <col min="6428" max="6672" width="8.85546875" style="1"/>
    <col min="6673" max="6673" width="4" style="1" customWidth="1"/>
    <col min="6674" max="6674" width="59.7109375" style="1" customWidth="1"/>
    <col min="6675" max="6675" width="4.85546875" style="1" customWidth="1"/>
    <col min="6676" max="6676" width="9" style="1" customWidth="1"/>
    <col min="6677" max="6677" width="15.85546875" style="1" customWidth="1"/>
    <col min="6678" max="6678" width="15.7109375" style="1" customWidth="1"/>
    <col min="6679" max="6679" width="15.42578125" style="1" customWidth="1"/>
    <col min="6680" max="6680" width="17.140625" style="1" customWidth="1"/>
    <col min="6681" max="6681" width="37.85546875" style="1" customWidth="1"/>
    <col min="6682" max="6682" width="36.5703125" style="1" customWidth="1"/>
    <col min="6683" max="6683" width="29.42578125" style="1" customWidth="1"/>
    <col min="6684" max="6928" width="8.85546875" style="1"/>
    <col min="6929" max="6929" width="4" style="1" customWidth="1"/>
    <col min="6930" max="6930" width="59.7109375" style="1" customWidth="1"/>
    <col min="6931" max="6931" width="4.85546875" style="1" customWidth="1"/>
    <col min="6932" max="6932" width="9" style="1" customWidth="1"/>
    <col min="6933" max="6933" width="15.85546875" style="1" customWidth="1"/>
    <col min="6934" max="6934" width="15.7109375" style="1" customWidth="1"/>
    <col min="6935" max="6935" width="15.42578125" style="1" customWidth="1"/>
    <col min="6936" max="6936" width="17.140625" style="1" customWidth="1"/>
    <col min="6937" max="6937" width="37.85546875" style="1" customWidth="1"/>
    <col min="6938" max="6938" width="36.5703125" style="1" customWidth="1"/>
    <col min="6939" max="6939" width="29.42578125" style="1" customWidth="1"/>
    <col min="6940" max="7184" width="8.85546875" style="1"/>
    <col min="7185" max="7185" width="4" style="1" customWidth="1"/>
    <col min="7186" max="7186" width="59.7109375" style="1" customWidth="1"/>
    <col min="7187" max="7187" width="4.85546875" style="1" customWidth="1"/>
    <col min="7188" max="7188" width="9" style="1" customWidth="1"/>
    <col min="7189" max="7189" width="15.85546875" style="1" customWidth="1"/>
    <col min="7190" max="7190" width="15.7109375" style="1" customWidth="1"/>
    <col min="7191" max="7191" width="15.42578125" style="1" customWidth="1"/>
    <col min="7192" max="7192" width="17.140625" style="1" customWidth="1"/>
    <col min="7193" max="7193" width="37.85546875" style="1" customWidth="1"/>
    <col min="7194" max="7194" width="36.5703125" style="1" customWidth="1"/>
    <col min="7195" max="7195" width="29.42578125" style="1" customWidth="1"/>
    <col min="7196" max="7440" width="8.85546875" style="1"/>
    <col min="7441" max="7441" width="4" style="1" customWidth="1"/>
    <col min="7442" max="7442" width="59.7109375" style="1" customWidth="1"/>
    <col min="7443" max="7443" width="4.85546875" style="1" customWidth="1"/>
    <col min="7444" max="7444" width="9" style="1" customWidth="1"/>
    <col min="7445" max="7445" width="15.85546875" style="1" customWidth="1"/>
    <col min="7446" max="7446" width="15.7109375" style="1" customWidth="1"/>
    <col min="7447" max="7447" width="15.42578125" style="1" customWidth="1"/>
    <col min="7448" max="7448" width="17.140625" style="1" customWidth="1"/>
    <col min="7449" max="7449" width="37.85546875" style="1" customWidth="1"/>
    <col min="7450" max="7450" width="36.5703125" style="1" customWidth="1"/>
    <col min="7451" max="7451" width="29.42578125" style="1" customWidth="1"/>
    <col min="7452" max="7696" width="8.85546875" style="1"/>
    <col min="7697" max="7697" width="4" style="1" customWidth="1"/>
    <col min="7698" max="7698" width="59.7109375" style="1" customWidth="1"/>
    <col min="7699" max="7699" width="4.85546875" style="1" customWidth="1"/>
    <col min="7700" max="7700" width="9" style="1" customWidth="1"/>
    <col min="7701" max="7701" width="15.85546875" style="1" customWidth="1"/>
    <col min="7702" max="7702" width="15.7109375" style="1" customWidth="1"/>
    <col min="7703" max="7703" width="15.42578125" style="1" customWidth="1"/>
    <col min="7704" max="7704" width="17.140625" style="1" customWidth="1"/>
    <col min="7705" max="7705" width="37.85546875" style="1" customWidth="1"/>
    <col min="7706" max="7706" width="36.5703125" style="1" customWidth="1"/>
    <col min="7707" max="7707" width="29.42578125" style="1" customWidth="1"/>
    <col min="7708" max="7952" width="8.85546875" style="1"/>
    <col min="7953" max="7953" width="4" style="1" customWidth="1"/>
    <col min="7954" max="7954" width="59.7109375" style="1" customWidth="1"/>
    <col min="7955" max="7955" width="4.85546875" style="1" customWidth="1"/>
    <col min="7956" max="7956" width="9" style="1" customWidth="1"/>
    <col min="7957" max="7957" width="15.85546875" style="1" customWidth="1"/>
    <col min="7958" max="7958" width="15.7109375" style="1" customWidth="1"/>
    <col min="7959" max="7959" width="15.42578125" style="1" customWidth="1"/>
    <col min="7960" max="7960" width="17.140625" style="1" customWidth="1"/>
    <col min="7961" max="7961" width="37.85546875" style="1" customWidth="1"/>
    <col min="7962" max="7962" width="36.5703125" style="1" customWidth="1"/>
    <col min="7963" max="7963" width="29.42578125" style="1" customWidth="1"/>
    <col min="7964" max="8208" width="8.85546875" style="1"/>
    <col min="8209" max="8209" width="4" style="1" customWidth="1"/>
    <col min="8210" max="8210" width="59.7109375" style="1" customWidth="1"/>
    <col min="8211" max="8211" width="4.85546875" style="1" customWidth="1"/>
    <col min="8212" max="8212" width="9" style="1" customWidth="1"/>
    <col min="8213" max="8213" width="15.85546875" style="1" customWidth="1"/>
    <col min="8214" max="8214" width="15.7109375" style="1" customWidth="1"/>
    <col min="8215" max="8215" width="15.42578125" style="1" customWidth="1"/>
    <col min="8216" max="8216" width="17.140625" style="1" customWidth="1"/>
    <col min="8217" max="8217" width="37.85546875" style="1" customWidth="1"/>
    <col min="8218" max="8218" width="36.5703125" style="1" customWidth="1"/>
    <col min="8219" max="8219" width="29.42578125" style="1" customWidth="1"/>
    <col min="8220" max="8464" width="8.85546875" style="1"/>
    <col min="8465" max="8465" width="4" style="1" customWidth="1"/>
    <col min="8466" max="8466" width="59.7109375" style="1" customWidth="1"/>
    <col min="8467" max="8467" width="4.85546875" style="1" customWidth="1"/>
    <col min="8468" max="8468" width="9" style="1" customWidth="1"/>
    <col min="8469" max="8469" width="15.85546875" style="1" customWidth="1"/>
    <col min="8470" max="8470" width="15.7109375" style="1" customWidth="1"/>
    <col min="8471" max="8471" width="15.42578125" style="1" customWidth="1"/>
    <col min="8472" max="8472" width="17.140625" style="1" customWidth="1"/>
    <col min="8473" max="8473" width="37.85546875" style="1" customWidth="1"/>
    <col min="8474" max="8474" width="36.5703125" style="1" customWidth="1"/>
    <col min="8475" max="8475" width="29.42578125" style="1" customWidth="1"/>
    <col min="8476" max="8720" width="8.85546875" style="1"/>
    <col min="8721" max="8721" width="4" style="1" customWidth="1"/>
    <col min="8722" max="8722" width="59.7109375" style="1" customWidth="1"/>
    <col min="8723" max="8723" width="4.85546875" style="1" customWidth="1"/>
    <col min="8724" max="8724" width="9" style="1" customWidth="1"/>
    <col min="8725" max="8725" width="15.85546875" style="1" customWidth="1"/>
    <col min="8726" max="8726" width="15.7109375" style="1" customWidth="1"/>
    <col min="8727" max="8727" width="15.42578125" style="1" customWidth="1"/>
    <col min="8728" max="8728" width="17.140625" style="1" customWidth="1"/>
    <col min="8729" max="8729" width="37.85546875" style="1" customWidth="1"/>
    <col min="8730" max="8730" width="36.5703125" style="1" customWidth="1"/>
    <col min="8731" max="8731" width="29.42578125" style="1" customWidth="1"/>
    <col min="8732" max="8976" width="8.85546875" style="1"/>
    <col min="8977" max="8977" width="4" style="1" customWidth="1"/>
    <col min="8978" max="8978" width="59.7109375" style="1" customWidth="1"/>
    <col min="8979" max="8979" width="4.85546875" style="1" customWidth="1"/>
    <col min="8980" max="8980" width="9" style="1" customWidth="1"/>
    <col min="8981" max="8981" width="15.85546875" style="1" customWidth="1"/>
    <col min="8982" max="8982" width="15.7109375" style="1" customWidth="1"/>
    <col min="8983" max="8983" width="15.42578125" style="1" customWidth="1"/>
    <col min="8984" max="8984" width="17.140625" style="1" customWidth="1"/>
    <col min="8985" max="8985" width="37.85546875" style="1" customWidth="1"/>
    <col min="8986" max="8986" width="36.5703125" style="1" customWidth="1"/>
    <col min="8987" max="8987" width="29.42578125" style="1" customWidth="1"/>
    <col min="8988" max="9232" width="8.85546875" style="1"/>
    <col min="9233" max="9233" width="4" style="1" customWidth="1"/>
    <col min="9234" max="9234" width="59.7109375" style="1" customWidth="1"/>
    <col min="9235" max="9235" width="4.85546875" style="1" customWidth="1"/>
    <col min="9236" max="9236" width="9" style="1" customWidth="1"/>
    <col min="9237" max="9237" width="15.85546875" style="1" customWidth="1"/>
    <col min="9238" max="9238" width="15.7109375" style="1" customWidth="1"/>
    <col min="9239" max="9239" width="15.42578125" style="1" customWidth="1"/>
    <col min="9240" max="9240" width="17.140625" style="1" customWidth="1"/>
    <col min="9241" max="9241" width="37.85546875" style="1" customWidth="1"/>
    <col min="9242" max="9242" width="36.5703125" style="1" customWidth="1"/>
    <col min="9243" max="9243" width="29.42578125" style="1" customWidth="1"/>
    <col min="9244" max="9488" width="8.85546875" style="1"/>
    <col min="9489" max="9489" width="4" style="1" customWidth="1"/>
    <col min="9490" max="9490" width="59.7109375" style="1" customWidth="1"/>
    <col min="9491" max="9491" width="4.85546875" style="1" customWidth="1"/>
    <col min="9492" max="9492" width="9" style="1" customWidth="1"/>
    <col min="9493" max="9493" width="15.85546875" style="1" customWidth="1"/>
    <col min="9494" max="9494" width="15.7109375" style="1" customWidth="1"/>
    <col min="9495" max="9495" width="15.42578125" style="1" customWidth="1"/>
    <col min="9496" max="9496" width="17.140625" style="1" customWidth="1"/>
    <col min="9497" max="9497" width="37.85546875" style="1" customWidth="1"/>
    <col min="9498" max="9498" width="36.5703125" style="1" customWidth="1"/>
    <col min="9499" max="9499" width="29.42578125" style="1" customWidth="1"/>
    <col min="9500" max="9744" width="8.85546875" style="1"/>
    <col min="9745" max="9745" width="4" style="1" customWidth="1"/>
    <col min="9746" max="9746" width="59.7109375" style="1" customWidth="1"/>
    <col min="9747" max="9747" width="4.85546875" style="1" customWidth="1"/>
    <col min="9748" max="9748" width="9" style="1" customWidth="1"/>
    <col min="9749" max="9749" width="15.85546875" style="1" customWidth="1"/>
    <col min="9750" max="9750" width="15.7109375" style="1" customWidth="1"/>
    <col min="9751" max="9751" width="15.42578125" style="1" customWidth="1"/>
    <col min="9752" max="9752" width="17.140625" style="1" customWidth="1"/>
    <col min="9753" max="9753" width="37.85546875" style="1" customWidth="1"/>
    <col min="9754" max="9754" width="36.5703125" style="1" customWidth="1"/>
    <col min="9755" max="9755" width="29.42578125" style="1" customWidth="1"/>
    <col min="9756" max="10000" width="8.85546875" style="1"/>
    <col min="10001" max="10001" width="4" style="1" customWidth="1"/>
    <col min="10002" max="10002" width="59.7109375" style="1" customWidth="1"/>
    <col min="10003" max="10003" width="4.85546875" style="1" customWidth="1"/>
    <col min="10004" max="10004" width="9" style="1" customWidth="1"/>
    <col min="10005" max="10005" width="15.85546875" style="1" customWidth="1"/>
    <col min="10006" max="10006" width="15.7109375" style="1" customWidth="1"/>
    <col min="10007" max="10007" width="15.42578125" style="1" customWidth="1"/>
    <col min="10008" max="10008" width="17.140625" style="1" customWidth="1"/>
    <col min="10009" max="10009" width="37.85546875" style="1" customWidth="1"/>
    <col min="10010" max="10010" width="36.5703125" style="1" customWidth="1"/>
    <col min="10011" max="10011" width="29.42578125" style="1" customWidth="1"/>
    <col min="10012" max="10256" width="8.85546875" style="1"/>
    <col min="10257" max="10257" width="4" style="1" customWidth="1"/>
    <col min="10258" max="10258" width="59.7109375" style="1" customWidth="1"/>
    <col min="10259" max="10259" width="4.85546875" style="1" customWidth="1"/>
    <col min="10260" max="10260" width="9" style="1" customWidth="1"/>
    <col min="10261" max="10261" width="15.85546875" style="1" customWidth="1"/>
    <col min="10262" max="10262" width="15.7109375" style="1" customWidth="1"/>
    <col min="10263" max="10263" width="15.42578125" style="1" customWidth="1"/>
    <col min="10264" max="10264" width="17.140625" style="1" customWidth="1"/>
    <col min="10265" max="10265" width="37.85546875" style="1" customWidth="1"/>
    <col min="10266" max="10266" width="36.5703125" style="1" customWidth="1"/>
    <col min="10267" max="10267" width="29.42578125" style="1" customWidth="1"/>
    <col min="10268" max="10512" width="8.85546875" style="1"/>
    <col min="10513" max="10513" width="4" style="1" customWidth="1"/>
    <col min="10514" max="10514" width="59.7109375" style="1" customWidth="1"/>
    <col min="10515" max="10515" width="4.85546875" style="1" customWidth="1"/>
    <col min="10516" max="10516" width="9" style="1" customWidth="1"/>
    <col min="10517" max="10517" width="15.85546875" style="1" customWidth="1"/>
    <col min="10518" max="10518" width="15.7109375" style="1" customWidth="1"/>
    <col min="10519" max="10519" width="15.42578125" style="1" customWidth="1"/>
    <col min="10520" max="10520" width="17.140625" style="1" customWidth="1"/>
    <col min="10521" max="10521" width="37.85546875" style="1" customWidth="1"/>
    <col min="10522" max="10522" width="36.5703125" style="1" customWidth="1"/>
    <col min="10523" max="10523" width="29.42578125" style="1" customWidth="1"/>
    <col min="10524" max="10768" width="8.85546875" style="1"/>
    <col min="10769" max="10769" width="4" style="1" customWidth="1"/>
    <col min="10770" max="10770" width="59.7109375" style="1" customWidth="1"/>
    <col min="10771" max="10771" width="4.85546875" style="1" customWidth="1"/>
    <col min="10772" max="10772" width="9" style="1" customWidth="1"/>
    <col min="10773" max="10773" width="15.85546875" style="1" customWidth="1"/>
    <col min="10774" max="10774" width="15.7109375" style="1" customWidth="1"/>
    <col min="10775" max="10775" width="15.42578125" style="1" customWidth="1"/>
    <col min="10776" max="10776" width="17.140625" style="1" customWidth="1"/>
    <col min="10777" max="10777" width="37.85546875" style="1" customWidth="1"/>
    <col min="10778" max="10778" width="36.5703125" style="1" customWidth="1"/>
    <col min="10779" max="10779" width="29.42578125" style="1" customWidth="1"/>
    <col min="10780" max="11024" width="8.85546875" style="1"/>
    <col min="11025" max="11025" width="4" style="1" customWidth="1"/>
    <col min="11026" max="11026" width="59.7109375" style="1" customWidth="1"/>
    <col min="11027" max="11027" width="4.85546875" style="1" customWidth="1"/>
    <col min="11028" max="11028" width="9" style="1" customWidth="1"/>
    <col min="11029" max="11029" width="15.85546875" style="1" customWidth="1"/>
    <col min="11030" max="11030" width="15.7109375" style="1" customWidth="1"/>
    <col min="11031" max="11031" width="15.42578125" style="1" customWidth="1"/>
    <col min="11032" max="11032" width="17.140625" style="1" customWidth="1"/>
    <col min="11033" max="11033" width="37.85546875" style="1" customWidth="1"/>
    <col min="11034" max="11034" width="36.5703125" style="1" customWidth="1"/>
    <col min="11035" max="11035" width="29.42578125" style="1" customWidth="1"/>
    <col min="11036" max="11280" width="8.85546875" style="1"/>
    <col min="11281" max="11281" width="4" style="1" customWidth="1"/>
    <col min="11282" max="11282" width="59.7109375" style="1" customWidth="1"/>
    <col min="11283" max="11283" width="4.85546875" style="1" customWidth="1"/>
    <col min="11284" max="11284" width="9" style="1" customWidth="1"/>
    <col min="11285" max="11285" width="15.85546875" style="1" customWidth="1"/>
    <col min="11286" max="11286" width="15.7109375" style="1" customWidth="1"/>
    <col min="11287" max="11287" width="15.42578125" style="1" customWidth="1"/>
    <col min="11288" max="11288" width="17.140625" style="1" customWidth="1"/>
    <col min="11289" max="11289" width="37.85546875" style="1" customWidth="1"/>
    <col min="11290" max="11290" width="36.5703125" style="1" customWidth="1"/>
    <col min="11291" max="11291" width="29.42578125" style="1" customWidth="1"/>
    <col min="11292" max="11536" width="8.85546875" style="1"/>
    <col min="11537" max="11537" width="4" style="1" customWidth="1"/>
    <col min="11538" max="11538" width="59.7109375" style="1" customWidth="1"/>
    <col min="11539" max="11539" width="4.85546875" style="1" customWidth="1"/>
    <col min="11540" max="11540" width="9" style="1" customWidth="1"/>
    <col min="11541" max="11541" width="15.85546875" style="1" customWidth="1"/>
    <col min="11542" max="11542" width="15.7109375" style="1" customWidth="1"/>
    <col min="11543" max="11543" width="15.42578125" style="1" customWidth="1"/>
    <col min="11544" max="11544" width="17.140625" style="1" customWidth="1"/>
    <col min="11545" max="11545" width="37.85546875" style="1" customWidth="1"/>
    <col min="11546" max="11546" width="36.5703125" style="1" customWidth="1"/>
    <col min="11547" max="11547" width="29.42578125" style="1" customWidth="1"/>
    <col min="11548" max="11792" width="8.85546875" style="1"/>
    <col min="11793" max="11793" width="4" style="1" customWidth="1"/>
    <col min="11794" max="11794" width="59.7109375" style="1" customWidth="1"/>
    <col min="11795" max="11795" width="4.85546875" style="1" customWidth="1"/>
    <col min="11796" max="11796" width="9" style="1" customWidth="1"/>
    <col min="11797" max="11797" width="15.85546875" style="1" customWidth="1"/>
    <col min="11798" max="11798" width="15.7109375" style="1" customWidth="1"/>
    <col min="11799" max="11799" width="15.42578125" style="1" customWidth="1"/>
    <col min="11800" max="11800" width="17.140625" style="1" customWidth="1"/>
    <col min="11801" max="11801" width="37.85546875" style="1" customWidth="1"/>
    <col min="11802" max="11802" width="36.5703125" style="1" customWidth="1"/>
    <col min="11803" max="11803" width="29.42578125" style="1" customWidth="1"/>
    <col min="11804" max="12048" width="8.85546875" style="1"/>
    <col min="12049" max="12049" width="4" style="1" customWidth="1"/>
    <col min="12050" max="12050" width="59.7109375" style="1" customWidth="1"/>
    <col min="12051" max="12051" width="4.85546875" style="1" customWidth="1"/>
    <col min="12052" max="12052" width="9" style="1" customWidth="1"/>
    <col min="12053" max="12053" width="15.85546875" style="1" customWidth="1"/>
    <col min="12054" max="12054" width="15.7109375" style="1" customWidth="1"/>
    <col min="12055" max="12055" width="15.42578125" style="1" customWidth="1"/>
    <col min="12056" max="12056" width="17.140625" style="1" customWidth="1"/>
    <col min="12057" max="12057" width="37.85546875" style="1" customWidth="1"/>
    <col min="12058" max="12058" width="36.5703125" style="1" customWidth="1"/>
    <col min="12059" max="12059" width="29.42578125" style="1" customWidth="1"/>
    <col min="12060" max="12304" width="8.85546875" style="1"/>
    <col min="12305" max="12305" width="4" style="1" customWidth="1"/>
    <col min="12306" max="12306" width="59.7109375" style="1" customWidth="1"/>
    <col min="12307" max="12307" width="4.85546875" style="1" customWidth="1"/>
    <col min="12308" max="12308" width="9" style="1" customWidth="1"/>
    <col min="12309" max="12309" width="15.85546875" style="1" customWidth="1"/>
    <col min="12310" max="12310" width="15.7109375" style="1" customWidth="1"/>
    <col min="12311" max="12311" width="15.42578125" style="1" customWidth="1"/>
    <col min="12312" max="12312" width="17.140625" style="1" customWidth="1"/>
    <col min="12313" max="12313" width="37.85546875" style="1" customWidth="1"/>
    <col min="12314" max="12314" width="36.5703125" style="1" customWidth="1"/>
    <col min="12315" max="12315" width="29.42578125" style="1" customWidth="1"/>
    <col min="12316" max="12560" width="8.85546875" style="1"/>
    <col min="12561" max="12561" width="4" style="1" customWidth="1"/>
    <col min="12562" max="12562" width="59.7109375" style="1" customWidth="1"/>
    <col min="12563" max="12563" width="4.85546875" style="1" customWidth="1"/>
    <col min="12564" max="12564" width="9" style="1" customWidth="1"/>
    <col min="12565" max="12565" width="15.85546875" style="1" customWidth="1"/>
    <col min="12566" max="12566" width="15.7109375" style="1" customWidth="1"/>
    <col min="12567" max="12567" width="15.42578125" style="1" customWidth="1"/>
    <col min="12568" max="12568" width="17.140625" style="1" customWidth="1"/>
    <col min="12569" max="12569" width="37.85546875" style="1" customWidth="1"/>
    <col min="12570" max="12570" width="36.5703125" style="1" customWidth="1"/>
    <col min="12571" max="12571" width="29.42578125" style="1" customWidth="1"/>
    <col min="12572" max="12816" width="8.85546875" style="1"/>
    <col min="12817" max="12817" width="4" style="1" customWidth="1"/>
    <col min="12818" max="12818" width="59.7109375" style="1" customWidth="1"/>
    <col min="12819" max="12819" width="4.85546875" style="1" customWidth="1"/>
    <col min="12820" max="12820" width="9" style="1" customWidth="1"/>
    <col min="12821" max="12821" width="15.85546875" style="1" customWidth="1"/>
    <col min="12822" max="12822" width="15.7109375" style="1" customWidth="1"/>
    <col min="12823" max="12823" width="15.42578125" style="1" customWidth="1"/>
    <col min="12824" max="12824" width="17.140625" style="1" customWidth="1"/>
    <col min="12825" max="12825" width="37.85546875" style="1" customWidth="1"/>
    <col min="12826" max="12826" width="36.5703125" style="1" customWidth="1"/>
    <col min="12827" max="12827" width="29.42578125" style="1" customWidth="1"/>
    <col min="12828" max="13072" width="8.85546875" style="1"/>
    <col min="13073" max="13073" width="4" style="1" customWidth="1"/>
    <col min="13074" max="13074" width="59.7109375" style="1" customWidth="1"/>
    <col min="13075" max="13075" width="4.85546875" style="1" customWidth="1"/>
    <col min="13076" max="13076" width="9" style="1" customWidth="1"/>
    <col min="13077" max="13077" width="15.85546875" style="1" customWidth="1"/>
    <col min="13078" max="13078" width="15.7109375" style="1" customWidth="1"/>
    <col min="13079" max="13079" width="15.42578125" style="1" customWidth="1"/>
    <col min="13080" max="13080" width="17.140625" style="1" customWidth="1"/>
    <col min="13081" max="13081" width="37.85546875" style="1" customWidth="1"/>
    <col min="13082" max="13082" width="36.5703125" style="1" customWidth="1"/>
    <col min="13083" max="13083" width="29.42578125" style="1" customWidth="1"/>
    <col min="13084" max="13328" width="8.85546875" style="1"/>
    <col min="13329" max="13329" width="4" style="1" customWidth="1"/>
    <col min="13330" max="13330" width="59.7109375" style="1" customWidth="1"/>
    <col min="13331" max="13331" width="4.85546875" style="1" customWidth="1"/>
    <col min="13332" max="13332" width="9" style="1" customWidth="1"/>
    <col min="13333" max="13333" width="15.85546875" style="1" customWidth="1"/>
    <col min="13334" max="13334" width="15.7109375" style="1" customWidth="1"/>
    <col min="13335" max="13335" width="15.42578125" style="1" customWidth="1"/>
    <col min="13336" max="13336" width="17.140625" style="1" customWidth="1"/>
    <col min="13337" max="13337" width="37.85546875" style="1" customWidth="1"/>
    <col min="13338" max="13338" width="36.5703125" style="1" customWidth="1"/>
    <col min="13339" max="13339" width="29.42578125" style="1" customWidth="1"/>
    <col min="13340" max="13584" width="8.85546875" style="1"/>
    <col min="13585" max="13585" width="4" style="1" customWidth="1"/>
    <col min="13586" max="13586" width="59.7109375" style="1" customWidth="1"/>
    <col min="13587" max="13587" width="4.85546875" style="1" customWidth="1"/>
    <col min="13588" max="13588" width="9" style="1" customWidth="1"/>
    <col min="13589" max="13589" width="15.85546875" style="1" customWidth="1"/>
    <col min="13590" max="13590" width="15.7109375" style="1" customWidth="1"/>
    <col min="13591" max="13591" width="15.42578125" style="1" customWidth="1"/>
    <col min="13592" max="13592" width="17.140625" style="1" customWidth="1"/>
    <col min="13593" max="13593" width="37.85546875" style="1" customWidth="1"/>
    <col min="13594" max="13594" width="36.5703125" style="1" customWidth="1"/>
    <col min="13595" max="13595" width="29.42578125" style="1" customWidth="1"/>
    <col min="13596" max="13840" width="8.85546875" style="1"/>
    <col min="13841" max="13841" width="4" style="1" customWidth="1"/>
    <col min="13842" max="13842" width="59.7109375" style="1" customWidth="1"/>
    <col min="13843" max="13843" width="4.85546875" style="1" customWidth="1"/>
    <col min="13844" max="13844" width="9" style="1" customWidth="1"/>
    <col min="13845" max="13845" width="15.85546875" style="1" customWidth="1"/>
    <col min="13846" max="13846" width="15.7109375" style="1" customWidth="1"/>
    <col min="13847" max="13847" width="15.42578125" style="1" customWidth="1"/>
    <col min="13848" max="13848" width="17.140625" style="1" customWidth="1"/>
    <col min="13849" max="13849" width="37.85546875" style="1" customWidth="1"/>
    <col min="13850" max="13850" width="36.5703125" style="1" customWidth="1"/>
    <col min="13851" max="13851" width="29.42578125" style="1" customWidth="1"/>
    <col min="13852" max="14096" width="8.85546875" style="1"/>
    <col min="14097" max="14097" width="4" style="1" customWidth="1"/>
    <col min="14098" max="14098" width="59.7109375" style="1" customWidth="1"/>
    <col min="14099" max="14099" width="4.85546875" style="1" customWidth="1"/>
    <col min="14100" max="14100" width="9" style="1" customWidth="1"/>
    <col min="14101" max="14101" width="15.85546875" style="1" customWidth="1"/>
    <col min="14102" max="14102" width="15.7109375" style="1" customWidth="1"/>
    <col min="14103" max="14103" width="15.42578125" style="1" customWidth="1"/>
    <col min="14104" max="14104" width="17.140625" style="1" customWidth="1"/>
    <col min="14105" max="14105" width="37.85546875" style="1" customWidth="1"/>
    <col min="14106" max="14106" width="36.5703125" style="1" customWidth="1"/>
    <col min="14107" max="14107" width="29.42578125" style="1" customWidth="1"/>
    <col min="14108" max="14352" width="8.85546875" style="1"/>
    <col min="14353" max="14353" width="4" style="1" customWidth="1"/>
    <col min="14354" max="14354" width="59.7109375" style="1" customWidth="1"/>
    <col min="14355" max="14355" width="4.85546875" style="1" customWidth="1"/>
    <col min="14356" max="14356" width="9" style="1" customWidth="1"/>
    <col min="14357" max="14357" width="15.85546875" style="1" customWidth="1"/>
    <col min="14358" max="14358" width="15.7109375" style="1" customWidth="1"/>
    <col min="14359" max="14359" width="15.42578125" style="1" customWidth="1"/>
    <col min="14360" max="14360" width="17.140625" style="1" customWidth="1"/>
    <col min="14361" max="14361" width="37.85546875" style="1" customWidth="1"/>
    <col min="14362" max="14362" width="36.5703125" style="1" customWidth="1"/>
    <col min="14363" max="14363" width="29.42578125" style="1" customWidth="1"/>
    <col min="14364" max="14608" width="8.85546875" style="1"/>
    <col min="14609" max="14609" width="4" style="1" customWidth="1"/>
    <col min="14610" max="14610" width="59.7109375" style="1" customWidth="1"/>
    <col min="14611" max="14611" width="4.85546875" style="1" customWidth="1"/>
    <col min="14612" max="14612" width="9" style="1" customWidth="1"/>
    <col min="14613" max="14613" width="15.85546875" style="1" customWidth="1"/>
    <col min="14614" max="14614" width="15.7109375" style="1" customWidth="1"/>
    <col min="14615" max="14615" width="15.42578125" style="1" customWidth="1"/>
    <col min="14616" max="14616" width="17.140625" style="1" customWidth="1"/>
    <col min="14617" max="14617" width="37.85546875" style="1" customWidth="1"/>
    <col min="14618" max="14618" width="36.5703125" style="1" customWidth="1"/>
    <col min="14619" max="14619" width="29.42578125" style="1" customWidth="1"/>
    <col min="14620" max="14864" width="8.85546875" style="1"/>
    <col min="14865" max="14865" width="4" style="1" customWidth="1"/>
    <col min="14866" max="14866" width="59.7109375" style="1" customWidth="1"/>
    <col min="14867" max="14867" width="4.85546875" style="1" customWidth="1"/>
    <col min="14868" max="14868" width="9" style="1" customWidth="1"/>
    <col min="14869" max="14869" width="15.85546875" style="1" customWidth="1"/>
    <col min="14870" max="14870" width="15.7109375" style="1" customWidth="1"/>
    <col min="14871" max="14871" width="15.42578125" style="1" customWidth="1"/>
    <col min="14872" max="14872" width="17.140625" style="1" customWidth="1"/>
    <col min="14873" max="14873" width="37.85546875" style="1" customWidth="1"/>
    <col min="14874" max="14874" width="36.5703125" style="1" customWidth="1"/>
    <col min="14875" max="14875" width="29.42578125" style="1" customWidth="1"/>
    <col min="14876" max="15120" width="8.85546875" style="1"/>
    <col min="15121" max="15121" width="4" style="1" customWidth="1"/>
    <col min="15122" max="15122" width="59.7109375" style="1" customWidth="1"/>
    <col min="15123" max="15123" width="4.85546875" style="1" customWidth="1"/>
    <col min="15124" max="15124" width="9" style="1" customWidth="1"/>
    <col min="15125" max="15125" width="15.85546875" style="1" customWidth="1"/>
    <col min="15126" max="15126" width="15.7109375" style="1" customWidth="1"/>
    <col min="15127" max="15127" width="15.42578125" style="1" customWidth="1"/>
    <col min="15128" max="15128" width="17.140625" style="1" customWidth="1"/>
    <col min="15129" max="15129" width="37.85546875" style="1" customWidth="1"/>
    <col min="15130" max="15130" width="36.5703125" style="1" customWidth="1"/>
    <col min="15131" max="15131" width="29.42578125" style="1" customWidth="1"/>
    <col min="15132" max="15376" width="8.85546875" style="1"/>
    <col min="15377" max="15377" width="4" style="1" customWidth="1"/>
    <col min="15378" max="15378" width="59.7109375" style="1" customWidth="1"/>
    <col min="15379" max="15379" width="4.85546875" style="1" customWidth="1"/>
    <col min="15380" max="15380" width="9" style="1" customWidth="1"/>
    <col min="15381" max="15381" width="15.85546875" style="1" customWidth="1"/>
    <col min="15382" max="15382" width="15.7109375" style="1" customWidth="1"/>
    <col min="15383" max="15383" width="15.42578125" style="1" customWidth="1"/>
    <col min="15384" max="15384" width="17.140625" style="1" customWidth="1"/>
    <col min="15385" max="15385" width="37.85546875" style="1" customWidth="1"/>
    <col min="15386" max="15386" width="36.5703125" style="1" customWidth="1"/>
    <col min="15387" max="15387" width="29.42578125" style="1" customWidth="1"/>
    <col min="15388" max="15632" width="8.85546875" style="1"/>
    <col min="15633" max="15633" width="4" style="1" customWidth="1"/>
    <col min="15634" max="15634" width="59.7109375" style="1" customWidth="1"/>
    <col min="15635" max="15635" width="4.85546875" style="1" customWidth="1"/>
    <col min="15636" max="15636" width="9" style="1" customWidth="1"/>
    <col min="15637" max="15637" width="15.85546875" style="1" customWidth="1"/>
    <col min="15638" max="15638" width="15.7109375" style="1" customWidth="1"/>
    <col min="15639" max="15639" width="15.42578125" style="1" customWidth="1"/>
    <col min="15640" max="15640" width="17.140625" style="1" customWidth="1"/>
    <col min="15641" max="15641" width="37.85546875" style="1" customWidth="1"/>
    <col min="15642" max="15642" width="36.5703125" style="1" customWidth="1"/>
    <col min="15643" max="15643" width="29.42578125" style="1" customWidth="1"/>
    <col min="15644" max="15888" width="8.85546875" style="1"/>
    <col min="15889" max="15889" width="4" style="1" customWidth="1"/>
    <col min="15890" max="15890" width="59.7109375" style="1" customWidth="1"/>
    <col min="15891" max="15891" width="4.85546875" style="1" customWidth="1"/>
    <col min="15892" max="15892" width="9" style="1" customWidth="1"/>
    <col min="15893" max="15893" width="15.85546875" style="1" customWidth="1"/>
    <col min="15894" max="15894" width="15.7109375" style="1" customWidth="1"/>
    <col min="15895" max="15895" width="15.42578125" style="1" customWidth="1"/>
    <col min="15896" max="15896" width="17.140625" style="1" customWidth="1"/>
    <col min="15897" max="15897" width="37.85546875" style="1" customWidth="1"/>
    <col min="15898" max="15898" width="36.5703125" style="1" customWidth="1"/>
    <col min="15899" max="15899" width="29.42578125" style="1" customWidth="1"/>
    <col min="15900" max="16144" width="8.85546875" style="1"/>
    <col min="16145" max="16145" width="4" style="1" customWidth="1"/>
    <col min="16146" max="16146" width="59.7109375" style="1" customWidth="1"/>
    <col min="16147" max="16147" width="4.85546875" style="1" customWidth="1"/>
    <col min="16148" max="16148" width="9" style="1" customWidth="1"/>
    <col min="16149" max="16149" width="15.85546875" style="1" customWidth="1"/>
    <col min="16150" max="16150" width="15.7109375" style="1" customWidth="1"/>
    <col min="16151" max="16151" width="15.42578125" style="1" customWidth="1"/>
    <col min="16152" max="16152" width="17.140625" style="1" customWidth="1"/>
    <col min="16153" max="16153" width="37.85546875" style="1" customWidth="1"/>
    <col min="16154" max="16154" width="36.5703125" style="1" customWidth="1"/>
    <col min="16155" max="16155" width="29.42578125" style="1" customWidth="1"/>
    <col min="16156" max="16384" width="8.85546875" style="1"/>
  </cols>
  <sheetData>
    <row r="1" spans="1:48" ht="22.15" customHeight="1">
      <c r="G1" s="35">
        <v>46027</v>
      </c>
      <c r="H1" s="35">
        <v>46027</v>
      </c>
      <c r="M1" s="35">
        <v>46030</v>
      </c>
      <c r="N1" s="35">
        <v>46030</v>
      </c>
      <c r="O1" s="56" t="s">
        <v>99</v>
      </c>
      <c r="P1" s="56" t="s">
        <v>100</v>
      </c>
      <c r="U1" s="35">
        <v>46034</v>
      </c>
      <c r="V1" s="35">
        <v>46034</v>
      </c>
      <c r="W1" s="59" t="s">
        <v>99</v>
      </c>
      <c r="X1" s="59" t="s">
        <v>100</v>
      </c>
      <c r="AC1" s="35">
        <v>46037</v>
      </c>
      <c r="AD1" s="35">
        <v>46037</v>
      </c>
      <c r="AE1" s="59" t="s">
        <v>99</v>
      </c>
      <c r="AF1" s="59" t="s">
        <v>100</v>
      </c>
      <c r="AK1" s="35">
        <v>46041</v>
      </c>
      <c r="AL1" s="35">
        <v>46041</v>
      </c>
      <c r="AM1" s="59" t="s">
        <v>99</v>
      </c>
      <c r="AN1" s="59" t="s">
        <v>100</v>
      </c>
      <c r="AS1" s="7">
        <v>46044</v>
      </c>
      <c r="AT1" s="7">
        <v>46044</v>
      </c>
      <c r="AU1" s="37" t="s">
        <v>99</v>
      </c>
      <c r="AV1" s="37" t="s">
        <v>100</v>
      </c>
    </row>
    <row r="2" spans="1:48" ht="30" customHeight="1">
      <c r="A2"/>
      <c r="B2" s="60" t="s">
        <v>0</v>
      </c>
      <c r="C2" s="21" t="s">
        <v>1</v>
      </c>
      <c r="D2" s="22" t="s">
        <v>2</v>
      </c>
      <c r="E2" s="23" t="s">
        <v>3</v>
      </c>
      <c r="F2" s="23" t="s">
        <v>4</v>
      </c>
      <c r="G2" s="34" t="s">
        <v>5</v>
      </c>
      <c r="H2" s="34" t="s">
        <v>6</v>
      </c>
      <c r="I2" s="61" t="s">
        <v>1</v>
      </c>
      <c r="J2" s="62" t="s">
        <v>2</v>
      </c>
      <c r="K2" s="63" t="s">
        <v>3</v>
      </c>
      <c r="L2" s="63" t="s">
        <v>4</v>
      </c>
      <c r="M2" s="34" t="s">
        <v>5</v>
      </c>
      <c r="N2" s="34" t="s">
        <v>6</v>
      </c>
      <c r="O2" s="64"/>
      <c r="P2" s="64"/>
      <c r="Q2" s="61" t="s">
        <v>1</v>
      </c>
      <c r="R2" s="62" t="s">
        <v>2</v>
      </c>
      <c r="S2" s="63" t="s">
        <v>3</v>
      </c>
      <c r="T2" s="63" t="s">
        <v>4</v>
      </c>
      <c r="U2" s="34" t="s">
        <v>5</v>
      </c>
      <c r="V2" s="34" t="s">
        <v>6</v>
      </c>
      <c r="W2" s="64"/>
      <c r="X2" s="64"/>
      <c r="Y2" s="61" t="s">
        <v>1</v>
      </c>
      <c r="Z2" s="62" t="s">
        <v>2</v>
      </c>
      <c r="AA2" s="63" t="s">
        <v>3</v>
      </c>
      <c r="AB2" s="63" t="s">
        <v>4</v>
      </c>
      <c r="AC2" s="34" t="s">
        <v>5</v>
      </c>
      <c r="AD2" s="34" t="s">
        <v>6</v>
      </c>
      <c r="AE2" s="64"/>
      <c r="AF2" s="64"/>
      <c r="AG2" s="61" t="s">
        <v>1</v>
      </c>
      <c r="AH2" s="62" t="s">
        <v>2</v>
      </c>
      <c r="AI2" s="63" t="s">
        <v>3</v>
      </c>
      <c r="AJ2" s="63" t="s">
        <v>4</v>
      </c>
      <c r="AK2" s="34" t="s">
        <v>5</v>
      </c>
      <c r="AL2" s="34" t="s">
        <v>6</v>
      </c>
      <c r="AM2" s="64"/>
      <c r="AN2" s="64"/>
      <c r="AO2" s="61" t="s">
        <v>1</v>
      </c>
      <c r="AP2" s="62" t="s">
        <v>2</v>
      </c>
      <c r="AQ2" s="2" t="s">
        <v>3</v>
      </c>
      <c r="AR2" s="2" t="s">
        <v>4</v>
      </c>
      <c r="AS2" s="3" t="s">
        <v>5</v>
      </c>
      <c r="AT2" s="3" t="s">
        <v>6</v>
      </c>
      <c r="AU2" s="19"/>
      <c r="AV2" s="19"/>
    </row>
    <row r="3" spans="1:48" ht="22.15" hidden="1" customHeight="1">
      <c r="A3"/>
      <c r="B3" s="65" t="s">
        <v>7</v>
      </c>
      <c r="C3" s="24" t="s">
        <v>8</v>
      </c>
      <c r="D3" s="25">
        <v>124</v>
      </c>
      <c r="E3" s="26">
        <v>45254</v>
      </c>
      <c r="F3" s="26">
        <v>45299</v>
      </c>
      <c r="G3" s="66">
        <f t="shared" ref="G3:G37" si="0">IFERROR((F3-$G$1)/(F3-E3)*100,"")</f>
        <v>-1617.7777777777778</v>
      </c>
      <c r="H3" s="66">
        <f t="shared" ref="H3:H37" si="1">F3-$H$1</f>
        <v>-728</v>
      </c>
      <c r="I3" s="67" t="s">
        <v>8</v>
      </c>
      <c r="J3" s="68">
        <v>124</v>
      </c>
      <c r="K3" s="69">
        <v>45254</v>
      </c>
      <c r="L3" s="69">
        <v>45299</v>
      </c>
      <c r="M3" s="66">
        <f t="shared" ref="M3:M37" si="2">IFERROR((L3-$G$1)/(L3-K3)*100,"")</f>
        <v>-1617.7777777777778</v>
      </c>
      <c r="N3" s="66">
        <f t="shared" ref="N3:N37" si="3">L3-$H$1</f>
        <v>-728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1"/>
      <c r="AR3" s="1"/>
      <c r="AS3" s="1"/>
      <c r="AT3" s="1"/>
      <c r="AU3" s="1"/>
      <c r="AV3" s="1"/>
    </row>
    <row r="4" spans="1:48" ht="22.15" hidden="1" customHeight="1">
      <c r="A4"/>
      <c r="B4" s="65" t="s">
        <v>9</v>
      </c>
      <c r="C4" s="24" t="s">
        <v>8</v>
      </c>
      <c r="D4" s="25">
        <v>115</v>
      </c>
      <c r="E4" s="26">
        <v>45254</v>
      </c>
      <c r="F4" s="26">
        <v>45299</v>
      </c>
      <c r="G4" s="66">
        <f t="shared" si="0"/>
        <v>-1617.7777777777778</v>
      </c>
      <c r="H4" s="66">
        <f t="shared" si="1"/>
        <v>-728</v>
      </c>
      <c r="I4" s="67" t="s">
        <v>8</v>
      </c>
      <c r="J4" s="68">
        <v>115</v>
      </c>
      <c r="K4" s="69">
        <v>45254</v>
      </c>
      <c r="L4" s="69">
        <v>45299</v>
      </c>
      <c r="M4" s="66">
        <f t="shared" si="2"/>
        <v>-1617.7777777777778</v>
      </c>
      <c r="N4" s="66">
        <f t="shared" si="3"/>
        <v>-728</v>
      </c>
      <c r="O4" s="154" t="s">
        <v>10</v>
      </c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1"/>
      <c r="AR4" s="1"/>
      <c r="AS4" s="1"/>
      <c r="AT4" s="1"/>
      <c r="AU4" s="1"/>
      <c r="AV4" s="1"/>
    </row>
    <row r="5" spans="1:48" ht="22.15" hidden="1" customHeight="1">
      <c r="A5"/>
      <c r="B5" s="65" t="s">
        <v>11</v>
      </c>
      <c r="C5" s="24" t="s">
        <v>8</v>
      </c>
      <c r="D5" s="25">
        <v>54</v>
      </c>
      <c r="E5" s="27">
        <v>45256</v>
      </c>
      <c r="F5" s="27">
        <v>45301</v>
      </c>
      <c r="G5" s="66">
        <f t="shared" si="0"/>
        <v>-1613.3333333333333</v>
      </c>
      <c r="H5" s="66">
        <f t="shared" si="1"/>
        <v>-726</v>
      </c>
      <c r="I5" s="67" t="s">
        <v>8</v>
      </c>
      <c r="J5" s="68">
        <v>54</v>
      </c>
      <c r="K5" s="70">
        <v>45256</v>
      </c>
      <c r="L5" s="70">
        <v>45301</v>
      </c>
      <c r="M5" s="66">
        <f t="shared" si="2"/>
        <v>-1613.3333333333333</v>
      </c>
      <c r="N5" s="66">
        <f t="shared" si="3"/>
        <v>-726</v>
      </c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1"/>
      <c r="AR5" s="1"/>
      <c r="AS5" s="1"/>
      <c r="AT5" s="1"/>
      <c r="AU5" s="1"/>
      <c r="AV5" s="1"/>
    </row>
    <row r="6" spans="1:48" ht="22.15" hidden="1" customHeight="1">
      <c r="A6"/>
      <c r="B6" s="65" t="s">
        <v>12</v>
      </c>
      <c r="C6" s="24" t="s">
        <v>8</v>
      </c>
      <c r="D6" s="25">
        <v>65</v>
      </c>
      <c r="E6" s="27">
        <v>45268</v>
      </c>
      <c r="F6" s="27">
        <v>45303</v>
      </c>
      <c r="G6" s="66">
        <f t="shared" si="0"/>
        <v>-2068.5714285714289</v>
      </c>
      <c r="H6" s="66">
        <f t="shared" si="1"/>
        <v>-724</v>
      </c>
      <c r="I6" s="67" t="s">
        <v>8</v>
      </c>
      <c r="J6" s="68">
        <v>65</v>
      </c>
      <c r="K6" s="70">
        <v>45268</v>
      </c>
      <c r="L6" s="70">
        <v>45303</v>
      </c>
      <c r="M6" s="66">
        <f t="shared" si="2"/>
        <v>-2068.5714285714289</v>
      </c>
      <c r="N6" s="66">
        <f t="shared" si="3"/>
        <v>-724</v>
      </c>
      <c r="O6" s="71"/>
      <c r="P6" s="71"/>
      <c r="Q6" s="67" t="s">
        <v>8</v>
      </c>
      <c r="R6" s="68">
        <v>65</v>
      </c>
      <c r="S6" s="70">
        <v>45268</v>
      </c>
      <c r="T6" s="70">
        <v>45303</v>
      </c>
      <c r="U6" s="66">
        <f t="shared" ref="U6" si="4">IFERROR((T6-$G$1)/(T6-S6)*100,"")</f>
        <v>-2068.5714285714289</v>
      </c>
      <c r="V6" s="66">
        <f t="shared" ref="V6" si="5">T6-$H$1</f>
        <v>-724</v>
      </c>
      <c r="W6" s="71"/>
      <c r="X6" s="71"/>
      <c r="Y6" s="67" t="s">
        <v>8</v>
      </c>
      <c r="Z6" s="68">
        <v>65</v>
      </c>
      <c r="AA6" s="70">
        <v>45268</v>
      </c>
      <c r="AB6" s="70">
        <v>45303</v>
      </c>
      <c r="AC6" s="66">
        <f t="shared" ref="AC6" si="6">IFERROR((AB6-$G$1)/(AB6-AA6)*100,"")</f>
        <v>-2068.5714285714289</v>
      </c>
      <c r="AD6" s="66">
        <f t="shared" ref="AD6" si="7">AB6-$H$1</f>
        <v>-724</v>
      </c>
      <c r="AE6" s="71"/>
      <c r="AF6" s="71"/>
      <c r="AG6" s="67" t="s">
        <v>8</v>
      </c>
      <c r="AH6" s="68">
        <v>65</v>
      </c>
      <c r="AI6" s="70">
        <v>45268</v>
      </c>
      <c r="AJ6" s="70">
        <v>45303</v>
      </c>
      <c r="AK6" s="66">
        <f t="shared" ref="AK6" si="8">IFERROR((AJ6-$G$1)/(AJ6-AI6)*100,"")</f>
        <v>-2068.5714285714289</v>
      </c>
      <c r="AL6" s="66">
        <f t="shared" ref="AL6" si="9">AJ6-$H$1</f>
        <v>-724</v>
      </c>
      <c r="AM6" s="71"/>
      <c r="AN6" s="71"/>
      <c r="AO6" s="67" t="s">
        <v>8</v>
      </c>
      <c r="AP6" s="68">
        <v>65</v>
      </c>
      <c r="AQ6" s="8">
        <v>45268</v>
      </c>
      <c r="AR6" s="8">
        <v>45303</v>
      </c>
      <c r="AS6" s="4">
        <f t="shared" ref="AS6" si="10">IFERROR((AR6-$G$1)/(AR6-AQ6)*100,"")</f>
        <v>-2068.5714285714289</v>
      </c>
      <c r="AT6" s="4">
        <f t="shared" ref="AT6" si="11">AR6-$H$1</f>
        <v>-724</v>
      </c>
      <c r="AU6" s="18"/>
      <c r="AV6" s="18"/>
    </row>
    <row r="7" spans="1:48" ht="22.15" hidden="1" customHeight="1">
      <c r="A7"/>
      <c r="B7" s="65" t="s">
        <v>13</v>
      </c>
      <c r="C7" s="24" t="s">
        <v>8</v>
      </c>
      <c r="D7" s="25">
        <v>32</v>
      </c>
      <c r="E7" s="27">
        <v>45269</v>
      </c>
      <c r="F7" s="27">
        <v>45304</v>
      </c>
      <c r="G7" s="66">
        <f t="shared" si="0"/>
        <v>-2065.7142857142858</v>
      </c>
      <c r="H7" s="66">
        <f t="shared" si="1"/>
        <v>-723</v>
      </c>
      <c r="I7" s="67" t="s">
        <v>8</v>
      </c>
      <c r="J7" s="68">
        <v>32</v>
      </c>
      <c r="K7" s="70">
        <v>45269</v>
      </c>
      <c r="L7" s="70">
        <v>45304</v>
      </c>
      <c r="M7" s="66">
        <f t="shared" si="2"/>
        <v>-2065.7142857142858</v>
      </c>
      <c r="N7" s="66">
        <f t="shared" si="3"/>
        <v>-723</v>
      </c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1"/>
      <c r="AR7" s="1"/>
      <c r="AS7" s="1"/>
      <c r="AT7" s="1"/>
      <c r="AU7" s="1"/>
      <c r="AV7" s="1"/>
    </row>
    <row r="8" spans="1:48" ht="22.15" hidden="1" customHeight="1">
      <c r="A8"/>
      <c r="B8" s="65" t="s">
        <v>14</v>
      </c>
      <c r="C8" s="24" t="s">
        <v>15</v>
      </c>
      <c r="D8" s="25">
        <v>217.8</v>
      </c>
      <c r="E8" s="27">
        <v>45275</v>
      </c>
      <c r="F8" s="27">
        <v>45305</v>
      </c>
      <c r="G8" s="66">
        <f t="shared" si="0"/>
        <v>-2406.6666666666665</v>
      </c>
      <c r="H8" s="66">
        <f t="shared" si="1"/>
        <v>-722</v>
      </c>
      <c r="I8" s="67" t="s">
        <v>15</v>
      </c>
      <c r="J8" s="68">
        <v>217.8</v>
      </c>
      <c r="K8" s="70">
        <v>45275</v>
      </c>
      <c r="L8" s="70">
        <v>45305</v>
      </c>
      <c r="M8" s="66">
        <f t="shared" si="2"/>
        <v>-2406.6666666666665</v>
      </c>
      <c r="N8" s="66">
        <f t="shared" si="3"/>
        <v>-722</v>
      </c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1"/>
      <c r="AR8" s="1"/>
      <c r="AS8" s="1"/>
      <c r="AT8" s="1"/>
      <c r="AU8" s="1"/>
      <c r="AV8" s="1"/>
    </row>
    <row r="9" spans="1:48" ht="22.15" hidden="1" customHeight="1">
      <c r="A9"/>
      <c r="B9" s="65" t="s">
        <v>16</v>
      </c>
      <c r="C9" s="24" t="s">
        <v>15</v>
      </c>
      <c r="D9" s="25">
        <v>68.8</v>
      </c>
      <c r="E9" s="27">
        <v>45265</v>
      </c>
      <c r="F9" s="27">
        <v>45305</v>
      </c>
      <c r="G9" s="66">
        <f t="shared" si="0"/>
        <v>-1805</v>
      </c>
      <c r="H9" s="66">
        <f t="shared" si="1"/>
        <v>-722</v>
      </c>
      <c r="I9" s="67" t="s">
        <v>15</v>
      </c>
      <c r="J9" s="68">
        <v>68.8</v>
      </c>
      <c r="K9" s="70">
        <v>45265</v>
      </c>
      <c r="L9" s="70">
        <v>45305</v>
      </c>
      <c r="M9" s="66">
        <f t="shared" si="2"/>
        <v>-1805</v>
      </c>
      <c r="N9" s="66">
        <f t="shared" si="3"/>
        <v>-722</v>
      </c>
      <c r="O9" s="154" t="s">
        <v>17</v>
      </c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1"/>
      <c r="AR9" s="1"/>
      <c r="AS9" s="1"/>
      <c r="AT9" s="1"/>
      <c r="AU9" s="1"/>
      <c r="AV9" s="1"/>
    </row>
    <row r="10" spans="1:48" ht="22.15" hidden="1" customHeight="1">
      <c r="A10"/>
      <c r="B10" s="65" t="s">
        <v>18</v>
      </c>
      <c r="C10" s="24" t="s">
        <v>15</v>
      </c>
      <c r="D10" s="25">
        <v>42.16</v>
      </c>
      <c r="E10" s="27">
        <v>45260</v>
      </c>
      <c r="F10" s="27">
        <v>45305</v>
      </c>
      <c r="G10" s="66">
        <f t="shared" si="0"/>
        <v>-1604.4444444444443</v>
      </c>
      <c r="H10" s="66">
        <f t="shared" si="1"/>
        <v>-722</v>
      </c>
      <c r="I10" s="67" t="s">
        <v>15</v>
      </c>
      <c r="J10" s="68">
        <v>42.16</v>
      </c>
      <c r="K10" s="70">
        <v>45260</v>
      </c>
      <c r="L10" s="70">
        <v>45305</v>
      </c>
      <c r="M10" s="66">
        <f t="shared" si="2"/>
        <v>-1604.4444444444443</v>
      </c>
      <c r="N10" s="66">
        <f t="shared" si="3"/>
        <v>-722</v>
      </c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1"/>
      <c r="AR10" s="1"/>
      <c r="AS10" s="1"/>
      <c r="AT10" s="1"/>
      <c r="AU10" s="1"/>
      <c r="AV10" s="1"/>
    </row>
    <row r="11" spans="1:48" ht="22.15" hidden="1" customHeight="1">
      <c r="A11"/>
      <c r="B11" s="65" t="s">
        <v>19</v>
      </c>
      <c r="C11" s="24" t="s">
        <v>15</v>
      </c>
      <c r="D11" s="25">
        <v>205.58</v>
      </c>
      <c r="E11" s="27">
        <v>45276</v>
      </c>
      <c r="F11" s="27">
        <v>45306</v>
      </c>
      <c r="G11" s="66">
        <f t="shared" si="0"/>
        <v>-2403.3333333333335</v>
      </c>
      <c r="H11" s="66">
        <f t="shared" si="1"/>
        <v>-721</v>
      </c>
      <c r="I11" s="67" t="s">
        <v>15</v>
      </c>
      <c r="J11" s="68">
        <v>205.58</v>
      </c>
      <c r="K11" s="70">
        <v>45276</v>
      </c>
      <c r="L11" s="70">
        <v>45306</v>
      </c>
      <c r="M11" s="66">
        <f t="shared" si="2"/>
        <v>-2403.3333333333335</v>
      </c>
      <c r="N11" s="66">
        <f t="shared" si="3"/>
        <v>-721</v>
      </c>
      <c r="Q11" s="67" t="s">
        <v>15</v>
      </c>
      <c r="R11" s="68">
        <v>205.58</v>
      </c>
      <c r="S11" s="70">
        <v>45276</v>
      </c>
      <c r="T11" s="70">
        <v>45306</v>
      </c>
      <c r="U11" s="66">
        <f t="shared" ref="U11:U37" si="12">IFERROR((T11-$G$1)/(T11-S11)*100,"")</f>
        <v>-2403.3333333333335</v>
      </c>
      <c r="V11" s="66">
        <f t="shared" ref="V11:V37" si="13">T11-$H$1</f>
        <v>-721</v>
      </c>
      <c r="Y11" s="67" t="s">
        <v>15</v>
      </c>
      <c r="Z11" s="68">
        <v>205.58</v>
      </c>
      <c r="AA11" s="70">
        <v>45276</v>
      </c>
      <c r="AB11" s="70">
        <v>45306</v>
      </c>
      <c r="AC11" s="66">
        <f t="shared" ref="AC11:AC37" si="14">IFERROR((AB11-$G$1)/(AB11-AA11)*100,"")</f>
        <v>-2403.3333333333335</v>
      </c>
      <c r="AD11" s="66">
        <f t="shared" ref="AD11:AD37" si="15">AB11-$H$1</f>
        <v>-721</v>
      </c>
      <c r="AG11" s="67" t="s">
        <v>15</v>
      </c>
      <c r="AH11" s="68">
        <v>205.58</v>
      </c>
      <c r="AI11" s="70">
        <v>45276</v>
      </c>
      <c r="AJ11" s="70">
        <v>45306</v>
      </c>
      <c r="AK11" s="66">
        <f t="shared" ref="AK11:AK37" si="16">IFERROR((AJ11-$G$1)/(AJ11-AI11)*100,"")</f>
        <v>-2403.3333333333335</v>
      </c>
      <c r="AL11" s="66">
        <f t="shared" ref="AL11:AL37" si="17">AJ11-$H$1</f>
        <v>-721</v>
      </c>
      <c r="AO11" s="67" t="s">
        <v>15</v>
      </c>
      <c r="AP11" s="68">
        <v>205.58</v>
      </c>
      <c r="AQ11" s="8">
        <v>45276</v>
      </c>
      <c r="AR11" s="8">
        <v>45306</v>
      </c>
      <c r="AS11" s="4">
        <f t="shared" ref="AS11:AS37" si="18">IFERROR((AR11-$G$1)/(AR11-AQ11)*100,"")</f>
        <v>-2403.3333333333335</v>
      </c>
      <c r="AT11" s="4">
        <f t="shared" ref="AT11:AT37" si="19">AR11-$H$1</f>
        <v>-721</v>
      </c>
    </row>
    <row r="12" spans="1:48" ht="22.15" hidden="1" customHeight="1">
      <c r="A12"/>
      <c r="B12" s="65" t="s">
        <v>20</v>
      </c>
      <c r="C12" s="24" t="s">
        <v>15</v>
      </c>
      <c r="D12" s="25">
        <v>12</v>
      </c>
      <c r="E12" s="27">
        <v>45256</v>
      </c>
      <c r="F12" s="27">
        <v>45306</v>
      </c>
      <c r="G12" s="66">
        <f t="shared" si="0"/>
        <v>-1442</v>
      </c>
      <c r="H12" s="66">
        <f t="shared" si="1"/>
        <v>-721</v>
      </c>
      <c r="I12" s="67" t="s">
        <v>15</v>
      </c>
      <c r="J12" s="68">
        <v>12</v>
      </c>
      <c r="K12" s="70">
        <v>45256</v>
      </c>
      <c r="L12" s="70">
        <v>45306</v>
      </c>
      <c r="M12" s="66">
        <f t="shared" si="2"/>
        <v>-1442</v>
      </c>
      <c r="N12" s="66">
        <f t="shared" si="3"/>
        <v>-721</v>
      </c>
      <c r="Q12" s="67" t="s">
        <v>15</v>
      </c>
      <c r="R12" s="68">
        <v>12</v>
      </c>
      <c r="S12" s="70">
        <v>45256</v>
      </c>
      <c r="T12" s="70">
        <v>45306</v>
      </c>
      <c r="U12" s="66">
        <f t="shared" si="12"/>
        <v>-1442</v>
      </c>
      <c r="V12" s="66">
        <f t="shared" si="13"/>
        <v>-721</v>
      </c>
      <c r="Y12" s="67" t="s">
        <v>15</v>
      </c>
      <c r="Z12" s="68">
        <v>12</v>
      </c>
      <c r="AA12" s="70">
        <v>45256</v>
      </c>
      <c r="AB12" s="70">
        <v>45306</v>
      </c>
      <c r="AC12" s="66">
        <f t="shared" si="14"/>
        <v>-1442</v>
      </c>
      <c r="AD12" s="66">
        <f t="shared" si="15"/>
        <v>-721</v>
      </c>
      <c r="AG12" s="67" t="s">
        <v>15</v>
      </c>
      <c r="AH12" s="68">
        <v>12</v>
      </c>
      <c r="AI12" s="70">
        <v>45256</v>
      </c>
      <c r="AJ12" s="70">
        <v>45306</v>
      </c>
      <c r="AK12" s="66">
        <f t="shared" si="16"/>
        <v>-1442</v>
      </c>
      <c r="AL12" s="66">
        <f t="shared" si="17"/>
        <v>-721</v>
      </c>
      <c r="AO12" s="67" t="s">
        <v>15</v>
      </c>
      <c r="AP12" s="68">
        <v>12</v>
      </c>
      <c r="AQ12" s="8">
        <v>45256</v>
      </c>
      <c r="AR12" s="8">
        <v>45306</v>
      </c>
      <c r="AS12" s="4">
        <f t="shared" si="18"/>
        <v>-1442</v>
      </c>
      <c r="AT12" s="4">
        <f t="shared" si="19"/>
        <v>-721</v>
      </c>
    </row>
    <row r="13" spans="1:48" ht="22.15" hidden="1" customHeight="1">
      <c r="A13"/>
      <c r="B13" s="65" t="s">
        <v>21</v>
      </c>
      <c r="C13" s="24" t="s">
        <v>15</v>
      </c>
      <c r="D13" s="25">
        <v>89.266999999999996</v>
      </c>
      <c r="E13" s="27">
        <v>45276</v>
      </c>
      <c r="F13" s="27">
        <v>45306</v>
      </c>
      <c r="G13" s="66">
        <f t="shared" si="0"/>
        <v>-2403.3333333333335</v>
      </c>
      <c r="H13" s="66">
        <f t="shared" si="1"/>
        <v>-721</v>
      </c>
      <c r="I13" s="67" t="s">
        <v>15</v>
      </c>
      <c r="J13" s="68">
        <v>89.266999999999996</v>
      </c>
      <c r="K13" s="70">
        <v>45276</v>
      </c>
      <c r="L13" s="70">
        <v>45306</v>
      </c>
      <c r="M13" s="66">
        <f t="shared" si="2"/>
        <v>-2403.3333333333335</v>
      </c>
      <c r="N13" s="66">
        <f t="shared" si="3"/>
        <v>-721</v>
      </c>
      <c r="Q13" s="67" t="s">
        <v>15</v>
      </c>
      <c r="R13" s="68">
        <v>89.266999999999996</v>
      </c>
      <c r="S13" s="70">
        <v>45276</v>
      </c>
      <c r="T13" s="70">
        <v>45306</v>
      </c>
      <c r="U13" s="66">
        <f t="shared" si="12"/>
        <v>-2403.3333333333335</v>
      </c>
      <c r="V13" s="66">
        <f t="shared" si="13"/>
        <v>-721</v>
      </c>
      <c r="Y13" s="67" t="s">
        <v>15</v>
      </c>
      <c r="Z13" s="68">
        <v>89.266999999999996</v>
      </c>
      <c r="AA13" s="70">
        <v>45276</v>
      </c>
      <c r="AB13" s="70">
        <v>45306</v>
      </c>
      <c r="AC13" s="66">
        <f t="shared" si="14"/>
        <v>-2403.3333333333335</v>
      </c>
      <c r="AD13" s="66">
        <f t="shared" si="15"/>
        <v>-721</v>
      </c>
      <c r="AG13" s="67" t="s">
        <v>15</v>
      </c>
      <c r="AH13" s="68">
        <v>89.266999999999996</v>
      </c>
      <c r="AI13" s="70">
        <v>45276</v>
      </c>
      <c r="AJ13" s="70">
        <v>45306</v>
      </c>
      <c r="AK13" s="66">
        <f t="shared" si="16"/>
        <v>-2403.3333333333335</v>
      </c>
      <c r="AL13" s="66">
        <f t="shared" si="17"/>
        <v>-721</v>
      </c>
      <c r="AO13" s="67" t="s">
        <v>15</v>
      </c>
      <c r="AP13" s="68">
        <v>89.266999999999996</v>
      </c>
      <c r="AQ13" s="8">
        <v>45276</v>
      </c>
      <c r="AR13" s="8">
        <v>45306</v>
      </c>
      <c r="AS13" s="4">
        <f t="shared" si="18"/>
        <v>-2403.3333333333335</v>
      </c>
      <c r="AT13" s="4">
        <f t="shared" si="19"/>
        <v>-721</v>
      </c>
    </row>
    <row r="14" spans="1:48" ht="22.15" hidden="1" customHeight="1">
      <c r="A14"/>
      <c r="B14" s="65" t="s">
        <v>22</v>
      </c>
      <c r="C14" s="24" t="s">
        <v>15</v>
      </c>
      <c r="D14" s="25">
        <v>57.1</v>
      </c>
      <c r="E14" s="27">
        <v>45229</v>
      </c>
      <c r="F14" s="27">
        <v>45306</v>
      </c>
      <c r="G14" s="66">
        <f t="shared" si="0"/>
        <v>-936.36363636363637</v>
      </c>
      <c r="H14" s="66">
        <f t="shared" si="1"/>
        <v>-721</v>
      </c>
      <c r="I14" s="67" t="s">
        <v>15</v>
      </c>
      <c r="J14" s="68">
        <v>57.1</v>
      </c>
      <c r="K14" s="70">
        <v>45229</v>
      </c>
      <c r="L14" s="70">
        <v>45306</v>
      </c>
      <c r="M14" s="66">
        <f t="shared" si="2"/>
        <v>-936.36363636363637</v>
      </c>
      <c r="N14" s="66">
        <f t="shared" si="3"/>
        <v>-721</v>
      </c>
      <c r="Q14" s="67" t="s">
        <v>15</v>
      </c>
      <c r="R14" s="68">
        <v>57.1</v>
      </c>
      <c r="S14" s="70">
        <v>45229</v>
      </c>
      <c r="T14" s="70">
        <v>45306</v>
      </c>
      <c r="U14" s="66">
        <f t="shared" si="12"/>
        <v>-936.36363636363637</v>
      </c>
      <c r="V14" s="66">
        <f t="shared" si="13"/>
        <v>-721</v>
      </c>
      <c r="Y14" s="67" t="s">
        <v>15</v>
      </c>
      <c r="Z14" s="68">
        <v>57.1</v>
      </c>
      <c r="AA14" s="70">
        <v>45229</v>
      </c>
      <c r="AB14" s="70">
        <v>45306</v>
      </c>
      <c r="AC14" s="66">
        <f t="shared" si="14"/>
        <v>-936.36363636363637</v>
      </c>
      <c r="AD14" s="66">
        <f t="shared" si="15"/>
        <v>-721</v>
      </c>
      <c r="AG14" s="67" t="s">
        <v>15</v>
      </c>
      <c r="AH14" s="68">
        <v>57.1</v>
      </c>
      <c r="AI14" s="70">
        <v>45229</v>
      </c>
      <c r="AJ14" s="70">
        <v>45306</v>
      </c>
      <c r="AK14" s="66">
        <f t="shared" si="16"/>
        <v>-936.36363636363637</v>
      </c>
      <c r="AL14" s="66">
        <f t="shared" si="17"/>
        <v>-721</v>
      </c>
      <c r="AO14" s="67" t="s">
        <v>15</v>
      </c>
      <c r="AP14" s="68">
        <v>57.1</v>
      </c>
      <c r="AQ14" s="8">
        <v>45229</v>
      </c>
      <c r="AR14" s="8">
        <v>45306</v>
      </c>
      <c r="AS14" s="4">
        <f t="shared" si="18"/>
        <v>-936.36363636363637</v>
      </c>
      <c r="AT14" s="4">
        <f t="shared" si="19"/>
        <v>-721</v>
      </c>
    </row>
    <row r="15" spans="1:48" ht="22.15" hidden="1" customHeight="1">
      <c r="A15"/>
      <c r="B15" s="65" t="s">
        <v>23</v>
      </c>
      <c r="C15" s="24" t="s">
        <v>15</v>
      </c>
      <c r="D15" s="25">
        <v>159.1</v>
      </c>
      <c r="E15" s="27">
        <v>45262</v>
      </c>
      <c r="F15" s="27">
        <v>45307</v>
      </c>
      <c r="G15" s="66">
        <f t="shared" si="0"/>
        <v>-1600</v>
      </c>
      <c r="H15" s="66">
        <f t="shared" si="1"/>
        <v>-720</v>
      </c>
      <c r="I15" s="67" t="s">
        <v>15</v>
      </c>
      <c r="J15" s="68">
        <v>159.1</v>
      </c>
      <c r="K15" s="70">
        <v>45262</v>
      </c>
      <c r="L15" s="70">
        <v>45307</v>
      </c>
      <c r="M15" s="66">
        <f t="shared" si="2"/>
        <v>-1600</v>
      </c>
      <c r="N15" s="66">
        <f t="shared" si="3"/>
        <v>-720</v>
      </c>
      <c r="Q15" s="67" t="s">
        <v>15</v>
      </c>
      <c r="R15" s="68">
        <v>159.1</v>
      </c>
      <c r="S15" s="70">
        <v>45262</v>
      </c>
      <c r="T15" s="70">
        <v>45307</v>
      </c>
      <c r="U15" s="66">
        <f t="shared" si="12"/>
        <v>-1600</v>
      </c>
      <c r="V15" s="66">
        <f t="shared" si="13"/>
        <v>-720</v>
      </c>
      <c r="Y15" s="67" t="s">
        <v>15</v>
      </c>
      <c r="Z15" s="68">
        <v>159.1</v>
      </c>
      <c r="AA15" s="70">
        <v>45262</v>
      </c>
      <c r="AB15" s="70">
        <v>45307</v>
      </c>
      <c r="AC15" s="66">
        <f t="shared" si="14"/>
        <v>-1600</v>
      </c>
      <c r="AD15" s="66">
        <f t="shared" si="15"/>
        <v>-720</v>
      </c>
      <c r="AG15" s="67" t="s">
        <v>15</v>
      </c>
      <c r="AH15" s="68">
        <v>159.1</v>
      </c>
      <c r="AI15" s="70">
        <v>45262</v>
      </c>
      <c r="AJ15" s="70">
        <v>45307</v>
      </c>
      <c r="AK15" s="66">
        <f t="shared" si="16"/>
        <v>-1600</v>
      </c>
      <c r="AL15" s="66">
        <f t="shared" si="17"/>
        <v>-720</v>
      </c>
      <c r="AO15" s="67" t="s">
        <v>15</v>
      </c>
      <c r="AP15" s="68">
        <v>159.1</v>
      </c>
      <c r="AQ15" s="8">
        <v>45262</v>
      </c>
      <c r="AR15" s="8">
        <v>45307</v>
      </c>
      <c r="AS15" s="4">
        <f t="shared" si="18"/>
        <v>-1600</v>
      </c>
      <c r="AT15" s="4">
        <f t="shared" si="19"/>
        <v>-720</v>
      </c>
    </row>
    <row r="16" spans="1:48" ht="22.15" hidden="1" customHeight="1">
      <c r="A16"/>
      <c r="B16" s="65" t="s">
        <v>24</v>
      </c>
      <c r="C16" s="24" t="s">
        <v>15</v>
      </c>
      <c r="D16" s="25">
        <v>218.5</v>
      </c>
      <c r="E16" s="27">
        <v>45277</v>
      </c>
      <c r="F16" s="27">
        <v>45307</v>
      </c>
      <c r="G16" s="66">
        <f t="shared" si="0"/>
        <v>-2400</v>
      </c>
      <c r="H16" s="66">
        <f t="shared" si="1"/>
        <v>-720</v>
      </c>
      <c r="I16" s="67" t="s">
        <v>15</v>
      </c>
      <c r="J16" s="68">
        <v>218.5</v>
      </c>
      <c r="K16" s="70">
        <v>45277</v>
      </c>
      <c r="L16" s="70">
        <v>45307</v>
      </c>
      <c r="M16" s="66">
        <f t="shared" si="2"/>
        <v>-2400</v>
      </c>
      <c r="N16" s="66">
        <f t="shared" si="3"/>
        <v>-720</v>
      </c>
      <c r="Q16" s="67" t="s">
        <v>15</v>
      </c>
      <c r="R16" s="68">
        <v>218.5</v>
      </c>
      <c r="S16" s="70">
        <v>45277</v>
      </c>
      <c r="T16" s="70">
        <v>45307</v>
      </c>
      <c r="U16" s="66">
        <f t="shared" si="12"/>
        <v>-2400</v>
      </c>
      <c r="V16" s="66">
        <f t="shared" si="13"/>
        <v>-720</v>
      </c>
      <c r="Y16" s="67" t="s">
        <v>15</v>
      </c>
      <c r="Z16" s="68">
        <v>218.5</v>
      </c>
      <c r="AA16" s="70">
        <v>45277</v>
      </c>
      <c r="AB16" s="70">
        <v>45307</v>
      </c>
      <c r="AC16" s="66">
        <f t="shared" si="14"/>
        <v>-2400</v>
      </c>
      <c r="AD16" s="66">
        <f t="shared" si="15"/>
        <v>-720</v>
      </c>
      <c r="AG16" s="67" t="s">
        <v>15</v>
      </c>
      <c r="AH16" s="68">
        <v>218.5</v>
      </c>
      <c r="AI16" s="70">
        <v>45277</v>
      </c>
      <c r="AJ16" s="70">
        <v>45307</v>
      </c>
      <c r="AK16" s="66">
        <f t="shared" si="16"/>
        <v>-2400</v>
      </c>
      <c r="AL16" s="66">
        <f t="shared" si="17"/>
        <v>-720</v>
      </c>
      <c r="AO16" s="67" t="s">
        <v>15</v>
      </c>
      <c r="AP16" s="68">
        <v>218.5</v>
      </c>
      <c r="AQ16" s="8">
        <v>45277</v>
      </c>
      <c r="AR16" s="8">
        <v>45307</v>
      </c>
      <c r="AS16" s="4">
        <f t="shared" si="18"/>
        <v>-2400</v>
      </c>
      <c r="AT16" s="4">
        <f t="shared" si="19"/>
        <v>-720</v>
      </c>
    </row>
    <row r="17" spans="1:46" ht="22.15" hidden="1" customHeight="1">
      <c r="A17"/>
      <c r="B17" s="65" t="s">
        <v>25</v>
      </c>
      <c r="C17" s="24" t="s">
        <v>15</v>
      </c>
      <c r="D17" s="25">
        <v>187.7</v>
      </c>
      <c r="E17" s="27">
        <v>45267</v>
      </c>
      <c r="F17" s="27">
        <v>45307</v>
      </c>
      <c r="G17" s="66">
        <f t="shared" si="0"/>
        <v>-1800</v>
      </c>
      <c r="H17" s="66">
        <f t="shared" si="1"/>
        <v>-720</v>
      </c>
      <c r="I17" s="67" t="s">
        <v>15</v>
      </c>
      <c r="J17" s="68">
        <v>187.7</v>
      </c>
      <c r="K17" s="70">
        <v>45267</v>
      </c>
      <c r="L17" s="70">
        <v>45307</v>
      </c>
      <c r="M17" s="66">
        <f t="shared" si="2"/>
        <v>-1800</v>
      </c>
      <c r="N17" s="66">
        <f t="shared" si="3"/>
        <v>-720</v>
      </c>
      <c r="Q17" s="67" t="s">
        <v>15</v>
      </c>
      <c r="R17" s="68">
        <v>187.7</v>
      </c>
      <c r="S17" s="70">
        <v>45267</v>
      </c>
      <c r="T17" s="70">
        <v>45307</v>
      </c>
      <c r="U17" s="66">
        <f t="shared" si="12"/>
        <v>-1800</v>
      </c>
      <c r="V17" s="66">
        <f t="shared" si="13"/>
        <v>-720</v>
      </c>
      <c r="Y17" s="67" t="s">
        <v>15</v>
      </c>
      <c r="Z17" s="68">
        <v>187.7</v>
      </c>
      <c r="AA17" s="70">
        <v>45267</v>
      </c>
      <c r="AB17" s="70">
        <v>45307</v>
      </c>
      <c r="AC17" s="66">
        <f t="shared" si="14"/>
        <v>-1800</v>
      </c>
      <c r="AD17" s="66">
        <f t="shared" si="15"/>
        <v>-720</v>
      </c>
      <c r="AG17" s="67" t="s">
        <v>15</v>
      </c>
      <c r="AH17" s="68">
        <v>187.7</v>
      </c>
      <c r="AI17" s="70">
        <v>45267</v>
      </c>
      <c r="AJ17" s="70">
        <v>45307</v>
      </c>
      <c r="AK17" s="66">
        <f t="shared" si="16"/>
        <v>-1800</v>
      </c>
      <c r="AL17" s="66">
        <f t="shared" si="17"/>
        <v>-720</v>
      </c>
      <c r="AO17" s="67" t="s">
        <v>15</v>
      </c>
      <c r="AP17" s="68">
        <v>187.7</v>
      </c>
      <c r="AQ17" s="8">
        <v>45267</v>
      </c>
      <c r="AR17" s="8">
        <v>45307</v>
      </c>
      <c r="AS17" s="4">
        <f t="shared" si="18"/>
        <v>-1800</v>
      </c>
      <c r="AT17" s="4">
        <f t="shared" si="19"/>
        <v>-720</v>
      </c>
    </row>
    <row r="18" spans="1:46" ht="22.15" hidden="1" customHeight="1">
      <c r="A18"/>
      <c r="B18" s="65" t="s">
        <v>26</v>
      </c>
      <c r="C18" s="24" t="s">
        <v>8</v>
      </c>
      <c r="D18" s="25">
        <v>77</v>
      </c>
      <c r="E18" s="27">
        <v>45268</v>
      </c>
      <c r="F18" s="27">
        <v>45308</v>
      </c>
      <c r="G18" s="66">
        <f t="shared" si="0"/>
        <v>-1797.5000000000002</v>
      </c>
      <c r="H18" s="66">
        <f t="shared" si="1"/>
        <v>-719</v>
      </c>
      <c r="I18" s="67" t="s">
        <v>8</v>
      </c>
      <c r="J18" s="68">
        <v>77</v>
      </c>
      <c r="K18" s="70">
        <v>45268</v>
      </c>
      <c r="L18" s="70">
        <v>45308</v>
      </c>
      <c r="M18" s="66">
        <f t="shared" si="2"/>
        <v>-1797.5000000000002</v>
      </c>
      <c r="N18" s="66">
        <f t="shared" si="3"/>
        <v>-719</v>
      </c>
      <c r="Q18" s="67" t="s">
        <v>8</v>
      </c>
      <c r="R18" s="68">
        <v>77</v>
      </c>
      <c r="S18" s="70">
        <v>45268</v>
      </c>
      <c r="T18" s="70">
        <v>45308</v>
      </c>
      <c r="U18" s="66">
        <f t="shared" si="12"/>
        <v>-1797.5000000000002</v>
      </c>
      <c r="V18" s="66">
        <f t="shared" si="13"/>
        <v>-719</v>
      </c>
      <c r="Y18" s="67" t="s">
        <v>8</v>
      </c>
      <c r="Z18" s="68">
        <v>77</v>
      </c>
      <c r="AA18" s="70">
        <v>45268</v>
      </c>
      <c r="AB18" s="70">
        <v>45308</v>
      </c>
      <c r="AC18" s="66">
        <f t="shared" si="14"/>
        <v>-1797.5000000000002</v>
      </c>
      <c r="AD18" s="66">
        <f t="shared" si="15"/>
        <v>-719</v>
      </c>
      <c r="AG18" s="67" t="s">
        <v>8</v>
      </c>
      <c r="AH18" s="68">
        <v>77</v>
      </c>
      <c r="AI18" s="70">
        <v>45268</v>
      </c>
      <c r="AJ18" s="70">
        <v>45308</v>
      </c>
      <c r="AK18" s="66">
        <f t="shared" si="16"/>
        <v>-1797.5000000000002</v>
      </c>
      <c r="AL18" s="66">
        <f t="shared" si="17"/>
        <v>-719</v>
      </c>
      <c r="AO18" s="67" t="s">
        <v>8</v>
      </c>
      <c r="AP18" s="68">
        <v>77</v>
      </c>
      <c r="AQ18" s="8">
        <v>45268</v>
      </c>
      <c r="AR18" s="8">
        <v>45308</v>
      </c>
      <c r="AS18" s="4">
        <f t="shared" si="18"/>
        <v>-1797.5000000000002</v>
      </c>
      <c r="AT18" s="4">
        <f t="shared" si="19"/>
        <v>-719</v>
      </c>
    </row>
    <row r="19" spans="1:46" ht="22.15" hidden="1" customHeight="1">
      <c r="A19"/>
      <c r="B19" s="65" t="s">
        <v>27</v>
      </c>
      <c r="C19" s="24" t="s">
        <v>8</v>
      </c>
      <c r="D19" s="25">
        <v>241</v>
      </c>
      <c r="E19" s="27">
        <v>45268</v>
      </c>
      <c r="F19" s="27">
        <v>45308</v>
      </c>
      <c r="G19" s="66">
        <f t="shared" si="0"/>
        <v>-1797.5000000000002</v>
      </c>
      <c r="H19" s="66">
        <f t="shared" si="1"/>
        <v>-719</v>
      </c>
      <c r="I19" s="67" t="s">
        <v>8</v>
      </c>
      <c r="J19" s="68">
        <v>241</v>
      </c>
      <c r="K19" s="70">
        <v>45268</v>
      </c>
      <c r="L19" s="70">
        <v>45308</v>
      </c>
      <c r="M19" s="66">
        <f t="shared" si="2"/>
        <v>-1797.5000000000002</v>
      </c>
      <c r="N19" s="66">
        <f t="shared" si="3"/>
        <v>-719</v>
      </c>
      <c r="Q19" s="67" t="s">
        <v>8</v>
      </c>
      <c r="R19" s="68">
        <v>241</v>
      </c>
      <c r="S19" s="70">
        <v>45268</v>
      </c>
      <c r="T19" s="70">
        <v>45308</v>
      </c>
      <c r="U19" s="66">
        <f t="shared" si="12"/>
        <v>-1797.5000000000002</v>
      </c>
      <c r="V19" s="66">
        <f t="shared" si="13"/>
        <v>-719</v>
      </c>
      <c r="Y19" s="67" t="s">
        <v>8</v>
      </c>
      <c r="Z19" s="68">
        <v>241</v>
      </c>
      <c r="AA19" s="70">
        <v>45268</v>
      </c>
      <c r="AB19" s="70">
        <v>45308</v>
      </c>
      <c r="AC19" s="66">
        <f t="shared" si="14"/>
        <v>-1797.5000000000002</v>
      </c>
      <c r="AD19" s="66">
        <f t="shared" si="15"/>
        <v>-719</v>
      </c>
      <c r="AG19" s="67" t="s">
        <v>8</v>
      </c>
      <c r="AH19" s="68">
        <v>241</v>
      </c>
      <c r="AI19" s="70">
        <v>45268</v>
      </c>
      <c r="AJ19" s="70">
        <v>45308</v>
      </c>
      <c r="AK19" s="66">
        <f t="shared" si="16"/>
        <v>-1797.5000000000002</v>
      </c>
      <c r="AL19" s="66">
        <f t="shared" si="17"/>
        <v>-719</v>
      </c>
      <c r="AO19" s="67" t="s">
        <v>8</v>
      </c>
      <c r="AP19" s="68">
        <v>241</v>
      </c>
      <c r="AQ19" s="8">
        <v>45268</v>
      </c>
      <c r="AR19" s="8">
        <v>45308</v>
      </c>
      <c r="AS19" s="4">
        <f t="shared" si="18"/>
        <v>-1797.5000000000002</v>
      </c>
      <c r="AT19" s="4">
        <f t="shared" si="19"/>
        <v>-719</v>
      </c>
    </row>
    <row r="20" spans="1:46" ht="22.15" hidden="1" customHeight="1">
      <c r="A20"/>
      <c r="B20" s="65" t="s">
        <v>28</v>
      </c>
      <c r="C20" s="24" t="s">
        <v>8</v>
      </c>
      <c r="D20" s="25">
        <v>354</v>
      </c>
      <c r="E20" s="27">
        <v>45268</v>
      </c>
      <c r="F20" s="27">
        <v>45308</v>
      </c>
      <c r="G20" s="66">
        <f t="shared" si="0"/>
        <v>-1797.5000000000002</v>
      </c>
      <c r="H20" s="66">
        <f t="shared" si="1"/>
        <v>-719</v>
      </c>
      <c r="I20" s="67" t="s">
        <v>8</v>
      </c>
      <c r="J20" s="68">
        <v>354</v>
      </c>
      <c r="K20" s="70">
        <v>45268</v>
      </c>
      <c r="L20" s="70">
        <v>45308</v>
      </c>
      <c r="M20" s="66">
        <f t="shared" si="2"/>
        <v>-1797.5000000000002</v>
      </c>
      <c r="N20" s="66">
        <f t="shared" si="3"/>
        <v>-719</v>
      </c>
      <c r="Q20" s="67" t="s">
        <v>8</v>
      </c>
      <c r="R20" s="68">
        <v>354</v>
      </c>
      <c r="S20" s="70">
        <v>45268</v>
      </c>
      <c r="T20" s="70">
        <v>45308</v>
      </c>
      <c r="U20" s="66">
        <f t="shared" si="12"/>
        <v>-1797.5000000000002</v>
      </c>
      <c r="V20" s="66">
        <f t="shared" si="13"/>
        <v>-719</v>
      </c>
      <c r="Y20" s="67" t="s">
        <v>8</v>
      </c>
      <c r="Z20" s="68">
        <v>354</v>
      </c>
      <c r="AA20" s="70">
        <v>45268</v>
      </c>
      <c r="AB20" s="70">
        <v>45308</v>
      </c>
      <c r="AC20" s="66">
        <f t="shared" si="14"/>
        <v>-1797.5000000000002</v>
      </c>
      <c r="AD20" s="66">
        <f t="shared" si="15"/>
        <v>-719</v>
      </c>
      <c r="AG20" s="67" t="s">
        <v>8</v>
      </c>
      <c r="AH20" s="68">
        <v>354</v>
      </c>
      <c r="AI20" s="70">
        <v>45268</v>
      </c>
      <c r="AJ20" s="70">
        <v>45308</v>
      </c>
      <c r="AK20" s="66">
        <f t="shared" si="16"/>
        <v>-1797.5000000000002</v>
      </c>
      <c r="AL20" s="66">
        <f t="shared" si="17"/>
        <v>-719</v>
      </c>
      <c r="AO20" s="67" t="s">
        <v>8</v>
      </c>
      <c r="AP20" s="68">
        <v>354</v>
      </c>
      <c r="AQ20" s="8">
        <v>45268</v>
      </c>
      <c r="AR20" s="8">
        <v>45308</v>
      </c>
      <c r="AS20" s="4">
        <f t="shared" si="18"/>
        <v>-1797.5000000000002</v>
      </c>
      <c r="AT20" s="4">
        <f t="shared" si="19"/>
        <v>-719</v>
      </c>
    </row>
    <row r="21" spans="1:46" ht="22.15" hidden="1" customHeight="1">
      <c r="A21"/>
      <c r="B21" s="65" t="s">
        <v>29</v>
      </c>
      <c r="C21" s="24" t="s">
        <v>8</v>
      </c>
      <c r="D21" s="25">
        <v>3</v>
      </c>
      <c r="E21" s="27">
        <v>45270</v>
      </c>
      <c r="F21" s="27">
        <v>45310</v>
      </c>
      <c r="G21" s="66">
        <f t="shared" si="0"/>
        <v>-1792.5</v>
      </c>
      <c r="H21" s="66">
        <f t="shared" si="1"/>
        <v>-717</v>
      </c>
      <c r="I21" s="67" t="s">
        <v>8</v>
      </c>
      <c r="J21" s="68">
        <v>3</v>
      </c>
      <c r="K21" s="70">
        <v>45270</v>
      </c>
      <c r="L21" s="70">
        <v>45310</v>
      </c>
      <c r="M21" s="66">
        <f t="shared" si="2"/>
        <v>-1792.5</v>
      </c>
      <c r="N21" s="66">
        <f t="shared" si="3"/>
        <v>-717</v>
      </c>
      <c r="Q21" s="67" t="s">
        <v>8</v>
      </c>
      <c r="R21" s="68">
        <v>3</v>
      </c>
      <c r="S21" s="70">
        <v>45270</v>
      </c>
      <c r="T21" s="70">
        <v>45310</v>
      </c>
      <c r="U21" s="66">
        <f t="shared" si="12"/>
        <v>-1792.5</v>
      </c>
      <c r="V21" s="66">
        <f t="shared" si="13"/>
        <v>-717</v>
      </c>
      <c r="Y21" s="67" t="s">
        <v>8</v>
      </c>
      <c r="Z21" s="68">
        <v>3</v>
      </c>
      <c r="AA21" s="70">
        <v>45270</v>
      </c>
      <c r="AB21" s="70">
        <v>45310</v>
      </c>
      <c r="AC21" s="66">
        <f t="shared" si="14"/>
        <v>-1792.5</v>
      </c>
      <c r="AD21" s="66">
        <f t="shared" si="15"/>
        <v>-717</v>
      </c>
      <c r="AG21" s="67" t="s">
        <v>8</v>
      </c>
      <c r="AH21" s="68">
        <v>3</v>
      </c>
      <c r="AI21" s="70">
        <v>45270</v>
      </c>
      <c r="AJ21" s="70">
        <v>45310</v>
      </c>
      <c r="AK21" s="66">
        <f t="shared" si="16"/>
        <v>-1792.5</v>
      </c>
      <c r="AL21" s="66">
        <f t="shared" si="17"/>
        <v>-717</v>
      </c>
      <c r="AO21" s="67" t="s">
        <v>8</v>
      </c>
      <c r="AP21" s="68">
        <v>3</v>
      </c>
      <c r="AQ21" s="8">
        <v>45270</v>
      </c>
      <c r="AR21" s="8">
        <v>45310</v>
      </c>
      <c r="AS21" s="4">
        <f t="shared" si="18"/>
        <v>-1792.5</v>
      </c>
      <c r="AT21" s="4">
        <f t="shared" si="19"/>
        <v>-717</v>
      </c>
    </row>
    <row r="22" spans="1:46" ht="22.15" hidden="1" customHeight="1">
      <c r="A22"/>
      <c r="B22" s="65" t="s">
        <v>30</v>
      </c>
      <c r="C22" s="24" t="s">
        <v>8</v>
      </c>
      <c r="D22" s="25">
        <v>45</v>
      </c>
      <c r="E22" s="27">
        <v>45268</v>
      </c>
      <c r="F22" s="27">
        <v>45311</v>
      </c>
      <c r="G22" s="66">
        <f t="shared" si="0"/>
        <v>-1665.1162790697676</v>
      </c>
      <c r="H22" s="66">
        <f t="shared" si="1"/>
        <v>-716</v>
      </c>
      <c r="I22" s="67" t="s">
        <v>8</v>
      </c>
      <c r="J22" s="68">
        <v>45</v>
      </c>
      <c r="K22" s="70">
        <v>45268</v>
      </c>
      <c r="L22" s="70">
        <v>45311</v>
      </c>
      <c r="M22" s="66">
        <f t="shared" si="2"/>
        <v>-1665.1162790697676</v>
      </c>
      <c r="N22" s="66">
        <f t="shared" si="3"/>
        <v>-716</v>
      </c>
      <c r="Q22" s="67" t="s">
        <v>8</v>
      </c>
      <c r="R22" s="68">
        <v>45</v>
      </c>
      <c r="S22" s="70">
        <v>45268</v>
      </c>
      <c r="T22" s="70">
        <v>45311</v>
      </c>
      <c r="U22" s="66">
        <f t="shared" si="12"/>
        <v>-1665.1162790697676</v>
      </c>
      <c r="V22" s="66">
        <f t="shared" si="13"/>
        <v>-716</v>
      </c>
      <c r="Y22" s="67" t="s">
        <v>8</v>
      </c>
      <c r="Z22" s="68">
        <v>45</v>
      </c>
      <c r="AA22" s="70">
        <v>45268</v>
      </c>
      <c r="AB22" s="70">
        <v>45311</v>
      </c>
      <c r="AC22" s="66">
        <f t="shared" si="14"/>
        <v>-1665.1162790697676</v>
      </c>
      <c r="AD22" s="66">
        <f t="shared" si="15"/>
        <v>-716</v>
      </c>
      <c r="AG22" s="67" t="s">
        <v>8</v>
      </c>
      <c r="AH22" s="68">
        <v>45</v>
      </c>
      <c r="AI22" s="70">
        <v>45268</v>
      </c>
      <c r="AJ22" s="70">
        <v>45311</v>
      </c>
      <c r="AK22" s="66">
        <f t="shared" si="16"/>
        <v>-1665.1162790697676</v>
      </c>
      <c r="AL22" s="66">
        <f t="shared" si="17"/>
        <v>-716</v>
      </c>
      <c r="AO22" s="67" t="s">
        <v>8</v>
      </c>
      <c r="AP22" s="68">
        <v>45</v>
      </c>
      <c r="AQ22" s="8">
        <v>45268</v>
      </c>
      <c r="AR22" s="8">
        <v>45311</v>
      </c>
      <c r="AS22" s="4">
        <f t="shared" si="18"/>
        <v>-1665.1162790697676</v>
      </c>
      <c r="AT22" s="4">
        <f t="shared" si="19"/>
        <v>-716</v>
      </c>
    </row>
    <row r="23" spans="1:46" ht="22.15" hidden="1" customHeight="1">
      <c r="A23"/>
      <c r="B23" s="65" t="s">
        <v>31</v>
      </c>
      <c r="C23" s="24" t="s">
        <v>15</v>
      </c>
      <c r="D23" s="25">
        <v>97.5</v>
      </c>
      <c r="E23" s="27">
        <v>45268</v>
      </c>
      <c r="F23" s="27">
        <v>45311</v>
      </c>
      <c r="G23" s="66">
        <f t="shared" si="0"/>
        <v>-1665.1162790697676</v>
      </c>
      <c r="H23" s="66">
        <f t="shared" si="1"/>
        <v>-716</v>
      </c>
      <c r="I23" s="67" t="s">
        <v>15</v>
      </c>
      <c r="J23" s="68">
        <v>97.5</v>
      </c>
      <c r="K23" s="70">
        <v>45268</v>
      </c>
      <c r="L23" s="70">
        <v>45311</v>
      </c>
      <c r="M23" s="66">
        <f t="shared" si="2"/>
        <v>-1665.1162790697676</v>
      </c>
      <c r="N23" s="66">
        <f t="shared" si="3"/>
        <v>-716</v>
      </c>
      <c r="Q23" s="67" t="s">
        <v>15</v>
      </c>
      <c r="R23" s="68">
        <v>97.5</v>
      </c>
      <c r="S23" s="70">
        <v>45268</v>
      </c>
      <c r="T23" s="70">
        <v>45311</v>
      </c>
      <c r="U23" s="66">
        <f t="shared" si="12"/>
        <v>-1665.1162790697676</v>
      </c>
      <c r="V23" s="66">
        <f t="shared" si="13"/>
        <v>-716</v>
      </c>
      <c r="Y23" s="67" t="s">
        <v>15</v>
      </c>
      <c r="Z23" s="68">
        <v>97.5</v>
      </c>
      <c r="AA23" s="70">
        <v>45268</v>
      </c>
      <c r="AB23" s="70">
        <v>45311</v>
      </c>
      <c r="AC23" s="66">
        <f t="shared" si="14"/>
        <v>-1665.1162790697676</v>
      </c>
      <c r="AD23" s="66">
        <f t="shared" si="15"/>
        <v>-716</v>
      </c>
      <c r="AG23" s="67" t="s">
        <v>15</v>
      </c>
      <c r="AH23" s="68">
        <v>97.5</v>
      </c>
      <c r="AI23" s="70">
        <v>45268</v>
      </c>
      <c r="AJ23" s="70">
        <v>45311</v>
      </c>
      <c r="AK23" s="66">
        <f t="shared" si="16"/>
        <v>-1665.1162790697676</v>
      </c>
      <c r="AL23" s="66">
        <f t="shared" si="17"/>
        <v>-716</v>
      </c>
      <c r="AO23" s="67" t="s">
        <v>15</v>
      </c>
      <c r="AP23" s="68">
        <v>97.5</v>
      </c>
      <c r="AQ23" s="8">
        <v>45268</v>
      </c>
      <c r="AR23" s="8">
        <v>45311</v>
      </c>
      <c r="AS23" s="4">
        <f t="shared" si="18"/>
        <v>-1665.1162790697676</v>
      </c>
      <c r="AT23" s="4">
        <f t="shared" si="19"/>
        <v>-716</v>
      </c>
    </row>
    <row r="24" spans="1:46" ht="22.15" hidden="1" customHeight="1">
      <c r="A24"/>
      <c r="B24" s="65" t="s">
        <v>32</v>
      </c>
      <c r="C24" s="24" t="s">
        <v>15</v>
      </c>
      <c r="D24" s="25">
        <v>85.93</v>
      </c>
      <c r="E24" s="27">
        <v>45276</v>
      </c>
      <c r="F24" s="27">
        <v>45311</v>
      </c>
      <c r="G24" s="66">
        <f t="shared" si="0"/>
        <v>-2045.7142857142856</v>
      </c>
      <c r="H24" s="66">
        <f t="shared" si="1"/>
        <v>-716</v>
      </c>
      <c r="I24" s="67" t="s">
        <v>15</v>
      </c>
      <c r="J24" s="68">
        <v>85.93</v>
      </c>
      <c r="K24" s="70">
        <v>45276</v>
      </c>
      <c r="L24" s="70">
        <v>45311</v>
      </c>
      <c r="M24" s="66">
        <f t="shared" si="2"/>
        <v>-2045.7142857142856</v>
      </c>
      <c r="N24" s="66">
        <f t="shared" si="3"/>
        <v>-716</v>
      </c>
      <c r="Q24" s="67" t="s">
        <v>15</v>
      </c>
      <c r="R24" s="68">
        <v>85.93</v>
      </c>
      <c r="S24" s="70">
        <v>45276</v>
      </c>
      <c r="T24" s="70">
        <v>45311</v>
      </c>
      <c r="U24" s="66">
        <f t="shared" si="12"/>
        <v>-2045.7142857142856</v>
      </c>
      <c r="V24" s="66">
        <f t="shared" si="13"/>
        <v>-716</v>
      </c>
      <c r="Y24" s="67" t="s">
        <v>15</v>
      </c>
      <c r="Z24" s="68">
        <v>85.93</v>
      </c>
      <c r="AA24" s="70">
        <v>45276</v>
      </c>
      <c r="AB24" s="70">
        <v>45311</v>
      </c>
      <c r="AC24" s="66">
        <f t="shared" si="14"/>
        <v>-2045.7142857142856</v>
      </c>
      <c r="AD24" s="66">
        <f t="shared" si="15"/>
        <v>-716</v>
      </c>
      <c r="AG24" s="67" t="s">
        <v>15</v>
      </c>
      <c r="AH24" s="68">
        <v>85.93</v>
      </c>
      <c r="AI24" s="70">
        <v>45276</v>
      </c>
      <c r="AJ24" s="70">
        <v>45311</v>
      </c>
      <c r="AK24" s="66">
        <f t="shared" si="16"/>
        <v>-2045.7142857142856</v>
      </c>
      <c r="AL24" s="66">
        <f t="shared" si="17"/>
        <v>-716</v>
      </c>
      <c r="AO24" s="67" t="s">
        <v>15</v>
      </c>
      <c r="AP24" s="68">
        <v>85.93</v>
      </c>
      <c r="AQ24" s="8">
        <v>45276</v>
      </c>
      <c r="AR24" s="8">
        <v>45311</v>
      </c>
      <c r="AS24" s="4">
        <f t="shared" si="18"/>
        <v>-2045.7142857142856</v>
      </c>
      <c r="AT24" s="4">
        <f t="shared" si="19"/>
        <v>-716</v>
      </c>
    </row>
    <row r="25" spans="1:46" ht="22.15" hidden="1" customHeight="1">
      <c r="A25"/>
      <c r="B25" s="65" t="s">
        <v>33</v>
      </c>
      <c r="C25" s="24" t="s">
        <v>15</v>
      </c>
      <c r="D25" s="25">
        <v>216.8</v>
      </c>
      <c r="E25" s="27">
        <v>45267</v>
      </c>
      <c r="F25" s="27">
        <v>45312</v>
      </c>
      <c r="G25" s="66">
        <f t="shared" si="0"/>
        <v>-1588.8888888888889</v>
      </c>
      <c r="H25" s="66">
        <f t="shared" si="1"/>
        <v>-715</v>
      </c>
      <c r="I25" s="67" t="s">
        <v>15</v>
      </c>
      <c r="J25" s="68">
        <v>216.8</v>
      </c>
      <c r="K25" s="70">
        <v>45267</v>
      </c>
      <c r="L25" s="70">
        <v>45312</v>
      </c>
      <c r="M25" s="66">
        <f t="shared" si="2"/>
        <v>-1588.8888888888889</v>
      </c>
      <c r="N25" s="66">
        <f t="shared" si="3"/>
        <v>-715</v>
      </c>
      <c r="Q25" s="67" t="s">
        <v>15</v>
      </c>
      <c r="R25" s="68">
        <v>216.8</v>
      </c>
      <c r="S25" s="70">
        <v>45267</v>
      </c>
      <c r="T25" s="70">
        <v>45312</v>
      </c>
      <c r="U25" s="66">
        <f t="shared" si="12"/>
        <v>-1588.8888888888889</v>
      </c>
      <c r="V25" s="66">
        <f t="shared" si="13"/>
        <v>-715</v>
      </c>
      <c r="Y25" s="67" t="s">
        <v>15</v>
      </c>
      <c r="Z25" s="68">
        <v>216.8</v>
      </c>
      <c r="AA25" s="70">
        <v>45267</v>
      </c>
      <c r="AB25" s="70">
        <v>45312</v>
      </c>
      <c r="AC25" s="66">
        <f t="shared" si="14"/>
        <v>-1588.8888888888889</v>
      </c>
      <c r="AD25" s="66">
        <f t="shared" si="15"/>
        <v>-715</v>
      </c>
      <c r="AG25" s="67" t="s">
        <v>15</v>
      </c>
      <c r="AH25" s="68">
        <v>216.8</v>
      </c>
      <c r="AI25" s="70">
        <v>45267</v>
      </c>
      <c r="AJ25" s="70">
        <v>45312</v>
      </c>
      <c r="AK25" s="66">
        <f t="shared" si="16"/>
        <v>-1588.8888888888889</v>
      </c>
      <c r="AL25" s="66">
        <f t="shared" si="17"/>
        <v>-715</v>
      </c>
      <c r="AO25" s="67" t="s">
        <v>15</v>
      </c>
      <c r="AP25" s="68">
        <v>216.8</v>
      </c>
      <c r="AQ25" s="8">
        <v>45267</v>
      </c>
      <c r="AR25" s="8">
        <v>45312</v>
      </c>
      <c r="AS25" s="4">
        <f t="shared" si="18"/>
        <v>-1588.8888888888889</v>
      </c>
      <c r="AT25" s="4">
        <f t="shared" si="19"/>
        <v>-715</v>
      </c>
    </row>
    <row r="26" spans="1:46" ht="22.15" hidden="1" customHeight="1">
      <c r="A26"/>
      <c r="B26" s="65" t="s">
        <v>34</v>
      </c>
      <c r="C26" s="24" t="s">
        <v>15</v>
      </c>
      <c r="D26" s="25">
        <v>170.9</v>
      </c>
      <c r="E26" s="27">
        <v>45277</v>
      </c>
      <c r="F26" s="27">
        <v>45312</v>
      </c>
      <c r="G26" s="66">
        <f t="shared" si="0"/>
        <v>-2042.8571428571427</v>
      </c>
      <c r="H26" s="66">
        <f t="shared" si="1"/>
        <v>-715</v>
      </c>
      <c r="I26" s="67" t="s">
        <v>15</v>
      </c>
      <c r="J26" s="68">
        <v>170.9</v>
      </c>
      <c r="K26" s="70">
        <v>45277</v>
      </c>
      <c r="L26" s="70">
        <v>45312</v>
      </c>
      <c r="M26" s="66">
        <f t="shared" si="2"/>
        <v>-2042.8571428571427</v>
      </c>
      <c r="N26" s="66">
        <f t="shared" si="3"/>
        <v>-715</v>
      </c>
      <c r="Q26" s="67" t="s">
        <v>15</v>
      </c>
      <c r="R26" s="68">
        <v>170.9</v>
      </c>
      <c r="S26" s="70">
        <v>45277</v>
      </c>
      <c r="T26" s="70">
        <v>45312</v>
      </c>
      <c r="U26" s="66">
        <f t="shared" si="12"/>
        <v>-2042.8571428571427</v>
      </c>
      <c r="V26" s="66">
        <f t="shared" si="13"/>
        <v>-715</v>
      </c>
      <c r="Y26" s="67" t="s">
        <v>15</v>
      </c>
      <c r="Z26" s="68">
        <v>170.9</v>
      </c>
      <c r="AA26" s="70">
        <v>45277</v>
      </c>
      <c r="AB26" s="70">
        <v>45312</v>
      </c>
      <c r="AC26" s="66">
        <f t="shared" si="14"/>
        <v>-2042.8571428571427</v>
      </c>
      <c r="AD26" s="66">
        <f t="shared" si="15"/>
        <v>-715</v>
      </c>
      <c r="AG26" s="67" t="s">
        <v>15</v>
      </c>
      <c r="AH26" s="68">
        <v>170.9</v>
      </c>
      <c r="AI26" s="70">
        <v>45277</v>
      </c>
      <c r="AJ26" s="70">
        <v>45312</v>
      </c>
      <c r="AK26" s="66">
        <f t="shared" si="16"/>
        <v>-2042.8571428571427</v>
      </c>
      <c r="AL26" s="66">
        <f t="shared" si="17"/>
        <v>-715</v>
      </c>
      <c r="AO26" s="67" t="s">
        <v>15</v>
      </c>
      <c r="AP26" s="68">
        <v>170.9</v>
      </c>
      <c r="AQ26" s="8">
        <v>45277</v>
      </c>
      <c r="AR26" s="8">
        <v>45312</v>
      </c>
      <c r="AS26" s="4">
        <f t="shared" si="18"/>
        <v>-2042.8571428571427</v>
      </c>
      <c r="AT26" s="4">
        <f t="shared" si="19"/>
        <v>-715</v>
      </c>
    </row>
    <row r="27" spans="1:46" ht="22.15" hidden="1" customHeight="1">
      <c r="A27"/>
      <c r="B27" s="65" t="s">
        <v>35</v>
      </c>
      <c r="C27" s="24" t="s">
        <v>15</v>
      </c>
      <c r="D27" s="25">
        <v>159.9</v>
      </c>
      <c r="E27" s="27">
        <v>45277</v>
      </c>
      <c r="F27" s="27">
        <v>45312</v>
      </c>
      <c r="G27" s="66">
        <f t="shared" si="0"/>
        <v>-2042.8571428571427</v>
      </c>
      <c r="H27" s="66">
        <f t="shared" si="1"/>
        <v>-715</v>
      </c>
      <c r="I27" s="67" t="s">
        <v>15</v>
      </c>
      <c r="J27" s="68">
        <v>159.9</v>
      </c>
      <c r="K27" s="70">
        <v>45277</v>
      </c>
      <c r="L27" s="70">
        <v>45312</v>
      </c>
      <c r="M27" s="66">
        <f t="shared" si="2"/>
        <v>-2042.8571428571427</v>
      </c>
      <c r="N27" s="66">
        <f t="shared" si="3"/>
        <v>-715</v>
      </c>
      <c r="Q27" s="67" t="s">
        <v>15</v>
      </c>
      <c r="R27" s="68">
        <v>159.9</v>
      </c>
      <c r="S27" s="70">
        <v>45277</v>
      </c>
      <c r="T27" s="70">
        <v>45312</v>
      </c>
      <c r="U27" s="66">
        <f t="shared" si="12"/>
        <v>-2042.8571428571427</v>
      </c>
      <c r="V27" s="66">
        <f t="shared" si="13"/>
        <v>-715</v>
      </c>
      <c r="Y27" s="67" t="s">
        <v>15</v>
      </c>
      <c r="Z27" s="68">
        <v>159.9</v>
      </c>
      <c r="AA27" s="70">
        <v>45277</v>
      </c>
      <c r="AB27" s="70">
        <v>45312</v>
      </c>
      <c r="AC27" s="66">
        <f t="shared" si="14"/>
        <v>-2042.8571428571427</v>
      </c>
      <c r="AD27" s="66">
        <f t="shared" si="15"/>
        <v>-715</v>
      </c>
      <c r="AG27" s="67" t="s">
        <v>15</v>
      </c>
      <c r="AH27" s="68">
        <v>159.9</v>
      </c>
      <c r="AI27" s="70">
        <v>45277</v>
      </c>
      <c r="AJ27" s="70">
        <v>45312</v>
      </c>
      <c r="AK27" s="66">
        <f t="shared" si="16"/>
        <v>-2042.8571428571427</v>
      </c>
      <c r="AL27" s="66">
        <f t="shared" si="17"/>
        <v>-715</v>
      </c>
      <c r="AO27" s="67" t="s">
        <v>15</v>
      </c>
      <c r="AP27" s="68">
        <v>159.9</v>
      </c>
      <c r="AQ27" s="8">
        <v>45277</v>
      </c>
      <c r="AR27" s="8">
        <v>45312</v>
      </c>
      <c r="AS27" s="4">
        <f t="shared" si="18"/>
        <v>-2042.8571428571427</v>
      </c>
      <c r="AT27" s="4">
        <f t="shared" si="19"/>
        <v>-715</v>
      </c>
    </row>
    <row r="28" spans="1:46" ht="22.15" hidden="1" customHeight="1">
      <c r="A28"/>
      <c r="B28" s="65" t="s">
        <v>36</v>
      </c>
      <c r="C28" s="24" t="s">
        <v>15</v>
      </c>
      <c r="D28" s="25">
        <v>358.6</v>
      </c>
      <c r="E28" s="27">
        <v>45272</v>
      </c>
      <c r="F28" s="27">
        <v>45312</v>
      </c>
      <c r="G28" s="66">
        <f t="shared" si="0"/>
        <v>-1787.5</v>
      </c>
      <c r="H28" s="66">
        <f t="shared" si="1"/>
        <v>-715</v>
      </c>
      <c r="I28" s="67" t="s">
        <v>15</v>
      </c>
      <c r="J28" s="68">
        <v>358.6</v>
      </c>
      <c r="K28" s="70">
        <v>45272</v>
      </c>
      <c r="L28" s="70">
        <v>45312</v>
      </c>
      <c r="M28" s="66">
        <f t="shared" si="2"/>
        <v>-1787.5</v>
      </c>
      <c r="N28" s="66">
        <f t="shared" si="3"/>
        <v>-715</v>
      </c>
      <c r="Q28" s="67" t="s">
        <v>15</v>
      </c>
      <c r="R28" s="68">
        <v>358.6</v>
      </c>
      <c r="S28" s="70">
        <v>45272</v>
      </c>
      <c r="T28" s="70">
        <v>45312</v>
      </c>
      <c r="U28" s="66">
        <f t="shared" si="12"/>
        <v>-1787.5</v>
      </c>
      <c r="V28" s="66">
        <f t="shared" si="13"/>
        <v>-715</v>
      </c>
      <c r="Y28" s="67" t="s">
        <v>15</v>
      </c>
      <c r="Z28" s="68">
        <v>358.6</v>
      </c>
      <c r="AA28" s="70">
        <v>45272</v>
      </c>
      <c r="AB28" s="70">
        <v>45312</v>
      </c>
      <c r="AC28" s="66">
        <f t="shared" si="14"/>
        <v>-1787.5</v>
      </c>
      <c r="AD28" s="66">
        <f t="shared" si="15"/>
        <v>-715</v>
      </c>
      <c r="AG28" s="67" t="s">
        <v>15</v>
      </c>
      <c r="AH28" s="68">
        <v>358.6</v>
      </c>
      <c r="AI28" s="70">
        <v>45272</v>
      </c>
      <c r="AJ28" s="70">
        <v>45312</v>
      </c>
      <c r="AK28" s="66">
        <f t="shared" si="16"/>
        <v>-1787.5</v>
      </c>
      <c r="AL28" s="66">
        <f t="shared" si="17"/>
        <v>-715</v>
      </c>
      <c r="AO28" s="67" t="s">
        <v>15</v>
      </c>
      <c r="AP28" s="68">
        <v>358.6</v>
      </c>
      <c r="AQ28" s="8">
        <v>45272</v>
      </c>
      <c r="AR28" s="8">
        <v>45312</v>
      </c>
      <c r="AS28" s="4">
        <f t="shared" si="18"/>
        <v>-1787.5</v>
      </c>
      <c r="AT28" s="4">
        <f t="shared" si="19"/>
        <v>-715</v>
      </c>
    </row>
    <row r="29" spans="1:46" ht="22.15" hidden="1" customHeight="1">
      <c r="A29"/>
      <c r="B29" s="65" t="s">
        <v>37</v>
      </c>
      <c r="C29" s="24" t="s">
        <v>8</v>
      </c>
      <c r="D29" s="25">
        <v>94</v>
      </c>
      <c r="E29" s="27">
        <v>45268</v>
      </c>
      <c r="F29" s="27">
        <v>45313</v>
      </c>
      <c r="G29" s="66">
        <f t="shared" si="0"/>
        <v>-1586.6666666666667</v>
      </c>
      <c r="H29" s="66">
        <f t="shared" si="1"/>
        <v>-714</v>
      </c>
      <c r="I29" s="67" t="s">
        <v>8</v>
      </c>
      <c r="J29" s="68">
        <v>94</v>
      </c>
      <c r="K29" s="70">
        <v>45268</v>
      </c>
      <c r="L29" s="70">
        <v>45313</v>
      </c>
      <c r="M29" s="66">
        <f t="shared" si="2"/>
        <v>-1586.6666666666667</v>
      </c>
      <c r="N29" s="66">
        <f t="shared" si="3"/>
        <v>-714</v>
      </c>
      <c r="Q29" s="67" t="s">
        <v>8</v>
      </c>
      <c r="R29" s="68">
        <v>94</v>
      </c>
      <c r="S29" s="70">
        <v>45268</v>
      </c>
      <c r="T29" s="70">
        <v>45313</v>
      </c>
      <c r="U29" s="66">
        <f t="shared" si="12"/>
        <v>-1586.6666666666667</v>
      </c>
      <c r="V29" s="66">
        <f t="shared" si="13"/>
        <v>-714</v>
      </c>
      <c r="Y29" s="67" t="s">
        <v>8</v>
      </c>
      <c r="Z29" s="68">
        <v>94</v>
      </c>
      <c r="AA29" s="70">
        <v>45268</v>
      </c>
      <c r="AB29" s="70">
        <v>45313</v>
      </c>
      <c r="AC29" s="66">
        <f t="shared" si="14"/>
        <v>-1586.6666666666667</v>
      </c>
      <c r="AD29" s="66">
        <f t="shared" si="15"/>
        <v>-714</v>
      </c>
      <c r="AG29" s="67" t="s">
        <v>8</v>
      </c>
      <c r="AH29" s="68">
        <v>94</v>
      </c>
      <c r="AI29" s="70">
        <v>45268</v>
      </c>
      <c r="AJ29" s="70">
        <v>45313</v>
      </c>
      <c r="AK29" s="66">
        <f t="shared" si="16"/>
        <v>-1586.6666666666667</v>
      </c>
      <c r="AL29" s="66">
        <f t="shared" si="17"/>
        <v>-714</v>
      </c>
      <c r="AO29" s="67" t="s">
        <v>8</v>
      </c>
      <c r="AP29" s="68">
        <v>94</v>
      </c>
      <c r="AQ29" s="8">
        <v>45268</v>
      </c>
      <c r="AR29" s="8">
        <v>45313</v>
      </c>
      <c r="AS29" s="4">
        <f t="shared" si="18"/>
        <v>-1586.6666666666667</v>
      </c>
      <c r="AT29" s="4">
        <f t="shared" si="19"/>
        <v>-714</v>
      </c>
    </row>
    <row r="30" spans="1:46" ht="22.15" hidden="1" customHeight="1">
      <c r="A30"/>
      <c r="B30" s="65" t="s">
        <v>38</v>
      </c>
      <c r="C30" s="24" t="s">
        <v>8</v>
      </c>
      <c r="D30" s="25">
        <v>134</v>
      </c>
      <c r="E30" s="27">
        <v>45268</v>
      </c>
      <c r="F30" s="27">
        <v>45313</v>
      </c>
      <c r="G30" s="66">
        <f t="shared" si="0"/>
        <v>-1586.6666666666667</v>
      </c>
      <c r="H30" s="66">
        <f t="shared" si="1"/>
        <v>-714</v>
      </c>
      <c r="I30" s="67" t="s">
        <v>8</v>
      </c>
      <c r="J30" s="68">
        <v>134</v>
      </c>
      <c r="K30" s="70">
        <v>45268</v>
      </c>
      <c r="L30" s="70">
        <v>45313</v>
      </c>
      <c r="M30" s="66">
        <f t="shared" si="2"/>
        <v>-1586.6666666666667</v>
      </c>
      <c r="N30" s="66">
        <f t="shared" si="3"/>
        <v>-714</v>
      </c>
      <c r="Q30" s="67" t="s">
        <v>8</v>
      </c>
      <c r="R30" s="68">
        <v>134</v>
      </c>
      <c r="S30" s="70">
        <v>45268</v>
      </c>
      <c r="T30" s="70">
        <v>45313</v>
      </c>
      <c r="U30" s="66">
        <f t="shared" si="12"/>
        <v>-1586.6666666666667</v>
      </c>
      <c r="V30" s="66">
        <f t="shared" si="13"/>
        <v>-714</v>
      </c>
      <c r="Y30" s="67" t="s">
        <v>8</v>
      </c>
      <c r="Z30" s="68">
        <v>134</v>
      </c>
      <c r="AA30" s="70">
        <v>45268</v>
      </c>
      <c r="AB30" s="70">
        <v>45313</v>
      </c>
      <c r="AC30" s="66">
        <f t="shared" si="14"/>
        <v>-1586.6666666666667</v>
      </c>
      <c r="AD30" s="66">
        <f t="shared" si="15"/>
        <v>-714</v>
      </c>
      <c r="AG30" s="67" t="s">
        <v>8</v>
      </c>
      <c r="AH30" s="68">
        <v>134</v>
      </c>
      <c r="AI30" s="70">
        <v>45268</v>
      </c>
      <c r="AJ30" s="70">
        <v>45313</v>
      </c>
      <c r="AK30" s="66">
        <f t="shared" si="16"/>
        <v>-1586.6666666666667</v>
      </c>
      <c r="AL30" s="66">
        <f t="shared" si="17"/>
        <v>-714</v>
      </c>
      <c r="AO30" s="67" t="s">
        <v>8</v>
      </c>
      <c r="AP30" s="68">
        <v>134</v>
      </c>
      <c r="AQ30" s="8">
        <v>45268</v>
      </c>
      <c r="AR30" s="8">
        <v>45313</v>
      </c>
      <c r="AS30" s="4">
        <f t="shared" si="18"/>
        <v>-1586.6666666666667</v>
      </c>
      <c r="AT30" s="4">
        <f t="shared" si="19"/>
        <v>-714</v>
      </c>
    </row>
    <row r="31" spans="1:46" ht="22.15" hidden="1" customHeight="1">
      <c r="A31"/>
      <c r="B31" s="65" t="s">
        <v>39</v>
      </c>
      <c r="C31" s="24" t="s">
        <v>8</v>
      </c>
      <c r="D31" s="25">
        <v>2</v>
      </c>
      <c r="E31" s="27">
        <v>45268</v>
      </c>
      <c r="F31" s="27">
        <v>45313</v>
      </c>
      <c r="G31" s="66">
        <f t="shared" si="0"/>
        <v>-1586.6666666666667</v>
      </c>
      <c r="H31" s="66">
        <f t="shared" si="1"/>
        <v>-714</v>
      </c>
      <c r="I31" s="67" t="s">
        <v>8</v>
      </c>
      <c r="J31" s="68">
        <v>2</v>
      </c>
      <c r="K31" s="70">
        <v>45268</v>
      </c>
      <c r="L31" s="70">
        <v>45313</v>
      </c>
      <c r="M31" s="66">
        <f t="shared" si="2"/>
        <v>-1586.6666666666667</v>
      </c>
      <c r="N31" s="66">
        <f t="shared" si="3"/>
        <v>-714</v>
      </c>
      <c r="Q31" s="67" t="s">
        <v>8</v>
      </c>
      <c r="R31" s="68">
        <v>2</v>
      </c>
      <c r="S31" s="70">
        <v>45268</v>
      </c>
      <c r="T31" s="70">
        <v>45313</v>
      </c>
      <c r="U31" s="66">
        <f t="shared" si="12"/>
        <v>-1586.6666666666667</v>
      </c>
      <c r="V31" s="66">
        <f t="shared" si="13"/>
        <v>-714</v>
      </c>
      <c r="Y31" s="67" t="s">
        <v>8</v>
      </c>
      <c r="Z31" s="68">
        <v>2</v>
      </c>
      <c r="AA31" s="70">
        <v>45268</v>
      </c>
      <c r="AB31" s="70">
        <v>45313</v>
      </c>
      <c r="AC31" s="66">
        <f t="shared" si="14"/>
        <v>-1586.6666666666667</v>
      </c>
      <c r="AD31" s="66">
        <f t="shared" si="15"/>
        <v>-714</v>
      </c>
      <c r="AG31" s="67" t="s">
        <v>8</v>
      </c>
      <c r="AH31" s="68">
        <v>2</v>
      </c>
      <c r="AI31" s="70">
        <v>45268</v>
      </c>
      <c r="AJ31" s="70">
        <v>45313</v>
      </c>
      <c r="AK31" s="66">
        <f t="shared" si="16"/>
        <v>-1586.6666666666667</v>
      </c>
      <c r="AL31" s="66">
        <f t="shared" si="17"/>
        <v>-714</v>
      </c>
      <c r="AO31" s="67" t="s">
        <v>8</v>
      </c>
      <c r="AP31" s="68">
        <v>2</v>
      </c>
      <c r="AQ31" s="8">
        <v>45268</v>
      </c>
      <c r="AR31" s="8">
        <v>45313</v>
      </c>
      <c r="AS31" s="4">
        <f t="shared" si="18"/>
        <v>-1586.6666666666667</v>
      </c>
      <c r="AT31" s="4">
        <f t="shared" si="19"/>
        <v>-714</v>
      </c>
    </row>
    <row r="32" spans="1:46" ht="22.15" hidden="1" customHeight="1">
      <c r="A32"/>
      <c r="B32" s="65" t="s">
        <v>40</v>
      </c>
      <c r="C32" s="24" t="s">
        <v>15</v>
      </c>
      <c r="D32" s="25">
        <v>273.39999999999998</v>
      </c>
      <c r="E32" s="27">
        <v>45268</v>
      </c>
      <c r="F32" s="27">
        <v>45313</v>
      </c>
      <c r="G32" s="66">
        <f t="shared" si="0"/>
        <v>-1586.6666666666667</v>
      </c>
      <c r="H32" s="66">
        <f t="shared" si="1"/>
        <v>-714</v>
      </c>
      <c r="I32" s="67" t="s">
        <v>15</v>
      </c>
      <c r="J32" s="68">
        <v>273.39999999999998</v>
      </c>
      <c r="K32" s="70">
        <v>45268</v>
      </c>
      <c r="L32" s="70">
        <v>45313</v>
      </c>
      <c r="M32" s="66">
        <f t="shared" si="2"/>
        <v>-1586.6666666666667</v>
      </c>
      <c r="N32" s="66">
        <f t="shared" si="3"/>
        <v>-714</v>
      </c>
      <c r="Q32" s="67" t="s">
        <v>15</v>
      </c>
      <c r="R32" s="68">
        <v>273.39999999999998</v>
      </c>
      <c r="S32" s="70">
        <v>45268</v>
      </c>
      <c r="T32" s="70">
        <v>45313</v>
      </c>
      <c r="U32" s="66">
        <f t="shared" si="12"/>
        <v>-1586.6666666666667</v>
      </c>
      <c r="V32" s="66">
        <f t="shared" si="13"/>
        <v>-714</v>
      </c>
      <c r="Y32" s="67" t="s">
        <v>15</v>
      </c>
      <c r="Z32" s="68">
        <v>273.39999999999998</v>
      </c>
      <c r="AA32" s="70">
        <v>45268</v>
      </c>
      <c r="AB32" s="70">
        <v>45313</v>
      </c>
      <c r="AC32" s="66">
        <f t="shared" si="14"/>
        <v>-1586.6666666666667</v>
      </c>
      <c r="AD32" s="66">
        <f t="shared" si="15"/>
        <v>-714</v>
      </c>
      <c r="AG32" s="67" t="s">
        <v>15</v>
      </c>
      <c r="AH32" s="68">
        <v>273.39999999999998</v>
      </c>
      <c r="AI32" s="70">
        <v>45268</v>
      </c>
      <c r="AJ32" s="70">
        <v>45313</v>
      </c>
      <c r="AK32" s="66">
        <f t="shared" si="16"/>
        <v>-1586.6666666666667</v>
      </c>
      <c r="AL32" s="66">
        <f t="shared" si="17"/>
        <v>-714</v>
      </c>
      <c r="AO32" s="67" t="s">
        <v>15</v>
      </c>
      <c r="AP32" s="68">
        <v>273.39999999999998</v>
      </c>
      <c r="AQ32" s="8">
        <v>45268</v>
      </c>
      <c r="AR32" s="8">
        <v>45313</v>
      </c>
      <c r="AS32" s="4">
        <f t="shared" si="18"/>
        <v>-1586.6666666666667</v>
      </c>
      <c r="AT32" s="4">
        <f t="shared" si="19"/>
        <v>-714</v>
      </c>
    </row>
    <row r="33" spans="1:46" ht="22.15" hidden="1" customHeight="1">
      <c r="A33"/>
      <c r="B33" s="65" t="s">
        <v>41</v>
      </c>
      <c r="C33" s="24" t="s">
        <v>15</v>
      </c>
      <c r="D33" s="25">
        <v>160.19999999999999</v>
      </c>
      <c r="E33" s="27">
        <v>45274</v>
      </c>
      <c r="F33" s="27">
        <v>45314</v>
      </c>
      <c r="G33" s="66">
        <f t="shared" si="0"/>
        <v>-1782.5</v>
      </c>
      <c r="H33" s="66">
        <f t="shared" si="1"/>
        <v>-713</v>
      </c>
      <c r="I33" s="67" t="s">
        <v>15</v>
      </c>
      <c r="J33" s="68">
        <v>160.19999999999999</v>
      </c>
      <c r="K33" s="70">
        <v>45274</v>
      </c>
      <c r="L33" s="70">
        <v>45314</v>
      </c>
      <c r="M33" s="66">
        <f t="shared" si="2"/>
        <v>-1782.5</v>
      </c>
      <c r="N33" s="66">
        <f t="shared" si="3"/>
        <v>-713</v>
      </c>
      <c r="Q33" s="67" t="s">
        <v>15</v>
      </c>
      <c r="R33" s="68">
        <v>160.19999999999999</v>
      </c>
      <c r="S33" s="70">
        <v>45274</v>
      </c>
      <c r="T33" s="70">
        <v>45314</v>
      </c>
      <c r="U33" s="66">
        <f t="shared" si="12"/>
        <v>-1782.5</v>
      </c>
      <c r="V33" s="66">
        <f t="shared" si="13"/>
        <v>-713</v>
      </c>
      <c r="Y33" s="67" t="s">
        <v>15</v>
      </c>
      <c r="Z33" s="68">
        <v>160.19999999999999</v>
      </c>
      <c r="AA33" s="70">
        <v>45274</v>
      </c>
      <c r="AB33" s="70">
        <v>45314</v>
      </c>
      <c r="AC33" s="66">
        <f t="shared" si="14"/>
        <v>-1782.5</v>
      </c>
      <c r="AD33" s="66">
        <f t="shared" si="15"/>
        <v>-713</v>
      </c>
      <c r="AG33" s="67" t="s">
        <v>15</v>
      </c>
      <c r="AH33" s="68">
        <v>160.19999999999999</v>
      </c>
      <c r="AI33" s="70">
        <v>45274</v>
      </c>
      <c r="AJ33" s="70">
        <v>45314</v>
      </c>
      <c r="AK33" s="66">
        <f t="shared" si="16"/>
        <v>-1782.5</v>
      </c>
      <c r="AL33" s="66">
        <f t="shared" si="17"/>
        <v>-713</v>
      </c>
      <c r="AO33" s="67" t="s">
        <v>15</v>
      </c>
      <c r="AP33" s="68">
        <v>160.19999999999999</v>
      </c>
      <c r="AQ33" s="8">
        <v>45274</v>
      </c>
      <c r="AR33" s="8">
        <v>45314</v>
      </c>
      <c r="AS33" s="4">
        <f t="shared" si="18"/>
        <v>-1782.5</v>
      </c>
      <c r="AT33" s="4">
        <f t="shared" si="19"/>
        <v>-713</v>
      </c>
    </row>
    <row r="34" spans="1:46" ht="22.15" hidden="1" customHeight="1">
      <c r="A34"/>
      <c r="B34" s="65" t="s">
        <v>42</v>
      </c>
      <c r="C34" s="24" t="s">
        <v>15</v>
      </c>
      <c r="D34" s="25">
        <v>351.4</v>
      </c>
      <c r="E34" s="27">
        <v>45275</v>
      </c>
      <c r="F34" s="27">
        <v>45315</v>
      </c>
      <c r="G34" s="66">
        <f t="shared" si="0"/>
        <v>-1780</v>
      </c>
      <c r="H34" s="66">
        <f t="shared" si="1"/>
        <v>-712</v>
      </c>
      <c r="I34" s="67" t="s">
        <v>15</v>
      </c>
      <c r="J34" s="68">
        <v>351.4</v>
      </c>
      <c r="K34" s="70">
        <v>45275</v>
      </c>
      <c r="L34" s="70">
        <v>45315</v>
      </c>
      <c r="M34" s="66">
        <f t="shared" si="2"/>
        <v>-1780</v>
      </c>
      <c r="N34" s="66">
        <f t="shared" si="3"/>
        <v>-712</v>
      </c>
      <c r="Q34" s="67" t="s">
        <v>15</v>
      </c>
      <c r="R34" s="68">
        <v>351.4</v>
      </c>
      <c r="S34" s="70">
        <v>45275</v>
      </c>
      <c r="T34" s="70">
        <v>45315</v>
      </c>
      <c r="U34" s="66">
        <f t="shared" si="12"/>
        <v>-1780</v>
      </c>
      <c r="V34" s="66">
        <f t="shared" si="13"/>
        <v>-712</v>
      </c>
      <c r="Y34" s="67" t="s">
        <v>15</v>
      </c>
      <c r="Z34" s="68">
        <v>351.4</v>
      </c>
      <c r="AA34" s="70">
        <v>45275</v>
      </c>
      <c r="AB34" s="70">
        <v>45315</v>
      </c>
      <c r="AC34" s="66">
        <f t="shared" si="14"/>
        <v>-1780</v>
      </c>
      <c r="AD34" s="66">
        <f t="shared" si="15"/>
        <v>-712</v>
      </c>
      <c r="AG34" s="67" t="s">
        <v>15</v>
      </c>
      <c r="AH34" s="68">
        <v>351.4</v>
      </c>
      <c r="AI34" s="70">
        <v>45275</v>
      </c>
      <c r="AJ34" s="70">
        <v>45315</v>
      </c>
      <c r="AK34" s="66">
        <f t="shared" si="16"/>
        <v>-1780</v>
      </c>
      <c r="AL34" s="66">
        <f t="shared" si="17"/>
        <v>-712</v>
      </c>
      <c r="AO34" s="67" t="s">
        <v>15</v>
      </c>
      <c r="AP34" s="68">
        <v>351.4</v>
      </c>
      <c r="AQ34" s="8">
        <v>45275</v>
      </c>
      <c r="AR34" s="8">
        <v>45315</v>
      </c>
      <c r="AS34" s="4">
        <f t="shared" si="18"/>
        <v>-1780</v>
      </c>
      <c r="AT34" s="4">
        <f t="shared" si="19"/>
        <v>-712</v>
      </c>
    </row>
    <row r="35" spans="1:46" ht="22.15" hidden="1" customHeight="1">
      <c r="A35"/>
      <c r="B35" s="65" t="s">
        <v>43</v>
      </c>
      <c r="C35" s="24" t="s">
        <v>15</v>
      </c>
      <c r="D35" s="25">
        <v>19.004000000000001</v>
      </c>
      <c r="E35" s="27">
        <v>45275</v>
      </c>
      <c r="F35" s="27">
        <v>45315</v>
      </c>
      <c r="G35" s="66">
        <f t="shared" si="0"/>
        <v>-1780</v>
      </c>
      <c r="H35" s="66">
        <f t="shared" si="1"/>
        <v>-712</v>
      </c>
      <c r="I35" s="67" t="s">
        <v>15</v>
      </c>
      <c r="J35" s="68">
        <v>19.004000000000001</v>
      </c>
      <c r="K35" s="70">
        <v>45275</v>
      </c>
      <c r="L35" s="70">
        <v>45315</v>
      </c>
      <c r="M35" s="66">
        <f t="shared" si="2"/>
        <v>-1780</v>
      </c>
      <c r="N35" s="66">
        <f t="shared" si="3"/>
        <v>-712</v>
      </c>
      <c r="Q35" s="67" t="s">
        <v>15</v>
      </c>
      <c r="R35" s="68">
        <v>19.004000000000001</v>
      </c>
      <c r="S35" s="70">
        <v>45275</v>
      </c>
      <c r="T35" s="70">
        <v>45315</v>
      </c>
      <c r="U35" s="66">
        <f t="shared" si="12"/>
        <v>-1780</v>
      </c>
      <c r="V35" s="66">
        <f t="shared" si="13"/>
        <v>-712</v>
      </c>
      <c r="Y35" s="67" t="s">
        <v>15</v>
      </c>
      <c r="Z35" s="68">
        <v>19.004000000000001</v>
      </c>
      <c r="AA35" s="70">
        <v>45275</v>
      </c>
      <c r="AB35" s="70">
        <v>45315</v>
      </c>
      <c r="AC35" s="66">
        <f t="shared" si="14"/>
        <v>-1780</v>
      </c>
      <c r="AD35" s="66">
        <f t="shared" si="15"/>
        <v>-712</v>
      </c>
      <c r="AG35" s="67" t="s">
        <v>15</v>
      </c>
      <c r="AH35" s="68">
        <v>19.004000000000001</v>
      </c>
      <c r="AI35" s="70">
        <v>45275</v>
      </c>
      <c r="AJ35" s="70">
        <v>45315</v>
      </c>
      <c r="AK35" s="66">
        <f t="shared" si="16"/>
        <v>-1780</v>
      </c>
      <c r="AL35" s="66">
        <f t="shared" si="17"/>
        <v>-712</v>
      </c>
      <c r="AO35" s="67" t="s">
        <v>15</v>
      </c>
      <c r="AP35" s="68">
        <v>19.004000000000001</v>
      </c>
      <c r="AQ35" s="8">
        <v>45275</v>
      </c>
      <c r="AR35" s="8">
        <v>45315</v>
      </c>
      <c r="AS35" s="4">
        <f t="shared" si="18"/>
        <v>-1780</v>
      </c>
      <c r="AT35" s="4">
        <f t="shared" si="19"/>
        <v>-712</v>
      </c>
    </row>
    <row r="36" spans="1:46" ht="22.15" hidden="1" customHeight="1">
      <c r="A36"/>
      <c r="B36" s="65" t="s">
        <v>44</v>
      </c>
      <c r="C36" s="24" t="s">
        <v>15</v>
      </c>
      <c r="D36" s="25">
        <v>6.56</v>
      </c>
      <c r="E36" s="27"/>
      <c r="F36" s="27"/>
      <c r="G36" s="66" t="str">
        <f t="shared" si="0"/>
        <v/>
      </c>
      <c r="H36" s="66">
        <f t="shared" si="1"/>
        <v>-46027</v>
      </c>
      <c r="I36" s="67" t="s">
        <v>15</v>
      </c>
      <c r="J36" s="68">
        <v>6.56</v>
      </c>
      <c r="K36" s="70"/>
      <c r="L36" s="70"/>
      <c r="M36" s="66" t="str">
        <f t="shared" si="2"/>
        <v/>
      </c>
      <c r="N36" s="66">
        <f t="shared" si="3"/>
        <v>-46027</v>
      </c>
      <c r="Q36" s="67" t="s">
        <v>15</v>
      </c>
      <c r="R36" s="68">
        <v>6.56</v>
      </c>
      <c r="S36" s="70"/>
      <c r="T36" s="70"/>
      <c r="U36" s="66" t="str">
        <f t="shared" si="12"/>
        <v/>
      </c>
      <c r="V36" s="66">
        <f t="shared" si="13"/>
        <v>-46027</v>
      </c>
      <c r="Y36" s="67" t="s">
        <v>15</v>
      </c>
      <c r="Z36" s="68">
        <v>6.56</v>
      </c>
      <c r="AA36" s="70"/>
      <c r="AB36" s="70"/>
      <c r="AC36" s="66" t="str">
        <f t="shared" si="14"/>
        <v/>
      </c>
      <c r="AD36" s="66">
        <f t="shared" si="15"/>
        <v>-46027</v>
      </c>
      <c r="AG36" s="67" t="s">
        <v>15</v>
      </c>
      <c r="AH36" s="68">
        <v>6.56</v>
      </c>
      <c r="AI36" s="70"/>
      <c r="AJ36" s="70"/>
      <c r="AK36" s="66" t="str">
        <f t="shared" si="16"/>
        <v/>
      </c>
      <c r="AL36" s="66">
        <f t="shared" si="17"/>
        <v>-46027</v>
      </c>
      <c r="AO36" s="67" t="s">
        <v>15</v>
      </c>
      <c r="AP36" s="68">
        <v>6.56</v>
      </c>
      <c r="AQ36" s="8"/>
      <c r="AR36" s="8"/>
      <c r="AS36" s="4" t="str">
        <f t="shared" si="18"/>
        <v/>
      </c>
      <c r="AT36" s="4">
        <f t="shared" si="19"/>
        <v>-46027</v>
      </c>
    </row>
    <row r="37" spans="1:46" ht="22.15" hidden="1" customHeight="1">
      <c r="A37"/>
      <c r="B37" s="65" t="s">
        <v>45</v>
      </c>
      <c r="C37" s="24" t="s">
        <v>15</v>
      </c>
      <c r="D37" s="25">
        <v>115.69499999999999</v>
      </c>
      <c r="E37" s="27">
        <v>45276</v>
      </c>
      <c r="F37" s="27">
        <v>45316</v>
      </c>
      <c r="G37" s="66">
        <f t="shared" si="0"/>
        <v>-1777.4999999999998</v>
      </c>
      <c r="H37" s="66">
        <f t="shared" si="1"/>
        <v>-711</v>
      </c>
      <c r="I37" s="67" t="s">
        <v>15</v>
      </c>
      <c r="J37" s="68">
        <v>115.69499999999999</v>
      </c>
      <c r="K37" s="70">
        <v>45276</v>
      </c>
      <c r="L37" s="70">
        <v>45316</v>
      </c>
      <c r="M37" s="66">
        <f t="shared" si="2"/>
        <v>-1777.4999999999998</v>
      </c>
      <c r="N37" s="66">
        <f t="shared" si="3"/>
        <v>-711</v>
      </c>
      <c r="Q37" s="67" t="s">
        <v>15</v>
      </c>
      <c r="R37" s="68">
        <v>115.69499999999999</v>
      </c>
      <c r="S37" s="70">
        <v>45276</v>
      </c>
      <c r="T37" s="70">
        <v>45316</v>
      </c>
      <c r="U37" s="66">
        <f t="shared" si="12"/>
        <v>-1777.4999999999998</v>
      </c>
      <c r="V37" s="66">
        <f t="shared" si="13"/>
        <v>-711</v>
      </c>
      <c r="Y37" s="67" t="s">
        <v>15</v>
      </c>
      <c r="Z37" s="68">
        <v>115.69499999999999</v>
      </c>
      <c r="AA37" s="70">
        <v>45276</v>
      </c>
      <c r="AB37" s="70">
        <v>45316</v>
      </c>
      <c r="AC37" s="66">
        <f t="shared" si="14"/>
        <v>-1777.4999999999998</v>
      </c>
      <c r="AD37" s="66">
        <f t="shared" si="15"/>
        <v>-711</v>
      </c>
      <c r="AG37" s="67" t="s">
        <v>15</v>
      </c>
      <c r="AH37" s="68">
        <v>115.69499999999999</v>
      </c>
      <c r="AI37" s="70">
        <v>45276</v>
      </c>
      <c r="AJ37" s="70">
        <v>45316</v>
      </c>
      <c r="AK37" s="66">
        <f t="shared" si="16"/>
        <v>-1777.4999999999998</v>
      </c>
      <c r="AL37" s="66">
        <f t="shared" si="17"/>
        <v>-711</v>
      </c>
      <c r="AO37" s="67" t="s">
        <v>15</v>
      </c>
      <c r="AP37" s="68">
        <v>115.69499999999999</v>
      </c>
      <c r="AQ37" s="8">
        <v>45276</v>
      </c>
      <c r="AR37" s="8">
        <v>45316</v>
      </c>
      <c r="AS37" s="4">
        <f t="shared" si="18"/>
        <v>-1777.4999999999998</v>
      </c>
      <c r="AT37" s="4">
        <f t="shared" si="19"/>
        <v>-711</v>
      </c>
    </row>
    <row r="38" spans="1:46" ht="22.15" hidden="1" customHeight="1">
      <c r="A38"/>
      <c r="B38" s="65" t="s">
        <v>46</v>
      </c>
      <c r="C38" s="24" t="s">
        <v>8</v>
      </c>
      <c r="D38" s="25">
        <v>234</v>
      </c>
      <c r="E38" s="27">
        <v>45260</v>
      </c>
      <c r="F38" s="27">
        <v>45320</v>
      </c>
      <c r="G38" s="66">
        <f>IFERROR((F38-$G$1)/(F38-E38)*100,"")</f>
        <v>-1178.3333333333333</v>
      </c>
      <c r="H38" s="66">
        <f>F38-$H$1</f>
        <v>-707</v>
      </c>
      <c r="I38" s="67" t="s">
        <v>8</v>
      </c>
      <c r="J38" s="68">
        <v>234</v>
      </c>
      <c r="K38" s="70">
        <v>45260</v>
      </c>
      <c r="L38" s="70">
        <v>45320</v>
      </c>
      <c r="M38" s="66">
        <f>IFERROR((L38-$G$1)/(L38-K38)*100,"")</f>
        <v>-1178.3333333333333</v>
      </c>
      <c r="N38" s="66">
        <f>L38-$H$1</f>
        <v>-707</v>
      </c>
      <c r="Q38" s="67" t="s">
        <v>8</v>
      </c>
      <c r="R38" s="68">
        <v>234</v>
      </c>
      <c r="S38" s="70">
        <v>45260</v>
      </c>
      <c r="T38" s="70">
        <v>45320</v>
      </c>
      <c r="U38" s="66">
        <f>IFERROR((T38-$G$1)/(T38-S38)*100,"")</f>
        <v>-1178.3333333333333</v>
      </c>
      <c r="V38" s="66">
        <f>T38-$H$1</f>
        <v>-707</v>
      </c>
      <c r="Y38" s="67" t="s">
        <v>8</v>
      </c>
      <c r="Z38" s="68">
        <v>234</v>
      </c>
      <c r="AA38" s="70">
        <v>45260</v>
      </c>
      <c r="AB38" s="70">
        <v>45320</v>
      </c>
      <c r="AC38" s="66">
        <f>IFERROR((AB38-$G$1)/(AB38-AA38)*100,"")</f>
        <v>-1178.3333333333333</v>
      </c>
      <c r="AD38" s="66">
        <f>AB38-$H$1</f>
        <v>-707</v>
      </c>
      <c r="AG38" s="67" t="s">
        <v>8</v>
      </c>
      <c r="AH38" s="68">
        <v>234</v>
      </c>
      <c r="AI38" s="70">
        <v>45260</v>
      </c>
      <c r="AJ38" s="70">
        <v>45320</v>
      </c>
      <c r="AK38" s="66">
        <f>IFERROR((AJ38-$G$1)/(AJ38-AI38)*100,"")</f>
        <v>-1178.3333333333333</v>
      </c>
      <c r="AL38" s="66">
        <f>AJ38-$H$1</f>
        <v>-707</v>
      </c>
      <c r="AO38" s="67" t="s">
        <v>8</v>
      </c>
      <c r="AP38" s="68">
        <v>234</v>
      </c>
      <c r="AQ38" s="8">
        <v>45260</v>
      </c>
      <c r="AR38" s="8">
        <v>45320</v>
      </c>
      <c r="AS38" s="4">
        <f>IFERROR((AR38-$G$1)/(AR38-AQ38)*100,"")</f>
        <v>-1178.3333333333333</v>
      </c>
      <c r="AT38" s="4">
        <f>AR38-$H$1</f>
        <v>-707</v>
      </c>
    </row>
    <row r="39" spans="1:46" ht="22.15" hidden="1" customHeight="1">
      <c r="A39"/>
      <c r="B39" s="65" t="s">
        <v>47</v>
      </c>
      <c r="C39" s="24" t="s">
        <v>8</v>
      </c>
      <c r="D39" s="25">
        <v>480</v>
      </c>
      <c r="E39" s="27"/>
      <c r="F39" s="27"/>
      <c r="G39" s="66" t="str">
        <f t="shared" ref="G39:G82" si="20">IFERROR((F39-$G$1)/(F39-E39)*100,"")</f>
        <v/>
      </c>
      <c r="H39" s="66">
        <f t="shared" ref="H39:H71" si="21">F39-$H$1</f>
        <v>-46027</v>
      </c>
      <c r="I39" s="67" t="s">
        <v>8</v>
      </c>
      <c r="J39" s="68">
        <v>480</v>
      </c>
      <c r="K39" s="70"/>
      <c r="L39" s="70"/>
      <c r="M39" s="66" t="str">
        <f t="shared" ref="M39:M82" si="22">IFERROR((L39-$G$1)/(L39-K39)*100,"")</f>
        <v/>
      </c>
      <c r="N39" s="66">
        <f t="shared" ref="N39:N87" si="23">L39-$H$1</f>
        <v>-46027</v>
      </c>
      <c r="Q39" s="67" t="s">
        <v>8</v>
      </c>
      <c r="R39" s="68">
        <v>480</v>
      </c>
      <c r="S39" s="70"/>
      <c r="T39" s="70"/>
      <c r="U39" s="66" t="str">
        <f t="shared" ref="U39:U82" si="24">IFERROR((T39-$G$1)/(T39-S39)*100,"")</f>
        <v/>
      </c>
      <c r="V39" s="66">
        <f t="shared" ref="V39:V102" si="25">T39-$H$1</f>
        <v>-46027</v>
      </c>
      <c r="Y39" s="67" t="s">
        <v>8</v>
      </c>
      <c r="Z39" s="68">
        <v>480</v>
      </c>
      <c r="AA39" s="70"/>
      <c r="AB39" s="70"/>
      <c r="AC39" s="66" t="str">
        <f t="shared" ref="AC39:AC82" si="26">IFERROR((AB39-$G$1)/(AB39-AA39)*100,"")</f>
        <v/>
      </c>
      <c r="AD39" s="66">
        <f t="shared" ref="AD39:AD102" si="27">AB39-$H$1</f>
        <v>-46027</v>
      </c>
      <c r="AG39" s="67" t="s">
        <v>8</v>
      </c>
      <c r="AH39" s="68">
        <v>480</v>
      </c>
      <c r="AI39" s="70"/>
      <c r="AJ39" s="70"/>
      <c r="AK39" s="66" t="str">
        <f t="shared" ref="AK39:AK82" si="28">IFERROR((AJ39-$G$1)/(AJ39-AI39)*100,"")</f>
        <v/>
      </c>
      <c r="AL39" s="66">
        <f t="shared" ref="AL39:AL102" si="29">AJ39-$H$1</f>
        <v>-46027</v>
      </c>
      <c r="AO39" s="67" t="s">
        <v>8</v>
      </c>
      <c r="AP39" s="68">
        <v>480</v>
      </c>
      <c r="AQ39" s="8"/>
      <c r="AR39" s="8"/>
      <c r="AS39" s="4" t="str">
        <f t="shared" ref="AS39:AS82" si="30">IFERROR((AR39-$G$1)/(AR39-AQ39)*100,"")</f>
        <v/>
      </c>
      <c r="AT39" s="4">
        <f t="shared" ref="AT39:AT102" si="31">AR39-$H$1</f>
        <v>-46027</v>
      </c>
    </row>
    <row r="40" spans="1:46" ht="22.15" hidden="1" customHeight="1">
      <c r="A40"/>
      <c r="B40" s="65" t="s">
        <v>48</v>
      </c>
      <c r="C40" s="24" t="s">
        <v>8</v>
      </c>
      <c r="D40" s="25">
        <v>480</v>
      </c>
      <c r="E40" s="27"/>
      <c r="F40" s="27"/>
      <c r="G40" s="66" t="str">
        <f t="shared" si="20"/>
        <v/>
      </c>
      <c r="H40" s="66">
        <f t="shared" si="21"/>
        <v>-46027</v>
      </c>
      <c r="I40" s="67" t="s">
        <v>8</v>
      </c>
      <c r="J40" s="68">
        <v>480</v>
      </c>
      <c r="K40" s="70"/>
      <c r="L40" s="70"/>
      <c r="M40" s="66" t="str">
        <f t="shared" si="22"/>
        <v/>
      </c>
      <c r="N40" s="66">
        <f t="shared" si="23"/>
        <v>-46027</v>
      </c>
      <c r="Q40" s="67" t="s">
        <v>8</v>
      </c>
      <c r="R40" s="68">
        <v>480</v>
      </c>
      <c r="S40" s="70"/>
      <c r="T40" s="70"/>
      <c r="U40" s="66" t="str">
        <f t="shared" si="24"/>
        <v/>
      </c>
      <c r="V40" s="66">
        <f t="shared" si="25"/>
        <v>-46027</v>
      </c>
      <c r="Y40" s="67" t="s">
        <v>8</v>
      </c>
      <c r="Z40" s="68">
        <v>480</v>
      </c>
      <c r="AA40" s="70"/>
      <c r="AB40" s="70"/>
      <c r="AC40" s="66" t="str">
        <f t="shared" si="26"/>
        <v/>
      </c>
      <c r="AD40" s="66">
        <f t="shared" si="27"/>
        <v>-46027</v>
      </c>
      <c r="AG40" s="67" t="s">
        <v>8</v>
      </c>
      <c r="AH40" s="68">
        <v>480</v>
      </c>
      <c r="AI40" s="70"/>
      <c r="AJ40" s="70"/>
      <c r="AK40" s="66" t="str">
        <f t="shared" si="28"/>
        <v/>
      </c>
      <c r="AL40" s="66">
        <f t="shared" si="29"/>
        <v>-46027</v>
      </c>
      <c r="AO40" s="67" t="s">
        <v>8</v>
      </c>
      <c r="AP40" s="68">
        <v>480</v>
      </c>
      <c r="AQ40" s="8"/>
      <c r="AR40" s="8"/>
      <c r="AS40" s="4" t="str">
        <f t="shared" si="30"/>
        <v/>
      </c>
      <c r="AT40" s="4">
        <f t="shared" si="31"/>
        <v>-46027</v>
      </c>
    </row>
    <row r="41" spans="1:46" ht="22.15" hidden="1" customHeight="1">
      <c r="A41"/>
      <c r="B41" s="65" t="s">
        <v>49</v>
      </c>
      <c r="C41" s="24" t="s">
        <v>8</v>
      </c>
      <c r="D41" s="25">
        <v>2136</v>
      </c>
      <c r="E41" s="27"/>
      <c r="F41" s="27"/>
      <c r="G41" s="66" t="str">
        <f t="shared" si="20"/>
        <v/>
      </c>
      <c r="H41" s="66">
        <f t="shared" si="21"/>
        <v>-46027</v>
      </c>
      <c r="I41" s="67" t="s">
        <v>8</v>
      </c>
      <c r="J41" s="68">
        <v>2136</v>
      </c>
      <c r="K41" s="70"/>
      <c r="L41" s="70"/>
      <c r="M41" s="66" t="str">
        <f t="shared" si="22"/>
        <v/>
      </c>
      <c r="N41" s="66">
        <f t="shared" si="23"/>
        <v>-46027</v>
      </c>
      <c r="Q41" s="67" t="s">
        <v>8</v>
      </c>
      <c r="R41" s="68">
        <v>2136</v>
      </c>
      <c r="S41" s="70"/>
      <c r="T41" s="70"/>
      <c r="U41" s="66" t="str">
        <f t="shared" si="24"/>
        <v/>
      </c>
      <c r="V41" s="66">
        <f t="shared" si="25"/>
        <v>-46027</v>
      </c>
      <c r="Y41" s="67" t="s">
        <v>8</v>
      </c>
      <c r="Z41" s="68">
        <v>2136</v>
      </c>
      <c r="AA41" s="70"/>
      <c r="AB41" s="70"/>
      <c r="AC41" s="66" t="str">
        <f t="shared" si="26"/>
        <v/>
      </c>
      <c r="AD41" s="66">
        <f t="shared" si="27"/>
        <v>-46027</v>
      </c>
      <c r="AG41" s="67" t="s">
        <v>8</v>
      </c>
      <c r="AH41" s="68">
        <v>2136</v>
      </c>
      <c r="AI41" s="70"/>
      <c r="AJ41" s="70"/>
      <c r="AK41" s="66" t="str">
        <f t="shared" si="28"/>
        <v/>
      </c>
      <c r="AL41" s="66">
        <f t="shared" si="29"/>
        <v>-46027</v>
      </c>
      <c r="AO41" s="67" t="s">
        <v>8</v>
      </c>
      <c r="AP41" s="68">
        <v>2136</v>
      </c>
      <c r="AQ41" s="8"/>
      <c r="AR41" s="8"/>
      <c r="AS41" s="4" t="str">
        <f t="shared" si="30"/>
        <v/>
      </c>
      <c r="AT41" s="4">
        <f t="shared" si="31"/>
        <v>-46027</v>
      </c>
    </row>
    <row r="42" spans="1:46" ht="22.15" hidden="1" customHeight="1">
      <c r="A42"/>
      <c r="B42" s="65" t="s">
        <v>50</v>
      </c>
      <c r="C42" s="24" t="s">
        <v>8</v>
      </c>
      <c r="D42" s="25">
        <v>192</v>
      </c>
      <c r="E42" s="27"/>
      <c r="F42" s="27"/>
      <c r="G42" s="66" t="str">
        <f t="shared" si="20"/>
        <v/>
      </c>
      <c r="H42" s="66">
        <f t="shared" si="21"/>
        <v>-46027</v>
      </c>
      <c r="I42" s="67" t="s">
        <v>8</v>
      </c>
      <c r="J42" s="68">
        <v>192</v>
      </c>
      <c r="K42" s="70"/>
      <c r="L42" s="70"/>
      <c r="M42" s="66" t="str">
        <f t="shared" si="22"/>
        <v/>
      </c>
      <c r="N42" s="66">
        <f t="shared" si="23"/>
        <v>-46027</v>
      </c>
      <c r="Q42" s="67" t="s">
        <v>8</v>
      </c>
      <c r="R42" s="68">
        <v>192</v>
      </c>
      <c r="S42" s="70"/>
      <c r="T42" s="70"/>
      <c r="U42" s="66" t="str">
        <f t="shared" si="24"/>
        <v/>
      </c>
      <c r="V42" s="66">
        <f t="shared" si="25"/>
        <v>-46027</v>
      </c>
      <c r="Y42" s="67" t="s">
        <v>8</v>
      </c>
      <c r="Z42" s="68">
        <v>192</v>
      </c>
      <c r="AA42" s="70"/>
      <c r="AB42" s="70"/>
      <c r="AC42" s="66" t="str">
        <f t="shared" si="26"/>
        <v/>
      </c>
      <c r="AD42" s="66">
        <f t="shared" si="27"/>
        <v>-46027</v>
      </c>
      <c r="AG42" s="67" t="s">
        <v>8</v>
      </c>
      <c r="AH42" s="68">
        <v>192</v>
      </c>
      <c r="AI42" s="70"/>
      <c r="AJ42" s="70"/>
      <c r="AK42" s="66" t="str">
        <f t="shared" si="28"/>
        <v/>
      </c>
      <c r="AL42" s="66">
        <f t="shared" si="29"/>
        <v>-46027</v>
      </c>
      <c r="AO42" s="67" t="s">
        <v>8</v>
      </c>
      <c r="AP42" s="68">
        <v>192</v>
      </c>
      <c r="AQ42" s="8"/>
      <c r="AR42" s="8"/>
      <c r="AS42" s="4" t="str">
        <f t="shared" si="30"/>
        <v/>
      </c>
      <c r="AT42" s="4">
        <f t="shared" si="31"/>
        <v>-46027</v>
      </c>
    </row>
    <row r="43" spans="1:46" ht="22.15" hidden="1" customHeight="1">
      <c r="A43"/>
      <c r="B43" s="65" t="s">
        <v>51</v>
      </c>
      <c r="C43" s="24" t="s">
        <v>8</v>
      </c>
      <c r="D43" s="25">
        <v>192</v>
      </c>
      <c r="E43" s="27"/>
      <c r="F43" s="27"/>
      <c r="G43" s="66" t="str">
        <f t="shared" si="20"/>
        <v/>
      </c>
      <c r="H43" s="66">
        <f t="shared" si="21"/>
        <v>-46027</v>
      </c>
      <c r="I43" s="67" t="s">
        <v>8</v>
      </c>
      <c r="J43" s="68">
        <v>192</v>
      </c>
      <c r="K43" s="70"/>
      <c r="L43" s="70"/>
      <c r="M43" s="66" t="str">
        <f t="shared" si="22"/>
        <v/>
      </c>
      <c r="N43" s="66">
        <f t="shared" si="23"/>
        <v>-46027</v>
      </c>
      <c r="Q43" s="67" t="s">
        <v>8</v>
      </c>
      <c r="R43" s="68">
        <v>192</v>
      </c>
      <c r="S43" s="70"/>
      <c r="T43" s="70"/>
      <c r="U43" s="66" t="str">
        <f t="shared" si="24"/>
        <v/>
      </c>
      <c r="V43" s="66">
        <f t="shared" si="25"/>
        <v>-46027</v>
      </c>
      <c r="Y43" s="67" t="s">
        <v>8</v>
      </c>
      <c r="Z43" s="68">
        <v>192</v>
      </c>
      <c r="AA43" s="70"/>
      <c r="AB43" s="70"/>
      <c r="AC43" s="66" t="str">
        <f t="shared" si="26"/>
        <v/>
      </c>
      <c r="AD43" s="66">
        <f t="shared" si="27"/>
        <v>-46027</v>
      </c>
      <c r="AG43" s="67" t="s">
        <v>8</v>
      </c>
      <c r="AH43" s="68">
        <v>192</v>
      </c>
      <c r="AI43" s="70"/>
      <c r="AJ43" s="70"/>
      <c r="AK43" s="66" t="str">
        <f t="shared" si="28"/>
        <v/>
      </c>
      <c r="AL43" s="66">
        <f t="shared" si="29"/>
        <v>-46027</v>
      </c>
      <c r="AO43" s="67" t="s">
        <v>8</v>
      </c>
      <c r="AP43" s="68">
        <v>192</v>
      </c>
      <c r="AQ43" s="8"/>
      <c r="AR43" s="8"/>
      <c r="AS43" s="4" t="str">
        <f t="shared" si="30"/>
        <v/>
      </c>
      <c r="AT43" s="4">
        <f t="shared" si="31"/>
        <v>-46027</v>
      </c>
    </row>
    <row r="44" spans="1:46" ht="22.15" hidden="1" customHeight="1">
      <c r="A44"/>
      <c r="B44" s="65" t="s">
        <v>52</v>
      </c>
      <c r="C44" s="24" t="s">
        <v>8</v>
      </c>
      <c r="D44" s="25">
        <v>2368</v>
      </c>
      <c r="E44" s="27"/>
      <c r="F44" s="27"/>
      <c r="G44" s="66" t="str">
        <f t="shared" si="20"/>
        <v/>
      </c>
      <c r="H44" s="66">
        <f t="shared" si="21"/>
        <v>-46027</v>
      </c>
      <c r="I44" s="67" t="s">
        <v>8</v>
      </c>
      <c r="J44" s="68">
        <v>2368</v>
      </c>
      <c r="K44" s="70"/>
      <c r="L44" s="70"/>
      <c r="M44" s="66" t="str">
        <f t="shared" si="22"/>
        <v/>
      </c>
      <c r="N44" s="66">
        <f t="shared" si="23"/>
        <v>-46027</v>
      </c>
      <c r="Q44" s="67" t="s">
        <v>8</v>
      </c>
      <c r="R44" s="68">
        <v>2368</v>
      </c>
      <c r="S44" s="70"/>
      <c r="T44" s="70"/>
      <c r="U44" s="66" t="str">
        <f t="shared" si="24"/>
        <v/>
      </c>
      <c r="V44" s="66">
        <f t="shared" si="25"/>
        <v>-46027</v>
      </c>
      <c r="Y44" s="67" t="s">
        <v>8</v>
      </c>
      <c r="Z44" s="68">
        <v>2368</v>
      </c>
      <c r="AA44" s="70"/>
      <c r="AB44" s="70"/>
      <c r="AC44" s="66" t="str">
        <f t="shared" si="26"/>
        <v/>
      </c>
      <c r="AD44" s="66">
        <f t="shared" si="27"/>
        <v>-46027</v>
      </c>
      <c r="AG44" s="67" t="s">
        <v>8</v>
      </c>
      <c r="AH44" s="68">
        <v>2368</v>
      </c>
      <c r="AI44" s="70"/>
      <c r="AJ44" s="70"/>
      <c r="AK44" s="66" t="str">
        <f t="shared" si="28"/>
        <v/>
      </c>
      <c r="AL44" s="66">
        <f t="shared" si="29"/>
        <v>-46027</v>
      </c>
      <c r="AO44" s="67" t="s">
        <v>8</v>
      </c>
      <c r="AP44" s="68">
        <v>2368</v>
      </c>
      <c r="AQ44" s="8"/>
      <c r="AR44" s="8"/>
      <c r="AS44" s="4" t="str">
        <f t="shared" si="30"/>
        <v/>
      </c>
      <c r="AT44" s="4">
        <f t="shared" si="31"/>
        <v>-46027</v>
      </c>
    </row>
    <row r="45" spans="1:46" ht="22.15" hidden="1" customHeight="1">
      <c r="A45"/>
      <c r="B45" s="65" t="s">
        <v>53</v>
      </c>
      <c r="C45" s="24" t="s">
        <v>8</v>
      </c>
      <c r="D45" s="25">
        <v>836</v>
      </c>
      <c r="E45" s="27"/>
      <c r="F45" s="27"/>
      <c r="G45" s="66" t="str">
        <f t="shared" si="20"/>
        <v/>
      </c>
      <c r="H45" s="66">
        <f t="shared" si="21"/>
        <v>-46027</v>
      </c>
      <c r="I45" s="67" t="s">
        <v>8</v>
      </c>
      <c r="J45" s="68">
        <v>836</v>
      </c>
      <c r="K45" s="70"/>
      <c r="L45" s="70"/>
      <c r="M45" s="66" t="str">
        <f t="shared" si="22"/>
        <v/>
      </c>
      <c r="N45" s="66">
        <f t="shared" si="23"/>
        <v>-46027</v>
      </c>
      <c r="Q45" s="67" t="s">
        <v>8</v>
      </c>
      <c r="R45" s="68">
        <v>836</v>
      </c>
      <c r="S45" s="70"/>
      <c r="T45" s="70"/>
      <c r="U45" s="66" t="str">
        <f t="shared" si="24"/>
        <v/>
      </c>
      <c r="V45" s="66">
        <f t="shared" si="25"/>
        <v>-46027</v>
      </c>
      <c r="Y45" s="67" t="s">
        <v>8</v>
      </c>
      <c r="Z45" s="68">
        <v>836</v>
      </c>
      <c r="AA45" s="70"/>
      <c r="AB45" s="70"/>
      <c r="AC45" s="66" t="str">
        <f t="shared" si="26"/>
        <v/>
      </c>
      <c r="AD45" s="66">
        <f t="shared" si="27"/>
        <v>-46027</v>
      </c>
      <c r="AG45" s="67" t="s">
        <v>8</v>
      </c>
      <c r="AH45" s="68">
        <v>836</v>
      </c>
      <c r="AI45" s="70"/>
      <c r="AJ45" s="70"/>
      <c r="AK45" s="66" t="str">
        <f t="shared" si="28"/>
        <v/>
      </c>
      <c r="AL45" s="66">
        <f t="shared" si="29"/>
        <v>-46027</v>
      </c>
      <c r="AO45" s="67" t="s">
        <v>8</v>
      </c>
      <c r="AP45" s="68">
        <v>836</v>
      </c>
      <c r="AQ45" s="8"/>
      <c r="AR45" s="8"/>
      <c r="AS45" s="4" t="str">
        <f t="shared" si="30"/>
        <v/>
      </c>
      <c r="AT45" s="4">
        <f t="shared" si="31"/>
        <v>-46027</v>
      </c>
    </row>
    <row r="46" spans="1:46" ht="22.15" hidden="1" customHeight="1">
      <c r="A46"/>
      <c r="B46" s="65" t="s">
        <v>54</v>
      </c>
      <c r="C46" s="24" t="s">
        <v>8</v>
      </c>
      <c r="D46" s="25">
        <v>620</v>
      </c>
      <c r="E46" s="27"/>
      <c r="F46" s="27"/>
      <c r="G46" s="66" t="str">
        <f t="shared" si="20"/>
        <v/>
      </c>
      <c r="H46" s="66">
        <f t="shared" si="21"/>
        <v>-46027</v>
      </c>
      <c r="I46" s="67" t="s">
        <v>8</v>
      </c>
      <c r="J46" s="68">
        <v>620</v>
      </c>
      <c r="K46" s="70"/>
      <c r="L46" s="70"/>
      <c r="M46" s="66" t="str">
        <f t="shared" si="22"/>
        <v/>
      </c>
      <c r="N46" s="66">
        <f t="shared" si="23"/>
        <v>-46027</v>
      </c>
      <c r="Q46" s="67" t="s">
        <v>8</v>
      </c>
      <c r="R46" s="68">
        <v>620</v>
      </c>
      <c r="S46" s="70"/>
      <c r="T46" s="70"/>
      <c r="U46" s="66" t="str">
        <f t="shared" si="24"/>
        <v/>
      </c>
      <c r="V46" s="66">
        <f t="shared" si="25"/>
        <v>-46027</v>
      </c>
      <c r="Y46" s="67" t="s">
        <v>8</v>
      </c>
      <c r="Z46" s="68">
        <v>620</v>
      </c>
      <c r="AA46" s="70"/>
      <c r="AB46" s="70"/>
      <c r="AC46" s="66" t="str">
        <f t="shared" si="26"/>
        <v/>
      </c>
      <c r="AD46" s="66">
        <f t="shared" si="27"/>
        <v>-46027</v>
      </c>
      <c r="AG46" s="67" t="s">
        <v>8</v>
      </c>
      <c r="AH46" s="68">
        <v>620</v>
      </c>
      <c r="AI46" s="70"/>
      <c r="AJ46" s="70"/>
      <c r="AK46" s="66" t="str">
        <f t="shared" si="28"/>
        <v/>
      </c>
      <c r="AL46" s="66">
        <f t="shared" si="29"/>
        <v>-46027</v>
      </c>
      <c r="AO46" s="67" t="s">
        <v>8</v>
      </c>
      <c r="AP46" s="68">
        <v>620</v>
      </c>
      <c r="AQ46" s="8"/>
      <c r="AR46" s="8"/>
      <c r="AS46" s="4" t="str">
        <f t="shared" si="30"/>
        <v/>
      </c>
      <c r="AT46" s="4">
        <f t="shared" si="31"/>
        <v>-46027</v>
      </c>
    </row>
    <row r="47" spans="1:46" ht="22.15" hidden="1" customHeight="1">
      <c r="A47"/>
      <c r="B47" s="65" t="s">
        <v>55</v>
      </c>
      <c r="C47" s="24" t="s">
        <v>8</v>
      </c>
      <c r="D47" s="25">
        <v>1484</v>
      </c>
      <c r="E47" s="27"/>
      <c r="F47" s="27"/>
      <c r="G47" s="66" t="str">
        <f t="shared" si="20"/>
        <v/>
      </c>
      <c r="H47" s="66">
        <f t="shared" si="21"/>
        <v>-46027</v>
      </c>
      <c r="I47" s="67" t="s">
        <v>8</v>
      </c>
      <c r="J47" s="68">
        <v>1484</v>
      </c>
      <c r="K47" s="70"/>
      <c r="L47" s="70"/>
      <c r="M47" s="66" t="str">
        <f t="shared" si="22"/>
        <v/>
      </c>
      <c r="N47" s="66">
        <f t="shared" si="23"/>
        <v>-46027</v>
      </c>
      <c r="Q47" s="67" t="s">
        <v>8</v>
      </c>
      <c r="R47" s="68">
        <v>1484</v>
      </c>
      <c r="S47" s="70"/>
      <c r="T47" s="70"/>
      <c r="U47" s="66" t="str">
        <f t="shared" si="24"/>
        <v/>
      </c>
      <c r="V47" s="66">
        <f t="shared" si="25"/>
        <v>-46027</v>
      </c>
      <c r="Y47" s="67" t="s">
        <v>8</v>
      </c>
      <c r="Z47" s="68">
        <v>1484</v>
      </c>
      <c r="AA47" s="70"/>
      <c r="AB47" s="70"/>
      <c r="AC47" s="66" t="str">
        <f t="shared" si="26"/>
        <v/>
      </c>
      <c r="AD47" s="66">
        <f t="shared" si="27"/>
        <v>-46027</v>
      </c>
      <c r="AG47" s="67" t="s">
        <v>8</v>
      </c>
      <c r="AH47" s="68">
        <v>1484</v>
      </c>
      <c r="AI47" s="70"/>
      <c r="AJ47" s="70"/>
      <c r="AK47" s="66" t="str">
        <f t="shared" si="28"/>
        <v/>
      </c>
      <c r="AL47" s="66">
        <f t="shared" si="29"/>
        <v>-46027</v>
      </c>
      <c r="AO47" s="67" t="s">
        <v>8</v>
      </c>
      <c r="AP47" s="68">
        <v>1484</v>
      </c>
      <c r="AQ47" s="8"/>
      <c r="AR47" s="8"/>
      <c r="AS47" s="4" t="str">
        <f t="shared" si="30"/>
        <v/>
      </c>
      <c r="AT47" s="4">
        <f t="shared" si="31"/>
        <v>-46027</v>
      </c>
    </row>
    <row r="48" spans="1:46" ht="22.15" hidden="1" customHeight="1">
      <c r="A48"/>
      <c r="B48" s="65" t="s">
        <v>56</v>
      </c>
      <c r="C48" s="24" t="s">
        <v>8</v>
      </c>
      <c r="D48" s="25">
        <v>644</v>
      </c>
      <c r="E48" s="27"/>
      <c r="F48" s="27"/>
      <c r="G48" s="66" t="str">
        <f t="shared" si="20"/>
        <v/>
      </c>
      <c r="H48" s="66">
        <f t="shared" si="21"/>
        <v>-46027</v>
      </c>
      <c r="I48" s="67" t="s">
        <v>8</v>
      </c>
      <c r="J48" s="68">
        <v>644</v>
      </c>
      <c r="K48" s="70"/>
      <c r="L48" s="70"/>
      <c r="M48" s="66" t="str">
        <f t="shared" si="22"/>
        <v/>
      </c>
      <c r="N48" s="66">
        <f t="shared" si="23"/>
        <v>-46027</v>
      </c>
      <c r="Q48" s="67" t="s">
        <v>8</v>
      </c>
      <c r="R48" s="68">
        <v>644</v>
      </c>
      <c r="S48" s="70"/>
      <c r="T48" s="70"/>
      <c r="U48" s="66" t="str">
        <f t="shared" si="24"/>
        <v/>
      </c>
      <c r="V48" s="66">
        <f t="shared" si="25"/>
        <v>-46027</v>
      </c>
      <c r="Y48" s="67" t="s">
        <v>8</v>
      </c>
      <c r="Z48" s="68">
        <v>644</v>
      </c>
      <c r="AA48" s="70"/>
      <c r="AB48" s="70"/>
      <c r="AC48" s="66" t="str">
        <f t="shared" si="26"/>
        <v/>
      </c>
      <c r="AD48" s="66">
        <f t="shared" si="27"/>
        <v>-46027</v>
      </c>
      <c r="AG48" s="67" t="s">
        <v>8</v>
      </c>
      <c r="AH48" s="68">
        <v>644</v>
      </c>
      <c r="AI48" s="70"/>
      <c r="AJ48" s="70"/>
      <c r="AK48" s="66" t="str">
        <f t="shared" si="28"/>
        <v/>
      </c>
      <c r="AL48" s="66">
        <f t="shared" si="29"/>
        <v>-46027</v>
      </c>
      <c r="AO48" s="67" t="s">
        <v>8</v>
      </c>
      <c r="AP48" s="68">
        <v>644</v>
      </c>
      <c r="AQ48" s="8"/>
      <c r="AR48" s="8"/>
      <c r="AS48" s="4" t="str">
        <f t="shared" si="30"/>
        <v/>
      </c>
      <c r="AT48" s="4">
        <f t="shared" si="31"/>
        <v>-46027</v>
      </c>
    </row>
    <row r="49" spans="1:46" ht="22.15" hidden="1" customHeight="1">
      <c r="A49"/>
      <c r="B49" s="65" t="s">
        <v>57</v>
      </c>
      <c r="C49" s="24" t="s">
        <v>8</v>
      </c>
      <c r="D49" s="25">
        <v>716</v>
      </c>
      <c r="E49" s="27"/>
      <c r="F49" s="27"/>
      <c r="G49" s="66" t="str">
        <f t="shared" si="20"/>
        <v/>
      </c>
      <c r="H49" s="66">
        <f t="shared" si="21"/>
        <v>-46027</v>
      </c>
      <c r="I49" s="67" t="s">
        <v>8</v>
      </c>
      <c r="J49" s="68">
        <v>716</v>
      </c>
      <c r="K49" s="70"/>
      <c r="L49" s="70"/>
      <c r="M49" s="66" t="str">
        <f t="shared" si="22"/>
        <v/>
      </c>
      <c r="N49" s="66">
        <f t="shared" si="23"/>
        <v>-46027</v>
      </c>
      <c r="Q49" s="67" t="s">
        <v>8</v>
      </c>
      <c r="R49" s="68">
        <v>716</v>
      </c>
      <c r="S49" s="70"/>
      <c r="T49" s="70"/>
      <c r="U49" s="66" t="str">
        <f t="shared" si="24"/>
        <v/>
      </c>
      <c r="V49" s="66">
        <f t="shared" si="25"/>
        <v>-46027</v>
      </c>
      <c r="Y49" s="67" t="s">
        <v>8</v>
      </c>
      <c r="Z49" s="68">
        <v>716</v>
      </c>
      <c r="AA49" s="70"/>
      <c r="AB49" s="70"/>
      <c r="AC49" s="66" t="str">
        <f t="shared" si="26"/>
        <v/>
      </c>
      <c r="AD49" s="66">
        <f t="shared" si="27"/>
        <v>-46027</v>
      </c>
      <c r="AG49" s="67" t="s">
        <v>8</v>
      </c>
      <c r="AH49" s="68">
        <v>716</v>
      </c>
      <c r="AI49" s="70"/>
      <c r="AJ49" s="70"/>
      <c r="AK49" s="66" t="str">
        <f t="shared" si="28"/>
        <v/>
      </c>
      <c r="AL49" s="66">
        <f t="shared" si="29"/>
        <v>-46027</v>
      </c>
      <c r="AO49" s="67" t="s">
        <v>8</v>
      </c>
      <c r="AP49" s="68">
        <v>716</v>
      </c>
      <c r="AQ49" s="8"/>
      <c r="AR49" s="8"/>
      <c r="AS49" s="4" t="str">
        <f t="shared" si="30"/>
        <v/>
      </c>
      <c r="AT49" s="4">
        <f t="shared" si="31"/>
        <v>-46027</v>
      </c>
    </row>
    <row r="50" spans="1:46" ht="22.15" hidden="1" customHeight="1">
      <c r="A50"/>
      <c r="B50" s="65" t="s">
        <v>58</v>
      </c>
      <c r="C50" s="24" t="s">
        <v>8</v>
      </c>
      <c r="D50" s="25">
        <v>500</v>
      </c>
      <c r="E50" s="27"/>
      <c r="F50" s="27"/>
      <c r="G50" s="66" t="str">
        <f t="shared" si="20"/>
        <v/>
      </c>
      <c r="H50" s="66">
        <f t="shared" si="21"/>
        <v>-46027</v>
      </c>
      <c r="I50" s="67" t="s">
        <v>8</v>
      </c>
      <c r="J50" s="68">
        <v>500</v>
      </c>
      <c r="K50" s="70"/>
      <c r="L50" s="70"/>
      <c r="M50" s="66" t="str">
        <f t="shared" si="22"/>
        <v/>
      </c>
      <c r="N50" s="66">
        <f t="shared" si="23"/>
        <v>-46027</v>
      </c>
      <c r="Q50" s="67" t="s">
        <v>8</v>
      </c>
      <c r="R50" s="68">
        <v>500</v>
      </c>
      <c r="S50" s="70"/>
      <c r="T50" s="70"/>
      <c r="U50" s="66" t="str">
        <f t="shared" si="24"/>
        <v/>
      </c>
      <c r="V50" s="66">
        <f t="shared" si="25"/>
        <v>-46027</v>
      </c>
      <c r="Y50" s="67" t="s">
        <v>8</v>
      </c>
      <c r="Z50" s="68">
        <v>500</v>
      </c>
      <c r="AA50" s="70"/>
      <c r="AB50" s="70"/>
      <c r="AC50" s="66" t="str">
        <f t="shared" si="26"/>
        <v/>
      </c>
      <c r="AD50" s="66">
        <f t="shared" si="27"/>
        <v>-46027</v>
      </c>
      <c r="AG50" s="67" t="s">
        <v>8</v>
      </c>
      <c r="AH50" s="68">
        <v>500</v>
      </c>
      <c r="AI50" s="70"/>
      <c r="AJ50" s="70"/>
      <c r="AK50" s="66" t="str">
        <f t="shared" si="28"/>
        <v/>
      </c>
      <c r="AL50" s="66">
        <f t="shared" si="29"/>
        <v>-46027</v>
      </c>
      <c r="AO50" s="67" t="s">
        <v>8</v>
      </c>
      <c r="AP50" s="68">
        <v>500</v>
      </c>
      <c r="AQ50" s="8"/>
      <c r="AR50" s="8"/>
      <c r="AS50" s="4" t="str">
        <f t="shared" si="30"/>
        <v/>
      </c>
      <c r="AT50" s="4">
        <f t="shared" si="31"/>
        <v>-46027</v>
      </c>
    </row>
    <row r="51" spans="1:46" ht="22.15" hidden="1" customHeight="1">
      <c r="A51"/>
      <c r="B51" s="65" t="s">
        <v>59</v>
      </c>
      <c r="C51" s="24" t="s">
        <v>8</v>
      </c>
      <c r="D51" s="25">
        <v>956</v>
      </c>
      <c r="E51" s="27"/>
      <c r="F51" s="27"/>
      <c r="G51" s="66" t="str">
        <f t="shared" si="20"/>
        <v/>
      </c>
      <c r="H51" s="66">
        <f t="shared" si="21"/>
        <v>-46027</v>
      </c>
      <c r="I51" s="67" t="s">
        <v>8</v>
      </c>
      <c r="J51" s="68">
        <v>956</v>
      </c>
      <c r="K51" s="70"/>
      <c r="L51" s="70"/>
      <c r="M51" s="66" t="str">
        <f t="shared" si="22"/>
        <v/>
      </c>
      <c r="N51" s="66">
        <f t="shared" si="23"/>
        <v>-46027</v>
      </c>
      <c r="Q51" s="67" t="s">
        <v>8</v>
      </c>
      <c r="R51" s="68">
        <v>956</v>
      </c>
      <c r="S51" s="70"/>
      <c r="T51" s="70"/>
      <c r="U51" s="66" t="str">
        <f t="shared" si="24"/>
        <v/>
      </c>
      <c r="V51" s="66">
        <f t="shared" si="25"/>
        <v>-46027</v>
      </c>
      <c r="Y51" s="67" t="s">
        <v>8</v>
      </c>
      <c r="Z51" s="68">
        <v>956</v>
      </c>
      <c r="AA51" s="70"/>
      <c r="AB51" s="70"/>
      <c r="AC51" s="66" t="str">
        <f t="shared" si="26"/>
        <v/>
      </c>
      <c r="AD51" s="66">
        <f t="shared" si="27"/>
        <v>-46027</v>
      </c>
      <c r="AG51" s="67" t="s">
        <v>8</v>
      </c>
      <c r="AH51" s="68">
        <v>956</v>
      </c>
      <c r="AI51" s="70"/>
      <c r="AJ51" s="70"/>
      <c r="AK51" s="66" t="str">
        <f t="shared" si="28"/>
        <v/>
      </c>
      <c r="AL51" s="66">
        <f t="shared" si="29"/>
        <v>-46027</v>
      </c>
      <c r="AO51" s="67" t="s">
        <v>8</v>
      </c>
      <c r="AP51" s="68">
        <v>956</v>
      </c>
      <c r="AQ51" s="8"/>
      <c r="AR51" s="8"/>
      <c r="AS51" s="4" t="str">
        <f t="shared" si="30"/>
        <v/>
      </c>
      <c r="AT51" s="4">
        <f t="shared" si="31"/>
        <v>-46027</v>
      </c>
    </row>
    <row r="52" spans="1:46" ht="22.15" hidden="1" customHeight="1">
      <c r="A52"/>
      <c r="B52" s="65" t="s">
        <v>60</v>
      </c>
      <c r="C52" s="24" t="s">
        <v>8</v>
      </c>
      <c r="D52" s="25">
        <v>2012</v>
      </c>
      <c r="E52" s="27"/>
      <c r="F52" s="27"/>
      <c r="G52" s="66" t="str">
        <f t="shared" si="20"/>
        <v/>
      </c>
      <c r="H52" s="66">
        <f t="shared" si="21"/>
        <v>-46027</v>
      </c>
      <c r="I52" s="67" t="s">
        <v>8</v>
      </c>
      <c r="J52" s="68">
        <v>2012</v>
      </c>
      <c r="K52" s="70"/>
      <c r="L52" s="70"/>
      <c r="M52" s="66" t="str">
        <f t="shared" si="22"/>
        <v/>
      </c>
      <c r="N52" s="66">
        <f t="shared" si="23"/>
        <v>-46027</v>
      </c>
      <c r="Q52" s="67" t="s">
        <v>8</v>
      </c>
      <c r="R52" s="68">
        <v>2012</v>
      </c>
      <c r="S52" s="70"/>
      <c r="T52" s="70"/>
      <c r="U52" s="66" t="str">
        <f t="shared" si="24"/>
        <v/>
      </c>
      <c r="V52" s="66">
        <f t="shared" si="25"/>
        <v>-46027</v>
      </c>
      <c r="Y52" s="67" t="s">
        <v>8</v>
      </c>
      <c r="Z52" s="68">
        <v>2012</v>
      </c>
      <c r="AA52" s="70"/>
      <c r="AB52" s="70"/>
      <c r="AC52" s="66" t="str">
        <f t="shared" si="26"/>
        <v/>
      </c>
      <c r="AD52" s="66">
        <f t="shared" si="27"/>
        <v>-46027</v>
      </c>
      <c r="AG52" s="67" t="s">
        <v>8</v>
      </c>
      <c r="AH52" s="68">
        <v>2012</v>
      </c>
      <c r="AI52" s="70"/>
      <c r="AJ52" s="70"/>
      <c r="AK52" s="66" t="str">
        <f t="shared" si="28"/>
        <v/>
      </c>
      <c r="AL52" s="66">
        <f t="shared" si="29"/>
        <v>-46027</v>
      </c>
      <c r="AO52" s="67" t="s">
        <v>8</v>
      </c>
      <c r="AP52" s="68">
        <v>2012</v>
      </c>
      <c r="AQ52" s="8"/>
      <c r="AR52" s="8"/>
      <c r="AS52" s="4" t="str">
        <f t="shared" si="30"/>
        <v/>
      </c>
      <c r="AT52" s="4">
        <f t="shared" si="31"/>
        <v>-46027</v>
      </c>
    </row>
    <row r="53" spans="1:46" ht="22.15" hidden="1" customHeight="1">
      <c r="A53"/>
      <c r="B53" s="65" t="s">
        <v>61</v>
      </c>
      <c r="C53" s="24" t="s">
        <v>8</v>
      </c>
      <c r="D53" s="25">
        <v>740</v>
      </c>
      <c r="E53" s="27"/>
      <c r="F53" s="27"/>
      <c r="G53" s="66" t="str">
        <f t="shared" si="20"/>
        <v/>
      </c>
      <c r="H53" s="66">
        <f t="shared" si="21"/>
        <v>-46027</v>
      </c>
      <c r="I53" s="67" t="s">
        <v>8</v>
      </c>
      <c r="J53" s="68">
        <v>740</v>
      </c>
      <c r="K53" s="70"/>
      <c r="L53" s="70"/>
      <c r="M53" s="66" t="str">
        <f t="shared" si="22"/>
        <v/>
      </c>
      <c r="N53" s="66">
        <f t="shared" si="23"/>
        <v>-46027</v>
      </c>
      <c r="Q53" s="67" t="s">
        <v>8</v>
      </c>
      <c r="R53" s="68">
        <v>740</v>
      </c>
      <c r="S53" s="70"/>
      <c r="T53" s="70"/>
      <c r="U53" s="66" t="str">
        <f t="shared" si="24"/>
        <v/>
      </c>
      <c r="V53" s="66">
        <f t="shared" si="25"/>
        <v>-46027</v>
      </c>
      <c r="Y53" s="67" t="s">
        <v>8</v>
      </c>
      <c r="Z53" s="68">
        <v>740</v>
      </c>
      <c r="AA53" s="70"/>
      <c r="AB53" s="70"/>
      <c r="AC53" s="66" t="str">
        <f t="shared" si="26"/>
        <v/>
      </c>
      <c r="AD53" s="66">
        <f t="shared" si="27"/>
        <v>-46027</v>
      </c>
      <c r="AG53" s="67" t="s">
        <v>8</v>
      </c>
      <c r="AH53" s="68">
        <v>740</v>
      </c>
      <c r="AI53" s="70"/>
      <c r="AJ53" s="70"/>
      <c r="AK53" s="66" t="str">
        <f t="shared" si="28"/>
        <v/>
      </c>
      <c r="AL53" s="66">
        <f t="shared" si="29"/>
        <v>-46027</v>
      </c>
      <c r="AO53" s="67" t="s">
        <v>8</v>
      </c>
      <c r="AP53" s="68">
        <v>740</v>
      </c>
      <c r="AQ53" s="8"/>
      <c r="AR53" s="8"/>
      <c r="AS53" s="4" t="str">
        <f t="shared" si="30"/>
        <v/>
      </c>
      <c r="AT53" s="4">
        <f t="shared" si="31"/>
        <v>-46027</v>
      </c>
    </row>
    <row r="54" spans="1:46" ht="22.15" hidden="1" customHeight="1">
      <c r="A54"/>
      <c r="B54" s="65" t="s">
        <v>62</v>
      </c>
      <c r="C54" s="24" t="s">
        <v>8</v>
      </c>
      <c r="D54" s="25">
        <v>92</v>
      </c>
      <c r="E54" s="27"/>
      <c r="F54" s="27"/>
      <c r="G54" s="66" t="str">
        <f t="shared" si="20"/>
        <v/>
      </c>
      <c r="H54" s="66">
        <f t="shared" si="21"/>
        <v>-46027</v>
      </c>
      <c r="I54" s="67" t="s">
        <v>8</v>
      </c>
      <c r="J54" s="68">
        <v>92</v>
      </c>
      <c r="K54" s="70"/>
      <c r="L54" s="70"/>
      <c r="M54" s="66" t="str">
        <f t="shared" si="22"/>
        <v/>
      </c>
      <c r="N54" s="66">
        <f t="shared" si="23"/>
        <v>-46027</v>
      </c>
      <c r="Q54" s="67" t="s">
        <v>8</v>
      </c>
      <c r="R54" s="68">
        <v>92</v>
      </c>
      <c r="S54" s="70"/>
      <c r="T54" s="70"/>
      <c r="U54" s="66" t="str">
        <f t="shared" si="24"/>
        <v/>
      </c>
      <c r="V54" s="66">
        <f t="shared" si="25"/>
        <v>-46027</v>
      </c>
      <c r="Y54" s="67" t="s">
        <v>8</v>
      </c>
      <c r="Z54" s="68">
        <v>92</v>
      </c>
      <c r="AA54" s="70"/>
      <c r="AB54" s="70"/>
      <c r="AC54" s="66" t="str">
        <f t="shared" si="26"/>
        <v/>
      </c>
      <c r="AD54" s="66">
        <f t="shared" si="27"/>
        <v>-46027</v>
      </c>
      <c r="AG54" s="67" t="s">
        <v>8</v>
      </c>
      <c r="AH54" s="68">
        <v>92</v>
      </c>
      <c r="AI54" s="70"/>
      <c r="AJ54" s="70"/>
      <c r="AK54" s="66" t="str">
        <f t="shared" si="28"/>
        <v/>
      </c>
      <c r="AL54" s="66">
        <f t="shared" si="29"/>
        <v>-46027</v>
      </c>
      <c r="AO54" s="67" t="s">
        <v>8</v>
      </c>
      <c r="AP54" s="68">
        <v>92</v>
      </c>
      <c r="AQ54" s="8"/>
      <c r="AR54" s="8"/>
      <c r="AS54" s="4" t="str">
        <f t="shared" si="30"/>
        <v/>
      </c>
      <c r="AT54" s="4">
        <f t="shared" si="31"/>
        <v>-46027</v>
      </c>
    </row>
    <row r="55" spans="1:46" ht="22.15" hidden="1" customHeight="1">
      <c r="A55"/>
      <c r="B55" s="65" t="s">
        <v>63</v>
      </c>
      <c r="C55" s="24" t="s">
        <v>8</v>
      </c>
      <c r="D55" s="25">
        <v>636</v>
      </c>
      <c r="E55" s="27"/>
      <c r="F55" s="27"/>
      <c r="G55" s="66" t="str">
        <f t="shared" si="20"/>
        <v/>
      </c>
      <c r="H55" s="66">
        <f t="shared" si="21"/>
        <v>-46027</v>
      </c>
      <c r="I55" s="67" t="s">
        <v>8</v>
      </c>
      <c r="J55" s="68">
        <v>636</v>
      </c>
      <c r="K55" s="70"/>
      <c r="L55" s="70"/>
      <c r="M55" s="66" t="str">
        <f t="shared" si="22"/>
        <v/>
      </c>
      <c r="N55" s="66">
        <f t="shared" si="23"/>
        <v>-46027</v>
      </c>
      <c r="Q55" s="67" t="s">
        <v>8</v>
      </c>
      <c r="R55" s="68">
        <v>636</v>
      </c>
      <c r="S55" s="70"/>
      <c r="T55" s="70"/>
      <c r="U55" s="66" t="str">
        <f t="shared" si="24"/>
        <v/>
      </c>
      <c r="V55" s="66">
        <f t="shared" si="25"/>
        <v>-46027</v>
      </c>
      <c r="Y55" s="67" t="s">
        <v>8</v>
      </c>
      <c r="Z55" s="68">
        <v>636</v>
      </c>
      <c r="AA55" s="70"/>
      <c r="AB55" s="70"/>
      <c r="AC55" s="66" t="str">
        <f t="shared" si="26"/>
        <v/>
      </c>
      <c r="AD55" s="66">
        <f t="shared" si="27"/>
        <v>-46027</v>
      </c>
      <c r="AG55" s="67" t="s">
        <v>8</v>
      </c>
      <c r="AH55" s="68">
        <v>636</v>
      </c>
      <c r="AI55" s="70"/>
      <c r="AJ55" s="70"/>
      <c r="AK55" s="66" t="str">
        <f t="shared" si="28"/>
        <v/>
      </c>
      <c r="AL55" s="66">
        <f t="shared" si="29"/>
        <v>-46027</v>
      </c>
      <c r="AO55" s="67" t="s">
        <v>8</v>
      </c>
      <c r="AP55" s="68">
        <v>636</v>
      </c>
      <c r="AQ55" s="8"/>
      <c r="AR55" s="8"/>
      <c r="AS55" s="4" t="str">
        <f t="shared" si="30"/>
        <v/>
      </c>
      <c r="AT55" s="4">
        <f t="shared" si="31"/>
        <v>-46027</v>
      </c>
    </row>
    <row r="56" spans="1:46" ht="22.15" hidden="1" customHeight="1">
      <c r="A56"/>
      <c r="B56" s="65" t="s">
        <v>64</v>
      </c>
      <c r="C56" s="24" t="s">
        <v>8</v>
      </c>
      <c r="D56" s="25">
        <v>636</v>
      </c>
      <c r="E56" s="27"/>
      <c r="F56" s="27"/>
      <c r="G56" s="66" t="str">
        <f t="shared" si="20"/>
        <v/>
      </c>
      <c r="H56" s="66">
        <f t="shared" si="21"/>
        <v>-46027</v>
      </c>
      <c r="I56" s="67" t="s">
        <v>8</v>
      </c>
      <c r="J56" s="68">
        <v>636</v>
      </c>
      <c r="K56" s="70"/>
      <c r="L56" s="70"/>
      <c r="M56" s="66" t="str">
        <f t="shared" si="22"/>
        <v/>
      </c>
      <c r="N56" s="66">
        <f t="shared" si="23"/>
        <v>-46027</v>
      </c>
      <c r="Q56" s="67" t="s">
        <v>8</v>
      </c>
      <c r="R56" s="68">
        <v>636</v>
      </c>
      <c r="S56" s="70"/>
      <c r="T56" s="70"/>
      <c r="U56" s="66" t="str">
        <f t="shared" si="24"/>
        <v/>
      </c>
      <c r="V56" s="66">
        <f t="shared" si="25"/>
        <v>-46027</v>
      </c>
      <c r="Y56" s="67" t="s">
        <v>8</v>
      </c>
      <c r="Z56" s="68">
        <v>636</v>
      </c>
      <c r="AA56" s="70"/>
      <c r="AB56" s="70"/>
      <c r="AC56" s="66" t="str">
        <f t="shared" si="26"/>
        <v/>
      </c>
      <c r="AD56" s="66">
        <f t="shared" si="27"/>
        <v>-46027</v>
      </c>
      <c r="AG56" s="67" t="s">
        <v>8</v>
      </c>
      <c r="AH56" s="68">
        <v>636</v>
      </c>
      <c r="AI56" s="70"/>
      <c r="AJ56" s="70"/>
      <c r="AK56" s="66" t="str">
        <f t="shared" si="28"/>
        <v/>
      </c>
      <c r="AL56" s="66">
        <f t="shared" si="29"/>
        <v>-46027</v>
      </c>
      <c r="AO56" s="67" t="s">
        <v>8</v>
      </c>
      <c r="AP56" s="68">
        <v>636</v>
      </c>
      <c r="AQ56" s="8"/>
      <c r="AR56" s="8"/>
      <c r="AS56" s="4" t="str">
        <f t="shared" si="30"/>
        <v/>
      </c>
      <c r="AT56" s="4">
        <f t="shared" si="31"/>
        <v>-46027</v>
      </c>
    </row>
    <row r="57" spans="1:46" ht="22.15" hidden="1" customHeight="1">
      <c r="A57"/>
      <c r="B57" s="65" t="s">
        <v>65</v>
      </c>
      <c r="C57" s="24" t="s">
        <v>8</v>
      </c>
      <c r="D57" s="25">
        <v>620</v>
      </c>
      <c r="E57" s="27"/>
      <c r="F57" s="27"/>
      <c r="G57" s="66" t="str">
        <f t="shared" si="20"/>
        <v/>
      </c>
      <c r="H57" s="66">
        <f t="shared" si="21"/>
        <v>-46027</v>
      </c>
      <c r="I57" s="67" t="s">
        <v>8</v>
      </c>
      <c r="J57" s="68">
        <v>620</v>
      </c>
      <c r="K57" s="70"/>
      <c r="L57" s="70"/>
      <c r="M57" s="66" t="str">
        <f t="shared" si="22"/>
        <v/>
      </c>
      <c r="N57" s="66">
        <f t="shared" si="23"/>
        <v>-46027</v>
      </c>
      <c r="Q57" s="67" t="s">
        <v>8</v>
      </c>
      <c r="R57" s="68">
        <v>620</v>
      </c>
      <c r="S57" s="70"/>
      <c r="T57" s="70"/>
      <c r="U57" s="66" t="str">
        <f t="shared" si="24"/>
        <v/>
      </c>
      <c r="V57" s="66">
        <f t="shared" si="25"/>
        <v>-46027</v>
      </c>
      <c r="Y57" s="67" t="s">
        <v>8</v>
      </c>
      <c r="Z57" s="68">
        <v>620</v>
      </c>
      <c r="AA57" s="70"/>
      <c r="AB57" s="70"/>
      <c r="AC57" s="66" t="str">
        <f t="shared" si="26"/>
        <v/>
      </c>
      <c r="AD57" s="66">
        <f t="shared" si="27"/>
        <v>-46027</v>
      </c>
      <c r="AG57" s="67" t="s">
        <v>8</v>
      </c>
      <c r="AH57" s="68">
        <v>620</v>
      </c>
      <c r="AI57" s="70"/>
      <c r="AJ57" s="70"/>
      <c r="AK57" s="66" t="str">
        <f t="shared" si="28"/>
        <v/>
      </c>
      <c r="AL57" s="66">
        <f t="shared" si="29"/>
        <v>-46027</v>
      </c>
      <c r="AO57" s="67" t="s">
        <v>8</v>
      </c>
      <c r="AP57" s="68">
        <v>620</v>
      </c>
      <c r="AQ57" s="8"/>
      <c r="AR57" s="8"/>
      <c r="AS57" s="4" t="str">
        <f t="shared" si="30"/>
        <v/>
      </c>
      <c r="AT57" s="4">
        <f t="shared" si="31"/>
        <v>-46027</v>
      </c>
    </row>
    <row r="58" spans="1:46" ht="22.15" hidden="1" customHeight="1">
      <c r="A58"/>
      <c r="B58" s="65" t="s">
        <v>66</v>
      </c>
      <c r="C58" s="24" t="s">
        <v>8</v>
      </c>
      <c r="D58" s="25">
        <v>636</v>
      </c>
      <c r="E58" s="27"/>
      <c r="F58" s="27"/>
      <c r="G58" s="66" t="str">
        <f t="shared" si="20"/>
        <v/>
      </c>
      <c r="H58" s="66">
        <f t="shared" si="21"/>
        <v>-46027</v>
      </c>
      <c r="I58" s="67" t="s">
        <v>8</v>
      </c>
      <c r="J58" s="68">
        <v>636</v>
      </c>
      <c r="K58" s="70"/>
      <c r="L58" s="70"/>
      <c r="M58" s="66" t="str">
        <f t="shared" si="22"/>
        <v/>
      </c>
      <c r="N58" s="66">
        <f t="shared" si="23"/>
        <v>-46027</v>
      </c>
      <c r="Q58" s="67" t="s">
        <v>8</v>
      </c>
      <c r="R58" s="68">
        <v>636</v>
      </c>
      <c r="S58" s="70"/>
      <c r="T58" s="70"/>
      <c r="U58" s="66" t="str">
        <f t="shared" si="24"/>
        <v/>
      </c>
      <c r="V58" s="66">
        <f t="shared" si="25"/>
        <v>-46027</v>
      </c>
      <c r="Y58" s="67" t="s">
        <v>8</v>
      </c>
      <c r="Z58" s="68">
        <v>636</v>
      </c>
      <c r="AA58" s="70"/>
      <c r="AB58" s="70"/>
      <c r="AC58" s="66" t="str">
        <f t="shared" si="26"/>
        <v/>
      </c>
      <c r="AD58" s="66">
        <f t="shared" si="27"/>
        <v>-46027</v>
      </c>
      <c r="AG58" s="67" t="s">
        <v>8</v>
      </c>
      <c r="AH58" s="68">
        <v>636</v>
      </c>
      <c r="AI58" s="70"/>
      <c r="AJ58" s="70"/>
      <c r="AK58" s="66" t="str">
        <f t="shared" si="28"/>
        <v/>
      </c>
      <c r="AL58" s="66">
        <f t="shared" si="29"/>
        <v>-46027</v>
      </c>
      <c r="AO58" s="67" t="s">
        <v>8</v>
      </c>
      <c r="AP58" s="68">
        <v>636</v>
      </c>
      <c r="AQ58" s="8"/>
      <c r="AR58" s="8"/>
      <c r="AS58" s="4" t="str">
        <f t="shared" si="30"/>
        <v/>
      </c>
      <c r="AT58" s="4">
        <f t="shared" si="31"/>
        <v>-46027</v>
      </c>
    </row>
    <row r="59" spans="1:46" ht="22.15" hidden="1" customHeight="1">
      <c r="A59"/>
      <c r="B59" s="65" t="s">
        <v>67</v>
      </c>
      <c r="C59" s="24" t="s">
        <v>8</v>
      </c>
      <c r="D59" s="25">
        <v>3844</v>
      </c>
      <c r="E59" s="27"/>
      <c r="F59" s="27"/>
      <c r="G59" s="66" t="str">
        <f t="shared" si="20"/>
        <v/>
      </c>
      <c r="H59" s="66">
        <f t="shared" si="21"/>
        <v>-46027</v>
      </c>
      <c r="I59" s="67" t="s">
        <v>8</v>
      </c>
      <c r="J59" s="68">
        <v>3844</v>
      </c>
      <c r="K59" s="70"/>
      <c r="L59" s="70"/>
      <c r="M59" s="66" t="str">
        <f t="shared" si="22"/>
        <v/>
      </c>
      <c r="N59" s="66">
        <f t="shared" si="23"/>
        <v>-46027</v>
      </c>
      <c r="Q59" s="67" t="s">
        <v>8</v>
      </c>
      <c r="R59" s="68">
        <v>3844</v>
      </c>
      <c r="S59" s="70"/>
      <c r="T59" s="70"/>
      <c r="U59" s="66" t="str">
        <f t="shared" si="24"/>
        <v/>
      </c>
      <c r="V59" s="66">
        <f t="shared" si="25"/>
        <v>-46027</v>
      </c>
      <c r="Y59" s="67" t="s">
        <v>8</v>
      </c>
      <c r="Z59" s="68">
        <v>3844</v>
      </c>
      <c r="AA59" s="70"/>
      <c r="AB59" s="70"/>
      <c r="AC59" s="66" t="str">
        <f t="shared" si="26"/>
        <v/>
      </c>
      <c r="AD59" s="66">
        <f t="shared" si="27"/>
        <v>-46027</v>
      </c>
      <c r="AG59" s="67" t="s">
        <v>8</v>
      </c>
      <c r="AH59" s="68">
        <v>3844</v>
      </c>
      <c r="AI59" s="70"/>
      <c r="AJ59" s="70"/>
      <c r="AK59" s="66" t="str">
        <f t="shared" si="28"/>
        <v/>
      </c>
      <c r="AL59" s="66">
        <f t="shared" si="29"/>
        <v>-46027</v>
      </c>
      <c r="AO59" s="67" t="s">
        <v>8</v>
      </c>
      <c r="AP59" s="68">
        <v>3844</v>
      </c>
      <c r="AQ59" s="8"/>
      <c r="AR59" s="8"/>
      <c r="AS59" s="4" t="str">
        <f t="shared" si="30"/>
        <v/>
      </c>
      <c r="AT59" s="4">
        <f t="shared" si="31"/>
        <v>-46027</v>
      </c>
    </row>
    <row r="60" spans="1:46" ht="22.15" hidden="1" customHeight="1">
      <c r="A60"/>
      <c r="B60" s="65" t="s">
        <v>68</v>
      </c>
      <c r="C60" s="24" t="s">
        <v>8</v>
      </c>
      <c r="D60" s="25">
        <v>3244</v>
      </c>
      <c r="E60" s="27"/>
      <c r="F60" s="27"/>
      <c r="G60" s="66" t="str">
        <f t="shared" si="20"/>
        <v/>
      </c>
      <c r="H60" s="66">
        <f t="shared" si="21"/>
        <v>-46027</v>
      </c>
      <c r="I60" s="67" t="s">
        <v>8</v>
      </c>
      <c r="J60" s="68">
        <v>3244</v>
      </c>
      <c r="K60" s="70"/>
      <c r="L60" s="70"/>
      <c r="M60" s="66" t="str">
        <f t="shared" si="22"/>
        <v/>
      </c>
      <c r="N60" s="66">
        <f t="shared" si="23"/>
        <v>-46027</v>
      </c>
      <c r="Q60" s="67" t="s">
        <v>8</v>
      </c>
      <c r="R60" s="68">
        <v>3244</v>
      </c>
      <c r="S60" s="70"/>
      <c r="T60" s="70"/>
      <c r="U60" s="66" t="str">
        <f t="shared" si="24"/>
        <v/>
      </c>
      <c r="V60" s="66">
        <f t="shared" si="25"/>
        <v>-46027</v>
      </c>
      <c r="Y60" s="67" t="s">
        <v>8</v>
      </c>
      <c r="Z60" s="68">
        <v>3244</v>
      </c>
      <c r="AA60" s="70"/>
      <c r="AB60" s="70"/>
      <c r="AC60" s="66" t="str">
        <f t="shared" si="26"/>
        <v/>
      </c>
      <c r="AD60" s="66">
        <f t="shared" si="27"/>
        <v>-46027</v>
      </c>
      <c r="AG60" s="67" t="s">
        <v>8</v>
      </c>
      <c r="AH60" s="68">
        <v>3244</v>
      </c>
      <c r="AI60" s="70"/>
      <c r="AJ60" s="70"/>
      <c r="AK60" s="66" t="str">
        <f t="shared" si="28"/>
        <v/>
      </c>
      <c r="AL60" s="66">
        <f t="shared" si="29"/>
        <v>-46027</v>
      </c>
      <c r="AO60" s="67" t="s">
        <v>8</v>
      </c>
      <c r="AP60" s="68">
        <v>3244</v>
      </c>
      <c r="AQ60" s="8"/>
      <c r="AR60" s="8"/>
      <c r="AS60" s="4" t="str">
        <f t="shared" si="30"/>
        <v/>
      </c>
      <c r="AT60" s="4">
        <f t="shared" si="31"/>
        <v>-46027</v>
      </c>
    </row>
    <row r="61" spans="1:46" ht="22.15" hidden="1" customHeight="1">
      <c r="A61"/>
      <c r="B61" s="65" t="s">
        <v>69</v>
      </c>
      <c r="C61" s="24" t="s">
        <v>8</v>
      </c>
      <c r="D61" s="25">
        <v>3244</v>
      </c>
      <c r="E61" s="27"/>
      <c r="F61" s="27"/>
      <c r="G61" s="66" t="str">
        <f t="shared" si="20"/>
        <v/>
      </c>
      <c r="H61" s="66">
        <f t="shared" si="21"/>
        <v>-46027</v>
      </c>
      <c r="I61" s="67" t="s">
        <v>8</v>
      </c>
      <c r="J61" s="68">
        <v>3244</v>
      </c>
      <c r="K61" s="70"/>
      <c r="L61" s="70"/>
      <c r="M61" s="66" t="str">
        <f t="shared" si="22"/>
        <v/>
      </c>
      <c r="N61" s="66">
        <f t="shared" si="23"/>
        <v>-46027</v>
      </c>
      <c r="Q61" s="67" t="s">
        <v>8</v>
      </c>
      <c r="R61" s="68">
        <v>3244</v>
      </c>
      <c r="S61" s="70"/>
      <c r="T61" s="70"/>
      <c r="U61" s="66" t="str">
        <f t="shared" si="24"/>
        <v/>
      </c>
      <c r="V61" s="66">
        <f t="shared" si="25"/>
        <v>-46027</v>
      </c>
      <c r="Y61" s="67" t="s">
        <v>8</v>
      </c>
      <c r="Z61" s="68">
        <v>3244</v>
      </c>
      <c r="AA61" s="70"/>
      <c r="AB61" s="70"/>
      <c r="AC61" s="66" t="str">
        <f t="shared" si="26"/>
        <v/>
      </c>
      <c r="AD61" s="66">
        <f t="shared" si="27"/>
        <v>-46027</v>
      </c>
      <c r="AG61" s="67" t="s">
        <v>8</v>
      </c>
      <c r="AH61" s="68">
        <v>3244</v>
      </c>
      <c r="AI61" s="70"/>
      <c r="AJ61" s="70"/>
      <c r="AK61" s="66" t="str">
        <f t="shared" si="28"/>
        <v/>
      </c>
      <c r="AL61" s="66">
        <f t="shared" si="29"/>
        <v>-46027</v>
      </c>
      <c r="AO61" s="67" t="s">
        <v>8</v>
      </c>
      <c r="AP61" s="68">
        <v>3244</v>
      </c>
      <c r="AQ61" s="8"/>
      <c r="AR61" s="8"/>
      <c r="AS61" s="4" t="str">
        <f t="shared" si="30"/>
        <v/>
      </c>
      <c r="AT61" s="4">
        <f t="shared" si="31"/>
        <v>-46027</v>
      </c>
    </row>
    <row r="62" spans="1:46" ht="22.15" hidden="1" customHeight="1">
      <c r="A62"/>
      <c r="B62" s="65" t="s">
        <v>70</v>
      </c>
      <c r="C62" s="24" t="s">
        <v>8</v>
      </c>
      <c r="D62" s="25">
        <v>3268</v>
      </c>
      <c r="E62" s="27"/>
      <c r="F62" s="27"/>
      <c r="G62" s="66" t="str">
        <f t="shared" si="20"/>
        <v/>
      </c>
      <c r="H62" s="66">
        <f t="shared" si="21"/>
        <v>-46027</v>
      </c>
      <c r="I62" s="67" t="s">
        <v>8</v>
      </c>
      <c r="J62" s="68">
        <v>3268</v>
      </c>
      <c r="K62" s="70"/>
      <c r="L62" s="70"/>
      <c r="M62" s="66" t="str">
        <f t="shared" si="22"/>
        <v/>
      </c>
      <c r="N62" s="66">
        <f t="shared" si="23"/>
        <v>-46027</v>
      </c>
      <c r="Q62" s="67" t="s">
        <v>8</v>
      </c>
      <c r="R62" s="68">
        <v>3268</v>
      </c>
      <c r="S62" s="70"/>
      <c r="T62" s="70"/>
      <c r="U62" s="66" t="str">
        <f t="shared" si="24"/>
        <v/>
      </c>
      <c r="V62" s="66">
        <f t="shared" si="25"/>
        <v>-46027</v>
      </c>
      <c r="Y62" s="67" t="s">
        <v>8</v>
      </c>
      <c r="Z62" s="68">
        <v>3268</v>
      </c>
      <c r="AA62" s="70"/>
      <c r="AB62" s="70"/>
      <c r="AC62" s="66" t="str">
        <f t="shared" si="26"/>
        <v/>
      </c>
      <c r="AD62" s="66">
        <f t="shared" si="27"/>
        <v>-46027</v>
      </c>
      <c r="AG62" s="67" t="s">
        <v>8</v>
      </c>
      <c r="AH62" s="68">
        <v>3268</v>
      </c>
      <c r="AI62" s="70"/>
      <c r="AJ62" s="70"/>
      <c r="AK62" s="66" t="str">
        <f t="shared" si="28"/>
        <v/>
      </c>
      <c r="AL62" s="66">
        <f t="shared" si="29"/>
        <v>-46027</v>
      </c>
      <c r="AO62" s="67" t="s">
        <v>8</v>
      </c>
      <c r="AP62" s="68">
        <v>3268</v>
      </c>
      <c r="AQ62" s="8"/>
      <c r="AR62" s="8"/>
      <c r="AS62" s="4" t="str">
        <f t="shared" si="30"/>
        <v/>
      </c>
      <c r="AT62" s="4">
        <f t="shared" si="31"/>
        <v>-46027</v>
      </c>
    </row>
    <row r="63" spans="1:46" ht="22.15" hidden="1" customHeight="1">
      <c r="A63"/>
      <c r="B63" s="65" t="s">
        <v>71</v>
      </c>
      <c r="C63" s="24" t="s">
        <v>8</v>
      </c>
      <c r="D63" s="25">
        <v>1608</v>
      </c>
      <c r="E63" s="27"/>
      <c r="F63" s="27"/>
      <c r="G63" s="66" t="str">
        <f t="shared" si="20"/>
        <v/>
      </c>
      <c r="H63" s="66">
        <f t="shared" si="21"/>
        <v>-46027</v>
      </c>
      <c r="I63" s="67" t="s">
        <v>8</v>
      </c>
      <c r="J63" s="68">
        <v>1608</v>
      </c>
      <c r="K63" s="70"/>
      <c r="L63" s="70"/>
      <c r="M63" s="66" t="str">
        <f t="shared" si="22"/>
        <v/>
      </c>
      <c r="N63" s="66">
        <f t="shared" si="23"/>
        <v>-46027</v>
      </c>
      <c r="Q63" s="67" t="s">
        <v>8</v>
      </c>
      <c r="R63" s="68">
        <v>1608</v>
      </c>
      <c r="S63" s="70"/>
      <c r="T63" s="70"/>
      <c r="U63" s="66" t="str">
        <f t="shared" si="24"/>
        <v/>
      </c>
      <c r="V63" s="66">
        <f t="shared" si="25"/>
        <v>-46027</v>
      </c>
      <c r="Y63" s="67" t="s">
        <v>8</v>
      </c>
      <c r="Z63" s="68">
        <v>1608</v>
      </c>
      <c r="AA63" s="70"/>
      <c r="AB63" s="70"/>
      <c r="AC63" s="66" t="str">
        <f t="shared" si="26"/>
        <v/>
      </c>
      <c r="AD63" s="66">
        <f t="shared" si="27"/>
        <v>-46027</v>
      </c>
      <c r="AG63" s="67" t="s">
        <v>8</v>
      </c>
      <c r="AH63" s="68">
        <v>1608</v>
      </c>
      <c r="AI63" s="70"/>
      <c r="AJ63" s="70"/>
      <c r="AK63" s="66" t="str">
        <f t="shared" si="28"/>
        <v/>
      </c>
      <c r="AL63" s="66">
        <f t="shared" si="29"/>
        <v>-46027</v>
      </c>
      <c r="AO63" s="67" t="s">
        <v>8</v>
      </c>
      <c r="AP63" s="68">
        <v>1608</v>
      </c>
      <c r="AQ63" s="8"/>
      <c r="AR63" s="8"/>
      <c r="AS63" s="4" t="str">
        <f t="shared" si="30"/>
        <v/>
      </c>
      <c r="AT63" s="4">
        <f t="shared" si="31"/>
        <v>-46027</v>
      </c>
    </row>
    <row r="64" spans="1:46" ht="22.15" hidden="1" customHeight="1">
      <c r="A64"/>
      <c r="B64" s="65" t="s">
        <v>72</v>
      </c>
      <c r="C64" s="24" t="s">
        <v>8</v>
      </c>
      <c r="D64" s="25">
        <v>1284</v>
      </c>
      <c r="E64" s="27"/>
      <c r="F64" s="27"/>
      <c r="G64" s="66" t="str">
        <f t="shared" si="20"/>
        <v/>
      </c>
      <c r="H64" s="66">
        <f t="shared" si="21"/>
        <v>-46027</v>
      </c>
      <c r="I64" s="67" t="s">
        <v>8</v>
      </c>
      <c r="J64" s="68">
        <v>1284</v>
      </c>
      <c r="K64" s="70"/>
      <c r="L64" s="70"/>
      <c r="M64" s="66" t="str">
        <f t="shared" si="22"/>
        <v/>
      </c>
      <c r="N64" s="66">
        <f t="shared" si="23"/>
        <v>-46027</v>
      </c>
      <c r="Q64" s="67" t="s">
        <v>8</v>
      </c>
      <c r="R64" s="68">
        <v>1284</v>
      </c>
      <c r="S64" s="70"/>
      <c r="T64" s="70"/>
      <c r="U64" s="66" t="str">
        <f t="shared" si="24"/>
        <v/>
      </c>
      <c r="V64" s="66">
        <f t="shared" si="25"/>
        <v>-46027</v>
      </c>
      <c r="Y64" s="67" t="s">
        <v>8</v>
      </c>
      <c r="Z64" s="68">
        <v>1284</v>
      </c>
      <c r="AA64" s="70"/>
      <c r="AB64" s="70"/>
      <c r="AC64" s="66" t="str">
        <f t="shared" si="26"/>
        <v/>
      </c>
      <c r="AD64" s="66">
        <f t="shared" si="27"/>
        <v>-46027</v>
      </c>
      <c r="AG64" s="67" t="s">
        <v>8</v>
      </c>
      <c r="AH64" s="68">
        <v>1284</v>
      </c>
      <c r="AI64" s="70"/>
      <c r="AJ64" s="70"/>
      <c r="AK64" s="66" t="str">
        <f t="shared" si="28"/>
        <v/>
      </c>
      <c r="AL64" s="66">
        <f t="shared" si="29"/>
        <v>-46027</v>
      </c>
      <c r="AO64" s="67" t="s">
        <v>8</v>
      </c>
      <c r="AP64" s="68">
        <v>1284</v>
      </c>
      <c r="AQ64" s="8"/>
      <c r="AR64" s="8"/>
      <c r="AS64" s="4" t="str">
        <f t="shared" si="30"/>
        <v/>
      </c>
      <c r="AT64" s="4">
        <f t="shared" si="31"/>
        <v>-46027</v>
      </c>
    </row>
    <row r="65" spans="1:48" ht="22.15" hidden="1" customHeight="1">
      <c r="A65"/>
      <c r="B65" s="65" t="s">
        <v>73</v>
      </c>
      <c r="C65" s="24" t="s">
        <v>8</v>
      </c>
      <c r="D65" s="25">
        <v>1266</v>
      </c>
      <c r="E65" s="27"/>
      <c r="F65" s="27"/>
      <c r="G65" s="66" t="str">
        <f t="shared" si="20"/>
        <v/>
      </c>
      <c r="H65" s="66">
        <f t="shared" si="21"/>
        <v>-46027</v>
      </c>
      <c r="I65" s="67" t="s">
        <v>8</v>
      </c>
      <c r="J65" s="68">
        <v>1266</v>
      </c>
      <c r="K65" s="70"/>
      <c r="L65" s="70"/>
      <c r="M65" s="66" t="str">
        <f t="shared" si="22"/>
        <v/>
      </c>
      <c r="N65" s="66">
        <f t="shared" si="23"/>
        <v>-46027</v>
      </c>
      <c r="Q65" s="67" t="s">
        <v>8</v>
      </c>
      <c r="R65" s="68">
        <v>1266</v>
      </c>
      <c r="S65" s="70"/>
      <c r="T65" s="70"/>
      <c r="U65" s="66" t="str">
        <f t="shared" si="24"/>
        <v/>
      </c>
      <c r="V65" s="66">
        <f t="shared" si="25"/>
        <v>-46027</v>
      </c>
      <c r="Y65" s="67" t="s">
        <v>8</v>
      </c>
      <c r="Z65" s="68">
        <v>1266</v>
      </c>
      <c r="AA65" s="70"/>
      <c r="AB65" s="70"/>
      <c r="AC65" s="66" t="str">
        <f t="shared" si="26"/>
        <v/>
      </c>
      <c r="AD65" s="66">
        <f t="shared" si="27"/>
        <v>-46027</v>
      </c>
      <c r="AG65" s="67" t="s">
        <v>8</v>
      </c>
      <c r="AH65" s="68">
        <v>1266</v>
      </c>
      <c r="AI65" s="70"/>
      <c r="AJ65" s="70"/>
      <c r="AK65" s="66" t="str">
        <f t="shared" si="28"/>
        <v/>
      </c>
      <c r="AL65" s="66">
        <f t="shared" si="29"/>
        <v>-46027</v>
      </c>
      <c r="AO65" s="67" t="s">
        <v>8</v>
      </c>
      <c r="AP65" s="68">
        <v>1266</v>
      </c>
      <c r="AQ65" s="8"/>
      <c r="AR65" s="8"/>
      <c r="AS65" s="4" t="str">
        <f t="shared" si="30"/>
        <v/>
      </c>
      <c r="AT65" s="4">
        <f t="shared" si="31"/>
        <v>-46027</v>
      </c>
    </row>
    <row r="66" spans="1:48" ht="22.15" hidden="1" customHeight="1">
      <c r="A66"/>
      <c r="B66" s="65" t="s">
        <v>74</v>
      </c>
      <c r="C66" s="24" t="s">
        <v>8</v>
      </c>
      <c r="D66" s="25">
        <v>1278</v>
      </c>
      <c r="E66" s="27"/>
      <c r="F66" s="27"/>
      <c r="G66" s="66" t="str">
        <f t="shared" si="20"/>
        <v/>
      </c>
      <c r="H66" s="66">
        <f t="shared" si="21"/>
        <v>-46027</v>
      </c>
      <c r="I66" s="67" t="s">
        <v>8</v>
      </c>
      <c r="J66" s="68">
        <v>1278</v>
      </c>
      <c r="K66" s="70"/>
      <c r="L66" s="70"/>
      <c r="M66" s="66" t="str">
        <f t="shared" si="22"/>
        <v/>
      </c>
      <c r="N66" s="66">
        <f t="shared" si="23"/>
        <v>-46027</v>
      </c>
      <c r="Q66" s="67" t="s">
        <v>8</v>
      </c>
      <c r="R66" s="68">
        <v>1278</v>
      </c>
      <c r="S66" s="70"/>
      <c r="T66" s="70"/>
      <c r="U66" s="66" t="str">
        <f t="shared" si="24"/>
        <v/>
      </c>
      <c r="V66" s="66">
        <f t="shared" si="25"/>
        <v>-46027</v>
      </c>
      <c r="Y66" s="67" t="s">
        <v>8</v>
      </c>
      <c r="Z66" s="68">
        <v>1278</v>
      </c>
      <c r="AA66" s="70"/>
      <c r="AB66" s="70"/>
      <c r="AC66" s="66" t="str">
        <f t="shared" si="26"/>
        <v/>
      </c>
      <c r="AD66" s="66">
        <f t="shared" si="27"/>
        <v>-46027</v>
      </c>
      <c r="AG66" s="67" t="s">
        <v>8</v>
      </c>
      <c r="AH66" s="68">
        <v>1278</v>
      </c>
      <c r="AI66" s="70"/>
      <c r="AJ66" s="70"/>
      <c r="AK66" s="66" t="str">
        <f t="shared" si="28"/>
        <v/>
      </c>
      <c r="AL66" s="66">
        <f t="shared" si="29"/>
        <v>-46027</v>
      </c>
      <c r="AO66" s="67" t="s">
        <v>8</v>
      </c>
      <c r="AP66" s="68">
        <v>1278</v>
      </c>
      <c r="AQ66" s="8"/>
      <c r="AR66" s="8"/>
      <c r="AS66" s="4" t="str">
        <f t="shared" si="30"/>
        <v/>
      </c>
      <c r="AT66" s="4">
        <f t="shared" si="31"/>
        <v>-46027</v>
      </c>
    </row>
    <row r="67" spans="1:48" ht="22.15" hidden="1" customHeight="1">
      <c r="A67"/>
      <c r="B67" s="65" t="s">
        <v>75</v>
      </c>
      <c r="C67" s="24" t="s">
        <v>8</v>
      </c>
      <c r="D67" s="25">
        <v>300</v>
      </c>
      <c r="E67" s="27"/>
      <c r="F67" s="27"/>
      <c r="G67" s="66" t="str">
        <f t="shared" si="20"/>
        <v/>
      </c>
      <c r="H67" s="66">
        <f t="shared" si="21"/>
        <v>-46027</v>
      </c>
      <c r="I67" s="67" t="s">
        <v>8</v>
      </c>
      <c r="J67" s="68">
        <v>300</v>
      </c>
      <c r="K67" s="70"/>
      <c r="L67" s="70"/>
      <c r="M67" s="66" t="str">
        <f t="shared" si="22"/>
        <v/>
      </c>
      <c r="N67" s="66">
        <f t="shared" si="23"/>
        <v>-46027</v>
      </c>
      <c r="Q67" s="67" t="s">
        <v>8</v>
      </c>
      <c r="R67" s="68">
        <v>300</v>
      </c>
      <c r="S67" s="70"/>
      <c r="T67" s="70"/>
      <c r="U67" s="66" t="str">
        <f t="shared" si="24"/>
        <v/>
      </c>
      <c r="V67" s="66">
        <f t="shared" si="25"/>
        <v>-46027</v>
      </c>
      <c r="Y67" s="67" t="s">
        <v>8</v>
      </c>
      <c r="Z67" s="68">
        <v>300</v>
      </c>
      <c r="AA67" s="70"/>
      <c r="AB67" s="70"/>
      <c r="AC67" s="66" t="str">
        <f t="shared" si="26"/>
        <v/>
      </c>
      <c r="AD67" s="66">
        <f t="shared" si="27"/>
        <v>-46027</v>
      </c>
      <c r="AG67" s="67" t="s">
        <v>8</v>
      </c>
      <c r="AH67" s="68">
        <v>300</v>
      </c>
      <c r="AI67" s="70"/>
      <c r="AJ67" s="70"/>
      <c r="AK67" s="66" t="str">
        <f t="shared" si="28"/>
        <v/>
      </c>
      <c r="AL67" s="66">
        <f t="shared" si="29"/>
        <v>-46027</v>
      </c>
      <c r="AO67" s="67" t="s">
        <v>8</v>
      </c>
      <c r="AP67" s="68">
        <v>300</v>
      </c>
      <c r="AQ67" s="8"/>
      <c r="AR67" s="8"/>
      <c r="AS67" s="4" t="str">
        <f t="shared" si="30"/>
        <v/>
      </c>
      <c r="AT67" s="4">
        <f t="shared" si="31"/>
        <v>-46027</v>
      </c>
    </row>
    <row r="68" spans="1:48" ht="22.15" hidden="1" customHeight="1">
      <c r="A68"/>
      <c r="B68" s="65" t="s">
        <v>76</v>
      </c>
      <c r="C68" s="24" t="s">
        <v>8</v>
      </c>
      <c r="D68" s="25">
        <v>306</v>
      </c>
      <c r="E68" s="27"/>
      <c r="F68" s="27"/>
      <c r="G68" s="66" t="str">
        <f t="shared" si="20"/>
        <v/>
      </c>
      <c r="H68" s="66">
        <f t="shared" si="21"/>
        <v>-46027</v>
      </c>
      <c r="I68" s="67" t="s">
        <v>8</v>
      </c>
      <c r="J68" s="68">
        <v>306</v>
      </c>
      <c r="K68" s="70"/>
      <c r="L68" s="70"/>
      <c r="M68" s="66" t="str">
        <f t="shared" si="22"/>
        <v/>
      </c>
      <c r="N68" s="66">
        <f t="shared" si="23"/>
        <v>-46027</v>
      </c>
      <c r="Q68" s="67" t="s">
        <v>8</v>
      </c>
      <c r="R68" s="68">
        <v>306</v>
      </c>
      <c r="S68" s="70"/>
      <c r="T68" s="70"/>
      <c r="U68" s="66" t="str">
        <f t="shared" si="24"/>
        <v/>
      </c>
      <c r="V68" s="66">
        <f t="shared" si="25"/>
        <v>-46027</v>
      </c>
      <c r="Y68" s="67" t="s">
        <v>8</v>
      </c>
      <c r="Z68" s="68">
        <v>306</v>
      </c>
      <c r="AA68" s="70"/>
      <c r="AB68" s="70"/>
      <c r="AC68" s="66" t="str">
        <f t="shared" si="26"/>
        <v/>
      </c>
      <c r="AD68" s="66">
        <f t="shared" si="27"/>
        <v>-46027</v>
      </c>
      <c r="AG68" s="67" t="s">
        <v>8</v>
      </c>
      <c r="AH68" s="68">
        <v>306</v>
      </c>
      <c r="AI68" s="70"/>
      <c r="AJ68" s="70"/>
      <c r="AK68" s="66" t="str">
        <f t="shared" si="28"/>
        <v/>
      </c>
      <c r="AL68" s="66">
        <f t="shared" si="29"/>
        <v>-46027</v>
      </c>
      <c r="AO68" s="67" t="s">
        <v>8</v>
      </c>
      <c r="AP68" s="68">
        <v>306</v>
      </c>
      <c r="AQ68" s="8"/>
      <c r="AR68" s="8"/>
      <c r="AS68" s="4" t="str">
        <f t="shared" si="30"/>
        <v/>
      </c>
      <c r="AT68" s="4">
        <f t="shared" si="31"/>
        <v>-46027</v>
      </c>
    </row>
    <row r="69" spans="1:48" ht="22.15" hidden="1" customHeight="1">
      <c r="A69"/>
      <c r="B69" s="65" t="s">
        <v>77</v>
      </c>
      <c r="C69" s="24" t="s">
        <v>8</v>
      </c>
      <c r="D69" s="25">
        <v>1296</v>
      </c>
      <c r="E69" s="27"/>
      <c r="F69" s="27"/>
      <c r="G69" s="66" t="str">
        <f t="shared" si="20"/>
        <v/>
      </c>
      <c r="H69" s="66">
        <f t="shared" si="21"/>
        <v>-46027</v>
      </c>
      <c r="I69" s="67" t="s">
        <v>8</v>
      </c>
      <c r="J69" s="68">
        <v>1296</v>
      </c>
      <c r="K69" s="70"/>
      <c r="L69" s="70"/>
      <c r="M69" s="66" t="str">
        <f t="shared" si="22"/>
        <v/>
      </c>
      <c r="N69" s="66">
        <f t="shared" si="23"/>
        <v>-46027</v>
      </c>
      <c r="Q69" s="67" t="s">
        <v>8</v>
      </c>
      <c r="R69" s="68">
        <v>1296</v>
      </c>
      <c r="S69" s="70"/>
      <c r="T69" s="70"/>
      <c r="U69" s="66" t="str">
        <f t="shared" si="24"/>
        <v/>
      </c>
      <c r="V69" s="66">
        <f t="shared" si="25"/>
        <v>-46027</v>
      </c>
      <c r="Y69" s="67" t="s">
        <v>8</v>
      </c>
      <c r="Z69" s="68">
        <v>1296</v>
      </c>
      <c r="AA69" s="70"/>
      <c r="AB69" s="70"/>
      <c r="AC69" s="66" t="str">
        <f t="shared" si="26"/>
        <v/>
      </c>
      <c r="AD69" s="66">
        <f t="shared" si="27"/>
        <v>-46027</v>
      </c>
      <c r="AG69" s="67" t="s">
        <v>8</v>
      </c>
      <c r="AH69" s="68">
        <v>1296</v>
      </c>
      <c r="AI69" s="70"/>
      <c r="AJ69" s="70"/>
      <c r="AK69" s="66" t="str">
        <f t="shared" si="28"/>
        <v/>
      </c>
      <c r="AL69" s="66">
        <f t="shared" si="29"/>
        <v>-46027</v>
      </c>
      <c r="AO69" s="67" t="s">
        <v>8</v>
      </c>
      <c r="AP69" s="68">
        <v>1296</v>
      </c>
      <c r="AQ69" s="8"/>
      <c r="AR69" s="8"/>
      <c r="AS69" s="4" t="str">
        <f t="shared" si="30"/>
        <v/>
      </c>
      <c r="AT69" s="4">
        <f t="shared" si="31"/>
        <v>-46027</v>
      </c>
    </row>
    <row r="70" spans="1:48" ht="22.15" hidden="1" customHeight="1">
      <c r="A70"/>
      <c r="B70" s="65" t="s">
        <v>78</v>
      </c>
      <c r="C70" s="24" t="s">
        <v>8</v>
      </c>
      <c r="D70" s="25">
        <v>414</v>
      </c>
      <c r="E70" s="27"/>
      <c r="F70" s="27"/>
      <c r="G70" s="66" t="str">
        <f t="shared" si="20"/>
        <v/>
      </c>
      <c r="H70" s="66">
        <f t="shared" si="21"/>
        <v>-46027</v>
      </c>
      <c r="I70" s="67" t="s">
        <v>8</v>
      </c>
      <c r="J70" s="68">
        <v>414</v>
      </c>
      <c r="K70" s="70"/>
      <c r="L70" s="70"/>
      <c r="M70" s="66" t="str">
        <f t="shared" si="22"/>
        <v/>
      </c>
      <c r="N70" s="66">
        <f t="shared" si="23"/>
        <v>-46027</v>
      </c>
      <c r="Q70" s="67" t="s">
        <v>8</v>
      </c>
      <c r="R70" s="68">
        <v>414</v>
      </c>
      <c r="S70" s="70"/>
      <c r="T70" s="70"/>
      <c r="U70" s="66" t="str">
        <f t="shared" si="24"/>
        <v/>
      </c>
      <c r="V70" s="66">
        <f t="shared" si="25"/>
        <v>-46027</v>
      </c>
      <c r="Y70" s="67" t="s">
        <v>8</v>
      </c>
      <c r="Z70" s="68">
        <v>414</v>
      </c>
      <c r="AA70" s="70"/>
      <c r="AB70" s="70"/>
      <c r="AC70" s="66" t="str">
        <f t="shared" si="26"/>
        <v/>
      </c>
      <c r="AD70" s="66">
        <f t="shared" si="27"/>
        <v>-46027</v>
      </c>
      <c r="AG70" s="67" t="s">
        <v>8</v>
      </c>
      <c r="AH70" s="68">
        <v>414</v>
      </c>
      <c r="AI70" s="70"/>
      <c r="AJ70" s="70"/>
      <c r="AK70" s="66" t="str">
        <f t="shared" si="28"/>
        <v/>
      </c>
      <c r="AL70" s="66">
        <f t="shared" si="29"/>
        <v>-46027</v>
      </c>
      <c r="AO70" s="67" t="s">
        <v>8</v>
      </c>
      <c r="AP70" s="68">
        <v>414</v>
      </c>
      <c r="AQ70" s="8"/>
      <c r="AR70" s="8"/>
      <c r="AS70" s="4" t="str">
        <f t="shared" si="30"/>
        <v/>
      </c>
      <c r="AT70" s="4">
        <f t="shared" si="31"/>
        <v>-46027</v>
      </c>
    </row>
    <row r="71" spans="1:48" ht="22.15" customHeight="1">
      <c r="A71"/>
      <c r="B71" s="72" t="s">
        <v>79</v>
      </c>
      <c r="C71" s="24" t="s">
        <v>15</v>
      </c>
      <c r="D71" s="28">
        <v>5</v>
      </c>
      <c r="E71" s="29">
        <v>45997</v>
      </c>
      <c r="F71" s="27">
        <v>46036</v>
      </c>
      <c r="G71" s="66">
        <f t="shared" si="20"/>
        <v>23.076923076923077</v>
      </c>
      <c r="H71" s="66">
        <f t="shared" si="21"/>
        <v>9</v>
      </c>
      <c r="I71" s="67" t="s">
        <v>15</v>
      </c>
      <c r="J71" s="73">
        <v>0</v>
      </c>
      <c r="K71" s="74"/>
      <c r="L71" s="70">
        <v>46036</v>
      </c>
      <c r="M71" s="66">
        <f t="shared" si="22"/>
        <v>1.9549917455904075E-2</v>
      </c>
      <c r="N71" s="66">
        <f t="shared" si="23"/>
        <v>9</v>
      </c>
      <c r="O71" s="75">
        <f>D71-J71</f>
        <v>5</v>
      </c>
      <c r="P71" s="64"/>
      <c r="Q71" s="67" t="s">
        <v>15</v>
      </c>
      <c r="R71" s="73">
        <v>0</v>
      </c>
      <c r="S71" s="74"/>
      <c r="T71" s="70"/>
      <c r="U71" s="66" t="str">
        <f t="shared" si="24"/>
        <v/>
      </c>
      <c r="V71" s="66">
        <f t="shared" si="25"/>
        <v>-46027</v>
      </c>
      <c r="W71" s="75">
        <f>D71-R71</f>
        <v>5</v>
      </c>
      <c r="X71" s="64"/>
      <c r="Y71" s="67" t="s">
        <v>15</v>
      </c>
      <c r="Z71" s="73">
        <v>0</v>
      </c>
      <c r="AA71" s="74"/>
      <c r="AB71" s="70"/>
      <c r="AC71" s="66" t="str">
        <f t="shared" si="26"/>
        <v/>
      </c>
      <c r="AD71" s="66">
        <f t="shared" si="27"/>
        <v>-46027</v>
      </c>
      <c r="AE71" s="75">
        <f>D71-Z71</f>
        <v>5</v>
      </c>
      <c r="AF71" s="64"/>
      <c r="AG71" s="67" t="s">
        <v>15</v>
      </c>
      <c r="AH71" s="73">
        <v>0</v>
      </c>
      <c r="AI71" s="74"/>
      <c r="AJ71" s="70"/>
      <c r="AK71" s="66" t="str">
        <f t="shared" si="28"/>
        <v/>
      </c>
      <c r="AL71" s="66">
        <f t="shared" si="29"/>
        <v>-46027</v>
      </c>
      <c r="AM71" s="76"/>
      <c r="AN71" s="64"/>
      <c r="AO71" s="67" t="s">
        <v>15</v>
      </c>
      <c r="AP71" s="73">
        <v>0</v>
      </c>
      <c r="AQ71" s="9"/>
      <c r="AR71" s="8"/>
      <c r="AS71" s="4" t="str">
        <f t="shared" si="30"/>
        <v/>
      </c>
      <c r="AT71" s="4">
        <f t="shared" si="31"/>
        <v>-46027</v>
      </c>
      <c r="AU71" s="46"/>
      <c r="AV71" s="19"/>
    </row>
    <row r="72" spans="1:48" ht="22.15" hidden="1" customHeight="1">
      <c r="A72"/>
      <c r="B72" s="77"/>
      <c r="C72" s="24"/>
      <c r="D72" s="28"/>
      <c r="E72" s="27"/>
      <c r="F72" s="27">
        <v>46035</v>
      </c>
      <c r="G72" s="66">
        <f t="shared" si="20"/>
        <v>1.7378081894210924E-2</v>
      </c>
      <c r="H72" s="66">
        <f t="shared" ref="H72:H82" si="32">F72-$H$1</f>
        <v>8</v>
      </c>
      <c r="I72" s="67"/>
      <c r="J72" s="73"/>
      <c r="K72" s="70"/>
      <c r="L72" s="70"/>
      <c r="M72" s="66" t="str">
        <f t="shared" si="22"/>
        <v/>
      </c>
      <c r="N72" s="66">
        <f t="shared" si="23"/>
        <v>-46027</v>
      </c>
      <c r="O72" s="78">
        <f t="shared" ref="O72:O82" si="33">D72-J72</f>
        <v>0</v>
      </c>
      <c r="P72" s="64"/>
      <c r="Q72" s="67"/>
      <c r="R72" s="73"/>
      <c r="S72" s="70"/>
      <c r="T72" s="70"/>
      <c r="U72" s="66" t="str">
        <f t="shared" si="24"/>
        <v/>
      </c>
      <c r="V72" s="66">
        <f t="shared" si="25"/>
        <v>-46027</v>
      </c>
      <c r="W72" s="78">
        <f t="shared" ref="W72:W76" si="34">L72-R72</f>
        <v>0</v>
      </c>
      <c r="X72" s="64"/>
      <c r="Y72" s="67"/>
      <c r="Z72" s="73"/>
      <c r="AA72" s="70"/>
      <c r="AB72" s="70"/>
      <c r="AC72" s="66" t="str">
        <f t="shared" si="26"/>
        <v/>
      </c>
      <c r="AD72" s="66">
        <f t="shared" si="27"/>
        <v>-46027</v>
      </c>
      <c r="AE72" s="78">
        <f t="shared" ref="AE72:AE76" si="35">T72-Z72</f>
        <v>0</v>
      </c>
      <c r="AF72" s="64"/>
      <c r="AG72" s="67"/>
      <c r="AH72" s="73"/>
      <c r="AI72" s="70"/>
      <c r="AJ72" s="70"/>
      <c r="AK72" s="66" t="str">
        <f t="shared" si="28"/>
        <v/>
      </c>
      <c r="AL72" s="66">
        <f t="shared" si="29"/>
        <v>-46027</v>
      </c>
      <c r="AM72" s="76"/>
      <c r="AN72" s="64"/>
      <c r="AO72" s="67"/>
      <c r="AP72" s="73"/>
      <c r="AQ72" s="8"/>
      <c r="AR72" s="8"/>
      <c r="AS72" s="4" t="str">
        <f t="shared" si="30"/>
        <v/>
      </c>
      <c r="AT72" s="4">
        <f t="shared" si="31"/>
        <v>-46027</v>
      </c>
      <c r="AU72" s="46"/>
      <c r="AV72" s="19"/>
    </row>
    <row r="73" spans="1:48" ht="22.15" hidden="1" customHeight="1">
      <c r="A73"/>
      <c r="B73" s="77"/>
      <c r="C73" s="24"/>
      <c r="D73" s="28"/>
      <c r="E73" s="27"/>
      <c r="F73" s="27">
        <v>46036</v>
      </c>
      <c r="G73" s="66">
        <f t="shared" si="20"/>
        <v>1.9549917455904075E-2</v>
      </c>
      <c r="H73" s="66">
        <f t="shared" si="32"/>
        <v>9</v>
      </c>
      <c r="I73" s="67"/>
      <c r="J73" s="73"/>
      <c r="K73" s="70"/>
      <c r="L73" s="70"/>
      <c r="M73" s="66" t="str">
        <f t="shared" si="22"/>
        <v/>
      </c>
      <c r="N73" s="66">
        <f t="shared" si="23"/>
        <v>-46027</v>
      </c>
      <c r="O73" s="78">
        <f t="shared" si="33"/>
        <v>0</v>
      </c>
      <c r="P73" s="64"/>
      <c r="Q73" s="67"/>
      <c r="R73" s="73"/>
      <c r="S73" s="70"/>
      <c r="T73" s="70"/>
      <c r="U73" s="66" t="str">
        <f t="shared" si="24"/>
        <v/>
      </c>
      <c r="V73" s="66">
        <f t="shared" si="25"/>
        <v>-46027</v>
      </c>
      <c r="W73" s="78">
        <f t="shared" si="34"/>
        <v>0</v>
      </c>
      <c r="X73" s="64"/>
      <c r="Y73" s="67"/>
      <c r="Z73" s="73"/>
      <c r="AA73" s="70"/>
      <c r="AB73" s="70"/>
      <c r="AC73" s="66" t="str">
        <f t="shared" si="26"/>
        <v/>
      </c>
      <c r="AD73" s="66">
        <f t="shared" si="27"/>
        <v>-46027</v>
      </c>
      <c r="AE73" s="78">
        <f t="shared" si="35"/>
        <v>0</v>
      </c>
      <c r="AF73" s="64"/>
      <c r="AG73" s="67"/>
      <c r="AH73" s="73"/>
      <c r="AI73" s="70"/>
      <c r="AJ73" s="70"/>
      <c r="AK73" s="66" t="str">
        <f t="shared" si="28"/>
        <v/>
      </c>
      <c r="AL73" s="66">
        <f t="shared" si="29"/>
        <v>-46027</v>
      </c>
      <c r="AM73" s="76"/>
      <c r="AN73" s="64"/>
      <c r="AO73" s="67"/>
      <c r="AP73" s="73"/>
      <c r="AQ73" s="8"/>
      <c r="AR73" s="8"/>
      <c r="AS73" s="4" t="str">
        <f t="shared" si="30"/>
        <v/>
      </c>
      <c r="AT73" s="4">
        <f t="shared" si="31"/>
        <v>-46027</v>
      </c>
      <c r="AU73" s="46"/>
      <c r="AV73" s="19"/>
    </row>
    <row r="74" spans="1:48" ht="22.15" hidden="1" customHeight="1">
      <c r="A74"/>
      <c r="B74" s="77"/>
      <c r="C74" s="24"/>
      <c r="D74" s="28"/>
      <c r="E74" s="27"/>
      <c r="F74" s="27">
        <v>46037</v>
      </c>
      <c r="G74" s="66">
        <f t="shared" si="20"/>
        <v>2.1721658665855723E-2</v>
      </c>
      <c r="H74" s="66">
        <f t="shared" si="32"/>
        <v>10</v>
      </c>
      <c r="I74" s="67"/>
      <c r="J74" s="73"/>
      <c r="K74" s="70"/>
      <c r="L74" s="70"/>
      <c r="M74" s="66" t="str">
        <f t="shared" si="22"/>
        <v/>
      </c>
      <c r="N74" s="66">
        <f t="shared" si="23"/>
        <v>-46027</v>
      </c>
      <c r="O74" s="78">
        <f t="shared" si="33"/>
        <v>0</v>
      </c>
      <c r="P74" s="64"/>
      <c r="Q74" s="67"/>
      <c r="R74" s="73"/>
      <c r="S74" s="70"/>
      <c r="T74" s="70"/>
      <c r="U74" s="66" t="str">
        <f t="shared" si="24"/>
        <v/>
      </c>
      <c r="V74" s="66">
        <f t="shared" si="25"/>
        <v>-46027</v>
      </c>
      <c r="W74" s="78">
        <f t="shared" si="34"/>
        <v>0</v>
      </c>
      <c r="X74" s="64"/>
      <c r="Y74" s="67"/>
      <c r="Z74" s="73"/>
      <c r="AA74" s="70"/>
      <c r="AB74" s="70"/>
      <c r="AC74" s="66" t="str">
        <f t="shared" si="26"/>
        <v/>
      </c>
      <c r="AD74" s="66">
        <f t="shared" si="27"/>
        <v>-46027</v>
      </c>
      <c r="AE74" s="78">
        <f t="shared" si="35"/>
        <v>0</v>
      </c>
      <c r="AF74" s="64"/>
      <c r="AG74" s="67"/>
      <c r="AH74" s="73"/>
      <c r="AI74" s="70"/>
      <c r="AJ74" s="70"/>
      <c r="AK74" s="66" t="str">
        <f t="shared" si="28"/>
        <v/>
      </c>
      <c r="AL74" s="66">
        <f t="shared" si="29"/>
        <v>-46027</v>
      </c>
      <c r="AM74" s="76"/>
      <c r="AN74" s="64"/>
      <c r="AO74" s="67"/>
      <c r="AP74" s="73"/>
      <c r="AQ74" s="8"/>
      <c r="AR74" s="8"/>
      <c r="AS74" s="4" t="str">
        <f t="shared" si="30"/>
        <v/>
      </c>
      <c r="AT74" s="4">
        <f t="shared" si="31"/>
        <v>-46027</v>
      </c>
      <c r="AU74" s="46"/>
      <c r="AV74" s="19"/>
    </row>
    <row r="75" spans="1:48" ht="22.15" hidden="1" customHeight="1">
      <c r="A75"/>
      <c r="B75" s="77"/>
      <c r="C75" s="24"/>
      <c r="D75" s="28"/>
      <c r="E75" s="27"/>
      <c r="F75" s="27">
        <v>46038</v>
      </c>
      <c r="G75" s="66">
        <f t="shared" si="20"/>
        <v>2.3893305530214171E-2</v>
      </c>
      <c r="H75" s="66">
        <f t="shared" si="32"/>
        <v>11</v>
      </c>
      <c r="I75" s="67"/>
      <c r="J75" s="73"/>
      <c r="K75" s="70"/>
      <c r="L75" s="70"/>
      <c r="M75" s="66" t="str">
        <f t="shared" si="22"/>
        <v/>
      </c>
      <c r="N75" s="66">
        <f t="shared" si="23"/>
        <v>-46027</v>
      </c>
      <c r="O75" s="78">
        <f t="shared" si="33"/>
        <v>0</v>
      </c>
      <c r="P75" s="64"/>
      <c r="Q75" s="67"/>
      <c r="R75" s="73"/>
      <c r="S75" s="70"/>
      <c r="T75" s="70"/>
      <c r="U75" s="66" t="str">
        <f t="shared" si="24"/>
        <v/>
      </c>
      <c r="V75" s="66">
        <f t="shared" si="25"/>
        <v>-46027</v>
      </c>
      <c r="W75" s="78">
        <f t="shared" si="34"/>
        <v>0</v>
      </c>
      <c r="X75" s="64"/>
      <c r="Y75" s="67"/>
      <c r="Z75" s="73"/>
      <c r="AA75" s="70"/>
      <c r="AB75" s="70"/>
      <c r="AC75" s="66" t="str">
        <f t="shared" si="26"/>
        <v/>
      </c>
      <c r="AD75" s="66">
        <f t="shared" si="27"/>
        <v>-46027</v>
      </c>
      <c r="AE75" s="78">
        <f t="shared" si="35"/>
        <v>0</v>
      </c>
      <c r="AF75" s="64"/>
      <c r="AG75" s="67"/>
      <c r="AH75" s="73"/>
      <c r="AI75" s="70"/>
      <c r="AJ75" s="70"/>
      <c r="AK75" s="66" t="str">
        <f t="shared" si="28"/>
        <v/>
      </c>
      <c r="AL75" s="66">
        <f t="shared" si="29"/>
        <v>-46027</v>
      </c>
      <c r="AM75" s="76"/>
      <c r="AN75" s="64"/>
      <c r="AO75" s="67"/>
      <c r="AP75" s="73"/>
      <c r="AQ75" s="8"/>
      <c r="AR75" s="8"/>
      <c r="AS75" s="4" t="str">
        <f t="shared" si="30"/>
        <v/>
      </c>
      <c r="AT75" s="4">
        <f t="shared" si="31"/>
        <v>-46027</v>
      </c>
      <c r="AU75" s="46"/>
      <c r="AV75" s="19"/>
    </row>
    <row r="76" spans="1:48" ht="22.15" hidden="1" customHeight="1">
      <c r="A76"/>
      <c r="B76" s="77"/>
      <c r="C76" s="24"/>
      <c r="D76" s="28"/>
      <c r="E76" s="27"/>
      <c r="F76" s="27">
        <v>46039</v>
      </c>
      <c r="G76" s="66">
        <f t="shared" si="20"/>
        <v>2.6064858055127177E-2</v>
      </c>
      <c r="H76" s="66">
        <f t="shared" si="32"/>
        <v>12</v>
      </c>
      <c r="I76" s="67"/>
      <c r="J76" s="73"/>
      <c r="K76" s="70"/>
      <c r="L76" s="70"/>
      <c r="M76" s="66" t="str">
        <f t="shared" si="22"/>
        <v/>
      </c>
      <c r="N76" s="66">
        <f t="shared" si="23"/>
        <v>-46027</v>
      </c>
      <c r="O76" s="78">
        <f t="shared" si="33"/>
        <v>0</v>
      </c>
      <c r="P76" s="64"/>
      <c r="Q76" s="67"/>
      <c r="R76" s="73"/>
      <c r="S76" s="70"/>
      <c r="T76" s="70"/>
      <c r="U76" s="66" t="str">
        <f t="shared" si="24"/>
        <v/>
      </c>
      <c r="V76" s="66">
        <f t="shared" si="25"/>
        <v>-46027</v>
      </c>
      <c r="W76" s="78">
        <f t="shared" si="34"/>
        <v>0</v>
      </c>
      <c r="X76" s="64"/>
      <c r="Y76" s="67"/>
      <c r="Z76" s="73"/>
      <c r="AA76" s="70"/>
      <c r="AB76" s="70"/>
      <c r="AC76" s="66" t="str">
        <f t="shared" si="26"/>
        <v/>
      </c>
      <c r="AD76" s="66">
        <f t="shared" si="27"/>
        <v>-46027</v>
      </c>
      <c r="AE76" s="78">
        <f t="shared" si="35"/>
        <v>0</v>
      </c>
      <c r="AF76" s="64"/>
      <c r="AG76" s="67"/>
      <c r="AH76" s="73"/>
      <c r="AI76" s="70"/>
      <c r="AJ76" s="70"/>
      <c r="AK76" s="66" t="str">
        <f t="shared" si="28"/>
        <v/>
      </c>
      <c r="AL76" s="66">
        <f t="shared" si="29"/>
        <v>-46027</v>
      </c>
      <c r="AM76" s="76"/>
      <c r="AN76" s="64"/>
      <c r="AO76" s="67"/>
      <c r="AP76" s="73"/>
      <c r="AQ76" s="8"/>
      <c r="AR76" s="8"/>
      <c r="AS76" s="4" t="str">
        <f t="shared" si="30"/>
        <v/>
      </c>
      <c r="AT76" s="4">
        <f t="shared" si="31"/>
        <v>-46027</v>
      </c>
      <c r="AU76" s="46"/>
      <c r="AV76" s="19"/>
    </row>
    <row r="77" spans="1:48" ht="22.15" customHeight="1">
      <c r="A77"/>
      <c r="B77" s="72" t="s">
        <v>80</v>
      </c>
      <c r="C77" s="24" t="s">
        <v>15</v>
      </c>
      <c r="D77" s="28">
        <v>131</v>
      </c>
      <c r="E77" s="27">
        <v>46010</v>
      </c>
      <c r="F77" s="27">
        <v>46040</v>
      </c>
      <c r="G77" s="66">
        <f t="shared" si="20"/>
        <v>43.333333333333336</v>
      </c>
      <c r="H77" s="66">
        <f t="shared" si="32"/>
        <v>13</v>
      </c>
      <c r="I77" s="67" t="s">
        <v>15</v>
      </c>
      <c r="J77" s="73">
        <v>57</v>
      </c>
      <c r="K77" s="70">
        <v>46010</v>
      </c>
      <c r="L77" s="70">
        <v>46040</v>
      </c>
      <c r="M77" s="66">
        <f t="shared" si="22"/>
        <v>43.333333333333336</v>
      </c>
      <c r="N77" s="66">
        <f t="shared" si="23"/>
        <v>13</v>
      </c>
      <c r="O77" s="79">
        <f t="shared" si="33"/>
        <v>74</v>
      </c>
      <c r="P77" s="64"/>
      <c r="Q77" s="67" t="s">
        <v>15</v>
      </c>
      <c r="R77" s="73">
        <v>25</v>
      </c>
      <c r="S77" s="70">
        <v>46010</v>
      </c>
      <c r="T77" s="70">
        <v>46040</v>
      </c>
      <c r="U77" s="66">
        <f t="shared" si="24"/>
        <v>43.333333333333336</v>
      </c>
      <c r="V77" s="66">
        <f t="shared" si="25"/>
        <v>13</v>
      </c>
      <c r="W77" s="80">
        <f>D77-R77</f>
        <v>106</v>
      </c>
      <c r="X77" s="64"/>
      <c r="Y77" s="67" t="s">
        <v>15</v>
      </c>
      <c r="Z77" s="73">
        <v>0</v>
      </c>
      <c r="AA77" s="70"/>
      <c r="AB77" s="70"/>
      <c r="AC77" s="66" t="str">
        <f t="shared" si="26"/>
        <v/>
      </c>
      <c r="AD77" s="66">
        <f t="shared" si="27"/>
        <v>-46027</v>
      </c>
      <c r="AE77" s="75">
        <f>D77-Z77</f>
        <v>131</v>
      </c>
      <c r="AF77" s="64"/>
      <c r="AG77" s="67" t="s">
        <v>15</v>
      </c>
      <c r="AH77" s="73">
        <v>0</v>
      </c>
      <c r="AI77" s="70"/>
      <c r="AJ77" s="70"/>
      <c r="AK77" s="66" t="str">
        <f t="shared" si="28"/>
        <v/>
      </c>
      <c r="AL77" s="66">
        <f t="shared" si="29"/>
        <v>-46027</v>
      </c>
      <c r="AM77" s="76"/>
      <c r="AN77" s="64"/>
      <c r="AO77" s="67" t="s">
        <v>15</v>
      </c>
      <c r="AP77" s="73">
        <v>0</v>
      </c>
      <c r="AQ77" s="8"/>
      <c r="AR77" s="8"/>
      <c r="AS77" s="4" t="str">
        <f t="shared" si="30"/>
        <v/>
      </c>
      <c r="AT77" s="4">
        <f t="shared" si="31"/>
        <v>-46027</v>
      </c>
      <c r="AU77" s="46"/>
      <c r="AV77" s="19"/>
    </row>
    <row r="78" spans="1:48" ht="22.15" customHeight="1">
      <c r="A78"/>
      <c r="B78" s="81" t="s">
        <v>85</v>
      </c>
      <c r="C78" s="24" t="s">
        <v>8</v>
      </c>
      <c r="D78" s="28">
        <v>3</v>
      </c>
      <c r="E78" s="27">
        <v>45995</v>
      </c>
      <c r="F78" s="27">
        <v>46035</v>
      </c>
      <c r="G78" s="66">
        <f t="shared" si="20"/>
        <v>20</v>
      </c>
      <c r="H78" s="66">
        <f t="shared" si="32"/>
        <v>8</v>
      </c>
      <c r="I78" s="67" t="s">
        <v>8</v>
      </c>
      <c r="J78" s="73">
        <v>0</v>
      </c>
      <c r="K78" s="70"/>
      <c r="L78" s="70">
        <v>46035</v>
      </c>
      <c r="M78" s="66">
        <f t="shared" si="22"/>
        <v>1.7378081894210924E-2</v>
      </c>
      <c r="N78" s="66">
        <f t="shared" si="23"/>
        <v>8</v>
      </c>
      <c r="O78" s="75">
        <f t="shared" si="33"/>
        <v>3</v>
      </c>
      <c r="P78" s="64"/>
      <c r="Q78" s="67" t="s">
        <v>8</v>
      </c>
      <c r="R78" s="73">
        <v>0</v>
      </c>
      <c r="S78" s="70"/>
      <c r="T78" s="70"/>
      <c r="U78" s="66" t="str">
        <f t="shared" si="24"/>
        <v/>
      </c>
      <c r="V78" s="66">
        <f t="shared" si="25"/>
        <v>-46027</v>
      </c>
      <c r="W78" s="82">
        <f t="shared" ref="W78:W82" si="36">D78-R78</f>
        <v>3</v>
      </c>
      <c r="X78" s="64"/>
      <c r="Y78" s="67" t="s">
        <v>8</v>
      </c>
      <c r="Z78" s="73">
        <v>0</v>
      </c>
      <c r="AA78" s="70"/>
      <c r="AB78" s="70"/>
      <c r="AC78" s="66" t="str">
        <f t="shared" si="26"/>
        <v/>
      </c>
      <c r="AD78" s="66">
        <f t="shared" si="27"/>
        <v>-46027</v>
      </c>
      <c r="AE78" s="82">
        <f>D78-Z78</f>
        <v>3</v>
      </c>
      <c r="AF78" s="64"/>
      <c r="AG78" s="67" t="s">
        <v>8</v>
      </c>
      <c r="AH78" s="73">
        <v>0</v>
      </c>
      <c r="AI78" s="70"/>
      <c r="AJ78" s="70"/>
      <c r="AK78" s="66" t="str">
        <f t="shared" si="28"/>
        <v/>
      </c>
      <c r="AL78" s="66">
        <f t="shared" si="29"/>
        <v>-46027</v>
      </c>
      <c r="AM78" s="76"/>
      <c r="AN78" s="64"/>
      <c r="AO78" s="67" t="s">
        <v>8</v>
      </c>
      <c r="AP78" s="73">
        <v>0</v>
      </c>
      <c r="AQ78" s="8"/>
      <c r="AR78" s="8"/>
      <c r="AS78" s="4" t="str">
        <f t="shared" si="30"/>
        <v/>
      </c>
      <c r="AT78" s="4">
        <f t="shared" si="31"/>
        <v>-46027</v>
      </c>
      <c r="AU78" s="46"/>
      <c r="AV78" s="19"/>
    </row>
    <row r="79" spans="1:48" ht="22.15" customHeight="1">
      <c r="A79"/>
      <c r="B79" s="81" t="s">
        <v>81</v>
      </c>
      <c r="C79" s="24" t="s">
        <v>15</v>
      </c>
      <c r="D79" s="28">
        <v>5</v>
      </c>
      <c r="E79" s="27">
        <v>45990</v>
      </c>
      <c r="F79" s="27">
        <v>46035</v>
      </c>
      <c r="G79" s="66">
        <f t="shared" si="20"/>
        <v>17.777777777777779</v>
      </c>
      <c r="H79" s="66">
        <f t="shared" si="32"/>
        <v>8</v>
      </c>
      <c r="I79" s="67" t="s">
        <v>15</v>
      </c>
      <c r="J79" s="73">
        <v>5</v>
      </c>
      <c r="K79" s="70">
        <v>45990</v>
      </c>
      <c r="L79" s="70">
        <v>46035</v>
      </c>
      <c r="M79" s="66">
        <f t="shared" si="22"/>
        <v>17.777777777777779</v>
      </c>
      <c r="N79" s="66">
        <f t="shared" si="23"/>
        <v>8</v>
      </c>
      <c r="O79" s="79">
        <f>D79-J79</f>
        <v>0</v>
      </c>
      <c r="P79" s="64"/>
      <c r="Q79" s="67" t="s">
        <v>15</v>
      </c>
      <c r="R79" s="73">
        <v>0</v>
      </c>
      <c r="S79" s="70"/>
      <c r="T79" s="70"/>
      <c r="U79" s="66" t="str">
        <f t="shared" si="24"/>
        <v/>
      </c>
      <c r="V79" s="66">
        <f t="shared" si="25"/>
        <v>-46027</v>
      </c>
      <c r="W79" s="82">
        <f t="shared" si="36"/>
        <v>5</v>
      </c>
      <c r="X79" s="64"/>
      <c r="Y79" s="67" t="s">
        <v>15</v>
      </c>
      <c r="Z79" s="73">
        <v>0</v>
      </c>
      <c r="AA79" s="70"/>
      <c r="AB79" s="70"/>
      <c r="AC79" s="66" t="str">
        <f t="shared" si="26"/>
        <v/>
      </c>
      <c r="AD79" s="66">
        <f t="shared" si="27"/>
        <v>-46027</v>
      </c>
      <c r="AE79" s="82">
        <f t="shared" ref="AE79:AE82" si="37">D79-Z79</f>
        <v>5</v>
      </c>
      <c r="AF79" s="64"/>
      <c r="AG79" s="67" t="s">
        <v>15</v>
      </c>
      <c r="AH79" s="73">
        <v>0</v>
      </c>
      <c r="AI79" s="70"/>
      <c r="AJ79" s="70"/>
      <c r="AK79" s="66" t="str">
        <f t="shared" si="28"/>
        <v/>
      </c>
      <c r="AL79" s="66">
        <f t="shared" si="29"/>
        <v>-46027</v>
      </c>
      <c r="AM79" s="76"/>
      <c r="AN79" s="64"/>
      <c r="AO79" s="67" t="s">
        <v>15</v>
      </c>
      <c r="AP79" s="73">
        <v>0</v>
      </c>
      <c r="AQ79" s="8"/>
      <c r="AR79" s="8"/>
      <c r="AS79" s="4" t="str">
        <f t="shared" si="30"/>
        <v/>
      </c>
      <c r="AT79" s="4">
        <f t="shared" si="31"/>
        <v>-46027</v>
      </c>
      <c r="AU79" s="46"/>
      <c r="AV79" s="19"/>
    </row>
    <row r="80" spans="1:48" ht="22.15" customHeight="1">
      <c r="A80"/>
      <c r="B80" s="83" t="s">
        <v>82</v>
      </c>
      <c r="C80" s="24" t="s">
        <v>8</v>
      </c>
      <c r="D80" s="28">
        <v>204</v>
      </c>
      <c r="E80" s="27">
        <v>45990</v>
      </c>
      <c r="F80" s="27">
        <v>46035</v>
      </c>
      <c r="G80" s="66">
        <f t="shared" si="20"/>
        <v>17.777777777777779</v>
      </c>
      <c r="H80" s="66">
        <f t="shared" si="32"/>
        <v>8</v>
      </c>
      <c r="I80" s="67" t="s">
        <v>8</v>
      </c>
      <c r="J80" s="73">
        <v>187</v>
      </c>
      <c r="K80" s="70">
        <v>45990</v>
      </c>
      <c r="L80" s="70">
        <v>46035</v>
      </c>
      <c r="M80" s="66">
        <f t="shared" si="22"/>
        <v>17.777777777777779</v>
      </c>
      <c r="N80" s="66">
        <f t="shared" si="23"/>
        <v>8</v>
      </c>
      <c r="O80" s="79">
        <f t="shared" si="33"/>
        <v>17</v>
      </c>
      <c r="P80" s="64"/>
      <c r="Q80" s="67" t="s">
        <v>8</v>
      </c>
      <c r="R80" s="73">
        <v>154</v>
      </c>
      <c r="S80" s="70"/>
      <c r="T80" s="70"/>
      <c r="U80" s="66" t="str">
        <f t="shared" si="24"/>
        <v/>
      </c>
      <c r="V80" s="66">
        <f t="shared" si="25"/>
        <v>-46027</v>
      </c>
      <c r="W80" s="79">
        <f t="shared" si="36"/>
        <v>50</v>
      </c>
      <c r="X80" s="64"/>
      <c r="Y80" s="67" t="s">
        <v>8</v>
      </c>
      <c r="Z80" s="73">
        <v>154</v>
      </c>
      <c r="AA80" s="70"/>
      <c r="AB80" s="70"/>
      <c r="AC80" s="66" t="str">
        <f t="shared" si="26"/>
        <v/>
      </c>
      <c r="AD80" s="66">
        <f t="shared" si="27"/>
        <v>-46027</v>
      </c>
      <c r="AE80" s="82">
        <f t="shared" si="37"/>
        <v>50</v>
      </c>
      <c r="AF80" s="84" t="s">
        <v>109</v>
      </c>
      <c r="AG80" s="67" t="s">
        <v>8</v>
      </c>
      <c r="AH80" s="73">
        <v>0</v>
      </c>
      <c r="AI80" s="70"/>
      <c r="AJ80" s="70"/>
      <c r="AK80" s="66" t="str">
        <f t="shared" si="28"/>
        <v/>
      </c>
      <c r="AL80" s="66">
        <f t="shared" si="29"/>
        <v>-46027</v>
      </c>
      <c r="AM80" s="76"/>
      <c r="AN80" s="64"/>
      <c r="AO80" s="67" t="s">
        <v>8</v>
      </c>
      <c r="AP80" s="73">
        <v>0</v>
      </c>
      <c r="AQ80" s="8"/>
      <c r="AR80" s="8"/>
      <c r="AS80" s="4" t="str">
        <f t="shared" si="30"/>
        <v/>
      </c>
      <c r="AT80" s="4">
        <f t="shared" si="31"/>
        <v>-46027</v>
      </c>
      <c r="AU80" s="46"/>
      <c r="AV80" s="19"/>
    </row>
    <row r="81" spans="1:48" ht="22.15" customHeight="1">
      <c r="A81"/>
      <c r="B81" s="81" t="s">
        <v>83</v>
      </c>
      <c r="C81" s="30" t="s">
        <v>8</v>
      </c>
      <c r="D81" s="31">
        <v>25</v>
      </c>
      <c r="E81" s="27">
        <v>45998</v>
      </c>
      <c r="F81" s="27">
        <v>46038</v>
      </c>
      <c r="G81" s="66">
        <f t="shared" si="20"/>
        <v>27.500000000000004</v>
      </c>
      <c r="H81" s="66">
        <f t="shared" si="32"/>
        <v>11</v>
      </c>
      <c r="I81" s="85" t="s">
        <v>8</v>
      </c>
      <c r="J81" s="86">
        <v>0</v>
      </c>
      <c r="K81" s="70"/>
      <c r="L81" s="70">
        <v>46038</v>
      </c>
      <c r="M81" s="66">
        <f t="shared" si="22"/>
        <v>2.3893305530214171E-2</v>
      </c>
      <c r="N81" s="66">
        <f t="shared" si="23"/>
        <v>11</v>
      </c>
      <c r="O81" s="75">
        <f t="shared" si="33"/>
        <v>25</v>
      </c>
      <c r="P81" s="64"/>
      <c r="Q81" s="85" t="s">
        <v>8</v>
      </c>
      <c r="R81" s="86">
        <v>0</v>
      </c>
      <c r="S81" s="70"/>
      <c r="T81" s="70"/>
      <c r="U81" s="66" t="str">
        <f t="shared" si="24"/>
        <v/>
      </c>
      <c r="V81" s="66">
        <f t="shared" si="25"/>
        <v>-46027</v>
      </c>
      <c r="W81" s="82">
        <f t="shared" si="36"/>
        <v>25</v>
      </c>
      <c r="X81" s="64"/>
      <c r="Y81" s="85" t="s">
        <v>8</v>
      </c>
      <c r="Z81" s="86">
        <v>0</v>
      </c>
      <c r="AA81" s="70"/>
      <c r="AB81" s="70"/>
      <c r="AC81" s="66" t="str">
        <f t="shared" si="26"/>
        <v/>
      </c>
      <c r="AD81" s="66">
        <f t="shared" si="27"/>
        <v>-46027</v>
      </c>
      <c r="AE81" s="82">
        <f t="shared" si="37"/>
        <v>25</v>
      </c>
      <c r="AF81" s="64"/>
      <c r="AG81" s="85" t="s">
        <v>8</v>
      </c>
      <c r="AH81" s="86">
        <v>0</v>
      </c>
      <c r="AI81" s="70"/>
      <c r="AJ81" s="70"/>
      <c r="AK81" s="66" t="str">
        <f t="shared" si="28"/>
        <v/>
      </c>
      <c r="AL81" s="66">
        <f t="shared" si="29"/>
        <v>-46027</v>
      </c>
      <c r="AM81" s="76"/>
      <c r="AN81" s="64"/>
      <c r="AO81" s="85" t="s">
        <v>8</v>
      </c>
      <c r="AP81" s="86">
        <v>0</v>
      </c>
      <c r="AQ81" s="8"/>
      <c r="AR81" s="8"/>
      <c r="AS81" s="4" t="str">
        <f t="shared" si="30"/>
        <v/>
      </c>
      <c r="AT81" s="4">
        <f t="shared" si="31"/>
        <v>-46027</v>
      </c>
      <c r="AU81" s="46"/>
      <c r="AV81" s="19"/>
    </row>
    <row r="82" spans="1:48" ht="22.15" customHeight="1">
      <c r="A82"/>
      <c r="B82" s="81" t="s">
        <v>84</v>
      </c>
      <c r="C82" s="32" t="s">
        <v>8</v>
      </c>
      <c r="D82" s="28">
        <v>12</v>
      </c>
      <c r="E82" s="33">
        <v>45988</v>
      </c>
      <c r="F82" s="33">
        <v>46033</v>
      </c>
      <c r="G82" s="66">
        <f t="shared" si="20"/>
        <v>13.333333333333334</v>
      </c>
      <c r="H82" s="66">
        <f t="shared" si="32"/>
        <v>6</v>
      </c>
      <c r="I82" s="87" t="s">
        <v>8</v>
      </c>
      <c r="J82" s="73">
        <v>12</v>
      </c>
      <c r="K82" s="88">
        <v>45988</v>
      </c>
      <c r="L82" s="88">
        <v>46033</v>
      </c>
      <c r="M82" s="66">
        <f t="shared" si="22"/>
        <v>13.333333333333334</v>
      </c>
      <c r="N82" s="66">
        <f t="shared" si="23"/>
        <v>6</v>
      </c>
      <c r="O82" s="78">
        <f t="shared" si="33"/>
        <v>0</v>
      </c>
      <c r="P82" s="64"/>
      <c r="Q82" s="87" t="s">
        <v>8</v>
      </c>
      <c r="R82" s="73">
        <v>0</v>
      </c>
      <c r="S82" s="88"/>
      <c r="T82" s="88"/>
      <c r="U82" s="66" t="str">
        <f t="shared" si="24"/>
        <v/>
      </c>
      <c r="V82" s="66">
        <f t="shared" si="25"/>
        <v>-46027</v>
      </c>
      <c r="W82" s="82">
        <f t="shared" si="36"/>
        <v>12</v>
      </c>
      <c r="X82" s="64"/>
      <c r="Y82" s="87" t="s">
        <v>8</v>
      </c>
      <c r="Z82" s="73">
        <v>0</v>
      </c>
      <c r="AA82" s="88"/>
      <c r="AB82" s="88"/>
      <c r="AC82" s="66" t="str">
        <f t="shared" si="26"/>
        <v/>
      </c>
      <c r="AD82" s="66">
        <f t="shared" si="27"/>
        <v>-46027</v>
      </c>
      <c r="AE82" s="82">
        <f t="shared" si="37"/>
        <v>12</v>
      </c>
      <c r="AF82" s="64"/>
      <c r="AG82" s="87" t="s">
        <v>8</v>
      </c>
      <c r="AH82" s="73">
        <v>0</v>
      </c>
      <c r="AI82" s="88"/>
      <c r="AJ82" s="88"/>
      <c r="AK82" s="66" t="str">
        <f t="shared" si="28"/>
        <v/>
      </c>
      <c r="AL82" s="66">
        <f t="shared" si="29"/>
        <v>-46027</v>
      </c>
      <c r="AM82" s="76"/>
      <c r="AN82" s="64"/>
      <c r="AO82" s="87" t="s">
        <v>8</v>
      </c>
      <c r="AP82" s="73">
        <v>0</v>
      </c>
      <c r="AQ82" s="10"/>
      <c r="AR82" s="10"/>
      <c r="AS82" s="4" t="str">
        <f t="shared" si="30"/>
        <v/>
      </c>
      <c r="AT82" s="4">
        <f t="shared" si="31"/>
        <v>-46027</v>
      </c>
      <c r="AU82" s="46"/>
      <c r="AV82" s="19"/>
    </row>
    <row r="83" spans="1:48" ht="22.15" customHeight="1">
      <c r="A83"/>
      <c r="B83" s="81" t="s">
        <v>79</v>
      </c>
      <c r="C83" s="67"/>
      <c r="D83" s="73"/>
      <c r="E83" s="70"/>
      <c r="F83" s="70"/>
      <c r="G83" s="66" t="str">
        <f>IFERROR((F83-$G$1)/(F83-E83)*100,"")</f>
        <v/>
      </c>
      <c r="H83" s="66">
        <f t="shared" ref="H83" si="38">F83-$H$1</f>
        <v>-46027</v>
      </c>
      <c r="I83" s="67" t="s">
        <v>15</v>
      </c>
      <c r="J83" s="73">
        <v>8.8680000000000003</v>
      </c>
      <c r="K83" s="70">
        <v>46011</v>
      </c>
      <c r="L83" s="70">
        <v>46051</v>
      </c>
      <c r="M83" s="66">
        <f>IFERROR((L83-$G$1)/(L83-K83)*100,"")</f>
        <v>60</v>
      </c>
      <c r="N83" s="66">
        <f t="shared" si="23"/>
        <v>24</v>
      </c>
      <c r="O83" s="64"/>
      <c r="P83" s="64"/>
      <c r="Q83" s="67" t="s">
        <v>15</v>
      </c>
      <c r="R83" s="73">
        <v>0</v>
      </c>
      <c r="S83" s="70"/>
      <c r="T83" s="70"/>
      <c r="U83" s="66" t="str">
        <f>IFERROR((T83-$G$1)/(T83-S83)*100,"")</f>
        <v/>
      </c>
      <c r="V83" s="66">
        <f t="shared" si="25"/>
        <v>-46027</v>
      </c>
      <c r="W83" s="82">
        <f>J83-R83</f>
        <v>8.8680000000000003</v>
      </c>
      <c r="X83" s="64"/>
      <c r="Y83" s="67" t="s">
        <v>15</v>
      </c>
      <c r="Z83" s="73">
        <v>0</v>
      </c>
      <c r="AA83" s="70"/>
      <c r="AB83" s="70"/>
      <c r="AC83" s="66" t="str">
        <f>IFERROR((AB83-$G$1)/(AB83-AA83)*100,"")</f>
        <v/>
      </c>
      <c r="AD83" s="66">
        <f t="shared" si="27"/>
        <v>-46027</v>
      </c>
      <c r="AE83" s="82">
        <f>R83-Z83</f>
        <v>0</v>
      </c>
      <c r="AF83" s="64"/>
      <c r="AG83" s="67" t="s">
        <v>15</v>
      </c>
      <c r="AH83" s="73">
        <v>0</v>
      </c>
      <c r="AI83" s="70"/>
      <c r="AJ83" s="70"/>
      <c r="AK83" s="66" t="str">
        <f>IFERROR((AJ83-$G$1)/(AJ83-AI83)*100,"")</f>
        <v/>
      </c>
      <c r="AL83" s="66">
        <f t="shared" si="29"/>
        <v>-46027</v>
      </c>
      <c r="AM83" s="76"/>
      <c r="AN83" s="64"/>
      <c r="AO83" s="67" t="s">
        <v>15</v>
      </c>
      <c r="AP83" s="73">
        <v>0</v>
      </c>
      <c r="AQ83" s="8"/>
      <c r="AR83" s="8"/>
      <c r="AS83" s="4" t="str">
        <f>IFERROR((AR83-$G$1)/(AR83-AQ83)*100,"")</f>
        <v/>
      </c>
      <c r="AT83" s="4">
        <f t="shared" si="31"/>
        <v>-46027</v>
      </c>
      <c r="AU83" s="46"/>
      <c r="AV83" s="19"/>
    </row>
    <row r="84" spans="1:48" ht="22.15" customHeight="1">
      <c r="A84"/>
      <c r="B84" s="81" t="s">
        <v>86</v>
      </c>
      <c r="C84" s="67"/>
      <c r="D84" s="68"/>
      <c r="E84" s="70"/>
      <c r="F84" s="70"/>
      <c r="G84" s="66" t="str">
        <f t="shared" ref="G84:G86" si="39">IFERROR((F84-$G$1)/(F84-E84)*100,"")</f>
        <v/>
      </c>
      <c r="H84" s="66">
        <f t="shared" ref="H84:H86" si="40">F84-$H$1</f>
        <v>-46027</v>
      </c>
      <c r="I84" s="67" t="s">
        <v>15</v>
      </c>
      <c r="J84" s="68">
        <v>28.334</v>
      </c>
      <c r="K84" s="70">
        <v>46010</v>
      </c>
      <c r="L84" s="70">
        <v>46050</v>
      </c>
      <c r="M84" s="66">
        <f t="shared" ref="M84:M87" si="41">IFERROR((L84-$G$1)/(L84-K84)*100,"")</f>
        <v>57.499999999999993</v>
      </c>
      <c r="N84" s="66">
        <f t="shared" si="23"/>
        <v>23</v>
      </c>
      <c r="O84" s="64"/>
      <c r="P84" s="64"/>
      <c r="Q84" s="67" t="s">
        <v>15</v>
      </c>
      <c r="R84" s="68">
        <v>0</v>
      </c>
      <c r="S84" s="70"/>
      <c r="T84" s="70"/>
      <c r="U84" s="66" t="str">
        <f t="shared" ref="U84:U135" si="42">IFERROR((T84-$G$1)/(T84-S84)*100,"")</f>
        <v/>
      </c>
      <c r="V84" s="66">
        <f t="shared" si="25"/>
        <v>-46027</v>
      </c>
      <c r="W84" s="82">
        <f t="shared" ref="W84:W87" si="43">J84-R84</f>
        <v>28.334</v>
      </c>
      <c r="X84" s="64"/>
      <c r="Y84" s="67" t="s">
        <v>15</v>
      </c>
      <c r="Z84" s="68">
        <v>0</v>
      </c>
      <c r="AA84" s="70"/>
      <c r="AB84" s="70"/>
      <c r="AC84" s="66" t="str">
        <f t="shared" ref="AC84:AC135" si="44">IFERROR((AB84-$G$1)/(AB84-AA84)*100,"")</f>
        <v/>
      </c>
      <c r="AD84" s="66">
        <f t="shared" si="27"/>
        <v>-46027</v>
      </c>
      <c r="AE84" s="82">
        <f t="shared" ref="AE84:AE87" si="45">R84-Z84</f>
        <v>0</v>
      </c>
      <c r="AF84" s="64"/>
      <c r="AG84" s="67" t="s">
        <v>15</v>
      </c>
      <c r="AH84" s="68">
        <v>0</v>
      </c>
      <c r="AI84" s="70"/>
      <c r="AJ84" s="70"/>
      <c r="AK84" s="66" t="str">
        <f t="shared" ref="AK84:AK135" si="46">IFERROR((AJ84-$G$1)/(AJ84-AI84)*100,"")</f>
        <v/>
      </c>
      <c r="AL84" s="66">
        <f t="shared" si="29"/>
        <v>-46027</v>
      </c>
      <c r="AM84" s="76"/>
      <c r="AN84" s="64"/>
      <c r="AO84" s="67" t="s">
        <v>15</v>
      </c>
      <c r="AP84" s="68">
        <v>0</v>
      </c>
      <c r="AQ84" s="8"/>
      <c r="AR84" s="8"/>
      <c r="AS84" s="4" t="str">
        <f t="shared" ref="AS84:AS135" si="47">IFERROR((AR84-$G$1)/(AR84-AQ84)*100,"")</f>
        <v/>
      </c>
      <c r="AT84" s="4">
        <f t="shared" si="31"/>
        <v>-46027</v>
      </c>
      <c r="AU84" s="46"/>
      <c r="AV84" s="19"/>
    </row>
    <row r="85" spans="1:48" ht="22.15" customHeight="1">
      <c r="A85"/>
      <c r="B85" s="81" t="s">
        <v>86</v>
      </c>
      <c r="C85" s="67"/>
      <c r="D85" s="73"/>
      <c r="E85" s="70"/>
      <c r="F85" s="70"/>
      <c r="G85" s="66" t="str">
        <f t="shared" si="39"/>
        <v/>
      </c>
      <c r="H85" s="66">
        <f t="shared" si="40"/>
        <v>-46027</v>
      </c>
      <c r="I85" s="67" t="s">
        <v>15</v>
      </c>
      <c r="J85" s="73">
        <v>9.0210000000000008</v>
      </c>
      <c r="K85" s="70">
        <v>46007</v>
      </c>
      <c r="L85" s="70">
        <v>46047</v>
      </c>
      <c r="M85" s="66">
        <f t="shared" si="41"/>
        <v>50</v>
      </c>
      <c r="N85" s="66">
        <f t="shared" si="23"/>
        <v>20</v>
      </c>
      <c r="O85" s="64"/>
      <c r="P85" s="64"/>
      <c r="Q85" s="67" t="s">
        <v>15</v>
      </c>
      <c r="R85" s="73">
        <v>0</v>
      </c>
      <c r="S85" s="70"/>
      <c r="T85" s="70"/>
      <c r="U85" s="66" t="str">
        <f t="shared" si="42"/>
        <v/>
      </c>
      <c r="V85" s="66">
        <f t="shared" si="25"/>
        <v>-46027</v>
      </c>
      <c r="W85" s="82">
        <f t="shared" si="43"/>
        <v>9.0210000000000008</v>
      </c>
      <c r="X85" s="64"/>
      <c r="Y85" s="67" t="s">
        <v>15</v>
      </c>
      <c r="Z85" s="73">
        <v>0</v>
      </c>
      <c r="AA85" s="70"/>
      <c r="AB85" s="70"/>
      <c r="AC85" s="66" t="str">
        <f t="shared" si="44"/>
        <v/>
      </c>
      <c r="AD85" s="66">
        <f t="shared" si="27"/>
        <v>-46027</v>
      </c>
      <c r="AE85" s="82">
        <f t="shared" si="45"/>
        <v>0</v>
      </c>
      <c r="AF85" s="64"/>
      <c r="AG85" s="67" t="s">
        <v>15</v>
      </c>
      <c r="AH85" s="73">
        <v>0</v>
      </c>
      <c r="AI85" s="70"/>
      <c r="AJ85" s="70"/>
      <c r="AK85" s="66" t="str">
        <f t="shared" si="46"/>
        <v/>
      </c>
      <c r="AL85" s="66">
        <f t="shared" si="29"/>
        <v>-46027</v>
      </c>
      <c r="AM85" s="76"/>
      <c r="AN85" s="64"/>
      <c r="AO85" s="67" t="s">
        <v>15</v>
      </c>
      <c r="AP85" s="73">
        <v>0</v>
      </c>
      <c r="AQ85" s="8"/>
      <c r="AR85" s="8"/>
      <c r="AS85" s="4" t="str">
        <f t="shared" si="47"/>
        <v/>
      </c>
      <c r="AT85" s="4">
        <f t="shared" si="31"/>
        <v>-46027</v>
      </c>
      <c r="AU85" s="46"/>
      <c r="AV85" s="19"/>
    </row>
    <row r="86" spans="1:48" ht="22.15" customHeight="1">
      <c r="A86"/>
      <c r="B86" s="81" t="s">
        <v>86</v>
      </c>
      <c r="C86" s="67"/>
      <c r="D86" s="73"/>
      <c r="E86" s="70"/>
      <c r="F86" s="70"/>
      <c r="G86" s="66" t="str">
        <f t="shared" si="39"/>
        <v/>
      </c>
      <c r="H86" s="66">
        <f t="shared" si="40"/>
        <v>-46027</v>
      </c>
      <c r="I86" s="67" t="s">
        <v>15</v>
      </c>
      <c r="J86" s="73">
        <v>8.41</v>
      </c>
      <c r="K86" s="70">
        <v>46008</v>
      </c>
      <c r="L86" s="70">
        <v>46043</v>
      </c>
      <c r="M86" s="66">
        <f t="shared" si="41"/>
        <v>45.714285714285715</v>
      </c>
      <c r="N86" s="66">
        <f t="shared" si="23"/>
        <v>16</v>
      </c>
      <c r="O86" s="64"/>
      <c r="P86" s="64"/>
      <c r="Q86" s="67" t="s">
        <v>15</v>
      </c>
      <c r="R86" s="73">
        <v>0</v>
      </c>
      <c r="S86" s="70"/>
      <c r="T86" s="70"/>
      <c r="U86" s="66" t="str">
        <f t="shared" si="42"/>
        <v/>
      </c>
      <c r="V86" s="66">
        <f t="shared" si="25"/>
        <v>-46027</v>
      </c>
      <c r="W86" s="82">
        <f t="shared" si="43"/>
        <v>8.41</v>
      </c>
      <c r="X86" s="64"/>
      <c r="Y86" s="67" t="s">
        <v>15</v>
      </c>
      <c r="Z86" s="73">
        <v>0</v>
      </c>
      <c r="AA86" s="70"/>
      <c r="AB86" s="70"/>
      <c r="AC86" s="66" t="str">
        <f t="shared" si="44"/>
        <v/>
      </c>
      <c r="AD86" s="66">
        <f t="shared" si="27"/>
        <v>-46027</v>
      </c>
      <c r="AE86" s="82">
        <f t="shared" si="45"/>
        <v>0</v>
      </c>
      <c r="AF86" s="64"/>
      <c r="AG86" s="67" t="s">
        <v>15</v>
      </c>
      <c r="AH86" s="73">
        <v>0</v>
      </c>
      <c r="AI86" s="70"/>
      <c r="AJ86" s="70"/>
      <c r="AK86" s="66" t="str">
        <f t="shared" si="46"/>
        <v/>
      </c>
      <c r="AL86" s="66">
        <f t="shared" si="29"/>
        <v>-46027</v>
      </c>
      <c r="AM86" s="76"/>
      <c r="AN86" s="64"/>
      <c r="AO86" s="67" t="s">
        <v>15</v>
      </c>
      <c r="AP86" s="73">
        <v>0</v>
      </c>
      <c r="AQ86" s="8"/>
      <c r="AR86" s="8"/>
      <c r="AS86" s="4" t="str">
        <f t="shared" si="47"/>
        <v/>
      </c>
      <c r="AT86" s="4">
        <f t="shared" si="31"/>
        <v>-46027</v>
      </c>
      <c r="AU86" s="46"/>
      <c r="AV86" s="19"/>
    </row>
    <row r="87" spans="1:48" ht="22.15" customHeight="1">
      <c r="A87"/>
      <c r="B87" s="83" t="s">
        <v>87</v>
      </c>
      <c r="C87" s="67"/>
      <c r="D87" s="73"/>
      <c r="E87" s="70"/>
      <c r="F87" s="70"/>
      <c r="G87" s="66"/>
      <c r="H87" s="66"/>
      <c r="I87" s="67" t="s">
        <v>15</v>
      </c>
      <c r="J87" s="73">
        <v>84.07</v>
      </c>
      <c r="K87" s="70">
        <v>46010</v>
      </c>
      <c r="L87" s="70">
        <v>46050</v>
      </c>
      <c r="M87" s="66">
        <f t="shared" si="41"/>
        <v>57.499999999999993</v>
      </c>
      <c r="N87" s="66">
        <f t="shared" si="23"/>
        <v>23</v>
      </c>
      <c r="O87" s="64"/>
      <c r="P87" s="64"/>
      <c r="Q87" s="67" t="s">
        <v>15</v>
      </c>
      <c r="R87" s="73">
        <v>78.647999999999996</v>
      </c>
      <c r="S87" s="70">
        <v>46010</v>
      </c>
      <c r="T87" s="70">
        <v>46050</v>
      </c>
      <c r="U87" s="66">
        <f t="shared" si="42"/>
        <v>57.499999999999993</v>
      </c>
      <c r="V87" s="66">
        <f t="shared" si="25"/>
        <v>23</v>
      </c>
      <c r="W87" s="79">
        <f t="shared" si="43"/>
        <v>5.421999999999997</v>
      </c>
      <c r="X87" s="64"/>
      <c r="Y87" s="67" t="s">
        <v>15</v>
      </c>
      <c r="Z87" s="73">
        <v>52</v>
      </c>
      <c r="AA87" s="70">
        <v>46010</v>
      </c>
      <c r="AB87" s="70">
        <v>46050</v>
      </c>
      <c r="AC87" s="66">
        <f t="shared" si="44"/>
        <v>57.499999999999993</v>
      </c>
      <c r="AD87" s="66">
        <f t="shared" si="27"/>
        <v>23</v>
      </c>
      <c r="AE87" s="79">
        <f t="shared" si="45"/>
        <v>26.647999999999996</v>
      </c>
      <c r="AF87" s="64"/>
      <c r="AG87" s="67" t="s">
        <v>15</v>
      </c>
      <c r="AH87" s="73">
        <v>0</v>
      </c>
      <c r="AI87" s="70"/>
      <c r="AJ87" s="70"/>
      <c r="AK87" s="66" t="str">
        <f t="shared" si="46"/>
        <v/>
      </c>
      <c r="AL87" s="66">
        <f t="shared" si="29"/>
        <v>-46027</v>
      </c>
      <c r="AM87" s="76"/>
      <c r="AN87" s="64"/>
      <c r="AO87" s="67" t="s">
        <v>15</v>
      </c>
      <c r="AP87" s="73">
        <v>0</v>
      </c>
      <c r="AQ87" s="8"/>
      <c r="AR87" s="8"/>
      <c r="AS87" s="4" t="str">
        <f t="shared" si="47"/>
        <v/>
      </c>
      <c r="AT87" s="4">
        <f t="shared" si="31"/>
        <v>-46027</v>
      </c>
      <c r="AU87" s="46"/>
      <c r="AV87" s="19"/>
    </row>
    <row r="88" spans="1:48" ht="22.15" customHeight="1">
      <c r="A88"/>
      <c r="B88" s="72" t="s">
        <v>88</v>
      </c>
      <c r="C88" s="67"/>
      <c r="D88" s="73"/>
      <c r="E88" s="70"/>
      <c r="F88" s="70"/>
      <c r="G88" s="66" t="str">
        <f t="shared" ref="G88" si="48">IFERROR((F88-$G$1)/(F88-E88)*100,"")</f>
        <v/>
      </c>
      <c r="H88" s="66">
        <f t="shared" ref="H88" si="49">F88-$H$1</f>
        <v>-46027</v>
      </c>
      <c r="I88" s="67" t="s">
        <v>8</v>
      </c>
      <c r="J88" s="73">
        <v>301</v>
      </c>
      <c r="K88" s="70">
        <v>46013</v>
      </c>
      <c r="L88" s="70">
        <v>46053</v>
      </c>
      <c r="M88" s="66">
        <f t="shared" ref="M88:M135" si="50">IFERROR((L88-$G$1)/(L88-K88)*100,"")</f>
        <v>65</v>
      </c>
      <c r="N88" s="66">
        <f t="shared" ref="N88:N95" si="51">L88-$H$1</f>
        <v>26</v>
      </c>
      <c r="O88" s="64"/>
      <c r="P88" s="64"/>
      <c r="Q88" s="67" t="s">
        <v>8</v>
      </c>
      <c r="R88" s="73">
        <v>0</v>
      </c>
      <c r="S88" s="70"/>
      <c r="T88" s="70"/>
      <c r="U88" s="66" t="str">
        <f t="shared" si="42"/>
        <v/>
      </c>
      <c r="V88" s="66">
        <f t="shared" si="25"/>
        <v>-46027</v>
      </c>
      <c r="W88" s="75">
        <f>J88-R88</f>
        <v>301</v>
      </c>
      <c r="X88" s="64"/>
      <c r="Y88" s="67" t="s">
        <v>8</v>
      </c>
      <c r="Z88" s="89">
        <v>214</v>
      </c>
      <c r="AA88" s="44">
        <v>46013</v>
      </c>
      <c r="AB88" s="44">
        <v>46053</v>
      </c>
      <c r="AC88" s="66">
        <f t="shared" si="44"/>
        <v>65</v>
      </c>
      <c r="AD88" s="66">
        <f t="shared" si="27"/>
        <v>26</v>
      </c>
      <c r="AE88" s="75">
        <f>J88-Z88</f>
        <v>87</v>
      </c>
      <c r="AF88" s="64"/>
      <c r="AG88" s="67" t="s">
        <v>8</v>
      </c>
      <c r="AH88" s="73">
        <v>0</v>
      </c>
      <c r="AI88" s="70"/>
      <c r="AJ88" s="70"/>
      <c r="AK88" s="66" t="str">
        <f t="shared" si="46"/>
        <v/>
      </c>
      <c r="AL88" s="66">
        <f t="shared" si="29"/>
        <v>-46027</v>
      </c>
      <c r="AM88" s="76"/>
      <c r="AN88" s="64"/>
      <c r="AO88" s="67" t="s">
        <v>8</v>
      </c>
      <c r="AP88" s="73">
        <v>0</v>
      </c>
      <c r="AQ88" s="8"/>
      <c r="AR88" s="8"/>
      <c r="AS88" s="4" t="str">
        <f t="shared" si="47"/>
        <v/>
      </c>
      <c r="AT88" s="4">
        <f t="shared" si="31"/>
        <v>-46027</v>
      </c>
      <c r="AU88" s="46"/>
      <c r="AV88" s="19"/>
    </row>
    <row r="89" spans="1:48" ht="22.15" customHeight="1">
      <c r="A89"/>
      <c r="B89" s="72" t="s">
        <v>82</v>
      </c>
      <c r="C89" s="67"/>
      <c r="D89" s="73"/>
      <c r="E89" s="70"/>
      <c r="F89" s="70"/>
      <c r="G89" s="66" t="str">
        <f t="shared" ref="G89:G91" si="52">IFERROR((F89-$G$1)/(F89-E89)*100,"")</f>
        <v/>
      </c>
      <c r="H89" s="66">
        <f t="shared" ref="H89:H91" si="53">F89-$H$1</f>
        <v>-46027</v>
      </c>
      <c r="I89" s="67" t="s">
        <v>8</v>
      </c>
      <c r="J89" s="73">
        <v>177</v>
      </c>
      <c r="K89" s="70">
        <v>45990</v>
      </c>
      <c r="L89" s="70">
        <v>46053</v>
      </c>
      <c r="M89" s="66">
        <f t="shared" si="50"/>
        <v>41.269841269841265</v>
      </c>
      <c r="N89" s="66">
        <f t="shared" si="51"/>
        <v>26</v>
      </c>
      <c r="O89" s="64"/>
      <c r="P89" s="64"/>
      <c r="Q89" s="67" t="s">
        <v>8</v>
      </c>
      <c r="R89" s="73">
        <v>0</v>
      </c>
      <c r="S89" s="70"/>
      <c r="T89" s="70"/>
      <c r="U89" s="66" t="str">
        <f t="shared" si="42"/>
        <v/>
      </c>
      <c r="V89" s="66">
        <f t="shared" si="25"/>
        <v>-46027</v>
      </c>
      <c r="W89" s="75">
        <f t="shared" ref="W89:W99" si="54">J89-R89</f>
        <v>177</v>
      </c>
      <c r="X89" s="64"/>
      <c r="Y89" s="67" t="s">
        <v>8</v>
      </c>
      <c r="Z89" s="90">
        <v>0</v>
      </c>
      <c r="AA89" s="70"/>
      <c r="AB89" s="70"/>
      <c r="AC89" s="66" t="str">
        <f t="shared" si="44"/>
        <v/>
      </c>
      <c r="AD89" s="66">
        <f t="shared" si="27"/>
        <v>-46027</v>
      </c>
      <c r="AE89" s="75">
        <f t="shared" ref="AE89:AE99" si="55">J89-Z89</f>
        <v>177</v>
      </c>
      <c r="AF89" s="64"/>
      <c r="AG89" s="67" t="s">
        <v>8</v>
      </c>
      <c r="AH89" s="73">
        <v>0</v>
      </c>
      <c r="AI89" s="70"/>
      <c r="AJ89" s="70"/>
      <c r="AK89" s="66" t="str">
        <f t="shared" si="46"/>
        <v/>
      </c>
      <c r="AL89" s="66">
        <f t="shared" si="29"/>
        <v>-46027</v>
      </c>
      <c r="AM89" s="76"/>
      <c r="AN89" s="64"/>
      <c r="AO89" s="67" t="s">
        <v>8</v>
      </c>
      <c r="AP89" s="73">
        <v>0</v>
      </c>
      <c r="AQ89" s="8"/>
      <c r="AR89" s="8"/>
      <c r="AS89" s="4" t="str">
        <f t="shared" si="47"/>
        <v/>
      </c>
      <c r="AT89" s="4">
        <f t="shared" si="31"/>
        <v>-46027</v>
      </c>
      <c r="AU89" s="46"/>
      <c r="AV89" s="19"/>
    </row>
    <row r="90" spans="1:48" ht="22.15" customHeight="1">
      <c r="A90"/>
      <c r="B90" s="72" t="s">
        <v>83</v>
      </c>
      <c r="C90" s="67"/>
      <c r="D90" s="73"/>
      <c r="E90" s="70"/>
      <c r="F90" s="70"/>
      <c r="G90" s="66" t="str">
        <f t="shared" si="52"/>
        <v/>
      </c>
      <c r="H90" s="66">
        <f t="shared" si="53"/>
        <v>-46027</v>
      </c>
      <c r="I90" s="67" t="s">
        <v>8</v>
      </c>
      <c r="J90" s="73">
        <v>95</v>
      </c>
      <c r="K90" s="70">
        <v>46013</v>
      </c>
      <c r="L90" s="70">
        <v>46053</v>
      </c>
      <c r="M90" s="66">
        <f t="shared" si="50"/>
        <v>65</v>
      </c>
      <c r="N90" s="66">
        <f t="shared" si="51"/>
        <v>26</v>
      </c>
      <c r="O90" s="64"/>
      <c r="P90" s="64"/>
      <c r="Q90" s="67" t="s">
        <v>8</v>
      </c>
      <c r="R90" s="73">
        <v>0</v>
      </c>
      <c r="S90" s="70"/>
      <c r="T90" s="70"/>
      <c r="U90" s="66" t="str">
        <f t="shared" si="42"/>
        <v/>
      </c>
      <c r="V90" s="66">
        <f t="shared" si="25"/>
        <v>-46027</v>
      </c>
      <c r="W90" s="75">
        <f t="shared" si="54"/>
        <v>95</v>
      </c>
      <c r="X90" s="64"/>
      <c r="Y90" s="67" t="s">
        <v>8</v>
      </c>
      <c r="Z90" s="73">
        <v>0</v>
      </c>
      <c r="AA90" s="70"/>
      <c r="AB90" s="70"/>
      <c r="AC90" s="66" t="str">
        <f t="shared" si="44"/>
        <v/>
      </c>
      <c r="AD90" s="66">
        <f t="shared" si="27"/>
        <v>-46027</v>
      </c>
      <c r="AE90" s="75">
        <f t="shared" si="55"/>
        <v>95</v>
      </c>
      <c r="AF90" s="64"/>
      <c r="AG90" s="67" t="s">
        <v>8</v>
      </c>
      <c r="AH90" s="73">
        <v>0</v>
      </c>
      <c r="AI90" s="70"/>
      <c r="AJ90" s="70"/>
      <c r="AK90" s="66" t="str">
        <f t="shared" si="46"/>
        <v/>
      </c>
      <c r="AL90" s="66">
        <f t="shared" si="29"/>
        <v>-46027</v>
      </c>
      <c r="AM90" s="76"/>
      <c r="AN90" s="64"/>
      <c r="AO90" s="67" t="s">
        <v>8</v>
      </c>
      <c r="AP90" s="73">
        <v>0</v>
      </c>
      <c r="AQ90" s="8"/>
      <c r="AR90" s="8"/>
      <c r="AS90" s="4" t="str">
        <f t="shared" si="47"/>
        <v/>
      </c>
      <c r="AT90" s="4">
        <f t="shared" si="31"/>
        <v>-46027</v>
      </c>
      <c r="AU90" s="46"/>
      <c r="AV90" s="19"/>
    </row>
    <row r="91" spans="1:48" ht="22.15" customHeight="1">
      <c r="A91"/>
      <c r="B91" s="72" t="s">
        <v>85</v>
      </c>
      <c r="C91" s="67"/>
      <c r="D91" s="73"/>
      <c r="E91" s="70"/>
      <c r="F91" s="70"/>
      <c r="G91" s="66" t="str">
        <f t="shared" si="52"/>
        <v/>
      </c>
      <c r="H91" s="66">
        <f t="shared" si="53"/>
        <v>-46027</v>
      </c>
      <c r="I91" s="67" t="s">
        <v>104</v>
      </c>
      <c r="J91" s="73">
        <v>3</v>
      </c>
      <c r="K91" s="70">
        <v>46010</v>
      </c>
      <c r="L91" s="70">
        <v>46050</v>
      </c>
      <c r="M91" s="66">
        <f t="shared" si="50"/>
        <v>57.499999999999993</v>
      </c>
      <c r="N91" s="66">
        <f t="shared" si="51"/>
        <v>23</v>
      </c>
      <c r="O91" s="64"/>
      <c r="P91" s="64"/>
      <c r="Q91" s="67" t="s">
        <v>101</v>
      </c>
      <c r="R91" s="73">
        <v>0</v>
      </c>
      <c r="S91" s="70"/>
      <c r="T91" s="70"/>
      <c r="U91" s="66" t="str">
        <f t="shared" si="42"/>
        <v/>
      </c>
      <c r="V91" s="66">
        <f t="shared" si="25"/>
        <v>-46027</v>
      </c>
      <c r="W91" s="75">
        <f t="shared" si="54"/>
        <v>3</v>
      </c>
      <c r="X91" s="64"/>
      <c r="Y91" s="67" t="s">
        <v>101</v>
      </c>
      <c r="Z91" s="73">
        <v>0</v>
      </c>
      <c r="AA91" s="70"/>
      <c r="AB91" s="70"/>
      <c r="AC91" s="66" t="str">
        <f t="shared" si="44"/>
        <v/>
      </c>
      <c r="AD91" s="66">
        <f t="shared" si="27"/>
        <v>-46027</v>
      </c>
      <c r="AE91" s="75">
        <f t="shared" si="55"/>
        <v>3</v>
      </c>
      <c r="AF91" s="64"/>
      <c r="AG91" s="67" t="s">
        <v>101</v>
      </c>
      <c r="AH91" s="73">
        <v>0</v>
      </c>
      <c r="AI91" s="70"/>
      <c r="AJ91" s="70"/>
      <c r="AK91" s="66" t="str">
        <f t="shared" si="46"/>
        <v/>
      </c>
      <c r="AL91" s="66">
        <f t="shared" si="29"/>
        <v>-46027</v>
      </c>
      <c r="AM91" s="76"/>
      <c r="AN91" s="64"/>
      <c r="AO91" s="67" t="s">
        <v>101</v>
      </c>
      <c r="AP91" s="73">
        <v>0</v>
      </c>
      <c r="AQ91" s="8"/>
      <c r="AR91" s="8"/>
      <c r="AS91" s="4" t="str">
        <f t="shared" si="47"/>
        <v/>
      </c>
      <c r="AT91" s="4">
        <f t="shared" si="31"/>
        <v>-46027</v>
      </c>
      <c r="AU91" s="46"/>
      <c r="AV91" s="19"/>
    </row>
    <row r="92" spans="1:48" ht="22.15" customHeight="1">
      <c r="A92"/>
      <c r="B92" s="72" t="s">
        <v>89</v>
      </c>
      <c r="C92" s="67"/>
      <c r="D92" s="73"/>
      <c r="E92" s="70"/>
      <c r="F92" s="70"/>
      <c r="G92" s="66" t="str">
        <f t="shared" ref="G92:G135" si="56">IFERROR((F92-$G$1)/(F92-E92)*100,"")</f>
        <v/>
      </c>
      <c r="H92" s="66">
        <f t="shared" ref="H92:H134" si="57">F92-$H$1</f>
        <v>-46027</v>
      </c>
      <c r="I92" s="67" t="s">
        <v>8</v>
      </c>
      <c r="J92" s="73">
        <v>263</v>
      </c>
      <c r="K92" s="70">
        <v>46009</v>
      </c>
      <c r="L92" s="70">
        <v>46049</v>
      </c>
      <c r="M92" s="66">
        <f t="shared" si="50"/>
        <v>55.000000000000007</v>
      </c>
      <c r="N92" s="66">
        <f t="shared" si="51"/>
        <v>22</v>
      </c>
      <c r="O92" s="64"/>
      <c r="P92" s="64"/>
      <c r="Q92" s="67" t="s">
        <v>8</v>
      </c>
      <c r="R92" s="73">
        <v>0</v>
      </c>
      <c r="S92" s="70"/>
      <c r="T92" s="70"/>
      <c r="U92" s="66" t="str">
        <f t="shared" si="42"/>
        <v/>
      </c>
      <c r="V92" s="66">
        <f t="shared" si="25"/>
        <v>-46027</v>
      </c>
      <c r="W92" s="75">
        <f t="shared" si="54"/>
        <v>263</v>
      </c>
      <c r="X92" s="64"/>
      <c r="Y92" s="67" t="s">
        <v>8</v>
      </c>
      <c r="Z92" s="73">
        <v>0</v>
      </c>
      <c r="AA92" s="70"/>
      <c r="AB92" s="70"/>
      <c r="AC92" s="66" t="str">
        <f t="shared" si="44"/>
        <v/>
      </c>
      <c r="AD92" s="66">
        <f t="shared" si="27"/>
        <v>-46027</v>
      </c>
      <c r="AE92" s="75">
        <f t="shared" si="55"/>
        <v>263</v>
      </c>
      <c r="AF92" s="64"/>
      <c r="AG92" s="67" t="s">
        <v>8</v>
      </c>
      <c r="AH92" s="73">
        <v>0</v>
      </c>
      <c r="AI92" s="70"/>
      <c r="AJ92" s="70"/>
      <c r="AK92" s="66" t="str">
        <f t="shared" si="46"/>
        <v/>
      </c>
      <c r="AL92" s="66">
        <f t="shared" si="29"/>
        <v>-46027</v>
      </c>
      <c r="AM92" s="76"/>
      <c r="AN92" s="64"/>
      <c r="AO92" s="67" t="s">
        <v>8</v>
      </c>
      <c r="AP92" s="73">
        <v>0</v>
      </c>
      <c r="AQ92" s="8"/>
      <c r="AR92" s="8"/>
      <c r="AS92" s="4" t="str">
        <f t="shared" si="47"/>
        <v/>
      </c>
      <c r="AT92" s="4">
        <f t="shared" si="31"/>
        <v>-46027</v>
      </c>
      <c r="AU92" s="46"/>
      <c r="AV92" s="19"/>
    </row>
    <row r="93" spans="1:48" ht="22.15" customHeight="1">
      <c r="A93"/>
      <c r="B93" s="72" t="s">
        <v>90</v>
      </c>
      <c r="C93" s="67"/>
      <c r="D93" s="73"/>
      <c r="E93" s="70"/>
      <c r="F93" s="70"/>
      <c r="G93" s="66" t="str">
        <f t="shared" si="56"/>
        <v/>
      </c>
      <c r="H93" s="66">
        <f t="shared" si="57"/>
        <v>-46027</v>
      </c>
      <c r="I93" s="67" t="s">
        <v>8</v>
      </c>
      <c r="J93" s="73">
        <v>210</v>
      </c>
      <c r="K93" s="70">
        <v>46004</v>
      </c>
      <c r="L93" s="70">
        <v>46044</v>
      </c>
      <c r="M93" s="66">
        <f t="shared" si="50"/>
        <v>42.5</v>
      </c>
      <c r="N93" s="66">
        <f t="shared" si="51"/>
        <v>17</v>
      </c>
      <c r="O93" s="64"/>
      <c r="P93" s="64"/>
      <c r="Q93" s="67" t="s">
        <v>8</v>
      </c>
      <c r="R93" s="73">
        <v>0</v>
      </c>
      <c r="S93" s="70"/>
      <c r="T93" s="70"/>
      <c r="U93" s="66" t="str">
        <f t="shared" si="42"/>
        <v/>
      </c>
      <c r="V93" s="66">
        <f t="shared" si="25"/>
        <v>-46027</v>
      </c>
      <c r="W93" s="75">
        <f t="shared" si="54"/>
        <v>210</v>
      </c>
      <c r="X93" s="64"/>
      <c r="Y93" s="67" t="s">
        <v>8</v>
      </c>
      <c r="Z93" s="73">
        <v>0</v>
      </c>
      <c r="AA93" s="70"/>
      <c r="AB93" s="70"/>
      <c r="AC93" s="66" t="str">
        <f t="shared" si="44"/>
        <v/>
      </c>
      <c r="AD93" s="66">
        <f t="shared" si="27"/>
        <v>-46027</v>
      </c>
      <c r="AE93" s="75">
        <f t="shared" si="55"/>
        <v>210</v>
      </c>
      <c r="AF93" s="64"/>
      <c r="AG93" s="67" t="s">
        <v>8</v>
      </c>
      <c r="AH93" s="73">
        <v>0</v>
      </c>
      <c r="AI93" s="70"/>
      <c r="AJ93" s="70"/>
      <c r="AK93" s="66" t="str">
        <f t="shared" si="46"/>
        <v/>
      </c>
      <c r="AL93" s="66">
        <f t="shared" si="29"/>
        <v>-46027</v>
      </c>
      <c r="AM93" s="76"/>
      <c r="AN93" s="64"/>
      <c r="AO93" s="67" t="s">
        <v>8</v>
      </c>
      <c r="AP93" s="73">
        <v>0</v>
      </c>
      <c r="AQ93" s="8"/>
      <c r="AR93" s="8"/>
      <c r="AS93" s="4" t="str">
        <f t="shared" si="47"/>
        <v/>
      </c>
      <c r="AT93" s="4">
        <f t="shared" si="31"/>
        <v>-46027</v>
      </c>
      <c r="AU93" s="46"/>
      <c r="AV93" s="19"/>
    </row>
    <row r="94" spans="1:48" ht="22.15" customHeight="1">
      <c r="A94" s="12"/>
      <c r="B94" s="72" t="s">
        <v>91</v>
      </c>
      <c r="C94" s="67"/>
      <c r="D94" s="73"/>
      <c r="E94" s="70"/>
      <c r="F94" s="70"/>
      <c r="G94" s="66" t="str">
        <f t="shared" si="56"/>
        <v/>
      </c>
      <c r="H94" s="66">
        <f t="shared" si="57"/>
        <v>-46027</v>
      </c>
      <c r="I94" s="67" t="s">
        <v>8</v>
      </c>
      <c r="J94" s="73">
        <v>359</v>
      </c>
      <c r="K94" s="70">
        <v>46012</v>
      </c>
      <c r="L94" s="70">
        <v>46042</v>
      </c>
      <c r="M94" s="66">
        <f t="shared" si="50"/>
        <v>50</v>
      </c>
      <c r="N94" s="66">
        <f t="shared" si="51"/>
        <v>15</v>
      </c>
      <c r="O94" s="64"/>
      <c r="P94" s="64"/>
      <c r="Q94" s="67" t="s">
        <v>8</v>
      </c>
      <c r="R94" s="73">
        <v>0</v>
      </c>
      <c r="S94" s="70"/>
      <c r="T94" s="70"/>
      <c r="U94" s="66" t="str">
        <f t="shared" si="42"/>
        <v/>
      </c>
      <c r="V94" s="66">
        <f t="shared" si="25"/>
        <v>-46027</v>
      </c>
      <c r="W94" s="75">
        <f t="shared" si="54"/>
        <v>359</v>
      </c>
      <c r="X94" s="64"/>
      <c r="Y94" s="67" t="s">
        <v>8</v>
      </c>
      <c r="Z94" s="73">
        <v>0</v>
      </c>
      <c r="AA94" s="70"/>
      <c r="AB94" s="70"/>
      <c r="AC94" s="66" t="str">
        <f t="shared" si="44"/>
        <v/>
      </c>
      <c r="AD94" s="66">
        <f t="shared" si="27"/>
        <v>-46027</v>
      </c>
      <c r="AE94" s="75">
        <f t="shared" si="55"/>
        <v>359</v>
      </c>
      <c r="AF94" s="64"/>
      <c r="AG94" s="67" t="s">
        <v>8</v>
      </c>
      <c r="AH94" s="73">
        <v>0</v>
      </c>
      <c r="AI94" s="70"/>
      <c r="AJ94" s="70"/>
      <c r="AK94" s="66" t="str">
        <f t="shared" si="46"/>
        <v/>
      </c>
      <c r="AL94" s="66">
        <f t="shared" si="29"/>
        <v>-46027</v>
      </c>
      <c r="AM94" s="76"/>
      <c r="AN94" s="64"/>
      <c r="AO94" s="67" t="s">
        <v>8</v>
      </c>
      <c r="AP94" s="73">
        <v>0</v>
      </c>
      <c r="AQ94" s="8"/>
      <c r="AR94" s="8"/>
      <c r="AS94" s="4" t="str">
        <f t="shared" si="47"/>
        <v/>
      </c>
      <c r="AT94" s="4">
        <f t="shared" si="31"/>
        <v>-46027</v>
      </c>
      <c r="AU94" s="46"/>
      <c r="AV94" s="19"/>
    </row>
    <row r="95" spans="1:48" ht="22.15" customHeight="1">
      <c r="A95" s="12"/>
      <c r="B95" s="72" t="s">
        <v>92</v>
      </c>
      <c r="C95" s="67"/>
      <c r="D95" s="91"/>
      <c r="E95" s="70"/>
      <c r="F95" s="92"/>
      <c r="G95" s="66" t="str">
        <f t="shared" si="56"/>
        <v/>
      </c>
      <c r="H95" s="66">
        <f t="shared" si="57"/>
        <v>-46027</v>
      </c>
      <c r="I95" s="67" t="s">
        <v>8</v>
      </c>
      <c r="J95" s="73">
        <v>31</v>
      </c>
      <c r="K95" s="70">
        <v>46010</v>
      </c>
      <c r="L95" s="70">
        <v>46050</v>
      </c>
      <c r="M95" s="66">
        <f t="shared" si="50"/>
        <v>57.499999999999993</v>
      </c>
      <c r="N95" s="66">
        <f t="shared" si="51"/>
        <v>23</v>
      </c>
      <c r="O95" s="64"/>
      <c r="P95" s="64"/>
      <c r="Q95" s="67" t="s">
        <v>8</v>
      </c>
      <c r="R95" s="73">
        <v>0</v>
      </c>
      <c r="S95" s="70"/>
      <c r="T95" s="70"/>
      <c r="U95" s="66" t="str">
        <f t="shared" si="42"/>
        <v/>
      </c>
      <c r="V95" s="66">
        <f t="shared" si="25"/>
        <v>-46027</v>
      </c>
      <c r="W95" s="75">
        <f t="shared" si="54"/>
        <v>31</v>
      </c>
      <c r="X95" s="64"/>
      <c r="Y95" s="67" t="s">
        <v>8</v>
      </c>
      <c r="Z95" s="73">
        <v>0</v>
      </c>
      <c r="AA95" s="70"/>
      <c r="AB95" s="70"/>
      <c r="AC95" s="66" t="str">
        <f t="shared" si="44"/>
        <v/>
      </c>
      <c r="AD95" s="66">
        <f t="shared" si="27"/>
        <v>-46027</v>
      </c>
      <c r="AE95" s="75">
        <f t="shared" si="55"/>
        <v>31</v>
      </c>
      <c r="AF95" s="64"/>
      <c r="AG95" s="67" t="s">
        <v>8</v>
      </c>
      <c r="AH95" s="73">
        <v>0</v>
      </c>
      <c r="AI95" s="70"/>
      <c r="AJ95" s="70"/>
      <c r="AK95" s="66" t="str">
        <f t="shared" si="46"/>
        <v/>
      </c>
      <c r="AL95" s="66">
        <f t="shared" si="29"/>
        <v>-46027</v>
      </c>
      <c r="AM95" s="76"/>
      <c r="AN95" s="64"/>
      <c r="AO95" s="67" t="s">
        <v>8</v>
      </c>
      <c r="AP95" s="73">
        <v>0</v>
      </c>
      <c r="AQ95" s="8"/>
      <c r="AR95" s="8"/>
      <c r="AS95" s="4" t="str">
        <f t="shared" si="47"/>
        <v/>
      </c>
      <c r="AT95" s="4">
        <f t="shared" si="31"/>
        <v>-46027</v>
      </c>
      <c r="AU95" s="46"/>
      <c r="AV95" s="19"/>
    </row>
    <row r="96" spans="1:48" ht="22.15" customHeight="1">
      <c r="A96" s="12"/>
      <c r="B96" s="72" t="s">
        <v>93</v>
      </c>
      <c r="C96" s="93"/>
      <c r="D96" s="94"/>
      <c r="E96" s="95"/>
      <c r="F96" s="96"/>
      <c r="G96" s="66" t="str">
        <f t="shared" si="56"/>
        <v/>
      </c>
      <c r="H96" s="66">
        <f t="shared" si="57"/>
        <v>-46027</v>
      </c>
      <c r="I96" s="97" t="s">
        <v>8</v>
      </c>
      <c r="J96" s="98">
        <v>32</v>
      </c>
      <c r="K96" s="99">
        <v>46012</v>
      </c>
      <c r="L96" s="45">
        <v>46052</v>
      </c>
      <c r="M96" s="66">
        <f t="shared" si="50"/>
        <v>62.5</v>
      </c>
      <c r="N96" s="66">
        <f t="shared" ref="N96:N135" si="58">L96-$H$1</f>
        <v>25</v>
      </c>
      <c r="O96" s="64"/>
      <c r="P96" s="64"/>
      <c r="Q96" s="97" t="s">
        <v>8</v>
      </c>
      <c r="R96" s="98">
        <v>0</v>
      </c>
      <c r="S96" s="99"/>
      <c r="T96" s="45"/>
      <c r="U96" s="66" t="str">
        <f t="shared" si="42"/>
        <v/>
      </c>
      <c r="V96" s="66">
        <f t="shared" si="25"/>
        <v>-46027</v>
      </c>
      <c r="W96" s="75">
        <f t="shared" si="54"/>
        <v>32</v>
      </c>
      <c r="X96" s="64"/>
      <c r="Y96" s="97" t="s">
        <v>8</v>
      </c>
      <c r="Z96" s="98">
        <v>0</v>
      </c>
      <c r="AA96" s="99"/>
      <c r="AB96" s="45"/>
      <c r="AC96" s="66" t="str">
        <f t="shared" si="44"/>
        <v/>
      </c>
      <c r="AD96" s="66">
        <f t="shared" si="27"/>
        <v>-46027</v>
      </c>
      <c r="AE96" s="75">
        <f t="shared" si="55"/>
        <v>32</v>
      </c>
      <c r="AF96" s="64"/>
      <c r="AG96" s="97" t="s">
        <v>8</v>
      </c>
      <c r="AH96" s="98">
        <v>0</v>
      </c>
      <c r="AI96" s="99"/>
      <c r="AJ96" s="45"/>
      <c r="AK96" s="66" t="str">
        <f t="shared" si="46"/>
        <v/>
      </c>
      <c r="AL96" s="66">
        <f t="shared" si="29"/>
        <v>-46027</v>
      </c>
      <c r="AM96" s="76"/>
      <c r="AN96" s="64"/>
      <c r="AO96" s="97" t="s">
        <v>8</v>
      </c>
      <c r="AP96" s="98">
        <v>0</v>
      </c>
      <c r="AQ96" s="14"/>
      <c r="AR96" s="15"/>
      <c r="AS96" s="4" t="str">
        <f t="shared" si="47"/>
        <v/>
      </c>
      <c r="AT96" s="4">
        <f t="shared" si="31"/>
        <v>-46027</v>
      </c>
      <c r="AU96" s="46"/>
      <c r="AV96" s="19"/>
    </row>
    <row r="97" spans="1:49" ht="22.15" customHeight="1">
      <c r="A97" s="12"/>
      <c r="B97" s="72" t="s">
        <v>94</v>
      </c>
      <c r="C97" s="100"/>
      <c r="D97" s="89"/>
      <c r="E97" s="101"/>
      <c r="F97" s="100"/>
      <c r="G97" s="66" t="str">
        <f t="shared" si="56"/>
        <v/>
      </c>
      <c r="H97" s="66">
        <f t="shared" si="57"/>
        <v>-46027</v>
      </c>
      <c r="I97" s="100" t="s">
        <v>8</v>
      </c>
      <c r="J97" s="89">
        <v>26</v>
      </c>
      <c r="K97" s="45">
        <v>46013</v>
      </c>
      <c r="L97" s="44">
        <v>46053</v>
      </c>
      <c r="M97" s="66">
        <f t="shared" si="50"/>
        <v>65</v>
      </c>
      <c r="N97" s="66">
        <f t="shared" si="58"/>
        <v>26</v>
      </c>
      <c r="O97" s="64"/>
      <c r="P97" s="64"/>
      <c r="Q97" s="100" t="s">
        <v>8</v>
      </c>
      <c r="R97" s="89">
        <v>0</v>
      </c>
      <c r="S97" s="45"/>
      <c r="T97" s="44"/>
      <c r="U97" s="66" t="str">
        <f t="shared" si="42"/>
        <v/>
      </c>
      <c r="V97" s="66">
        <f t="shared" si="25"/>
        <v>-46027</v>
      </c>
      <c r="W97" s="75">
        <f t="shared" si="54"/>
        <v>26</v>
      </c>
      <c r="X97" s="64"/>
      <c r="Y97" s="100" t="s">
        <v>8</v>
      </c>
      <c r="Z97" s="89">
        <v>0</v>
      </c>
      <c r="AA97" s="45"/>
      <c r="AB97" s="44"/>
      <c r="AC97" s="66" t="str">
        <f t="shared" si="44"/>
        <v/>
      </c>
      <c r="AD97" s="66">
        <f t="shared" si="27"/>
        <v>-46027</v>
      </c>
      <c r="AE97" s="75">
        <f t="shared" si="55"/>
        <v>26</v>
      </c>
      <c r="AF97" s="64"/>
      <c r="AG97" s="100" t="s">
        <v>8</v>
      </c>
      <c r="AH97" s="89">
        <v>0</v>
      </c>
      <c r="AI97" s="45"/>
      <c r="AJ97" s="44"/>
      <c r="AK97" s="66" t="str">
        <f t="shared" si="46"/>
        <v/>
      </c>
      <c r="AL97" s="66">
        <f t="shared" si="29"/>
        <v>-46027</v>
      </c>
      <c r="AM97" s="76"/>
      <c r="AN97" s="64"/>
      <c r="AO97" s="100" t="s">
        <v>8</v>
      </c>
      <c r="AP97" s="89">
        <v>0</v>
      </c>
      <c r="AQ97" s="15"/>
      <c r="AR97" s="16"/>
      <c r="AS97" s="4" t="str">
        <f t="shared" si="47"/>
        <v/>
      </c>
      <c r="AT97" s="4">
        <f t="shared" si="31"/>
        <v>-46027</v>
      </c>
      <c r="AU97" s="46"/>
      <c r="AV97" s="19"/>
    </row>
    <row r="98" spans="1:49" ht="22.15" customHeight="1">
      <c r="A98" s="12"/>
      <c r="B98" s="72" t="s">
        <v>95</v>
      </c>
      <c r="C98" s="100"/>
      <c r="D98" s="102"/>
      <c r="E98" s="100"/>
      <c r="F98" s="101"/>
      <c r="G98" s="66" t="str">
        <f t="shared" si="56"/>
        <v/>
      </c>
      <c r="H98" s="66">
        <f t="shared" si="57"/>
        <v>-46027</v>
      </c>
      <c r="I98" s="100" t="s">
        <v>8</v>
      </c>
      <c r="J98" s="89">
        <v>68</v>
      </c>
      <c r="K98" s="45">
        <v>46011</v>
      </c>
      <c r="L98" s="45">
        <v>46051</v>
      </c>
      <c r="M98" s="66">
        <f t="shared" si="50"/>
        <v>60</v>
      </c>
      <c r="N98" s="66">
        <f t="shared" si="58"/>
        <v>24</v>
      </c>
      <c r="O98" s="64"/>
      <c r="P98" s="64"/>
      <c r="Q98" s="100" t="s">
        <v>8</v>
      </c>
      <c r="R98" s="89">
        <v>0</v>
      </c>
      <c r="S98" s="45"/>
      <c r="T98" s="45"/>
      <c r="U98" s="66" t="str">
        <f t="shared" si="42"/>
        <v/>
      </c>
      <c r="V98" s="66">
        <f t="shared" si="25"/>
        <v>-46027</v>
      </c>
      <c r="W98" s="75">
        <f t="shared" si="54"/>
        <v>68</v>
      </c>
      <c r="X98" s="64"/>
      <c r="Y98" s="100" t="s">
        <v>8</v>
      </c>
      <c r="Z98" s="89">
        <v>0</v>
      </c>
      <c r="AA98" s="45"/>
      <c r="AB98" s="45"/>
      <c r="AC98" s="66" t="str">
        <f t="shared" si="44"/>
        <v/>
      </c>
      <c r="AD98" s="66">
        <f t="shared" si="27"/>
        <v>-46027</v>
      </c>
      <c r="AE98" s="75">
        <f t="shared" si="55"/>
        <v>68</v>
      </c>
      <c r="AF98" s="64"/>
      <c r="AG98" s="100" t="s">
        <v>8</v>
      </c>
      <c r="AH98" s="89">
        <v>0</v>
      </c>
      <c r="AI98" s="45"/>
      <c r="AJ98" s="45"/>
      <c r="AK98" s="66" t="str">
        <f t="shared" si="46"/>
        <v/>
      </c>
      <c r="AL98" s="66">
        <f t="shared" si="29"/>
        <v>-46027</v>
      </c>
      <c r="AM98" s="76"/>
      <c r="AN98" s="64"/>
      <c r="AO98" s="100" t="s">
        <v>8</v>
      </c>
      <c r="AP98" s="89">
        <v>0</v>
      </c>
      <c r="AQ98" s="15"/>
      <c r="AR98" s="15"/>
      <c r="AS98" s="4" t="str">
        <f t="shared" si="47"/>
        <v/>
      </c>
      <c r="AT98" s="4">
        <f t="shared" si="31"/>
        <v>-46027</v>
      </c>
      <c r="AU98" s="46"/>
      <c r="AV98" s="19"/>
    </row>
    <row r="99" spans="1:49" ht="22.15" customHeight="1">
      <c r="A99" s="13"/>
      <c r="B99" s="72" t="s">
        <v>95</v>
      </c>
      <c r="C99" s="103"/>
      <c r="D99" s="104"/>
      <c r="E99" s="103"/>
      <c r="F99" s="101"/>
      <c r="G99" s="66" t="str">
        <f t="shared" si="56"/>
        <v/>
      </c>
      <c r="H99" s="66">
        <f t="shared" si="57"/>
        <v>-46027</v>
      </c>
      <c r="I99" s="97" t="s">
        <v>8</v>
      </c>
      <c r="J99" s="102">
        <v>12</v>
      </c>
      <c r="K99" s="45">
        <v>46012</v>
      </c>
      <c r="L99" s="45">
        <v>46052</v>
      </c>
      <c r="M99" s="66">
        <f t="shared" si="50"/>
        <v>62.5</v>
      </c>
      <c r="N99" s="66">
        <f t="shared" si="58"/>
        <v>25</v>
      </c>
      <c r="O99" s="64"/>
      <c r="P99" s="64"/>
      <c r="Q99" s="97" t="s">
        <v>8</v>
      </c>
      <c r="R99" s="102">
        <v>0</v>
      </c>
      <c r="S99" s="45"/>
      <c r="T99" s="45"/>
      <c r="U99" s="66" t="str">
        <f t="shared" si="42"/>
        <v/>
      </c>
      <c r="V99" s="66">
        <f t="shared" si="25"/>
        <v>-46027</v>
      </c>
      <c r="W99" s="75">
        <f t="shared" si="54"/>
        <v>12</v>
      </c>
      <c r="X99" s="64"/>
      <c r="Y99" s="97" t="s">
        <v>8</v>
      </c>
      <c r="Z99" s="102">
        <v>0</v>
      </c>
      <c r="AA99" s="45"/>
      <c r="AB99" s="45"/>
      <c r="AC99" s="66" t="str">
        <f t="shared" si="44"/>
        <v/>
      </c>
      <c r="AD99" s="66">
        <f t="shared" si="27"/>
        <v>-46027</v>
      </c>
      <c r="AE99" s="75">
        <f t="shared" si="55"/>
        <v>12</v>
      </c>
      <c r="AF99" s="64"/>
      <c r="AG99" s="97" t="s">
        <v>8</v>
      </c>
      <c r="AH99" s="102">
        <v>0</v>
      </c>
      <c r="AI99" s="45"/>
      <c r="AJ99" s="45"/>
      <c r="AK99" s="66" t="str">
        <f t="shared" si="46"/>
        <v/>
      </c>
      <c r="AL99" s="66">
        <f t="shared" si="29"/>
        <v>-46027</v>
      </c>
      <c r="AM99" s="76"/>
      <c r="AN99" s="64"/>
      <c r="AO99" s="97" t="s">
        <v>8</v>
      </c>
      <c r="AP99" s="102">
        <v>0</v>
      </c>
      <c r="AQ99" s="15"/>
      <c r="AR99" s="15"/>
      <c r="AS99" s="4" t="str">
        <f t="shared" si="47"/>
        <v/>
      </c>
      <c r="AT99" s="4">
        <f t="shared" si="31"/>
        <v>-46027</v>
      </c>
      <c r="AU99" s="46"/>
      <c r="AV99" s="19"/>
    </row>
    <row r="100" spans="1:49" ht="22.15" customHeight="1">
      <c r="A100" s="11"/>
      <c r="B100" s="105" t="s">
        <v>96</v>
      </c>
      <c r="C100" s="100"/>
      <c r="D100" s="89"/>
      <c r="E100" s="101"/>
      <c r="F100" s="101"/>
      <c r="G100" s="66" t="str">
        <f t="shared" si="56"/>
        <v/>
      </c>
      <c r="H100" s="66">
        <f t="shared" si="57"/>
        <v>-46027</v>
      </c>
      <c r="I100" s="100" t="s">
        <v>8</v>
      </c>
      <c r="J100" s="102">
        <v>10</v>
      </c>
      <c r="K100" s="45">
        <v>45994</v>
      </c>
      <c r="L100" s="45">
        <v>46044</v>
      </c>
      <c r="M100" s="66">
        <f t="shared" si="50"/>
        <v>34</v>
      </c>
      <c r="N100" s="66">
        <f t="shared" si="58"/>
        <v>17</v>
      </c>
      <c r="O100" s="64"/>
      <c r="P100" s="64"/>
      <c r="Q100" s="100" t="s">
        <v>8</v>
      </c>
      <c r="R100" s="102">
        <v>32</v>
      </c>
      <c r="S100" s="45">
        <v>45994</v>
      </c>
      <c r="T100" s="45">
        <v>46044</v>
      </c>
      <c r="U100" s="66">
        <f t="shared" si="42"/>
        <v>34</v>
      </c>
      <c r="V100" s="66">
        <f t="shared" si="25"/>
        <v>17</v>
      </c>
      <c r="W100" s="78">
        <f>J100-R100</f>
        <v>-22</v>
      </c>
      <c r="X100" s="64"/>
      <c r="Y100" s="100" t="s">
        <v>8</v>
      </c>
      <c r="Z100" s="102">
        <v>10</v>
      </c>
      <c r="AA100" s="45">
        <v>45994</v>
      </c>
      <c r="AB100" s="45">
        <v>46044</v>
      </c>
      <c r="AC100" s="66">
        <f t="shared" si="44"/>
        <v>34</v>
      </c>
      <c r="AD100" s="66">
        <f t="shared" si="27"/>
        <v>17</v>
      </c>
      <c r="AE100" s="78">
        <f>R100-Z100</f>
        <v>22</v>
      </c>
      <c r="AF100" s="64"/>
      <c r="AG100" s="100" t="s">
        <v>8</v>
      </c>
      <c r="AH100" s="102">
        <v>0</v>
      </c>
      <c r="AI100" s="45"/>
      <c r="AJ100" s="45"/>
      <c r="AK100" s="66" t="str">
        <f t="shared" si="46"/>
        <v/>
      </c>
      <c r="AL100" s="66">
        <f t="shared" si="29"/>
        <v>-46027</v>
      </c>
      <c r="AM100" s="76"/>
      <c r="AN100" s="64"/>
      <c r="AO100" s="100" t="s">
        <v>8</v>
      </c>
      <c r="AP100" s="102">
        <v>0</v>
      </c>
      <c r="AQ100" s="15"/>
      <c r="AR100" s="15"/>
      <c r="AS100" s="4" t="str">
        <f t="shared" si="47"/>
        <v/>
      </c>
      <c r="AT100" s="4">
        <f t="shared" si="31"/>
        <v>-46027</v>
      </c>
      <c r="AU100" s="46"/>
      <c r="AV100" s="19"/>
    </row>
    <row r="101" spans="1:49" ht="22.15" customHeight="1">
      <c r="A101"/>
      <c r="B101" s="72" t="s">
        <v>97</v>
      </c>
      <c r="C101" s="97"/>
      <c r="D101" s="106"/>
      <c r="E101" s="107"/>
      <c r="F101" s="96"/>
      <c r="G101" s="66" t="str">
        <f t="shared" si="56"/>
        <v/>
      </c>
      <c r="H101" s="66">
        <f t="shared" si="57"/>
        <v>-46027</v>
      </c>
      <c r="I101" s="96" t="s">
        <v>8</v>
      </c>
      <c r="J101" s="104">
        <v>29</v>
      </c>
      <c r="K101" s="108">
        <v>45994</v>
      </c>
      <c r="L101" s="108">
        <v>46044</v>
      </c>
      <c r="M101" s="66">
        <f t="shared" si="50"/>
        <v>34</v>
      </c>
      <c r="N101" s="66">
        <f t="shared" si="58"/>
        <v>17</v>
      </c>
      <c r="O101" s="64"/>
      <c r="P101" s="64"/>
      <c r="Q101" s="96" t="s">
        <v>8</v>
      </c>
      <c r="R101" s="104">
        <v>19</v>
      </c>
      <c r="S101" s="108">
        <v>45994</v>
      </c>
      <c r="T101" s="108">
        <v>46044</v>
      </c>
      <c r="U101" s="66">
        <f t="shared" si="42"/>
        <v>34</v>
      </c>
      <c r="V101" s="66">
        <f t="shared" si="25"/>
        <v>17</v>
      </c>
      <c r="W101" s="78">
        <f t="shared" ref="W101:W102" si="59">J101-R101</f>
        <v>10</v>
      </c>
      <c r="X101" s="64"/>
      <c r="Y101" s="96" t="s">
        <v>8</v>
      </c>
      <c r="Z101" s="104">
        <v>0</v>
      </c>
      <c r="AA101" s="108"/>
      <c r="AB101" s="108"/>
      <c r="AC101" s="66" t="str">
        <f t="shared" si="44"/>
        <v/>
      </c>
      <c r="AD101" s="66">
        <f t="shared" si="27"/>
        <v>-46027</v>
      </c>
      <c r="AE101" s="78">
        <f t="shared" ref="AE101:AE102" si="60">R101-Z101</f>
        <v>19</v>
      </c>
      <c r="AF101" s="64"/>
      <c r="AG101" s="96" t="s">
        <v>8</v>
      </c>
      <c r="AH101" s="104">
        <v>12</v>
      </c>
      <c r="AI101" s="108">
        <v>45994</v>
      </c>
      <c r="AJ101" s="108">
        <v>46044</v>
      </c>
      <c r="AK101" s="66">
        <f t="shared" si="46"/>
        <v>34</v>
      </c>
      <c r="AL101" s="66">
        <f t="shared" si="29"/>
        <v>17</v>
      </c>
      <c r="AM101" s="78">
        <f>AE101-AH101</f>
        <v>7</v>
      </c>
      <c r="AN101" s="64"/>
      <c r="AO101" s="96" t="s">
        <v>8</v>
      </c>
      <c r="AP101" s="104">
        <v>0</v>
      </c>
      <c r="AQ101" s="17"/>
      <c r="AR101" s="17"/>
      <c r="AS101" s="4" t="str">
        <f t="shared" si="47"/>
        <v/>
      </c>
      <c r="AT101" s="4">
        <f t="shared" si="31"/>
        <v>-46027</v>
      </c>
      <c r="AU101" s="20">
        <f>AM101-AP101</f>
        <v>7</v>
      </c>
      <c r="AV101" s="19"/>
    </row>
    <row r="102" spans="1:49" ht="22.15" customHeight="1">
      <c r="A102"/>
      <c r="B102" s="72" t="s">
        <v>98</v>
      </c>
      <c r="C102" s="101"/>
      <c r="D102" s="89"/>
      <c r="E102" s="101"/>
      <c r="F102" s="100"/>
      <c r="G102" s="66" t="str">
        <f t="shared" si="56"/>
        <v/>
      </c>
      <c r="H102" s="66">
        <f t="shared" si="57"/>
        <v>-46027</v>
      </c>
      <c r="I102" s="100" t="s">
        <v>8</v>
      </c>
      <c r="J102" s="102">
        <v>28</v>
      </c>
      <c r="K102" s="44">
        <v>45993</v>
      </c>
      <c r="L102" s="44">
        <v>46043</v>
      </c>
      <c r="M102" s="66">
        <f t="shared" si="50"/>
        <v>32</v>
      </c>
      <c r="N102" s="66">
        <f t="shared" si="58"/>
        <v>16</v>
      </c>
      <c r="O102" s="64"/>
      <c r="P102" s="64"/>
      <c r="Q102" s="101" t="s">
        <v>8</v>
      </c>
      <c r="R102" s="102">
        <v>23</v>
      </c>
      <c r="S102" s="44">
        <v>45993</v>
      </c>
      <c r="T102" s="44">
        <v>46043</v>
      </c>
      <c r="U102" s="66">
        <f t="shared" si="42"/>
        <v>32</v>
      </c>
      <c r="V102" s="66">
        <f t="shared" si="25"/>
        <v>16</v>
      </c>
      <c r="W102" s="78">
        <f t="shared" si="59"/>
        <v>5</v>
      </c>
      <c r="X102" s="64"/>
      <c r="Y102" s="101" t="s">
        <v>8</v>
      </c>
      <c r="Z102" s="102">
        <v>17</v>
      </c>
      <c r="AA102" s="44">
        <v>45993</v>
      </c>
      <c r="AB102" s="44">
        <v>46043</v>
      </c>
      <c r="AC102" s="66">
        <f t="shared" si="44"/>
        <v>32</v>
      </c>
      <c r="AD102" s="66">
        <f t="shared" si="27"/>
        <v>16</v>
      </c>
      <c r="AE102" s="78">
        <f t="shared" si="60"/>
        <v>6</v>
      </c>
      <c r="AF102" s="64"/>
      <c r="AG102" s="101" t="s">
        <v>8</v>
      </c>
      <c r="AH102" s="102">
        <v>0</v>
      </c>
      <c r="AI102" s="44"/>
      <c r="AJ102" s="44"/>
      <c r="AK102" s="66" t="str">
        <f t="shared" si="46"/>
        <v/>
      </c>
      <c r="AL102" s="66">
        <f t="shared" si="29"/>
        <v>-46027</v>
      </c>
      <c r="AM102" s="78">
        <f>Z102-AE102</f>
        <v>11</v>
      </c>
      <c r="AN102" s="64"/>
      <c r="AO102" s="101" t="s">
        <v>8</v>
      </c>
      <c r="AP102" s="102">
        <v>0</v>
      </c>
      <c r="AQ102" s="16"/>
      <c r="AR102" s="16"/>
      <c r="AS102" s="4" t="str">
        <f t="shared" si="47"/>
        <v/>
      </c>
      <c r="AT102" s="4">
        <f t="shared" si="31"/>
        <v>-46027</v>
      </c>
      <c r="AU102" s="20">
        <f>AM102-AP102</f>
        <v>11</v>
      </c>
      <c r="AV102" s="19"/>
    </row>
    <row r="103" spans="1:49" ht="22.15" customHeight="1">
      <c r="A103"/>
      <c r="B103" s="105" t="s">
        <v>102</v>
      </c>
      <c r="C103" s="101"/>
      <c r="D103" s="89"/>
      <c r="E103" s="101"/>
      <c r="F103" s="100"/>
      <c r="G103" s="66" t="str">
        <f t="shared" si="56"/>
        <v/>
      </c>
      <c r="H103" s="66">
        <f t="shared" si="57"/>
        <v>-46027</v>
      </c>
      <c r="I103" s="101"/>
      <c r="J103" s="102"/>
      <c r="K103" s="101"/>
      <c r="L103" s="101"/>
      <c r="M103" s="66" t="str">
        <f t="shared" si="50"/>
        <v/>
      </c>
      <c r="N103" s="66">
        <f t="shared" si="58"/>
        <v>-46027</v>
      </c>
      <c r="O103" s="64"/>
      <c r="P103" s="64"/>
      <c r="Q103" s="101" t="s">
        <v>101</v>
      </c>
      <c r="R103" s="102">
        <v>30</v>
      </c>
      <c r="S103" s="44">
        <v>45994</v>
      </c>
      <c r="T103" s="44">
        <v>46044</v>
      </c>
      <c r="U103" s="66">
        <f t="shared" si="42"/>
        <v>34</v>
      </c>
      <c r="V103" s="66">
        <f t="shared" ref="V103:V135" si="61">T103-$H$1</f>
        <v>17</v>
      </c>
      <c r="W103" s="64"/>
      <c r="X103" s="64"/>
      <c r="Y103" s="101" t="s">
        <v>101</v>
      </c>
      <c r="Z103" s="102">
        <v>0</v>
      </c>
      <c r="AA103" s="44"/>
      <c r="AB103" s="44"/>
      <c r="AC103" s="66" t="str">
        <f t="shared" si="44"/>
        <v/>
      </c>
      <c r="AD103" s="66">
        <f t="shared" ref="AD103:AD135" si="62">AB103-$H$1</f>
        <v>-46027</v>
      </c>
      <c r="AE103" s="64"/>
      <c r="AF103" s="64"/>
      <c r="AG103" s="101" t="s">
        <v>101</v>
      </c>
      <c r="AH103" s="102">
        <v>0</v>
      </c>
      <c r="AI103" s="44"/>
      <c r="AJ103" s="44"/>
      <c r="AK103" s="66" t="str">
        <f t="shared" si="46"/>
        <v/>
      </c>
      <c r="AL103" s="66">
        <f t="shared" ref="AL103:AL135" si="63">AJ103-$H$1</f>
        <v>-46027</v>
      </c>
      <c r="AM103" s="64"/>
      <c r="AN103" s="64"/>
      <c r="AO103" s="101" t="s">
        <v>101</v>
      </c>
      <c r="AP103" s="102">
        <v>0</v>
      </c>
      <c r="AQ103" s="16"/>
      <c r="AR103" s="16"/>
      <c r="AS103" s="4" t="str">
        <f t="shared" si="47"/>
        <v/>
      </c>
      <c r="AT103" s="4">
        <f t="shared" ref="AT103:AT135" si="64">AR103-$H$1</f>
        <v>-46027</v>
      </c>
      <c r="AU103" s="19"/>
      <c r="AV103" s="19"/>
    </row>
    <row r="104" spans="1:49" ht="22.15" customHeight="1">
      <c r="A104"/>
      <c r="B104" s="105" t="s">
        <v>103</v>
      </c>
      <c r="C104" s="101"/>
      <c r="D104" s="89"/>
      <c r="E104" s="101"/>
      <c r="F104" s="100"/>
      <c r="G104" s="66" t="str">
        <f t="shared" si="56"/>
        <v/>
      </c>
      <c r="H104" s="66">
        <f t="shared" si="57"/>
        <v>-46027</v>
      </c>
      <c r="I104" s="101"/>
      <c r="J104" s="102"/>
      <c r="K104" s="101"/>
      <c r="L104" s="101"/>
      <c r="M104" s="66" t="str">
        <f t="shared" si="50"/>
        <v/>
      </c>
      <c r="N104" s="66">
        <f t="shared" si="58"/>
        <v>-46027</v>
      </c>
      <c r="O104" s="64"/>
      <c r="P104" s="64"/>
      <c r="Q104" s="101" t="s">
        <v>101</v>
      </c>
      <c r="R104" s="102">
        <v>20</v>
      </c>
      <c r="S104" s="44">
        <v>46006</v>
      </c>
      <c r="T104" s="44">
        <v>46051</v>
      </c>
      <c r="U104" s="66">
        <f t="shared" si="42"/>
        <v>53.333333333333336</v>
      </c>
      <c r="V104" s="66">
        <f t="shared" si="61"/>
        <v>24</v>
      </c>
      <c r="W104" s="64"/>
      <c r="X104" s="64"/>
      <c r="Y104" s="101" t="s">
        <v>101</v>
      </c>
      <c r="Z104" s="102">
        <v>0</v>
      </c>
      <c r="AA104" s="44"/>
      <c r="AB104" s="44"/>
      <c r="AC104" s="66" t="str">
        <f t="shared" si="44"/>
        <v/>
      </c>
      <c r="AD104" s="66">
        <f t="shared" si="62"/>
        <v>-46027</v>
      </c>
      <c r="AE104" s="64"/>
      <c r="AF104" s="64"/>
      <c r="AG104" s="101" t="s">
        <v>101</v>
      </c>
      <c r="AH104" s="102">
        <v>5</v>
      </c>
      <c r="AI104" s="44">
        <v>46006</v>
      </c>
      <c r="AJ104" s="44">
        <v>46051</v>
      </c>
      <c r="AK104" s="66">
        <f t="shared" si="46"/>
        <v>53.333333333333336</v>
      </c>
      <c r="AL104" s="66">
        <f t="shared" si="63"/>
        <v>24</v>
      </c>
      <c r="AM104" s="64"/>
      <c r="AN104" s="64"/>
      <c r="AO104" s="101" t="s">
        <v>101</v>
      </c>
      <c r="AP104" s="102">
        <v>0</v>
      </c>
      <c r="AQ104" s="16"/>
      <c r="AR104" s="16"/>
      <c r="AS104" s="4" t="str">
        <f t="shared" si="47"/>
        <v/>
      </c>
      <c r="AT104" s="4">
        <f t="shared" si="64"/>
        <v>-46027</v>
      </c>
      <c r="AU104" s="19"/>
      <c r="AV104" s="19"/>
    </row>
    <row r="105" spans="1:49" ht="22.15" customHeight="1">
      <c r="A105"/>
      <c r="B105" s="72" t="s">
        <v>105</v>
      </c>
      <c r="C105" s="101"/>
      <c r="D105" s="89"/>
      <c r="E105" s="101"/>
      <c r="F105" s="100"/>
      <c r="G105" s="66" t="str">
        <f t="shared" si="56"/>
        <v/>
      </c>
      <c r="H105" s="66">
        <f t="shared" si="57"/>
        <v>-46027</v>
      </c>
      <c r="I105" s="101"/>
      <c r="J105" s="102"/>
      <c r="K105" s="101"/>
      <c r="L105" s="101"/>
      <c r="M105" s="66" t="str">
        <f t="shared" si="50"/>
        <v/>
      </c>
      <c r="N105" s="66">
        <f t="shared" si="58"/>
        <v>-46027</v>
      </c>
      <c r="O105" s="64"/>
      <c r="P105" s="64"/>
      <c r="Q105" s="101"/>
      <c r="R105" s="102"/>
      <c r="S105" s="101"/>
      <c r="T105" s="101"/>
      <c r="U105" s="66" t="str">
        <f t="shared" si="42"/>
        <v/>
      </c>
      <c r="V105" s="66">
        <f t="shared" si="61"/>
        <v>-46027</v>
      </c>
      <c r="W105" s="64"/>
      <c r="X105" s="64"/>
      <c r="Y105" s="101" t="s">
        <v>15</v>
      </c>
      <c r="Z105" s="102">
        <v>52</v>
      </c>
      <c r="AA105" s="44">
        <v>46009</v>
      </c>
      <c r="AB105" s="44">
        <v>46054</v>
      </c>
      <c r="AC105" s="66">
        <f t="shared" si="44"/>
        <v>60</v>
      </c>
      <c r="AD105" s="66">
        <f t="shared" si="62"/>
        <v>27</v>
      </c>
      <c r="AE105" s="64"/>
      <c r="AF105" s="64"/>
      <c r="AG105" s="101" t="s">
        <v>15</v>
      </c>
      <c r="AH105" s="102">
        <v>30</v>
      </c>
      <c r="AI105" s="44">
        <v>46021</v>
      </c>
      <c r="AJ105" s="44">
        <v>46061</v>
      </c>
      <c r="AK105" s="66">
        <f t="shared" si="46"/>
        <v>85</v>
      </c>
      <c r="AL105" s="66">
        <f t="shared" si="63"/>
        <v>34</v>
      </c>
      <c r="AM105" s="78">
        <f>Z105-AH105</f>
        <v>22</v>
      </c>
      <c r="AN105" s="64"/>
      <c r="AO105" s="101" t="s">
        <v>15</v>
      </c>
      <c r="AP105" s="102">
        <v>0</v>
      </c>
      <c r="AQ105" s="16"/>
      <c r="AR105" s="16"/>
      <c r="AS105" s="4" t="str">
        <f t="shared" si="47"/>
        <v/>
      </c>
      <c r="AT105" s="4">
        <f t="shared" si="64"/>
        <v>-46027</v>
      </c>
      <c r="AU105" s="20">
        <f>AM105-AP105</f>
        <v>22</v>
      </c>
      <c r="AV105" s="19"/>
    </row>
    <row r="106" spans="1:49" ht="22.15" customHeight="1">
      <c r="A106"/>
      <c r="B106" s="72" t="s">
        <v>106</v>
      </c>
      <c r="C106" s="101"/>
      <c r="D106" s="102"/>
      <c r="E106" s="101"/>
      <c r="F106" s="101"/>
      <c r="G106" s="66" t="str">
        <f t="shared" si="56"/>
        <v/>
      </c>
      <c r="H106" s="66">
        <f t="shared" si="57"/>
        <v>-46027</v>
      </c>
      <c r="I106" s="101"/>
      <c r="J106" s="102"/>
      <c r="K106" s="101"/>
      <c r="L106" s="101"/>
      <c r="M106" s="66" t="str">
        <f t="shared" si="50"/>
        <v/>
      </c>
      <c r="N106" s="66">
        <f t="shared" si="58"/>
        <v>-46027</v>
      </c>
      <c r="O106" s="64"/>
      <c r="P106" s="64"/>
      <c r="Q106" s="101"/>
      <c r="R106" s="102"/>
      <c r="S106" s="101"/>
      <c r="T106" s="101"/>
      <c r="U106" s="66" t="str">
        <f t="shared" si="42"/>
        <v/>
      </c>
      <c r="V106" s="66">
        <f t="shared" si="61"/>
        <v>-46027</v>
      </c>
      <c r="W106" s="64"/>
      <c r="X106" s="64"/>
      <c r="Y106" s="101" t="s">
        <v>8</v>
      </c>
      <c r="Z106" s="102">
        <v>161</v>
      </c>
      <c r="AA106" s="44">
        <v>46009</v>
      </c>
      <c r="AB106" s="44">
        <v>46054</v>
      </c>
      <c r="AC106" s="66">
        <f t="shared" si="44"/>
        <v>60</v>
      </c>
      <c r="AD106" s="66">
        <f t="shared" si="62"/>
        <v>27</v>
      </c>
      <c r="AE106" s="64"/>
      <c r="AF106" s="64"/>
      <c r="AG106" s="101" t="s">
        <v>15</v>
      </c>
      <c r="AH106" s="102">
        <v>20</v>
      </c>
      <c r="AI106" s="44">
        <v>46026</v>
      </c>
      <c r="AJ106" s="44">
        <v>46056</v>
      </c>
      <c r="AK106" s="66">
        <f t="shared" si="46"/>
        <v>96.666666666666671</v>
      </c>
      <c r="AL106" s="66">
        <f t="shared" si="63"/>
        <v>29</v>
      </c>
      <c r="AM106" s="78">
        <f t="shared" ref="AM106:AM111" si="65">Z106-AH106</f>
        <v>141</v>
      </c>
      <c r="AN106" s="64"/>
      <c r="AO106" s="101" t="s">
        <v>15</v>
      </c>
      <c r="AP106" s="102">
        <v>0</v>
      </c>
      <c r="AQ106" s="16"/>
      <c r="AR106" s="16"/>
      <c r="AS106" s="4" t="str">
        <f t="shared" si="47"/>
        <v/>
      </c>
      <c r="AT106" s="4">
        <f t="shared" si="64"/>
        <v>-46027</v>
      </c>
      <c r="AU106" s="20">
        <f t="shared" ref="AU106:AU111" si="66">AM106-AP106</f>
        <v>141</v>
      </c>
      <c r="AV106" s="19"/>
    </row>
    <row r="107" spans="1:49" ht="22.15" customHeight="1">
      <c r="A107"/>
      <c r="B107" s="72" t="s">
        <v>107</v>
      </c>
      <c r="C107" s="100"/>
      <c r="D107" s="102"/>
      <c r="E107" s="101"/>
      <c r="F107" s="101"/>
      <c r="G107" s="66" t="str">
        <f t="shared" si="56"/>
        <v/>
      </c>
      <c r="H107" s="66">
        <f t="shared" si="57"/>
        <v>-46027</v>
      </c>
      <c r="I107" s="101"/>
      <c r="J107" s="102"/>
      <c r="K107" s="101"/>
      <c r="L107" s="101"/>
      <c r="M107" s="66" t="str">
        <f t="shared" si="50"/>
        <v/>
      </c>
      <c r="N107" s="66">
        <f t="shared" si="58"/>
        <v>-46027</v>
      </c>
      <c r="O107" s="64"/>
      <c r="P107" s="64"/>
      <c r="Q107" s="101"/>
      <c r="R107" s="102"/>
      <c r="S107" s="101"/>
      <c r="T107" s="101"/>
      <c r="U107" s="66" t="str">
        <f t="shared" si="42"/>
        <v/>
      </c>
      <c r="V107" s="66">
        <f t="shared" si="61"/>
        <v>-46027</v>
      </c>
      <c r="W107" s="64"/>
      <c r="X107" s="64"/>
      <c r="Y107" s="101" t="s">
        <v>8</v>
      </c>
      <c r="Z107" s="102">
        <v>252</v>
      </c>
      <c r="AA107" s="44">
        <v>46011</v>
      </c>
      <c r="AB107" s="44">
        <v>46056</v>
      </c>
      <c r="AC107" s="66">
        <f t="shared" si="44"/>
        <v>64.444444444444443</v>
      </c>
      <c r="AD107" s="66">
        <f t="shared" si="62"/>
        <v>29</v>
      </c>
      <c r="AE107" s="64"/>
      <c r="AF107" s="64"/>
      <c r="AG107" s="101" t="s">
        <v>8</v>
      </c>
      <c r="AH107" s="102">
        <v>39</v>
      </c>
      <c r="AI107" s="44">
        <v>46009</v>
      </c>
      <c r="AJ107" s="44">
        <v>46054</v>
      </c>
      <c r="AK107" s="66">
        <f t="shared" si="46"/>
        <v>60</v>
      </c>
      <c r="AL107" s="66">
        <f t="shared" si="63"/>
        <v>27</v>
      </c>
      <c r="AM107" s="78">
        <f t="shared" si="65"/>
        <v>213</v>
      </c>
      <c r="AN107" s="64"/>
      <c r="AO107" s="101" t="s">
        <v>8</v>
      </c>
      <c r="AP107" s="102">
        <v>0</v>
      </c>
      <c r="AQ107" s="16"/>
      <c r="AR107" s="16"/>
      <c r="AS107" s="4" t="str">
        <f t="shared" si="47"/>
        <v/>
      </c>
      <c r="AT107" s="4">
        <f t="shared" si="64"/>
        <v>-46027</v>
      </c>
      <c r="AU107" s="20">
        <f t="shared" si="66"/>
        <v>213</v>
      </c>
      <c r="AV107" s="19"/>
    </row>
    <row r="108" spans="1:49" ht="22.15" customHeight="1">
      <c r="A108"/>
      <c r="B108" s="72" t="s">
        <v>82</v>
      </c>
      <c r="C108" s="101"/>
      <c r="D108" s="102"/>
      <c r="E108" s="101"/>
      <c r="F108" s="101"/>
      <c r="G108" s="66" t="str">
        <f t="shared" si="56"/>
        <v/>
      </c>
      <c r="H108" s="66">
        <f t="shared" si="57"/>
        <v>-46027</v>
      </c>
      <c r="I108" s="101"/>
      <c r="J108" s="89"/>
      <c r="K108" s="110"/>
      <c r="L108" s="100"/>
      <c r="M108" s="66" t="str">
        <f t="shared" si="50"/>
        <v/>
      </c>
      <c r="N108" s="66">
        <f t="shared" si="58"/>
        <v>-46027</v>
      </c>
      <c r="O108" s="111"/>
      <c r="P108" s="64"/>
      <c r="Q108" s="151"/>
      <c r="R108" s="152"/>
      <c r="S108" s="100"/>
      <c r="T108" s="100"/>
      <c r="U108" s="66" t="str">
        <f t="shared" si="42"/>
        <v/>
      </c>
      <c r="V108" s="66">
        <f t="shared" si="61"/>
        <v>-46027</v>
      </c>
      <c r="W108" s="64"/>
      <c r="X108" s="127"/>
      <c r="Y108" s="101" t="s">
        <v>8</v>
      </c>
      <c r="Z108" s="89">
        <v>196</v>
      </c>
      <c r="AA108" s="45">
        <v>46009</v>
      </c>
      <c r="AB108" s="44">
        <v>46054</v>
      </c>
      <c r="AC108" s="66">
        <f t="shared" si="44"/>
        <v>60</v>
      </c>
      <c r="AD108" s="66">
        <f t="shared" si="62"/>
        <v>27</v>
      </c>
      <c r="AE108" s="64"/>
      <c r="AF108" s="111"/>
      <c r="AG108" s="103" t="s">
        <v>8</v>
      </c>
      <c r="AH108" s="102">
        <v>48</v>
      </c>
      <c r="AI108" s="45">
        <v>46011</v>
      </c>
      <c r="AJ108" s="45">
        <v>46056</v>
      </c>
      <c r="AK108" s="66">
        <f t="shared" si="46"/>
        <v>64.444444444444443</v>
      </c>
      <c r="AL108" s="66">
        <f t="shared" si="63"/>
        <v>29</v>
      </c>
      <c r="AM108" s="78">
        <f t="shared" si="65"/>
        <v>148</v>
      </c>
      <c r="AN108" s="111"/>
      <c r="AO108" s="103" t="s">
        <v>8</v>
      </c>
      <c r="AP108" s="102">
        <v>0</v>
      </c>
      <c r="AQ108" s="15"/>
      <c r="AR108" s="45"/>
      <c r="AS108" s="4" t="str">
        <f t="shared" si="47"/>
        <v/>
      </c>
      <c r="AT108" s="4">
        <f t="shared" si="64"/>
        <v>-46027</v>
      </c>
      <c r="AU108" s="20">
        <f t="shared" si="66"/>
        <v>148</v>
      </c>
      <c r="AV108" s="38"/>
    </row>
    <row r="109" spans="1:49" ht="22.15" customHeight="1">
      <c r="A109"/>
      <c r="B109" s="72" t="s">
        <v>108</v>
      </c>
      <c r="C109" s="101"/>
      <c r="D109" s="102"/>
      <c r="E109" s="101"/>
      <c r="F109" s="101"/>
      <c r="G109" s="66" t="str">
        <f t="shared" si="56"/>
        <v/>
      </c>
      <c r="H109" s="66">
        <f t="shared" si="57"/>
        <v>-46027</v>
      </c>
      <c r="I109" s="95"/>
      <c r="J109" s="112"/>
      <c r="K109" s="113"/>
      <c r="L109" s="95"/>
      <c r="M109" s="66" t="str">
        <f t="shared" si="50"/>
        <v/>
      </c>
      <c r="N109" s="66">
        <f t="shared" si="58"/>
        <v>-46027</v>
      </c>
      <c r="O109" s="114"/>
      <c r="P109" s="115"/>
      <c r="Q109" s="113"/>
      <c r="R109" s="147"/>
      <c r="S109" s="95"/>
      <c r="T109" s="95"/>
      <c r="U109" s="66" t="str">
        <f t="shared" si="42"/>
        <v/>
      </c>
      <c r="V109" s="66">
        <f t="shared" si="61"/>
        <v>-46027</v>
      </c>
      <c r="W109" s="115"/>
      <c r="X109" s="116"/>
      <c r="Y109" s="101" t="s">
        <v>8</v>
      </c>
      <c r="Z109" s="89">
        <v>56</v>
      </c>
      <c r="AA109" s="45">
        <v>46011</v>
      </c>
      <c r="AB109" s="44">
        <v>46051</v>
      </c>
      <c r="AC109" s="66">
        <f t="shared" si="44"/>
        <v>60</v>
      </c>
      <c r="AD109" s="66">
        <f t="shared" si="62"/>
        <v>24</v>
      </c>
      <c r="AE109" s="64"/>
      <c r="AF109" s="111"/>
      <c r="AG109" s="101" t="s">
        <v>8</v>
      </c>
      <c r="AH109" s="89">
        <v>36</v>
      </c>
      <c r="AI109" s="45">
        <v>46011</v>
      </c>
      <c r="AJ109" s="45">
        <v>46051</v>
      </c>
      <c r="AK109" s="66">
        <f t="shared" si="46"/>
        <v>60</v>
      </c>
      <c r="AL109" s="66">
        <f t="shared" si="63"/>
        <v>24</v>
      </c>
      <c r="AM109" s="78">
        <f t="shared" si="65"/>
        <v>20</v>
      </c>
      <c r="AN109" s="111"/>
      <c r="AO109" s="101" t="s">
        <v>8</v>
      </c>
      <c r="AP109" s="89">
        <v>0</v>
      </c>
      <c r="AQ109" s="15"/>
      <c r="AR109" s="15"/>
      <c r="AS109" s="4" t="str">
        <f t="shared" si="47"/>
        <v/>
      </c>
      <c r="AT109" s="4">
        <f t="shared" si="64"/>
        <v>-46027</v>
      </c>
      <c r="AU109" s="20">
        <f t="shared" si="66"/>
        <v>20</v>
      </c>
      <c r="AV109" s="38"/>
    </row>
    <row r="110" spans="1:49" ht="22.15" customHeight="1">
      <c r="A110"/>
      <c r="B110" s="72" t="s">
        <v>83</v>
      </c>
      <c r="C110" s="93"/>
      <c r="D110" s="102"/>
      <c r="E110" s="101"/>
      <c r="F110" s="101"/>
      <c r="G110" s="66" t="str">
        <f t="shared" si="56"/>
        <v/>
      </c>
      <c r="H110" s="66">
        <f t="shared" si="57"/>
        <v>-46027</v>
      </c>
      <c r="I110" s="100"/>
      <c r="J110" s="89"/>
      <c r="K110" s="100"/>
      <c r="L110" s="100"/>
      <c r="M110" s="66" t="str">
        <f t="shared" si="50"/>
        <v/>
      </c>
      <c r="N110" s="66">
        <f t="shared" si="58"/>
        <v>-46027</v>
      </c>
      <c r="O110" s="64"/>
      <c r="P110" s="64"/>
      <c r="Q110" s="113"/>
      <c r="R110" s="147"/>
      <c r="S110" s="95"/>
      <c r="T110" s="95"/>
      <c r="U110" s="66" t="str">
        <f t="shared" si="42"/>
        <v/>
      </c>
      <c r="V110" s="66">
        <f t="shared" si="61"/>
        <v>-46027</v>
      </c>
      <c r="W110" s="115"/>
      <c r="X110" s="116"/>
      <c r="Y110" s="100" t="s">
        <v>8</v>
      </c>
      <c r="Z110" s="112">
        <v>33</v>
      </c>
      <c r="AA110" s="117">
        <v>46013</v>
      </c>
      <c r="AB110" s="118">
        <v>46053</v>
      </c>
      <c r="AC110" s="66">
        <f t="shared" si="44"/>
        <v>65</v>
      </c>
      <c r="AD110" s="66">
        <f t="shared" si="62"/>
        <v>26</v>
      </c>
      <c r="AE110" s="115"/>
      <c r="AF110" s="114"/>
      <c r="AG110" s="101" t="s">
        <v>8</v>
      </c>
      <c r="AH110" s="89">
        <v>48</v>
      </c>
      <c r="AI110" s="45">
        <v>46013</v>
      </c>
      <c r="AJ110" s="45">
        <v>46053</v>
      </c>
      <c r="AK110" s="66">
        <f t="shared" si="46"/>
        <v>65</v>
      </c>
      <c r="AL110" s="66">
        <f t="shared" si="63"/>
        <v>26</v>
      </c>
      <c r="AM110" s="78"/>
      <c r="AN110" s="111"/>
      <c r="AO110" s="101" t="s">
        <v>8</v>
      </c>
      <c r="AP110" s="89">
        <v>0</v>
      </c>
      <c r="AQ110" s="15"/>
      <c r="AR110" s="15"/>
      <c r="AS110" s="4" t="str">
        <f t="shared" si="47"/>
        <v/>
      </c>
      <c r="AT110" s="4">
        <f t="shared" si="64"/>
        <v>-46027</v>
      </c>
      <c r="AU110" s="20">
        <f t="shared" si="66"/>
        <v>0</v>
      </c>
      <c r="AV110" s="38"/>
      <c r="AW110" s="47"/>
    </row>
    <row r="111" spans="1:49" ht="22.5">
      <c r="B111" s="72" t="s">
        <v>91</v>
      </c>
      <c r="C111" s="119"/>
      <c r="D111" s="120"/>
      <c r="E111" s="92"/>
      <c r="F111" s="92"/>
      <c r="G111" s="66" t="str">
        <f t="shared" si="56"/>
        <v/>
      </c>
      <c r="H111" s="66">
        <f t="shared" si="57"/>
        <v>-46027</v>
      </c>
      <c r="I111" s="111"/>
      <c r="J111" s="78"/>
      <c r="K111" s="121"/>
      <c r="L111" s="70"/>
      <c r="M111" s="66" t="str">
        <f t="shared" si="50"/>
        <v/>
      </c>
      <c r="N111" s="66">
        <f t="shared" si="58"/>
        <v>-46027</v>
      </c>
      <c r="O111" s="115"/>
      <c r="P111" s="115"/>
      <c r="Q111" s="116"/>
      <c r="R111" s="148"/>
      <c r="S111" s="124"/>
      <c r="T111" s="124"/>
      <c r="U111" s="66" t="str">
        <f t="shared" si="42"/>
        <v/>
      </c>
      <c r="V111" s="66">
        <f t="shared" si="61"/>
        <v>-46027</v>
      </c>
      <c r="W111" s="115"/>
      <c r="X111" s="116"/>
      <c r="Y111" s="115" t="s">
        <v>8</v>
      </c>
      <c r="Z111" s="123">
        <v>22</v>
      </c>
      <c r="AA111" s="124">
        <v>46013</v>
      </c>
      <c r="AB111" s="125">
        <v>46053</v>
      </c>
      <c r="AC111" s="66">
        <f t="shared" si="44"/>
        <v>65</v>
      </c>
      <c r="AD111" s="66">
        <f t="shared" si="62"/>
        <v>26</v>
      </c>
      <c r="AE111" s="115"/>
      <c r="AF111" s="114"/>
      <c r="AG111" s="101" t="s">
        <v>8</v>
      </c>
      <c r="AH111" s="89">
        <v>6</v>
      </c>
      <c r="AI111" s="45">
        <v>46013</v>
      </c>
      <c r="AJ111" s="45">
        <v>46053</v>
      </c>
      <c r="AK111" s="66">
        <f t="shared" si="46"/>
        <v>65</v>
      </c>
      <c r="AL111" s="66">
        <f t="shared" si="63"/>
        <v>26</v>
      </c>
      <c r="AM111" s="78">
        <f t="shared" si="65"/>
        <v>16</v>
      </c>
      <c r="AN111" s="111"/>
      <c r="AO111" s="101" t="s">
        <v>8</v>
      </c>
      <c r="AP111" s="89">
        <v>0</v>
      </c>
      <c r="AQ111" s="15"/>
      <c r="AR111" s="15"/>
      <c r="AS111" s="4" t="str">
        <f t="shared" si="47"/>
        <v/>
      </c>
      <c r="AT111" s="4">
        <f t="shared" si="64"/>
        <v>-46027</v>
      </c>
      <c r="AU111" s="20">
        <f t="shared" si="66"/>
        <v>16</v>
      </c>
      <c r="AV111" s="38"/>
    </row>
    <row r="112" spans="1:49" ht="22.5">
      <c r="B112" s="109" t="s">
        <v>97</v>
      </c>
      <c r="C112" s="114"/>
      <c r="D112" s="126"/>
      <c r="E112" s="92"/>
      <c r="F112" s="92"/>
      <c r="G112" s="66" t="str">
        <f t="shared" si="56"/>
        <v/>
      </c>
      <c r="H112" s="66">
        <f t="shared" si="57"/>
        <v>-46027</v>
      </c>
      <c r="I112" s="111"/>
      <c r="J112" s="78"/>
      <c r="K112" s="121"/>
      <c r="L112" s="70"/>
      <c r="M112" s="66" t="str">
        <f t="shared" si="50"/>
        <v/>
      </c>
      <c r="N112" s="66">
        <f t="shared" si="58"/>
        <v>-46027</v>
      </c>
      <c r="O112" s="64"/>
      <c r="P112" s="64"/>
      <c r="Q112" s="127"/>
      <c r="R112" s="149"/>
      <c r="S112" s="70"/>
      <c r="T112" s="70"/>
      <c r="U112" s="66" t="str">
        <f t="shared" si="42"/>
        <v/>
      </c>
      <c r="V112" s="66">
        <f t="shared" si="61"/>
        <v>-46027</v>
      </c>
      <c r="W112" s="64"/>
      <c r="X112" s="127"/>
      <c r="Y112" s="64"/>
      <c r="Z112" s="78"/>
      <c r="AA112" s="70"/>
      <c r="AB112" s="92"/>
      <c r="AC112" s="66" t="str">
        <f t="shared" si="44"/>
        <v/>
      </c>
      <c r="AD112" s="66">
        <f t="shared" si="62"/>
        <v>-46027</v>
      </c>
      <c r="AE112" s="64"/>
      <c r="AF112" s="111"/>
      <c r="AG112" s="111"/>
      <c r="AH112" s="78"/>
      <c r="AI112" s="70"/>
      <c r="AJ112" s="70"/>
      <c r="AK112" s="66" t="str">
        <f t="shared" si="46"/>
        <v/>
      </c>
      <c r="AL112" s="66">
        <f t="shared" si="63"/>
        <v>-46027</v>
      </c>
      <c r="AM112" s="111"/>
      <c r="AN112" s="111"/>
      <c r="AO112" s="111" t="s">
        <v>8</v>
      </c>
      <c r="AP112" s="78">
        <v>22</v>
      </c>
      <c r="AQ112" s="8">
        <v>46012</v>
      </c>
      <c r="AR112" s="8">
        <v>46062</v>
      </c>
      <c r="AS112" s="4">
        <f t="shared" si="47"/>
        <v>70</v>
      </c>
      <c r="AT112" s="4">
        <f t="shared" si="64"/>
        <v>35</v>
      </c>
      <c r="AU112" s="38"/>
      <c r="AV112" s="38"/>
    </row>
    <row r="113" spans="2:48" ht="22.5">
      <c r="B113" s="109" t="s">
        <v>79</v>
      </c>
      <c r="C113" s="111"/>
      <c r="D113" s="120"/>
      <c r="E113" s="92"/>
      <c r="F113" s="92"/>
      <c r="G113" s="66" t="str">
        <f t="shared" si="56"/>
        <v/>
      </c>
      <c r="H113" s="66">
        <f t="shared" si="57"/>
        <v>-46027</v>
      </c>
      <c r="I113" s="111"/>
      <c r="J113" s="78"/>
      <c r="K113" s="121"/>
      <c r="L113" s="70"/>
      <c r="M113" s="66" t="str">
        <f t="shared" si="50"/>
        <v/>
      </c>
      <c r="N113" s="66">
        <f t="shared" si="58"/>
        <v>-46027</v>
      </c>
      <c r="O113" s="64"/>
      <c r="P113" s="64"/>
      <c r="Q113" s="127"/>
      <c r="R113" s="149"/>
      <c r="S113" s="70"/>
      <c r="T113" s="70"/>
      <c r="U113" s="66" t="str">
        <f t="shared" si="42"/>
        <v/>
      </c>
      <c r="V113" s="66">
        <f t="shared" si="61"/>
        <v>-46027</v>
      </c>
      <c r="W113" s="64"/>
      <c r="X113" s="127"/>
      <c r="Y113" s="64"/>
      <c r="Z113" s="78"/>
      <c r="AA113" s="70"/>
      <c r="AB113" s="92"/>
      <c r="AC113" s="66" t="str">
        <f t="shared" si="44"/>
        <v/>
      </c>
      <c r="AD113" s="66">
        <f t="shared" si="62"/>
        <v>-46027</v>
      </c>
      <c r="AE113" s="64"/>
      <c r="AF113" s="111"/>
      <c r="AG113" s="111"/>
      <c r="AH113" s="78"/>
      <c r="AI113" s="70"/>
      <c r="AJ113" s="70"/>
      <c r="AK113" s="66" t="str">
        <f t="shared" si="46"/>
        <v/>
      </c>
      <c r="AL113" s="66">
        <f t="shared" si="63"/>
        <v>-46027</v>
      </c>
      <c r="AM113" s="111"/>
      <c r="AN113" s="111"/>
      <c r="AO113" s="111" t="s">
        <v>15</v>
      </c>
      <c r="AP113" s="78" t="s">
        <v>110</v>
      </c>
      <c r="AQ113" s="8">
        <v>46021</v>
      </c>
      <c r="AR113" s="8">
        <v>46061</v>
      </c>
      <c r="AS113" s="4">
        <f t="shared" si="47"/>
        <v>85</v>
      </c>
      <c r="AT113" s="4">
        <f t="shared" si="64"/>
        <v>34</v>
      </c>
      <c r="AU113" s="38"/>
      <c r="AV113" s="38"/>
    </row>
    <row r="114" spans="2:48" ht="22.5">
      <c r="B114" s="109" t="s">
        <v>103</v>
      </c>
      <c r="C114" s="114"/>
      <c r="D114" s="126"/>
      <c r="E114" s="125"/>
      <c r="F114" s="92"/>
      <c r="G114" s="66" t="str">
        <f t="shared" si="56"/>
        <v/>
      </c>
      <c r="H114" s="66">
        <f t="shared" si="57"/>
        <v>-46027</v>
      </c>
      <c r="I114" s="111"/>
      <c r="J114" s="78"/>
      <c r="K114" s="121"/>
      <c r="L114" s="70"/>
      <c r="M114" s="66" t="str">
        <f t="shared" si="50"/>
        <v/>
      </c>
      <c r="N114" s="66">
        <f t="shared" si="58"/>
        <v>-46027</v>
      </c>
      <c r="O114" s="64"/>
      <c r="P114" s="64"/>
      <c r="Q114" s="127"/>
      <c r="R114" s="149"/>
      <c r="S114" s="70"/>
      <c r="T114" s="70"/>
      <c r="U114" s="66" t="str">
        <f t="shared" si="42"/>
        <v/>
      </c>
      <c r="V114" s="66">
        <f t="shared" si="61"/>
        <v>-46027</v>
      </c>
      <c r="W114" s="64"/>
      <c r="X114" s="127"/>
      <c r="Y114" s="64"/>
      <c r="Z114" s="78"/>
      <c r="AA114" s="70"/>
      <c r="AB114" s="92"/>
      <c r="AC114" s="66" t="str">
        <f t="shared" si="44"/>
        <v/>
      </c>
      <c r="AD114" s="66">
        <f t="shared" si="62"/>
        <v>-46027</v>
      </c>
      <c r="AE114" s="64"/>
      <c r="AF114" s="111"/>
      <c r="AG114" s="111"/>
      <c r="AH114" s="78"/>
      <c r="AI114" s="70"/>
      <c r="AJ114" s="70"/>
      <c r="AK114" s="66" t="str">
        <f t="shared" si="46"/>
        <v/>
      </c>
      <c r="AL114" s="66">
        <f t="shared" si="63"/>
        <v>-46027</v>
      </c>
      <c r="AM114" s="111"/>
      <c r="AN114" s="111"/>
      <c r="AO114" s="111" t="s">
        <v>8</v>
      </c>
      <c r="AP114" s="78">
        <v>20</v>
      </c>
      <c r="AQ114" s="8">
        <v>46013</v>
      </c>
      <c r="AR114" s="8">
        <v>46058</v>
      </c>
      <c r="AS114" s="4">
        <f t="shared" si="47"/>
        <v>68.888888888888886</v>
      </c>
      <c r="AT114" s="4">
        <f t="shared" si="64"/>
        <v>31</v>
      </c>
      <c r="AU114" s="38"/>
      <c r="AV114" s="38"/>
    </row>
    <row r="115" spans="2:48" ht="22.5">
      <c r="B115" s="109" t="s">
        <v>88</v>
      </c>
      <c r="C115" s="128"/>
      <c r="D115" s="126"/>
      <c r="E115" s="125"/>
      <c r="F115" s="129"/>
      <c r="G115" s="66" t="str">
        <f t="shared" si="56"/>
        <v/>
      </c>
      <c r="H115" s="66">
        <f t="shared" si="57"/>
        <v>-46027</v>
      </c>
      <c r="I115" s="111"/>
      <c r="J115" s="78"/>
      <c r="K115" s="121"/>
      <c r="L115" s="70"/>
      <c r="M115" s="66" t="str">
        <f t="shared" si="50"/>
        <v/>
      </c>
      <c r="N115" s="66">
        <f t="shared" si="58"/>
        <v>-46027</v>
      </c>
      <c r="O115" s="64"/>
      <c r="P115" s="64"/>
      <c r="Q115" s="127"/>
      <c r="R115" s="149"/>
      <c r="S115" s="70"/>
      <c r="T115" s="70"/>
      <c r="U115" s="66" t="str">
        <f t="shared" si="42"/>
        <v/>
      </c>
      <c r="V115" s="66">
        <f t="shared" si="61"/>
        <v>-46027</v>
      </c>
      <c r="W115" s="64"/>
      <c r="X115" s="127"/>
      <c r="Y115" s="64"/>
      <c r="Z115" s="78"/>
      <c r="AA115" s="70"/>
      <c r="AB115" s="92"/>
      <c r="AC115" s="66" t="str">
        <f t="shared" si="44"/>
        <v/>
      </c>
      <c r="AD115" s="66">
        <f t="shared" si="62"/>
        <v>-46027</v>
      </c>
      <c r="AE115" s="64"/>
      <c r="AF115" s="111"/>
      <c r="AG115" s="64"/>
      <c r="AH115" s="78"/>
      <c r="AI115" s="70"/>
      <c r="AJ115" s="70"/>
      <c r="AK115" s="66" t="str">
        <f t="shared" si="46"/>
        <v/>
      </c>
      <c r="AL115" s="66">
        <f t="shared" si="63"/>
        <v>-46027</v>
      </c>
      <c r="AM115" s="111"/>
      <c r="AN115" s="111"/>
      <c r="AO115" s="64" t="s">
        <v>8</v>
      </c>
      <c r="AP115" s="78">
        <v>48</v>
      </c>
      <c r="AQ115" s="8">
        <v>46013</v>
      </c>
      <c r="AR115" s="8">
        <v>46053</v>
      </c>
      <c r="AS115" s="4">
        <f t="shared" si="47"/>
        <v>65</v>
      </c>
      <c r="AT115" s="4">
        <f t="shared" si="64"/>
        <v>26</v>
      </c>
      <c r="AU115" s="38"/>
      <c r="AV115" s="38"/>
    </row>
    <row r="116" spans="2:48" ht="22.5">
      <c r="B116" s="109" t="s">
        <v>88</v>
      </c>
      <c r="C116" s="64"/>
      <c r="D116" s="120"/>
      <c r="E116" s="70"/>
      <c r="F116" s="121"/>
      <c r="G116" s="66" t="str">
        <f t="shared" si="56"/>
        <v/>
      </c>
      <c r="H116" s="66">
        <f t="shared" si="57"/>
        <v>-46027</v>
      </c>
      <c r="I116" s="64"/>
      <c r="J116" s="126"/>
      <c r="K116" s="70"/>
      <c r="L116" s="70"/>
      <c r="M116" s="66" t="str">
        <f t="shared" si="50"/>
        <v/>
      </c>
      <c r="N116" s="66">
        <f t="shared" si="58"/>
        <v>-46027</v>
      </c>
      <c r="O116" s="64"/>
      <c r="P116" s="64"/>
      <c r="Q116" s="127"/>
      <c r="R116" s="149"/>
      <c r="S116" s="70"/>
      <c r="T116" s="70"/>
      <c r="U116" s="66" t="str">
        <f t="shared" si="42"/>
        <v/>
      </c>
      <c r="V116" s="66">
        <f t="shared" si="61"/>
        <v>-46027</v>
      </c>
      <c r="W116" s="64"/>
      <c r="X116" s="127"/>
      <c r="Y116" s="64"/>
      <c r="Z116" s="78"/>
      <c r="AA116" s="70"/>
      <c r="AB116" s="92"/>
      <c r="AC116" s="66" t="str">
        <f t="shared" si="44"/>
        <v/>
      </c>
      <c r="AD116" s="130">
        <f t="shared" si="62"/>
        <v>-46027</v>
      </c>
      <c r="AE116" s="64"/>
      <c r="AF116" s="111"/>
      <c r="AG116" s="64"/>
      <c r="AH116" s="78"/>
      <c r="AI116" s="70"/>
      <c r="AJ116" s="70"/>
      <c r="AK116" s="66" t="str">
        <f t="shared" si="46"/>
        <v/>
      </c>
      <c r="AL116" s="66">
        <f t="shared" si="63"/>
        <v>-46027</v>
      </c>
      <c r="AM116" s="111"/>
      <c r="AN116" s="111"/>
      <c r="AO116" s="64" t="s">
        <v>8</v>
      </c>
      <c r="AP116" s="78">
        <v>22</v>
      </c>
      <c r="AQ116" s="8">
        <v>46011</v>
      </c>
      <c r="AR116" s="8">
        <v>46051</v>
      </c>
      <c r="AS116" s="4">
        <f t="shared" si="47"/>
        <v>60</v>
      </c>
      <c r="AT116" s="4">
        <f t="shared" si="64"/>
        <v>24</v>
      </c>
      <c r="AU116" s="38"/>
      <c r="AV116" s="38"/>
    </row>
    <row r="117" spans="2:48">
      <c r="B117" s="156"/>
      <c r="C117" s="111"/>
      <c r="D117" s="120"/>
      <c r="E117" s="70"/>
      <c r="F117" s="121"/>
      <c r="G117" s="66" t="str">
        <f t="shared" si="56"/>
        <v/>
      </c>
      <c r="H117" s="66">
        <f t="shared" si="57"/>
        <v>-46027</v>
      </c>
      <c r="I117" s="64"/>
      <c r="J117" s="78"/>
      <c r="K117" s="70"/>
      <c r="L117" s="70"/>
      <c r="M117" s="66" t="str">
        <f t="shared" si="50"/>
        <v/>
      </c>
      <c r="N117" s="66">
        <f t="shared" si="58"/>
        <v>-46027</v>
      </c>
      <c r="O117" s="64"/>
      <c r="P117" s="64"/>
      <c r="Q117" s="127"/>
      <c r="R117" s="149"/>
      <c r="S117" s="70"/>
      <c r="T117" s="70"/>
      <c r="U117" s="66" t="str">
        <f t="shared" si="42"/>
        <v/>
      </c>
      <c r="V117" s="66">
        <f t="shared" si="61"/>
        <v>-46027</v>
      </c>
      <c r="W117" s="64"/>
      <c r="X117" s="127"/>
      <c r="Y117" s="64"/>
      <c r="Z117" s="120"/>
      <c r="AA117" s="70"/>
      <c r="AB117" s="70"/>
      <c r="AC117" s="66" t="str">
        <f t="shared" si="44"/>
        <v/>
      </c>
      <c r="AD117" s="130">
        <f t="shared" si="62"/>
        <v>-46027</v>
      </c>
      <c r="AE117" s="64"/>
      <c r="AF117" s="111"/>
      <c r="AG117" s="115"/>
      <c r="AH117" s="123"/>
      <c r="AI117" s="124"/>
      <c r="AJ117" s="124"/>
      <c r="AK117" s="66" t="str">
        <f t="shared" si="46"/>
        <v/>
      </c>
      <c r="AL117" s="66">
        <f t="shared" si="63"/>
        <v>-46027</v>
      </c>
      <c r="AM117" s="114"/>
      <c r="AN117" s="114"/>
      <c r="AO117" s="115"/>
      <c r="AP117" s="123"/>
      <c r="AQ117" s="41"/>
      <c r="AR117" s="41"/>
      <c r="AS117" s="4" t="str">
        <f t="shared" si="47"/>
        <v/>
      </c>
      <c r="AT117" s="4">
        <f t="shared" si="64"/>
        <v>-46027</v>
      </c>
      <c r="AU117" s="39"/>
      <c r="AV117" s="39"/>
    </row>
    <row r="118" spans="2:48">
      <c r="B118" s="156"/>
      <c r="C118" s="111"/>
      <c r="D118" s="78"/>
      <c r="E118" s="70"/>
      <c r="F118" s="121"/>
      <c r="G118" s="66" t="str">
        <f t="shared" si="56"/>
        <v/>
      </c>
      <c r="H118" s="66">
        <f t="shared" si="57"/>
        <v>-46027</v>
      </c>
      <c r="I118" s="64"/>
      <c r="J118" s="78"/>
      <c r="K118" s="70"/>
      <c r="L118" s="70"/>
      <c r="M118" s="66" t="str">
        <f t="shared" si="50"/>
        <v/>
      </c>
      <c r="N118" s="66">
        <f t="shared" si="58"/>
        <v>-46027</v>
      </c>
      <c r="O118" s="64"/>
      <c r="P118" s="64"/>
      <c r="Q118" s="127"/>
      <c r="R118" s="149"/>
      <c r="S118" s="70"/>
      <c r="T118" s="70"/>
      <c r="U118" s="66" t="str">
        <f t="shared" si="42"/>
        <v/>
      </c>
      <c r="V118" s="66">
        <f t="shared" si="61"/>
        <v>-46027</v>
      </c>
      <c r="W118" s="64"/>
      <c r="X118" s="127"/>
      <c r="Y118" s="64"/>
      <c r="Z118" s="120"/>
      <c r="AA118" s="70"/>
      <c r="AB118" s="70"/>
      <c r="AC118" s="66" t="str">
        <f t="shared" si="44"/>
        <v/>
      </c>
      <c r="AD118" s="130">
        <f t="shared" si="62"/>
        <v>-46027</v>
      </c>
      <c r="AE118" s="64"/>
      <c r="AF118" s="111"/>
      <c r="AG118" s="64"/>
      <c r="AH118" s="78"/>
      <c r="AI118" s="70"/>
      <c r="AJ118" s="70"/>
      <c r="AK118" s="66" t="str">
        <f t="shared" si="46"/>
        <v/>
      </c>
      <c r="AL118" s="66">
        <f t="shared" si="63"/>
        <v>-46027</v>
      </c>
      <c r="AM118" s="111"/>
      <c r="AN118" s="111"/>
      <c r="AO118" s="64"/>
      <c r="AP118" s="78"/>
      <c r="AQ118" s="8"/>
      <c r="AR118" s="8"/>
      <c r="AS118" s="4" t="str">
        <f t="shared" si="47"/>
        <v/>
      </c>
      <c r="AT118" s="4">
        <f t="shared" si="64"/>
        <v>-46027</v>
      </c>
      <c r="AU118" s="38"/>
      <c r="AV118" s="38"/>
    </row>
    <row r="119" spans="2:48">
      <c r="B119" s="156"/>
      <c r="C119" s="111"/>
      <c r="D119" s="78"/>
      <c r="E119" s="70"/>
      <c r="F119" s="121"/>
      <c r="G119" s="66" t="str">
        <f t="shared" si="56"/>
        <v/>
      </c>
      <c r="H119" s="66">
        <f t="shared" si="57"/>
        <v>-46027</v>
      </c>
      <c r="I119" s="64"/>
      <c r="J119" s="78"/>
      <c r="K119" s="70"/>
      <c r="L119" s="70"/>
      <c r="M119" s="66" t="str">
        <f t="shared" si="50"/>
        <v/>
      </c>
      <c r="N119" s="66">
        <f t="shared" si="58"/>
        <v>-46027</v>
      </c>
      <c r="O119" s="64"/>
      <c r="P119" s="64"/>
      <c r="Q119" s="127"/>
      <c r="R119" s="149"/>
      <c r="S119" s="70"/>
      <c r="T119" s="70"/>
      <c r="U119" s="66" t="str">
        <f t="shared" si="42"/>
        <v/>
      </c>
      <c r="V119" s="66">
        <f t="shared" si="61"/>
        <v>-46027</v>
      </c>
      <c r="W119" s="64"/>
      <c r="X119" s="127"/>
      <c r="Y119" s="64"/>
      <c r="Z119" s="120"/>
      <c r="AA119" s="70"/>
      <c r="AB119" s="70"/>
      <c r="AC119" s="66" t="str">
        <f t="shared" si="44"/>
        <v/>
      </c>
      <c r="AD119" s="130">
        <f t="shared" si="62"/>
        <v>-46027</v>
      </c>
      <c r="AE119" s="64"/>
      <c r="AF119" s="111"/>
      <c r="AG119" s="111"/>
      <c r="AH119" s="78"/>
      <c r="AI119" s="70"/>
      <c r="AJ119" s="70"/>
      <c r="AK119" s="66" t="str">
        <f t="shared" si="46"/>
        <v/>
      </c>
      <c r="AL119" s="66">
        <f t="shared" si="63"/>
        <v>-46027</v>
      </c>
      <c r="AM119" s="111"/>
      <c r="AN119" s="111"/>
      <c r="AO119" s="111"/>
      <c r="AP119" s="78"/>
      <c r="AQ119" s="8"/>
      <c r="AR119" s="8"/>
      <c r="AS119" s="4" t="str">
        <f t="shared" si="47"/>
        <v/>
      </c>
      <c r="AT119" s="4">
        <f t="shared" si="64"/>
        <v>-46027</v>
      </c>
      <c r="AU119" s="38"/>
      <c r="AV119" s="38"/>
    </row>
    <row r="120" spans="2:48">
      <c r="B120" s="156"/>
      <c r="C120" s="111"/>
      <c r="D120" s="78"/>
      <c r="E120" s="70"/>
      <c r="F120" s="121"/>
      <c r="G120" s="66" t="str">
        <f t="shared" si="56"/>
        <v/>
      </c>
      <c r="H120" s="66">
        <f t="shared" si="57"/>
        <v>-46027</v>
      </c>
      <c r="I120" s="64"/>
      <c r="J120" s="78"/>
      <c r="K120" s="70"/>
      <c r="L120" s="70"/>
      <c r="M120" s="66" t="str">
        <f t="shared" si="50"/>
        <v/>
      </c>
      <c r="N120" s="66">
        <f t="shared" si="58"/>
        <v>-46027</v>
      </c>
      <c r="O120" s="64"/>
      <c r="P120" s="64"/>
      <c r="Q120" s="127"/>
      <c r="R120" s="149"/>
      <c r="S120" s="70"/>
      <c r="T120" s="70"/>
      <c r="U120" s="66" t="str">
        <f t="shared" si="42"/>
        <v/>
      </c>
      <c r="V120" s="66">
        <f t="shared" si="61"/>
        <v>-46027</v>
      </c>
      <c r="W120" s="64"/>
      <c r="X120" s="127"/>
      <c r="Y120" s="64"/>
      <c r="Z120" s="120"/>
      <c r="AA120" s="70"/>
      <c r="AB120" s="70"/>
      <c r="AC120" s="66" t="str">
        <f t="shared" si="44"/>
        <v/>
      </c>
      <c r="AD120" s="130">
        <f t="shared" si="62"/>
        <v>-46027</v>
      </c>
      <c r="AE120" s="64"/>
      <c r="AF120" s="111"/>
      <c r="AG120" s="114"/>
      <c r="AH120" s="78"/>
      <c r="AI120" s="70"/>
      <c r="AJ120" s="70"/>
      <c r="AK120" s="66" t="str">
        <f t="shared" si="46"/>
        <v/>
      </c>
      <c r="AL120" s="66">
        <f t="shared" si="63"/>
        <v>-46027</v>
      </c>
      <c r="AM120" s="111"/>
      <c r="AN120" s="111"/>
      <c r="AO120" s="114"/>
      <c r="AP120" s="78"/>
      <c r="AQ120" s="8"/>
      <c r="AR120" s="8"/>
      <c r="AS120" s="4" t="str">
        <f t="shared" si="47"/>
        <v/>
      </c>
      <c r="AT120" s="4">
        <f t="shared" si="64"/>
        <v>-46027</v>
      </c>
      <c r="AU120" s="38"/>
      <c r="AV120" s="38"/>
    </row>
    <row r="121" spans="2:48">
      <c r="B121" s="131"/>
      <c r="C121" s="111"/>
      <c r="D121" s="78"/>
      <c r="E121" s="70"/>
      <c r="F121" s="121"/>
      <c r="G121" s="66" t="str">
        <f t="shared" si="56"/>
        <v/>
      </c>
      <c r="H121" s="66">
        <f t="shared" si="57"/>
        <v>-46027</v>
      </c>
      <c r="I121" s="64"/>
      <c r="J121" s="78"/>
      <c r="K121" s="70"/>
      <c r="L121" s="70"/>
      <c r="M121" s="66" t="str">
        <f t="shared" si="50"/>
        <v/>
      </c>
      <c r="N121" s="66">
        <f t="shared" si="58"/>
        <v>-46027</v>
      </c>
      <c r="O121" s="64"/>
      <c r="P121" s="64"/>
      <c r="Q121" s="127"/>
      <c r="R121" s="149"/>
      <c r="S121" s="70"/>
      <c r="T121" s="70"/>
      <c r="U121" s="66" t="str">
        <f t="shared" si="42"/>
        <v/>
      </c>
      <c r="V121" s="66">
        <f t="shared" si="61"/>
        <v>-46027</v>
      </c>
      <c r="W121" s="64"/>
      <c r="X121" s="127"/>
      <c r="Y121" s="64"/>
      <c r="Z121" s="120"/>
      <c r="AA121" s="70"/>
      <c r="AB121" s="70"/>
      <c r="AC121" s="66" t="str">
        <f t="shared" si="44"/>
        <v/>
      </c>
      <c r="AD121" s="130">
        <f t="shared" si="62"/>
        <v>-46027</v>
      </c>
      <c r="AE121" s="64"/>
      <c r="AF121" s="111"/>
      <c r="AG121" s="114"/>
      <c r="AH121" s="123"/>
      <c r="AI121" s="124"/>
      <c r="AJ121" s="124"/>
      <c r="AK121" s="66" t="str">
        <f t="shared" si="46"/>
        <v/>
      </c>
      <c r="AL121" s="66">
        <f t="shared" si="63"/>
        <v>-46027</v>
      </c>
      <c r="AM121" s="114"/>
      <c r="AN121" s="114"/>
      <c r="AO121" s="114"/>
      <c r="AP121" s="123"/>
      <c r="AQ121" s="41"/>
      <c r="AR121" s="41"/>
      <c r="AS121" s="4" t="str">
        <f t="shared" si="47"/>
        <v/>
      </c>
      <c r="AT121" s="4">
        <f t="shared" si="64"/>
        <v>-46027</v>
      </c>
      <c r="AU121" s="39"/>
      <c r="AV121" s="39"/>
    </row>
    <row r="122" spans="2:48">
      <c r="B122" s="132"/>
      <c r="C122" s="64"/>
      <c r="D122" s="78"/>
      <c r="E122" s="70"/>
      <c r="F122" s="121"/>
      <c r="G122" s="66" t="str">
        <f t="shared" si="56"/>
        <v/>
      </c>
      <c r="H122" s="66">
        <f t="shared" si="57"/>
        <v>-46027</v>
      </c>
      <c r="I122" s="64"/>
      <c r="J122" s="78"/>
      <c r="K122" s="70"/>
      <c r="L122" s="70"/>
      <c r="M122" s="66" t="str">
        <f t="shared" si="50"/>
        <v/>
      </c>
      <c r="N122" s="66">
        <f t="shared" si="58"/>
        <v>-46027</v>
      </c>
      <c r="O122" s="64"/>
      <c r="P122" s="64"/>
      <c r="Q122" s="127"/>
      <c r="R122" s="149"/>
      <c r="S122" s="70"/>
      <c r="T122" s="70"/>
      <c r="U122" s="66" t="str">
        <f t="shared" si="42"/>
        <v/>
      </c>
      <c r="V122" s="66">
        <f t="shared" si="61"/>
        <v>-46027</v>
      </c>
      <c r="W122" s="64"/>
      <c r="X122" s="127"/>
      <c r="Y122" s="64"/>
      <c r="Z122" s="120"/>
      <c r="AA122" s="70"/>
      <c r="AB122" s="70"/>
      <c r="AC122" s="66" t="str">
        <f t="shared" si="44"/>
        <v/>
      </c>
      <c r="AD122" s="130">
        <f t="shared" si="62"/>
        <v>-46027</v>
      </c>
      <c r="AE122" s="64"/>
      <c r="AF122" s="111"/>
      <c r="AG122" s="133"/>
      <c r="AH122" s="134"/>
      <c r="AI122" s="135"/>
      <c r="AJ122" s="136"/>
      <c r="AK122" s="66" t="str">
        <f t="shared" si="46"/>
        <v/>
      </c>
      <c r="AL122" s="66">
        <f t="shared" si="63"/>
        <v>-46027</v>
      </c>
      <c r="AM122" s="137"/>
      <c r="AN122" s="133"/>
      <c r="AO122" s="133"/>
      <c r="AP122" s="134"/>
      <c r="AQ122" s="49"/>
      <c r="AR122" s="51"/>
      <c r="AS122" s="4" t="str">
        <f t="shared" si="47"/>
        <v/>
      </c>
      <c r="AT122" s="4">
        <f t="shared" si="64"/>
        <v>-46027</v>
      </c>
      <c r="AU122" s="53"/>
      <c r="AV122" s="48"/>
    </row>
    <row r="123" spans="2:48">
      <c r="B123" s="138"/>
      <c r="C123" s="128"/>
      <c r="D123" s="139"/>
      <c r="E123" s="140"/>
      <c r="G123" s="66" t="str">
        <f t="shared" si="56"/>
        <v/>
      </c>
      <c r="H123" s="66">
        <f t="shared" si="57"/>
        <v>-46027</v>
      </c>
      <c r="I123" s="141"/>
      <c r="J123" s="139"/>
      <c r="K123" s="140"/>
      <c r="L123" s="140"/>
      <c r="M123" s="66" t="str">
        <f t="shared" si="50"/>
        <v/>
      </c>
      <c r="N123" s="66">
        <f t="shared" si="58"/>
        <v>-46027</v>
      </c>
      <c r="O123" s="141"/>
      <c r="P123" s="141"/>
      <c r="R123" s="150"/>
      <c r="S123" s="140"/>
      <c r="T123" s="140"/>
      <c r="U123" s="66" t="str">
        <f t="shared" si="42"/>
        <v/>
      </c>
      <c r="V123" s="66">
        <f t="shared" si="61"/>
        <v>-46027</v>
      </c>
      <c r="W123" s="141"/>
      <c r="Y123" s="141"/>
      <c r="Z123" s="142"/>
      <c r="AA123" s="140"/>
      <c r="AB123" s="140"/>
      <c r="AC123" s="66" t="str">
        <f t="shared" si="44"/>
        <v/>
      </c>
      <c r="AD123" s="130">
        <f t="shared" si="62"/>
        <v>-46027</v>
      </c>
      <c r="AE123" s="141"/>
      <c r="AF123" s="128"/>
      <c r="AG123" s="111"/>
      <c r="AH123" s="78"/>
      <c r="AI123" s="92"/>
      <c r="AJ123" s="70"/>
      <c r="AK123" s="66" t="str">
        <f t="shared" si="46"/>
        <v/>
      </c>
      <c r="AL123" s="66">
        <f t="shared" si="63"/>
        <v>-46027</v>
      </c>
      <c r="AM123" s="64"/>
      <c r="AN123" s="111"/>
      <c r="AO123" s="111"/>
      <c r="AP123" s="78"/>
      <c r="AQ123" s="43"/>
      <c r="AR123" s="8"/>
      <c r="AS123" s="4" t="str">
        <f t="shared" si="47"/>
        <v/>
      </c>
      <c r="AT123" s="4">
        <f t="shared" si="64"/>
        <v>-46027</v>
      </c>
      <c r="AU123" s="19"/>
      <c r="AV123" s="38"/>
    </row>
    <row r="124" spans="2:48">
      <c r="B124" s="143"/>
      <c r="C124" s="64"/>
      <c r="D124" s="78"/>
      <c r="E124" s="70"/>
      <c r="F124" s="121"/>
      <c r="G124" s="66" t="str">
        <f t="shared" si="56"/>
        <v/>
      </c>
      <c r="H124" s="66">
        <f t="shared" si="57"/>
        <v>-46027</v>
      </c>
      <c r="I124" s="64"/>
      <c r="J124" s="78"/>
      <c r="K124" s="70"/>
      <c r="L124" s="70"/>
      <c r="M124" s="66" t="str">
        <f t="shared" si="50"/>
        <v/>
      </c>
      <c r="N124" s="66">
        <f t="shared" si="58"/>
        <v>-46027</v>
      </c>
      <c r="O124" s="64"/>
      <c r="P124" s="64"/>
      <c r="Q124" s="127"/>
      <c r="R124" s="149"/>
      <c r="S124" s="70"/>
      <c r="T124" s="70"/>
      <c r="U124" s="66" t="str">
        <f t="shared" si="42"/>
        <v/>
      </c>
      <c r="V124" s="66">
        <f t="shared" si="61"/>
        <v>-46027</v>
      </c>
      <c r="W124" s="64"/>
      <c r="X124" s="127"/>
      <c r="Y124" s="64"/>
      <c r="Z124" s="120"/>
      <c r="AA124" s="70"/>
      <c r="AB124" s="70"/>
      <c r="AC124" s="66" t="str">
        <f t="shared" si="44"/>
        <v/>
      </c>
      <c r="AD124" s="130">
        <f t="shared" si="62"/>
        <v>-46027</v>
      </c>
      <c r="AE124" s="64"/>
      <c r="AF124" s="111"/>
      <c r="AG124" s="111"/>
      <c r="AH124" s="78"/>
      <c r="AI124" s="92"/>
      <c r="AJ124" s="70"/>
      <c r="AK124" s="66" t="str">
        <f t="shared" si="46"/>
        <v/>
      </c>
      <c r="AL124" s="66">
        <f t="shared" si="63"/>
        <v>-46027</v>
      </c>
      <c r="AM124" s="64"/>
      <c r="AN124" s="111"/>
      <c r="AO124" s="111"/>
      <c r="AP124" s="78"/>
      <c r="AQ124" s="43"/>
      <c r="AR124" s="8"/>
      <c r="AS124" s="4" t="str">
        <f t="shared" si="47"/>
        <v/>
      </c>
      <c r="AT124" s="4">
        <f t="shared" si="64"/>
        <v>-46027</v>
      </c>
      <c r="AU124" s="19"/>
      <c r="AV124" s="38"/>
    </row>
    <row r="125" spans="2:48">
      <c r="B125" s="144"/>
      <c r="C125" s="115"/>
      <c r="D125" s="123"/>
      <c r="E125" s="124"/>
      <c r="F125" s="122"/>
      <c r="G125" s="66" t="str">
        <f t="shared" si="56"/>
        <v/>
      </c>
      <c r="H125" s="66">
        <f t="shared" si="57"/>
        <v>-46027</v>
      </c>
      <c r="I125" s="115"/>
      <c r="J125" s="123"/>
      <c r="K125" s="124"/>
      <c r="L125" s="124"/>
      <c r="M125" s="66" t="str">
        <f t="shared" si="50"/>
        <v/>
      </c>
      <c r="N125" s="66">
        <f t="shared" si="58"/>
        <v>-46027</v>
      </c>
      <c r="O125" s="115"/>
      <c r="P125" s="115"/>
      <c r="Q125" s="116"/>
      <c r="R125" s="148"/>
      <c r="S125" s="124"/>
      <c r="T125" s="124"/>
      <c r="U125" s="66" t="str">
        <f t="shared" si="42"/>
        <v/>
      </c>
      <c r="V125" s="66">
        <f t="shared" si="61"/>
        <v>-46027</v>
      </c>
      <c r="W125" s="115"/>
      <c r="X125" s="116"/>
      <c r="Y125" s="115"/>
      <c r="Z125" s="126"/>
      <c r="AA125" s="124"/>
      <c r="AB125" s="124"/>
      <c r="AC125" s="66" t="str">
        <f t="shared" si="44"/>
        <v/>
      </c>
      <c r="AD125" s="130">
        <f t="shared" si="62"/>
        <v>-46027</v>
      </c>
      <c r="AE125" s="115"/>
      <c r="AF125" s="114"/>
      <c r="AG125" s="111"/>
      <c r="AH125" s="78"/>
      <c r="AI125" s="92"/>
      <c r="AJ125" s="70"/>
      <c r="AK125" s="66" t="str">
        <f t="shared" si="46"/>
        <v/>
      </c>
      <c r="AL125" s="66">
        <f t="shared" si="63"/>
        <v>-46027</v>
      </c>
      <c r="AM125" s="64"/>
      <c r="AN125" s="111"/>
      <c r="AO125" s="111"/>
      <c r="AP125" s="78"/>
      <c r="AQ125" s="43"/>
      <c r="AR125" s="8"/>
      <c r="AS125" s="4" t="str">
        <f t="shared" si="47"/>
        <v/>
      </c>
      <c r="AT125" s="4">
        <f t="shared" si="64"/>
        <v>-46027</v>
      </c>
      <c r="AU125" s="19"/>
      <c r="AV125" s="38"/>
    </row>
    <row r="126" spans="2:48">
      <c r="C126" s="128"/>
      <c r="D126" s="139"/>
      <c r="E126" s="140"/>
      <c r="G126" s="66" t="str">
        <f t="shared" si="56"/>
        <v/>
      </c>
      <c r="H126" s="66">
        <f t="shared" si="57"/>
        <v>-46027</v>
      </c>
      <c r="I126" s="64"/>
      <c r="J126" s="78"/>
      <c r="K126" s="70"/>
      <c r="L126" s="70"/>
      <c r="M126" s="66" t="str">
        <f t="shared" si="50"/>
        <v/>
      </c>
      <c r="N126" s="66">
        <f t="shared" si="58"/>
        <v>-46027</v>
      </c>
      <c r="O126" s="64"/>
      <c r="P126" s="64"/>
      <c r="Q126" s="127"/>
      <c r="R126" s="149"/>
      <c r="S126" s="70"/>
      <c r="T126" s="70"/>
      <c r="U126" s="66" t="str">
        <f t="shared" si="42"/>
        <v/>
      </c>
      <c r="V126" s="66">
        <f t="shared" si="61"/>
        <v>-46027</v>
      </c>
      <c r="W126" s="64"/>
      <c r="X126" s="127"/>
      <c r="Y126" s="64"/>
      <c r="Z126" s="120"/>
      <c r="AA126" s="70"/>
      <c r="AB126" s="70"/>
      <c r="AC126" s="66" t="str">
        <f t="shared" si="44"/>
        <v/>
      </c>
      <c r="AD126" s="130">
        <f t="shared" si="62"/>
        <v>-46027</v>
      </c>
      <c r="AE126" s="64"/>
      <c r="AF126" s="111"/>
      <c r="AG126" s="111"/>
      <c r="AH126" s="78"/>
      <c r="AI126" s="92"/>
      <c r="AJ126" s="70"/>
      <c r="AK126" s="66" t="str">
        <f t="shared" si="46"/>
        <v/>
      </c>
      <c r="AL126" s="66">
        <f t="shared" si="63"/>
        <v>-46027</v>
      </c>
      <c r="AM126" s="64"/>
      <c r="AN126" s="111"/>
      <c r="AO126" s="111"/>
      <c r="AP126" s="78"/>
      <c r="AQ126" s="43"/>
      <c r="AR126" s="8"/>
      <c r="AS126" s="4" t="str">
        <f t="shared" si="47"/>
        <v/>
      </c>
      <c r="AT126" s="4">
        <f t="shared" si="64"/>
        <v>-46027</v>
      </c>
      <c r="AU126" s="19"/>
      <c r="AV126" s="38"/>
    </row>
    <row r="127" spans="2:48">
      <c r="B127" s="143"/>
      <c r="C127" s="64"/>
      <c r="D127" s="78"/>
      <c r="E127" s="70"/>
      <c r="F127" s="121"/>
      <c r="G127" s="66" t="str">
        <f t="shared" si="56"/>
        <v/>
      </c>
      <c r="H127" s="66">
        <f t="shared" si="57"/>
        <v>-46027</v>
      </c>
      <c r="I127" s="64"/>
      <c r="J127" s="78"/>
      <c r="K127" s="70"/>
      <c r="L127" s="70"/>
      <c r="M127" s="66" t="str">
        <f t="shared" si="50"/>
        <v/>
      </c>
      <c r="N127" s="66">
        <f t="shared" si="58"/>
        <v>-46027</v>
      </c>
      <c r="O127" s="64"/>
      <c r="P127" s="64"/>
      <c r="Q127" s="127"/>
      <c r="R127" s="149"/>
      <c r="S127" s="70"/>
      <c r="T127" s="70"/>
      <c r="U127" s="66" t="str">
        <f t="shared" si="42"/>
        <v/>
      </c>
      <c r="V127" s="66">
        <f t="shared" si="61"/>
        <v>-46027</v>
      </c>
      <c r="W127" s="64"/>
      <c r="X127" s="127"/>
      <c r="Y127" s="64"/>
      <c r="Z127" s="120"/>
      <c r="AA127" s="70"/>
      <c r="AB127" s="70"/>
      <c r="AC127" s="66" t="str">
        <f t="shared" si="44"/>
        <v/>
      </c>
      <c r="AD127" s="130">
        <f t="shared" si="62"/>
        <v>-46027</v>
      </c>
      <c r="AE127" s="64"/>
      <c r="AF127" s="111"/>
      <c r="AG127" s="114"/>
      <c r="AH127" s="123"/>
      <c r="AI127" s="125"/>
      <c r="AJ127" s="124"/>
      <c r="AK127" s="66" t="str">
        <f t="shared" si="46"/>
        <v/>
      </c>
      <c r="AL127" s="66">
        <f t="shared" si="63"/>
        <v>-46027</v>
      </c>
      <c r="AM127" s="64"/>
      <c r="AN127" s="111"/>
      <c r="AO127" s="114"/>
      <c r="AP127" s="123"/>
      <c r="AQ127" s="42"/>
      <c r="AR127" s="41"/>
      <c r="AS127" s="4" t="str">
        <f t="shared" si="47"/>
        <v/>
      </c>
      <c r="AT127" s="4">
        <f t="shared" si="64"/>
        <v>-46027</v>
      </c>
      <c r="AU127" s="19"/>
      <c r="AV127" s="38"/>
    </row>
    <row r="128" spans="2:48">
      <c r="B128" s="143"/>
      <c r="C128" s="128"/>
      <c r="D128" s="139"/>
      <c r="E128" s="140"/>
      <c r="G128" s="66" t="str">
        <f t="shared" si="56"/>
        <v/>
      </c>
      <c r="H128" s="66">
        <f t="shared" si="57"/>
        <v>-46027</v>
      </c>
      <c r="I128" s="115"/>
      <c r="J128" s="123"/>
      <c r="K128" s="124"/>
      <c r="L128" s="124"/>
      <c r="M128" s="66" t="str">
        <f t="shared" si="50"/>
        <v/>
      </c>
      <c r="N128" s="66">
        <f t="shared" si="58"/>
        <v>-46027</v>
      </c>
      <c r="O128" s="115"/>
      <c r="P128" s="115"/>
      <c r="Q128" s="116"/>
      <c r="R128" s="148"/>
      <c r="S128" s="124"/>
      <c r="T128" s="124"/>
      <c r="U128" s="66" t="str">
        <f t="shared" si="42"/>
        <v/>
      </c>
      <c r="V128" s="66">
        <f t="shared" si="61"/>
        <v>-46027</v>
      </c>
      <c r="W128" s="115"/>
      <c r="X128" s="116"/>
      <c r="Y128" s="115"/>
      <c r="Z128" s="126"/>
      <c r="AA128" s="124"/>
      <c r="AB128" s="124"/>
      <c r="AC128" s="66" t="str">
        <f t="shared" si="44"/>
        <v/>
      </c>
      <c r="AD128" s="130">
        <f t="shared" si="62"/>
        <v>-46027</v>
      </c>
      <c r="AE128" s="115"/>
      <c r="AF128" s="114"/>
      <c r="AG128" s="111"/>
      <c r="AH128" s="78"/>
      <c r="AI128" s="92"/>
      <c r="AJ128" s="70"/>
      <c r="AK128" s="66" t="str">
        <f t="shared" si="46"/>
        <v/>
      </c>
      <c r="AL128" s="66">
        <f t="shared" si="63"/>
        <v>-46027</v>
      </c>
      <c r="AM128" s="64"/>
      <c r="AN128" s="111"/>
      <c r="AO128" s="111"/>
      <c r="AP128" s="78"/>
      <c r="AQ128" s="43"/>
      <c r="AR128" s="8"/>
      <c r="AS128" s="4" t="str">
        <f t="shared" si="47"/>
        <v/>
      </c>
      <c r="AT128" s="4">
        <f t="shared" si="64"/>
        <v>-46027</v>
      </c>
      <c r="AU128" s="19"/>
      <c r="AV128" s="38"/>
    </row>
    <row r="129" spans="2:48">
      <c r="B129" s="131"/>
      <c r="C129" s="64"/>
      <c r="D129" s="78"/>
      <c r="E129" s="70"/>
      <c r="F129" s="121"/>
      <c r="G129" s="66" t="str">
        <f t="shared" si="56"/>
        <v/>
      </c>
      <c r="H129" s="66">
        <f t="shared" si="57"/>
        <v>-46027</v>
      </c>
      <c r="I129" s="64"/>
      <c r="J129" s="78"/>
      <c r="K129" s="70"/>
      <c r="L129" s="70"/>
      <c r="M129" s="66" t="str">
        <f t="shared" si="50"/>
        <v/>
      </c>
      <c r="N129" s="66">
        <f t="shared" si="58"/>
        <v>-46027</v>
      </c>
      <c r="O129" s="64"/>
      <c r="P129" s="64"/>
      <c r="Q129" s="127"/>
      <c r="R129" s="149"/>
      <c r="S129" s="70"/>
      <c r="T129" s="70"/>
      <c r="U129" s="66" t="str">
        <f t="shared" si="42"/>
        <v/>
      </c>
      <c r="V129" s="66">
        <f t="shared" si="61"/>
        <v>-46027</v>
      </c>
      <c r="W129" s="64"/>
      <c r="X129" s="127"/>
      <c r="Y129" s="64"/>
      <c r="Z129" s="120"/>
      <c r="AA129" s="70"/>
      <c r="AB129" s="70"/>
      <c r="AC129" s="66" t="str">
        <f t="shared" si="44"/>
        <v/>
      </c>
      <c r="AD129" s="130">
        <f t="shared" si="62"/>
        <v>-46027</v>
      </c>
      <c r="AE129" s="64"/>
      <c r="AF129" s="111"/>
      <c r="AG129" s="111"/>
      <c r="AH129" s="123"/>
      <c r="AI129" s="125"/>
      <c r="AJ129" s="124"/>
      <c r="AK129" s="66" t="str">
        <f t="shared" si="46"/>
        <v/>
      </c>
      <c r="AL129" s="66">
        <f t="shared" si="63"/>
        <v>-46027</v>
      </c>
      <c r="AM129" s="115"/>
      <c r="AN129" s="114"/>
      <c r="AO129" s="111"/>
      <c r="AP129" s="123"/>
      <c r="AQ129" s="42"/>
      <c r="AR129" s="41"/>
      <c r="AS129" s="4" t="str">
        <f t="shared" si="47"/>
        <v/>
      </c>
      <c r="AT129" s="4">
        <f t="shared" si="64"/>
        <v>-46027</v>
      </c>
      <c r="AU129" s="40"/>
      <c r="AV129" s="39"/>
    </row>
    <row r="130" spans="2:48">
      <c r="B130" s="143"/>
      <c r="C130" s="137"/>
      <c r="D130" s="134"/>
      <c r="E130" s="70"/>
      <c r="F130" s="145"/>
      <c r="G130" s="66" t="str">
        <f t="shared" si="56"/>
        <v/>
      </c>
      <c r="H130" s="66">
        <f t="shared" si="57"/>
        <v>-46027</v>
      </c>
      <c r="I130" s="141"/>
      <c r="J130" s="139"/>
      <c r="K130" s="140"/>
      <c r="L130" s="140"/>
      <c r="M130" s="66" t="str">
        <f t="shared" si="50"/>
        <v/>
      </c>
      <c r="N130" s="66">
        <f t="shared" si="58"/>
        <v>-46027</v>
      </c>
      <c r="O130" s="141"/>
      <c r="P130" s="141"/>
      <c r="R130" s="150"/>
      <c r="S130" s="140"/>
      <c r="T130" s="140"/>
      <c r="U130" s="66" t="str">
        <f t="shared" si="42"/>
        <v/>
      </c>
      <c r="V130" s="66">
        <f t="shared" si="61"/>
        <v>-46027</v>
      </c>
      <c r="W130" s="141"/>
      <c r="Y130" s="141"/>
      <c r="Z130" s="142"/>
      <c r="AA130" s="70"/>
      <c r="AB130" s="70"/>
      <c r="AC130" s="66" t="str">
        <f t="shared" si="44"/>
        <v/>
      </c>
      <c r="AD130" s="130">
        <f t="shared" si="62"/>
        <v>-46027</v>
      </c>
      <c r="AE130" s="64"/>
      <c r="AF130" s="111"/>
      <c r="AG130" s="114"/>
      <c r="AH130" s="78"/>
      <c r="AI130" s="92"/>
      <c r="AJ130" s="70"/>
      <c r="AK130" s="66" t="str">
        <f t="shared" si="46"/>
        <v/>
      </c>
      <c r="AL130" s="66">
        <f t="shared" si="63"/>
        <v>-46027</v>
      </c>
      <c r="AM130" s="64"/>
      <c r="AN130" s="111"/>
      <c r="AO130" s="114"/>
      <c r="AP130" s="78"/>
      <c r="AQ130" s="43"/>
      <c r="AR130" s="8"/>
      <c r="AS130" s="4" t="str">
        <f t="shared" si="47"/>
        <v/>
      </c>
      <c r="AT130" s="4">
        <f t="shared" si="64"/>
        <v>-46027</v>
      </c>
      <c r="AU130" s="19"/>
      <c r="AV130" s="38"/>
    </row>
    <row r="131" spans="2:48">
      <c r="B131" s="143"/>
      <c r="C131" s="64"/>
      <c r="D131" s="78"/>
      <c r="E131" s="92"/>
      <c r="F131" s="121"/>
      <c r="G131" s="66" t="str">
        <f t="shared" si="56"/>
        <v/>
      </c>
      <c r="H131" s="66">
        <f t="shared" si="57"/>
        <v>-46027</v>
      </c>
      <c r="I131" s="64"/>
      <c r="J131" s="78"/>
      <c r="K131" s="70"/>
      <c r="L131" s="70"/>
      <c r="M131" s="66" t="str">
        <f t="shared" si="50"/>
        <v/>
      </c>
      <c r="N131" s="66">
        <f t="shared" si="58"/>
        <v>-46027</v>
      </c>
      <c r="O131" s="64"/>
      <c r="P131" s="64"/>
      <c r="Q131" s="127"/>
      <c r="R131" s="149"/>
      <c r="S131" s="70"/>
      <c r="T131" s="70"/>
      <c r="U131" s="66" t="str">
        <f t="shared" si="42"/>
        <v/>
      </c>
      <c r="V131" s="66">
        <f t="shared" si="61"/>
        <v>-46027</v>
      </c>
      <c r="W131" s="64"/>
      <c r="X131" s="127"/>
      <c r="Y131" s="64"/>
      <c r="Z131" s="120"/>
      <c r="AA131" s="124"/>
      <c r="AB131" s="124"/>
      <c r="AC131" s="66" t="str">
        <f t="shared" si="44"/>
        <v/>
      </c>
      <c r="AD131" s="130">
        <f t="shared" si="62"/>
        <v>-46027</v>
      </c>
      <c r="AE131" s="115"/>
      <c r="AF131" s="114"/>
      <c r="AG131" s="111"/>
      <c r="AH131" s="78"/>
      <c r="AI131" s="92"/>
      <c r="AJ131" s="70"/>
      <c r="AK131" s="66" t="str">
        <f t="shared" si="46"/>
        <v/>
      </c>
      <c r="AL131" s="66">
        <f t="shared" si="63"/>
        <v>-46027</v>
      </c>
      <c r="AM131" s="64"/>
      <c r="AN131" s="111"/>
      <c r="AO131" s="111"/>
      <c r="AP131" s="78"/>
      <c r="AQ131" s="43"/>
      <c r="AR131" s="8"/>
      <c r="AS131" s="4" t="str">
        <f t="shared" si="47"/>
        <v/>
      </c>
      <c r="AT131" s="4">
        <f t="shared" si="64"/>
        <v>-46027</v>
      </c>
      <c r="AU131" s="19"/>
      <c r="AV131" s="38"/>
    </row>
    <row r="132" spans="2:48">
      <c r="B132" s="131"/>
      <c r="C132" s="127"/>
      <c r="D132" s="78"/>
      <c r="E132" s="92"/>
      <c r="F132" s="92"/>
      <c r="G132" s="66" t="str">
        <f t="shared" si="56"/>
        <v/>
      </c>
      <c r="H132" s="66">
        <f t="shared" si="57"/>
        <v>-46027</v>
      </c>
      <c r="I132" s="141"/>
      <c r="J132" s="139"/>
      <c r="K132" s="140"/>
      <c r="L132" s="140"/>
      <c r="M132" s="66" t="str">
        <f t="shared" si="50"/>
        <v/>
      </c>
      <c r="N132" s="66">
        <f t="shared" si="58"/>
        <v>-46027</v>
      </c>
      <c r="O132" s="141"/>
      <c r="P132" s="141"/>
      <c r="R132" s="150"/>
      <c r="S132" s="140"/>
      <c r="T132" s="140"/>
      <c r="U132" s="66" t="str">
        <f t="shared" si="42"/>
        <v/>
      </c>
      <c r="V132" s="66">
        <f t="shared" si="61"/>
        <v>-46027</v>
      </c>
      <c r="W132" s="141"/>
      <c r="Y132" s="141"/>
      <c r="Z132" s="142"/>
      <c r="AA132" s="140"/>
      <c r="AB132" s="140"/>
      <c r="AC132" s="66" t="str">
        <f t="shared" si="44"/>
        <v/>
      </c>
      <c r="AD132" s="130">
        <f t="shared" si="62"/>
        <v>-46027</v>
      </c>
      <c r="AE132" s="141"/>
      <c r="AF132" s="128"/>
      <c r="AG132" s="111"/>
      <c r="AH132" s="78"/>
      <c r="AI132" s="92"/>
      <c r="AJ132" s="70"/>
      <c r="AK132" s="66" t="str">
        <f t="shared" si="46"/>
        <v/>
      </c>
      <c r="AL132" s="66">
        <f t="shared" si="63"/>
        <v>-46027</v>
      </c>
      <c r="AM132" s="64"/>
      <c r="AN132" s="111"/>
      <c r="AO132" s="111"/>
      <c r="AP132" s="78"/>
      <c r="AQ132" s="43"/>
      <c r="AR132" s="8"/>
      <c r="AS132" s="4" t="str">
        <f t="shared" si="47"/>
        <v/>
      </c>
      <c r="AT132" s="4">
        <f t="shared" si="64"/>
        <v>-46027</v>
      </c>
      <c r="AU132" s="19"/>
      <c r="AV132" s="38"/>
    </row>
    <row r="133" spans="2:48">
      <c r="B133" s="131"/>
      <c r="D133" s="139"/>
      <c r="E133" s="129"/>
      <c r="F133" s="129"/>
      <c r="G133" s="66" t="str">
        <f t="shared" si="56"/>
        <v/>
      </c>
      <c r="H133" s="66">
        <f t="shared" si="57"/>
        <v>-46027</v>
      </c>
      <c r="I133" s="64"/>
      <c r="J133" s="78"/>
      <c r="K133" s="70"/>
      <c r="L133" s="70"/>
      <c r="M133" s="66" t="str">
        <f t="shared" si="50"/>
        <v/>
      </c>
      <c r="N133" s="66">
        <f t="shared" si="58"/>
        <v>-46027</v>
      </c>
      <c r="O133" s="64"/>
      <c r="P133" s="64"/>
      <c r="Q133" s="127"/>
      <c r="R133" s="149"/>
      <c r="S133" s="70"/>
      <c r="T133" s="70"/>
      <c r="U133" s="66" t="str">
        <f t="shared" si="42"/>
        <v/>
      </c>
      <c r="V133" s="66">
        <f t="shared" si="61"/>
        <v>-46027</v>
      </c>
      <c r="W133" s="64"/>
      <c r="X133" s="127"/>
      <c r="Y133" s="64"/>
      <c r="Z133" s="120"/>
      <c r="AA133" s="70"/>
      <c r="AB133" s="70"/>
      <c r="AC133" s="66" t="str">
        <f t="shared" si="44"/>
        <v/>
      </c>
      <c r="AD133" s="130">
        <f t="shared" si="62"/>
        <v>-46027</v>
      </c>
      <c r="AE133" s="64"/>
      <c r="AF133" s="111"/>
      <c r="AG133" s="111"/>
      <c r="AH133" s="78"/>
      <c r="AI133" s="92"/>
      <c r="AJ133" s="70"/>
      <c r="AK133" s="66" t="str">
        <f t="shared" si="46"/>
        <v/>
      </c>
      <c r="AL133" s="66">
        <f t="shared" si="63"/>
        <v>-46027</v>
      </c>
      <c r="AM133" s="64"/>
      <c r="AN133" s="111"/>
      <c r="AO133" s="111"/>
      <c r="AP133" s="78"/>
      <c r="AQ133" s="43"/>
      <c r="AR133" s="8"/>
      <c r="AS133" s="4" t="str">
        <f t="shared" si="47"/>
        <v/>
      </c>
      <c r="AT133" s="4">
        <f t="shared" si="64"/>
        <v>-46027</v>
      </c>
      <c r="AU133" s="19"/>
      <c r="AV133" s="38"/>
    </row>
    <row r="134" spans="2:48">
      <c r="B134" s="143"/>
      <c r="C134" s="146"/>
      <c r="D134" s="78"/>
      <c r="E134" s="92"/>
      <c r="F134" s="92"/>
      <c r="G134" s="66" t="str">
        <f t="shared" si="56"/>
        <v/>
      </c>
      <c r="H134" s="66">
        <f t="shared" si="57"/>
        <v>-46027</v>
      </c>
      <c r="I134" s="64"/>
      <c r="J134" s="78"/>
      <c r="K134" s="70"/>
      <c r="L134" s="70"/>
      <c r="M134" s="66" t="str">
        <f t="shared" si="50"/>
        <v/>
      </c>
      <c r="N134" s="66">
        <f t="shared" si="58"/>
        <v>-46027</v>
      </c>
      <c r="O134" s="64"/>
      <c r="P134" s="64"/>
      <c r="Q134" s="127"/>
      <c r="R134" s="149"/>
      <c r="S134" s="70"/>
      <c r="T134" s="70"/>
      <c r="U134" s="66" t="str">
        <f t="shared" si="42"/>
        <v/>
      </c>
      <c r="V134" s="66">
        <f t="shared" si="61"/>
        <v>-46027</v>
      </c>
      <c r="W134" s="64"/>
      <c r="X134" s="127"/>
      <c r="Y134" s="64"/>
      <c r="Z134" s="120"/>
      <c r="AA134" s="70"/>
      <c r="AB134" s="70"/>
      <c r="AC134" s="66" t="str">
        <f t="shared" si="44"/>
        <v/>
      </c>
      <c r="AD134" s="130">
        <f t="shared" si="62"/>
        <v>-46027</v>
      </c>
      <c r="AE134" s="64"/>
      <c r="AF134" s="111"/>
      <c r="AG134" s="111"/>
      <c r="AH134" s="123"/>
      <c r="AI134" s="129"/>
      <c r="AJ134" s="140"/>
      <c r="AK134" s="66" t="str">
        <f t="shared" si="46"/>
        <v/>
      </c>
      <c r="AL134" s="66">
        <f t="shared" si="63"/>
        <v>-46027</v>
      </c>
      <c r="AM134" s="141"/>
      <c r="AN134" s="111"/>
      <c r="AO134" s="111"/>
      <c r="AP134" s="123"/>
      <c r="AQ134" s="50"/>
      <c r="AR134" s="52"/>
      <c r="AS134" s="4" t="str">
        <f t="shared" si="47"/>
        <v/>
      </c>
      <c r="AT134" s="4">
        <f t="shared" si="64"/>
        <v>-46027</v>
      </c>
      <c r="AU134" s="54"/>
      <c r="AV134" s="38"/>
    </row>
    <row r="135" spans="2:48">
      <c r="B135" s="131"/>
      <c r="C135" s="111"/>
      <c r="D135" s="123"/>
      <c r="E135" s="125"/>
      <c r="F135" s="125"/>
      <c r="G135" s="66" t="str">
        <f t="shared" si="56"/>
        <v/>
      </c>
      <c r="H135" s="66"/>
      <c r="I135" s="64"/>
      <c r="J135" s="78"/>
      <c r="K135" s="70"/>
      <c r="L135" s="70"/>
      <c r="M135" s="66" t="str">
        <f t="shared" si="50"/>
        <v/>
      </c>
      <c r="N135" s="66">
        <f t="shared" si="58"/>
        <v>-46027</v>
      </c>
      <c r="O135" s="64"/>
      <c r="P135" s="64"/>
      <c r="Q135" s="127"/>
      <c r="R135" s="149"/>
      <c r="S135" s="70"/>
      <c r="T135" s="70"/>
      <c r="U135" s="66" t="str">
        <f t="shared" si="42"/>
        <v/>
      </c>
      <c r="V135" s="66">
        <f t="shared" si="61"/>
        <v>-46027</v>
      </c>
      <c r="W135" s="64"/>
      <c r="X135" s="127"/>
      <c r="Y135" s="64"/>
      <c r="Z135" s="120"/>
      <c r="AA135" s="70"/>
      <c r="AB135" s="70"/>
      <c r="AC135" s="66" t="str">
        <f t="shared" si="44"/>
        <v/>
      </c>
      <c r="AD135" s="130">
        <f t="shared" si="62"/>
        <v>-46027</v>
      </c>
      <c r="AE135" s="64"/>
      <c r="AF135" s="111"/>
      <c r="AG135" s="64"/>
      <c r="AH135" s="78"/>
      <c r="AI135" s="92"/>
      <c r="AJ135" s="70"/>
      <c r="AK135" s="66" t="str">
        <f t="shared" si="46"/>
        <v/>
      </c>
      <c r="AL135" s="66">
        <f t="shared" si="63"/>
        <v>-46027</v>
      </c>
      <c r="AM135" s="64"/>
      <c r="AN135" s="111"/>
      <c r="AO135" s="64"/>
      <c r="AP135" s="78"/>
      <c r="AQ135" s="43"/>
      <c r="AR135" s="8"/>
      <c r="AS135" s="4" t="str">
        <f t="shared" si="47"/>
        <v/>
      </c>
      <c r="AT135" s="4">
        <f t="shared" si="64"/>
        <v>-46027</v>
      </c>
      <c r="AU135" s="19"/>
      <c r="AV135" s="38"/>
    </row>
    <row r="136" spans="2:48">
      <c r="H136" s="66"/>
      <c r="AK136" s="128"/>
      <c r="AS136" s="36"/>
    </row>
  </sheetData>
  <mergeCells count="5">
    <mergeCell ref="O3:AF3"/>
    <mergeCell ref="O4:AF5"/>
    <mergeCell ref="O7:AF7"/>
    <mergeCell ref="O8:AF8"/>
    <mergeCell ref="O9:AF10"/>
  </mergeCells>
  <phoneticPr fontId="6" type="noConversion"/>
  <conditionalFormatting sqref="G3:H95 AC3:AD135 M3:N135 H96:H136 G96:G135 U3:V135">
    <cfRule type="cellIs" dxfId="26" priority="106" stopIfTrue="1" operator="equal">
      <formula>50</formula>
    </cfRule>
    <cfRule type="cellIs" dxfId="25" priority="107" stopIfTrue="1" operator="lessThan">
      <formula>50</formula>
    </cfRule>
    <cfRule type="cellIs" dxfId="24" priority="108" stopIfTrue="1" operator="greaterThan">
      <formula>50</formula>
    </cfRule>
  </conditionalFormatting>
  <conditionalFormatting sqref="AD3:AD135 N3:N135 H3:H136 V3:V135">
    <cfRule type="cellIs" dxfId="23" priority="100" stopIfTrue="1" operator="between">
      <formula>15</formula>
      <formula>20</formula>
    </cfRule>
    <cfRule type="cellIs" dxfId="22" priority="101" stopIfTrue="1" operator="lessThan">
      <formula>15</formula>
    </cfRule>
    <cfRule type="cellIs" dxfId="21" priority="102" stopIfTrue="1" operator="greaterThan">
      <formula>20</formula>
    </cfRule>
    <cfRule type="cellIs" dxfId="20" priority="103" stopIfTrue="1" operator="between">
      <formula>15</formula>
      <formula>20</formula>
    </cfRule>
    <cfRule type="cellIs" dxfId="19" priority="104" stopIfTrue="1" operator="lessThan">
      <formula>15</formula>
    </cfRule>
    <cfRule type="cellIs" dxfId="18" priority="105" stopIfTrue="1" operator="greaterThan">
      <formula>20</formula>
    </cfRule>
  </conditionalFormatting>
  <conditionalFormatting sqref="AK3:AL135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AL3:AL135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AS3:AT135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AT3:AT135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2026-01-22T11:44:09Z</dcterms:modified>
</cp:coreProperties>
</file>