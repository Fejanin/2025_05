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52511" calcMode="manual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2" i="1"/>
  <c r="H92"/>
  <c r="H71" l="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<sst xmlns="http://schemas.openxmlformats.org/spreadsheetml/2006/main" count="191" uniqueCount="98">
  <si>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</si>
  <si>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</si>
  <si>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</si>
  <si>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</si>
  <si>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</si>
  <si>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</si>
  <si>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</si>
  <si>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</si>
  <si>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</si>
  <si>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</si>
  <si>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</si>
  <si>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</si>
  <si>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</si>
  <si>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</si>
  <si>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</si>
  <si>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</si>
  <si>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</si>
  <si>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</si>
  <si>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</si>
  <si>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</si>
  <si>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</si>
  <si>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</si>
  <si>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</si>
  <si>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</si>
  <si>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</si>
  <si>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</si>
  <si>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</si>
  <si>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</si>
  <si>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</si>
  <si>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</si>
  <si>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</si>
  <si>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</si>
  <si>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</si>
  <si>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</si>
  <si>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</si>
  <si>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</si>
  <si>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</si>
  <si>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</si>
  <si>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</si>
  <si>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</si>
  <si>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</si>
  <si>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</si>
  <si>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</si>
  <si>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</si>
  <si>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</si>
  <si>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</si>
  <si>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</si>
  <si>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</si>
  <si>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</si>
  <si>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</si>
  <si>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</si>
  <si>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</si>
  <si>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</si>
  <si>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</si>
  <si>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</si>
  <si>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</si>
  <si>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</si>
  <si>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</si>
  <si>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</si>
  <si>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</si>
  <si>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</si>
  <si>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</si>
  <si>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</si>
  <si>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</si>
  <si>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</si>
  <si>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</si>
  <si>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</si>
  <si>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</si>
  <si>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</si>
  <si>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</si>
  <si>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</si>
  <si>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</si>
  <si>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</si>
  <si>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</si>
  <si>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</si>
  <si>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</si>
  <si>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</si>
  <si>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7149 БАЛЫКОВАЯ Коровино п/к в/у 0,84кг_50с  Останкино, 1001303637149</t>
  </si>
  <si>
    <t>7131 БАЛЫКОВАЯ в/к в/у 0,84кг  Останкино, 1001303637131</t>
  </si>
  <si>
    <t>6527 ШПИКАЧКИ СОЧНЫЕ ПМ сар б/о мгс 1*3 45с ОСТАНКИНО, 1001031076527</t>
  </si>
  <si>
    <t>кгг</t>
  </si>
  <si>
    <t>6608 С ГОВЯДИНОЙ ОРИГИН. сар б/о мгс 1*3_45с  ОСТАНКИНО, 1001033856608</t>
  </si>
  <si>
    <t>7082 СЛИВОЧНЫЕ ПМ сос п/о мгс 1,5*4_50с  Останкино, 1001022467082</t>
  </si>
  <si>
    <t>35.746</t>
  </si>
  <si>
    <t>7001 КЛАССИЧЕСКИЕ Папа может сар б/о мгс 1*3  Останкино, 1001035937001</t>
  </si>
  <si>
    <t>13.660</t>
  </si>
  <si>
    <t>7073 МОЛОЧ.ПРЕМИУМ ПМ сос п/о в/у 1/350_50с  Останкино, 1001022657073</t>
  </si>
  <si>
    <t>6765 РУБЛЕНЫЕ сос ц/о мгс 0,36кг 6шт  Останкино, 1001023696765</t>
  </si>
  <si>
    <t>6787 СЕРВЕЛАТ КРЕМЛЕВСКИЙ в/к в/у 0,33кг 8шт  Останкино, 1001300456787</t>
  </si>
  <si>
    <t>6791 СЕРВЕЛАТ ПРЕМИУМ в/к в/у 0,33кг 8шт  Останкино, 1001304096791</t>
  </si>
  <si>
    <t>6807 СЕРВЕЛАТ ЕВРОПЕЙСКИЙ в/к в/у 0,33кг 8шт  Останкино, 1001300366807</t>
  </si>
  <si>
    <t>С ИНДЕЙКОЙ Папа может вар п/о 0,4кг 8шт. Останкино, 1001015026797</t>
  </si>
  <si>
    <t>7333 СЕРВЕЛАТ ОХОТНИЧИЙ ПМ в/к в/у 0,28кг ОСТАНКИНО, 1001303987333</t>
  </si>
  <si>
    <t>6829  МОЛОЧНЫЕ КЛАССИЧЕСКИЕ сос п/о мгс 2*4 С  Останккино, 1001024976829</t>
  </si>
  <si>
    <t>7284 ДЛЯ ДЕТЕЙ сос п/о мгс 0,33кг 6шт  Останкино, 1001025767284</t>
  </si>
  <si>
    <t>6303 Мясные Папа может сос п/о мгс 1,5*3  Останкино, 1001022726303</t>
  </si>
  <si>
    <t>Сыр ПАПА МОЖЕТ "Тильзитер" фасованный массовая доля жира в сухом веществе 45%, 180г  Останкино, 5038398</t>
  </si>
  <si>
    <t>Сыр полутвердый "Голландский" с массовой долей жира в пересчете на сухое  Останкино, 8785235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</si>
</sst>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2" xfId="2" applyNumberFormat="1" applyFont="1" applyBorder="1" applyAlignment="1">
      <alignment vertical="top" wrapText="1" indent="6"/>
    </xf>
    <xf numFmtId="1" fontId="6" fillId="0" borderId="5" xfId="1" applyNumberFormat="1" applyFont="1" applyBorder="1" applyAlignment="1">
      <alignment horizontal="center" vertical="center"/>
    </xf>
    <xf numFmtId="0" fontId="7" fillId="5" borderId="2" xfId="2" applyFill="1" applyBorder="1" applyAlignment="1">
      <alignment vertical="top" wrapText="1" indent="4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6" fontId="7" fillId="5" borderId="2" xfId="2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6" fontId="7" fillId="0" borderId="2" xfId="2" applyNumberFormat="1" applyBorder="1" applyAlignment="1">
      <alignment horizontal="center" vertical="center"/>
    </xf>
    <xf numFmtId="167" fontId="7" fillId="0" borderId="2" xfId="2" applyNumberForma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16" fontId="4" fillId="3" borderId="1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6" fontId="7" fillId="0" borderId="4" xfId="2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110"/>
  <sheetViews>
    <sheetView tabSelected="1" topLeftCell="A77" zoomScale="85" zoomScaleNormal="85" workbookViewId="0">
      <pane xSplit="2" topLeftCell="C1" activePane="topRight" state="frozen"/>
      <selection activeCell="A2" sqref="A2"/>
      <selection pane="topRight" activeCell="F98" sqref="F98"/>
    </sheetView>
  </sheetViews>
  <sheetFormatPr defaultColWidth="8.85546875" defaultRowHeight="15"/>
  <cols>
    <col min="1" max="1" width="3.85546875" style="1" customWidth="1"/>
    <col min="2" max="2" width="44.7109375" style="1" customWidth="1"/>
    <col min="3" max="3" width="4.85546875" style="11" customWidth="1"/>
    <col min="4" max="4" width="9" style="11" customWidth="1"/>
    <col min="5" max="5" width="12.7109375" style="12" customWidth="1"/>
    <col min="6" max="6" width="10.5703125" style="12" customWidth="1"/>
    <col min="7" max="7" width="13.28515625" style="11" customWidth="1"/>
    <col min="8" max="8" width="13" style="11" customWidth="1"/>
    <col min="9" max="20" width="23.42578125" style="11" customWidth="1"/>
    <col min="21" max="86" width="8.85546875" style="1"/>
    <col min="87" max="87" width="4" style="1" customWidth="1"/>
    <col min="88" max="88" width="59.7109375" style="1" customWidth="1"/>
    <col min="89" max="89" width="4.85546875" style="1" customWidth="1"/>
    <col min="90" max="90" width="9" style="1" customWidth="1"/>
    <col min="91" max="91" width="15.85546875" style="1" customWidth="1"/>
    <col min="92" max="92" width="15.7109375" style="1" customWidth="1"/>
    <col min="93" max="93" width="15.42578125" style="1" customWidth="1"/>
    <col min="94" max="94" width="17.140625" style="1" customWidth="1"/>
    <col min="95" max="95" width="37.85546875" style="1" customWidth="1"/>
    <col min="96" max="96" width="36.5703125" style="1" customWidth="1"/>
    <col min="97" max="97" width="29.42578125" style="1" customWidth="1"/>
    <col min="98" max="342" width="8.85546875" style="1"/>
    <col min="343" max="343" width="4" style="1" customWidth="1"/>
    <col min="344" max="344" width="59.7109375" style="1" customWidth="1"/>
    <col min="345" max="345" width="4.85546875" style="1" customWidth="1"/>
    <col min="346" max="346" width="9" style="1" customWidth="1"/>
    <col min="347" max="347" width="15.85546875" style="1" customWidth="1"/>
    <col min="348" max="348" width="15.7109375" style="1" customWidth="1"/>
    <col min="349" max="349" width="15.42578125" style="1" customWidth="1"/>
    <col min="350" max="350" width="17.140625" style="1" customWidth="1"/>
    <col min="351" max="351" width="37.85546875" style="1" customWidth="1"/>
    <col min="352" max="352" width="36.5703125" style="1" customWidth="1"/>
    <col min="353" max="353" width="29.42578125" style="1" customWidth="1"/>
    <col min="354" max="598" width="8.85546875" style="1"/>
    <col min="599" max="599" width="4" style="1" customWidth="1"/>
    <col min="600" max="600" width="59.7109375" style="1" customWidth="1"/>
    <col min="601" max="601" width="4.85546875" style="1" customWidth="1"/>
    <col min="602" max="602" width="9" style="1" customWidth="1"/>
    <col min="603" max="603" width="15.85546875" style="1" customWidth="1"/>
    <col min="604" max="604" width="15.7109375" style="1" customWidth="1"/>
    <col min="605" max="605" width="15.42578125" style="1" customWidth="1"/>
    <col min="606" max="606" width="17.140625" style="1" customWidth="1"/>
    <col min="607" max="607" width="37.85546875" style="1" customWidth="1"/>
    <col min="608" max="608" width="36.5703125" style="1" customWidth="1"/>
    <col min="609" max="609" width="29.42578125" style="1" customWidth="1"/>
    <col min="610" max="854" width="8.85546875" style="1"/>
    <col min="855" max="855" width="4" style="1" customWidth="1"/>
    <col min="856" max="856" width="59.7109375" style="1" customWidth="1"/>
    <col min="857" max="857" width="4.85546875" style="1" customWidth="1"/>
    <col min="858" max="858" width="9" style="1" customWidth="1"/>
    <col min="859" max="859" width="15.85546875" style="1" customWidth="1"/>
    <col min="860" max="860" width="15.7109375" style="1" customWidth="1"/>
    <col min="861" max="861" width="15.42578125" style="1" customWidth="1"/>
    <col min="862" max="862" width="17.140625" style="1" customWidth="1"/>
    <col min="863" max="863" width="37.85546875" style="1" customWidth="1"/>
    <col min="864" max="864" width="36.5703125" style="1" customWidth="1"/>
    <col min="865" max="865" width="29.42578125" style="1" customWidth="1"/>
    <col min="866" max="1110" width="8.85546875" style="1"/>
    <col min="1111" max="1111" width="4" style="1" customWidth="1"/>
    <col min="1112" max="1112" width="59.7109375" style="1" customWidth="1"/>
    <col min="1113" max="1113" width="4.85546875" style="1" customWidth="1"/>
    <col min="1114" max="1114" width="9" style="1" customWidth="1"/>
    <col min="1115" max="1115" width="15.85546875" style="1" customWidth="1"/>
    <col min="1116" max="1116" width="15.7109375" style="1" customWidth="1"/>
    <col min="1117" max="1117" width="15.42578125" style="1" customWidth="1"/>
    <col min="1118" max="1118" width="17.140625" style="1" customWidth="1"/>
    <col min="1119" max="1119" width="37.85546875" style="1" customWidth="1"/>
    <col min="1120" max="1120" width="36.5703125" style="1" customWidth="1"/>
    <col min="1121" max="1121" width="29.42578125" style="1" customWidth="1"/>
    <col min="1122" max="1366" width="8.85546875" style="1"/>
    <col min="1367" max="1367" width="4" style="1" customWidth="1"/>
    <col min="1368" max="1368" width="59.7109375" style="1" customWidth="1"/>
    <col min="1369" max="1369" width="4.85546875" style="1" customWidth="1"/>
    <col min="1370" max="1370" width="9" style="1" customWidth="1"/>
    <col min="1371" max="1371" width="15.85546875" style="1" customWidth="1"/>
    <col min="1372" max="1372" width="15.7109375" style="1" customWidth="1"/>
    <col min="1373" max="1373" width="15.42578125" style="1" customWidth="1"/>
    <col min="1374" max="1374" width="17.140625" style="1" customWidth="1"/>
    <col min="1375" max="1375" width="37.85546875" style="1" customWidth="1"/>
    <col min="1376" max="1376" width="36.5703125" style="1" customWidth="1"/>
    <col min="1377" max="1377" width="29.42578125" style="1" customWidth="1"/>
    <col min="1378" max="1622" width="8.85546875" style="1"/>
    <col min="1623" max="1623" width="4" style="1" customWidth="1"/>
    <col min="1624" max="1624" width="59.7109375" style="1" customWidth="1"/>
    <col min="1625" max="1625" width="4.85546875" style="1" customWidth="1"/>
    <col min="1626" max="1626" width="9" style="1" customWidth="1"/>
    <col min="1627" max="1627" width="15.85546875" style="1" customWidth="1"/>
    <col min="1628" max="1628" width="15.7109375" style="1" customWidth="1"/>
    <col min="1629" max="1629" width="15.42578125" style="1" customWidth="1"/>
    <col min="1630" max="1630" width="17.140625" style="1" customWidth="1"/>
    <col min="1631" max="1631" width="37.85546875" style="1" customWidth="1"/>
    <col min="1632" max="1632" width="36.5703125" style="1" customWidth="1"/>
    <col min="1633" max="1633" width="29.42578125" style="1" customWidth="1"/>
    <col min="1634" max="1878" width="8.85546875" style="1"/>
    <col min="1879" max="1879" width="4" style="1" customWidth="1"/>
    <col min="1880" max="1880" width="59.7109375" style="1" customWidth="1"/>
    <col min="1881" max="1881" width="4.85546875" style="1" customWidth="1"/>
    <col min="1882" max="1882" width="9" style="1" customWidth="1"/>
    <col min="1883" max="1883" width="15.85546875" style="1" customWidth="1"/>
    <col min="1884" max="1884" width="15.7109375" style="1" customWidth="1"/>
    <col min="1885" max="1885" width="15.42578125" style="1" customWidth="1"/>
    <col min="1886" max="1886" width="17.140625" style="1" customWidth="1"/>
    <col min="1887" max="1887" width="37.85546875" style="1" customWidth="1"/>
    <col min="1888" max="1888" width="36.5703125" style="1" customWidth="1"/>
    <col min="1889" max="1889" width="29.42578125" style="1" customWidth="1"/>
    <col min="1890" max="2134" width="8.85546875" style="1"/>
    <col min="2135" max="2135" width="4" style="1" customWidth="1"/>
    <col min="2136" max="2136" width="59.7109375" style="1" customWidth="1"/>
    <col min="2137" max="2137" width="4.85546875" style="1" customWidth="1"/>
    <col min="2138" max="2138" width="9" style="1" customWidth="1"/>
    <col min="2139" max="2139" width="15.85546875" style="1" customWidth="1"/>
    <col min="2140" max="2140" width="15.7109375" style="1" customWidth="1"/>
    <col min="2141" max="2141" width="15.42578125" style="1" customWidth="1"/>
    <col min="2142" max="2142" width="17.140625" style="1" customWidth="1"/>
    <col min="2143" max="2143" width="37.85546875" style="1" customWidth="1"/>
    <col min="2144" max="2144" width="36.5703125" style="1" customWidth="1"/>
    <col min="2145" max="2145" width="29.42578125" style="1" customWidth="1"/>
    <col min="2146" max="2390" width="8.85546875" style="1"/>
    <col min="2391" max="2391" width="4" style="1" customWidth="1"/>
    <col min="2392" max="2392" width="59.7109375" style="1" customWidth="1"/>
    <col min="2393" max="2393" width="4.85546875" style="1" customWidth="1"/>
    <col min="2394" max="2394" width="9" style="1" customWidth="1"/>
    <col min="2395" max="2395" width="15.85546875" style="1" customWidth="1"/>
    <col min="2396" max="2396" width="15.7109375" style="1" customWidth="1"/>
    <col min="2397" max="2397" width="15.42578125" style="1" customWidth="1"/>
    <col min="2398" max="2398" width="17.140625" style="1" customWidth="1"/>
    <col min="2399" max="2399" width="37.85546875" style="1" customWidth="1"/>
    <col min="2400" max="2400" width="36.5703125" style="1" customWidth="1"/>
    <col min="2401" max="2401" width="29.42578125" style="1" customWidth="1"/>
    <col min="2402" max="2646" width="8.85546875" style="1"/>
    <col min="2647" max="2647" width="4" style="1" customWidth="1"/>
    <col min="2648" max="2648" width="59.7109375" style="1" customWidth="1"/>
    <col min="2649" max="2649" width="4.85546875" style="1" customWidth="1"/>
    <col min="2650" max="2650" width="9" style="1" customWidth="1"/>
    <col min="2651" max="2651" width="15.85546875" style="1" customWidth="1"/>
    <col min="2652" max="2652" width="15.7109375" style="1" customWidth="1"/>
    <col min="2653" max="2653" width="15.42578125" style="1" customWidth="1"/>
    <col min="2654" max="2654" width="17.140625" style="1" customWidth="1"/>
    <col min="2655" max="2655" width="37.85546875" style="1" customWidth="1"/>
    <col min="2656" max="2656" width="36.5703125" style="1" customWidth="1"/>
    <col min="2657" max="2657" width="29.42578125" style="1" customWidth="1"/>
    <col min="2658" max="2902" width="8.85546875" style="1"/>
    <col min="2903" max="2903" width="4" style="1" customWidth="1"/>
    <col min="2904" max="2904" width="59.7109375" style="1" customWidth="1"/>
    <col min="2905" max="2905" width="4.85546875" style="1" customWidth="1"/>
    <col min="2906" max="2906" width="9" style="1" customWidth="1"/>
    <col min="2907" max="2907" width="15.85546875" style="1" customWidth="1"/>
    <col min="2908" max="2908" width="15.7109375" style="1" customWidth="1"/>
    <col min="2909" max="2909" width="15.42578125" style="1" customWidth="1"/>
    <col min="2910" max="2910" width="17.140625" style="1" customWidth="1"/>
    <col min="2911" max="2911" width="37.85546875" style="1" customWidth="1"/>
    <col min="2912" max="2912" width="36.5703125" style="1" customWidth="1"/>
    <col min="2913" max="2913" width="29.42578125" style="1" customWidth="1"/>
    <col min="2914" max="3158" width="8.85546875" style="1"/>
    <col min="3159" max="3159" width="4" style="1" customWidth="1"/>
    <col min="3160" max="3160" width="59.7109375" style="1" customWidth="1"/>
    <col min="3161" max="3161" width="4.85546875" style="1" customWidth="1"/>
    <col min="3162" max="3162" width="9" style="1" customWidth="1"/>
    <col min="3163" max="3163" width="15.85546875" style="1" customWidth="1"/>
    <col min="3164" max="3164" width="15.7109375" style="1" customWidth="1"/>
    <col min="3165" max="3165" width="15.42578125" style="1" customWidth="1"/>
    <col min="3166" max="3166" width="17.140625" style="1" customWidth="1"/>
    <col min="3167" max="3167" width="37.85546875" style="1" customWidth="1"/>
    <col min="3168" max="3168" width="36.5703125" style="1" customWidth="1"/>
    <col min="3169" max="3169" width="29.42578125" style="1" customWidth="1"/>
    <col min="3170" max="3414" width="8.85546875" style="1"/>
    <col min="3415" max="3415" width="4" style="1" customWidth="1"/>
    <col min="3416" max="3416" width="59.7109375" style="1" customWidth="1"/>
    <col min="3417" max="3417" width="4.85546875" style="1" customWidth="1"/>
    <col min="3418" max="3418" width="9" style="1" customWidth="1"/>
    <col min="3419" max="3419" width="15.85546875" style="1" customWidth="1"/>
    <col min="3420" max="3420" width="15.7109375" style="1" customWidth="1"/>
    <col min="3421" max="3421" width="15.42578125" style="1" customWidth="1"/>
    <col min="3422" max="3422" width="17.140625" style="1" customWidth="1"/>
    <col min="3423" max="3423" width="37.85546875" style="1" customWidth="1"/>
    <col min="3424" max="3424" width="36.5703125" style="1" customWidth="1"/>
    <col min="3425" max="3425" width="29.42578125" style="1" customWidth="1"/>
    <col min="3426" max="3670" width="8.85546875" style="1"/>
    <col min="3671" max="3671" width="4" style="1" customWidth="1"/>
    <col min="3672" max="3672" width="59.7109375" style="1" customWidth="1"/>
    <col min="3673" max="3673" width="4.85546875" style="1" customWidth="1"/>
    <col min="3674" max="3674" width="9" style="1" customWidth="1"/>
    <col min="3675" max="3675" width="15.85546875" style="1" customWidth="1"/>
    <col min="3676" max="3676" width="15.7109375" style="1" customWidth="1"/>
    <col min="3677" max="3677" width="15.42578125" style="1" customWidth="1"/>
    <col min="3678" max="3678" width="17.140625" style="1" customWidth="1"/>
    <col min="3679" max="3679" width="37.85546875" style="1" customWidth="1"/>
    <col min="3680" max="3680" width="36.5703125" style="1" customWidth="1"/>
    <col min="3681" max="3681" width="29.42578125" style="1" customWidth="1"/>
    <col min="3682" max="3926" width="8.85546875" style="1"/>
    <col min="3927" max="3927" width="4" style="1" customWidth="1"/>
    <col min="3928" max="3928" width="59.7109375" style="1" customWidth="1"/>
    <col min="3929" max="3929" width="4.85546875" style="1" customWidth="1"/>
    <col min="3930" max="3930" width="9" style="1" customWidth="1"/>
    <col min="3931" max="3931" width="15.85546875" style="1" customWidth="1"/>
    <col min="3932" max="3932" width="15.7109375" style="1" customWidth="1"/>
    <col min="3933" max="3933" width="15.42578125" style="1" customWidth="1"/>
    <col min="3934" max="3934" width="17.140625" style="1" customWidth="1"/>
    <col min="3935" max="3935" width="37.85546875" style="1" customWidth="1"/>
    <col min="3936" max="3936" width="36.5703125" style="1" customWidth="1"/>
    <col min="3937" max="3937" width="29.42578125" style="1" customWidth="1"/>
    <col min="3938" max="4182" width="8.85546875" style="1"/>
    <col min="4183" max="4183" width="4" style="1" customWidth="1"/>
    <col min="4184" max="4184" width="59.7109375" style="1" customWidth="1"/>
    <col min="4185" max="4185" width="4.85546875" style="1" customWidth="1"/>
    <col min="4186" max="4186" width="9" style="1" customWidth="1"/>
    <col min="4187" max="4187" width="15.85546875" style="1" customWidth="1"/>
    <col min="4188" max="4188" width="15.7109375" style="1" customWidth="1"/>
    <col min="4189" max="4189" width="15.42578125" style="1" customWidth="1"/>
    <col min="4190" max="4190" width="17.140625" style="1" customWidth="1"/>
    <col min="4191" max="4191" width="37.85546875" style="1" customWidth="1"/>
    <col min="4192" max="4192" width="36.5703125" style="1" customWidth="1"/>
    <col min="4193" max="4193" width="29.42578125" style="1" customWidth="1"/>
    <col min="4194" max="4438" width="8.85546875" style="1"/>
    <col min="4439" max="4439" width="4" style="1" customWidth="1"/>
    <col min="4440" max="4440" width="59.7109375" style="1" customWidth="1"/>
    <col min="4441" max="4441" width="4.85546875" style="1" customWidth="1"/>
    <col min="4442" max="4442" width="9" style="1" customWidth="1"/>
    <col min="4443" max="4443" width="15.85546875" style="1" customWidth="1"/>
    <col min="4444" max="4444" width="15.7109375" style="1" customWidth="1"/>
    <col min="4445" max="4445" width="15.42578125" style="1" customWidth="1"/>
    <col min="4446" max="4446" width="17.140625" style="1" customWidth="1"/>
    <col min="4447" max="4447" width="37.85546875" style="1" customWidth="1"/>
    <col min="4448" max="4448" width="36.5703125" style="1" customWidth="1"/>
    <col min="4449" max="4449" width="29.42578125" style="1" customWidth="1"/>
    <col min="4450" max="4694" width="8.85546875" style="1"/>
    <col min="4695" max="4695" width="4" style="1" customWidth="1"/>
    <col min="4696" max="4696" width="59.7109375" style="1" customWidth="1"/>
    <col min="4697" max="4697" width="4.85546875" style="1" customWidth="1"/>
    <col min="4698" max="4698" width="9" style="1" customWidth="1"/>
    <col min="4699" max="4699" width="15.85546875" style="1" customWidth="1"/>
    <col min="4700" max="4700" width="15.7109375" style="1" customWidth="1"/>
    <col min="4701" max="4701" width="15.42578125" style="1" customWidth="1"/>
    <col min="4702" max="4702" width="17.140625" style="1" customWidth="1"/>
    <col min="4703" max="4703" width="37.85546875" style="1" customWidth="1"/>
    <col min="4704" max="4704" width="36.5703125" style="1" customWidth="1"/>
    <col min="4705" max="4705" width="29.42578125" style="1" customWidth="1"/>
    <col min="4706" max="4950" width="8.85546875" style="1"/>
    <col min="4951" max="4951" width="4" style="1" customWidth="1"/>
    <col min="4952" max="4952" width="59.7109375" style="1" customWidth="1"/>
    <col min="4953" max="4953" width="4.85546875" style="1" customWidth="1"/>
    <col min="4954" max="4954" width="9" style="1" customWidth="1"/>
    <col min="4955" max="4955" width="15.85546875" style="1" customWidth="1"/>
    <col min="4956" max="4956" width="15.7109375" style="1" customWidth="1"/>
    <col min="4957" max="4957" width="15.42578125" style="1" customWidth="1"/>
    <col min="4958" max="4958" width="17.140625" style="1" customWidth="1"/>
    <col min="4959" max="4959" width="37.85546875" style="1" customWidth="1"/>
    <col min="4960" max="4960" width="36.5703125" style="1" customWidth="1"/>
    <col min="4961" max="4961" width="29.42578125" style="1" customWidth="1"/>
    <col min="4962" max="5206" width="8.85546875" style="1"/>
    <col min="5207" max="5207" width="4" style="1" customWidth="1"/>
    <col min="5208" max="5208" width="59.7109375" style="1" customWidth="1"/>
    <col min="5209" max="5209" width="4.85546875" style="1" customWidth="1"/>
    <col min="5210" max="5210" width="9" style="1" customWidth="1"/>
    <col min="5211" max="5211" width="15.85546875" style="1" customWidth="1"/>
    <col min="5212" max="5212" width="15.7109375" style="1" customWidth="1"/>
    <col min="5213" max="5213" width="15.42578125" style="1" customWidth="1"/>
    <col min="5214" max="5214" width="17.140625" style="1" customWidth="1"/>
    <col min="5215" max="5215" width="37.85546875" style="1" customWidth="1"/>
    <col min="5216" max="5216" width="36.5703125" style="1" customWidth="1"/>
    <col min="5217" max="5217" width="29.42578125" style="1" customWidth="1"/>
    <col min="5218" max="5462" width="8.85546875" style="1"/>
    <col min="5463" max="5463" width="4" style="1" customWidth="1"/>
    <col min="5464" max="5464" width="59.7109375" style="1" customWidth="1"/>
    <col min="5465" max="5465" width="4.85546875" style="1" customWidth="1"/>
    <col min="5466" max="5466" width="9" style="1" customWidth="1"/>
    <col min="5467" max="5467" width="15.85546875" style="1" customWidth="1"/>
    <col min="5468" max="5468" width="15.7109375" style="1" customWidth="1"/>
    <col min="5469" max="5469" width="15.42578125" style="1" customWidth="1"/>
    <col min="5470" max="5470" width="17.140625" style="1" customWidth="1"/>
    <col min="5471" max="5471" width="37.85546875" style="1" customWidth="1"/>
    <col min="5472" max="5472" width="36.5703125" style="1" customWidth="1"/>
    <col min="5473" max="5473" width="29.42578125" style="1" customWidth="1"/>
    <col min="5474" max="5718" width="8.85546875" style="1"/>
    <col min="5719" max="5719" width="4" style="1" customWidth="1"/>
    <col min="5720" max="5720" width="59.7109375" style="1" customWidth="1"/>
    <col min="5721" max="5721" width="4.85546875" style="1" customWidth="1"/>
    <col min="5722" max="5722" width="9" style="1" customWidth="1"/>
    <col min="5723" max="5723" width="15.85546875" style="1" customWidth="1"/>
    <col min="5724" max="5724" width="15.7109375" style="1" customWidth="1"/>
    <col min="5725" max="5725" width="15.42578125" style="1" customWidth="1"/>
    <col min="5726" max="5726" width="17.140625" style="1" customWidth="1"/>
    <col min="5727" max="5727" width="37.85546875" style="1" customWidth="1"/>
    <col min="5728" max="5728" width="36.5703125" style="1" customWidth="1"/>
    <col min="5729" max="5729" width="29.42578125" style="1" customWidth="1"/>
    <col min="5730" max="5974" width="8.85546875" style="1"/>
    <col min="5975" max="5975" width="4" style="1" customWidth="1"/>
    <col min="5976" max="5976" width="59.7109375" style="1" customWidth="1"/>
    <col min="5977" max="5977" width="4.85546875" style="1" customWidth="1"/>
    <col min="5978" max="5978" width="9" style="1" customWidth="1"/>
    <col min="5979" max="5979" width="15.85546875" style="1" customWidth="1"/>
    <col min="5980" max="5980" width="15.7109375" style="1" customWidth="1"/>
    <col min="5981" max="5981" width="15.42578125" style="1" customWidth="1"/>
    <col min="5982" max="5982" width="17.140625" style="1" customWidth="1"/>
    <col min="5983" max="5983" width="37.85546875" style="1" customWidth="1"/>
    <col min="5984" max="5984" width="36.5703125" style="1" customWidth="1"/>
    <col min="5985" max="5985" width="29.42578125" style="1" customWidth="1"/>
    <col min="5986" max="6230" width="8.85546875" style="1"/>
    <col min="6231" max="6231" width="4" style="1" customWidth="1"/>
    <col min="6232" max="6232" width="59.7109375" style="1" customWidth="1"/>
    <col min="6233" max="6233" width="4.85546875" style="1" customWidth="1"/>
    <col min="6234" max="6234" width="9" style="1" customWidth="1"/>
    <col min="6235" max="6235" width="15.85546875" style="1" customWidth="1"/>
    <col min="6236" max="6236" width="15.7109375" style="1" customWidth="1"/>
    <col min="6237" max="6237" width="15.42578125" style="1" customWidth="1"/>
    <col min="6238" max="6238" width="17.140625" style="1" customWidth="1"/>
    <col min="6239" max="6239" width="37.85546875" style="1" customWidth="1"/>
    <col min="6240" max="6240" width="36.5703125" style="1" customWidth="1"/>
    <col min="6241" max="6241" width="29.42578125" style="1" customWidth="1"/>
    <col min="6242" max="6486" width="8.85546875" style="1"/>
    <col min="6487" max="6487" width="4" style="1" customWidth="1"/>
    <col min="6488" max="6488" width="59.7109375" style="1" customWidth="1"/>
    <col min="6489" max="6489" width="4.85546875" style="1" customWidth="1"/>
    <col min="6490" max="6490" width="9" style="1" customWidth="1"/>
    <col min="6491" max="6491" width="15.85546875" style="1" customWidth="1"/>
    <col min="6492" max="6492" width="15.7109375" style="1" customWidth="1"/>
    <col min="6493" max="6493" width="15.42578125" style="1" customWidth="1"/>
    <col min="6494" max="6494" width="17.140625" style="1" customWidth="1"/>
    <col min="6495" max="6495" width="37.85546875" style="1" customWidth="1"/>
    <col min="6496" max="6496" width="36.5703125" style="1" customWidth="1"/>
    <col min="6497" max="6497" width="29.42578125" style="1" customWidth="1"/>
    <col min="6498" max="6742" width="8.85546875" style="1"/>
    <col min="6743" max="6743" width="4" style="1" customWidth="1"/>
    <col min="6744" max="6744" width="59.7109375" style="1" customWidth="1"/>
    <col min="6745" max="6745" width="4.85546875" style="1" customWidth="1"/>
    <col min="6746" max="6746" width="9" style="1" customWidth="1"/>
    <col min="6747" max="6747" width="15.85546875" style="1" customWidth="1"/>
    <col min="6748" max="6748" width="15.7109375" style="1" customWidth="1"/>
    <col min="6749" max="6749" width="15.42578125" style="1" customWidth="1"/>
    <col min="6750" max="6750" width="17.140625" style="1" customWidth="1"/>
    <col min="6751" max="6751" width="37.85546875" style="1" customWidth="1"/>
    <col min="6752" max="6752" width="36.5703125" style="1" customWidth="1"/>
    <col min="6753" max="6753" width="29.42578125" style="1" customWidth="1"/>
    <col min="6754" max="6998" width="8.85546875" style="1"/>
    <col min="6999" max="6999" width="4" style="1" customWidth="1"/>
    <col min="7000" max="7000" width="59.7109375" style="1" customWidth="1"/>
    <col min="7001" max="7001" width="4.85546875" style="1" customWidth="1"/>
    <col min="7002" max="7002" width="9" style="1" customWidth="1"/>
    <col min="7003" max="7003" width="15.85546875" style="1" customWidth="1"/>
    <col min="7004" max="7004" width="15.7109375" style="1" customWidth="1"/>
    <col min="7005" max="7005" width="15.42578125" style="1" customWidth="1"/>
    <col min="7006" max="7006" width="17.140625" style="1" customWidth="1"/>
    <col min="7007" max="7007" width="37.85546875" style="1" customWidth="1"/>
    <col min="7008" max="7008" width="36.5703125" style="1" customWidth="1"/>
    <col min="7009" max="7009" width="29.42578125" style="1" customWidth="1"/>
    <col min="7010" max="7254" width="8.85546875" style="1"/>
    <col min="7255" max="7255" width="4" style="1" customWidth="1"/>
    <col min="7256" max="7256" width="59.7109375" style="1" customWidth="1"/>
    <col min="7257" max="7257" width="4.85546875" style="1" customWidth="1"/>
    <col min="7258" max="7258" width="9" style="1" customWidth="1"/>
    <col min="7259" max="7259" width="15.85546875" style="1" customWidth="1"/>
    <col min="7260" max="7260" width="15.7109375" style="1" customWidth="1"/>
    <col min="7261" max="7261" width="15.42578125" style="1" customWidth="1"/>
    <col min="7262" max="7262" width="17.140625" style="1" customWidth="1"/>
    <col min="7263" max="7263" width="37.85546875" style="1" customWidth="1"/>
    <col min="7264" max="7264" width="36.5703125" style="1" customWidth="1"/>
    <col min="7265" max="7265" width="29.42578125" style="1" customWidth="1"/>
    <col min="7266" max="7510" width="8.85546875" style="1"/>
    <col min="7511" max="7511" width="4" style="1" customWidth="1"/>
    <col min="7512" max="7512" width="59.7109375" style="1" customWidth="1"/>
    <col min="7513" max="7513" width="4.85546875" style="1" customWidth="1"/>
    <col min="7514" max="7514" width="9" style="1" customWidth="1"/>
    <col min="7515" max="7515" width="15.85546875" style="1" customWidth="1"/>
    <col min="7516" max="7516" width="15.7109375" style="1" customWidth="1"/>
    <col min="7517" max="7517" width="15.42578125" style="1" customWidth="1"/>
    <col min="7518" max="7518" width="17.140625" style="1" customWidth="1"/>
    <col min="7519" max="7519" width="37.85546875" style="1" customWidth="1"/>
    <col min="7520" max="7520" width="36.5703125" style="1" customWidth="1"/>
    <col min="7521" max="7521" width="29.42578125" style="1" customWidth="1"/>
    <col min="7522" max="7766" width="8.85546875" style="1"/>
    <col min="7767" max="7767" width="4" style="1" customWidth="1"/>
    <col min="7768" max="7768" width="59.7109375" style="1" customWidth="1"/>
    <col min="7769" max="7769" width="4.85546875" style="1" customWidth="1"/>
    <col min="7770" max="7770" width="9" style="1" customWidth="1"/>
    <col min="7771" max="7771" width="15.85546875" style="1" customWidth="1"/>
    <col min="7772" max="7772" width="15.7109375" style="1" customWidth="1"/>
    <col min="7773" max="7773" width="15.42578125" style="1" customWidth="1"/>
    <col min="7774" max="7774" width="17.140625" style="1" customWidth="1"/>
    <col min="7775" max="7775" width="37.85546875" style="1" customWidth="1"/>
    <col min="7776" max="7776" width="36.5703125" style="1" customWidth="1"/>
    <col min="7777" max="7777" width="29.42578125" style="1" customWidth="1"/>
    <col min="7778" max="8022" width="8.85546875" style="1"/>
    <col min="8023" max="8023" width="4" style="1" customWidth="1"/>
    <col min="8024" max="8024" width="59.7109375" style="1" customWidth="1"/>
    <col min="8025" max="8025" width="4.85546875" style="1" customWidth="1"/>
    <col min="8026" max="8026" width="9" style="1" customWidth="1"/>
    <col min="8027" max="8027" width="15.85546875" style="1" customWidth="1"/>
    <col min="8028" max="8028" width="15.7109375" style="1" customWidth="1"/>
    <col min="8029" max="8029" width="15.42578125" style="1" customWidth="1"/>
    <col min="8030" max="8030" width="17.140625" style="1" customWidth="1"/>
    <col min="8031" max="8031" width="37.85546875" style="1" customWidth="1"/>
    <col min="8032" max="8032" width="36.5703125" style="1" customWidth="1"/>
    <col min="8033" max="8033" width="29.42578125" style="1" customWidth="1"/>
    <col min="8034" max="8278" width="8.85546875" style="1"/>
    <col min="8279" max="8279" width="4" style="1" customWidth="1"/>
    <col min="8280" max="8280" width="59.7109375" style="1" customWidth="1"/>
    <col min="8281" max="8281" width="4.85546875" style="1" customWidth="1"/>
    <col min="8282" max="8282" width="9" style="1" customWidth="1"/>
    <col min="8283" max="8283" width="15.85546875" style="1" customWidth="1"/>
    <col min="8284" max="8284" width="15.7109375" style="1" customWidth="1"/>
    <col min="8285" max="8285" width="15.42578125" style="1" customWidth="1"/>
    <col min="8286" max="8286" width="17.140625" style="1" customWidth="1"/>
    <col min="8287" max="8287" width="37.85546875" style="1" customWidth="1"/>
    <col min="8288" max="8288" width="36.5703125" style="1" customWidth="1"/>
    <col min="8289" max="8289" width="29.42578125" style="1" customWidth="1"/>
    <col min="8290" max="8534" width="8.85546875" style="1"/>
    <col min="8535" max="8535" width="4" style="1" customWidth="1"/>
    <col min="8536" max="8536" width="59.7109375" style="1" customWidth="1"/>
    <col min="8537" max="8537" width="4.85546875" style="1" customWidth="1"/>
    <col min="8538" max="8538" width="9" style="1" customWidth="1"/>
    <col min="8539" max="8539" width="15.85546875" style="1" customWidth="1"/>
    <col min="8540" max="8540" width="15.7109375" style="1" customWidth="1"/>
    <col min="8541" max="8541" width="15.42578125" style="1" customWidth="1"/>
    <col min="8542" max="8542" width="17.140625" style="1" customWidth="1"/>
    <col min="8543" max="8543" width="37.85546875" style="1" customWidth="1"/>
    <col min="8544" max="8544" width="36.5703125" style="1" customWidth="1"/>
    <col min="8545" max="8545" width="29.42578125" style="1" customWidth="1"/>
    <col min="8546" max="8790" width="8.85546875" style="1"/>
    <col min="8791" max="8791" width="4" style="1" customWidth="1"/>
    <col min="8792" max="8792" width="59.7109375" style="1" customWidth="1"/>
    <col min="8793" max="8793" width="4.85546875" style="1" customWidth="1"/>
    <col min="8794" max="8794" width="9" style="1" customWidth="1"/>
    <col min="8795" max="8795" width="15.85546875" style="1" customWidth="1"/>
    <col min="8796" max="8796" width="15.7109375" style="1" customWidth="1"/>
    <col min="8797" max="8797" width="15.42578125" style="1" customWidth="1"/>
    <col min="8798" max="8798" width="17.140625" style="1" customWidth="1"/>
    <col min="8799" max="8799" width="37.85546875" style="1" customWidth="1"/>
    <col min="8800" max="8800" width="36.5703125" style="1" customWidth="1"/>
    <col min="8801" max="8801" width="29.42578125" style="1" customWidth="1"/>
    <col min="8802" max="9046" width="8.85546875" style="1"/>
    <col min="9047" max="9047" width="4" style="1" customWidth="1"/>
    <col min="9048" max="9048" width="59.7109375" style="1" customWidth="1"/>
    <col min="9049" max="9049" width="4.85546875" style="1" customWidth="1"/>
    <col min="9050" max="9050" width="9" style="1" customWidth="1"/>
    <col min="9051" max="9051" width="15.85546875" style="1" customWidth="1"/>
    <col min="9052" max="9052" width="15.7109375" style="1" customWidth="1"/>
    <col min="9053" max="9053" width="15.42578125" style="1" customWidth="1"/>
    <col min="9054" max="9054" width="17.140625" style="1" customWidth="1"/>
    <col min="9055" max="9055" width="37.85546875" style="1" customWidth="1"/>
    <col min="9056" max="9056" width="36.5703125" style="1" customWidth="1"/>
    <col min="9057" max="9057" width="29.42578125" style="1" customWidth="1"/>
    <col min="9058" max="9302" width="8.85546875" style="1"/>
    <col min="9303" max="9303" width="4" style="1" customWidth="1"/>
    <col min="9304" max="9304" width="59.7109375" style="1" customWidth="1"/>
    <col min="9305" max="9305" width="4.85546875" style="1" customWidth="1"/>
    <col min="9306" max="9306" width="9" style="1" customWidth="1"/>
    <col min="9307" max="9307" width="15.85546875" style="1" customWidth="1"/>
    <col min="9308" max="9308" width="15.7109375" style="1" customWidth="1"/>
    <col min="9309" max="9309" width="15.42578125" style="1" customWidth="1"/>
    <col min="9310" max="9310" width="17.140625" style="1" customWidth="1"/>
    <col min="9311" max="9311" width="37.85546875" style="1" customWidth="1"/>
    <col min="9312" max="9312" width="36.5703125" style="1" customWidth="1"/>
    <col min="9313" max="9313" width="29.42578125" style="1" customWidth="1"/>
    <col min="9314" max="9558" width="8.85546875" style="1"/>
    <col min="9559" max="9559" width="4" style="1" customWidth="1"/>
    <col min="9560" max="9560" width="59.7109375" style="1" customWidth="1"/>
    <col min="9561" max="9561" width="4.85546875" style="1" customWidth="1"/>
    <col min="9562" max="9562" width="9" style="1" customWidth="1"/>
    <col min="9563" max="9563" width="15.85546875" style="1" customWidth="1"/>
    <col min="9564" max="9564" width="15.7109375" style="1" customWidth="1"/>
    <col min="9565" max="9565" width="15.42578125" style="1" customWidth="1"/>
    <col min="9566" max="9566" width="17.140625" style="1" customWidth="1"/>
    <col min="9567" max="9567" width="37.85546875" style="1" customWidth="1"/>
    <col min="9568" max="9568" width="36.5703125" style="1" customWidth="1"/>
    <col min="9569" max="9569" width="29.42578125" style="1" customWidth="1"/>
    <col min="9570" max="9814" width="8.85546875" style="1"/>
    <col min="9815" max="9815" width="4" style="1" customWidth="1"/>
    <col min="9816" max="9816" width="59.7109375" style="1" customWidth="1"/>
    <col min="9817" max="9817" width="4.85546875" style="1" customWidth="1"/>
    <col min="9818" max="9818" width="9" style="1" customWidth="1"/>
    <col min="9819" max="9819" width="15.85546875" style="1" customWidth="1"/>
    <col min="9820" max="9820" width="15.7109375" style="1" customWidth="1"/>
    <col min="9821" max="9821" width="15.42578125" style="1" customWidth="1"/>
    <col min="9822" max="9822" width="17.140625" style="1" customWidth="1"/>
    <col min="9823" max="9823" width="37.85546875" style="1" customWidth="1"/>
    <col min="9824" max="9824" width="36.5703125" style="1" customWidth="1"/>
    <col min="9825" max="9825" width="29.42578125" style="1" customWidth="1"/>
    <col min="9826" max="10070" width="8.85546875" style="1"/>
    <col min="10071" max="10071" width="4" style="1" customWidth="1"/>
    <col min="10072" max="10072" width="59.7109375" style="1" customWidth="1"/>
    <col min="10073" max="10073" width="4.85546875" style="1" customWidth="1"/>
    <col min="10074" max="10074" width="9" style="1" customWidth="1"/>
    <col min="10075" max="10075" width="15.85546875" style="1" customWidth="1"/>
    <col min="10076" max="10076" width="15.7109375" style="1" customWidth="1"/>
    <col min="10077" max="10077" width="15.42578125" style="1" customWidth="1"/>
    <col min="10078" max="10078" width="17.140625" style="1" customWidth="1"/>
    <col min="10079" max="10079" width="37.85546875" style="1" customWidth="1"/>
    <col min="10080" max="10080" width="36.5703125" style="1" customWidth="1"/>
    <col min="10081" max="10081" width="29.42578125" style="1" customWidth="1"/>
    <col min="10082" max="10326" width="8.85546875" style="1"/>
    <col min="10327" max="10327" width="4" style="1" customWidth="1"/>
    <col min="10328" max="10328" width="59.7109375" style="1" customWidth="1"/>
    <col min="10329" max="10329" width="4.85546875" style="1" customWidth="1"/>
    <col min="10330" max="10330" width="9" style="1" customWidth="1"/>
    <col min="10331" max="10331" width="15.85546875" style="1" customWidth="1"/>
    <col min="10332" max="10332" width="15.7109375" style="1" customWidth="1"/>
    <col min="10333" max="10333" width="15.42578125" style="1" customWidth="1"/>
    <col min="10334" max="10334" width="17.140625" style="1" customWidth="1"/>
    <col min="10335" max="10335" width="37.85546875" style="1" customWidth="1"/>
    <col min="10336" max="10336" width="36.5703125" style="1" customWidth="1"/>
    <col min="10337" max="10337" width="29.42578125" style="1" customWidth="1"/>
    <col min="10338" max="10582" width="8.85546875" style="1"/>
    <col min="10583" max="10583" width="4" style="1" customWidth="1"/>
    <col min="10584" max="10584" width="59.7109375" style="1" customWidth="1"/>
    <col min="10585" max="10585" width="4.85546875" style="1" customWidth="1"/>
    <col min="10586" max="10586" width="9" style="1" customWidth="1"/>
    <col min="10587" max="10587" width="15.85546875" style="1" customWidth="1"/>
    <col min="10588" max="10588" width="15.7109375" style="1" customWidth="1"/>
    <col min="10589" max="10589" width="15.42578125" style="1" customWidth="1"/>
    <col min="10590" max="10590" width="17.140625" style="1" customWidth="1"/>
    <col min="10591" max="10591" width="37.85546875" style="1" customWidth="1"/>
    <col min="10592" max="10592" width="36.5703125" style="1" customWidth="1"/>
    <col min="10593" max="10593" width="29.42578125" style="1" customWidth="1"/>
    <col min="10594" max="10838" width="8.85546875" style="1"/>
    <col min="10839" max="10839" width="4" style="1" customWidth="1"/>
    <col min="10840" max="10840" width="59.7109375" style="1" customWidth="1"/>
    <col min="10841" max="10841" width="4.85546875" style="1" customWidth="1"/>
    <col min="10842" max="10842" width="9" style="1" customWidth="1"/>
    <col min="10843" max="10843" width="15.85546875" style="1" customWidth="1"/>
    <col min="10844" max="10844" width="15.7109375" style="1" customWidth="1"/>
    <col min="10845" max="10845" width="15.42578125" style="1" customWidth="1"/>
    <col min="10846" max="10846" width="17.140625" style="1" customWidth="1"/>
    <col min="10847" max="10847" width="37.85546875" style="1" customWidth="1"/>
    <col min="10848" max="10848" width="36.5703125" style="1" customWidth="1"/>
    <col min="10849" max="10849" width="29.42578125" style="1" customWidth="1"/>
    <col min="10850" max="11094" width="8.85546875" style="1"/>
    <col min="11095" max="11095" width="4" style="1" customWidth="1"/>
    <col min="11096" max="11096" width="59.7109375" style="1" customWidth="1"/>
    <col min="11097" max="11097" width="4.85546875" style="1" customWidth="1"/>
    <col min="11098" max="11098" width="9" style="1" customWidth="1"/>
    <col min="11099" max="11099" width="15.85546875" style="1" customWidth="1"/>
    <col min="11100" max="11100" width="15.7109375" style="1" customWidth="1"/>
    <col min="11101" max="11101" width="15.42578125" style="1" customWidth="1"/>
    <col min="11102" max="11102" width="17.140625" style="1" customWidth="1"/>
    <col min="11103" max="11103" width="37.85546875" style="1" customWidth="1"/>
    <col min="11104" max="11104" width="36.5703125" style="1" customWidth="1"/>
    <col min="11105" max="11105" width="29.42578125" style="1" customWidth="1"/>
    <col min="11106" max="11350" width="8.85546875" style="1"/>
    <col min="11351" max="11351" width="4" style="1" customWidth="1"/>
    <col min="11352" max="11352" width="59.7109375" style="1" customWidth="1"/>
    <col min="11353" max="11353" width="4.85546875" style="1" customWidth="1"/>
    <col min="11354" max="11354" width="9" style="1" customWidth="1"/>
    <col min="11355" max="11355" width="15.85546875" style="1" customWidth="1"/>
    <col min="11356" max="11356" width="15.7109375" style="1" customWidth="1"/>
    <col min="11357" max="11357" width="15.42578125" style="1" customWidth="1"/>
    <col min="11358" max="11358" width="17.140625" style="1" customWidth="1"/>
    <col min="11359" max="11359" width="37.85546875" style="1" customWidth="1"/>
    <col min="11360" max="11360" width="36.5703125" style="1" customWidth="1"/>
    <col min="11361" max="11361" width="29.42578125" style="1" customWidth="1"/>
    <col min="11362" max="11606" width="8.85546875" style="1"/>
    <col min="11607" max="11607" width="4" style="1" customWidth="1"/>
    <col min="11608" max="11608" width="59.7109375" style="1" customWidth="1"/>
    <col min="11609" max="11609" width="4.85546875" style="1" customWidth="1"/>
    <col min="11610" max="11610" width="9" style="1" customWidth="1"/>
    <col min="11611" max="11611" width="15.85546875" style="1" customWidth="1"/>
    <col min="11612" max="11612" width="15.7109375" style="1" customWidth="1"/>
    <col min="11613" max="11613" width="15.42578125" style="1" customWidth="1"/>
    <col min="11614" max="11614" width="17.140625" style="1" customWidth="1"/>
    <col min="11615" max="11615" width="37.85546875" style="1" customWidth="1"/>
    <col min="11616" max="11616" width="36.5703125" style="1" customWidth="1"/>
    <col min="11617" max="11617" width="29.42578125" style="1" customWidth="1"/>
    <col min="11618" max="11862" width="8.85546875" style="1"/>
    <col min="11863" max="11863" width="4" style="1" customWidth="1"/>
    <col min="11864" max="11864" width="59.7109375" style="1" customWidth="1"/>
    <col min="11865" max="11865" width="4.85546875" style="1" customWidth="1"/>
    <col min="11866" max="11866" width="9" style="1" customWidth="1"/>
    <col min="11867" max="11867" width="15.85546875" style="1" customWidth="1"/>
    <col min="11868" max="11868" width="15.7109375" style="1" customWidth="1"/>
    <col min="11869" max="11869" width="15.42578125" style="1" customWidth="1"/>
    <col min="11870" max="11870" width="17.140625" style="1" customWidth="1"/>
    <col min="11871" max="11871" width="37.85546875" style="1" customWidth="1"/>
    <col min="11872" max="11872" width="36.5703125" style="1" customWidth="1"/>
    <col min="11873" max="11873" width="29.42578125" style="1" customWidth="1"/>
    <col min="11874" max="12118" width="8.85546875" style="1"/>
    <col min="12119" max="12119" width="4" style="1" customWidth="1"/>
    <col min="12120" max="12120" width="59.7109375" style="1" customWidth="1"/>
    <col min="12121" max="12121" width="4.85546875" style="1" customWidth="1"/>
    <col min="12122" max="12122" width="9" style="1" customWidth="1"/>
    <col min="12123" max="12123" width="15.85546875" style="1" customWidth="1"/>
    <col min="12124" max="12124" width="15.7109375" style="1" customWidth="1"/>
    <col min="12125" max="12125" width="15.42578125" style="1" customWidth="1"/>
    <col min="12126" max="12126" width="17.140625" style="1" customWidth="1"/>
    <col min="12127" max="12127" width="37.85546875" style="1" customWidth="1"/>
    <col min="12128" max="12128" width="36.5703125" style="1" customWidth="1"/>
    <col min="12129" max="12129" width="29.42578125" style="1" customWidth="1"/>
    <col min="12130" max="12374" width="8.85546875" style="1"/>
    <col min="12375" max="12375" width="4" style="1" customWidth="1"/>
    <col min="12376" max="12376" width="59.7109375" style="1" customWidth="1"/>
    <col min="12377" max="12377" width="4.85546875" style="1" customWidth="1"/>
    <col min="12378" max="12378" width="9" style="1" customWidth="1"/>
    <col min="12379" max="12379" width="15.85546875" style="1" customWidth="1"/>
    <col min="12380" max="12380" width="15.7109375" style="1" customWidth="1"/>
    <col min="12381" max="12381" width="15.42578125" style="1" customWidth="1"/>
    <col min="12382" max="12382" width="17.140625" style="1" customWidth="1"/>
    <col min="12383" max="12383" width="37.85546875" style="1" customWidth="1"/>
    <col min="12384" max="12384" width="36.5703125" style="1" customWidth="1"/>
    <col min="12385" max="12385" width="29.42578125" style="1" customWidth="1"/>
    <col min="12386" max="12630" width="8.85546875" style="1"/>
    <col min="12631" max="12631" width="4" style="1" customWidth="1"/>
    <col min="12632" max="12632" width="59.7109375" style="1" customWidth="1"/>
    <col min="12633" max="12633" width="4.85546875" style="1" customWidth="1"/>
    <col min="12634" max="12634" width="9" style="1" customWidth="1"/>
    <col min="12635" max="12635" width="15.85546875" style="1" customWidth="1"/>
    <col min="12636" max="12636" width="15.7109375" style="1" customWidth="1"/>
    <col min="12637" max="12637" width="15.42578125" style="1" customWidth="1"/>
    <col min="12638" max="12638" width="17.140625" style="1" customWidth="1"/>
    <col min="12639" max="12639" width="37.85546875" style="1" customWidth="1"/>
    <col min="12640" max="12640" width="36.5703125" style="1" customWidth="1"/>
    <col min="12641" max="12641" width="29.42578125" style="1" customWidth="1"/>
    <col min="12642" max="12886" width="8.85546875" style="1"/>
    <col min="12887" max="12887" width="4" style="1" customWidth="1"/>
    <col min="12888" max="12888" width="59.7109375" style="1" customWidth="1"/>
    <col min="12889" max="12889" width="4.85546875" style="1" customWidth="1"/>
    <col min="12890" max="12890" width="9" style="1" customWidth="1"/>
    <col min="12891" max="12891" width="15.85546875" style="1" customWidth="1"/>
    <col min="12892" max="12892" width="15.7109375" style="1" customWidth="1"/>
    <col min="12893" max="12893" width="15.42578125" style="1" customWidth="1"/>
    <col min="12894" max="12894" width="17.140625" style="1" customWidth="1"/>
    <col min="12895" max="12895" width="37.85546875" style="1" customWidth="1"/>
    <col min="12896" max="12896" width="36.5703125" style="1" customWidth="1"/>
    <col min="12897" max="12897" width="29.42578125" style="1" customWidth="1"/>
    <col min="12898" max="13142" width="8.85546875" style="1"/>
    <col min="13143" max="13143" width="4" style="1" customWidth="1"/>
    <col min="13144" max="13144" width="59.7109375" style="1" customWidth="1"/>
    <col min="13145" max="13145" width="4.85546875" style="1" customWidth="1"/>
    <col min="13146" max="13146" width="9" style="1" customWidth="1"/>
    <col min="13147" max="13147" width="15.85546875" style="1" customWidth="1"/>
    <col min="13148" max="13148" width="15.7109375" style="1" customWidth="1"/>
    <col min="13149" max="13149" width="15.42578125" style="1" customWidth="1"/>
    <col min="13150" max="13150" width="17.140625" style="1" customWidth="1"/>
    <col min="13151" max="13151" width="37.85546875" style="1" customWidth="1"/>
    <col min="13152" max="13152" width="36.5703125" style="1" customWidth="1"/>
    <col min="13153" max="13153" width="29.42578125" style="1" customWidth="1"/>
    <col min="13154" max="13398" width="8.85546875" style="1"/>
    <col min="13399" max="13399" width="4" style="1" customWidth="1"/>
    <col min="13400" max="13400" width="59.7109375" style="1" customWidth="1"/>
    <col min="13401" max="13401" width="4.85546875" style="1" customWidth="1"/>
    <col min="13402" max="13402" width="9" style="1" customWidth="1"/>
    <col min="13403" max="13403" width="15.85546875" style="1" customWidth="1"/>
    <col min="13404" max="13404" width="15.7109375" style="1" customWidth="1"/>
    <col min="13405" max="13405" width="15.42578125" style="1" customWidth="1"/>
    <col min="13406" max="13406" width="17.140625" style="1" customWidth="1"/>
    <col min="13407" max="13407" width="37.85546875" style="1" customWidth="1"/>
    <col min="13408" max="13408" width="36.5703125" style="1" customWidth="1"/>
    <col min="13409" max="13409" width="29.42578125" style="1" customWidth="1"/>
    <col min="13410" max="13654" width="8.85546875" style="1"/>
    <col min="13655" max="13655" width="4" style="1" customWidth="1"/>
    <col min="13656" max="13656" width="59.7109375" style="1" customWidth="1"/>
    <col min="13657" max="13657" width="4.85546875" style="1" customWidth="1"/>
    <col min="13658" max="13658" width="9" style="1" customWidth="1"/>
    <col min="13659" max="13659" width="15.85546875" style="1" customWidth="1"/>
    <col min="13660" max="13660" width="15.7109375" style="1" customWidth="1"/>
    <col min="13661" max="13661" width="15.42578125" style="1" customWidth="1"/>
    <col min="13662" max="13662" width="17.140625" style="1" customWidth="1"/>
    <col min="13663" max="13663" width="37.85546875" style="1" customWidth="1"/>
    <col min="13664" max="13664" width="36.5703125" style="1" customWidth="1"/>
    <col min="13665" max="13665" width="29.42578125" style="1" customWidth="1"/>
    <col min="13666" max="13910" width="8.85546875" style="1"/>
    <col min="13911" max="13911" width="4" style="1" customWidth="1"/>
    <col min="13912" max="13912" width="59.7109375" style="1" customWidth="1"/>
    <col min="13913" max="13913" width="4.85546875" style="1" customWidth="1"/>
    <col min="13914" max="13914" width="9" style="1" customWidth="1"/>
    <col min="13915" max="13915" width="15.85546875" style="1" customWidth="1"/>
    <col min="13916" max="13916" width="15.7109375" style="1" customWidth="1"/>
    <col min="13917" max="13917" width="15.42578125" style="1" customWidth="1"/>
    <col min="13918" max="13918" width="17.140625" style="1" customWidth="1"/>
    <col min="13919" max="13919" width="37.85546875" style="1" customWidth="1"/>
    <col min="13920" max="13920" width="36.5703125" style="1" customWidth="1"/>
    <col min="13921" max="13921" width="29.42578125" style="1" customWidth="1"/>
    <col min="13922" max="14166" width="8.85546875" style="1"/>
    <col min="14167" max="14167" width="4" style="1" customWidth="1"/>
    <col min="14168" max="14168" width="59.7109375" style="1" customWidth="1"/>
    <col min="14169" max="14169" width="4.85546875" style="1" customWidth="1"/>
    <col min="14170" max="14170" width="9" style="1" customWidth="1"/>
    <col min="14171" max="14171" width="15.85546875" style="1" customWidth="1"/>
    <col min="14172" max="14172" width="15.7109375" style="1" customWidth="1"/>
    <col min="14173" max="14173" width="15.42578125" style="1" customWidth="1"/>
    <col min="14174" max="14174" width="17.140625" style="1" customWidth="1"/>
    <col min="14175" max="14175" width="37.85546875" style="1" customWidth="1"/>
    <col min="14176" max="14176" width="36.5703125" style="1" customWidth="1"/>
    <col min="14177" max="14177" width="29.42578125" style="1" customWidth="1"/>
    <col min="14178" max="14422" width="8.85546875" style="1"/>
    <col min="14423" max="14423" width="4" style="1" customWidth="1"/>
    <col min="14424" max="14424" width="59.7109375" style="1" customWidth="1"/>
    <col min="14425" max="14425" width="4.85546875" style="1" customWidth="1"/>
    <col min="14426" max="14426" width="9" style="1" customWidth="1"/>
    <col min="14427" max="14427" width="15.85546875" style="1" customWidth="1"/>
    <col min="14428" max="14428" width="15.7109375" style="1" customWidth="1"/>
    <col min="14429" max="14429" width="15.42578125" style="1" customWidth="1"/>
    <col min="14430" max="14430" width="17.140625" style="1" customWidth="1"/>
    <col min="14431" max="14431" width="37.85546875" style="1" customWidth="1"/>
    <col min="14432" max="14432" width="36.5703125" style="1" customWidth="1"/>
    <col min="14433" max="14433" width="29.42578125" style="1" customWidth="1"/>
    <col min="14434" max="14678" width="8.85546875" style="1"/>
    <col min="14679" max="14679" width="4" style="1" customWidth="1"/>
    <col min="14680" max="14680" width="59.7109375" style="1" customWidth="1"/>
    <col min="14681" max="14681" width="4.85546875" style="1" customWidth="1"/>
    <col min="14682" max="14682" width="9" style="1" customWidth="1"/>
    <col min="14683" max="14683" width="15.85546875" style="1" customWidth="1"/>
    <col min="14684" max="14684" width="15.7109375" style="1" customWidth="1"/>
    <col min="14685" max="14685" width="15.42578125" style="1" customWidth="1"/>
    <col min="14686" max="14686" width="17.140625" style="1" customWidth="1"/>
    <col min="14687" max="14687" width="37.85546875" style="1" customWidth="1"/>
    <col min="14688" max="14688" width="36.5703125" style="1" customWidth="1"/>
    <col min="14689" max="14689" width="29.42578125" style="1" customWidth="1"/>
    <col min="14690" max="14934" width="8.85546875" style="1"/>
    <col min="14935" max="14935" width="4" style="1" customWidth="1"/>
    <col min="14936" max="14936" width="59.7109375" style="1" customWidth="1"/>
    <col min="14937" max="14937" width="4.85546875" style="1" customWidth="1"/>
    <col min="14938" max="14938" width="9" style="1" customWidth="1"/>
    <col min="14939" max="14939" width="15.85546875" style="1" customWidth="1"/>
    <col min="14940" max="14940" width="15.7109375" style="1" customWidth="1"/>
    <col min="14941" max="14941" width="15.42578125" style="1" customWidth="1"/>
    <col min="14942" max="14942" width="17.140625" style="1" customWidth="1"/>
    <col min="14943" max="14943" width="37.85546875" style="1" customWidth="1"/>
    <col min="14944" max="14944" width="36.5703125" style="1" customWidth="1"/>
    <col min="14945" max="14945" width="29.42578125" style="1" customWidth="1"/>
    <col min="14946" max="15190" width="8.85546875" style="1"/>
    <col min="15191" max="15191" width="4" style="1" customWidth="1"/>
    <col min="15192" max="15192" width="59.7109375" style="1" customWidth="1"/>
    <col min="15193" max="15193" width="4.85546875" style="1" customWidth="1"/>
    <col min="15194" max="15194" width="9" style="1" customWidth="1"/>
    <col min="15195" max="15195" width="15.85546875" style="1" customWidth="1"/>
    <col min="15196" max="15196" width="15.7109375" style="1" customWidth="1"/>
    <col min="15197" max="15197" width="15.42578125" style="1" customWidth="1"/>
    <col min="15198" max="15198" width="17.140625" style="1" customWidth="1"/>
    <col min="15199" max="15199" width="37.85546875" style="1" customWidth="1"/>
    <col min="15200" max="15200" width="36.5703125" style="1" customWidth="1"/>
    <col min="15201" max="15201" width="29.42578125" style="1" customWidth="1"/>
    <col min="15202" max="15446" width="8.85546875" style="1"/>
    <col min="15447" max="15447" width="4" style="1" customWidth="1"/>
    <col min="15448" max="15448" width="59.7109375" style="1" customWidth="1"/>
    <col min="15449" max="15449" width="4.85546875" style="1" customWidth="1"/>
    <col min="15450" max="15450" width="9" style="1" customWidth="1"/>
    <col min="15451" max="15451" width="15.85546875" style="1" customWidth="1"/>
    <col min="15452" max="15452" width="15.7109375" style="1" customWidth="1"/>
    <col min="15453" max="15453" width="15.42578125" style="1" customWidth="1"/>
    <col min="15454" max="15454" width="17.140625" style="1" customWidth="1"/>
    <col min="15455" max="15455" width="37.85546875" style="1" customWidth="1"/>
    <col min="15456" max="15456" width="36.5703125" style="1" customWidth="1"/>
    <col min="15457" max="15457" width="29.42578125" style="1" customWidth="1"/>
    <col min="15458" max="15702" width="8.85546875" style="1"/>
    <col min="15703" max="15703" width="4" style="1" customWidth="1"/>
    <col min="15704" max="15704" width="59.7109375" style="1" customWidth="1"/>
    <col min="15705" max="15705" width="4.85546875" style="1" customWidth="1"/>
    <col min="15706" max="15706" width="9" style="1" customWidth="1"/>
    <col min="15707" max="15707" width="15.85546875" style="1" customWidth="1"/>
    <col min="15708" max="15708" width="15.7109375" style="1" customWidth="1"/>
    <col min="15709" max="15709" width="15.42578125" style="1" customWidth="1"/>
    <col min="15710" max="15710" width="17.140625" style="1" customWidth="1"/>
    <col min="15711" max="15711" width="37.85546875" style="1" customWidth="1"/>
    <col min="15712" max="15712" width="36.5703125" style="1" customWidth="1"/>
    <col min="15713" max="15713" width="29.42578125" style="1" customWidth="1"/>
    <col min="15714" max="15958" width="8.85546875" style="1"/>
    <col min="15959" max="15959" width="4" style="1" customWidth="1"/>
    <col min="15960" max="15960" width="59.7109375" style="1" customWidth="1"/>
    <col min="15961" max="15961" width="4.85546875" style="1" customWidth="1"/>
    <col min="15962" max="15962" width="9" style="1" customWidth="1"/>
    <col min="15963" max="15963" width="15.85546875" style="1" customWidth="1"/>
    <col min="15964" max="15964" width="15.7109375" style="1" customWidth="1"/>
    <col min="15965" max="15965" width="15.42578125" style="1" customWidth="1"/>
    <col min="15966" max="15966" width="17.140625" style="1" customWidth="1"/>
    <col min="15967" max="15967" width="37.85546875" style="1" customWidth="1"/>
    <col min="15968" max="15968" width="36.5703125" style="1" customWidth="1"/>
    <col min="15969" max="15969" width="29.42578125" style="1" customWidth="1"/>
    <col min="15970" max="16384" width="8.85546875" style="1"/>
  </cols>
  <sheetData>
    <row r="1" spans="1:20" ht="22.15" customHeight="1">
      <c r="G1" s="13">
        <v>46027</v>
      </c>
      <c r="H1" s="13">
        <v>46027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30" customHeight="1">
      <c r="A2"/>
      <c r="B2" s="2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5" t="s">
        <v>5</v>
      </c>
      <c r="H2" s="5" t="s">
        <v>6</v>
      </c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</row>
    <row r="3" spans="1:20" ht="22.15" hidden="1" customHeight="1">
      <c r="A3"/>
      <c r="B3" s="6" t="s">
        <v>7</v>
      </c>
      <c r="C3" s="15" t="s">
        <v>8</v>
      </c>
      <c r="D3" s="16">
        <v>124</v>
      </c>
      <c r="E3" s="17">
        <v>45254</v>
      </c>
      <c r="F3" s="17">
        <v>45299</v>
      </c>
      <c r="G3" s="7">
        <f t="shared" ref="G3:G37" si="0">IFERROR((F3-$G$1)/(F3-E3)*100,"")</f>
        <v>-1617.7777777777778</v>
      </c>
      <c r="H3" s="7">
        <f t="shared" ref="H3:H37" si="1">F3-$H$1</f>
        <v>-728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 ht="22.15" hidden="1" customHeight="1">
      <c r="A4"/>
      <c r="B4" s="6" t="s">
        <v>9</v>
      </c>
      <c r="C4" s="15" t="s">
        <v>8</v>
      </c>
      <c r="D4" s="16">
        <v>115</v>
      </c>
      <c r="E4" s="17">
        <v>45254</v>
      </c>
      <c r="F4" s="17">
        <v>45299</v>
      </c>
      <c r="G4" s="7">
        <f t="shared" si="0"/>
        <v>-1617.7777777777778</v>
      </c>
      <c r="H4" s="7">
        <f t="shared" si="1"/>
        <v>-728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spans="1:20" ht="22.15" hidden="1" customHeight="1">
      <c r="A5"/>
      <c r="B5" s="6" t="s">
        <v>10</v>
      </c>
      <c r="C5" s="15" t="s">
        <v>8</v>
      </c>
      <c r="D5" s="16">
        <v>54</v>
      </c>
      <c r="E5" s="18">
        <v>45256</v>
      </c>
      <c r="F5" s="18">
        <v>45301</v>
      </c>
      <c r="G5" s="7">
        <f t="shared" si="0"/>
        <v>-1613.3333333333333</v>
      </c>
      <c r="H5" s="7">
        <f t="shared" si="1"/>
        <v>-726</v>
      </c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</row>
    <row r="6" spans="1:20" ht="22.15" hidden="1" customHeight="1">
      <c r="A6"/>
      <c r="B6" s="6" t="s">
        <v>11</v>
      </c>
      <c r="C6" s="15" t="s">
        <v>8</v>
      </c>
      <c r="D6" s="16">
        <v>65</v>
      </c>
      <c r="E6" s="18">
        <v>45268</v>
      </c>
      <c r="F6" s="18">
        <v>45303</v>
      </c>
      <c r="G6" s="7">
        <f t="shared" si="0"/>
        <v>-2068.5714285714289</v>
      </c>
      <c r="H6" s="7">
        <f t="shared" si="1"/>
        <v>-724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spans="1:20" ht="22.15" hidden="1" customHeight="1">
      <c r="A7"/>
      <c r="B7" s="6" t="s">
        <v>12</v>
      </c>
      <c r="C7" s="15" t="s">
        <v>8</v>
      </c>
      <c r="D7" s="16">
        <v>32</v>
      </c>
      <c r="E7" s="18">
        <v>45269</v>
      </c>
      <c r="F7" s="18">
        <v>45304</v>
      </c>
      <c r="G7" s="7">
        <f t="shared" si="0"/>
        <v>-2065.7142857142858</v>
      </c>
      <c r="H7" s="7">
        <f t="shared" si="1"/>
        <v>-723</v>
      </c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1:20" ht="22.15" hidden="1" customHeight="1">
      <c r="A8"/>
      <c r="B8" s="6" t="s">
        <v>13</v>
      </c>
      <c r="C8" s="15" t="s">
        <v>14</v>
      </c>
      <c r="D8" s="16">
        <v>217.8</v>
      </c>
      <c r="E8" s="18">
        <v>45275</v>
      </c>
      <c r="F8" s="18">
        <v>45305</v>
      </c>
      <c r="G8" s="7">
        <f t="shared" si="0"/>
        <v>-2406.6666666666665</v>
      </c>
      <c r="H8" s="7">
        <f t="shared" si="1"/>
        <v>-722</v>
      </c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</row>
    <row r="9" spans="1:20" ht="22.15" hidden="1" customHeight="1">
      <c r="A9"/>
      <c r="B9" s="6" t="s">
        <v>15</v>
      </c>
      <c r="C9" s="15" t="s">
        <v>14</v>
      </c>
      <c r="D9" s="16">
        <v>68.8</v>
      </c>
      <c r="E9" s="18">
        <v>45265</v>
      </c>
      <c r="F9" s="18">
        <v>45305</v>
      </c>
      <c r="G9" s="7">
        <f t="shared" si="0"/>
        <v>-1805</v>
      </c>
      <c r="H9" s="7">
        <f t="shared" si="1"/>
        <v>-722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</row>
    <row r="10" spans="1:20" ht="22.15" hidden="1" customHeight="1">
      <c r="A10"/>
      <c r="B10" s="6" t="s">
        <v>16</v>
      </c>
      <c r="C10" s="15" t="s">
        <v>14</v>
      </c>
      <c r="D10" s="16">
        <v>42.16</v>
      </c>
      <c r="E10" s="18">
        <v>45260</v>
      </c>
      <c r="F10" s="18">
        <v>45305</v>
      </c>
      <c r="G10" s="7">
        <f t="shared" si="0"/>
        <v>-1604.4444444444443</v>
      </c>
      <c r="H10" s="7">
        <f t="shared" si="1"/>
        <v>-722</v>
      </c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</row>
    <row r="11" spans="1:20" ht="22.15" hidden="1" customHeight="1">
      <c r="A11"/>
      <c r="B11" s="6" t="s">
        <v>17</v>
      </c>
      <c r="C11" s="15" t="s">
        <v>14</v>
      </c>
      <c r="D11" s="16">
        <v>205.58</v>
      </c>
      <c r="E11" s="18">
        <v>45276</v>
      </c>
      <c r="F11" s="18">
        <v>45306</v>
      </c>
      <c r="G11" s="7">
        <f t="shared" si="0"/>
        <v>-2403.3333333333335</v>
      </c>
      <c r="H11" s="7">
        <f t="shared" si="1"/>
        <v>-721</v>
      </c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</row>
    <row r="12" spans="1:20" ht="22.15" hidden="1" customHeight="1">
      <c r="A12"/>
      <c r="B12" s="6" t="s">
        <v>18</v>
      </c>
      <c r="C12" s="15" t="s">
        <v>14</v>
      </c>
      <c r="D12" s="16">
        <v>12</v>
      </c>
      <c r="E12" s="18">
        <v>45256</v>
      </c>
      <c r="F12" s="18">
        <v>45306</v>
      </c>
      <c r="G12" s="7">
        <f t="shared" si="0"/>
        <v>-1442</v>
      </c>
      <c r="H12" s="7">
        <f t="shared" si="1"/>
        <v>-721</v>
      </c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</row>
    <row r="13" spans="1:20" ht="22.15" hidden="1" customHeight="1">
      <c r="A13"/>
      <c r="B13" s="6" t="s">
        <v>19</v>
      </c>
      <c r="C13" s="15" t="s">
        <v>14</v>
      </c>
      <c r="D13" s="16">
        <v>89.266999999999996</v>
      </c>
      <c r="E13" s="18">
        <v>45276</v>
      </c>
      <c r="F13" s="18">
        <v>45306</v>
      </c>
      <c r="G13" s="7">
        <f t="shared" si="0"/>
        <v>-2403.3333333333335</v>
      </c>
      <c r="H13" s="7">
        <f t="shared" si="1"/>
        <v>-721</v>
      </c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</row>
    <row r="14" spans="1:20" ht="22.15" hidden="1" customHeight="1">
      <c r="A14"/>
      <c r="B14" s="6" t="s">
        <v>20</v>
      </c>
      <c r="C14" s="15" t="s">
        <v>14</v>
      </c>
      <c r="D14" s="16">
        <v>57.1</v>
      </c>
      <c r="E14" s="18">
        <v>45229</v>
      </c>
      <c r="F14" s="18">
        <v>45306</v>
      </c>
      <c r="G14" s="7">
        <f t="shared" si="0"/>
        <v>-936.36363636363637</v>
      </c>
      <c r="H14" s="7">
        <f t="shared" si="1"/>
        <v>-721</v>
      </c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</row>
    <row r="15" spans="1:20" ht="22.15" hidden="1" customHeight="1">
      <c r="A15"/>
      <c r="B15" s="6" t="s">
        <v>21</v>
      </c>
      <c r="C15" s="15" t="s">
        <v>14</v>
      </c>
      <c r="D15" s="16">
        <v>159.1</v>
      </c>
      <c r="E15" s="18">
        <v>45262</v>
      </c>
      <c r="F15" s="18">
        <v>45307</v>
      </c>
      <c r="G15" s="7">
        <f t="shared" si="0"/>
        <v>-1600</v>
      </c>
      <c r="H15" s="7">
        <f t="shared" si="1"/>
        <v>-720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</row>
    <row r="16" spans="1:20" ht="22.15" hidden="1" customHeight="1">
      <c r="A16"/>
      <c r="B16" s="6" t="s">
        <v>22</v>
      </c>
      <c r="C16" s="15" t="s">
        <v>14</v>
      </c>
      <c r="D16" s="16">
        <v>218.5</v>
      </c>
      <c r="E16" s="18">
        <v>45277</v>
      </c>
      <c r="F16" s="18">
        <v>45307</v>
      </c>
      <c r="G16" s="7">
        <f t="shared" si="0"/>
        <v>-2400</v>
      </c>
      <c r="H16" s="7">
        <f t="shared" si="1"/>
        <v>-720</v>
      </c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</row>
    <row r="17" spans="1:20" ht="22.15" hidden="1" customHeight="1">
      <c r="A17"/>
      <c r="B17" s="6" t="s">
        <v>23</v>
      </c>
      <c r="C17" s="15" t="s">
        <v>14</v>
      </c>
      <c r="D17" s="16">
        <v>187.7</v>
      </c>
      <c r="E17" s="18">
        <v>45267</v>
      </c>
      <c r="F17" s="18">
        <v>45307</v>
      </c>
      <c r="G17" s="7">
        <f t="shared" si="0"/>
        <v>-1800</v>
      </c>
      <c r="H17" s="7">
        <f t="shared" si="1"/>
        <v>-720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</row>
    <row r="18" spans="1:20" ht="22.15" hidden="1" customHeight="1">
      <c r="A18"/>
      <c r="B18" s="6" t="s">
        <v>24</v>
      </c>
      <c r="C18" s="15" t="s">
        <v>8</v>
      </c>
      <c r="D18" s="16">
        <v>77</v>
      </c>
      <c r="E18" s="18">
        <v>45268</v>
      </c>
      <c r="F18" s="18">
        <v>45308</v>
      </c>
      <c r="G18" s="7">
        <f t="shared" si="0"/>
        <v>-1797.5000000000002</v>
      </c>
      <c r="H18" s="7">
        <f t="shared" si="1"/>
        <v>-719</v>
      </c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</row>
    <row r="19" spans="1:20" ht="22.15" hidden="1" customHeight="1">
      <c r="A19"/>
      <c r="B19" s="6" t="s">
        <v>25</v>
      </c>
      <c r="C19" s="15" t="s">
        <v>8</v>
      </c>
      <c r="D19" s="16">
        <v>241</v>
      </c>
      <c r="E19" s="18">
        <v>45268</v>
      </c>
      <c r="F19" s="18">
        <v>45308</v>
      </c>
      <c r="G19" s="7">
        <f t="shared" si="0"/>
        <v>-1797.5000000000002</v>
      </c>
      <c r="H19" s="7">
        <f t="shared" si="1"/>
        <v>-719</v>
      </c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</row>
    <row r="20" spans="1:20" ht="22.15" hidden="1" customHeight="1">
      <c r="A20"/>
      <c r="B20" s="6" t="s">
        <v>26</v>
      </c>
      <c r="C20" s="15" t="s">
        <v>8</v>
      </c>
      <c r="D20" s="16">
        <v>354</v>
      </c>
      <c r="E20" s="18">
        <v>45268</v>
      </c>
      <c r="F20" s="18">
        <v>45308</v>
      </c>
      <c r="G20" s="7">
        <f t="shared" si="0"/>
        <v>-1797.5000000000002</v>
      </c>
      <c r="H20" s="7">
        <f t="shared" si="1"/>
        <v>-719</v>
      </c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</row>
    <row r="21" spans="1:20" ht="22.15" hidden="1" customHeight="1">
      <c r="A21"/>
      <c r="B21" s="6" t="s">
        <v>27</v>
      </c>
      <c r="C21" s="15" t="s">
        <v>8</v>
      </c>
      <c r="D21" s="16">
        <v>3</v>
      </c>
      <c r="E21" s="18">
        <v>45270</v>
      </c>
      <c r="F21" s="18">
        <v>45310</v>
      </c>
      <c r="G21" s="7">
        <f t="shared" si="0"/>
        <v>-1792.5</v>
      </c>
      <c r="H21" s="7">
        <f t="shared" si="1"/>
        <v>-717</v>
      </c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</row>
    <row r="22" spans="1:20" ht="22.15" hidden="1" customHeight="1">
      <c r="A22"/>
      <c r="B22" s="6" t="s">
        <v>28</v>
      </c>
      <c r="C22" s="15" t="s">
        <v>8</v>
      </c>
      <c r="D22" s="16">
        <v>45</v>
      </c>
      <c r="E22" s="18">
        <v>45268</v>
      </c>
      <c r="F22" s="18">
        <v>45311</v>
      </c>
      <c r="G22" s="7">
        <f t="shared" si="0"/>
        <v>-1665.1162790697676</v>
      </c>
      <c r="H22" s="7">
        <f t="shared" si="1"/>
        <v>-716</v>
      </c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</row>
    <row r="23" spans="1:20" ht="22.15" hidden="1" customHeight="1">
      <c r="A23"/>
      <c r="B23" s="6" t="s">
        <v>29</v>
      </c>
      <c r="C23" s="15" t="s">
        <v>14</v>
      </c>
      <c r="D23" s="16">
        <v>97.5</v>
      </c>
      <c r="E23" s="18">
        <v>45268</v>
      </c>
      <c r="F23" s="18">
        <v>45311</v>
      </c>
      <c r="G23" s="7">
        <f t="shared" si="0"/>
        <v>-1665.1162790697676</v>
      </c>
      <c r="H23" s="7">
        <f t="shared" si="1"/>
        <v>-716</v>
      </c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</row>
    <row r="24" spans="1:20" ht="22.15" hidden="1" customHeight="1">
      <c r="A24"/>
      <c r="B24" s="6" t="s">
        <v>30</v>
      </c>
      <c r="C24" s="15" t="s">
        <v>14</v>
      </c>
      <c r="D24" s="16">
        <v>85.93</v>
      </c>
      <c r="E24" s="18">
        <v>45276</v>
      </c>
      <c r="F24" s="18">
        <v>45311</v>
      </c>
      <c r="G24" s="7">
        <f t="shared" si="0"/>
        <v>-2045.7142857142856</v>
      </c>
      <c r="H24" s="7">
        <f t="shared" si="1"/>
        <v>-716</v>
      </c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</row>
    <row r="25" spans="1:20" ht="22.15" hidden="1" customHeight="1">
      <c r="A25"/>
      <c r="B25" s="6" t="s">
        <v>31</v>
      </c>
      <c r="C25" s="15" t="s">
        <v>14</v>
      </c>
      <c r="D25" s="16">
        <v>216.8</v>
      </c>
      <c r="E25" s="18">
        <v>45267</v>
      </c>
      <c r="F25" s="18">
        <v>45312</v>
      </c>
      <c r="G25" s="7">
        <f t="shared" si="0"/>
        <v>-1588.8888888888889</v>
      </c>
      <c r="H25" s="7">
        <f t="shared" si="1"/>
        <v>-715</v>
      </c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</row>
    <row r="26" spans="1:20" ht="22.15" hidden="1" customHeight="1">
      <c r="A26"/>
      <c r="B26" s="6" t="s">
        <v>32</v>
      </c>
      <c r="C26" s="15" t="s">
        <v>14</v>
      </c>
      <c r="D26" s="16">
        <v>170.9</v>
      </c>
      <c r="E26" s="18">
        <v>45277</v>
      </c>
      <c r="F26" s="18">
        <v>45312</v>
      </c>
      <c r="G26" s="7">
        <f t="shared" si="0"/>
        <v>-2042.8571428571427</v>
      </c>
      <c r="H26" s="7">
        <f t="shared" si="1"/>
        <v>-715</v>
      </c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</row>
    <row r="27" spans="1:20" ht="22.15" hidden="1" customHeight="1">
      <c r="A27"/>
      <c r="B27" s="6" t="s">
        <v>33</v>
      </c>
      <c r="C27" s="15" t="s">
        <v>14</v>
      </c>
      <c r="D27" s="16">
        <v>159.9</v>
      </c>
      <c r="E27" s="18">
        <v>45277</v>
      </c>
      <c r="F27" s="18">
        <v>45312</v>
      </c>
      <c r="G27" s="7">
        <f t="shared" si="0"/>
        <v>-2042.8571428571427</v>
      </c>
      <c r="H27" s="7">
        <f t="shared" si="1"/>
        <v>-715</v>
      </c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</row>
    <row r="28" spans="1:20" ht="22.15" hidden="1" customHeight="1">
      <c r="A28"/>
      <c r="B28" s="6" t="s">
        <v>34</v>
      </c>
      <c r="C28" s="15" t="s">
        <v>14</v>
      </c>
      <c r="D28" s="16">
        <v>358.6</v>
      </c>
      <c r="E28" s="18">
        <v>45272</v>
      </c>
      <c r="F28" s="18">
        <v>45312</v>
      </c>
      <c r="G28" s="7">
        <f t="shared" si="0"/>
        <v>-1787.5</v>
      </c>
      <c r="H28" s="7">
        <f t="shared" si="1"/>
        <v>-715</v>
      </c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</row>
    <row r="29" spans="1:20" ht="22.15" hidden="1" customHeight="1">
      <c r="A29"/>
      <c r="B29" s="6" t="s">
        <v>35</v>
      </c>
      <c r="C29" s="15" t="s">
        <v>8</v>
      </c>
      <c r="D29" s="16">
        <v>94</v>
      </c>
      <c r="E29" s="18">
        <v>45268</v>
      </c>
      <c r="F29" s="18">
        <v>45313</v>
      </c>
      <c r="G29" s="7">
        <f t="shared" si="0"/>
        <v>-1586.6666666666667</v>
      </c>
      <c r="H29" s="7">
        <f t="shared" si="1"/>
        <v>-714</v>
      </c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</row>
    <row r="30" spans="1:20" ht="22.15" hidden="1" customHeight="1">
      <c r="A30"/>
      <c r="B30" s="6" t="s">
        <v>36</v>
      </c>
      <c r="C30" s="15" t="s">
        <v>8</v>
      </c>
      <c r="D30" s="16">
        <v>134</v>
      </c>
      <c r="E30" s="18">
        <v>45268</v>
      </c>
      <c r="F30" s="18">
        <v>45313</v>
      </c>
      <c r="G30" s="7">
        <f t="shared" si="0"/>
        <v>-1586.6666666666667</v>
      </c>
      <c r="H30" s="7">
        <f t="shared" si="1"/>
        <v>-714</v>
      </c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</row>
    <row r="31" spans="1:20" ht="22.15" hidden="1" customHeight="1">
      <c r="A31"/>
      <c r="B31" s="6" t="s">
        <v>37</v>
      </c>
      <c r="C31" s="15" t="s">
        <v>8</v>
      </c>
      <c r="D31" s="16">
        <v>2</v>
      </c>
      <c r="E31" s="18">
        <v>45268</v>
      </c>
      <c r="F31" s="18">
        <v>45313</v>
      </c>
      <c r="G31" s="7">
        <f t="shared" si="0"/>
        <v>-1586.6666666666667</v>
      </c>
      <c r="H31" s="7">
        <f t="shared" si="1"/>
        <v>-714</v>
      </c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</row>
    <row r="32" spans="1:20" ht="22.15" hidden="1" customHeight="1">
      <c r="A32"/>
      <c r="B32" s="6" t="s">
        <v>38</v>
      </c>
      <c r="C32" s="15" t="s">
        <v>14</v>
      </c>
      <c r="D32" s="16">
        <v>273.39999999999998</v>
      </c>
      <c r="E32" s="18">
        <v>45268</v>
      </c>
      <c r="F32" s="18">
        <v>45313</v>
      </c>
      <c r="G32" s="7">
        <f t="shared" si="0"/>
        <v>-1586.6666666666667</v>
      </c>
      <c r="H32" s="7">
        <f t="shared" si="1"/>
        <v>-714</v>
      </c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</row>
    <row r="33" spans="1:20" ht="22.15" hidden="1" customHeight="1">
      <c r="A33"/>
      <c r="B33" s="6" t="s">
        <v>39</v>
      </c>
      <c r="C33" s="15" t="s">
        <v>14</v>
      </c>
      <c r="D33" s="16">
        <v>160.19999999999999</v>
      </c>
      <c r="E33" s="18">
        <v>45274</v>
      </c>
      <c r="F33" s="18">
        <v>45314</v>
      </c>
      <c r="G33" s="7">
        <f t="shared" si="0"/>
        <v>-1782.5</v>
      </c>
      <c r="H33" s="7">
        <f t="shared" si="1"/>
        <v>-713</v>
      </c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</row>
    <row r="34" spans="1:20" ht="22.15" hidden="1" customHeight="1">
      <c r="A34"/>
      <c r="B34" s="6" t="s">
        <v>40</v>
      </c>
      <c r="C34" s="15" t="s">
        <v>14</v>
      </c>
      <c r="D34" s="16">
        <v>351.4</v>
      </c>
      <c r="E34" s="18">
        <v>45275</v>
      </c>
      <c r="F34" s="18">
        <v>45315</v>
      </c>
      <c r="G34" s="7">
        <f t="shared" si="0"/>
        <v>-1780</v>
      </c>
      <c r="H34" s="7">
        <f t="shared" si="1"/>
        <v>-712</v>
      </c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</row>
    <row r="35" spans="1:20" ht="22.15" hidden="1" customHeight="1">
      <c r="A35"/>
      <c r="B35" s="6" t="s">
        <v>41</v>
      </c>
      <c r="C35" s="15" t="s">
        <v>14</v>
      </c>
      <c r="D35" s="16">
        <v>19.004000000000001</v>
      </c>
      <c r="E35" s="18">
        <v>45275</v>
      </c>
      <c r="F35" s="18">
        <v>45315</v>
      </c>
      <c r="G35" s="7">
        <f t="shared" si="0"/>
        <v>-1780</v>
      </c>
      <c r="H35" s="7">
        <f t="shared" si="1"/>
        <v>-712</v>
      </c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</row>
    <row r="36" spans="1:20" ht="22.15" hidden="1" customHeight="1">
      <c r="A36"/>
      <c r="B36" s="6" t="s">
        <v>42</v>
      </c>
      <c r="C36" s="15" t="s">
        <v>14</v>
      </c>
      <c r="D36" s="16">
        <v>6.56</v>
      </c>
      <c r="E36" s="18"/>
      <c r="F36" s="18"/>
      <c r="G36" s="7" t="str">
        <f t="shared" si="0"/>
        <v/>
      </c>
      <c r="H36" s="7">
        <f t="shared" si="1"/>
        <v>-46027</v>
      </c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</row>
    <row r="37" spans="1:20" ht="22.15" hidden="1" customHeight="1">
      <c r="A37"/>
      <c r="B37" s="6" t="s">
        <v>43</v>
      </c>
      <c r="C37" s="15" t="s">
        <v>14</v>
      </c>
      <c r="D37" s="16">
        <v>115.69499999999999</v>
      </c>
      <c r="E37" s="18">
        <v>45276</v>
      </c>
      <c r="F37" s="18">
        <v>45316</v>
      </c>
      <c r="G37" s="7">
        <f t="shared" si="0"/>
        <v>-1777.4999999999998</v>
      </c>
      <c r="H37" s="7">
        <f t="shared" si="1"/>
        <v>-711</v>
      </c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</row>
    <row r="38" spans="1:20" ht="22.15" hidden="1" customHeight="1">
      <c r="A38"/>
      <c r="B38" s="6" t="s">
        <v>44</v>
      </c>
      <c r="C38" s="15" t="s">
        <v>8</v>
      </c>
      <c r="D38" s="16">
        <v>234</v>
      </c>
      <c r="E38" s="18">
        <v>45260</v>
      </c>
      <c r="F38" s="18">
        <v>45320</v>
      </c>
      <c r="G38" s="7">
        <f>IFERROR((F38-$G$1)/(F38-E38)*100,"")</f>
        <v>-1178.3333333333333</v>
      </c>
      <c r="H38" s="7">
        <f>F38-$H$1</f>
        <v>-707</v>
      </c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</row>
    <row r="39" spans="1:20" ht="22.15" hidden="1" customHeight="1">
      <c r="A39"/>
      <c r="B39" s="6" t="s">
        <v>45</v>
      </c>
      <c r="C39" s="15" t="s">
        <v>8</v>
      </c>
      <c r="D39" s="16">
        <v>480</v>
      </c>
      <c r="E39" s="18"/>
      <c r="F39" s="18"/>
      <c r="G39" s="7" t="str">
        <f t="shared" ref="G39:G71" si="2">IFERROR((F39-$G$1)/(F39-E39)*100,"")</f>
        <v/>
      </c>
      <c r="H39" s="7">
        <f t="shared" ref="H39:H71" si="3">F39-$H$1</f>
        <v>-46027</v>
      </c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</row>
    <row r="40" spans="1:20" ht="22.15" hidden="1" customHeight="1">
      <c r="A40"/>
      <c r="B40" s="6" t="s">
        <v>46</v>
      </c>
      <c r="C40" s="15" t="s">
        <v>8</v>
      </c>
      <c r="D40" s="16">
        <v>480</v>
      </c>
      <c r="E40" s="18"/>
      <c r="F40" s="18"/>
      <c r="G40" s="7" t="str">
        <f t="shared" si="2"/>
        <v/>
      </c>
      <c r="H40" s="7">
        <f t="shared" si="3"/>
        <v>-46027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</row>
    <row r="41" spans="1:20" ht="22.15" hidden="1" customHeight="1">
      <c r="A41"/>
      <c r="B41" s="6" t="s">
        <v>47</v>
      </c>
      <c r="C41" s="15" t="s">
        <v>8</v>
      </c>
      <c r="D41" s="19">
        <v>2136</v>
      </c>
      <c r="E41" s="18"/>
      <c r="F41" s="18"/>
      <c r="G41" s="7" t="str">
        <f t="shared" si="2"/>
        <v/>
      </c>
      <c r="H41" s="7">
        <f t="shared" si="3"/>
        <v>-46027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</row>
    <row r="42" spans="1:20" ht="22.15" hidden="1" customHeight="1">
      <c r="A42"/>
      <c r="B42" s="6" t="s">
        <v>48</v>
      </c>
      <c r="C42" s="15" t="s">
        <v>8</v>
      </c>
      <c r="D42" s="16">
        <v>192</v>
      </c>
      <c r="E42" s="18"/>
      <c r="F42" s="18"/>
      <c r="G42" s="7" t="str">
        <f t="shared" si="2"/>
        <v/>
      </c>
      <c r="H42" s="7">
        <f t="shared" si="3"/>
        <v>-46027</v>
      </c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</row>
    <row r="43" spans="1:20" ht="22.15" hidden="1" customHeight="1">
      <c r="A43"/>
      <c r="B43" s="6" t="s">
        <v>49</v>
      </c>
      <c r="C43" s="15" t="s">
        <v>8</v>
      </c>
      <c r="D43" s="16">
        <v>192</v>
      </c>
      <c r="E43" s="18"/>
      <c r="F43" s="18"/>
      <c r="G43" s="7" t="str">
        <f t="shared" si="2"/>
        <v/>
      </c>
      <c r="H43" s="7">
        <f t="shared" si="3"/>
        <v>-46027</v>
      </c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</row>
    <row r="44" spans="1:20" ht="22.15" hidden="1" customHeight="1">
      <c r="A44"/>
      <c r="B44" s="6" t="s">
        <v>50</v>
      </c>
      <c r="C44" s="15" t="s">
        <v>8</v>
      </c>
      <c r="D44" s="19">
        <v>2368</v>
      </c>
      <c r="E44" s="18"/>
      <c r="F44" s="18"/>
      <c r="G44" s="7" t="str">
        <f t="shared" si="2"/>
        <v/>
      </c>
      <c r="H44" s="7">
        <f t="shared" si="3"/>
        <v>-46027</v>
      </c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</row>
    <row r="45" spans="1:20" ht="22.15" hidden="1" customHeight="1">
      <c r="A45"/>
      <c r="B45" s="6" t="s">
        <v>51</v>
      </c>
      <c r="C45" s="15" t="s">
        <v>8</v>
      </c>
      <c r="D45" s="16">
        <v>836</v>
      </c>
      <c r="E45" s="18"/>
      <c r="F45" s="18"/>
      <c r="G45" s="7" t="str">
        <f t="shared" si="2"/>
        <v/>
      </c>
      <c r="H45" s="7">
        <f t="shared" si="3"/>
        <v>-46027</v>
      </c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</row>
    <row r="46" spans="1:20" ht="22.15" hidden="1" customHeight="1">
      <c r="A46"/>
      <c r="B46" s="6" t="s">
        <v>52</v>
      </c>
      <c r="C46" s="15" t="s">
        <v>8</v>
      </c>
      <c r="D46" s="16">
        <v>620</v>
      </c>
      <c r="E46" s="18"/>
      <c r="F46" s="18"/>
      <c r="G46" s="7" t="str">
        <f t="shared" si="2"/>
        <v/>
      </c>
      <c r="H46" s="7">
        <f t="shared" si="3"/>
        <v>-46027</v>
      </c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</row>
    <row r="47" spans="1:20" ht="22.15" hidden="1" customHeight="1">
      <c r="A47"/>
      <c r="B47" s="6" t="s">
        <v>53</v>
      </c>
      <c r="C47" s="15" t="s">
        <v>8</v>
      </c>
      <c r="D47" s="19">
        <v>1484</v>
      </c>
      <c r="E47" s="18"/>
      <c r="F47" s="18"/>
      <c r="G47" s="7" t="str">
        <f t="shared" si="2"/>
        <v/>
      </c>
      <c r="H47" s="7">
        <f t="shared" si="3"/>
        <v>-46027</v>
      </c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</row>
    <row r="48" spans="1:20" ht="22.15" hidden="1" customHeight="1">
      <c r="A48"/>
      <c r="B48" s="6" t="s">
        <v>54</v>
      </c>
      <c r="C48" s="15" t="s">
        <v>8</v>
      </c>
      <c r="D48" s="16">
        <v>644</v>
      </c>
      <c r="E48" s="18"/>
      <c r="F48" s="18"/>
      <c r="G48" s="7" t="str">
        <f t="shared" si="2"/>
        <v/>
      </c>
      <c r="H48" s="7">
        <f t="shared" si="3"/>
        <v>-46027</v>
      </c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</row>
    <row r="49" spans="1:20" ht="22.15" hidden="1" customHeight="1">
      <c r="A49"/>
      <c r="B49" s="6" t="s">
        <v>55</v>
      </c>
      <c r="C49" s="15" t="s">
        <v>8</v>
      </c>
      <c r="D49" s="16">
        <v>716</v>
      </c>
      <c r="E49" s="18"/>
      <c r="F49" s="18"/>
      <c r="G49" s="7" t="str">
        <f t="shared" si="2"/>
        <v/>
      </c>
      <c r="H49" s="7">
        <f t="shared" si="3"/>
        <v>-46027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</row>
    <row r="50" spans="1:20" ht="22.15" hidden="1" customHeight="1">
      <c r="A50"/>
      <c r="B50" s="6" t="s">
        <v>56</v>
      </c>
      <c r="C50" s="15" t="s">
        <v>8</v>
      </c>
      <c r="D50" s="16">
        <v>500</v>
      </c>
      <c r="E50" s="18"/>
      <c r="F50" s="18"/>
      <c r="G50" s="7" t="str">
        <f t="shared" si="2"/>
        <v/>
      </c>
      <c r="H50" s="7">
        <f t="shared" si="3"/>
        <v>-46027</v>
      </c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</row>
    <row r="51" spans="1:20" ht="22.15" hidden="1" customHeight="1">
      <c r="A51"/>
      <c r="B51" s="6" t="s">
        <v>57</v>
      </c>
      <c r="C51" s="15" t="s">
        <v>8</v>
      </c>
      <c r="D51" s="16">
        <v>956</v>
      </c>
      <c r="E51" s="18"/>
      <c r="F51" s="18"/>
      <c r="G51" s="7" t="str">
        <f t="shared" si="2"/>
        <v/>
      </c>
      <c r="H51" s="7">
        <f t="shared" si="3"/>
        <v>-46027</v>
      </c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</row>
    <row r="52" spans="1:20" ht="22.15" hidden="1" customHeight="1">
      <c r="A52"/>
      <c r="B52" s="6" t="s">
        <v>58</v>
      </c>
      <c r="C52" s="15" t="s">
        <v>8</v>
      </c>
      <c r="D52" s="19">
        <v>2012</v>
      </c>
      <c r="E52" s="18"/>
      <c r="F52" s="18"/>
      <c r="G52" s="7" t="str">
        <f t="shared" si="2"/>
        <v/>
      </c>
      <c r="H52" s="7">
        <f t="shared" si="3"/>
        <v>-46027</v>
      </c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</row>
    <row r="53" spans="1:20" ht="22.15" hidden="1" customHeight="1">
      <c r="A53"/>
      <c r="B53" s="6" t="s">
        <v>59</v>
      </c>
      <c r="C53" s="15" t="s">
        <v>8</v>
      </c>
      <c r="D53" s="16">
        <v>740</v>
      </c>
      <c r="E53" s="18"/>
      <c r="F53" s="18"/>
      <c r="G53" s="7" t="str">
        <f t="shared" si="2"/>
        <v/>
      </c>
      <c r="H53" s="7">
        <f t="shared" si="3"/>
        <v>-46027</v>
      </c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</row>
    <row r="54" spans="1:20" ht="22.15" hidden="1" customHeight="1">
      <c r="A54"/>
      <c r="B54" s="6" t="s">
        <v>60</v>
      </c>
      <c r="C54" s="15" t="s">
        <v>8</v>
      </c>
      <c r="D54" s="16">
        <v>92</v>
      </c>
      <c r="E54" s="18"/>
      <c r="F54" s="18"/>
      <c r="G54" s="7" t="str">
        <f t="shared" si="2"/>
        <v/>
      </c>
      <c r="H54" s="7">
        <f t="shared" si="3"/>
        <v>-46027</v>
      </c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</row>
    <row r="55" spans="1:20" ht="22.15" hidden="1" customHeight="1">
      <c r="A55"/>
      <c r="B55" s="6" t="s">
        <v>61</v>
      </c>
      <c r="C55" s="15" t="s">
        <v>8</v>
      </c>
      <c r="D55" s="16">
        <v>636</v>
      </c>
      <c r="E55" s="18"/>
      <c r="F55" s="18"/>
      <c r="G55" s="7" t="str">
        <f t="shared" si="2"/>
        <v/>
      </c>
      <c r="H55" s="7">
        <f t="shared" si="3"/>
        <v>-46027</v>
      </c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</row>
    <row r="56" spans="1:20" ht="22.15" hidden="1" customHeight="1">
      <c r="A56"/>
      <c r="B56" s="6" t="s">
        <v>62</v>
      </c>
      <c r="C56" s="15" t="s">
        <v>8</v>
      </c>
      <c r="D56" s="16">
        <v>636</v>
      </c>
      <c r="E56" s="18"/>
      <c r="F56" s="18"/>
      <c r="G56" s="7" t="str">
        <f t="shared" si="2"/>
        <v/>
      </c>
      <c r="H56" s="7">
        <f t="shared" si="3"/>
        <v>-46027</v>
      </c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</row>
    <row r="57" spans="1:20" ht="22.15" hidden="1" customHeight="1">
      <c r="A57"/>
      <c r="B57" s="6" t="s">
        <v>63</v>
      </c>
      <c r="C57" s="15" t="s">
        <v>8</v>
      </c>
      <c r="D57" s="16">
        <v>620</v>
      </c>
      <c r="E57" s="18"/>
      <c r="F57" s="18"/>
      <c r="G57" s="7" t="str">
        <f t="shared" si="2"/>
        <v/>
      </c>
      <c r="H57" s="7">
        <f t="shared" si="3"/>
        <v>-46027</v>
      </c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</row>
    <row r="58" spans="1:20" ht="22.15" hidden="1" customHeight="1">
      <c r="A58"/>
      <c r="B58" s="6" t="s">
        <v>64</v>
      </c>
      <c r="C58" s="15" t="s">
        <v>8</v>
      </c>
      <c r="D58" s="16">
        <v>636</v>
      </c>
      <c r="E58" s="18"/>
      <c r="F58" s="18"/>
      <c r="G58" s="7" t="str">
        <f t="shared" si="2"/>
        <v/>
      </c>
      <c r="H58" s="7">
        <f t="shared" si="3"/>
        <v>-46027</v>
      </c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</row>
    <row r="59" spans="1:20" ht="22.15" hidden="1" customHeight="1">
      <c r="A59"/>
      <c r="B59" s="6" t="s">
        <v>65</v>
      </c>
      <c r="C59" s="15" t="s">
        <v>8</v>
      </c>
      <c r="D59" s="19">
        <v>3844</v>
      </c>
      <c r="E59" s="18"/>
      <c r="F59" s="18"/>
      <c r="G59" s="7" t="str">
        <f t="shared" si="2"/>
        <v/>
      </c>
      <c r="H59" s="7">
        <f t="shared" si="3"/>
        <v>-46027</v>
      </c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</row>
    <row r="60" spans="1:20" ht="22.15" hidden="1" customHeight="1">
      <c r="A60"/>
      <c r="B60" s="6" t="s">
        <v>66</v>
      </c>
      <c r="C60" s="15" t="s">
        <v>8</v>
      </c>
      <c r="D60" s="19">
        <v>3244</v>
      </c>
      <c r="E60" s="18"/>
      <c r="F60" s="18"/>
      <c r="G60" s="7" t="str">
        <f t="shared" si="2"/>
        <v/>
      </c>
      <c r="H60" s="7">
        <f t="shared" si="3"/>
        <v>-46027</v>
      </c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</row>
    <row r="61" spans="1:20" ht="22.15" hidden="1" customHeight="1">
      <c r="A61"/>
      <c r="B61" s="6" t="s">
        <v>67</v>
      </c>
      <c r="C61" s="15" t="s">
        <v>8</v>
      </c>
      <c r="D61" s="19">
        <v>3244</v>
      </c>
      <c r="E61" s="18"/>
      <c r="F61" s="18"/>
      <c r="G61" s="7" t="str">
        <f t="shared" si="2"/>
        <v/>
      </c>
      <c r="H61" s="7">
        <f t="shared" si="3"/>
        <v>-46027</v>
      </c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</row>
    <row r="62" spans="1:20" ht="22.15" hidden="1" customHeight="1">
      <c r="A62"/>
      <c r="B62" s="6" t="s">
        <v>68</v>
      </c>
      <c r="C62" s="15" t="s">
        <v>8</v>
      </c>
      <c r="D62" s="19">
        <v>3268</v>
      </c>
      <c r="E62" s="18"/>
      <c r="F62" s="18"/>
      <c r="G62" s="7" t="str">
        <f t="shared" si="2"/>
        <v/>
      </c>
      <c r="H62" s="7">
        <f t="shared" si="3"/>
        <v>-46027</v>
      </c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</row>
    <row r="63" spans="1:20" ht="22.15" hidden="1" customHeight="1">
      <c r="A63"/>
      <c r="B63" s="6" t="s">
        <v>69</v>
      </c>
      <c r="C63" s="15" t="s">
        <v>8</v>
      </c>
      <c r="D63" s="19">
        <v>1608</v>
      </c>
      <c r="E63" s="18"/>
      <c r="F63" s="18"/>
      <c r="G63" s="7" t="str">
        <f t="shared" si="2"/>
        <v/>
      </c>
      <c r="H63" s="7">
        <f t="shared" si="3"/>
        <v>-46027</v>
      </c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</row>
    <row r="64" spans="1:20" ht="22.15" hidden="1" customHeight="1">
      <c r="A64"/>
      <c r="B64" s="6" t="s">
        <v>70</v>
      </c>
      <c r="C64" s="15" t="s">
        <v>8</v>
      </c>
      <c r="D64" s="19">
        <v>1284</v>
      </c>
      <c r="E64" s="18"/>
      <c r="F64" s="18"/>
      <c r="G64" s="7" t="str">
        <f t="shared" si="2"/>
        <v/>
      </c>
      <c r="H64" s="7">
        <f t="shared" si="3"/>
        <v>-46027</v>
      </c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</row>
    <row r="65" spans="1:20" ht="22.15" hidden="1" customHeight="1">
      <c r="A65"/>
      <c r="B65" s="6" t="s">
        <v>71</v>
      </c>
      <c r="C65" s="15" t="s">
        <v>8</v>
      </c>
      <c r="D65" s="19">
        <v>1266</v>
      </c>
      <c r="E65" s="18"/>
      <c r="F65" s="18"/>
      <c r="G65" s="7" t="str">
        <f t="shared" si="2"/>
        <v/>
      </c>
      <c r="H65" s="7">
        <f t="shared" si="3"/>
        <v>-46027</v>
      </c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</row>
    <row r="66" spans="1:20" ht="22.15" hidden="1" customHeight="1">
      <c r="A66"/>
      <c r="B66" s="6" t="s">
        <v>72</v>
      </c>
      <c r="C66" s="15" t="s">
        <v>8</v>
      </c>
      <c r="D66" s="19">
        <v>1278</v>
      </c>
      <c r="E66" s="18"/>
      <c r="F66" s="18"/>
      <c r="G66" s="7" t="str">
        <f t="shared" si="2"/>
        <v/>
      </c>
      <c r="H66" s="7">
        <f t="shared" si="3"/>
        <v>-46027</v>
      </c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</row>
    <row r="67" spans="1:20" ht="22.15" hidden="1" customHeight="1">
      <c r="A67"/>
      <c r="B67" s="6" t="s">
        <v>73</v>
      </c>
      <c r="C67" s="15" t="s">
        <v>8</v>
      </c>
      <c r="D67" s="16">
        <v>300</v>
      </c>
      <c r="E67" s="18"/>
      <c r="F67" s="18"/>
      <c r="G67" s="7" t="str">
        <f t="shared" si="2"/>
        <v/>
      </c>
      <c r="H67" s="7">
        <f t="shared" si="3"/>
        <v>-46027</v>
      </c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</row>
    <row r="68" spans="1:20" ht="22.15" hidden="1" customHeight="1">
      <c r="A68"/>
      <c r="B68" s="6" t="s">
        <v>74</v>
      </c>
      <c r="C68" s="15" t="s">
        <v>8</v>
      </c>
      <c r="D68" s="16">
        <v>306</v>
      </c>
      <c r="E68" s="18"/>
      <c r="F68" s="18"/>
      <c r="G68" s="7" t="str">
        <f t="shared" si="2"/>
        <v/>
      </c>
      <c r="H68" s="7">
        <f t="shared" si="3"/>
        <v>-46027</v>
      </c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</row>
    <row r="69" spans="1:20" ht="22.15" hidden="1" customHeight="1">
      <c r="A69"/>
      <c r="B69" s="6" t="s">
        <v>75</v>
      </c>
      <c r="C69" s="15" t="s">
        <v>8</v>
      </c>
      <c r="D69" s="19">
        <v>1296</v>
      </c>
      <c r="E69" s="18"/>
      <c r="F69" s="18"/>
      <c r="G69" s="7" t="str">
        <f t="shared" si="2"/>
        <v/>
      </c>
      <c r="H69" s="7">
        <f t="shared" si="3"/>
        <v>-46027</v>
      </c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</row>
    <row r="70" spans="1:20" ht="22.15" hidden="1" customHeight="1">
      <c r="A70"/>
      <c r="B70" s="6" t="s">
        <v>76</v>
      </c>
      <c r="C70" s="15" t="s">
        <v>8</v>
      </c>
      <c r="D70" s="16">
        <v>414</v>
      </c>
      <c r="E70" s="18"/>
      <c r="F70" s="18"/>
      <c r="G70" s="7" t="str">
        <f t="shared" si="2"/>
        <v/>
      </c>
      <c r="H70" s="7">
        <f t="shared" si="3"/>
        <v>-46027</v>
      </c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</row>
    <row r="71" spans="1:20" ht="28.5" customHeight="1">
      <c r="A71"/>
      <c r="B71" s="8" t="s">
        <v>77</v>
      </c>
      <c r="C71" s="20" t="s">
        <v>8</v>
      </c>
      <c r="D71" s="21">
        <v>12</v>
      </c>
      <c r="E71" s="22">
        <v>45982</v>
      </c>
      <c r="F71" s="18">
        <v>46032</v>
      </c>
      <c r="G71" s="7">
        <f t="shared" si="2"/>
        <v>10</v>
      </c>
      <c r="H71" s="7">
        <f t="shared" si="3"/>
        <v>5</v>
      </c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</row>
    <row r="72" spans="1:20" ht="22.15" hidden="1" customHeight="1">
      <c r="A72"/>
      <c r="B72" s="10"/>
      <c r="C72" s="20"/>
      <c r="D72" s="21"/>
      <c r="E72" s="18"/>
      <c r="F72" s="18"/>
      <c r="G72" s="7" t="str">
        <f t="shared" ref="G72:G82" si="4">IFERROR((F72-$G$1)/(F72-E72)*100,"")</f>
        <v/>
      </c>
      <c r="H72" s="7">
        <f t="shared" ref="H72:H82" si="5">F72-$H$1</f>
        <v>-46027</v>
      </c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</row>
    <row r="73" spans="1:20" ht="22.15" hidden="1" customHeight="1">
      <c r="A73"/>
      <c r="B73" s="10"/>
      <c r="C73" s="20"/>
      <c r="D73" s="21"/>
      <c r="E73" s="18"/>
      <c r="F73" s="18"/>
      <c r="G73" s="7" t="str">
        <f t="shared" si="4"/>
        <v/>
      </c>
      <c r="H73" s="7">
        <f t="shared" si="5"/>
        <v>-46027</v>
      </c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</row>
    <row r="74" spans="1:20" ht="22.15" hidden="1" customHeight="1">
      <c r="A74"/>
      <c r="B74" s="10"/>
      <c r="C74" s="20"/>
      <c r="D74" s="21"/>
      <c r="E74" s="18"/>
      <c r="F74" s="18"/>
      <c r="G74" s="7" t="str">
        <f t="shared" si="4"/>
        <v/>
      </c>
      <c r="H74" s="7">
        <f t="shared" si="5"/>
        <v>-46027</v>
      </c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</row>
    <row r="75" spans="1:20" ht="22.15" hidden="1" customHeight="1">
      <c r="A75"/>
      <c r="B75" s="10"/>
      <c r="C75" s="20"/>
      <c r="D75" s="21"/>
      <c r="E75" s="18"/>
      <c r="F75" s="18"/>
      <c r="G75" s="7" t="str">
        <f t="shared" si="4"/>
        <v/>
      </c>
      <c r="H75" s="7">
        <f t="shared" si="5"/>
        <v>-46027</v>
      </c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</row>
    <row r="76" spans="1:20" ht="22.15" hidden="1" customHeight="1">
      <c r="A76"/>
      <c r="B76" s="10"/>
      <c r="C76" s="20"/>
      <c r="D76" s="21"/>
      <c r="E76" s="18"/>
      <c r="F76" s="18"/>
      <c r="G76" s="7" t="str">
        <f t="shared" si="4"/>
        <v/>
      </c>
      <c r="H76" s="7">
        <f t="shared" si="5"/>
        <v>-46027</v>
      </c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</row>
    <row r="77" spans="1:20" ht="22.15" customHeight="1">
      <c r="A77"/>
      <c r="B77" s="8" t="s">
        <v>78</v>
      </c>
      <c r="C77" s="20" t="s">
        <v>14</v>
      </c>
      <c r="D77" s="21">
        <v>6.6349999999999998</v>
      </c>
      <c r="E77" s="18">
        <v>46004</v>
      </c>
      <c r="F77" s="18">
        <v>46049</v>
      </c>
      <c r="G77" s="7">
        <f t="shared" si="4"/>
        <v>48.888888888888886</v>
      </c>
      <c r="H77" s="7">
        <f t="shared" si="5"/>
        <v>22</v>
      </c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</row>
    <row r="78" spans="1:20" ht="22.15" customHeight="1">
      <c r="A78"/>
      <c r="B78" s="8" t="s">
        <v>79</v>
      </c>
      <c r="C78" s="15" t="s">
        <v>14</v>
      </c>
      <c r="D78" s="23">
        <v>16.567</v>
      </c>
      <c r="E78" s="18">
        <v>46003</v>
      </c>
      <c r="F78" s="18">
        <v>46048</v>
      </c>
      <c r="G78" s="7">
        <f t="shared" si="4"/>
        <v>46.666666666666664</v>
      </c>
      <c r="H78" s="7">
        <f t="shared" si="5"/>
        <v>21</v>
      </c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</row>
    <row r="79" spans="1:20" ht="22.15" customHeight="1">
      <c r="A79"/>
      <c r="B79" s="8" t="s">
        <v>79</v>
      </c>
      <c r="C79" s="15" t="s">
        <v>80</v>
      </c>
      <c r="D79" s="23">
        <v>31.140999999999998</v>
      </c>
      <c r="E79" s="18">
        <v>46004</v>
      </c>
      <c r="F79" s="18">
        <v>46049</v>
      </c>
      <c r="G79" s="7">
        <f t="shared" si="4"/>
        <v>48.888888888888886</v>
      </c>
      <c r="H79" s="7">
        <f t="shared" si="5"/>
        <v>22</v>
      </c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</row>
    <row r="80" spans="1:20" ht="22.15" customHeight="1">
      <c r="A80"/>
      <c r="B80" s="8" t="s">
        <v>79</v>
      </c>
      <c r="C80" s="15" t="s">
        <v>14</v>
      </c>
      <c r="D80" s="24">
        <v>2.0569999999999999</v>
      </c>
      <c r="E80" s="18">
        <v>45994</v>
      </c>
      <c r="F80" s="18">
        <v>46039</v>
      </c>
      <c r="G80" s="7">
        <f t="shared" si="4"/>
        <v>26.666666666666668</v>
      </c>
      <c r="H80" s="7">
        <f t="shared" si="5"/>
        <v>12</v>
      </c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</row>
    <row r="81" spans="1:20" ht="22.15" customHeight="1">
      <c r="A81"/>
      <c r="B81" s="8" t="s">
        <v>81</v>
      </c>
      <c r="C81" s="25" t="s">
        <v>14</v>
      </c>
      <c r="D81" s="24">
        <v>40.246000000000002</v>
      </c>
      <c r="E81" s="18">
        <v>45997</v>
      </c>
      <c r="F81" s="18">
        <v>46042</v>
      </c>
      <c r="G81" s="7">
        <f t="shared" si="4"/>
        <v>33.333333333333329</v>
      </c>
      <c r="H81" s="7">
        <f t="shared" si="5"/>
        <v>15</v>
      </c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</row>
    <row r="82" spans="1:20" ht="22.15" customHeight="1">
      <c r="A82"/>
      <c r="B82" s="8" t="s">
        <v>82</v>
      </c>
      <c r="C82" s="15" t="s">
        <v>14</v>
      </c>
      <c r="D82" s="24">
        <v>12.492000000000001</v>
      </c>
      <c r="E82" s="18">
        <v>46001</v>
      </c>
      <c r="F82" s="18">
        <v>46051</v>
      </c>
      <c r="G82" s="7">
        <f t="shared" si="4"/>
        <v>48</v>
      </c>
      <c r="H82" s="7">
        <f t="shared" si="5"/>
        <v>24</v>
      </c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</row>
    <row r="83" spans="1:20" ht="22.15" customHeight="1">
      <c r="A83"/>
      <c r="B83" s="8" t="s">
        <v>82</v>
      </c>
      <c r="C83" s="15" t="s">
        <v>14</v>
      </c>
      <c r="D83" s="23" t="s">
        <v>83</v>
      </c>
      <c r="E83" s="18">
        <v>46001</v>
      </c>
      <c r="F83" s="18">
        <v>46052</v>
      </c>
      <c r="G83" s="7">
        <f t="shared" ref="G83" si="6">IFERROR((F83-$G$1)/(F83-E83)*100,"")</f>
        <v>49.019607843137251</v>
      </c>
      <c r="H83" s="7">
        <f t="shared" ref="H83" si="7">F83-$H$1</f>
        <v>25</v>
      </c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</row>
    <row r="84" spans="1:20" ht="22.15" customHeight="1">
      <c r="A84"/>
      <c r="B84" s="8" t="s">
        <v>84</v>
      </c>
      <c r="C84" s="15" t="s">
        <v>14</v>
      </c>
      <c r="D84" s="26" t="s">
        <v>85</v>
      </c>
      <c r="E84" s="18">
        <v>45996</v>
      </c>
      <c r="F84" s="18">
        <v>46041</v>
      </c>
      <c r="G84" s="7">
        <f t="shared" ref="G84:G86" si="8">IFERROR((F84-$G$1)/(F84-E84)*100,"")</f>
        <v>31.111111111111111</v>
      </c>
      <c r="H84" s="7">
        <f t="shared" ref="H84:H86" si="9">F84-$H$1</f>
        <v>14</v>
      </c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</row>
    <row r="85" spans="1:20" ht="22.15" customHeight="1">
      <c r="A85"/>
      <c r="B85" s="8" t="s">
        <v>86</v>
      </c>
      <c r="C85" s="15" t="s">
        <v>14</v>
      </c>
      <c r="D85" s="23">
        <v>13.875999999999999</v>
      </c>
      <c r="E85" s="18">
        <v>45983</v>
      </c>
      <c r="F85" s="18">
        <v>46033</v>
      </c>
      <c r="G85" s="7">
        <f t="shared" si="8"/>
        <v>12</v>
      </c>
      <c r="H85" s="7">
        <f t="shared" si="9"/>
        <v>6</v>
      </c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</row>
    <row r="86" spans="1:20" ht="22.15" customHeight="1">
      <c r="A86"/>
      <c r="B86" s="8" t="s">
        <v>87</v>
      </c>
      <c r="C86" s="15" t="s">
        <v>8</v>
      </c>
      <c r="D86" s="23">
        <v>30</v>
      </c>
      <c r="E86" s="18">
        <v>45998</v>
      </c>
      <c r="F86" s="18">
        <v>46043</v>
      </c>
      <c r="G86" s="7">
        <f t="shared" si="8"/>
        <v>35.555555555555557</v>
      </c>
      <c r="H86" s="7">
        <f t="shared" si="9"/>
        <v>16</v>
      </c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</row>
    <row r="87" spans="1:20" ht="22.15" customHeight="1">
      <c r="A87"/>
      <c r="B87" s="8" t="s">
        <v>88</v>
      </c>
      <c r="C87" s="15" t="s">
        <v>8</v>
      </c>
      <c r="D87" s="23">
        <v>4</v>
      </c>
      <c r="E87" s="18">
        <v>45986</v>
      </c>
      <c r="F87" s="18">
        <v>46031</v>
      </c>
      <c r="G87" s="7">
        <f t="shared" ref="G87" si="10">IFERROR((F87-$G$1)/(F87-E87)*100,"")</f>
        <v>8.8888888888888893</v>
      </c>
      <c r="H87" s="7">
        <f t="shared" ref="H87" si="11">F87-$H$1</f>
        <v>4</v>
      </c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</row>
    <row r="88" spans="1:20" ht="22.15" customHeight="1">
      <c r="A88"/>
      <c r="B88" s="8" t="s">
        <v>89</v>
      </c>
      <c r="C88" s="15" t="s">
        <v>8</v>
      </c>
      <c r="D88" s="23">
        <v>5</v>
      </c>
      <c r="E88" s="18">
        <v>45986</v>
      </c>
      <c r="F88" s="18">
        <v>46031</v>
      </c>
      <c r="G88" s="7">
        <f t="shared" ref="G88:G90" si="12">IFERROR((F88-$G$1)/(F88-E88)*100,"")</f>
        <v>8.8888888888888893</v>
      </c>
      <c r="H88" s="7">
        <f t="shared" ref="H88:H90" si="13">F88-$H$1</f>
        <v>4</v>
      </c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</row>
    <row r="89" spans="1:20" ht="22.15" customHeight="1">
      <c r="A89"/>
      <c r="B89" s="8" t="s">
        <v>90</v>
      </c>
      <c r="C89" s="15" t="s">
        <v>8</v>
      </c>
      <c r="D89" s="23">
        <v>3</v>
      </c>
      <c r="E89" s="18">
        <v>45993</v>
      </c>
      <c r="F89" s="18">
        <v>46038</v>
      </c>
      <c r="G89" s="7">
        <f t="shared" si="12"/>
        <v>24.444444444444443</v>
      </c>
      <c r="H89" s="7">
        <f t="shared" si="13"/>
        <v>11</v>
      </c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</row>
    <row r="90" spans="1:20" ht="22.15" customHeight="1">
      <c r="A90"/>
      <c r="B90" s="8" t="s">
        <v>90</v>
      </c>
      <c r="C90" s="15" t="s">
        <v>8</v>
      </c>
      <c r="D90" s="23">
        <v>8</v>
      </c>
      <c r="E90" s="18">
        <v>46007</v>
      </c>
      <c r="F90" s="18">
        <v>46052</v>
      </c>
      <c r="G90" s="7">
        <f t="shared" si="12"/>
        <v>55.555555555555557</v>
      </c>
      <c r="H90" s="7">
        <f t="shared" si="13"/>
        <v>25</v>
      </c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</row>
    <row r="91" spans="1:20" ht="22.15" customHeight="1">
      <c r="A91"/>
      <c r="B91" s="8" t="s">
        <v>91</v>
      </c>
      <c r="C91" s="15" t="s">
        <v>8</v>
      </c>
      <c r="D91" s="23">
        <v>61</v>
      </c>
      <c r="E91" s="18">
        <v>45996</v>
      </c>
      <c r="F91" s="18">
        <v>46056</v>
      </c>
      <c r="G91" s="7">
        <f t="shared" ref="G91:G103" si="14">IFERROR((F91-$G$1)/(F91-E91)*100,"")</f>
        <v>48.333333333333336</v>
      </c>
      <c r="H91" s="7">
        <f t="shared" ref="H91:H103" si="15">F91-$H$1</f>
        <v>29</v>
      </c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</row>
    <row r="92" spans="1:20" ht="22.15" customHeight="1">
      <c r="A92"/>
      <c r="B92" s="8" t="s">
        <v>92</v>
      </c>
      <c r="C92" s="15" t="s">
        <v>8</v>
      </c>
      <c r="D92" s="23">
        <v>4</v>
      </c>
      <c r="E92" s="18">
        <v>46000</v>
      </c>
      <c r="F92" s="18">
        <v>46050</v>
      </c>
      <c r="G92" s="7">
        <f t="shared" si="14"/>
        <v>46</v>
      </c>
      <c r="H92" s="7">
        <f t="shared" si="15"/>
        <v>23</v>
      </c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</row>
    <row r="93" spans="1:20" ht="22.15" customHeight="1">
      <c r="A93"/>
      <c r="B93" s="8" t="s">
        <v>93</v>
      </c>
      <c r="C93" s="15" t="s">
        <v>14</v>
      </c>
      <c r="D93" s="23">
        <v>16.870999999999999</v>
      </c>
      <c r="E93" s="18">
        <v>46002</v>
      </c>
      <c r="F93" s="18">
        <v>46047</v>
      </c>
      <c r="G93" s="7">
        <f t="shared" si="14"/>
        <v>44.444444444444443</v>
      </c>
      <c r="H93" s="7">
        <f t="shared" si="15"/>
        <v>20</v>
      </c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ht="22.15" customHeight="1">
      <c r="A94"/>
      <c r="B94" s="8" t="s">
        <v>94</v>
      </c>
      <c r="C94" s="27" t="s">
        <v>8</v>
      </c>
      <c r="D94" s="28">
        <v>2</v>
      </c>
      <c r="E94" s="29">
        <v>46008</v>
      </c>
      <c r="F94" s="29">
        <v>46038</v>
      </c>
      <c r="G94" s="9">
        <f t="shared" si="14"/>
        <v>36.666666666666664</v>
      </c>
      <c r="H94" s="9">
        <f t="shared" si="15"/>
        <v>11</v>
      </c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</row>
    <row r="95" spans="1:20" ht="22.15" customHeight="1">
      <c r="A95"/>
      <c r="B95" s="8" t="s">
        <v>95</v>
      </c>
      <c r="C95" s="30" t="s">
        <v>14</v>
      </c>
      <c r="D95" s="31">
        <v>363.28</v>
      </c>
      <c r="E95" s="29">
        <v>46002</v>
      </c>
      <c r="F95" s="29">
        <v>46047</v>
      </c>
      <c r="G95" s="9">
        <f t="shared" si="14"/>
        <v>44.444444444444443</v>
      </c>
      <c r="H95" s="9">
        <f t="shared" si="15"/>
        <v>20</v>
      </c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</row>
    <row r="96" spans="1:20" ht="22.15" customHeight="1">
      <c r="A96"/>
      <c r="B96" s="8" t="s">
        <v>95</v>
      </c>
      <c r="C96" s="32" t="s">
        <v>14</v>
      </c>
      <c r="D96" s="33">
        <v>114.623</v>
      </c>
      <c r="E96" s="29">
        <v>45993</v>
      </c>
      <c r="F96" s="29">
        <v>46038</v>
      </c>
      <c r="G96" s="9">
        <f t="shared" si="14"/>
        <v>24.444444444444443</v>
      </c>
      <c r="H96" s="9">
        <f t="shared" si="15"/>
        <v>11</v>
      </c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</row>
    <row r="97" spans="1:20" ht="22.15" customHeight="1">
      <c r="A97"/>
      <c r="B97" s="8" t="s">
        <v>96</v>
      </c>
      <c r="C97" s="34" t="s">
        <v>8</v>
      </c>
      <c r="D97" s="35">
        <v>10</v>
      </c>
      <c r="E97" s="29">
        <v>45919</v>
      </c>
      <c r="F97" s="29">
        <v>46069</v>
      </c>
      <c r="G97" s="9">
        <f t="shared" si="14"/>
        <v>28.000000000000004</v>
      </c>
      <c r="H97" s="9">
        <f t="shared" si="15"/>
        <v>42</v>
      </c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</row>
    <row r="98" spans="1:20" ht="22.15" customHeight="1">
      <c r="A98"/>
      <c r="B98" s="8" t="s">
        <v>97</v>
      </c>
      <c r="C98" s="32" t="s">
        <v>14</v>
      </c>
      <c r="D98" s="33">
        <v>6.54</v>
      </c>
      <c r="E98" s="29">
        <v>45916</v>
      </c>
      <c r="F98" s="29">
        <v>46036</v>
      </c>
      <c r="G98" s="9">
        <f t="shared" si="14"/>
        <v>7.5</v>
      </c>
      <c r="H98" s="9">
        <f t="shared" si="15"/>
        <v>9</v>
      </c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</row>
    <row r="99" spans="1:20" ht="22.15" customHeight="1">
      <c r="A99"/>
      <c r="B99" s="8"/>
      <c r="C99" s="34"/>
      <c r="D99" s="35"/>
      <c r="E99" s="29"/>
      <c r="F99" s="29"/>
      <c r="G99" s="9" t="str">
        <f t="shared" si="14"/>
        <v/>
      </c>
      <c r="H99" s="9">
        <f t="shared" si="15"/>
        <v>-46027</v>
      </c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</row>
    <row r="100" spans="1:20" ht="22.15" customHeight="1">
      <c r="A100"/>
      <c r="B100" s="8"/>
      <c r="C100" s="32"/>
      <c r="D100" s="33"/>
      <c r="E100" s="29"/>
      <c r="F100" s="29"/>
      <c r="G100" s="9" t="str">
        <f t="shared" si="14"/>
        <v/>
      </c>
      <c r="H100" s="9">
        <f t="shared" si="15"/>
        <v>-46027</v>
      </c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</row>
    <row r="101" spans="1:20" ht="22.15" customHeight="1">
      <c r="A101"/>
      <c r="B101" s="8"/>
      <c r="C101" s="34"/>
      <c r="D101" s="35"/>
      <c r="E101" s="29"/>
      <c r="F101" s="29"/>
      <c r="G101" s="9" t="str">
        <f t="shared" si="14"/>
        <v/>
      </c>
      <c r="H101" s="9">
        <f t="shared" si="15"/>
        <v>-46027</v>
      </c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</row>
    <row r="102" spans="1:20" ht="22.15" customHeight="1">
      <c r="A102"/>
      <c r="B102" s="8"/>
      <c r="C102" s="36"/>
      <c r="D102" s="37"/>
      <c r="E102" s="29"/>
      <c r="F102" s="29"/>
      <c r="G102" s="9" t="str">
        <f t="shared" si="14"/>
        <v/>
      </c>
      <c r="H102" s="9">
        <f t="shared" si="15"/>
        <v>-46027</v>
      </c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</row>
    <row r="103" spans="1:20" ht="22.15" customHeight="1">
      <c r="A103"/>
      <c r="B103" s="8"/>
      <c r="C103" s="32"/>
      <c r="D103" s="38"/>
      <c r="E103" s="39"/>
      <c r="F103" s="29"/>
      <c r="G103" s="9" t="str">
        <f t="shared" si="14"/>
        <v/>
      </c>
      <c r="H103" s="9">
        <f t="shared" si="15"/>
        <v>-46027</v>
      </c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</row>
    <row r="104" spans="1:20" ht="22.15" customHeight="1">
      <c r="A104"/>
      <c r="B104"/>
      <c r="C104" s="40"/>
      <c r="D104" s="40"/>
      <c r="E104" s="40"/>
      <c r="F104" s="40"/>
      <c r="G104" s="40"/>
      <c r="H104" s="40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</row>
    <row r="105" spans="1:20" ht="22.15" customHeight="1">
      <c r="A105"/>
      <c r="B105"/>
      <c r="C105" s="40"/>
      <c r="D105" s="40"/>
      <c r="E105" s="40"/>
      <c r="F105" s="40"/>
      <c r="G105" s="40"/>
      <c r="H105" s="40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</row>
    <row r="106" spans="1:20" ht="22.15" customHeight="1">
      <c r="A106"/>
      <c r="B106"/>
      <c r="C106" s="40"/>
      <c r="D106" s="40"/>
      <c r="E106" s="40"/>
      <c r="F106" s="40"/>
      <c r="G106" s="40"/>
      <c r="H106" s="40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</row>
    <row r="107" spans="1:20" ht="22.15" customHeight="1">
      <c r="A107"/>
      <c r="B107"/>
      <c r="C107" s="40"/>
      <c r="D107" s="40"/>
      <c r="E107" s="40"/>
      <c r="F107" s="40"/>
      <c r="G107" s="40"/>
      <c r="H107" s="40"/>
    </row>
    <row r="108" spans="1:20" ht="22.15" customHeight="1">
      <c r="A108"/>
      <c r="B108"/>
      <c r="C108" s="40"/>
      <c r="D108" s="40"/>
      <c r="E108" s="40"/>
      <c r="F108" s="40"/>
      <c r="G108" s="40"/>
      <c r="H108" s="40"/>
    </row>
    <row r="109" spans="1:20" ht="22.15" customHeight="1">
      <c r="A109"/>
      <c r="B109"/>
      <c r="C109" s="40"/>
      <c r="D109" s="40"/>
      <c r="E109" s="40"/>
      <c r="F109" s="40"/>
      <c r="G109" s="40"/>
      <c r="H109" s="40"/>
    </row>
    <row r="110" spans="1:20" ht="22.15" customHeight="1">
      <c r="A110"/>
      <c r="B110"/>
      <c r="C110" s="40"/>
      <c r="D110" s="40"/>
      <c r="E110" s="40"/>
      <c r="F110" s="40"/>
    </row>
  </sheetData>
  <phoneticPr fontId="8" type="noConversion"/>
  <conditionalFormatting sqref="G3:H103">
    <cfRule type="cellIs" dxfId="8" priority="40" stopIfTrue="1" operator="equal">
      <formula>50</formula>
    </cfRule>
    <cfRule type="cellIs" dxfId="7" priority="41" stopIfTrue="1" operator="lessThan">
      <formula>50</formula>
    </cfRule>
    <cfRule type="cellIs" dxfId="6" priority="42" stopIfTrue="1" operator="greaterThan">
      <formula>50</formula>
    </cfRule>
  </conditionalFormatting>
  <conditionalFormatting sqref="H3:H103">
    <cfRule type="cellIs" dxfId="5" priority="34" stopIfTrue="1" operator="between">
      <formula>15</formula>
      <formula>20</formula>
    </cfRule>
    <cfRule type="cellIs" dxfId="4" priority="35" stopIfTrue="1" operator="lessThan">
      <formula>15</formula>
    </cfRule>
    <cfRule type="cellIs" dxfId="3" priority="36" stopIfTrue="1" operator="greaterThan">
      <formula>20</formula>
    </cfRule>
    <cfRule type="cellIs" dxfId="2" priority="37" stopIfTrue="1" operator="between">
      <formula>15</formula>
      <formula>20</formula>
    </cfRule>
    <cfRule type="cellIs" dxfId="1" priority="38" stopIfTrue="1" operator="lessThan">
      <formula>15</formula>
    </cfRule>
    <cfRule type="cellIs" dxfId="0" priority="39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2026-01-05T10:54:56Z</dcterms:modified>
</cp:coreProperties>
</file>