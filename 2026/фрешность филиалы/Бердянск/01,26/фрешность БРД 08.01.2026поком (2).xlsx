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2" i="1"/>
  <c r="O79"/>
  <c r="O80"/>
  <c r="O81"/>
  <c r="O72"/>
  <c r="O73"/>
  <c r="O74"/>
  <c r="O75"/>
  <c r="O76"/>
  <c r="O77"/>
  <c r="O78"/>
  <c r="O71"/>
  <c r="H71" l="1"/>
  <c r="H72"/>
  <c r="H73"/>
  <c r="H74"/>
  <c r="H75"/>
  <c r="H76"/>
  <c r="H77"/>
  <c r="H78"/>
  <c r="H79"/>
  <c r="H80"/>
  <c r="H81"/>
  <c r="H82"/>
  <c r="G72"/>
  <c r="G73"/>
  <c r="G74"/>
  <c r="G75"/>
  <c r="G76"/>
  <c r="G77"/>
  <c r="G78"/>
  <c r="G79"/>
  <c r="G80"/>
  <c r="G81"/>
  <c r="G82"/>
  <c r="M87"/>
  <c r="N87"/>
  <c r="M95"/>
  <c r="M96"/>
  <c r="M97"/>
  <c r="M98"/>
  <c r="M99"/>
  <c r="M100"/>
  <c r="M101"/>
  <c r="M102"/>
  <c r="M103"/>
  <c r="M104"/>
  <c r="M105"/>
  <c r="M106"/>
  <c r="M107"/>
  <c r="M108"/>
  <c r="N96"/>
  <c r="N97"/>
  <c r="N98"/>
  <c r="N99"/>
  <c r="N100"/>
  <c r="N101"/>
  <c r="N102"/>
  <c r="N103"/>
  <c r="N104"/>
  <c r="N105"/>
  <c r="N106"/>
  <c r="N107"/>
  <c r="N108"/>
  <c r="N95" l="1"/>
  <c r="N94"/>
  <c r="M94"/>
  <c r="N93"/>
  <c r="M93"/>
  <c r="N92"/>
  <c r="M92"/>
  <c r="N91"/>
  <c r="M91"/>
  <c r="N90"/>
  <c r="M90"/>
  <c r="N89"/>
  <c r="M89"/>
  <c r="N88"/>
  <c r="M88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83" l="1"/>
  <c r="G71" l="1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<sst xmlns="http://schemas.openxmlformats.org/spreadsheetml/2006/main" count="283" uniqueCount="102">
  <si>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</si>
  <si>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</si>
  <si>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</si>
  <si>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</si>
  <si>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</si>
  <si>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</si>
  <si>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</si>
  <si>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</si>
  <si>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</si>
  <si>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</si>
  <si>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</si>
  <si>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</si>
  <si>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</si>
  <si>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</si>
  <si>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</si>
  <si>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</si>
  <si>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</si>
  <si>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</si>
  <si>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</si>
  <si>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</si>
  <si>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</si>
  <si>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</si>
  <si>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</si>
  <si>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</si>
  <si>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</si>
  <si>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</si>
  <si>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</si>
  <si>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</si>
  <si>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</si>
  <si>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</si>
  <si>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</si>
  <si>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</si>
  <si>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</si>
  <si>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</si>
  <si>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</si>
  <si>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</si>
  <si>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</si>
  <si>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</si>
  <si>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</si>
  <si>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</si>
  <si>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</si>
  <si>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</si>
  <si>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</si>
  <si>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</si>
  <si>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</si>
  <si>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</si>
  <si>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</si>
  <si>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</si>
  <si>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</si>
  <si>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</si>
  <si>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</si>
  <si>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</si>
  <si>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</si>
  <si>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</si>
  <si>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</si>
  <si>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</si>
  <si>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</si>
  <si>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</si>
  <si>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</si>
  <si>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</si>
  <si>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</si>
  <si>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</si>
  <si>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</si>
  <si>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</si>
  <si>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</si>
  <si>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</si>
  <si>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</si>
  <si>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</si>
  <si>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</si>
  <si>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</si>
  <si>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</si>
  <si>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</si>
  <si>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</si>
  <si>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</si>
  <si>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</si>
  <si>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</si>
  <si>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</si>
  <si>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</si>
  <si>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</si>
  <si>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257  Сосиски Молочные оригинальные ТМ Особый рецепт, ВЕС.   ПОКОМ, SU000246</t>
  </si>
  <si>
    <t xml:space="preserve"> 250  Сардельки стародворские с говядиной в обол. NDX, ВЕС. ПОКОМ, SU000227</t>
  </si>
  <si>
    <t xml:space="preserve"> 283  Сосиски Сочинки, ВЕС, ТМ Стародворье ПОКОМ, SU002725</t>
  </si>
  <si>
    <t xml:space="preserve"> 302  Сосиски Сочинки по-баварски,  0.4кг, ТМ Стародворье  ПОКОМ, SU002799</t>
  </si>
  <si>
    <t xml:space="preserve"> 329  Сардельки Сочинки с сыром Стародворье ТМ, 0,4 кг. ПОКОМ, SU002759</t>
  </si>
  <si>
    <t xml:space="preserve"> 273  Сосиски Сочинки с сочной грудинкой, МГС 0.4кг,   ПОКОМ, SU002618</t>
  </si>
  <si>
    <t xml:space="preserve"> 328  Сардельки Сочинки Стародворье ТМ  0,4 кг ПОКОМ, SU002758</t>
  </si>
  <si>
    <t xml:space="preserve"> 248  Сардельки Сочные ТМ Особый рецепт,   ПОКОМ, SU002287</t>
  </si>
  <si>
    <t>28.,334</t>
  </si>
  <si>
    <t xml:space="preserve"> 341 Сосиски Сочинки Сливочные ТМ Стародворье ВЕС ПОКОМ, SU002845</t>
  </si>
  <si>
    <t xml:space="preserve"> 301  Сосиски Сочинки по-баварски с сыром,  0.4кг, ТМ Стародворье  ПОКОМ, SU002801</t>
  </si>
  <si>
    <t xml:space="preserve"> 309  Сосиски Сочинки с сыром 0,4 кг ТМ Стародворье  ПОКОМ, SU002686</t>
  </si>
  <si>
    <t xml:space="preserve"> 342 Сосиски Сочинки Молочные ТМ Стародворье 0,4 кг ПОКОМ, SU002842</t>
  </si>
  <si>
    <t xml:space="preserve"> 343 Сосиски Сочинки Сливочные ТМ Стародворье  0,4 кг, SU002844</t>
  </si>
  <si>
    <t>496  Колбаса Сочинка по-фински с сочным окроком 0,3кг ТМ Стародворье  ПОКОМ, SU002942</t>
  </si>
  <si>
    <t>515  Колбаса Сервелат Мясорубский Делюкс 0,3кг ТМ Стародворье  ПОКОМ, SU003829</t>
  </si>
  <si>
    <t xml:space="preserve"> 062  Колбаса Кракушка пряная с сальцем, 0.3кг в/у п/к, БАВАРУШКА ПОКОМ, SU002252</t>
  </si>
  <si>
    <t>495  Колбаса Сочинка по-европейски с сочной грудинкой 0,3кг ТМ Стародворье  ПОКОМ, SU002944</t>
  </si>
  <si>
    <t xml:space="preserve"> 023  Колбаса Докторская ГОСТ, Вязанка вектор, 0,4 кг, ПОКОМ, SU001485</t>
  </si>
  <si>
    <t xml:space="preserve"> 324  Ветчина Филейская ТМ Вязанка Столичная 0,45 кг ПОКОМ, SU002814</t>
  </si>
  <si>
    <t xml:space="preserve"> 279  Колбаса Докторский гарант, Вязанка вектор, 0,4 кг.  ПОКОМ, 4301011344</t>
  </si>
  <si>
    <t>Продано</t>
  </si>
  <si>
    <t>Списано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</si>
</sst>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color theme="1"/>
      <name val="Arial"/>
      <family val="2"/>
    </font>
    <font>
      <b/>
      <sz val="12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98">
    <xf numFmtId="0" fontId="0" fillId="0" borderId="0" xfId="0"/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NumberFormat="1" applyFont="1" applyBorder="1" applyAlignment="1">
      <alignment vertical="top" wrapText="1" indent="6"/>
    </xf>
    <xf numFmtId="2" fontId="2" fillId="2" borderId="1" xfId="0" applyNumberFormat="1" applyFont="1" applyFill="1" applyBorder="1" applyAlignment="1">
      <alignment horizontal="center" vertic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7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2" fontId="0" fillId="0" borderId="7" xfId="0" applyNumberForma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2" fontId="11" fillId="0" borderId="2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2" fontId="11" fillId="0" borderId="13" xfId="2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8" fillId="0" borderId="2" xfId="2" applyNumberFormat="1" applyFont="1" applyFill="1" applyBorder="1" applyAlignment="1">
      <alignment vertical="top" wrapText="1" indent="6"/>
    </xf>
    <xf numFmtId="0" fontId="8" fillId="0" borderId="2" xfId="2" applyFill="1" applyBorder="1" applyAlignment="1">
      <alignment vertical="top" wrapText="1" indent="4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8" borderId="2" xfId="2" applyNumberFormat="1" applyFont="1" applyFill="1" applyBorder="1" applyAlignment="1">
      <alignment vertical="top" wrapText="1" indent="6"/>
    </xf>
    <xf numFmtId="2" fontId="0" fillId="8" borderId="1" xfId="0" applyNumberForma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2" fontId="15" fillId="0" borderId="2" xfId="2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0" fontId="15" fillId="0" borderId="3" xfId="0" applyFont="1" applyFill="1" applyBorder="1" applyAlignment="1">
      <alignment horizontal="center" vertical="center" wrapText="1"/>
    </xf>
    <xf numFmtId="2" fontId="15" fillId="0" borderId="3" xfId="0" applyNumberFormat="1" applyFont="1" applyFill="1" applyBorder="1" applyAlignment="1">
      <alignment horizontal="center" vertical="center" wrapText="1"/>
    </xf>
    <xf numFmtId="164" fontId="15" fillId="0" borderId="2" xfId="2" applyNumberFormat="1" applyFont="1" applyFill="1" applyBorder="1" applyAlignment="1">
      <alignment horizontal="center" vertical="center"/>
    </xf>
    <xf numFmtId="14" fontId="15" fillId="0" borderId="2" xfId="2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0" fillId="7" borderId="0" xfId="0" applyNumberFormat="1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5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11"/>
  <sheetViews>
    <sheetView tabSelected="1" topLeftCell="B1" zoomScale="85" zoomScaleNormal="85" workbookViewId="0">
      <pane xSplit="1" topLeftCell="C1" activePane="topRight" state="frozen"/>
      <selection activeCell="B1" sqref="B1"/>
      <selection pane="topRight" activeCell="J80" sqref="J80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38" customWidth="1"/>
    <col min="4" max="4" width="7" style="39" customWidth="1"/>
    <col min="5" max="5" width="11.140625" style="40" customWidth="1"/>
    <col min="6" max="6" width="11" style="40" customWidth="1"/>
    <col min="7" max="7" width="12.7109375" style="38" customWidth="1"/>
    <col min="8" max="8" width="12" style="38" customWidth="1"/>
    <col min="9" max="9" width="4.140625" style="9" customWidth="1"/>
    <col min="10" max="10" width="7" style="10" customWidth="1"/>
    <col min="11" max="11" width="11.140625" style="11" customWidth="1"/>
    <col min="12" max="12" width="11" style="11" customWidth="1"/>
    <col min="13" max="13" width="12.7109375" style="9" customWidth="1"/>
    <col min="14" max="14" width="12" style="9" customWidth="1"/>
    <col min="15" max="16" width="8.85546875" style="9"/>
    <col min="17" max="259" width="8.85546875" style="1"/>
    <col min="260" max="260" width="4" style="1" customWidth="1"/>
    <col min="261" max="261" width="59.7109375" style="1" customWidth="1"/>
    <col min="262" max="262" width="4.85546875" style="1" customWidth="1"/>
    <col min="263" max="263" width="9" style="1" customWidth="1"/>
    <col min="264" max="264" width="15.85546875" style="1" customWidth="1"/>
    <col min="265" max="265" width="15.7109375" style="1" customWidth="1"/>
    <col min="266" max="266" width="15.42578125" style="1" customWidth="1"/>
    <col min="267" max="267" width="17.140625" style="1" customWidth="1"/>
    <col min="268" max="268" width="37.85546875" style="1" customWidth="1"/>
    <col min="269" max="269" width="36.5703125" style="1" customWidth="1"/>
    <col min="270" max="270" width="29.42578125" style="1" customWidth="1"/>
    <col min="271" max="515" width="8.85546875" style="1"/>
    <col min="516" max="516" width="4" style="1" customWidth="1"/>
    <col min="517" max="517" width="59.7109375" style="1" customWidth="1"/>
    <col min="518" max="518" width="4.85546875" style="1" customWidth="1"/>
    <col min="519" max="519" width="9" style="1" customWidth="1"/>
    <col min="520" max="520" width="15.85546875" style="1" customWidth="1"/>
    <col min="521" max="521" width="15.7109375" style="1" customWidth="1"/>
    <col min="522" max="522" width="15.42578125" style="1" customWidth="1"/>
    <col min="523" max="523" width="17.140625" style="1" customWidth="1"/>
    <col min="524" max="524" width="37.85546875" style="1" customWidth="1"/>
    <col min="525" max="525" width="36.5703125" style="1" customWidth="1"/>
    <col min="526" max="526" width="29.42578125" style="1" customWidth="1"/>
    <col min="527" max="771" width="8.85546875" style="1"/>
    <col min="772" max="772" width="4" style="1" customWidth="1"/>
    <col min="773" max="773" width="59.7109375" style="1" customWidth="1"/>
    <col min="774" max="774" width="4.85546875" style="1" customWidth="1"/>
    <col min="775" max="775" width="9" style="1" customWidth="1"/>
    <col min="776" max="776" width="15.85546875" style="1" customWidth="1"/>
    <col min="777" max="777" width="15.7109375" style="1" customWidth="1"/>
    <col min="778" max="778" width="15.42578125" style="1" customWidth="1"/>
    <col min="779" max="779" width="17.140625" style="1" customWidth="1"/>
    <col min="780" max="780" width="37.85546875" style="1" customWidth="1"/>
    <col min="781" max="781" width="36.5703125" style="1" customWidth="1"/>
    <col min="782" max="782" width="29.42578125" style="1" customWidth="1"/>
    <col min="783" max="1027" width="8.85546875" style="1"/>
    <col min="1028" max="1028" width="4" style="1" customWidth="1"/>
    <col min="1029" max="1029" width="59.7109375" style="1" customWidth="1"/>
    <col min="1030" max="1030" width="4.85546875" style="1" customWidth="1"/>
    <col min="1031" max="1031" width="9" style="1" customWidth="1"/>
    <col min="1032" max="1032" width="15.85546875" style="1" customWidth="1"/>
    <col min="1033" max="1033" width="15.7109375" style="1" customWidth="1"/>
    <col min="1034" max="1034" width="15.42578125" style="1" customWidth="1"/>
    <col min="1035" max="1035" width="17.140625" style="1" customWidth="1"/>
    <col min="1036" max="1036" width="37.85546875" style="1" customWidth="1"/>
    <col min="1037" max="1037" width="36.5703125" style="1" customWidth="1"/>
    <col min="1038" max="1038" width="29.42578125" style="1" customWidth="1"/>
    <col min="1039" max="1283" width="8.85546875" style="1"/>
    <col min="1284" max="1284" width="4" style="1" customWidth="1"/>
    <col min="1285" max="1285" width="59.7109375" style="1" customWidth="1"/>
    <col min="1286" max="1286" width="4.85546875" style="1" customWidth="1"/>
    <col min="1287" max="1287" width="9" style="1" customWidth="1"/>
    <col min="1288" max="1288" width="15.85546875" style="1" customWidth="1"/>
    <col min="1289" max="1289" width="15.7109375" style="1" customWidth="1"/>
    <col min="1290" max="1290" width="15.42578125" style="1" customWidth="1"/>
    <col min="1291" max="1291" width="17.140625" style="1" customWidth="1"/>
    <col min="1292" max="1292" width="37.85546875" style="1" customWidth="1"/>
    <col min="1293" max="1293" width="36.5703125" style="1" customWidth="1"/>
    <col min="1294" max="1294" width="29.42578125" style="1" customWidth="1"/>
    <col min="1295" max="1539" width="8.85546875" style="1"/>
    <col min="1540" max="1540" width="4" style="1" customWidth="1"/>
    <col min="1541" max="1541" width="59.7109375" style="1" customWidth="1"/>
    <col min="1542" max="1542" width="4.85546875" style="1" customWidth="1"/>
    <col min="1543" max="1543" width="9" style="1" customWidth="1"/>
    <col min="1544" max="1544" width="15.85546875" style="1" customWidth="1"/>
    <col min="1545" max="1545" width="15.7109375" style="1" customWidth="1"/>
    <col min="1546" max="1546" width="15.42578125" style="1" customWidth="1"/>
    <col min="1547" max="1547" width="17.140625" style="1" customWidth="1"/>
    <col min="1548" max="1548" width="37.85546875" style="1" customWidth="1"/>
    <col min="1549" max="1549" width="36.5703125" style="1" customWidth="1"/>
    <col min="1550" max="1550" width="29.42578125" style="1" customWidth="1"/>
    <col min="1551" max="1795" width="8.85546875" style="1"/>
    <col min="1796" max="1796" width="4" style="1" customWidth="1"/>
    <col min="1797" max="1797" width="59.7109375" style="1" customWidth="1"/>
    <col min="1798" max="1798" width="4.85546875" style="1" customWidth="1"/>
    <col min="1799" max="1799" width="9" style="1" customWidth="1"/>
    <col min="1800" max="1800" width="15.85546875" style="1" customWidth="1"/>
    <col min="1801" max="1801" width="15.7109375" style="1" customWidth="1"/>
    <col min="1802" max="1802" width="15.42578125" style="1" customWidth="1"/>
    <col min="1803" max="1803" width="17.140625" style="1" customWidth="1"/>
    <col min="1804" max="1804" width="37.85546875" style="1" customWidth="1"/>
    <col min="1805" max="1805" width="36.5703125" style="1" customWidth="1"/>
    <col min="1806" max="1806" width="29.42578125" style="1" customWidth="1"/>
    <col min="1807" max="2051" width="8.85546875" style="1"/>
    <col min="2052" max="2052" width="4" style="1" customWidth="1"/>
    <col min="2053" max="2053" width="59.7109375" style="1" customWidth="1"/>
    <col min="2054" max="2054" width="4.85546875" style="1" customWidth="1"/>
    <col min="2055" max="2055" width="9" style="1" customWidth="1"/>
    <col min="2056" max="2056" width="15.85546875" style="1" customWidth="1"/>
    <col min="2057" max="2057" width="15.7109375" style="1" customWidth="1"/>
    <col min="2058" max="2058" width="15.42578125" style="1" customWidth="1"/>
    <col min="2059" max="2059" width="17.140625" style="1" customWidth="1"/>
    <col min="2060" max="2060" width="37.85546875" style="1" customWidth="1"/>
    <col min="2061" max="2061" width="36.5703125" style="1" customWidth="1"/>
    <col min="2062" max="2062" width="29.42578125" style="1" customWidth="1"/>
    <col min="2063" max="2307" width="8.85546875" style="1"/>
    <col min="2308" max="2308" width="4" style="1" customWidth="1"/>
    <col min="2309" max="2309" width="59.7109375" style="1" customWidth="1"/>
    <col min="2310" max="2310" width="4.85546875" style="1" customWidth="1"/>
    <col min="2311" max="2311" width="9" style="1" customWidth="1"/>
    <col min="2312" max="2312" width="15.85546875" style="1" customWidth="1"/>
    <col min="2313" max="2313" width="15.7109375" style="1" customWidth="1"/>
    <col min="2314" max="2314" width="15.42578125" style="1" customWidth="1"/>
    <col min="2315" max="2315" width="17.140625" style="1" customWidth="1"/>
    <col min="2316" max="2316" width="37.85546875" style="1" customWidth="1"/>
    <col min="2317" max="2317" width="36.5703125" style="1" customWidth="1"/>
    <col min="2318" max="2318" width="29.42578125" style="1" customWidth="1"/>
    <col min="2319" max="2563" width="8.85546875" style="1"/>
    <col min="2564" max="2564" width="4" style="1" customWidth="1"/>
    <col min="2565" max="2565" width="59.7109375" style="1" customWidth="1"/>
    <col min="2566" max="2566" width="4.85546875" style="1" customWidth="1"/>
    <col min="2567" max="2567" width="9" style="1" customWidth="1"/>
    <col min="2568" max="2568" width="15.85546875" style="1" customWidth="1"/>
    <col min="2569" max="2569" width="15.7109375" style="1" customWidth="1"/>
    <col min="2570" max="2570" width="15.42578125" style="1" customWidth="1"/>
    <col min="2571" max="2571" width="17.140625" style="1" customWidth="1"/>
    <col min="2572" max="2572" width="37.85546875" style="1" customWidth="1"/>
    <col min="2573" max="2573" width="36.5703125" style="1" customWidth="1"/>
    <col min="2574" max="2574" width="29.42578125" style="1" customWidth="1"/>
    <col min="2575" max="2819" width="8.85546875" style="1"/>
    <col min="2820" max="2820" width="4" style="1" customWidth="1"/>
    <col min="2821" max="2821" width="59.7109375" style="1" customWidth="1"/>
    <col min="2822" max="2822" width="4.85546875" style="1" customWidth="1"/>
    <col min="2823" max="2823" width="9" style="1" customWidth="1"/>
    <col min="2824" max="2824" width="15.85546875" style="1" customWidth="1"/>
    <col min="2825" max="2825" width="15.7109375" style="1" customWidth="1"/>
    <col min="2826" max="2826" width="15.42578125" style="1" customWidth="1"/>
    <col min="2827" max="2827" width="17.140625" style="1" customWidth="1"/>
    <col min="2828" max="2828" width="37.85546875" style="1" customWidth="1"/>
    <col min="2829" max="2829" width="36.5703125" style="1" customWidth="1"/>
    <col min="2830" max="2830" width="29.42578125" style="1" customWidth="1"/>
    <col min="2831" max="3075" width="8.85546875" style="1"/>
    <col min="3076" max="3076" width="4" style="1" customWidth="1"/>
    <col min="3077" max="3077" width="59.7109375" style="1" customWidth="1"/>
    <col min="3078" max="3078" width="4.85546875" style="1" customWidth="1"/>
    <col min="3079" max="3079" width="9" style="1" customWidth="1"/>
    <col min="3080" max="3080" width="15.85546875" style="1" customWidth="1"/>
    <col min="3081" max="3081" width="15.7109375" style="1" customWidth="1"/>
    <col min="3082" max="3082" width="15.42578125" style="1" customWidth="1"/>
    <col min="3083" max="3083" width="17.140625" style="1" customWidth="1"/>
    <col min="3084" max="3084" width="37.85546875" style="1" customWidth="1"/>
    <col min="3085" max="3085" width="36.5703125" style="1" customWidth="1"/>
    <col min="3086" max="3086" width="29.42578125" style="1" customWidth="1"/>
    <col min="3087" max="3331" width="8.85546875" style="1"/>
    <col min="3332" max="3332" width="4" style="1" customWidth="1"/>
    <col min="3333" max="3333" width="59.7109375" style="1" customWidth="1"/>
    <col min="3334" max="3334" width="4.85546875" style="1" customWidth="1"/>
    <col min="3335" max="3335" width="9" style="1" customWidth="1"/>
    <col min="3336" max="3336" width="15.85546875" style="1" customWidth="1"/>
    <col min="3337" max="3337" width="15.7109375" style="1" customWidth="1"/>
    <col min="3338" max="3338" width="15.42578125" style="1" customWidth="1"/>
    <col min="3339" max="3339" width="17.140625" style="1" customWidth="1"/>
    <col min="3340" max="3340" width="37.85546875" style="1" customWidth="1"/>
    <col min="3341" max="3341" width="36.5703125" style="1" customWidth="1"/>
    <col min="3342" max="3342" width="29.42578125" style="1" customWidth="1"/>
    <col min="3343" max="3587" width="8.85546875" style="1"/>
    <col min="3588" max="3588" width="4" style="1" customWidth="1"/>
    <col min="3589" max="3589" width="59.7109375" style="1" customWidth="1"/>
    <col min="3590" max="3590" width="4.85546875" style="1" customWidth="1"/>
    <col min="3591" max="3591" width="9" style="1" customWidth="1"/>
    <col min="3592" max="3592" width="15.85546875" style="1" customWidth="1"/>
    <col min="3593" max="3593" width="15.7109375" style="1" customWidth="1"/>
    <col min="3594" max="3594" width="15.42578125" style="1" customWidth="1"/>
    <col min="3595" max="3595" width="17.140625" style="1" customWidth="1"/>
    <col min="3596" max="3596" width="37.85546875" style="1" customWidth="1"/>
    <col min="3597" max="3597" width="36.5703125" style="1" customWidth="1"/>
    <col min="3598" max="3598" width="29.42578125" style="1" customWidth="1"/>
    <col min="3599" max="3843" width="8.85546875" style="1"/>
    <col min="3844" max="3844" width="4" style="1" customWidth="1"/>
    <col min="3845" max="3845" width="59.7109375" style="1" customWidth="1"/>
    <col min="3846" max="3846" width="4.85546875" style="1" customWidth="1"/>
    <col min="3847" max="3847" width="9" style="1" customWidth="1"/>
    <col min="3848" max="3848" width="15.85546875" style="1" customWidth="1"/>
    <col min="3849" max="3849" width="15.7109375" style="1" customWidth="1"/>
    <col min="3850" max="3850" width="15.42578125" style="1" customWidth="1"/>
    <col min="3851" max="3851" width="17.140625" style="1" customWidth="1"/>
    <col min="3852" max="3852" width="37.85546875" style="1" customWidth="1"/>
    <col min="3853" max="3853" width="36.5703125" style="1" customWidth="1"/>
    <col min="3854" max="3854" width="29.42578125" style="1" customWidth="1"/>
    <col min="3855" max="4099" width="8.85546875" style="1"/>
    <col min="4100" max="4100" width="4" style="1" customWidth="1"/>
    <col min="4101" max="4101" width="59.7109375" style="1" customWidth="1"/>
    <col min="4102" max="4102" width="4.85546875" style="1" customWidth="1"/>
    <col min="4103" max="4103" width="9" style="1" customWidth="1"/>
    <col min="4104" max="4104" width="15.85546875" style="1" customWidth="1"/>
    <col min="4105" max="4105" width="15.7109375" style="1" customWidth="1"/>
    <col min="4106" max="4106" width="15.42578125" style="1" customWidth="1"/>
    <col min="4107" max="4107" width="17.140625" style="1" customWidth="1"/>
    <col min="4108" max="4108" width="37.85546875" style="1" customWidth="1"/>
    <col min="4109" max="4109" width="36.5703125" style="1" customWidth="1"/>
    <col min="4110" max="4110" width="29.42578125" style="1" customWidth="1"/>
    <col min="4111" max="4355" width="8.85546875" style="1"/>
    <col min="4356" max="4356" width="4" style="1" customWidth="1"/>
    <col min="4357" max="4357" width="59.7109375" style="1" customWidth="1"/>
    <col min="4358" max="4358" width="4.85546875" style="1" customWidth="1"/>
    <col min="4359" max="4359" width="9" style="1" customWidth="1"/>
    <col min="4360" max="4360" width="15.85546875" style="1" customWidth="1"/>
    <col min="4361" max="4361" width="15.7109375" style="1" customWidth="1"/>
    <col min="4362" max="4362" width="15.42578125" style="1" customWidth="1"/>
    <col min="4363" max="4363" width="17.140625" style="1" customWidth="1"/>
    <col min="4364" max="4364" width="37.85546875" style="1" customWidth="1"/>
    <col min="4365" max="4365" width="36.5703125" style="1" customWidth="1"/>
    <col min="4366" max="4366" width="29.42578125" style="1" customWidth="1"/>
    <col min="4367" max="4611" width="8.85546875" style="1"/>
    <col min="4612" max="4612" width="4" style="1" customWidth="1"/>
    <col min="4613" max="4613" width="59.7109375" style="1" customWidth="1"/>
    <col min="4614" max="4614" width="4.85546875" style="1" customWidth="1"/>
    <col min="4615" max="4615" width="9" style="1" customWidth="1"/>
    <col min="4616" max="4616" width="15.85546875" style="1" customWidth="1"/>
    <col min="4617" max="4617" width="15.7109375" style="1" customWidth="1"/>
    <col min="4618" max="4618" width="15.42578125" style="1" customWidth="1"/>
    <col min="4619" max="4619" width="17.140625" style="1" customWidth="1"/>
    <col min="4620" max="4620" width="37.85546875" style="1" customWidth="1"/>
    <col min="4621" max="4621" width="36.5703125" style="1" customWidth="1"/>
    <col min="4622" max="4622" width="29.42578125" style="1" customWidth="1"/>
    <col min="4623" max="4867" width="8.85546875" style="1"/>
    <col min="4868" max="4868" width="4" style="1" customWidth="1"/>
    <col min="4869" max="4869" width="59.7109375" style="1" customWidth="1"/>
    <col min="4870" max="4870" width="4.85546875" style="1" customWidth="1"/>
    <col min="4871" max="4871" width="9" style="1" customWidth="1"/>
    <col min="4872" max="4872" width="15.85546875" style="1" customWidth="1"/>
    <col min="4873" max="4873" width="15.7109375" style="1" customWidth="1"/>
    <col min="4874" max="4874" width="15.42578125" style="1" customWidth="1"/>
    <col min="4875" max="4875" width="17.140625" style="1" customWidth="1"/>
    <col min="4876" max="4876" width="37.85546875" style="1" customWidth="1"/>
    <col min="4877" max="4877" width="36.5703125" style="1" customWidth="1"/>
    <col min="4878" max="4878" width="29.42578125" style="1" customWidth="1"/>
    <col min="4879" max="5123" width="8.85546875" style="1"/>
    <col min="5124" max="5124" width="4" style="1" customWidth="1"/>
    <col min="5125" max="5125" width="59.7109375" style="1" customWidth="1"/>
    <col min="5126" max="5126" width="4.85546875" style="1" customWidth="1"/>
    <col min="5127" max="5127" width="9" style="1" customWidth="1"/>
    <col min="5128" max="5128" width="15.85546875" style="1" customWidth="1"/>
    <col min="5129" max="5129" width="15.7109375" style="1" customWidth="1"/>
    <col min="5130" max="5130" width="15.42578125" style="1" customWidth="1"/>
    <col min="5131" max="5131" width="17.140625" style="1" customWidth="1"/>
    <col min="5132" max="5132" width="37.85546875" style="1" customWidth="1"/>
    <col min="5133" max="5133" width="36.5703125" style="1" customWidth="1"/>
    <col min="5134" max="5134" width="29.42578125" style="1" customWidth="1"/>
    <col min="5135" max="5379" width="8.85546875" style="1"/>
    <col min="5380" max="5380" width="4" style="1" customWidth="1"/>
    <col min="5381" max="5381" width="59.7109375" style="1" customWidth="1"/>
    <col min="5382" max="5382" width="4.85546875" style="1" customWidth="1"/>
    <col min="5383" max="5383" width="9" style="1" customWidth="1"/>
    <col min="5384" max="5384" width="15.85546875" style="1" customWidth="1"/>
    <col min="5385" max="5385" width="15.7109375" style="1" customWidth="1"/>
    <col min="5386" max="5386" width="15.42578125" style="1" customWidth="1"/>
    <col min="5387" max="5387" width="17.140625" style="1" customWidth="1"/>
    <col min="5388" max="5388" width="37.85546875" style="1" customWidth="1"/>
    <col min="5389" max="5389" width="36.5703125" style="1" customWidth="1"/>
    <col min="5390" max="5390" width="29.42578125" style="1" customWidth="1"/>
    <col min="5391" max="5635" width="8.85546875" style="1"/>
    <col min="5636" max="5636" width="4" style="1" customWidth="1"/>
    <col min="5637" max="5637" width="59.7109375" style="1" customWidth="1"/>
    <col min="5638" max="5638" width="4.85546875" style="1" customWidth="1"/>
    <col min="5639" max="5639" width="9" style="1" customWidth="1"/>
    <col min="5640" max="5640" width="15.85546875" style="1" customWidth="1"/>
    <col min="5641" max="5641" width="15.7109375" style="1" customWidth="1"/>
    <col min="5642" max="5642" width="15.42578125" style="1" customWidth="1"/>
    <col min="5643" max="5643" width="17.140625" style="1" customWidth="1"/>
    <col min="5644" max="5644" width="37.85546875" style="1" customWidth="1"/>
    <col min="5645" max="5645" width="36.5703125" style="1" customWidth="1"/>
    <col min="5646" max="5646" width="29.42578125" style="1" customWidth="1"/>
    <col min="5647" max="5891" width="8.85546875" style="1"/>
    <col min="5892" max="5892" width="4" style="1" customWidth="1"/>
    <col min="5893" max="5893" width="59.7109375" style="1" customWidth="1"/>
    <col min="5894" max="5894" width="4.85546875" style="1" customWidth="1"/>
    <col min="5895" max="5895" width="9" style="1" customWidth="1"/>
    <col min="5896" max="5896" width="15.85546875" style="1" customWidth="1"/>
    <col min="5897" max="5897" width="15.7109375" style="1" customWidth="1"/>
    <col min="5898" max="5898" width="15.42578125" style="1" customWidth="1"/>
    <col min="5899" max="5899" width="17.140625" style="1" customWidth="1"/>
    <col min="5900" max="5900" width="37.85546875" style="1" customWidth="1"/>
    <col min="5901" max="5901" width="36.5703125" style="1" customWidth="1"/>
    <col min="5902" max="5902" width="29.42578125" style="1" customWidth="1"/>
    <col min="5903" max="6147" width="8.85546875" style="1"/>
    <col min="6148" max="6148" width="4" style="1" customWidth="1"/>
    <col min="6149" max="6149" width="59.7109375" style="1" customWidth="1"/>
    <col min="6150" max="6150" width="4.85546875" style="1" customWidth="1"/>
    <col min="6151" max="6151" width="9" style="1" customWidth="1"/>
    <col min="6152" max="6152" width="15.85546875" style="1" customWidth="1"/>
    <col min="6153" max="6153" width="15.7109375" style="1" customWidth="1"/>
    <col min="6154" max="6154" width="15.42578125" style="1" customWidth="1"/>
    <col min="6155" max="6155" width="17.140625" style="1" customWidth="1"/>
    <col min="6156" max="6156" width="37.85546875" style="1" customWidth="1"/>
    <col min="6157" max="6157" width="36.5703125" style="1" customWidth="1"/>
    <col min="6158" max="6158" width="29.42578125" style="1" customWidth="1"/>
    <col min="6159" max="6403" width="8.85546875" style="1"/>
    <col min="6404" max="6404" width="4" style="1" customWidth="1"/>
    <col min="6405" max="6405" width="59.7109375" style="1" customWidth="1"/>
    <col min="6406" max="6406" width="4.85546875" style="1" customWidth="1"/>
    <col min="6407" max="6407" width="9" style="1" customWidth="1"/>
    <col min="6408" max="6408" width="15.85546875" style="1" customWidth="1"/>
    <col min="6409" max="6409" width="15.7109375" style="1" customWidth="1"/>
    <col min="6410" max="6410" width="15.42578125" style="1" customWidth="1"/>
    <col min="6411" max="6411" width="17.140625" style="1" customWidth="1"/>
    <col min="6412" max="6412" width="37.85546875" style="1" customWidth="1"/>
    <col min="6413" max="6413" width="36.5703125" style="1" customWidth="1"/>
    <col min="6414" max="6414" width="29.42578125" style="1" customWidth="1"/>
    <col min="6415" max="6659" width="8.85546875" style="1"/>
    <col min="6660" max="6660" width="4" style="1" customWidth="1"/>
    <col min="6661" max="6661" width="59.7109375" style="1" customWidth="1"/>
    <col min="6662" max="6662" width="4.85546875" style="1" customWidth="1"/>
    <col min="6663" max="6663" width="9" style="1" customWidth="1"/>
    <col min="6664" max="6664" width="15.85546875" style="1" customWidth="1"/>
    <col min="6665" max="6665" width="15.7109375" style="1" customWidth="1"/>
    <col min="6666" max="6666" width="15.42578125" style="1" customWidth="1"/>
    <col min="6667" max="6667" width="17.140625" style="1" customWidth="1"/>
    <col min="6668" max="6668" width="37.85546875" style="1" customWidth="1"/>
    <col min="6669" max="6669" width="36.5703125" style="1" customWidth="1"/>
    <col min="6670" max="6670" width="29.42578125" style="1" customWidth="1"/>
    <col min="6671" max="6915" width="8.85546875" style="1"/>
    <col min="6916" max="6916" width="4" style="1" customWidth="1"/>
    <col min="6917" max="6917" width="59.7109375" style="1" customWidth="1"/>
    <col min="6918" max="6918" width="4.85546875" style="1" customWidth="1"/>
    <col min="6919" max="6919" width="9" style="1" customWidth="1"/>
    <col min="6920" max="6920" width="15.85546875" style="1" customWidth="1"/>
    <col min="6921" max="6921" width="15.7109375" style="1" customWidth="1"/>
    <col min="6922" max="6922" width="15.42578125" style="1" customWidth="1"/>
    <col min="6923" max="6923" width="17.140625" style="1" customWidth="1"/>
    <col min="6924" max="6924" width="37.85546875" style="1" customWidth="1"/>
    <col min="6925" max="6925" width="36.5703125" style="1" customWidth="1"/>
    <col min="6926" max="6926" width="29.42578125" style="1" customWidth="1"/>
    <col min="6927" max="7171" width="8.85546875" style="1"/>
    <col min="7172" max="7172" width="4" style="1" customWidth="1"/>
    <col min="7173" max="7173" width="59.7109375" style="1" customWidth="1"/>
    <col min="7174" max="7174" width="4.85546875" style="1" customWidth="1"/>
    <col min="7175" max="7175" width="9" style="1" customWidth="1"/>
    <col min="7176" max="7176" width="15.85546875" style="1" customWidth="1"/>
    <col min="7177" max="7177" width="15.7109375" style="1" customWidth="1"/>
    <col min="7178" max="7178" width="15.42578125" style="1" customWidth="1"/>
    <col min="7179" max="7179" width="17.140625" style="1" customWidth="1"/>
    <col min="7180" max="7180" width="37.85546875" style="1" customWidth="1"/>
    <col min="7181" max="7181" width="36.5703125" style="1" customWidth="1"/>
    <col min="7182" max="7182" width="29.42578125" style="1" customWidth="1"/>
    <col min="7183" max="7427" width="8.85546875" style="1"/>
    <col min="7428" max="7428" width="4" style="1" customWidth="1"/>
    <col min="7429" max="7429" width="59.7109375" style="1" customWidth="1"/>
    <col min="7430" max="7430" width="4.85546875" style="1" customWidth="1"/>
    <col min="7431" max="7431" width="9" style="1" customWidth="1"/>
    <col min="7432" max="7432" width="15.85546875" style="1" customWidth="1"/>
    <col min="7433" max="7433" width="15.7109375" style="1" customWidth="1"/>
    <col min="7434" max="7434" width="15.42578125" style="1" customWidth="1"/>
    <col min="7435" max="7435" width="17.140625" style="1" customWidth="1"/>
    <col min="7436" max="7436" width="37.85546875" style="1" customWidth="1"/>
    <col min="7437" max="7437" width="36.5703125" style="1" customWidth="1"/>
    <col min="7438" max="7438" width="29.42578125" style="1" customWidth="1"/>
    <col min="7439" max="7683" width="8.85546875" style="1"/>
    <col min="7684" max="7684" width="4" style="1" customWidth="1"/>
    <col min="7685" max="7685" width="59.7109375" style="1" customWidth="1"/>
    <col min="7686" max="7686" width="4.85546875" style="1" customWidth="1"/>
    <col min="7687" max="7687" width="9" style="1" customWidth="1"/>
    <col min="7688" max="7688" width="15.85546875" style="1" customWidth="1"/>
    <col min="7689" max="7689" width="15.7109375" style="1" customWidth="1"/>
    <col min="7690" max="7690" width="15.42578125" style="1" customWidth="1"/>
    <col min="7691" max="7691" width="17.140625" style="1" customWidth="1"/>
    <col min="7692" max="7692" width="37.85546875" style="1" customWidth="1"/>
    <col min="7693" max="7693" width="36.5703125" style="1" customWidth="1"/>
    <col min="7694" max="7694" width="29.42578125" style="1" customWidth="1"/>
    <col min="7695" max="7939" width="8.85546875" style="1"/>
    <col min="7940" max="7940" width="4" style="1" customWidth="1"/>
    <col min="7941" max="7941" width="59.7109375" style="1" customWidth="1"/>
    <col min="7942" max="7942" width="4.85546875" style="1" customWidth="1"/>
    <col min="7943" max="7943" width="9" style="1" customWidth="1"/>
    <col min="7944" max="7944" width="15.85546875" style="1" customWidth="1"/>
    <col min="7945" max="7945" width="15.7109375" style="1" customWidth="1"/>
    <col min="7946" max="7946" width="15.42578125" style="1" customWidth="1"/>
    <col min="7947" max="7947" width="17.140625" style="1" customWidth="1"/>
    <col min="7948" max="7948" width="37.85546875" style="1" customWidth="1"/>
    <col min="7949" max="7949" width="36.5703125" style="1" customWidth="1"/>
    <col min="7950" max="7950" width="29.42578125" style="1" customWidth="1"/>
    <col min="7951" max="8195" width="8.85546875" style="1"/>
    <col min="8196" max="8196" width="4" style="1" customWidth="1"/>
    <col min="8197" max="8197" width="59.7109375" style="1" customWidth="1"/>
    <col min="8198" max="8198" width="4.85546875" style="1" customWidth="1"/>
    <col min="8199" max="8199" width="9" style="1" customWidth="1"/>
    <col min="8200" max="8200" width="15.85546875" style="1" customWidth="1"/>
    <col min="8201" max="8201" width="15.7109375" style="1" customWidth="1"/>
    <col min="8202" max="8202" width="15.42578125" style="1" customWidth="1"/>
    <col min="8203" max="8203" width="17.140625" style="1" customWidth="1"/>
    <col min="8204" max="8204" width="37.85546875" style="1" customWidth="1"/>
    <col min="8205" max="8205" width="36.5703125" style="1" customWidth="1"/>
    <col min="8206" max="8206" width="29.42578125" style="1" customWidth="1"/>
    <col min="8207" max="8451" width="8.85546875" style="1"/>
    <col min="8452" max="8452" width="4" style="1" customWidth="1"/>
    <col min="8453" max="8453" width="59.7109375" style="1" customWidth="1"/>
    <col min="8454" max="8454" width="4.85546875" style="1" customWidth="1"/>
    <col min="8455" max="8455" width="9" style="1" customWidth="1"/>
    <col min="8456" max="8456" width="15.85546875" style="1" customWidth="1"/>
    <col min="8457" max="8457" width="15.7109375" style="1" customWidth="1"/>
    <col min="8458" max="8458" width="15.42578125" style="1" customWidth="1"/>
    <col min="8459" max="8459" width="17.140625" style="1" customWidth="1"/>
    <col min="8460" max="8460" width="37.85546875" style="1" customWidth="1"/>
    <col min="8461" max="8461" width="36.5703125" style="1" customWidth="1"/>
    <col min="8462" max="8462" width="29.42578125" style="1" customWidth="1"/>
    <col min="8463" max="8707" width="8.85546875" style="1"/>
    <col min="8708" max="8708" width="4" style="1" customWidth="1"/>
    <col min="8709" max="8709" width="59.7109375" style="1" customWidth="1"/>
    <col min="8710" max="8710" width="4.85546875" style="1" customWidth="1"/>
    <col min="8711" max="8711" width="9" style="1" customWidth="1"/>
    <col min="8712" max="8712" width="15.85546875" style="1" customWidth="1"/>
    <col min="8713" max="8713" width="15.7109375" style="1" customWidth="1"/>
    <col min="8714" max="8714" width="15.42578125" style="1" customWidth="1"/>
    <col min="8715" max="8715" width="17.140625" style="1" customWidth="1"/>
    <col min="8716" max="8716" width="37.85546875" style="1" customWidth="1"/>
    <col min="8717" max="8717" width="36.5703125" style="1" customWidth="1"/>
    <col min="8718" max="8718" width="29.42578125" style="1" customWidth="1"/>
    <col min="8719" max="8963" width="8.85546875" style="1"/>
    <col min="8964" max="8964" width="4" style="1" customWidth="1"/>
    <col min="8965" max="8965" width="59.7109375" style="1" customWidth="1"/>
    <col min="8966" max="8966" width="4.85546875" style="1" customWidth="1"/>
    <col min="8967" max="8967" width="9" style="1" customWidth="1"/>
    <col min="8968" max="8968" width="15.85546875" style="1" customWidth="1"/>
    <col min="8969" max="8969" width="15.7109375" style="1" customWidth="1"/>
    <col min="8970" max="8970" width="15.42578125" style="1" customWidth="1"/>
    <col min="8971" max="8971" width="17.140625" style="1" customWidth="1"/>
    <col min="8972" max="8972" width="37.85546875" style="1" customWidth="1"/>
    <col min="8973" max="8973" width="36.5703125" style="1" customWidth="1"/>
    <col min="8974" max="8974" width="29.42578125" style="1" customWidth="1"/>
    <col min="8975" max="9219" width="8.85546875" style="1"/>
    <col min="9220" max="9220" width="4" style="1" customWidth="1"/>
    <col min="9221" max="9221" width="59.7109375" style="1" customWidth="1"/>
    <col min="9222" max="9222" width="4.85546875" style="1" customWidth="1"/>
    <col min="9223" max="9223" width="9" style="1" customWidth="1"/>
    <col min="9224" max="9224" width="15.85546875" style="1" customWidth="1"/>
    <col min="9225" max="9225" width="15.7109375" style="1" customWidth="1"/>
    <col min="9226" max="9226" width="15.42578125" style="1" customWidth="1"/>
    <col min="9227" max="9227" width="17.140625" style="1" customWidth="1"/>
    <col min="9228" max="9228" width="37.85546875" style="1" customWidth="1"/>
    <col min="9229" max="9229" width="36.5703125" style="1" customWidth="1"/>
    <col min="9230" max="9230" width="29.42578125" style="1" customWidth="1"/>
    <col min="9231" max="9475" width="8.85546875" style="1"/>
    <col min="9476" max="9476" width="4" style="1" customWidth="1"/>
    <col min="9477" max="9477" width="59.7109375" style="1" customWidth="1"/>
    <col min="9478" max="9478" width="4.85546875" style="1" customWidth="1"/>
    <col min="9479" max="9479" width="9" style="1" customWidth="1"/>
    <col min="9480" max="9480" width="15.85546875" style="1" customWidth="1"/>
    <col min="9481" max="9481" width="15.7109375" style="1" customWidth="1"/>
    <col min="9482" max="9482" width="15.42578125" style="1" customWidth="1"/>
    <col min="9483" max="9483" width="17.140625" style="1" customWidth="1"/>
    <col min="9484" max="9484" width="37.85546875" style="1" customWidth="1"/>
    <col min="9485" max="9485" width="36.5703125" style="1" customWidth="1"/>
    <col min="9486" max="9486" width="29.42578125" style="1" customWidth="1"/>
    <col min="9487" max="9731" width="8.85546875" style="1"/>
    <col min="9732" max="9732" width="4" style="1" customWidth="1"/>
    <col min="9733" max="9733" width="59.7109375" style="1" customWidth="1"/>
    <col min="9734" max="9734" width="4.85546875" style="1" customWidth="1"/>
    <col min="9735" max="9735" width="9" style="1" customWidth="1"/>
    <col min="9736" max="9736" width="15.85546875" style="1" customWidth="1"/>
    <col min="9737" max="9737" width="15.7109375" style="1" customWidth="1"/>
    <col min="9738" max="9738" width="15.42578125" style="1" customWidth="1"/>
    <col min="9739" max="9739" width="17.140625" style="1" customWidth="1"/>
    <col min="9740" max="9740" width="37.85546875" style="1" customWidth="1"/>
    <col min="9741" max="9741" width="36.5703125" style="1" customWidth="1"/>
    <col min="9742" max="9742" width="29.42578125" style="1" customWidth="1"/>
    <col min="9743" max="9987" width="8.85546875" style="1"/>
    <col min="9988" max="9988" width="4" style="1" customWidth="1"/>
    <col min="9989" max="9989" width="59.7109375" style="1" customWidth="1"/>
    <col min="9990" max="9990" width="4.85546875" style="1" customWidth="1"/>
    <col min="9991" max="9991" width="9" style="1" customWidth="1"/>
    <col min="9992" max="9992" width="15.85546875" style="1" customWidth="1"/>
    <col min="9993" max="9993" width="15.7109375" style="1" customWidth="1"/>
    <col min="9994" max="9994" width="15.42578125" style="1" customWidth="1"/>
    <col min="9995" max="9995" width="17.140625" style="1" customWidth="1"/>
    <col min="9996" max="9996" width="37.85546875" style="1" customWidth="1"/>
    <col min="9997" max="9997" width="36.5703125" style="1" customWidth="1"/>
    <col min="9998" max="9998" width="29.42578125" style="1" customWidth="1"/>
    <col min="9999" max="10243" width="8.85546875" style="1"/>
    <col min="10244" max="10244" width="4" style="1" customWidth="1"/>
    <col min="10245" max="10245" width="59.7109375" style="1" customWidth="1"/>
    <col min="10246" max="10246" width="4.85546875" style="1" customWidth="1"/>
    <col min="10247" max="10247" width="9" style="1" customWidth="1"/>
    <col min="10248" max="10248" width="15.85546875" style="1" customWidth="1"/>
    <col min="10249" max="10249" width="15.7109375" style="1" customWidth="1"/>
    <col min="10250" max="10250" width="15.42578125" style="1" customWidth="1"/>
    <col min="10251" max="10251" width="17.140625" style="1" customWidth="1"/>
    <col min="10252" max="10252" width="37.85546875" style="1" customWidth="1"/>
    <col min="10253" max="10253" width="36.5703125" style="1" customWidth="1"/>
    <col min="10254" max="10254" width="29.42578125" style="1" customWidth="1"/>
    <col min="10255" max="10499" width="8.85546875" style="1"/>
    <col min="10500" max="10500" width="4" style="1" customWidth="1"/>
    <col min="10501" max="10501" width="59.7109375" style="1" customWidth="1"/>
    <col min="10502" max="10502" width="4.85546875" style="1" customWidth="1"/>
    <col min="10503" max="10503" width="9" style="1" customWidth="1"/>
    <col min="10504" max="10504" width="15.85546875" style="1" customWidth="1"/>
    <col min="10505" max="10505" width="15.7109375" style="1" customWidth="1"/>
    <col min="10506" max="10506" width="15.42578125" style="1" customWidth="1"/>
    <col min="10507" max="10507" width="17.140625" style="1" customWidth="1"/>
    <col min="10508" max="10508" width="37.85546875" style="1" customWidth="1"/>
    <col min="10509" max="10509" width="36.5703125" style="1" customWidth="1"/>
    <col min="10510" max="10510" width="29.42578125" style="1" customWidth="1"/>
    <col min="10511" max="10755" width="8.85546875" style="1"/>
    <col min="10756" max="10756" width="4" style="1" customWidth="1"/>
    <col min="10757" max="10757" width="59.7109375" style="1" customWidth="1"/>
    <col min="10758" max="10758" width="4.85546875" style="1" customWidth="1"/>
    <col min="10759" max="10759" width="9" style="1" customWidth="1"/>
    <col min="10760" max="10760" width="15.85546875" style="1" customWidth="1"/>
    <col min="10761" max="10761" width="15.7109375" style="1" customWidth="1"/>
    <col min="10762" max="10762" width="15.42578125" style="1" customWidth="1"/>
    <col min="10763" max="10763" width="17.140625" style="1" customWidth="1"/>
    <col min="10764" max="10764" width="37.85546875" style="1" customWidth="1"/>
    <col min="10765" max="10765" width="36.5703125" style="1" customWidth="1"/>
    <col min="10766" max="10766" width="29.42578125" style="1" customWidth="1"/>
    <col min="10767" max="11011" width="8.85546875" style="1"/>
    <col min="11012" max="11012" width="4" style="1" customWidth="1"/>
    <col min="11013" max="11013" width="59.7109375" style="1" customWidth="1"/>
    <col min="11014" max="11014" width="4.85546875" style="1" customWidth="1"/>
    <col min="11015" max="11015" width="9" style="1" customWidth="1"/>
    <col min="11016" max="11016" width="15.85546875" style="1" customWidth="1"/>
    <col min="11017" max="11017" width="15.7109375" style="1" customWidth="1"/>
    <col min="11018" max="11018" width="15.42578125" style="1" customWidth="1"/>
    <col min="11019" max="11019" width="17.140625" style="1" customWidth="1"/>
    <col min="11020" max="11020" width="37.85546875" style="1" customWidth="1"/>
    <col min="11021" max="11021" width="36.5703125" style="1" customWidth="1"/>
    <col min="11022" max="11022" width="29.42578125" style="1" customWidth="1"/>
    <col min="11023" max="11267" width="8.85546875" style="1"/>
    <col min="11268" max="11268" width="4" style="1" customWidth="1"/>
    <col min="11269" max="11269" width="59.7109375" style="1" customWidth="1"/>
    <col min="11270" max="11270" width="4.85546875" style="1" customWidth="1"/>
    <col min="11271" max="11271" width="9" style="1" customWidth="1"/>
    <col min="11272" max="11272" width="15.85546875" style="1" customWidth="1"/>
    <col min="11273" max="11273" width="15.7109375" style="1" customWidth="1"/>
    <col min="11274" max="11274" width="15.42578125" style="1" customWidth="1"/>
    <col min="11275" max="11275" width="17.140625" style="1" customWidth="1"/>
    <col min="11276" max="11276" width="37.85546875" style="1" customWidth="1"/>
    <col min="11277" max="11277" width="36.5703125" style="1" customWidth="1"/>
    <col min="11278" max="11278" width="29.42578125" style="1" customWidth="1"/>
    <col min="11279" max="11523" width="8.85546875" style="1"/>
    <col min="11524" max="11524" width="4" style="1" customWidth="1"/>
    <col min="11525" max="11525" width="59.7109375" style="1" customWidth="1"/>
    <col min="11526" max="11526" width="4.85546875" style="1" customWidth="1"/>
    <col min="11527" max="11527" width="9" style="1" customWidth="1"/>
    <col min="11528" max="11528" width="15.85546875" style="1" customWidth="1"/>
    <col min="11529" max="11529" width="15.7109375" style="1" customWidth="1"/>
    <col min="11530" max="11530" width="15.42578125" style="1" customWidth="1"/>
    <col min="11531" max="11531" width="17.140625" style="1" customWidth="1"/>
    <col min="11532" max="11532" width="37.85546875" style="1" customWidth="1"/>
    <col min="11533" max="11533" width="36.5703125" style="1" customWidth="1"/>
    <col min="11534" max="11534" width="29.42578125" style="1" customWidth="1"/>
    <col min="11535" max="11779" width="8.85546875" style="1"/>
    <col min="11780" max="11780" width="4" style="1" customWidth="1"/>
    <col min="11781" max="11781" width="59.7109375" style="1" customWidth="1"/>
    <col min="11782" max="11782" width="4.85546875" style="1" customWidth="1"/>
    <col min="11783" max="11783" width="9" style="1" customWidth="1"/>
    <col min="11784" max="11784" width="15.85546875" style="1" customWidth="1"/>
    <col min="11785" max="11785" width="15.7109375" style="1" customWidth="1"/>
    <col min="11786" max="11786" width="15.42578125" style="1" customWidth="1"/>
    <col min="11787" max="11787" width="17.140625" style="1" customWidth="1"/>
    <col min="11788" max="11788" width="37.85546875" style="1" customWidth="1"/>
    <col min="11789" max="11789" width="36.5703125" style="1" customWidth="1"/>
    <col min="11790" max="11790" width="29.42578125" style="1" customWidth="1"/>
    <col min="11791" max="12035" width="8.85546875" style="1"/>
    <col min="12036" max="12036" width="4" style="1" customWidth="1"/>
    <col min="12037" max="12037" width="59.7109375" style="1" customWidth="1"/>
    <col min="12038" max="12038" width="4.85546875" style="1" customWidth="1"/>
    <col min="12039" max="12039" width="9" style="1" customWidth="1"/>
    <col min="12040" max="12040" width="15.85546875" style="1" customWidth="1"/>
    <col min="12041" max="12041" width="15.7109375" style="1" customWidth="1"/>
    <col min="12042" max="12042" width="15.42578125" style="1" customWidth="1"/>
    <col min="12043" max="12043" width="17.140625" style="1" customWidth="1"/>
    <col min="12044" max="12044" width="37.85546875" style="1" customWidth="1"/>
    <col min="12045" max="12045" width="36.5703125" style="1" customWidth="1"/>
    <col min="12046" max="12046" width="29.42578125" style="1" customWidth="1"/>
    <col min="12047" max="12291" width="8.85546875" style="1"/>
    <col min="12292" max="12292" width="4" style="1" customWidth="1"/>
    <col min="12293" max="12293" width="59.7109375" style="1" customWidth="1"/>
    <col min="12294" max="12294" width="4.85546875" style="1" customWidth="1"/>
    <col min="12295" max="12295" width="9" style="1" customWidth="1"/>
    <col min="12296" max="12296" width="15.85546875" style="1" customWidth="1"/>
    <col min="12297" max="12297" width="15.7109375" style="1" customWidth="1"/>
    <col min="12298" max="12298" width="15.42578125" style="1" customWidth="1"/>
    <col min="12299" max="12299" width="17.140625" style="1" customWidth="1"/>
    <col min="12300" max="12300" width="37.85546875" style="1" customWidth="1"/>
    <col min="12301" max="12301" width="36.5703125" style="1" customWidth="1"/>
    <col min="12302" max="12302" width="29.42578125" style="1" customWidth="1"/>
    <col min="12303" max="12547" width="8.85546875" style="1"/>
    <col min="12548" max="12548" width="4" style="1" customWidth="1"/>
    <col min="12549" max="12549" width="59.7109375" style="1" customWidth="1"/>
    <col min="12550" max="12550" width="4.85546875" style="1" customWidth="1"/>
    <col min="12551" max="12551" width="9" style="1" customWidth="1"/>
    <col min="12552" max="12552" width="15.85546875" style="1" customWidth="1"/>
    <col min="12553" max="12553" width="15.7109375" style="1" customWidth="1"/>
    <col min="12554" max="12554" width="15.42578125" style="1" customWidth="1"/>
    <col min="12555" max="12555" width="17.140625" style="1" customWidth="1"/>
    <col min="12556" max="12556" width="37.85546875" style="1" customWidth="1"/>
    <col min="12557" max="12557" width="36.5703125" style="1" customWidth="1"/>
    <col min="12558" max="12558" width="29.42578125" style="1" customWidth="1"/>
    <col min="12559" max="12803" width="8.85546875" style="1"/>
    <col min="12804" max="12804" width="4" style="1" customWidth="1"/>
    <col min="12805" max="12805" width="59.7109375" style="1" customWidth="1"/>
    <col min="12806" max="12806" width="4.85546875" style="1" customWidth="1"/>
    <col min="12807" max="12807" width="9" style="1" customWidth="1"/>
    <col min="12808" max="12808" width="15.85546875" style="1" customWidth="1"/>
    <col min="12809" max="12809" width="15.7109375" style="1" customWidth="1"/>
    <col min="12810" max="12810" width="15.42578125" style="1" customWidth="1"/>
    <col min="12811" max="12811" width="17.140625" style="1" customWidth="1"/>
    <col min="12812" max="12812" width="37.85546875" style="1" customWidth="1"/>
    <col min="12813" max="12813" width="36.5703125" style="1" customWidth="1"/>
    <col min="12814" max="12814" width="29.42578125" style="1" customWidth="1"/>
    <col min="12815" max="13059" width="8.85546875" style="1"/>
    <col min="13060" max="13060" width="4" style="1" customWidth="1"/>
    <col min="13061" max="13061" width="59.7109375" style="1" customWidth="1"/>
    <col min="13062" max="13062" width="4.85546875" style="1" customWidth="1"/>
    <col min="13063" max="13063" width="9" style="1" customWidth="1"/>
    <col min="13064" max="13064" width="15.85546875" style="1" customWidth="1"/>
    <col min="13065" max="13065" width="15.7109375" style="1" customWidth="1"/>
    <col min="13066" max="13066" width="15.42578125" style="1" customWidth="1"/>
    <col min="13067" max="13067" width="17.140625" style="1" customWidth="1"/>
    <col min="13068" max="13068" width="37.85546875" style="1" customWidth="1"/>
    <col min="13069" max="13069" width="36.5703125" style="1" customWidth="1"/>
    <col min="13070" max="13070" width="29.42578125" style="1" customWidth="1"/>
    <col min="13071" max="13315" width="8.85546875" style="1"/>
    <col min="13316" max="13316" width="4" style="1" customWidth="1"/>
    <col min="13317" max="13317" width="59.7109375" style="1" customWidth="1"/>
    <col min="13318" max="13318" width="4.85546875" style="1" customWidth="1"/>
    <col min="13319" max="13319" width="9" style="1" customWidth="1"/>
    <col min="13320" max="13320" width="15.85546875" style="1" customWidth="1"/>
    <col min="13321" max="13321" width="15.7109375" style="1" customWidth="1"/>
    <col min="13322" max="13322" width="15.42578125" style="1" customWidth="1"/>
    <col min="13323" max="13323" width="17.140625" style="1" customWidth="1"/>
    <col min="13324" max="13324" width="37.85546875" style="1" customWidth="1"/>
    <col min="13325" max="13325" width="36.5703125" style="1" customWidth="1"/>
    <col min="13326" max="13326" width="29.42578125" style="1" customWidth="1"/>
    <col min="13327" max="13571" width="8.85546875" style="1"/>
    <col min="13572" max="13572" width="4" style="1" customWidth="1"/>
    <col min="13573" max="13573" width="59.7109375" style="1" customWidth="1"/>
    <col min="13574" max="13574" width="4.85546875" style="1" customWidth="1"/>
    <col min="13575" max="13575" width="9" style="1" customWidth="1"/>
    <col min="13576" max="13576" width="15.85546875" style="1" customWidth="1"/>
    <col min="13577" max="13577" width="15.7109375" style="1" customWidth="1"/>
    <col min="13578" max="13578" width="15.42578125" style="1" customWidth="1"/>
    <col min="13579" max="13579" width="17.140625" style="1" customWidth="1"/>
    <col min="13580" max="13580" width="37.85546875" style="1" customWidth="1"/>
    <col min="13581" max="13581" width="36.5703125" style="1" customWidth="1"/>
    <col min="13582" max="13582" width="29.42578125" style="1" customWidth="1"/>
    <col min="13583" max="13827" width="8.85546875" style="1"/>
    <col min="13828" max="13828" width="4" style="1" customWidth="1"/>
    <col min="13829" max="13829" width="59.7109375" style="1" customWidth="1"/>
    <col min="13830" max="13830" width="4.85546875" style="1" customWidth="1"/>
    <col min="13831" max="13831" width="9" style="1" customWidth="1"/>
    <col min="13832" max="13832" width="15.85546875" style="1" customWidth="1"/>
    <col min="13833" max="13833" width="15.7109375" style="1" customWidth="1"/>
    <col min="13834" max="13834" width="15.42578125" style="1" customWidth="1"/>
    <col min="13835" max="13835" width="17.140625" style="1" customWidth="1"/>
    <col min="13836" max="13836" width="37.85546875" style="1" customWidth="1"/>
    <col min="13837" max="13837" width="36.5703125" style="1" customWidth="1"/>
    <col min="13838" max="13838" width="29.42578125" style="1" customWidth="1"/>
    <col min="13839" max="14083" width="8.85546875" style="1"/>
    <col min="14084" max="14084" width="4" style="1" customWidth="1"/>
    <col min="14085" max="14085" width="59.7109375" style="1" customWidth="1"/>
    <col min="14086" max="14086" width="4.85546875" style="1" customWidth="1"/>
    <col min="14087" max="14087" width="9" style="1" customWidth="1"/>
    <col min="14088" max="14088" width="15.85546875" style="1" customWidth="1"/>
    <col min="14089" max="14089" width="15.7109375" style="1" customWidth="1"/>
    <col min="14090" max="14090" width="15.42578125" style="1" customWidth="1"/>
    <col min="14091" max="14091" width="17.140625" style="1" customWidth="1"/>
    <col min="14092" max="14092" width="37.85546875" style="1" customWidth="1"/>
    <col min="14093" max="14093" width="36.5703125" style="1" customWidth="1"/>
    <col min="14094" max="14094" width="29.42578125" style="1" customWidth="1"/>
    <col min="14095" max="14339" width="8.85546875" style="1"/>
    <col min="14340" max="14340" width="4" style="1" customWidth="1"/>
    <col min="14341" max="14341" width="59.7109375" style="1" customWidth="1"/>
    <col min="14342" max="14342" width="4.85546875" style="1" customWidth="1"/>
    <col min="14343" max="14343" width="9" style="1" customWidth="1"/>
    <col min="14344" max="14344" width="15.85546875" style="1" customWidth="1"/>
    <col min="14345" max="14345" width="15.7109375" style="1" customWidth="1"/>
    <col min="14346" max="14346" width="15.42578125" style="1" customWidth="1"/>
    <col min="14347" max="14347" width="17.140625" style="1" customWidth="1"/>
    <col min="14348" max="14348" width="37.85546875" style="1" customWidth="1"/>
    <col min="14349" max="14349" width="36.5703125" style="1" customWidth="1"/>
    <col min="14350" max="14350" width="29.42578125" style="1" customWidth="1"/>
    <col min="14351" max="14595" width="8.85546875" style="1"/>
    <col min="14596" max="14596" width="4" style="1" customWidth="1"/>
    <col min="14597" max="14597" width="59.7109375" style="1" customWidth="1"/>
    <col min="14598" max="14598" width="4.85546875" style="1" customWidth="1"/>
    <col min="14599" max="14599" width="9" style="1" customWidth="1"/>
    <col min="14600" max="14600" width="15.85546875" style="1" customWidth="1"/>
    <col min="14601" max="14601" width="15.7109375" style="1" customWidth="1"/>
    <col min="14602" max="14602" width="15.42578125" style="1" customWidth="1"/>
    <col min="14603" max="14603" width="17.140625" style="1" customWidth="1"/>
    <col min="14604" max="14604" width="37.85546875" style="1" customWidth="1"/>
    <col min="14605" max="14605" width="36.5703125" style="1" customWidth="1"/>
    <col min="14606" max="14606" width="29.42578125" style="1" customWidth="1"/>
    <col min="14607" max="14851" width="8.85546875" style="1"/>
    <col min="14852" max="14852" width="4" style="1" customWidth="1"/>
    <col min="14853" max="14853" width="59.7109375" style="1" customWidth="1"/>
    <col min="14854" max="14854" width="4.85546875" style="1" customWidth="1"/>
    <col min="14855" max="14855" width="9" style="1" customWidth="1"/>
    <col min="14856" max="14856" width="15.85546875" style="1" customWidth="1"/>
    <col min="14857" max="14857" width="15.7109375" style="1" customWidth="1"/>
    <col min="14858" max="14858" width="15.42578125" style="1" customWidth="1"/>
    <col min="14859" max="14859" width="17.140625" style="1" customWidth="1"/>
    <col min="14860" max="14860" width="37.85546875" style="1" customWidth="1"/>
    <col min="14861" max="14861" width="36.5703125" style="1" customWidth="1"/>
    <col min="14862" max="14862" width="29.42578125" style="1" customWidth="1"/>
    <col min="14863" max="15107" width="8.85546875" style="1"/>
    <col min="15108" max="15108" width="4" style="1" customWidth="1"/>
    <col min="15109" max="15109" width="59.7109375" style="1" customWidth="1"/>
    <col min="15110" max="15110" width="4.85546875" style="1" customWidth="1"/>
    <col min="15111" max="15111" width="9" style="1" customWidth="1"/>
    <col min="15112" max="15112" width="15.85546875" style="1" customWidth="1"/>
    <col min="15113" max="15113" width="15.7109375" style="1" customWidth="1"/>
    <col min="15114" max="15114" width="15.42578125" style="1" customWidth="1"/>
    <col min="15115" max="15115" width="17.140625" style="1" customWidth="1"/>
    <col min="15116" max="15116" width="37.85546875" style="1" customWidth="1"/>
    <col min="15117" max="15117" width="36.5703125" style="1" customWidth="1"/>
    <col min="15118" max="15118" width="29.42578125" style="1" customWidth="1"/>
    <col min="15119" max="15363" width="8.85546875" style="1"/>
    <col min="15364" max="15364" width="4" style="1" customWidth="1"/>
    <col min="15365" max="15365" width="59.7109375" style="1" customWidth="1"/>
    <col min="15366" max="15366" width="4.85546875" style="1" customWidth="1"/>
    <col min="15367" max="15367" width="9" style="1" customWidth="1"/>
    <col min="15368" max="15368" width="15.85546875" style="1" customWidth="1"/>
    <col min="15369" max="15369" width="15.7109375" style="1" customWidth="1"/>
    <col min="15370" max="15370" width="15.42578125" style="1" customWidth="1"/>
    <col min="15371" max="15371" width="17.140625" style="1" customWidth="1"/>
    <col min="15372" max="15372" width="37.85546875" style="1" customWidth="1"/>
    <col min="15373" max="15373" width="36.5703125" style="1" customWidth="1"/>
    <col min="15374" max="15374" width="29.42578125" style="1" customWidth="1"/>
    <col min="15375" max="15619" width="8.85546875" style="1"/>
    <col min="15620" max="15620" width="4" style="1" customWidth="1"/>
    <col min="15621" max="15621" width="59.7109375" style="1" customWidth="1"/>
    <col min="15622" max="15622" width="4.85546875" style="1" customWidth="1"/>
    <col min="15623" max="15623" width="9" style="1" customWidth="1"/>
    <col min="15624" max="15624" width="15.85546875" style="1" customWidth="1"/>
    <col min="15625" max="15625" width="15.7109375" style="1" customWidth="1"/>
    <col min="15626" max="15626" width="15.42578125" style="1" customWidth="1"/>
    <col min="15627" max="15627" width="17.140625" style="1" customWidth="1"/>
    <col min="15628" max="15628" width="37.85546875" style="1" customWidth="1"/>
    <col min="15629" max="15629" width="36.5703125" style="1" customWidth="1"/>
    <col min="15630" max="15630" width="29.42578125" style="1" customWidth="1"/>
    <col min="15631" max="15875" width="8.85546875" style="1"/>
    <col min="15876" max="15876" width="4" style="1" customWidth="1"/>
    <col min="15877" max="15877" width="59.7109375" style="1" customWidth="1"/>
    <col min="15878" max="15878" width="4.85546875" style="1" customWidth="1"/>
    <col min="15879" max="15879" width="9" style="1" customWidth="1"/>
    <col min="15880" max="15880" width="15.85546875" style="1" customWidth="1"/>
    <col min="15881" max="15881" width="15.7109375" style="1" customWidth="1"/>
    <col min="15882" max="15882" width="15.42578125" style="1" customWidth="1"/>
    <col min="15883" max="15883" width="17.140625" style="1" customWidth="1"/>
    <col min="15884" max="15884" width="37.85546875" style="1" customWidth="1"/>
    <col min="15885" max="15885" width="36.5703125" style="1" customWidth="1"/>
    <col min="15886" max="15886" width="29.42578125" style="1" customWidth="1"/>
    <col min="15887" max="16131" width="8.85546875" style="1"/>
    <col min="16132" max="16132" width="4" style="1" customWidth="1"/>
    <col min="16133" max="16133" width="59.7109375" style="1" customWidth="1"/>
    <col min="16134" max="16134" width="4.85546875" style="1" customWidth="1"/>
    <col min="16135" max="16135" width="9" style="1" customWidth="1"/>
    <col min="16136" max="16136" width="15.85546875" style="1" customWidth="1"/>
    <col min="16137" max="16137" width="15.7109375" style="1" customWidth="1"/>
    <col min="16138" max="16138" width="15.42578125" style="1" customWidth="1"/>
    <col min="16139" max="16139" width="17.140625" style="1" customWidth="1"/>
    <col min="16140" max="16140" width="37.85546875" style="1" customWidth="1"/>
    <col min="16141" max="16141" width="36.5703125" style="1" customWidth="1"/>
    <col min="16142" max="16142" width="29.42578125" style="1" customWidth="1"/>
    <col min="16143" max="16384" width="8.85546875" style="1"/>
  </cols>
  <sheetData>
    <row r="1" spans="1:19" ht="22.15" customHeight="1">
      <c r="G1" s="97">
        <v>46027</v>
      </c>
      <c r="H1" s="97">
        <v>46027</v>
      </c>
      <c r="M1" s="12">
        <v>46030</v>
      </c>
      <c r="N1" s="12">
        <v>46030</v>
      </c>
      <c r="O1" s="9" t="s">
        <v>100</v>
      </c>
      <c r="P1" s="9" t="s">
        <v>101</v>
      </c>
    </row>
    <row r="2" spans="1:19" ht="30" customHeight="1">
      <c r="A2"/>
      <c r="B2" s="69" t="s">
        <v>0</v>
      </c>
      <c r="C2" s="82" t="s">
        <v>1</v>
      </c>
      <c r="D2" s="83" t="s">
        <v>2</v>
      </c>
      <c r="E2" s="84" t="s">
        <v>3</v>
      </c>
      <c r="F2" s="84" t="s">
        <v>4</v>
      </c>
      <c r="G2" s="96" t="s">
        <v>5</v>
      </c>
      <c r="H2" s="96" t="s">
        <v>6</v>
      </c>
      <c r="I2" s="13" t="s">
        <v>1</v>
      </c>
      <c r="J2" s="7" t="s">
        <v>2</v>
      </c>
      <c r="K2" s="2" t="s">
        <v>3</v>
      </c>
      <c r="L2" s="2" t="s">
        <v>4</v>
      </c>
      <c r="M2" s="3" t="s">
        <v>5</v>
      </c>
      <c r="N2" s="3" t="s">
        <v>6</v>
      </c>
      <c r="O2" s="78"/>
      <c r="P2" s="78"/>
    </row>
    <row r="3" spans="1:19" ht="22.15" hidden="1" customHeight="1">
      <c r="A3"/>
      <c r="B3" s="70" t="s">
        <v>7</v>
      </c>
      <c r="C3" s="85" t="s">
        <v>8</v>
      </c>
      <c r="D3" s="86">
        <v>124</v>
      </c>
      <c r="E3" s="87">
        <v>45254</v>
      </c>
      <c r="F3" s="87">
        <v>45299</v>
      </c>
      <c r="G3" s="43">
        <f t="shared" ref="G3:G37" si="0">IFERROR((F3-$G$1)/(F3-E3)*100,"")</f>
        <v>-1617.7777777777778</v>
      </c>
      <c r="H3" s="43">
        <f t="shared" ref="H3:H37" si="1">F3-$H$1</f>
        <v>-728</v>
      </c>
      <c r="I3" s="14" t="s">
        <v>8</v>
      </c>
      <c r="J3" s="15">
        <v>124</v>
      </c>
      <c r="K3" s="16">
        <v>45254</v>
      </c>
      <c r="L3" s="16">
        <v>45299</v>
      </c>
      <c r="M3" s="4">
        <f t="shared" ref="M3:M37" si="2">IFERROR((L3-$G$1)/(L3-K3)*100,"")</f>
        <v>-1617.7777777777778</v>
      </c>
      <c r="N3" s="4">
        <f t="shared" ref="N3:N37" si="3">L3-$H$1</f>
        <v>-728</v>
      </c>
      <c r="O3" s="73"/>
      <c r="P3" s="73"/>
      <c r="Q3" s="73"/>
      <c r="R3" s="73"/>
      <c r="S3" s="73"/>
    </row>
    <row r="4" spans="1:19" ht="22.15" hidden="1" customHeight="1">
      <c r="A4"/>
      <c r="B4" s="70" t="s">
        <v>9</v>
      </c>
      <c r="C4" s="85" t="s">
        <v>8</v>
      </c>
      <c r="D4" s="86">
        <v>115</v>
      </c>
      <c r="E4" s="87">
        <v>45254</v>
      </c>
      <c r="F4" s="87">
        <v>45299</v>
      </c>
      <c r="G4" s="43">
        <f t="shared" si="0"/>
        <v>-1617.7777777777778</v>
      </c>
      <c r="H4" s="43">
        <f t="shared" si="1"/>
        <v>-728</v>
      </c>
      <c r="I4" s="14" t="s">
        <v>8</v>
      </c>
      <c r="J4" s="15">
        <v>115</v>
      </c>
      <c r="K4" s="16">
        <v>45254</v>
      </c>
      <c r="L4" s="16">
        <v>45299</v>
      </c>
      <c r="M4" s="4">
        <f t="shared" si="2"/>
        <v>-1617.7777777777778</v>
      </c>
      <c r="N4" s="4">
        <f t="shared" si="3"/>
        <v>-728</v>
      </c>
      <c r="O4" s="74" t="s">
        <v>10</v>
      </c>
      <c r="P4" s="74"/>
      <c r="Q4" s="74"/>
      <c r="R4" s="74"/>
      <c r="S4" s="74"/>
    </row>
    <row r="5" spans="1:19" ht="22.15" hidden="1" customHeight="1">
      <c r="A5"/>
      <c r="B5" s="70" t="s">
        <v>11</v>
      </c>
      <c r="C5" s="85" t="s">
        <v>8</v>
      </c>
      <c r="D5" s="86">
        <v>54</v>
      </c>
      <c r="E5" s="88">
        <v>45256</v>
      </c>
      <c r="F5" s="88">
        <v>45301</v>
      </c>
      <c r="G5" s="43">
        <f t="shared" si="0"/>
        <v>-1613.3333333333333</v>
      </c>
      <c r="H5" s="43">
        <f t="shared" si="1"/>
        <v>-726</v>
      </c>
      <c r="I5" s="14" t="s">
        <v>8</v>
      </c>
      <c r="J5" s="15">
        <v>54</v>
      </c>
      <c r="K5" s="17">
        <v>45256</v>
      </c>
      <c r="L5" s="17">
        <v>45301</v>
      </c>
      <c r="M5" s="4">
        <f t="shared" si="2"/>
        <v>-1613.3333333333333</v>
      </c>
      <c r="N5" s="4">
        <f t="shared" si="3"/>
        <v>-726</v>
      </c>
      <c r="O5" s="74"/>
      <c r="P5" s="74"/>
      <c r="Q5" s="74"/>
      <c r="R5" s="74"/>
      <c r="S5" s="74"/>
    </row>
    <row r="6" spans="1:19" ht="22.15" hidden="1" customHeight="1">
      <c r="A6"/>
      <c r="B6" s="70" t="s">
        <v>12</v>
      </c>
      <c r="C6" s="85" t="s">
        <v>8</v>
      </c>
      <c r="D6" s="86">
        <v>65</v>
      </c>
      <c r="E6" s="88">
        <v>45268</v>
      </c>
      <c r="F6" s="88">
        <v>45303</v>
      </c>
      <c r="G6" s="43">
        <f t="shared" si="0"/>
        <v>-2068.5714285714289</v>
      </c>
      <c r="H6" s="43">
        <f t="shared" si="1"/>
        <v>-724</v>
      </c>
      <c r="I6" s="14" t="s">
        <v>8</v>
      </c>
      <c r="J6" s="15">
        <v>65</v>
      </c>
      <c r="K6" s="17">
        <v>45268</v>
      </c>
      <c r="L6" s="17">
        <v>45303</v>
      </c>
      <c r="M6" s="4">
        <f t="shared" si="2"/>
        <v>-2068.5714285714289</v>
      </c>
      <c r="N6" s="4">
        <f t="shared" si="3"/>
        <v>-724</v>
      </c>
      <c r="O6" s="77"/>
      <c r="P6" s="77"/>
      <c r="Q6" s="5"/>
      <c r="R6" s="5"/>
      <c r="S6" s="5"/>
    </row>
    <row r="7" spans="1:19" ht="22.15" hidden="1" customHeight="1">
      <c r="A7"/>
      <c r="B7" s="70" t="s">
        <v>13</v>
      </c>
      <c r="C7" s="85" t="s">
        <v>8</v>
      </c>
      <c r="D7" s="86">
        <v>32</v>
      </c>
      <c r="E7" s="88">
        <v>45269</v>
      </c>
      <c r="F7" s="88">
        <v>45304</v>
      </c>
      <c r="G7" s="43">
        <f t="shared" si="0"/>
        <v>-2065.7142857142858</v>
      </c>
      <c r="H7" s="43">
        <f t="shared" si="1"/>
        <v>-723</v>
      </c>
      <c r="I7" s="14" t="s">
        <v>8</v>
      </c>
      <c r="J7" s="15">
        <v>32</v>
      </c>
      <c r="K7" s="17">
        <v>45269</v>
      </c>
      <c r="L7" s="17">
        <v>45304</v>
      </c>
      <c r="M7" s="4">
        <f t="shared" si="2"/>
        <v>-2065.7142857142858</v>
      </c>
      <c r="N7" s="4">
        <f t="shared" si="3"/>
        <v>-723</v>
      </c>
      <c r="O7" s="75"/>
      <c r="P7" s="75"/>
      <c r="Q7" s="75"/>
      <c r="R7" s="75"/>
      <c r="S7" s="75"/>
    </row>
    <row r="8" spans="1:19" ht="22.15" hidden="1" customHeight="1">
      <c r="A8"/>
      <c r="B8" s="70" t="s">
        <v>14</v>
      </c>
      <c r="C8" s="85" t="s">
        <v>15</v>
      </c>
      <c r="D8" s="86">
        <v>217.8</v>
      </c>
      <c r="E8" s="88">
        <v>45275</v>
      </c>
      <c r="F8" s="88">
        <v>45305</v>
      </c>
      <c r="G8" s="43">
        <f t="shared" si="0"/>
        <v>-2406.6666666666665</v>
      </c>
      <c r="H8" s="43">
        <f t="shared" si="1"/>
        <v>-722</v>
      </c>
      <c r="I8" s="14" t="s">
        <v>15</v>
      </c>
      <c r="J8" s="15">
        <v>217.8</v>
      </c>
      <c r="K8" s="17">
        <v>45275</v>
      </c>
      <c r="L8" s="17">
        <v>45305</v>
      </c>
      <c r="M8" s="4">
        <f t="shared" si="2"/>
        <v>-2406.6666666666665</v>
      </c>
      <c r="N8" s="4">
        <f t="shared" si="3"/>
        <v>-722</v>
      </c>
      <c r="O8" s="73"/>
      <c r="P8" s="73"/>
      <c r="Q8" s="73"/>
      <c r="R8" s="73"/>
      <c r="S8" s="73"/>
    </row>
    <row r="9" spans="1:19" ht="22.15" hidden="1" customHeight="1">
      <c r="A9"/>
      <c r="B9" s="70" t="s">
        <v>16</v>
      </c>
      <c r="C9" s="85" t="s">
        <v>15</v>
      </c>
      <c r="D9" s="86">
        <v>68.8</v>
      </c>
      <c r="E9" s="88">
        <v>45265</v>
      </c>
      <c r="F9" s="88">
        <v>45305</v>
      </c>
      <c r="G9" s="43">
        <f t="shared" si="0"/>
        <v>-1805</v>
      </c>
      <c r="H9" s="43">
        <f t="shared" si="1"/>
        <v>-722</v>
      </c>
      <c r="I9" s="14" t="s">
        <v>15</v>
      </c>
      <c r="J9" s="15">
        <v>68.8</v>
      </c>
      <c r="K9" s="17">
        <v>45265</v>
      </c>
      <c r="L9" s="17">
        <v>45305</v>
      </c>
      <c r="M9" s="4">
        <f t="shared" si="2"/>
        <v>-1805</v>
      </c>
      <c r="N9" s="4">
        <f t="shared" si="3"/>
        <v>-722</v>
      </c>
      <c r="O9" s="74" t="s">
        <v>17</v>
      </c>
      <c r="P9" s="74"/>
      <c r="Q9" s="74"/>
      <c r="R9" s="74"/>
      <c r="S9" s="74"/>
    </row>
    <row r="10" spans="1:19" ht="22.15" hidden="1" customHeight="1">
      <c r="A10"/>
      <c r="B10" s="70" t="s">
        <v>18</v>
      </c>
      <c r="C10" s="85" t="s">
        <v>15</v>
      </c>
      <c r="D10" s="86">
        <v>42.16</v>
      </c>
      <c r="E10" s="88">
        <v>45260</v>
      </c>
      <c r="F10" s="88">
        <v>45305</v>
      </c>
      <c r="G10" s="43">
        <f t="shared" si="0"/>
        <v>-1604.4444444444443</v>
      </c>
      <c r="H10" s="43">
        <f t="shared" si="1"/>
        <v>-722</v>
      </c>
      <c r="I10" s="14" t="s">
        <v>15</v>
      </c>
      <c r="J10" s="15">
        <v>42.16</v>
      </c>
      <c r="K10" s="17">
        <v>45260</v>
      </c>
      <c r="L10" s="17">
        <v>45305</v>
      </c>
      <c r="M10" s="4">
        <f t="shared" si="2"/>
        <v>-1604.4444444444443</v>
      </c>
      <c r="N10" s="4">
        <f t="shared" si="3"/>
        <v>-722</v>
      </c>
      <c r="O10" s="74"/>
      <c r="P10" s="74"/>
      <c r="Q10" s="74"/>
      <c r="R10" s="74"/>
      <c r="S10" s="74"/>
    </row>
    <row r="11" spans="1:19" ht="22.15" hidden="1" customHeight="1">
      <c r="A11"/>
      <c r="B11" s="70" t="s">
        <v>19</v>
      </c>
      <c r="C11" s="85" t="s">
        <v>15</v>
      </c>
      <c r="D11" s="86">
        <v>205.58</v>
      </c>
      <c r="E11" s="88">
        <v>45276</v>
      </c>
      <c r="F11" s="88">
        <v>45306</v>
      </c>
      <c r="G11" s="43">
        <f t="shared" si="0"/>
        <v>-2403.3333333333335</v>
      </c>
      <c r="H11" s="43">
        <f t="shared" si="1"/>
        <v>-721</v>
      </c>
      <c r="I11" s="14" t="s">
        <v>15</v>
      </c>
      <c r="J11" s="15">
        <v>205.58</v>
      </c>
      <c r="K11" s="17">
        <v>45276</v>
      </c>
      <c r="L11" s="17">
        <v>45306</v>
      </c>
      <c r="M11" s="4">
        <f t="shared" si="2"/>
        <v>-2403.3333333333335</v>
      </c>
      <c r="N11" s="4">
        <f t="shared" si="3"/>
        <v>-721</v>
      </c>
    </row>
    <row r="12" spans="1:19" ht="22.15" hidden="1" customHeight="1">
      <c r="A12"/>
      <c r="B12" s="70" t="s">
        <v>20</v>
      </c>
      <c r="C12" s="85" t="s">
        <v>15</v>
      </c>
      <c r="D12" s="86">
        <v>12</v>
      </c>
      <c r="E12" s="88">
        <v>45256</v>
      </c>
      <c r="F12" s="88">
        <v>45306</v>
      </c>
      <c r="G12" s="43">
        <f t="shared" si="0"/>
        <v>-1442</v>
      </c>
      <c r="H12" s="43">
        <f t="shared" si="1"/>
        <v>-721</v>
      </c>
      <c r="I12" s="14" t="s">
        <v>15</v>
      </c>
      <c r="J12" s="15">
        <v>12</v>
      </c>
      <c r="K12" s="17">
        <v>45256</v>
      </c>
      <c r="L12" s="17">
        <v>45306</v>
      </c>
      <c r="M12" s="4">
        <f t="shared" si="2"/>
        <v>-1442</v>
      </c>
      <c r="N12" s="4">
        <f t="shared" si="3"/>
        <v>-721</v>
      </c>
    </row>
    <row r="13" spans="1:19" ht="22.15" hidden="1" customHeight="1">
      <c r="A13"/>
      <c r="B13" s="70" t="s">
        <v>21</v>
      </c>
      <c r="C13" s="85" t="s">
        <v>15</v>
      </c>
      <c r="D13" s="86">
        <v>89.266999999999996</v>
      </c>
      <c r="E13" s="88">
        <v>45276</v>
      </c>
      <c r="F13" s="88">
        <v>45306</v>
      </c>
      <c r="G13" s="43">
        <f t="shared" si="0"/>
        <v>-2403.3333333333335</v>
      </c>
      <c r="H13" s="43">
        <f t="shared" si="1"/>
        <v>-721</v>
      </c>
      <c r="I13" s="14" t="s">
        <v>15</v>
      </c>
      <c r="J13" s="15">
        <v>89.266999999999996</v>
      </c>
      <c r="K13" s="17">
        <v>45276</v>
      </c>
      <c r="L13" s="17">
        <v>45306</v>
      </c>
      <c r="M13" s="4">
        <f t="shared" si="2"/>
        <v>-2403.3333333333335</v>
      </c>
      <c r="N13" s="4">
        <f t="shared" si="3"/>
        <v>-721</v>
      </c>
    </row>
    <row r="14" spans="1:19" ht="22.15" hidden="1" customHeight="1">
      <c r="A14"/>
      <c r="B14" s="70" t="s">
        <v>22</v>
      </c>
      <c r="C14" s="85" t="s">
        <v>15</v>
      </c>
      <c r="D14" s="86">
        <v>57.1</v>
      </c>
      <c r="E14" s="88">
        <v>45229</v>
      </c>
      <c r="F14" s="88">
        <v>45306</v>
      </c>
      <c r="G14" s="43">
        <f t="shared" si="0"/>
        <v>-936.36363636363637</v>
      </c>
      <c r="H14" s="43">
        <f t="shared" si="1"/>
        <v>-721</v>
      </c>
      <c r="I14" s="14" t="s">
        <v>15</v>
      </c>
      <c r="J14" s="15">
        <v>57.1</v>
      </c>
      <c r="K14" s="17">
        <v>45229</v>
      </c>
      <c r="L14" s="17">
        <v>45306</v>
      </c>
      <c r="M14" s="4">
        <f t="shared" si="2"/>
        <v>-936.36363636363637</v>
      </c>
      <c r="N14" s="4">
        <f t="shared" si="3"/>
        <v>-721</v>
      </c>
    </row>
    <row r="15" spans="1:19" ht="22.15" hidden="1" customHeight="1">
      <c r="A15"/>
      <c r="B15" s="70" t="s">
        <v>23</v>
      </c>
      <c r="C15" s="85" t="s">
        <v>15</v>
      </c>
      <c r="D15" s="86">
        <v>159.1</v>
      </c>
      <c r="E15" s="88">
        <v>45262</v>
      </c>
      <c r="F15" s="88">
        <v>45307</v>
      </c>
      <c r="G15" s="43">
        <f t="shared" si="0"/>
        <v>-1600</v>
      </c>
      <c r="H15" s="43">
        <f t="shared" si="1"/>
        <v>-720</v>
      </c>
      <c r="I15" s="14" t="s">
        <v>15</v>
      </c>
      <c r="J15" s="15">
        <v>159.1</v>
      </c>
      <c r="K15" s="17">
        <v>45262</v>
      </c>
      <c r="L15" s="17">
        <v>45307</v>
      </c>
      <c r="M15" s="4">
        <f t="shared" si="2"/>
        <v>-1600</v>
      </c>
      <c r="N15" s="4">
        <f t="shared" si="3"/>
        <v>-720</v>
      </c>
    </row>
    <row r="16" spans="1:19" ht="22.15" hidden="1" customHeight="1">
      <c r="A16"/>
      <c r="B16" s="70" t="s">
        <v>24</v>
      </c>
      <c r="C16" s="85" t="s">
        <v>15</v>
      </c>
      <c r="D16" s="86">
        <v>218.5</v>
      </c>
      <c r="E16" s="88">
        <v>45277</v>
      </c>
      <c r="F16" s="88">
        <v>45307</v>
      </c>
      <c r="G16" s="43">
        <f t="shared" si="0"/>
        <v>-2400</v>
      </c>
      <c r="H16" s="43">
        <f t="shared" si="1"/>
        <v>-720</v>
      </c>
      <c r="I16" s="14" t="s">
        <v>15</v>
      </c>
      <c r="J16" s="15">
        <v>218.5</v>
      </c>
      <c r="K16" s="17">
        <v>45277</v>
      </c>
      <c r="L16" s="17">
        <v>45307</v>
      </c>
      <c r="M16" s="4">
        <f t="shared" si="2"/>
        <v>-2400</v>
      </c>
      <c r="N16" s="4">
        <f t="shared" si="3"/>
        <v>-720</v>
      </c>
    </row>
    <row r="17" spans="1:14" ht="22.15" hidden="1" customHeight="1">
      <c r="A17"/>
      <c r="B17" s="70" t="s">
        <v>25</v>
      </c>
      <c r="C17" s="85" t="s">
        <v>15</v>
      </c>
      <c r="D17" s="86">
        <v>187.7</v>
      </c>
      <c r="E17" s="88">
        <v>45267</v>
      </c>
      <c r="F17" s="88">
        <v>45307</v>
      </c>
      <c r="G17" s="43">
        <f t="shared" si="0"/>
        <v>-1800</v>
      </c>
      <c r="H17" s="43">
        <f t="shared" si="1"/>
        <v>-720</v>
      </c>
      <c r="I17" s="14" t="s">
        <v>15</v>
      </c>
      <c r="J17" s="15">
        <v>187.7</v>
      </c>
      <c r="K17" s="17">
        <v>45267</v>
      </c>
      <c r="L17" s="17">
        <v>45307</v>
      </c>
      <c r="M17" s="4">
        <f t="shared" si="2"/>
        <v>-1800</v>
      </c>
      <c r="N17" s="4">
        <f t="shared" si="3"/>
        <v>-720</v>
      </c>
    </row>
    <row r="18" spans="1:14" ht="22.15" hidden="1" customHeight="1">
      <c r="A18"/>
      <c r="B18" s="70" t="s">
        <v>26</v>
      </c>
      <c r="C18" s="85" t="s">
        <v>8</v>
      </c>
      <c r="D18" s="86">
        <v>77</v>
      </c>
      <c r="E18" s="88">
        <v>45268</v>
      </c>
      <c r="F18" s="88">
        <v>45308</v>
      </c>
      <c r="G18" s="43">
        <f t="shared" si="0"/>
        <v>-1797.5000000000002</v>
      </c>
      <c r="H18" s="43">
        <f t="shared" si="1"/>
        <v>-719</v>
      </c>
      <c r="I18" s="14" t="s">
        <v>8</v>
      </c>
      <c r="J18" s="15">
        <v>77</v>
      </c>
      <c r="K18" s="17">
        <v>45268</v>
      </c>
      <c r="L18" s="17">
        <v>45308</v>
      </c>
      <c r="M18" s="4">
        <f t="shared" si="2"/>
        <v>-1797.5000000000002</v>
      </c>
      <c r="N18" s="4">
        <f t="shared" si="3"/>
        <v>-719</v>
      </c>
    </row>
    <row r="19" spans="1:14" ht="22.15" hidden="1" customHeight="1">
      <c r="A19"/>
      <c r="B19" s="70" t="s">
        <v>27</v>
      </c>
      <c r="C19" s="85" t="s">
        <v>8</v>
      </c>
      <c r="D19" s="86">
        <v>241</v>
      </c>
      <c r="E19" s="88">
        <v>45268</v>
      </c>
      <c r="F19" s="88">
        <v>45308</v>
      </c>
      <c r="G19" s="43">
        <f t="shared" si="0"/>
        <v>-1797.5000000000002</v>
      </c>
      <c r="H19" s="43">
        <f t="shared" si="1"/>
        <v>-719</v>
      </c>
      <c r="I19" s="14" t="s">
        <v>8</v>
      </c>
      <c r="J19" s="15">
        <v>241</v>
      </c>
      <c r="K19" s="17">
        <v>45268</v>
      </c>
      <c r="L19" s="17">
        <v>45308</v>
      </c>
      <c r="M19" s="4">
        <f t="shared" si="2"/>
        <v>-1797.5000000000002</v>
      </c>
      <c r="N19" s="4">
        <f t="shared" si="3"/>
        <v>-719</v>
      </c>
    </row>
    <row r="20" spans="1:14" ht="22.15" hidden="1" customHeight="1">
      <c r="A20"/>
      <c r="B20" s="70" t="s">
        <v>28</v>
      </c>
      <c r="C20" s="85" t="s">
        <v>8</v>
      </c>
      <c r="D20" s="86">
        <v>354</v>
      </c>
      <c r="E20" s="88">
        <v>45268</v>
      </c>
      <c r="F20" s="88">
        <v>45308</v>
      </c>
      <c r="G20" s="43">
        <f t="shared" si="0"/>
        <v>-1797.5000000000002</v>
      </c>
      <c r="H20" s="43">
        <f t="shared" si="1"/>
        <v>-719</v>
      </c>
      <c r="I20" s="14" t="s">
        <v>8</v>
      </c>
      <c r="J20" s="15">
        <v>354</v>
      </c>
      <c r="K20" s="17">
        <v>45268</v>
      </c>
      <c r="L20" s="17">
        <v>45308</v>
      </c>
      <c r="M20" s="4">
        <f t="shared" si="2"/>
        <v>-1797.5000000000002</v>
      </c>
      <c r="N20" s="4">
        <f t="shared" si="3"/>
        <v>-719</v>
      </c>
    </row>
    <row r="21" spans="1:14" ht="22.15" hidden="1" customHeight="1">
      <c r="A21"/>
      <c r="B21" s="70" t="s">
        <v>29</v>
      </c>
      <c r="C21" s="85" t="s">
        <v>8</v>
      </c>
      <c r="D21" s="86">
        <v>3</v>
      </c>
      <c r="E21" s="88">
        <v>45270</v>
      </c>
      <c r="F21" s="88">
        <v>45310</v>
      </c>
      <c r="G21" s="43">
        <f t="shared" si="0"/>
        <v>-1792.5</v>
      </c>
      <c r="H21" s="43">
        <f t="shared" si="1"/>
        <v>-717</v>
      </c>
      <c r="I21" s="14" t="s">
        <v>8</v>
      </c>
      <c r="J21" s="15">
        <v>3</v>
      </c>
      <c r="K21" s="17">
        <v>45270</v>
      </c>
      <c r="L21" s="17">
        <v>45310</v>
      </c>
      <c r="M21" s="4">
        <f t="shared" si="2"/>
        <v>-1792.5</v>
      </c>
      <c r="N21" s="4">
        <f t="shared" si="3"/>
        <v>-717</v>
      </c>
    </row>
    <row r="22" spans="1:14" ht="22.15" hidden="1" customHeight="1">
      <c r="A22"/>
      <c r="B22" s="70" t="s">
        <v>30</v>
      </c>
      <c r="C22" s="85" t="s">
        <v>8</v>
      </c>
      <c r="D22" s="86">
        <v>45</v>
      </c>
      <c r="E22" s="88">
        <v>45268</v>
      </c>
      <c r="F22" s="88">
        <v>45311</v>
      </c>
      <c r="G22" s="43">
        <f t="shared" si="0"/>
        <v>-1665.1162790697676</v>
      </c>
      <c r="H22" s="43">
        <f t="shared" si="1"/>
        <v>-716</v>
      </c>
      <c r="I22" s="14" t="s">
        <v>8</v>
      </c>
      <c r="J22" s="15">
        <v>45</v>
      </c>
      <c r="K22" s="17">
        <v>45268</v>
      </c>
      <c r="L22" s="17">
        <v>45311</v>
      </c>
      <c r="M22" s="4">
        <f t="shared" si="2"/>
        <v>-1665.1162790697676</v>
      </c>
      <c r="N22" s="4">
        <f t="shared" si="3"/>
        <v>-716</v>
      </c>
    </row>
    <row r="23" spans="1:14" ht="22.15" hidden="1" customHeight="1">
      <c r="A23"/>
      <c r="B23" s="70" t="s">
        <v>31</v>
      </c>
      <c r="C23" s="85" t="s">
        <v>15</v>
      </c>
      <c r="D23" s="86">
        <v>97.5</v>
      </c>
      <c r="E23" s="88">
        <v>45268</v>
      </c>
      <c r="F23" s="88">
        <v>45311</v>
      </c>
      <c r="G23" s="43">
        <f t="shared" si="0"/>
        <v>-1665.1162790697676</v>
      </c>
      <c r="H23" s="43">
        <f t="shared" si="1"/>
        <v>-716</v>
      </c>
      <c r="I23" s="14" t="s">
        <v>15</v>
      </c>
      <c r="J23" s="15">
        <v>97.5</v>
      </c>
      <c r="K23" s="17">
        <v>45268</v>
      </c>
      <c r="L23" s="17">
        <v>45311</v>
      </c>
      <c r="M23" s="4">
        <f t="shared" si="2"/>
        <v>-1665.1162790697676</v>
      </c>
      <c r="N23" s="4">
        <f t="shared" si="3"/>
        <v>-716</v>
      </c>
    </row>
    <row r="24" spans="1:14" ht="22.15" hidden="1" customHeight="1">
      <c r="A24"/>
      <c r="B24" s="70" t="s">
        <v>32</v>
      </c>
      <c r="C24" s="85" t="s">
        <v>15</v>
      </c>
      <c r="D24" s="86">
        <v>85.93</v>
      </c>
      <c r="E24" s="88">
        <v>45276</v>
      </c>
      <c r="F24" s="88">
        <v>45311</v>
      </c>
      <c r="G24" s="43">
        <f t="shared" si="0"/>
        <v>-2045.7142857142856</v>
      </c>
      <c r="H24" s="43">
        <f t="shared" si="1"/>
        <v>-716</v>
      </c>
      <c r="I24" s="14" t="s">
        <v>15</v>
      </c>
      <c r="J24" s="15">
        <v>85.93</v>
      </c>
      <c r="K24" s="17">
        <v>45276</v>
      </c>
      <c r="L24" s="17">
        <v>45311</v>
      </c>
      <c r="M24" s="4">
        <f t="shared" si="2"/>
        <v>-2045.7142857142856</v>
      </c>
      <c r="N24" s="4">
        <f t="shared" si="3"/>
        <v>-716</v>
      </c>
    </row>
    <row r="25" spans="1:14" ht="22.15" hidden="1" customHeight="1">
      <c r="A25"/>
      <c r="B25" s="70" t="s">
        <v>33</v>
      </c>
      <c r="C25" s="85" t="s">
        <v>15</v>
      </c>
      <c r="D25" s="86">
        <v>216.8</v>
      </c>
      <c r="E25" s="88">
        <v>45267</v>
      </c>
      <c r="F25" s="88">
        <v>45312</v>
      </c>
      <c r="G25" s="43">
        <f t="shared" si="0"/>
        <v>-1588.8888888888889</v>
      </c>
      <c r="H25" s="43">
        <f t="shared" si="1"/>
        <v>-715</v>
      </c>
      <c r="I25" s="14" t="s">
        <v>15</v>
      </c>
      <c r="J25" s="15">
        <v>216.8</v>
      </c>
      <c r="K25" s="17">
        <v>45267</v>
      </c>
      <c r="L25" s="17">
        <v>45312</v>
      </c>
      <c r="M25" s="4">
        <f t="shared" si="2"/>
        <v>-1588.8888888888889</v>
      </c>
      <c r="N25" s="4">
        <f t="shared" si="3"/>
        <v>-715</v>
      </c>
    </row>
    <row r="26" spans="1:14" ht="22.15" hidden="1" customHeight="1">
      <c r="A26"/>
      <c r="B26" s="70" t="s">
        <v>34</v>
      </c>
      <c r="C26" s="85" t="s">
        <v>15</v>
      </c>
      <c r="D26" s="86">
        <v>170.9</v>
      </c>
      <c r="E26" s="88">
        <v>45277</v>
      </c>
      <c r="F26" s="88">
        <v>45312</v>
      </c>
      <c r="G26" s="43">
        <f t="shared" si="0"/>
        <v>-2042.8571428571427</v>
      </c>
      <c r="H26" s="43">
        <f t="shared" si="1"/>
        <v>-715</v>
      </c>
      <c r="I26" s="14" t="s">
        <v>15</v>
      </c>
      <c r="J26" s="15">
        <v>170.9</v>
      </c>
      <c r="K26" s="17">
        <v>45277</v>
      </c>
      <c r="L26" s="17">
        <v>45312</v>
      </c>
      <c r="M26" s="4">
        <f t="shared" si="2"/>
        <v>-2042.8571428571427</v>
      </c>
      <c r="N26" s="4">
        <f t="shared" si="3"/>
        <v>-715</v>
      </c>
    </row>
    <row r="27" spans="1:14" ht="22.15" hidden="1" customHeight="1">
      <c r="A27"/>
      <c r="B27" s="70" t="s">
        <v>35</v>
      </c>
      <c r="C27" s="85" t="s">
        <v>15</v>
      </c>
      <c r="D27" s="86">
        <v>159.9</v>
      </c>
      <c r="E27" s="88">
        <v>45277</v>
      </c>
      <c r="F27" s="88">
        <v>45312</v>
      </c>
      <c r="G27" s="43">
        <f t="shared" si="0"/>
        <v>-2042.8571428571427</v>
      </c>
      <c r="H27" s="43">
        <f t="shared" si="1"/>
        <v>-715</v>
      </c>
      <c r="I27" s="14" t="s">
        <v>15</v>
      </c>
      <c r="J27" s="15">
        <v>159.9</v>
      </c>
      <c r="K27" s="17">
        <v>45277</v>
      </c>
      <c r="L27" s="17">
        <v>45312</v>
      </c>
      <c r="M27" s="4">
        <f t="shared" si="2"/>
        <v>-2042.8571428571427</v>
      </c>
      <c r="N27" s="4">
        <f t="shared" si="3"/>
        <v>-715</v>
      </c>
    </row>
    <row r="28" spans="1:14" ht="22.15" hidden="1" customHeight="1">
      <c r="A28"/>
      <c r="B28" s="70" t="s">
        <v>36</v>
      </c>
      <c r="C28" s="85" t="s">
        <v>15</v>
      </c>
      <c r="D28" s="86">
        <v>358.6</v>
      </c>
      <c r="E28" s="88">
        <v>45272</v>
      </c>
      <c r="F28" s="88">
        <v>45312</v>
      </c>
      <c r="G28" s="43">
        <f t="shared" si="0"/>
        <v>-1787.5</v>
      </c>
      <c r="H28" s="43">
        <f t="shared" si="1"/>
        <v>-715</v>
      </c>
      <c r="I28" s="14" t="s">
        <v>15</v>
      </c>
      <c r="J28" s="15">
        <v>358.6</v>
      </c>
      <c r="K28" s="17">
        <v>45272</v>
      </c>
      <c r="L28" s="17">
        <v>45312</v>
      </c>
      <c r="M28" s="4">
        <f t="shared" si="2"/>
        <v>-1787.5</v>
      </c>
      <c r="N28" s="4">
        <f t="shared" si="3"/>
        <v>-715</v>
      </c>
    </row>
    <row r="29" spans="1:14" ht="22.15" hidden="1" customHeight="1">
      <c r="A29"/>
      <c r="B29" s="70" t="s">
        <v>37</v>
      </c>
      <c r="C29" s="85" t="s">
        <v>8</v>
      </c>
      <c r="D29" s="86">
        <v>94</v>
      </c>
      <c r="E29" s="88">
        <v>45268</v>
      </c>
      <c r="F29" s="88">
        <v>45313</v>
      </c>
      <c r="G29" s="43">
        <f t="shared" si="0"/>
        <v>-1586.6666666666667</v>
      </c>
      <c r="H29" s="43">
        <f t="shared" si="1"/>
        <v>-714</v>
      </c>
      <c r="I29" s="14" t="s">
        <v>8</v>
      </c>
      <c r="J29" s="15">
        <v>94</v>
      </c>
      <c r="K29" s="17">
        <v>45268</v>
      </c>
      <c r="L29" s="17">
        <v>45313</v>
      </c>
      <c r="M29" s="4">
        <f t="shared" si="2"/>
        <v>-1586.6666666666667</v>
      </c>
      <c r="N29" s="4">
        <f t="shared" si="3"/>
        <v>-714</v>
      </c>
    </row>
    <row r="30" spans="1:14" ht="22.15" hidden="1" customHeight="1">
      <c r="A30"/>
      <c r="B30" s="70" t="s">
        <v>38</v>
      </c>
      <c r="C30" s="85" t="s">
        <v>8</v>
      </c>
      <c r="D30" s="86">
        <v>134</v>
      </c>
      <c r="E30" s="88">
        <v>45268</v>
      </c>
      <c r="F30" s="88">
        <v>45313</v>
      </c>
      <c r="G30" s="43">
        <f t="shared" si="0"/>
        <v>-1586.6666666666667</v>
      </c>
      <c r="H30" s="43">
        <f t="shared" si="1"/>
        <v>-714</v>
      </c>
      <c r="I30" s="14" t="s">
        <v>8</v>
      </c>
      <c r="J30" s="15">
        <v>134</v>
      </c>
      <c r="K30" s="17">
        <v>45268</v>
      </c>
      <c r="L30" s="17">
        <v>45313</v>
      </c>
      <c r="M30" s="4">
        <f t="shared" si="2"/>
        <v>-1586.6666666666667</v>
      </c>
      <c r="N30" s="4">
        <f t="shared" si="3"/>
        <v>-714</v>
      </c>
    </row>
    <row r="31" spans="1:14" ht="22.15" hidden="1" customHeight="1">
      <c r="A31"/>
      <c r="B31" s="70" t="s">
        <v>39</v>
      </c>
      <c r="C31" s="85" t="s">
        <v>8</v>
      </c>
      <c r="D31" s="86">
        <v>2</v>
      </c>
      <c r="E31" s="88">
        <v>45268</v>
      </c>
      <c r="F31" s="88">
        <v>45313</v>
      </c>
      <c r="G31" s="43">
        <f t="shared" si="0"/>
        <v>-1586.6666666666667</v>
      </c>
      <c r="H31" s="43">
        <f t="shared" si="1"/>
        <v>-714</v>
      </c>
      <c r="I31" s="14" t="s">
        <v>8</v>
      </c>
      <c r="J31" s="15">
        <v>2</v>
      </c>
      <c r="K31" s="17">
        <v>45268</v>
      </c>
      <c r="L31" s="17">
        <v>45313</v>
      </c>
      <c r="M31" s="4">
        <f t="shared" si="2"/>
        <v>-1586.6666666666667</v>
      </c>
      <c r="N31" s="4">
        <f t="shared" si="3"/>
        <v>-714</v>
      </c>
    </row>
    <row r="32" spans="1:14" ht="22.15" hidden="1" customHeight="1">
      <c r="A32"/>
      <c r="B32" s="70" t="s">
        <v>40</v>
      </c>
      <c r="C32" s="85" t="s">
        <v>15</v>
      </c>
      <c r="D32" s="86">
        <v>273.39999999999998</v>
      </c>
      <c r="E32" s="88">
        <v>45268</v>
      </c>
      <c r="F32" s="88">
        <v>45313</v>
      </c>
      <c r="G32" s="43">
        <f t="shared" si="0"/>
        <v>-1586.6666666666667</v>
      </c>
      <c r="H32" s="43">
        <f t="shared" si="1"/>
        <v>-714</v>
      </c>
      <c r="I32" s="14" t="s">
        <v>15</v>
      </c>
      <c r="J32" s="15">
        <v>273.39999999999998</v>
      </c>
      <c r="K32" s="17">
        <v>45268</v>
      </c>
      <c r="L32" s="17">
        <v>45313</v>
      </c>
      <c r="M32" s="4">
        <f t="shared" si="2"/>
        <v>-1586.6666666666667</v>
      </c>
      <c r="N32" s="4">
        <f t="shared" si="3"/>
        <v>-714</v>
      </c>
    </row>
    <row r="33" spans="1:14" ht="22.15" hidden="1" customHeight="1">
      <c r="A33"/>
      <c r="B33" s="70" t="s">
        <v>41</v>
      </c>
      <c r="C33" s="85" t="s">
        <v>15</v>
      </c>
      <c r="D33" s="86">
        <v>160.19999999999999</v>
      </c>
      <c r="E33" s="88">
        <v>45274</v>
      </c>
      <c r="F33" s="88">
        <v>45314</v>
      </c>
      <c r="G33" s="43">
        <f t="shared" si="0"/>
        <v>-1782.5</v>
      </c>
      <c r="H33" s="43">
        <f t="shared" si="1"/>
        <v>-713</v>
      </c>
      <c r="I33" s="14" t="s">
        <v>15</v>
      </c>
      <c r="J33" s="15">
        <v>160.19999999999999</v>
      </c>
      <c r="K33" s="17">
        <v>45274</v>
      </c>
      <c r="L33" s="17">
        <v>45314</v>
      </c>
      <c r="M33" s="4">
        <f t="shared" si="2"/>
        <v>-1782.5</v>
      </c>
      <c r="N33" s="4">
        <f t="shared" si="3"/>
        <v>-713</v>
      </c>
    </row>
    <row r="34" spans="1:14" ht="22.15" hidden="1" customHeight="1">
      <c r="A34"/>
      <c r="B34" s="70" t="s">
        <v>42</v>
      </c>
      <c r="C34" s="85" t="s">
        <v>15</v>
      </c>
      <c r="D34" s="86">
        <v>351.4</v>
      </c>
      <c r="E34" s="88">
        <v>45275</v>
      </c>
      <c r="F34" s="88">
        <v>45315</v>
      </c>
      <c r="G34" s="43">
        <f t="shared" si="0"/>
        <v>-1780</v>
      </c>
      <c r="H34" s="43">
        <f t="shared" si="1"/>
        <v>-712</v>
      </c>
      <c r="I34" s="14" t="s">
        <v>15</v>
      </c>
      <c r="J34" s="15">
        <v>351.4</v>
      </c>
      <c r="K34" s="17">
        <v>45275</v>
      </c>
      <c r="L34" s="17">
        <v>45315</v>
      </c>
      <c r="M34" s="4">
        <f t="shared" si="2"/>
        <v>-1780</v>
      </c>
      <c r="N34" s="4">
        <f t="shared" si="3"/>
        <v>-712</v>
      </c>
    </row>
    <row r="35" spans="1:14" ht="22.15" hidden="1" customHeight="1">
      <c r="A35"/>
      <c r="B35" s="70" t="s">
        <v>43</v>
      </c>
      <c r="C35" s="85" t="s">
        <v>15</v>
      </c>
      <c r="D35" s="86">
        <v>19.004000000000001</v>
      </c>
      <c r="E35" s="88">
        <v>45275</v>
      </c>
      <c r="F35" s="88">
        <v>45315</v>
      </c>
      <c r="G35" s="43">
        <f t="shared" si="0"/>
        <v>-1780</v>
      </c>
      <c r="H35" s="43">
        <f t="shared" si="1"/>
        <v>-712</v>
      </c>
      <c r="I35" s="14" t="s">
        <v>15</v>
      </c>
      <c r="J35" s="15">
        <v>19.004000000000001</v>
      </c>
      <c r="K35" s="17">
        <v>45275</v>
      </c>
      <c r="L35" s="17">
        <v>45315</v>
      </c>
      <c r="M35" s="4">
        <f t="shared" si="2"/>
        <v>-1780</v>
      </c>
      <c r="N35" s="4">
        <f t="shared" si="3"/>
        <v>-712</v>
      </c>
    </row>
    <row r="36" spans="1:14" ht="22.15" hidden="1" customHeight="1">
      <c r="A36"/>
      <c r="B36" s="70" t="s">
        <v>44</v>
      </c>
      <c r="C36" s="85" t="s">
        <v>15</v>
      </c>
      <c r="D36" s="86">
        <v>6.56</v>
      </c>
      <c r="E36" s="88"/>
      <c r="F36" s="88"/>
      <c r="G36" s="43" t="str">
        <f t="shared" si="0"/>
        <v/>
      </c>
      <c r="H36" s="43">
        <f t="shared" si="1"/>
        <v>-46027</v>
      </c>
      <c r="I36" s="14" t="s">
        <v>15</v>
      </c>
      <c r="J36" s="15">
        <v>6.56</v>
      </c>
      <c r="K36" s="17"/>
      <c r="L36" s="17"/>
      <c r="M36" s="4" t="str">
        <f t="shared" si="2"/>
        <v/>
      </c>
      <c r="N36" s="4">
        <f t="shared" si="3"/>
        <v>-46027</v>
      </c>
    </row>
    <row r="37" spans="1:14" ht="22.15" hidden="1" customHeight="1">
      <c r="A37"/>
      <c r="B37" s="70" t="s">
        <v>45</v>
      </c>
      <c r="C37" s="85" t="s">
        <v>15</v>
      </c>
      <c r="D37" s="86">
        <v>115.69499999999999</v>
      </c>
      <c r="E37" s="88">
        <v>45276</v>
      </c>
      <c r="F37" s="88">
        <v>45316</v>
      </c>
      <c r="G37" s="43">
        <f t="shared" si="0"/>
        <v>-1777.4999999999998</v>
      </c>
      <c r="H37" s="43">
        <f t="shared" si="1"/>
        <v>-711</v>
      </c>
      <c r="I37" s="14" t="s">
        <v>15</v>
      </c>
      <c r="J37" s="15">
        <v>115.69499999999999</v>
      </c>
      <c r="K37" s="17">
        <v>45276</v>
      </c>
      <c r="L37" s="17">
        <v>45316</v>
      </c>
      <c r="M37" s="4">
        <f t="shared" si="2"/>
        <v>-1777.4999999999998</v>
      </c>
      <c r="N37" s="4">
        <f t="shared" si="3"/>
        <v>-711</v>
      </c>
    </row>
    <row r="38" spans="1:14" ht="22.15" hidden="1" customHeight="1">
      <c r="A38"/>
      <c r="B38" s="70" t="s">
        <v>46</v>
      </c>
      <c r="C38" s="85" t="s">
        <v>8</v>
      </c>
      <c r="D38" s="86">
        <v>234</v>
      </c>
      <c r="E38" s="88">
        <v>45260</v>
      </c>
      <c r="F38" s="88">
        <v>45320</v>
      </c>
      <c r="G38" s="43">
        <f>IFERROR((F38-$G$1)/(F38-E38)*100,"")</f>
        <v>-1178.3333333333333</v>
      </c>
      <c r="H38" s="43">
        <f>F38-$H$1</f>
        <v>-707</v>
      </c>
      <c r="I38" s="14" t="s">
        <v>8</v>
      </c>
      <c r="J38" s="15">
        <v>234</v>
      </c>
      <c r="K38" s="17">
        <v>45260</v>
      </c>
      <c r="L38" s="17">
        <v>45320</v>
      </c>
      <c r="M38" s="4">
        <f>IFERROR((L38-$G$1)/(L38-K38)*100,"")</f>
        <v>-1178.3333333333333</v>
      </c>
      <c r="N38" s="4">
        <f>L38-$H$1</f>
        <v>-707</v>
      </c>
    </row>
    <row r="39" spans="1:14" ht="22.15" hidden="1" customHeight="1">
      <c r="A39"/>
      <c r="B39" s="70" t="s">
        <v>47</v>
      </c>
      <c r="C39" s="85" t="s">
        <v>8</v>
      </c>
      <c r="D39" s="86">
        <v>480</v>
      </c>
      <c r="E39" s="88"/>
      <c r="F39" s="88"/>
      <c r="G39" s="43" t="str">
        <f t="shared" ref="G39:G82" si="4">IFERROR((F39-$G$1)/(F39-E39)*100,"")</f>
        <v/>
      </c>
      <c r="H39" s="43">
        <f t="shared" ref="H39:H71" si="5">F39-$H$1</f>
        <v>-46027</v>
      </c>
      <c r="I39" s="14" t="s">
        <v>8</v>
      </c>
      <c r="J39" s="15">
        <v>480</v>
      </c>
      <c r="K39" s="17"/>
      <c r="L39" s="17"/>
      <c r="M39" s="4" t="str">
        <f t="shared" ref="M39:M82" si="6">IFERROR((L39-$G$1)/(L39-K39)*100,"")</f>
        <v/>
      </c>
      <c r="N39" s="4">
        <f t="shared" ref="N39:N87" si="7">L39-$H$1</f>
        <v>-46027</v>
      </c>
    </row>
    <row r="40" spans="1:14" ht="22.15" hidden="1" customHeight="1">
      <c r="A40"/>
      <c r="B40" s="70" t="s">
        <v>48</v>
      </c>
      <c r="C40" s="85" t="s">
        <v>8</v>
      </c>
      <c r="D40" s="86">
        <v>480</v>
      </c>
      <c r="E40" s="88"/>
      <c r="F40" s="88"/>
      <c r="G40" s="43" t="str">
        <f t="shared" si="4"/>
        <v/>
      </c>
      <c r="H40" s="43">
        <f t="shared" si="5"/>
        <v>-46027</v>
      </c>
      <c r="I40" s="14" t="s">
        <v>8</v>
      </c>
      <c r="J40" s="15">
        <v>480</v>
      </c>
      <c r="K40" s="17"/>
      <c r="L40" s="17"/>
      <c r="M40" s="4" t="str">
        <f t="shared" si="6"/>
        <v/>
      </c>
      <c r="N40" s="4">
        <f t="shared" si="7"/>
        <v>-46027</v>
      </c>
    </row>
    <row r="41" spans="1:14" ht="22.15" hidden="1" customHeight="1">
      <c r="A41"/>
      <c r="B41" s="70" t="s">
        <v>49</v>
      </c>
      <c r="C41" s="85" t="s">
        <v>8</v>
      </c>
      <c r="D41" s="86">
        <v>2136</v>
      </c>
      <c r="E41" s="88"/>
      <c r="F41" s="88"/>
      <c r="G41" s="43" t="str">
        <f t="shared" si="4"/>
        <v/>
      </c>
      <c r="H41" s="43">
        <f t="shared" si="5"/>
        <v>-46027</v>
      </c>
      <c r="I41" s="14" t="s">
        <v>8</v>
      </c>
      <c r="J41" s="15">
        <v>2136</v>
      </c>
      <c r="K41" s="17"/>
      <c r="L41" s="17"/>
      <c r="M41" s="4" t="str">
        <f t="shared" si="6"/>
        <v/>
      </c>
      <c r="N41" s="4">
        <f t="shared" si="7"/>
        <v>-46027</v>
      </c>
    </row>
    <row r="42" spans="1:14" ht="22.15" hidden="1" customHeight="1">
      <c r="A42"/>
      <c r="B42" s="70" t="s">
        <v>50</v>
      </c>
      <c r="C42" s="85" t="s">
        <v>8</v>
      </c>
      <c r="D42" s="86">
        <v>192</v>
      </c>
      <c r="E42" s="88"/>
      <c r="F42" s="88"/>
      <c r="G42" s="43" t="str">
        <f t="shared" si="4"/>
        <v/>
      </c>
      <c r="H42" s="43">
        <f t="shared" si="5"/>
        <v>-46027</v>
      </c>
      <c r="I42" s="14" t="s">
        <v>8</v>
      </c>
      <c r="J42" s="15">
        <v>192</v>
      </c>
      <c r="K42" s="17"/>
      <c r="L42" s="17"/>
      <c r="M42" s="4" t="str">
        <f t="shared" si="6"/>
        <v/>
      </c>
      <c r="N42" s="4">
        <f t="shared" si="7"/>
        <v>-46027</v>
      </c>
    </row>
    <row r="43" spans="1:14" ht="22.15" hidden="1" customHeight="1">
      <c r="A43"/>
      <c r="B43" s="70" t="s">
        <v>51</v>
      </c>
      <c r="C43" s="85" t="s">
        <v>8</v>
      </c>
      <c r="D43" s="86">
        <v>192</v>
      </c>
      <c r="E43" s="88"/>
      <c r="F43" s="88"/>
      <c r="G43" s="43" t="str">
        <f t="shared" si="4"/>
        <v/>
      </c>
      <c r="H43" s="43">
        <f t="shared" si="5"/>
        <v>-46027</v>
      </c>
      <c r="I43" s="14" t="s">
        <v>8</v>
      </c>
      <c r="J43" s="15">
        <v>192</v>
      </c>
      <c r="K43" s="17"/>
      <c r="L43" s="17"/>
      <c r="M43" s="4" t="str">
        <f t="shared" si="6"/>
        <v/>
      </c>
      <c r="N43" s="4">
        <f t="shared" si="7"/>
        <v>-46027</v>
      </c>
    </row>
    <row r="44" spans="1:14" ht="22.15" hidden="1" customHeight="1">
      <c r="A44"/>
      <c r="B44" s="70" t="s">
        <v>52</v>
      </c>
      <c r="C44" s="85" t="s">
        <v>8</v>
      </c>
      <c r="D44" s="86">
        <v>2368</v>
      </c>
      <c r="E44" s="88"/>
      <c r="F44" s="88"/>
      <c r="G44" s="43" t="str">
        <f t="shared" si="4"/>
        <v/>
      </c>
      <c r="H44" s="43">
        <f t="shared" si="5"/>
        <v>-46027</v>
      </c>
      <c r="I44" s="14" t="s">
        <v>8</v>
      </c>
      <c r="J44" s="15">
        <v>2368</v>
      </c>
      <c r="K44" s="17"/>
      <c r="L44" s="17"/>
      <c r="M44" s="4" t="str">
        <f t="shared" si="6"/>
        <v/>
      </c>
      <c r="N44" s="4">
        <f t="shared" si="7"/>
        <v>-46027</v>
      </c>
    </row>
    <row r="45" spans="1:14" ht="22.15" hidden="1" customHeight="1">
      <c r="A45"/>
      <c r="B45" s="70" t="s">
        <v>53</v>
      </c>
      <c r="C45" s="85" t="s">
        <v>8</v>
      </c>
      <c r="D45" s="86">
        <v>836</v>
      </c>
      <c r="E45" s="88"/>
      <c r="F45" s="88"/>
      <c r="G45" s="43" t="str">
        <f t="shared" si="4"/>
        <v/>
      </c>
      <c r="H45" s="43">
        <f t="shared" si="5"/>
        <v>-46027</v>
      </c>
      <c r="I45" s="14" t="s">
        <v>8</v>
      </c>
      <c r="J45" s="15">
        <v>836</v>
      </c>
      <c r="K45" s="17"/>
      <c r="L45" s="17"/>
      <c r="M45" s="4" t="str">
        <f t="shared" si="6"/>
        <v/>
      </c>
      <c r="N45" s="4">
        <f t="shared" si="7"/>
        <v>-46027</v>
      </c>
    </row>
    <row r="46" spans="1:14" ht="22.15" hidden="1" customHeight="1">
      <c r="A46"/>
      <c r="B46" s="70" t="s">
        <v>54</v>
      </c>
      <c r="C46" s="85" t="s">
        <v>8</v>
      </c>
      <c r="D46" s="86">
        <v>620</v>
      </c>
      <c r="E46" s="88"/>
      <c r="F46" s="88"/>
      <c r="G46" s="43" t="str">
        <f t="shared" si="4"/>
        <v/>
      </c>
      <c r="H46" s="43">
        <f t="shared" si="5"/>
        <v>-46027</v>
      </c>
      <c r="I46" s="14" t="s">
        <v>8</v>
      </c>
      <c r="J46" s="15">
        <v>620</v>
      </c>
      <c r="K46" s="17"/>
      <c r="L46" s="17"/>
      <c r="M46" s="4" t="str">
        <f t="shared" si="6"/>
        <v/>
      </c>
      <c r="N46" s="4">
        <f t="shared" si="7"/>
        <v>-46027</v>
      </c>
    </row>
    <row r="47" spans="1:14" ht="22.15" hidden="1" customHeight="1">
      <c r="A47"/>
      <c r="B47" s="70" t="s">
        <v>55</v>
      </c>
      <c r="C47" s="85" t="s">
        <v>8</v>
      </c>
      <c r="D47" s="86">
        <v>1484</v>
      </c>
      <c r="E47" s="88"/>
      <c r="F47" s="88"/>
      <c r="G47" s="43" t="str">
        <f t="shared" si="4"/>
        <v/>
      </c>
      <c r="H47" s="43">
        <f t="shared" si="5"/>
        <v>-46027</v>
      </c>
      <c r="I47" s="14" t="s">
        <v>8</v>
      </c>
      <c r="J47" s="15">
        <v>1484</v>
      </c>
      <c r="K47" s="17"/>
      <c r="L47" s="17"/>
      <c r="M47" s="4" t="str">
        <f t="shared" si="6"/>
        <v/>
      </c>
      <c r="N47" s="4">
        <f t="shared" si="7"/>
        <v>-46027</v>
      </c>
    </row>
    <row r="48" spans="1:14" ht="22.15" hidden="1" customHeight="1">
      <c r="A48"/>
      <c r="B48" s="70" t="s">
        <v>56</v>
      </c>
      <c r="C48" s="85" t="s">
        <v>8</v>
      </c>
      <c r="D48" s="86">
        <v>644</v>
      </c>
      <c r="E48" s="88"/>
      <c r="F48" s="88"/>
      <c r="G48" s="43" t="str">
        <f t="shared" si="4"/>
        <v/>
      </c>
      <c r="H48" s="43">
        <f t="shared" si="5"/>
        <v>-46027</v>
      </c>
      <c r="I48" s="14" t="s">
        <v>8</v>
      </c>
      <c r="J48" s="15">
        <v>644</v>
      </c>
      <c r="K48" s="17"/>
      <c r="L48" s="17"/>
      <c r="M48" s="4" t="str">
        <f t="shared" si="6"/>
        <v/>
      </c>
      <c r="N48" s="4">
        <f t="shared" si="7"/>
        <v>-46027</v>
      </c>
    </row>
    <row r="49" spans="1:14" ht="22.15" hidden="1" customHeight="1">
      <c r="A49"/>
      <c r="B49" s="70" t="s">
        <v>57</v>
      </c>
      <c r="C49" s="85" t="s">
        <v>8</v>
      </c>
      <c r="D49" s="86">
        <v>716</v>
      </c>
      <c r="E49" s="88"/>
      <c r="F49" s="88"/>
      <c r="G49" s="43" t="str">
        <f t="shared" si="4"/>
        <v/>
      </c>
      <c r="H49" s="43">
        <f t="shared" si="5"/>
        <v>-46027</v>
      </c>
      <c r="I49" s="14" t="s">
        <v>8</v>
      </c>
      <c r="J49" s="15">
        <v>716</v>
      </c>
      <c r="K49" s="17"/>
      <c r="L49" s="17"/>
      <c r="M49" s="4" t="str">
        <f t="shared" si="6"/>
        <v/>
      </c>
      <c r="N49" s="4">
        <f t="shared" si="7"/>
        <v>-46027</v>
      </c>
    </row>
    <row r="50" spans="1:14" ht="22.15" hidden="1" customHeight="1">
      <c r="A50"/>
      <c r="B50" s="70" t="s">
        <v>58</v>
      </c>
      <c r="C50" s="85" t="s">
        <v>8</v>
      </c>
      <c r="D50" s="86">
        <v>500</v>
      </c>
      <c r="E50" s="88"/>
      <c r="F50" s="88"/>
      <c r="G50" s="43" t="str">
        <f t="shared" si="4"/>
        <v/>
      </c>
      <c r="H50" s="43">
        <f t="shared" si="5"/>
        <v>-46027</v>
      </c>
      <c r="I50" s="14" t="s">
        <v>8</v>
      </c>
      <c r="J50" s="15">
        <v>500</v>
      </c>
      <c r="K50" s="17"/>
      <c r="L50" s="17"/>
      <c r="M50" s="4" t="str">
        <f t="shared" si="6"/>
        <v/>
      </c>
      <c r="N50" s="4">
        <f t="shared" si="7"/>
        <v>-46027</v>
      </c>
    </row>
    <row r="51" spans="1:14" ht="22.15" hidden="1" customHeight="1">
      <c r="A51"/>
      <c r="B51" s="70" t="s">
        <v>59</v>
      </c>
      <c r="C51" s="85" t="s">
        <v>8</v>
      </c>
      <c r="D51" s="86">
        <v>956</v>
      </c>
      <c r="E51" s="88"/>
      <c r="F51" s="88"/>
      <c r="G51" s="43" t="str">
        <f t="shared" si="4"/>
        <v/>
      </c>
      <c r="H51" s="43">
        <f t="shared" si="5"/>
        <v>-46027</v>
      </c>
      <c r="I51" s="14" t="s">
        <v>8</v>
      </c>
      <c r="J51" s="15">
        <v>956</v>
      </c>
      <c r="K51" s="17"/>
      <c r="L51" s="17"/>
      <c r="M51" s="4" t="str">
        <f t="shared" si="6"/>
        <v/>
      </c>
      <c r="N51" s="4">
        <f t="shared" si="7"/>
        <v>-46027</v>
      </c>
    </row>
    <row r="52" spans="1:14" ht="22.15" hidden="1" customHeight="1">
      <c r="A52"/>
      <c r="B52" s="70" t="s">
        <v>60</v>
      </c>
      <c r="C52" s="85" t="s">
        <v>8</v>
      </c>
      <c r="D52" s="86">
        <v>2012</v>
      </c>
      <c r="E52" s="88"/>
      <c r="F52" s="88"/>
      <c r="G52" s="43" t="str">
        <f t="shared" si="4"/>
        <v/>
      </c>
      <c r="H52" s="43">
        <f t="shared" si="5"/>
        <v>-46027</v>
      </c>
      <c r="I52" s="14" t="s">
        <v>8</v>
      </c>
      <c r="J52" s="15">
        <v>2012</v>
      </c>
      <c r="K52" s="17"/>
      <c r="L52" s="17"/>
      <c r="M52" s="4" t="str">
        <f t="shared" si="6"/>
        <v/>
      </c>
      <c r="N52" s="4">
        <f t="shared" si="7"/>
        <v>-46027</v>
      </c>
    </row>
    <row r="53" spans="1:14" ht="22.15" hidden="1" customHeight="1">
      <c r="A53"/>
      <c r="B53" s="70" t="s">
        <v>61</v>
      </c>
      <c r="C53" s="85" t="s">
        <v>8</v>
      </c>
      <c r="D53" s="86">
        <v>740</v>
      </c>
      <c r="E53" s="88"/>
      <c r="F53" s="88"/>
      <c r="G53" s="43" t="str">
        <f t="shared" si="4"/>
        <v/>
      </c>
      <c r="H53" s="43">
        <f t="shared" si="5"/>
        <v>-46027</v>
      </c>
      <c r="I53" s="14" t="s">
        <v>8</v>
      </c>
      <c r="J53" s="15">
        <v>740</v>
      </c>
      <c r="K53" s="17"/>
      <c r="L53" s="17"/>
      <c r="M53" s="4" t="str">
        <f t="shared" si="6"/>
        <v/>
      </c>
      <c r="N53" s="4">
        <f t="shared" si="7"/>
        <v>-46027</v>
      </c>
    </row>
    <row r="54" spans="1:14" ht="22.15" hidden="1" customHeight="1">
      <c r="A54"/>
      <c r="B54" s="70" t="s">
        <v>62</v>
      </c>
      <c r="C54" s="85" t="s">
        <v>8</v>
      </c>
      <c r="D54" s="86">
        <v>92</v>
      </c>
      <c r="E54" s="88"/>
      <c r="F54" s="88"/>
      <c r="G54" s="43" t="str">
        <f t="shared" si="4"/>
        <v/>
      </c>
      <c r="H54" s="43">
        <f t="shared" si="5"/>
        <v>-46027</v>
      </c>
      <c r="I54" s="14" t="s">
        <v>8</v>
      </c>
      <c r="J54" s="15">
        <v>92</v>
      </c>
      <c r="K54" s="17"/>
      <c r="L54" s="17"/>
      <c r="M54" s="4" t="str">
        <f t="shared" si="6"/>
        <v/>
      </c>
      <c r="N54" s="4">
        <f t="shared" si="7"/>
        <v>-46027</v>
      </c>
    </row>
    <row r="55" spans="1:14" ht="22.15" hidden="1" customHeight="1">
      <c r="A55"/>
      <c r="B55" s="70" t="s">
        <v>63</v>
      </c>
      <c r="C55" s="85" t="s">
        <v>8</v>
      </c>
      <c r="D55" s="86">
        <v>636</v>
      </c>
      <c r="E55" s="88"/>
      <c r="F55" s="88"/>
      <c r="G55" s="43" t="str">
        <f t="shared" si="4"/>
        <v/>
      </c>
      <c r="H55" s="43">
        <f t="shared" si="5"/>
        <v>-46027</v>
      </c>
      <c r="I55" s="14" t="s">
        <v>8</v>
      </c>
      <c r="J55" s="15">
        <v>636</v>
      </c>
      <c r="K55" s="17"/>
      <c r="L55" s="17"/>
      <c r="M55" s="4" t="str">
        <f t="shared" si="6"/>
        <v/>
      </c>
      <c r="N55" s="4">
        <f t="shared" si="7"/>
        <v>-46027</v>
      </c>
    </row>
    <row r="56" spans="1:14" ht="22.15" hidden="1" customHeight="1">
      <c r="A56"/>
      <c r="B56" s="70" t="s">
        <v>64</v>
      </c>
      <c r="C56" s="85" t="s">
        <v>8</v>
      </c>
      <c r="D56" s="86">
        <v>636</v>
      </c>
      <c r="E56" s="88"/>
      <c r="F56" s="88"/>
      <c r="G56" s="43" t="str">
        <f t="shared" si="4"/>
        <v/>
      </c>
      <c r="H56" s="43">
        <f t="shared" si="5"/>
        <v>-46027</v>
      </c>
      <c r="I56" s="14" t="s">
        <v>8</v>
      </c>
      <c r="J56" s="15">
        <v>636</v>
      </c>
      <c r="K56" s="17"/>
      <c r="L56" s="17"/>
      <c r="M56" s="4" t="str">
        <f t="shared" si="6"/>
        <v/>
      </c>
      <c r="N56" s="4">
        <f t="shared" si="7"/>
        <v>-46027</v>
      </c>
    </row>
    <row r="57" spans="1:14" ht="22.15" hidden="1" customHeight="1">
      <c r="A57"/>
      <c r="B57" s="70" t="s">
        <v>65</v>
      </c>
      <c r="C57" s="85" t="s">
        <v>8</v>
      </c>
      <c r="D57" s="86">
        <v>620</v>
      </c>
      <c r="E57" s="88"/>
      <c r="F57" s="88"/>
      <c r="G57" s="43" t="str">
        <f t="shared" si="4"/>
        <v/>
      </c>
      <c r="H57" s="43">
        <f t="shared" si="5"/>
        <v>-46027</v>
      </c>
      <c r="I57" s="14" t="s">
        <v>8</v>
      </c>
      <c r="J57" s="15">
        <v>620</v>
      </c>
      <c r="K57" s="17"/>
      <c r="L57" s="17"/>
      <c r="M57" s="4" t="str">
        <f t="shared" si="6"/>
        <v/>
      </c>
      <c r="N57" s="4">
        <f t="shared" si="7"/>
        <v>-46027</v>
      </c>
    </row>
    <row r="58" spans="1:14" ht="22.15" hidden="1" customHeight="1">
      <c r="A58"/>
      <c r="B58" s="70" t="s">
        <v>66</v>
      </c>
      <c r="C58" s="85" t="s">
        <v>8</v>
      </c>
      <c r="D58" s="86">
        <v>636</v>
      </c>
      <c r="E58" s="88"/>
      <c r="F58" s="88"/>
      <c r="G58" s="43" t="str">
        <f t="shared" si="4"/>
        <v/>
      </c>
      <c r="H58" s="43">
        <f t="shared" si="5"/>
        <v>-46027</v>
      </c>
      <c r="I58" s="14" t="s">
        <v>8</v>
      </c>
      <c r="J58" s="15">
        <v>636</v>
      </c>
      <c r="K58" s="17"/>
      <c r="L58" s="17"/>
      <c r="M58" s="4" t="str">
        <f t="shared" si="6"/>
        <v/>
      </c>
      <c r="N58" s="4">
        <f t="shared" si="7"/>
        <v>-46027</v>
      </c>
    </row>
    <row r="59" spans="1:14" ht="22.15" hidden="1" customHeight="1">
      <c r="A59"/>
      <c r="B59" s="70" t="s">
        <v>67</v>
      </c>
      <c r="C59" s="85" t="s">
        <v>8</v>
      </c>
      <c r="D59" s="86">
        <v>3844</v>
      </c>
      <c r="E59" s="88"/>
      <c r="F59" s="88"/>
      <c r="G59" s="43" t="str">
        <f t="shared" si="4"/>
        <v/>
      </c>
      <c r="H59" s="43">
        <f t="shared" si="5"/>
        <v>-46027</v>
      </c>
      <c r="I59" s="14" t="s">
        <v>8</v>
      </c>
      <c r="J59" s="15">
        <v>3844</v>
      </c>
      <c r="K59" s="17"/>
      <c r="L59" s="17"/>
      <c r="M59" s="4" t="str">
        <f t="shared" si="6"/>
        <v/>
      </c>
      <c r="N59" s="4">
        <f t="shared" si="7"/>
        <v>-46027</v>
      </c>
    </row>
    <row r="60" spans="1:14" ht="22.15" hidden="1" customHeight="1">
      <c r="A60"/>
      <c r="B60" s="70" t="s">
        <v>68</v>
      </c>
      <c r="C60" s="85" t="s">
        <v>8</v>
      </c>
      <c r="D60" s="86">
        <v>3244</v>
      </c>
      <c r="E60" s="88"/>
      <c r="F60" s="88"/>
      <c r="G60" s="43" t="str">
        <f t="shared" si="4"/>
        <v/>
      </c>
      <c r="H60" s="43">
        <f t="shared" si="5"/>
        <v>-46027</v>
      </c>
      <c r="I60" s="14" t="s">
        <v>8</v>
      </c>
      <c r="J60" s="15">
        <v>3244</v>
      </c>
      <c r="K60" s="17"/>
      <c r="L60" s="17"/>
      <c r="M60" s="4" t="str">
        <f t="shared" si="6"/>
        <v/>
      </c>
      <c r="N60" s="4">
        <f t="shared" si="7"/>
        <v>-46027</v>
      </c>
    </row>
    <row r="61" spans="1:14" ht="22.15" hidden="1" customHeight="1">
      <c r="A61"/>
      <c r="B61" s="70" t="s">
        <v>69</v>
      </c>
      <c r="C61" s="85" t="s">
        <v>8</v>
      </c>
      <c r="D61" s="86">
        <v>3244</v>
      </c>
      <c r="E61" s="88"/>
      <c r="F61" s="88"/>
      <c r="G61" s="43" t="str">
        <f t="shared" si="4"/>
        <v/>
      </c>
      <c r="H61" s="43">
        <f t="shared" si="5"/>
        <v>-46027</v>
      </c>
      <c r="I61" s="14" t="s">
        <v>8</v>
      </c>
      <c r="J61" s="15">
        <v>3244</v>
      </c>
      <c r="K61" s="17"/>
      <c r="L61" s="17"/>
      <c r="M61" s="4" t="str">
        <f t="shared" si="6"/>
        <v/>
      </c>
      <c r="N61" s="4">
        <f t="shared" si="7"/>
        <v>-46027</v>
      </c>
    </row>
    <row r="62" spans="1:14" ht="22.15" hidden="1" customHeight="1">
      <c r="A62"/>
      <c r="B62" s="70" t="s">
        <v>70</v>
      </c>
      <c r="C62" s="85" t="s">
        <v>8</v>
      </c>
      <c r="D62" s="86">
        <v>3268</v>
      </c>
      <c r="E62" s="88"/>
      <c r="F62" s="88"/>
      <c r="G62" s="43" t="str">
        <f t="shared" si="4"/>
        <v/>
      </c>
      <c r="H62" s="43">
        <f t="shared" si="5"/>
        <v>-46027</v>
      </c>
      <c r="I62" s="14" t="s">
        <v>8</v>
      </c>
      <c r="J62" s="15">
        <v>3268</v>
      </c>
      <c r="K62" s="17"/>
      <c r="L62" s="17"/>
      <c r="M62" s="4" t="str">
        <f t="shared" si="6"/>
        <v/>
      </c>
      <c r="N62" s="4">
        <f t="shared" si="7"/>
        <v>-46027</v>
      </c>
    </row>
    <row r="63" spans="1:14" ht="22.15" hidden="1" customHeight="1">
      <c r="A63"/>
      <c r="B63" s="70" t="s">
        <v>71</v>
      </c>
      <c r="C63" s="85" t="s">
        <v>8</v>
      </c>
      <c r="D63" s="86">
        <v>1608</v>
      </c>
      <c r="E63" s="88"/>
      <c r="F63" s="88"/>
      <c r="G63" s="43" t="str">
        <f t="shared" si="4"/>
        <v/>
      </c>
      <c r="H63" s="43">
        <f t="shared" si="5"/>
        <v>-46027</v>
      </c>
      <c r="I63" s="14" t="s">
        <v>8</v>
      </c>
      <c r="J63" s="15">
        <v>1608</v>
      </c>
      <c r="K63" s="17"/>
      <c r="L63" s="17"/>
      <c r="M63" s="4" t="str">
        <f t="shared" si="6"/>
        <v/>
      </c>
      <c r="N63" s="4">
        <f t="shared" si="7"/>
        <v>-46027</v>
      </c>
    </row>
    <row r="64" spans="1:14" ht="22.15" hidden="1" customHeight="1">
      <c r="A64"/>
      <c r="B64" s="70" t="s">
        <v>72</v>
      </c>
      <c r="C64" s="85" t="s">
        <v>8</v>
      </c>
      <c r="D64" s="86">
        <v>1284</v>
      </c>
      <c r="E64" s="88"/>
      <c r="F64" s="88"/>
      <c r="G64" s="43" t="str">
        <f t="shared" si="4"/>
        <v/>
      </c>
      <c r="H64" s="43">
        <f t="shared" si="5"/>
        <v>-46027</v>
      </c>
      <c r="I64" s="14" t="s">
        <v>8</v>
      </c>
      <c r="J64" s="15">
        <v>1284</v>
      </c>
      <c r="K64" s="17"/>
      <c r="L64" s="17"/>
      <c r="M64" s="4" t="str">
        <f t="shared" si="6"/>
        <v/>
      </c>
      <c r="N64" s="4">
        <f t="shared" si="7"/>
        <v>-46027</v>
      </c>
    </row>
    <row r="65" spans="1:16" ht="22.15" hidden="1" customHeight="1">
      <c r="A65"/>
      <c r="B65" s="70" t="s">
        <v>73</v>
      </c>
      <c r="C65" s="85" t="s">
        <v>8</v>
      </c>
      <c r="D65" s="86">
        <v>1266</v>
      </c>
      <c r="E65" s="88"/>
      <c r="F65" s="88"/>
      <c r="G65" s="43" t="str">
        <f t="shared" si="4"/>
        <v/>
      </c>
      <c r="H65" s="43">
        <f t="shared" si="5"/>
        <v>-46027</v>
      </c>
      <c r="I65" s="14" t="s">
        <v>8</v>
      </c>
      <c r="J65" s="15">
        <v>1266</v>
      </c>
      <c r="K65" s="17"/>
      <c r="L65" s="17"/>
      <c r="M65" s="4" t="str">
        <f t="shared" si="6"/>
        <v/>
      </c>
      <c r="N65" s="4">
        <f t="shared" si="7"/>
        <v>-46027</v>
      </c>
    </row>
    <row r="66" spans="1:16" ht="22.15" hidden="1" customHeight="1">
      <c r="A66"/>
      <c r="B66" s="70" t="s">
        <v>74</v>
      </c>
      <c r="C66" s="85" t="s">
        <v>8</v>
      </c>
      <c r="D66" s="86">
        <v>1278</v>
      </c>
      <c r="E66" s="88"/>
      <c r="F66" s="88"/>
      <c r="G66" s="43" t="str">
        <f t="shared" si="4"/>
        <v/>
      </c>
      <c r="H66" s="43">
        <f t="shared" si="5"/>
        <v>-46027</v>
      </c>
      <c r="I66" s="14" t="s">
        <v>8</v>
      </c>
      <c r="J66" s="15">
        <v>1278</v>
      </c>
      <c r="K66" s="17"/>
      <c r="L66" s="17"/>
      <c r="M66" s="4" t="str">
        <f t="shared" si="6"/>
        <v/>
      </c>
      <c r="N66" s="4">
        <f t="shared" si="7"/>
        <v>-46027</v>
      </c>
    </row>
    <row r="67" spans="1:16" ht="22.15" hidden="1" customHeight="1">
      <c r="A67"/>
      <c r="B67" s="70" t="s">
        <v>75</v>
      </c>
      <c r="C67" s="85" t="s">
        <v>8</v>
      </c>
      <c r="D67" s="86">
        <v>300</v>
      </c>
      <c r="E67" s="88"/>
      <c r="F67" s="88"/>
      <c r="G67" s="43" t="str">
        <f t="shared" si="4"/>
        <v/>
      </c>
      <c r="H67" s="43">
        <f t="shared" si="5"/>
        <v>-46027</v>
      </c>
      <c r="I67" s="14" t="s">
        <v>8</v>
      </c>
      <c r="J67" s="15">
        <v>300</v>
      </c>
      <c r="K67" s="17"/>
      <c r="L67" s="17"/>
      <c r="M67" s="4" t="str">
        <f t="shared" si="6"/>
        <v/>
      </c>
      <c r="N67" s="4">
        <f t="shared" si="7"/>
        <v>-46027</v>
      </c>
    </row>
    <row r="68" spans="1:16" ht="22.15" hidden="1" customHeight="1">
      <c r="A68"/>
      <c r="B68" s="70" t="s">
        <v>76</v>
      </c>
      <c r="C68" s="85" t="s">
        <v>8</v>
      </c>
      <c r="D68" s="86">
        <v>306</v>
      </c>
      <c r="E68" s="88"/>
      <c r="F68" s="88"/>
      <c r="G68" s="43" t="str">
        <f t="shared" si="4"/>
        <v/>
      </c>
      <c r="H68" s="43">
        <f t="shared" si="5"/>
        <v>-46027</v>
      </c>
      <c r="I68" s="14" t="s">
        <v>8</v>
      </c>
      <c r="J68" s="15">
        <v>306</v>
      </c>
      <c r="K68" s="17"/>
      <c r="L68" s="17"/>
      <c r="M68" s="4" t="str">
        <f t="shared" si="6"/>
        <v/>
      </c>
      <c r="N68" s="4">
        <f t="shared" si="7"/>
        <v>-46027</v>
      </c>
    </row>
    <row r="69" spans="1:16" ht="22.15" hidden="1" customHeight="1">
      <c r="A69"/>
      <c r="B69" s="70" t="s">
        <v>77</v>
      </c>
      <c r="C69" s="85" t="s">
        <v>8</v>
      </c>
      <c r="D69" s="86">
        <v>1296</v>
      </c>
      <c r="E69" s="88"/>
      <c r="F69" s="88"/>
      <c r="G69" s="43" t="str">
        <f t="shared" si="4"/>
        <v/>
      </c>
      <c r="H69" s="43">
        <f t="shared" si="5"/>
        <v>-46027</v>
      </c>
      <c r="I69" s="14" t="s">
        <v>8</v>
      </c>
      <c r="J69" s="15">
        <v>1296</v>
      </c>
      <c r="K69" s="17"/>
      <c r="L69" s="17"/>
      <c r="M69" s="4" t="str">
        <f t="shared" si="6"/>
        <v/>
      </c>
      <c r="N69" s="4">
        <f t="shared" si="7"/>
        <v>-46027</v>
      </c>
    </row>
    <row r="70" spans="1:16" ht="22.15" hidden="1" customHeight="1">
      <c r="A70"/>
      <c r="B70" s="70" t="s">
        <v>78</v>
      </c>
      <c r="C70" s="85" t="s">
        <v>8</v>
      </c>
      <c r="D70" s="86">
        <v>414</v>
      </c>
      <c r="E70" s="88"/>
      <c r="F70" s="88"/>
      <c r="G70" s="43" t="str">
        <f t="shared" si="4"/>
        <v/>
      </c>
      <c r="H70" s="43">
        <f t="shared" si="5"/>
        <v>-46027</v>
      </c>
      <c r="I70" s="14" t="s">
        <v>8</v>
      </c>
      <c r="J70" s="15">
        <v>414</v>
      </c>
      <c r="K70" s="17"/>
      <c r="L70" s="17"/>
      <c r="M70" s="4" t="str">
        <f t="shared" si="6"/>
        <v/>
      </c>
      <c r="N70" s="4">
        <f t="shared" si="7"/>
        <v>-46027</v>
      </c>
    </row>
    <row r="71" spans="1:16" ht="22.15" customHeight="1">
      <c r="A71"/>
      <c r="B71" s="80" t="s">
        <v>79</v>
      </c>
      <c r="C71" s="85" t="s">
        <v>15</v>
      </c>
      <c r="D71" s="89">
        <v>5</v>
      </c>
      <c r="E71" s="90">
        <v>45997</v>
      </c>
      <c r="F71" s="88">
        <v>46036</v>
      </c>
      <c r="G71" s="4">
        <f t="shared" si="4"/>
        <v>23.076923076923077</v>
      </c>
      <c r="H71" s="43">
        <f t="shared" si="5"/>
        <v>9</v>
      </c>
      <c r="I71" s="14" t="s">
        <v>15</v>
      </c>
      <c r="J71" s="18">
        <v>0</v>
      </c>
      <c r="K71" s="19">
        <v>45997</v>
      </c>
      <c r="L71" s="17">
        <v>46036</v>
      </c>
      <c r="M71" s="4">
        <f t="shared" si="6"/>
        <v>23.076923076923077</v>
      </c>
      <c r="N71" s="4">
        <f t="shared" si="7"/>
        <v>9</v>
      </c>
      <c r="O71" s="81">
        <f>D71-J71</f>
        <v>5</v>
      </c>
      <c r="P71" s="78"/>
    </row>
    <row r="72" spans="1:16" ht="22.15" hidden="1" customHeight="1">
      <c r="A72"/>
      <c r="B72" s="72"/>
      <c r="C72" s="85"/>
      <c r="D72" s="89"/>
      <c r="E72" s="88"/>
      <c r="F72" s="88">
        <v>46035</v>
      </c>
      <c r="G72" s="4">
        <f t="shared" si="4"/>
        <v>1.7378081894210924E-2</v>
      </c>
      <c r="H72" s="43">
        <f t="shared" ref="H72:H82" si="8">F72-$H$1</f>
        <v>8</v>
      </c>
      <c r="I72" s="14"/>
      <c r="J72" s="18"/>
      <c r="K72" s="17"/>
      <c r="L72" s="17"/>
      <c r="M72" s="4" t="str">
        <f t="shared" si="6"/>
        <v/>
      </c>
      <c r="N72" s="4">
        <f t="shared" si="7"/>
        <v>-46027</v>
      </c>
      <c r="O72" s="79">
        <f t="shared" ref="O72:O82" si="9">D72-J72</f>
        <v>0</v>
      </c>
      <c r="P72" s="78"/>
    </row>
    <row r="73" spans="1:16" ht="22.15" hidden="1" customHeight="1">
      <c r="A73"/>
      <c r="B73" s="72"/>
      <c r="C73" s="85"/>
      <c r="D73" s="89"/>
      <c r="E73" s="88"/>
      <c r="F73" s="88">
        <v>46036</v>
      </c>
      <c r="G73" s="4">
        <f t="shared" si="4"/>
        <v>1.9549917455904075E-2</v>
      </c>
      <c r="H73" s="43">
        <f t="shared" si="8"/>
        <v>9</v>
      </c>
      <c r="I73" s="14"/>
      <c r="J73" s="18"/>
      <c r="K73" s="17"/>
      <c r="L73" s="17"/>
      <c r="M73" s="4" t="str">
        <f t="shared" si="6"/>
        <v/>
      </c>
      <c r="N73" s="4">
        <f t="shared" si="7"/>
        <v>-46027</v>
      </c>
      <c r="O73" s="79">
        <f t="shared" si="9"/>
        <v>0</v>
      </c>
      <c r="P73" s="78"/>
    </row>
    <row r="74" spans="1:16" ht="22.15" hidden="1" customHeight="1">
      <c r="A74"/>
      <c r="B74" s="72"/>
      <c r="C74" s="85"/>
      <c r="D74" s="89"/>
      <c r="E74" s="88"/>
      <c r="F74" s="88">
        <v>46037</v>
      </c>
      <c r="G74" s="4">
        <f t="shared" si="4"/>
        <v>2.1721658665855723E-2</v>
      </c>
      <c r="H74" s="43">
        <f t="shared" si="8"/>
        <v>10</v>
      </c>
      <c r="I74" s="14"/>
      <c r="J74" s="18"/>
      <c r="K74" s="17"/>
      <c r="L74" s="17"/>
      <c r="M74" s="4" t="str">
        <f t="shared" si="6"/>
        <v/>
      </c>
      <c r="N74" s="4">
        <f t="shared" si="7"/>
        <v>-46027</v>
      </c>
      <c r="O74" s="79">
        <f t="shared" si="9"/>
        <v>0</v>
      </c>
      <c r="P74" s="78"/>
    </row>
    <row r="75" spans="1:16" ht="22.15" hidden="1" customHeight="1">
      <c r="A75"/>
      <c r="B75" s="72"/>
      <c r="C75" s="85"/>
      <c r="D75" s="89"/>
      <c r="E75" s="88"/>
      <c r="F75" s="88">
        <v>46038</v>
      </c>
      <c r="G75" s="4">
        <f t="shared" si="4"/>
        <v>2.3893305530214171E-2</v>
      </c>
      <c r="H75" s="43">
        <f t="shared" si="8"/>
        <v>11</v>
      </c>
      <c r="I75" s="14"/>
      <c r="J75" s="18"/>
      <c r="K75" s="17"/>
      <c r="L75" s="17"/>
      <c r="M75" s="4" t="str">
        <f t="shared" si="6"/>
        <v/>
      </c>
      <c r="N75" s="4">
        <f t="shared" si="7"/>
        <v>-46027</v>
      </c>
      <c r="O75" s="79">
        <f t="shared" si="9"/>
        <v>0</v>
      </c>
      <c r="P75" s="78"/>
    </row>
    <row r="76" spans="1:16" ht="22.15" hidden="1" customHeight="1">
      <c r="A76"/>
      <c r="B76" s="72"/>
      <c r="C76" s="85"/>
      <c r="D76" s="89"/>
      <c r="E76" s="88"/>
      <c r="F76" s="88">
        <v>46039</v>
      </c>
      <c r="G76" s="4">
        <f t="shared" si="4"/>
        <v>2.6064858055127177E-2</v>
      </c>
      <c r="H76" s="43">
        <f t="shared" si="8"/>
        <v>12</v>
      </c>
      <c r="I76" s="14"/>
      <c r="J76" s="18"/>
      <c r="K76" s="17"/>
      <c r="L76" s="17"/>
      <c r="M76" s="4" t="str">
        <f t="shared" si="6"/>
        <v/>
      </c>
      <c r="N76" s="4">
        <f t="shared" si="7"/>
        <v>-46027</v>
      </c>
      <c r="O76" s="79">
        <f t="shared" si="9"/>
        <v>0</v>
      </c>
      <c r="P76" s="78"/>
    </row>
    <row r="77" spans="1:16" ht="22.15" customHeight="1">
      <c r="A77"/>
      <c r="B77" s="71" t="s">
        <v>80</v>
      </c>
      <c r="C77" s="85" t="s">
        <v>15</v>
      </c>
      <c r="D77" s="89">
        <v>131</v>
      </c>
      <c r="E77" s="88">
        <v>46010</v>
      </c>
      <c r="F77" s="88">
        <v>46040</v>
      </c>
      <c r="G77" s="4">
        <f t="shared" si="4"/>
        <v>43.333333333333336</v>
      </c>
      <c r="H77" s="43">
        <f t="shared" si="8"/>
        <v>13</v>
      </c>
      <c r="I77" s="14" t="s">
        <v>15</v>
      </c>
      <c r="J77" s="18">
        <v>57</v>
      </c>
      <c r="K77" s="17">
        <v>46010</v>
      </c>
      <c r="L77" s="17">
        <v>46040</v>
      </c>
      <c r="M77" s="4">
        <f t="shared" si="6"/>
        <v>43.333333333333336</v>
      </c>
      <c r="N77" s="4">
        <f t="shared" si="7"/>
        <v>13</v>
      </c>
      <c r="O77" s="95">
        <f t="shared" si="9"/>
        <v>74</v>
      </c>
      <c r="P77" s="78"/>
    </row>
    <row r="78" spans="1:16" ht="22.15" customHeight="1">
      <c r="A78"/>
      <c r="B78" s="80" t="s">
        <v>85</v>
      </c>
      <c r="C78" s="85" t="s">
        <v>8</v>
      </c>
      <c r="D78" s="89">
        <v>3</v>
      </c>
      <c r="E78" s="88">
        <v>45995</v>
      </c>
      <c r="F78" s="88">
        <v>46035</v>
      </c>
      <c r="G78" s="4">
        <f t="shared" si="4"/>
        <v>20</v>
      </c>
      <c r="H78" s="43">
        <f t="shared" si="8"/>
        <v>8</v>
      </c>
      <c r="I78" s="14" t="s">
        <v>8</v>
      </c>
      <c r="J78" s="18">
        <v>0</v>
      </c>
      <c r="K78" s="17">
        <v>45995</v>
      </c>
      <c r="L78" s="17">
        <v>46035</v>
      </c>
      <c r="M78" s="4">
        <f t="shared" si="6"/>
        <v>20</v>
      </c>
      <c r="N78" s="4">
        <f t="shared" si="7"/>
        <v>8</v>
      </c>
      <c r="O78" s="81">
        <f t="shared" si="9"/>
        <v>3</v>
      </c>
      <c r="P78" s="78"/>
    </row>
    <row r="79" spans="1:16" ht="22.15" customHeight="1">
      <c r="A79"/>
      <c r="B79" s="71" t="s">
        <v>81</v>
      </c>
      <c r="C79" s="85" t="s">
        <v>15</v>
      </c>
      <c r="D79" s="89">
        <v>5</v>
      </c>
      <c r="E79" s="88">
        <v>45990</v>
      </c>
      <c r="F79" s="88">
        <v>46035</v>
      </c>
      <c r="G79" s="4">
        <f t="shared" si="4"/>
        <v>17.777777777777779</v>
      </c>
      <c r="H79" s="43">
        <f t="shared" si="8"/>
        <v>8</v>
      </c>
      <c r="I79" s="14" t="s">
        <v>15</v>
      </c>
      <c r="J79" s="18">
        <v>5</v>
      </c>
      <c r="K79" s="17">
        <v>45990</v>
      </c>
      <c r="L79" s="17">
        <v>46035</v>
      </c>
      <c r="M79" s="4">
        <f t="shared" si="6"/>
        <v>17.777777777777779</v>
      </c>
      <c r="N79" s="4">
        <f t="shared" si="7"/>
        <v>8</v>
      </c>
      <c r="O79" s="95">
        <f>D79-J79</f>
        <v>0</v>
      </c>
      <c r="P79" s="78"/>
    </row>
    <row r="80" spans="1:16" ht="22.15" customHeight="1">
      <c r="A80"/>
      <c r="B80" s="71" t="s">
        <v>82</v>
      </c>
      <c r="C80" s="85" t="s">
        <v>8</v>
      </c>
      <c r="D80" s="89">
        <v>204</v>
      </c>
      <c r="E80" s="88">
        <v>45990</v>
      </c>
      <c r="F80" s="88">
        <v>46035</v>
      </c>
      <c r="G80" s="4">
        <f t="shared" si="4"/>
        <v>17.777777777777779</v>
      </c>
      <c r="H80" s="43">
        <f t="shared" si="8"/>
        <v>8</v>
      </c>
      <c r="I80" s="14" t="s">
        <v>8</v>
      </c>
      <c r="J80" s="18">
        <v>187</v>
      </c>
      <c r="K80" s="17">
        <v>45990</v>
      </c>
      <c r="L80" s="17">
        <v>46035</v>
      </c>
      <c r="M80" s="4">
        <f t="shared" si="6"/>
        <v>17.777777777777779</v>
      </c>
      <c r="N80" s="4">
        <f t="shared" si="7"/>
        <v>8</v>
      </c>
      <c r="O80" s="95">
        <f t="shared" si="9"/>
        <v>17</v>
      </c>
      <c r="P80" s="78"/>
    </row>
    <row r="81" spans="1:19" ht="22.15" customHeight="1">
      <c r="A81"/>
      <c r="B81" s="80" t="s">
        <v>83</v>
      </c>
      <c r="C81" s="91" t="s">
        <v>8</v>
      </c>
      <c r="D81" s="92">
        <v>25</v>
      </c>
      <c r="E81" s="88">
        <v>45998</v>
      </c>
      <c r="F81" s="88">
        <v>46038</v>
      </c>
      <c r="G81" s="4">
        <f t="shared" si="4"/>
        <v>27.500000000000004</v>
      </c>
      <c r="H81" s="43">
        <f t="shared" si="8"/>
        <v>11</v>
      </c>
      <c r="I81" s="20" t="s">
        <v>8</v>
      </c>
      <c r="J81" s="21">
        <v>0</v>
      </c>
      <c r="K81" s="17">
        <v>45998</v>
      </c>
      <c r="L81" s="17">
        <v>46038</v>
      </c>
      <c r="M81" s="4">
        <f t="shared" si="6"/>
        <v>27.500000000000004</v>
      </c>
      <c r="N81" s="4">
        <f t="shared" si="7"/>
        <v>11</v>
      </c>
      <c r="O81" s="81">
        <f t="shared" si="9"/>
        <v>25</v>
      </c>
      <c r="P81" s="78"/>
    </row>
    <row r="82" spans="1:19" ht="22.15" customHeight="1">
      <c r="A82"/>
      <c r="B82" s="71" t="s">
        <v>84</v>
      </c>
      <c r="C82" s="93" t="s">
        <v>8</v>
      </c>
      <c r="D82" s="89">
        <v>12</v>
      </c>
      <c r="E82" s="94">
        <v>45988</v>
      </c>
      <c r="F82" s="94">
        <v>46033</v>
      </c>
      <c r="G82" s="4">
        <f t="shared" si="4"/>
        <v>13.333333333333334</v>
      </c>
      <c r="H82" s="43">
        <f t="shared" si="8"/>
        <v>6</v>
      </c>
      <c r="I82" s="8" t="s">
        <v>8</v>
      </c>
      <c r="J82" s="22">
        <v>12</v>
      </c>
      <c r="K82" s="23">
        <v>45988</v>
      </c>
      <c r="L82" s="23">
        <v>46033</v>
      </c>
      <c r="M82" s="4">
        <f t="shared" si="6"/>
        <v>13.333333333333334</v>
      </c>
      <c r="N82" s="4">
        <f t="shared" si="7"/>
        <v>6</v>
      </c>
      <c r="O82" s="79">
        <f t="shared" si="9"/>
        <v>0</v>
      </c>
      <c r="P82" s="78"/>
    </row>
    <row r="83" spans="1:19" ht="22.15" customHeight="1">
      <c r="A83"/>
      <c r="B83" s="6" t="s">
        <v>79</v>
      </c>
      <c r="C83" s="41"/>
      <c r="D83" s="45"/>
      <c r="E83" s="44"/>
      <c r="F83" s="44"/>
      <c r="G83" s="43" t="str">
        <f>IFERROR((F83-$G$1)/(F83-E83)*100,"")</f>
        <v/>
      </c>
      <c r="H83" s="43">
        <f t="shared" ref="H83" si="10">F83-$H$1</f>
        <v>-46027</v>
      </c>
      <c r="I83" s="14" t="s">
        <v>15</v>
      </c>
      <c r="J83" s="18">
        <v>8.8680000000000003</v>
      </c>
      <c r="K83" s="17">
        <v>46011</v>
      </c>
      <c r="L83" s="17">
        <v>46051</v>
      </c>
      <c r="M83" s="4">
        <f>IFERROR((L83-$G$1)/(L83-K83)*100,"")</f>
        <v>60</v>
      </c>
      <c r="N83" s="4">
        <f t="shared" si="7"/>
        <v>24</v>
      </c>
      <c r="O83" s="78"/>
      <c r="P83" s="78"/>
    </row>
    <row r="84" spans="1:19" ht="22.15" customHeight="1">
      <c r="A84"/>
      <c r="B84" s="6" t="s">
        <v>86</v>
      </c>
      <c r="C84" s="41"/>
      <c r="D84" s="42"/>
      <c r="E84" s="44"/>
      <c r="F84" s="44"/>
      <c r="G84" s="43" t="str">
        <f t="shared" ref="G84:G86" si="11">IFERROR((F84-$G$1)/(F84-E84)*100,"")</f>
        <v/>
      </c>
      <c r="H84" s="43">
        <f t="shared" ref="H84:H86" si="12">F84-$H$1</f>
        <v>-46027</v>
      </c>
      <c r="I84" s="14" t="s">
        <v>15</v>
      </c>
      <c r="J84" s="15" t="s">
        <v>87</v>
      </c>
      <c r="K84" s="17">
        <v>46010</v>
      </c>
      <c r="L84" s="17">
        <v>46050</v>
      </c>
      <c r="M84" s="4">
        <f t="shared" ref="M84:M87" si="13">IFERROR((L84-$G$1)/(L84-K84)*100,"")</f>
        <v>57.499999999999993</v>
      </c>
      <c r="N84" s="4">
        <f t="shared" si="7"/>
        <v>23</v>
      </c>
      <c r="O84" s="78"/>
      <c r="P84" s="78"/>
    </row>
    <row r="85" spans="1:19" ht="22.15" customHeight="1">
      <c r="A85"/>
      <c r="B85" s="6" t="s">
        <v>86</v>
      </c>
      <c r="C85" s="41"/>
      <c r="D85" s="45"/>
      <c r="E85" s="44"/>
      <c r="F85" s="44"/>
      <c r="G85" s="43" t="str">
        <f t="shared" si="11"/>
        <v/>
      </c>
      <c r="H85" s="43">
        <f t="shared" si="12"/>
        <v>-46027</v>
      </c>
      <c r="I85" s="14" t="s">
        <v>15</v>
      </c>
      <c r="J85" s="18">
        <v>9.0210000000000008</v>
      </c>
      <c r="K85" s="17">
        <v>46007</v>
      </c>
      <c r="L85" s="17">
        <v>46047</v>
      </c>
      <c r="M85" s="4">
        <f t="shared" si="13"/>
        <v>50</v>
      </c>
      <c r="N85" s="4">
        <f t="shared" si="7"/>
        <v>20</v>
      </c>
      <c r="O85" s="78"/>
      <c r="P85" s="78"/>
      <c r="S85" s="76"/>
    </row>
    <row r="86" spans="1:19" ht="22.15" customHeight="1">
      <c r="A86"/>
      <c r="B86" s="6" t="s">
        <v>86</v>
      </c>
      <c r="C86" s="41"/>
      <c r="D86" s="45"/>
      <c r="E86" s="44"/>
      <c r="F86" s="44"/>
      <c r="G86" s="43" t="str">
        <f t="shared" si="11"/>
        <v/>
      </c>
      <c r="H86" s="43">
        <f t="shared" si="12"/>
        <v>-46027</v>
      </c>
      <c r="I86" s="14" t="s">
        <v>15</v>
      </c>
      <c r="J86" s="18">
        <v>8.41</v>
      </c>
      <c r="K86" s="17">
        <v>46008</v>
      </c>
      <c r="L86" s="17">
        <v>46043</v>
      </c>
      <c r="M86" s="4">
        <f t="shared" si="13"/>
        <v>45.714285714285715</v>
      </c>
      <c r="N86" s="4">
        <f t="shared" si="7"/>
        <v>16</v>
      </c>
      <c r="O86" s="78"/>
      <c r="P86" s="78"/>
    </row>
    <row r="87" spans="1:19" ht="22.15" customHeight="1">
      <c r="A87"/>
      <c r="B87" s="6" t="s">
        <v>88</v>
      </c>
      <c r="C87" s="41"/>
      <c r="D87" s="45"/>
      <c r="E87" s="44"/>
      <c r="F87" s="44"/>
      <c r="G87" s="43"/>
      <c r="H87" s="43"/>
      <c r="I87" s="14" t="s">
        <v>15</v>
      </c>
      <c r="J87" s="18">
        <v>84.07</v>
      </c>
      <c r="K87" s="17">
        <v>46010</v>
      </c>
      <c r="L87" s="17">
        <v>46050</v>
      </c>
      <c r="M87" s="4">
        <f t="shared" si="13"/>
        <v>57.499999999999993</v>
      </c>
      <c r="N87" s="4">
        <f t="shared" si="7"/>
        <v>23</v>
      </c>
      <c r="O87" s="78"/>
      <c r="P87" s="78"/>
    </row>
    <row r="88" spans="1:19" ht="22.15" customHeight="1">
      <c r="A88"/>
      <c r="B88" s="6" t="s">
        <v>89</v>
      </c>
      <c r="C88" s="41"/>
      <c r="D88" s="45"/>
      <c r="E88" s="44"/>
      <c r="F88" s="44"/>
      <c r="G88" s="43" t="str">
        <f t="shared" ref="G88" si="14">IFERROR((F88-$G$1)/(F88-E88)*100,"")</f>
        <v/>
      </c>
      <c r="H88" s="43">
        <f t="shared" ref="H88" si="15">F88-$H$1</f>
        <v>-46027</v>
      </c>
      <c r="I88" s="14" t="s">
        <v>8</v>
      </c>
      <c r="J88" s="18">
        <v>301</v>
      </c>
      <c r="K88" s="17">
        <v>46013</v>
      </c>
      <c r="L88" s="17">
        <v>46053</v>
      </c>
      <c r="M88" s="4">
        <f t="shared" ref="M88:M108" si="16">IFERROR((L88-$G$1)/(L88-K88)*100,"")</f>
        <v>65</v>
      </c>
      <c r="N88" s="4">
        <f t="shared" ref="N88:N95" si="17">L88-$H$1</f>
        <v>26</v>
      </c>
      <c r="O88" s="78"/>
      <c r="P88" s="78"/>
    </row>
    <row r="89" spans="1:19" ht="22.15" customHeight="1">
      <c r="A89"/>
      <c r="B89" s="6" t="s">
        <v>82</v>
      </c>
      <c r="C89" s="41"/>
      <c r="D89" s="45"/>
      <c r="E89" s="44"/>
      <c r="F89" s="44"/>
      <c r="G89" s="43" t="str">
        <f t="shared" ref="G89:G91" si="18">IFERROR((F89-$G$1)/(F89-E89)*100,"")</f>
        <v/>
      </c>
      <c r="H89" s="43">
        <f t="shared" ref="H89:H91" si="19">F89-$H$1</f>
        <v>-46027</v>
      </c>
      <c r="I89" s="14" t="s">
        <v>8</v>
      </c>
      <c r="J89" s="18">
        <v>177</v>
      </c>
      <c r="K89" s="17">
        <v>45990</v>
      </c>
      <c r="L89" s="17">
        <v>46053</v>
      </c>
      <c r="M89" s="4">
        <f t="shared" si="16"/>
        <v>41.269841269841265</v>
      </c>
      <c r="N89" s="4">
        <f t="shared" si="17"/>
        <v>26</v>
      </c>
      <c r="O89" s="78"/>
      <c r="P89" s="78"/>
    </row>
    <row r="90" spans="1:19" ht="22.15" customHeight="1">
      <c r="A90"/>
      <c r="B90" s="6" t="s">
        <v>83</v>
      </c>
      <c r="C90" s="41"/>
      <c r="D90" s="45"/>
      <c r="E90" s="44"/>
      <c r="F90" s="44"/>
      <c r="G90" s="43" t="str">
        <f t="shared" si="18"/>
        <v/>
      </c>
      <c r="H90" s="43">
        <f t="shared" si="19"/>
        <v>-46027</v>
      </c>
      <c r="I90" s="14" t="s">
        <v>8</v>
      </c>
      <c r="J90" s="18">
        <v>95</v>
      </c>
      <c r="K90" s="17">
        <v>46013</v>
      </c>
      <c r="L90" s="17">
        <v>46053</v>
      </c>
      <c r="M90" s="4">
        <f t="shared" si="16"/>
        <v>65</v>
      </c>
      <c r="N90" s="4">
        <f t="shared" si="17"/>
        <v>26</v>
      </c>
      <c r="O90" s="78"/>
      <c r="P90" s="78"/>
    </row>
    <row r="91" spans="1:19" ht="22.15" customHeight="1">
      <c r="A91"/>
      <c r="B91" s="6" t="s">
        <v>85</v>
      </c>
      <c r="C91" s="41"/>
      <c r="D91" s="45"/>
      <c r="E91" s="44"/>
      <c r="F91" s="44"/>
      <c r="G91" s="43" t="str">
        <f t="shared" si="18"/>
        <v/>
      </c>
      <c r="H91" s="43">
        <f t="shared" si="19"/>
        <v>-46027</v>
      </c>
      <c r="I91" s="14">
        <v>3</v>
      </c>
      <c r="J91" s="18" t="s">
        <v>8</v>
      </c>
      <c r="K91" s="17">
        <v>46010</v>
      </c>
      <c r="L91" s="17">
        <v>46050</v>
      </c>
      <c r="M91" s="4">
        <f t="shared" si="16"/>
        <v>57.499999999999993</v>
      </c>
      <c r="N91" s="4">
        <f t="shared" si="17"/>
        <v>23</v>
      </c>
      <c r="O91" s="78"/>
      <c r="P91" s="78"/>
    </row>
    <row r="92" spans="1:19" ht="22.15" customHeight="1">
      <c r="A92"/>
      <c r="B92" s="6" t="s">
        <v>90</v>
      </c>
      <c r="C92" s="41"/>
      <c r="D92" s="45"/>
      <c r="E92" s="44"/>
      <c r="F92" s="44"/>
      <c r="G92" s="43" t="str">
        <f t="shared" ref="G92:G95" si="20">IFERROR((F92-$G$1)/(F92-E92)*100,"")</f>
        <v/>
      </c>
      <c r="H92" s="43">
        <f t="shared" ref="H92:H95" si="21">F92-$H$1</f>
        <v>-46027</v>
      </c>
      <c r="I92" s="14" t="s">
        <v>8</v>
      </c>
      <c r="J92" s="18">
        <v>263</v>
      </c>
      <c r="K92" s="17">
        <v>46009</v>
      </c>
      <c r="L92" s="17">
        <v>46049</v>
      </c>
      <c r="M92" s="4">
        <f t="shared" si="16"/>
        <v>55.000000000000007</v>
      </c>
      <c r="N92" s="4">
        <f t="shared" si="17"/>
        <v>22</v>
      </c>
      <c r="O92" s="78"/>
      <c r="P92" s="78"/>
    </row>
    <row r="93" spans="1:19" ht="22.15" customHeight="1">
      <c r="A93"/>
      <c r="B93" s="6" t="s">
        <v>91</v>
      </c>
      <c r="C93" s="41"/>
      <c r="D93" s="45"/>
      <c r="E93" s="44"/>
      <c r="F93" s="44"/>
      <c r="G93" s="43" t="str">
        <f t="shared" si="20"/>
        <v/>
      </c>
      <c r="H93" s="43">
        <f t="shared" si="21"/>
        <v>-46027</v>
      </c>
      <c r="I93" s="14" t="s">
        <v>8</v>
      </c>
      <c r="J93" s="18">
        <v>210</v>
      </c>
      <c r="K93" s="17">
        <v>46004</v>
      </c>
      <c r="L93" s="17">
        <v>46044</v>
      </c>
      <c r="M93" s="4">
        <f t="shared" si="16"/>
        <v>42.5</v>
      </c>
      <c r="N93" s="4">
        <f t="shared" si="17"/>
        <v>17</v>
      </c>
      <c r="O93" s="78"/>
      <c r="P93" s="78"/>
    </row>
    <row r="94" spans="1:19" ht="22.15" customHeight="1">
      <c r="A94" s="29"/>
      <c r="B94" s="6" t="s">
        <v>92</v>
      </c>
      <c r="C94" s="41"/>
      <c r="D94" s="45"/>
      <c r="E94" s="44"/>
      <c r="F94" s="44"/>
      <c r="G94" s="43" t="str">
        <f t="shared" si="20"/>
        <v/>
      </c>
      <c r="H94" s="43">
        <f t="shared" si="21"/>
        <v>-46027</v>
      </c>
      <c r="I94" s="14" t="s">
        <v>8</v>
      </c>
      <c r="J94" s="18">
        <v>359</v>
      </c>
      <c r="K94" s="17">
        <v>46012</v>
      </c>
      <c r="L94" s="17">
        <v>46042</v>
      </c>
      <c r="M94" s="4">
        <f t="shared" si="16"/>
        <v>50</v>
      </c>
      <c r="N94" s="4">
        <f t="shared" si="17"/>
        <v>15</v>
      </c>
      <c r="O94" s="78"/>
      <c r="P94" s="78"/>
    </row>
    <row r="95" spans="1:19" ht="22.15" customHeight="1">
      <c r="A95" s="29"/>
      <c r="B95" s="6" t="s">
        <v>93</v>
      </c>
      <c r="C95" s="41"/>
      <c r="D95" s="58"/>
      <c r="E95" s="44"/>
      <c r="F95" s="56"/>
      <c r="G95" s="43" t="str">
        <f t="shared" si="20"/>
        <v/>
      </c>
      <c r="H95" s="43">
        <f t="shared" si="21"/>
        <v>-46027</v>
      </c>
      <c r="I95" s="14" t="s">
        <v>8</v>
      </c>
      <c r="J95" s="18">
        <v>31</v>
      </c>
      <c r="K95" s="17">
        <v>46010</v>
      </c>
      <c r="L95" s="17">
        <v>46050</v>
      </c>
      <c r="M95" s="4">
        <f t="shared" si="16"/>
        <v>57.499999999999993</v>
      </c>
      <c r="N95" s="4">
        <f t="shared" si="17"/>
        <v>23</v>
      </c>
      <c r="O95" s="78"/>
      <c r="P95" s="78"/>
    </row>
    <row r="96" spans="1:19" ht="22.15" customHeight="1">
      <c r="A96" s="29"/>
      <c r="B96" s="6" t="s">
        <v>94</v>
      </c>
      <c r="C96" s="55"/>
      <c r="D96" s="59"/>
      <c r="E96" s="60"/>
      <c r="F96" s="61"/>
      <c r="G96" s="61"/>
      <c r="H96" s="48"/>
      <c r="I96" s="32" t="s">
        <v>8</v>
      </c>
      <c r="J96" s="34">
        <v>32</v>
      </c>
      <c r="K96" s="51">
        <v>46012</v>
      </c>
      <c r="L96" s="52">
        <v>46052</v>
      </c>
      <c r="M96" s="4">
        <f t="shared" si="16"/>
        <v>62.5</v>
      </c>
      <c r="N96" s="4">
        <f t="shared" ref="N96:N108" si="22">L96-$H$1</f>
        <v>25</v>
      </c>
      <c r="O96" s="78"/>
      <c r="P96" s="78"/>
    </row>
    <row r="97" spans="1:16" ht="22.15" customHeight="1">
      <c r="A97" s="29"/>
      <c r="B97" s="6" t="s">
        <v>95</v>
      </c>
      <c r="C97" s="48"/>
      <c r="D97" s="49"/>
      <c r="E97" s="57"/>
      <c r="F97" s="48"/>
      <c r="G97" s="48"/>
      <c r="H97" s="57"/>
      <c r="I97" s="26" t="s">
        <v>8</v>
      </c>
      <c r="J97" s="27">
        <v>26</v>
      </c>
      <c r="K97" s="52">
        <v>46013</v>
      </c>
      <c r="L97" s="53">
        <v>46053</v>
      </c>
      <c r="M97" s="4">
        <f t="shared" si="16"/>
        <v>65</v>
      </c>
      <c r="N97" s="4">
        <f t="shared" si="22"/>
        <v>26</v>
      </c>
      <c r="O97" s="78"/>
      <c r="P97" s="78"/>
    </row>
    <row r="98" spans="1:16" ht="22.15" customHeight="1">
      <c r="A98" s="29"/>
      <c r="B98" s="6" t="s">
        <v>96</v>
      </c>
      <c r="C98" s="48"/>
      <c r="D98" s="64"/>
      <c r="E98" s="48"/>
      <c r="F98" s="57"/>
      <c r="G98" s="48"/>
      <c r="H98" s="48"/>
      <c r="I98" s="26" t="s">
        <v>8</v>
      </c>
      <c r="J98" s="27">
        <v>68</v>
      </c>
      <c r="K98" s="52">
        <v>46011</v>
      </c>
      <c r="L98" s="52">
        <v>46051</v>
      </c>
      <c r="M98" s="4">
        <f t="shared" si="16"/>
        <v>60</v>
      </c>
      <c r="N98" s="4">
        <f t="shared" si="22"/>
        <v>24</v>
      </c>
      <c r="O98" s="78"/>
      <c r="P98" s="78"/>
    </row>
    <row r="99" spans="1:16" ht="22.15" customHeight="1">
      <c r="A99" s="30"/>
      <c r="B99" s="6" t="s">
        <v>96</v>
      </c>
      <c r="C99" s="62"/>
      <c r="D99" s="63"/>
      <c r="E99" s="62"/>
      <c r="F99" s="57"/>
      <c r="G99" s="57"/>
      <c r="H99" s="48"/>
      <c r="I99" s="32" t="s">
        <v>8</v>
      </c>
      <c r="J99" s="31">
        <v>12</v>
      </c>
      <c r="K99" s="52">
        <v>46012</v>
      </c>
      <c r="L99" s="52">
        <v>46052</v>
      </c>
      <c r="M99" s="4">
        <f t="shared" si="16"/>
        <v>62.5</v>
      </c>
      <c r="N99" s="4">
        <f t="shared" si="22"/>
        <v>25</v>
      </c>
      <c r="O99" s="78"/>
      <c r="P99" s="78"/>
    </row>
    <row r="100" spans="1:16" ht="22.15" customHeight="1">
      <c r="A100" s="28"/>
      <c r="B100" s="6" t="s">
        <v>97</v>
      </c>
      <c r="C100" s="48"/>
      <c r="D100" s="49"/>
      <c r="E100" s="57"/>
      <c r="F100" s="57"/>
      <c r="G100" s="48"/>
      <c r="H100" s="57"/>
      <c r="I100" s="26" t="s">
        <v>8</v>
      </c>
      <c r="J100" s="31">
        <v>10</v>
      </c>
      <c r="K100" s="52">
        <v>45994</v>
      </c>
      <c r="L100" s="52">
        <v>46044</v>
      </c>
      <c r="M100" s="4">
        <f t="shared" si="16"/>
        <v>34</v>
      </c>
      <c r="N100" s="4">
        <f t="shared" si="22"/>
        <v>17</v>
      </c>
      <c r="O100" s="78"/>
      <c r="P100" s="78"/>
    </row>
    <row r="101" spans="1:16" ht="22.15" customHeight="1">
      <c r="A101"/>
      <c r="B101" s="6" t="s">
        <v>98</v>
      </c>
      <c r="C101" s="65"/>
      <c r="D101" s="66"/>
      <c r="E101" s="67"/>
      <c r="F101" s="61"/>
      <c r="G101" s="68"/>
      <c r="H101" s="46"/>
      <c r="I101" s="35" t="s">
        <v>8</v>
      </c>
      <c r="J101" s="37">
        <v>29</v>
      </c>
      <c r="K101" s="54">
        <v>45994</v>
      </c>
      <c r="L101" s="54">
        <v>46044</v>
      </c>
      <c r="M101" s="4">
        <f t="shared" si="16"/>
        <v>34</v>
      </c>
      <c r="N101" s="4">
        <f t="shared" si="22"/>
        <v>17</v>
      </c>
      <c r="O101" s="78"/>
      <c r="P101" s="78"/>
    </row>
    <row r="102" spans="1:16" ht="22.15" customHeight="1">
      <c r="A102"/>
      <c r="B102" s="6" t="s">
        <v>99</v>
      </c>
      <c r="C102" s="57"/>
      <c r="D102" s="49"/>
      <c r="E102" s="57"/>
      <c r="F102" s="48"/>
      <c r="G102" s="48"/>
      <c r="H102" s="50"/>
      <c r="I102" s="26" t="s">
        <v>8</v>
      </c>
      <c r="J102" s="31">
        <v>28</v>
      </c>
      <c r="K102" s="53">
        <v>45993</v>
      </c>
      <c r="L102" s="53">
        <v>46043</v>
      </c>
      <c r="M102" s="4">
        <f t="shared" si="16"/>
        <v>32</v>
      </c>
      <c r="N102" s="4">
        <f t="shared" si="22"/>
        <v>16</v>
      </c>
      <c r="O102" s="78"/>
      <c r="P102" s="78"/>
    </row>
    <row r="103" spans="1:16" ht="22.15" customHeight="1">
      <c r="A103"/>
      <c r="B103" s="36"/>
      <c r="C103" s="57"/>
      <c r="D103" s="49"/>
      <c r="E103" s="57"/>
      <c r="F103" s="48"/>
      <c r="G103" s="48"/>
      <c r="H103" s="48"/>
      <c r="I103" s="33"/>
      <c r="J103" s="31"/>
      <c r="K103" s="33"/>
      <c r="L103" s="33"/>
      <c r="M103" s="4" t="str">
        <f t="shared" si="16"/>
        <v/>
      </c>
      <c r="N103" s="4">
        <f t="shared" si="22"/>
        <v>-46027</v>
      </c>
    </row>
    <row r="104" spans="1:16" ht="22.15" customHeight="1">
      <c r="A104"/>
      <c r="B104" s="36"/>
      <c r="C104" s="57"/>
      <c r="D104" s="49"/>
      <c r="E104" s="57"/>
      <c r="F104" s="48"/>
      <c r="G104" s="48"/>
      <c r="H104" s="48"/>
      <c r="I104" s="33"/>
      <c r="J104" s="31"/>
      <c r="K104" s="33"/>
      <c r="L104" s="33"/>
      <c r="M104" s="4" t="str">
        <f t="shared" si="16"/>
        <v/>
      </c>
      <c r="N104" s="4">
        <f t="shared" si="22"/>
        <v>-46027</v>
      </c>
    </row>
    <row r="105" spans="1:16" ht="22.15" customHeight="1">
      <c r="A105"/>
      <c r="B105" s="36"/>
      <c r="C105" s="57"/>
      <c r="D105" s="49"/>
      <c r="E105" s="57"/>
      <c r="F105" s="48"/>
      <c r="G105" s="48"/>
      <c r="H105" s="48"/>
      <c r="I105" s="33"/>
      <c r="J105" s="31"/>
      <c r="K105" s="33"/>
      <c r="L105" s="33"/>
      <c r="M105" s="4" t="str">
        <f t="shared" si="16"/>
        <v/>
      </c>
      <c r="N105" s="4">
        <f t="shared" si="22"/>
        <v>-46027</v>
      </c>
    </row>
    <row r="106" spans="1:16" ht="22.15" customHeight="1">
      <c r="A106"/>
      <c r="B106" s="36"/>
      <c r="C106" s="57"/>
      <c r="D106" s="64"/>
      <c r="E106" s="57"/>
      <c r="F106" s="57"/>
      <c r="G106" s="48"/>
      <c r="H106" s="48"/>
      <c r="I106" s="33"/>
      <c r="J106" s="31"/>
      <c r="K106" s="33"/>
      <c r="L106" s="33"/>
      <c r="M106" s="4" t="str">
        <f t="shared" si="16"/>
        <v/>
      </c>
      <c r="N106" s="4">
        <f t="shared" si="22"/>
        <v>-46027</v>
      </c>
    </row>
    <row r="107" spans="1:16" ht="22.15" customHeight="1">
      <c r="A107"/>
      <c r="B107" s="36"/>
      <c r="C107" s="48"/>
      <c r="D107" s="64"/>
      <c r="E107" s="57"/>
      <c r="F107" s="57"/>
      <c r="G107" s="57"/>
      <c r="H107" s="57"/>
      <c r="I107" s="33"/>
      <c r="J107" s="31"/>
      <c r="K107" s="33"/>
      <c r="L107" s="33"/>
      <c r="M107" s="4" t="str">
        <f t="shared" si="16"/>
        <v/>
      </c>
      <c r="N107" s="4">
        <f t="shared" si="22"/>
        <v>-46027</v>
      </c>
    </row>
    <row r="108" spans="1:16" ht="22.15" customHeight="1">
      <c r="A108"/>
      <c r="B108" s="36"/>
      <c r="C108" s="48"/>
      <c r="D108" s="64"/>
      <c r="E108" s="57"/>
      <c r="F108" s="57"/>
      <c r="G108" s="57"/>
      <c r="H108" s="57"/>
      <c r="I108" s="33"/>
      <c r="J108" s="31"/>
      <c r="K108" s="33"/>
      <c r="L108" s="33"/>
      <c r="M108" s="4" t="str">
        <f t="shared" si="16"/>
        <v/>
      </c>
      <c r="N108" s="4">
        <f t="shared" si="22"/>
        <v>-46027</v>
      </c>
    </row>
    <row r="109" spans="1:16" ht="22.15" customHeight="1">
      <c r="A109"/>
      <c r="B109"/>
      <c r="C109" s="46"/>
      <c r="D109" s="47"/>
      <c r="E109" s="46"/>
      <c r="F109" s="46"/>
      <c r="G109" s="46"/>
      <c r="H109" s="46"/>
      <c r="I109" s="24"/>
      <c r="J109" s="25"/>
      <c r="K109" s="24"/>
      <c r="L109" s="24"/>
      <c r="M109" s="24"/>
      <c r="N109" s="24"/>
    </row>
    <row r="110" spans="1:16" ht="22.15" customHeight="1">
      <c r="A110"/>
      <c r="B110"/>
      <c r="C110" s="46"/>
      <c r="D110" s="47"/>
      <c r="E110" s="46"/>
      <c r="F110" s="46"/>
      <c r="G110" s="46"/>
      <c r="H110" s="46"/>
      <c r="I110" s="24"/>
      <c r="J110" s="25"/>
      <c r="K110" s="24"/>
      <c r="L110" s="24"/>
      <c r="M110" s="24"/>
      <c r="N110" s="24"/>
    </row>
    <row r="111" spans="1:16" ht="22.15" customHeight="1">
      <c r="A111"/>
      <c r="B111"/>
      <c r="C111" s="46"/>
      <c r="D111" s="47"/>
      <c r="E111" s="46"/>
      <c r="F111" s="46"/>
      <c r="I111" s="24"/>
      <c r="J111" s="25"/>
      <c r="K111" s="24"/>
      <c r="L111" s="24"/>
    </row>
  </sheetData>
  <mergeCells count="5">
    <mergeCell ref="O3:S3"/>
    <mergeCell ref="O4:S5"/>
    <mergeCell ref="O7:S7"/>
    <mergeCell ref="O8:S8"/>
    <mergeCell ref="O9:S10"/>
  </mergeCells>
  <phoneticPr fontId="9" type="noConversion"/>
  <conditionalFormatting sqref="M3:N108 G3:H95">
    <cfRule type="cellIs" dxfId="14" priority="52" stopIfTrue="1" operator="equal">
      <formula>50</formula>
    </cfRule>
    <cfRule type="cellIs" dxfId="13" priority="53" stopIfTrue="1" operator="lessThan">
      <formula>50</formula>
    </cfRule>
    <cfRule type="cellIs" dxfId="12" priority="54" stopIfTrue="1" operator="greaterThan">
      <formula>50</formula>
    </cfRule>
  </conditionalFormatting>
  <conditionalFormatting sqref="H3:H95">
    <cfRule type="cellIs" dxfId="11" priority="46" stopIfTrue="1" operator="between">
      <formula>15</formula>
      <formula>20</formula>
    </cfRule>
    <cfRule type="cellIs" dxfId="10" priority="47" stopIfTrue="1" operator="lessThan">
      <formula>15</formula>
    </cfRule>
    <cfRule type="cellIs" dxfId="9" priority="48" stopIfTrue="1" operator="greaterThan">
      <formula>20</formula>
    </cfRule>
    <cfRule type="cellIs" dxfId="8" priority="49" stopIfTrue="1" operator="between">
      <formula>15</formula>
      <formula>20</formula>
    </cfRule>
    <cfRule type="cellIs" dxfId="7" priority="50" stopIfTrue="1" operator="lessThan">
      <formula>15</formula>
    </cfRule>
    <cfRule type="cellIs" dxfId="6" priority="51" stopIfTrue="1" operator="greaterThan">
      <formula>20</formula>
    </cfRule>
  </conditionalFormatting>
  <conditionalFormatting sqref="N3:N108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2026-01-08T12:08:59Z</dcterms:modified>
</cp:coreProperties>
</file>