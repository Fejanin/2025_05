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52511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3" i="1"/>
  <c r="G71" l="1"/>
  <c r="H7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<sst xmlns="http://schemas.openxmlformats.org/spreadsheetml/2006/main" count="159" uniqueCount="86">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</sst>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Border="1" applyAlignment="1">
      <alignment vertical="top" wrapText="1" indent="4"/>
    </xf>
    <xf numFmtId="0" fontId="8" fillId="0" borderId="2" xfId="2" applyNumberFormat="1" applyFont="1" applyBorder="1" applyAlignment="1">
      <alignment vertical="top" wrapText="1" indent="6"/>
    </xf>
    <xf numFmtId="2" fontId="2" fillId="2" borderId="1" xfId="0" applyNumberFormat="1" applyFont="1" applyFill="1" applyBorder="1" applyAlignment="1">
      <alignment horizontal="center" vertical="center" wrapText="1"/>
    </xf>
    <xf numFmtId="0" fontId="8" fillId="8" borderId="2" xfId="2" applyNumberFormat="1" applyFont="1" applyFill="1" applyBorder="1" applyAlignment="1">
      <alignment vertical="top" wrapText="1" indent="6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10" borderId="2" xfId="2" applyNumberFormat="1" applyFont="1" applyFill="1" applyBorder="1" applyAlignment="1">
      <alignment vertical="top" wrapText="1" indent="6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8" fillId="0" borderId="4" xfId="2" applyBorder="1" applyAlignment="1">
      <alignment vertical="top" wrapText="1" indent="6"/>
    </xf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8" fillId="4" borderId="2" xfId="2" applyNumberFormat="1" applyFont="1" applyFill="1" applyBorder="1" applyAlignment="1">
      <alignment vertical="top" wrapText="1" indent="6"/>
    </xf>
    <xf numFmtId="0" fontId="8" fillId="4" borderId="6" xfId="2" applyNumberFormat="1" applyFont="1" applyFill="1" applyBorder="1" applyAlignment="1">
      <alignment vertical="top" wrapText="1" indent="6"/>
    </xf>
    <xf numFmtId="0" fontId="8" fillId="9" borderId="2" xfId="2" applyNumberFormat="1" applyFont="1" applyFill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11"/>
  <sheetViews>
    <sheetView tabSelected="1" topLeftCell="B1" zoomScale="85" zoomScaleNormal="85" workbookViewId="0">
      <pane xSplit="1" topLeftCell="C1" activePane="topRight" state="frozen"/>
      <selection activeCell="B1" sqref="B1"/>
      <selection pane="topRight" activeCell="F78" sqref="F78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13" customWidth="1"/>
    <col min="4" max="4" width="7" style="14" customWidth="1"/>
    <col min="5" max="5" width="11.140625" style="15" customWidth="1"/>
    <col min="6" max="6" width="11" style="15" customWidth="1"/>
    <col min="7" max="7" width="12.7109375" style="13" customWidth="1"/>
    <col min="8" max="8" width="12" style="13" customWidth="1"/>
    <col min="9" max="253" width="8.85546875" style="1"/>
    <col min="254" max="254" width="4" style="1" customWidth="1"/>
    <col min="255" max="255" width="59.7109375" style="1" customWidth="1"/>
    <col min="256" max="256" width="4.85546875" style="1" customWidth="1"/>
    <col min="257" max="257" width="9" style="1" customWidth="1"/>
    <col min="258" max="258" width="15.85546875" style="1" customWidth="1"/>
    <col min="259" max="259" width="15.7109375" style="1" customWidth="1"/>
    <col min="260" max="260" width="15.42578125" style="1" customWidth="1"/>
    <col min="261" max="261" width="17.140625" style="1" customWidth="1"/>
    <col min="262" max="262" width="37.85546875" style="1" customWidth="1"/>
    <col min="263" max="263" width="36.5703125" style="1" customWidth="1"/>
    <col min="264" max="264" width="29.42578125" style="1" customWidth="1"/>
    <col min="265" max="509" width="8.85546875" style="1"/>
    <col min="510" max="510" width="4" style="1" customWidth="1"/>
    <col min="511" max="511" width="59.7109375" style="1" customWidth="1"/>
    <col min="512" max="512" width="4.85546875" style="1" customWidth="1"/>
    <col min="513" max="513" width="9" style="1" customWidth="1"/>
    <col min="514" max="514" width="15.85546875" style="1" customWidth="1"/>
    <col min="515" max="515" width="15.7109375" style="1" customWidth="1"/>
    <col min="516" max="516" width="15.42578125" style="1" customWidth="1"/>
    <col min="517" max="517" width="17.140625" style="1" customWidth="1"/>
    <col min="518" max="518" width="37.85546875" style="1" customWidth="1"/>
    <col min="519" max="519" width="36.5703125" style="1" customWidth="1"/>
    <col min="520" max="520" width="29.42578125" style="1" customWidth="1"/>
    <col min="521" max="765" width="8.85546875" style="1"/>
    <col min="766" max="766" width="4" style="1" customWidth="1"/>
    <col min="767" max="767" width="59.7109375" style="1" customWidth="1"/>
    <col min="768" max="768" width="4.85546875" style="1" customWidth="1"/>
    <col min="769" max="769" width="9" style="1" customWidth="1"/>
    <col min="770" max="770" width="15.85546875" style="1" customWidth="1"/>
    <col min="771" max="771" width="15.7109375" style="1" customWidth="1"/>
    <col min="772" max="772" width="15.42578125" style="1" customWidth="1"/>
    <col min="773" max="773" width="17.140625" style="1" customWidth="1"/>
    <col min="774" max="774" width="37.85546875" style="1" customWidth="1"/>
    <col min="775" max="775" width="36.5703125" style="1" customWidth="1"/>
    <col min="776" max="776" width="29.42578125" style="1" customWidth="1"/>
    <col min="777" max="1021" width="8.85546875" style="1"/>
    <col min="1022" max="1022" width="4" style="1" customWidth="1"/>
    <col min="1023" max="1023" width="59.7109375" style="1" customWidth="1"/>
    <col min="1024" max="1024" width="4.85546875" style="1" customWidth="1"/>
    <col min="1025" max="1025" width="9" style="1" customWidth="1"/>
    <col min="1026" max="1026" width="15.85546875" style="1" customWidth="1"/>
    <col min="1027" max="1027" width="15.7109375" style="1" customWidth="1"/>
    <col min="1028" max="1028" width="15.42578125" style="1" customWidth="1"/>
    <col min="1029" max="1029" width="17.140625" style="1" customWidth="1"/>
    <col min="1030" max="1030" width="37.85546875" style="1" customWidth="1"/>
    <col min="1031" max="1031" width="36.5703125" style="1" customWidth="1"/>
    <col min="1032" max="1032" width="29.42578125" style="1" customWidth="1"/>
    <col min="1033" max="1277" width="8.85546875" style="1"/>
    <col min="1278" max="1278" width="4" style="1" customWidth="1"/>
    <col min="1279" max="1279" width="59.7109375" style="1" customWidth="1"/>
    <col min="1280" max="1280" width="4.85546875" style="1" customWidth="1"/>
    <col min="1281" max="1281" width="9" style="1" customWidth="1"/>
    <col min="1282" max="1282" width="15.85546875" style="1" customWidth="1"/>
    <col min="1283" max="1283" width="15.7109375" style="1" customWidth="1"/>
    <col min="1284" max="1284" width="15.42578125" style="1" customWidth="1"/>
    <col min="1285" max="1285" width="17.140625" style="1" customWidth="1"/>
    <col min="1286" max="1286" width="37.85546875" style="1" customWidth="1"/>
    <col min="1287" max="1287" width="36.5703125" style="1" customWidth="1"/>
    <col min="1288" max="1288" width="29.42578125" style="1" customWidth="1"/>
    <col min="1289" max="1533" width="8.85546875" style="1"/>
    <col min="1534" max="1534" width="4" style="1" customWidth="1"/>
    <col min="1535" max="1535" width="59.7109375" style="1" customWidth="1"/>
    <col min="1536" max="1536" width="4.85546875" style="1" customWidth="1"/>
    <col min="1537" max="1537" width="9" style="1" customWidth="1"/>
    <col min="1538" max="1538" width="15.85546875" style="1" customWidth="1"/>
    <col min="1539" max="1539" width="15.7109375" style="1" customWidth="1"/>
    <col min="1540" max="1540" width="15.42578125" style="1" customWidth="1"/>
    <col min="1541" max="1541" width="17.140625" style="1" customWidth="1"/>
    <col min="1542" max="1542" width="37.85546875" style="1" customWidth="1"/>
    <col min="1543" max="1543" width="36.5703125" style="1" customWidth="1"/>
    <col min="1544" max="1544" width="29.42578125" style="1" customWidth="1"/>
    <col min="1545" max="1789" width="8.85546875" style="1"/>
    <col min="1790" max="1790" width="4" style="1" customWidth="1"/>
    <col min="1791" max="1791" width="59.7109375" style="1" customWidth="1"/>
    <col min="1792" max="1792" width="4.85546875" style="1" customWidth="1"/>
    <col min="1793" max="1793" width="9" style="1" customWidth="1"/>
    <col min="1794" max="1794" width="15.85546875" style="1" customWidth="1"/>
    <col min="1795" max="1795" width="15.7109375" style="1" customWidth="1"/>
    <col min="1796" max="1796" width="15.42578125" style="1" customWidth="1"/>
    <col min="1797" max="1797" width="17.140625" style="1" customWidth="1"/>
    <col min="1798" max="1798" width="37.85546875" style="1" customWidth="1"/>
    <col min="1799" max="1799" width="36.5703125" style="1" customWidth="1"/>
    <col min="1800" max="1800" width="29.42578125" style="1" customWidth="1"/>
    <col min="1801" max="2045" width="8.85546875" style="1"/>
    <col min="2046" max="2046" width="4" style="1" customWidth="1"/>
    <col min="2047" max="2047" width="59.7109375" style="1" customWidth="1"/>
    <col min="2048" max="2048" width="4.85546875" style="1" customWidth="1"/>
    <col min="2049" max="2049" width="9" style="1" customWidth="1"/>
    <col min="2050" max="2050" width="15.85546875" style="1" customWidth="1"/>
    <col min="2051" max="2051" width="15.7109375" style="1" customWidth="1"/>
    <col min="2052" max="2052" width="15.42578125" style="1" customWidth="1"/>
    <col min="2053" max="2053" width="17.140625" style="1" customWidth="1"/>
    <col min="2054" max="2054" width="37.85546875" style="1" customWidth="1"/>
    <col min="2055" max="2055" width="36.5703125" style="1" customWidth="1"/>
    <col min="2056" max="2056" width="29.42578125" style="1" customWidth="1"/>
    <col min="2057" max="2301" width="8.85546875" style="1"/>
    <col min="2302" max="2302" width="4" style="1" customWidth="1"/>
    <col min="2303" max="2303" width="59.7109375" style="1" customWidth="1"/>
    <col min="2304" max="2304" width="4.85546875" style="1" customWidth="1"/>
    <col min="2305" max="2305" width="9" style="1" customWidth="1"/>
    <col min="2306" max="2306" width="15.85546875" style="1" customWidth="1"/>
    <col min="2307" max="2307" width="15.7109375" style="1" customWidth="1"/>
    <col min="2308" max="2308" width="15.42578125" style="1" customWidth="1"/>
    <col min="2309" max="2309" width="17.140625" style="1" customWidth="1"/>
    <col min="2310" max="2310" width="37.85546875" style="1" customWidth="1"/>
    <col min="2311" max="2311" width="36.5703125" style="1" customWidth="1"/>
    <col min="2312" max="2312" width="29.42578125" style="1" customWidth="1"/>
    <col min="2313" max="2557" width="8.85546875" style="1"/>
    <col min="2558" max="2558" width="4" style="1" customWidth="1"/>
    <col min="2559" max="2559" width="59.7109375" style="1" customWidth="1"/>
    <col min="2560" max="2560" width="4.85546875" style="1" customWidth="1"/>
    <col min="2561" max="2561" width="9" style="1" customWidth="1"/>
    <col min="2562" max="2562" width="15.85546875" style="1" customWidth="1"/>
    <col min="2563" max="2563" width="15.7109375" style="1" customWidth="1"/>
    <col min="2564" max="2564" width="15.42578125" style="1" customWidth="1"/>
    <col min="2565" max="2565" width="17.140625" style="1" customWidth="1"/>
    <col min="2566" max="2566" width="37.85546875" style="1" customWidth="1"/>
    <col min="2567" max="2567" width="36.5703125" style="1" customWidth="1"/>
    <col min="2568" max="2568" width="29.42578125" style="1" customWidth="1"/>
    <col min="2569" max="2813" width="8.85546875" style="1"/>
    <col min="2814" max="2814" width="4" style="1" customWidth="1"/>
    <col min="2815" max="2815" width="59.7109375" style="1" customWidth="1"/>
    <col min="2816" max="2816" width="4.85546875" style="1" customWidth="1"/>
    <col min="2817" max="2817" width="9" style="1" customWidth="1"/>
    <col min="2818" max="2818" width="15.85546875" style="1" customWidth="1"/>
    <col min="2819" max="2819" width="15.7109375" style="1" customWidth="1"/>
    <col min="2820" max="2820" width="15.42578125" style="1" customWidth="1"/>
    <col min="2821" max="2821" width="17.140625" style="1" customWidth="1"/>
    <col min="2822" max="2822" width="37.85546875" style="1" customWidth="1"/>
    <col min="2823" max="2823" width="36.5703125" style="1" customWidth="1"/>
    <col min="2824" max="2824" width="29.42578125" style="1" customWidth="1"/>
    <col min="2825" max="3069" width="8.85546875" style="1"/>
    <col min="3070" max="3070" width="4" style="1" customWidth="1"/>
    <col min="3071" max="3071" width="59.7109375" style="1" customWidth="1"/>
    <col min="3072" max="3072" width="4.85546875" style="1" customWidth="1"/>
    <col min="3073" max="3073" width="9" style="1" customWidth="1"/>
    <col min="3074" max="3074" width="15.85546875" style="1" customWidth="1"/>
    <col min="3075" max="3075" width="15.7109375" style="1" customWidth="1"/>
    <col min="3076" max="3076" width="15.42578125" style="1" customWidth="1"/>
    <col min="3077" max="3077" width="17.140625" style="1" customWidth="1"/>
    <col min="3078" max="3078" width="37.85546875" style="1" customWidth="1"/>
    <col min="3079" max="3079" width="36.5703125" style="1" customWidth="1"/>
    <col min="3080" max="3080" width="29.42578125" style="1" customWidth="1"/>
    <col min="3081" max="3325" width="8.85546875" style="1"/>
    <col min="3326" max="3326" width="4" style="1" customWidth="1"/>
    <col min="3327" max="3327" width="59.7109375" style="1" customWidth="1"/>
    <col min="3328" max="3328" width="4.85546875" style="1" customWidth="1"/>
    <col min="3329" max="3329" width="9" style="1" customWidth="1"/>
    <col min="3330" max="3330" width="15.85546875" style="1" customWidth="1"/>
    <col min="3331" max="3331" width="15.7109375" style="1" customWidth="1"/>
    <col min="3332" max="3332" width="15.42578125" style="1" customWidth="1"/>
    <col min="3333" max="3333" width="17.140625" style="1" customWidth="1"/>
    <col min="3334" max="3334" width="37.85546875" style="1" customWidth="1"/>
    <col min="3335" max="3335" width="36.5703125" style="1" customWidth="1"/>
    <col min="3336" max="3336" width="29.42578125" style="1" customWidth="1"/>
    <col min="3337" max="3581" width="8.85546875" style="1"/>
    <col min="3582" max="3582" width="4" style="1" customWidth="1"/>
    <col min="3583" max="3583" width="59.7109375" style="1" customWidth="1"/>
    <col min="3584" max="3584" width="4.85546875" style="1" customWidth="1"/>
    <col min="3585" max="3585" width="9" style="1" customWidth="1"/>
    <col min="3586" max="3586" width="15.85546875" style="1" customWidth="1"/>
    <col min="3587" max="3587" width="15.7109375" style="1" customWidth="1"/>
    <col min="3588" max="3588" width="15.42578125" style="1" customWidth="1"/>
    <col min="3589" max="3589" width="17.140625" style="1" customWidth="1"/>
    <col min="3590" max="3590" width="37.85546875" style="1" customWidth="1"/>
    <col min="3591" max="3591" width="36.5703125" style="1" customWidth="1"/>
    <col min="3592" max="3592" width="29.42578125" style="1" customWidth="1"/>
    <col min="3593" max="3837" width="8.85546875" style="1"/>
    <col min="3838" max="3838" width="4" style="1" customWidth="1"/>
    <col min="3839" max="3839" width="59.7109375" style="1" customWidth="1"/>
    <col min="3840" max="3840" width="4.85546875" style="1" customWidth="1"/>
    <col min="3841" max="3841" width="9" style="1" customWidth="1"/>
    <col min="3842" max="3842" width="15.85546875" style="1" customWidth="1"/>
    <col min="3843" max="3843" width="15.7109375" style="1" customWidth="1"/>
    <col min="3844" max="3844" width="15.42578125" style="1" customWidth="1"/>
    <col min="3845" max="3845" width="17.140625" style="1" customWidth="1"/>
    <col min="3846" max="3846" width="37.85546875" style="1" customWidth="1"/>
    <col min="3847" max="3847" width="36.5703125" style="1" customWidth="1"/>
    <col min="3848" max="3848" width="29.42578125" style="1" customWidth="1"/>
    <col min="3849" max="4093" width="8.85546875" style="1"/>
    <col min="4094" max="4094" width="4" style="1" customWidth="1"/>
    <col min="4095" max="4095" width="59.7109375" style="1" customWidth="1"/>
    <col min="4096" max="4096" width="4.85546875" style="1" customWidth="1"/>
    <col min="4097" max="4097" width="9" style="1" customWidth="1"/>
    <col min="4098" max="4098" width="15.85546875" style="1" customWidth="1"/>
    <col min="4099" max="4099" width="15.7109375" style="1" customWidth="1"/>
    <col min="4100" max="4100" width="15.42578125" style="1" customWidth="1"/>
    <col min="4101" max="4101" width="17.140625" style="1" customWidth="1"/>
    <col min="4102" max="4102" width="37.85546875" style="1" customWidth="1"/>
    <col min="4103" max="4103" width="36.5703125" style="1" customWidth="1"/>
    <col min="4104" max="4104" width="29.42578125" style="1" customWidth="1"/>
    <col min="4105" max="4349" width="8.85546875" style="1"/>
    <col min="4350" max="4350" width="4" style="1" customWidth="1"/>
    <col min="4351" max="4351" width="59.7109375" style="1" customWidth="1"/>
    <col min="4352" max="4352" width="4.85546875" style="1" customWidth="1"/>
    <col min="4353" max="4353" width="9" style="1" customWidth="1"/>
    <col min="4354" max="4354" width="15.85546875" style="1" customWidth="1"/>
    <col min="4355" max="4355" width="15.7109375" style="1" customWidth="1"/>
    <col min="4356" max="4356" width="15.42578125" style="1" customWidth="1"/>
    <col min="4357" max="4357" width="17.140625" style="1" customWidth="1"/>
    <col min="4358" max="4358" width="37.85546875" style="1" customWidth="1"/>
    <col min="4359" max="4359" width="36.5703125" style="1" customWidth="1"/>
    <col min="4360" max="4360" width="29.42578125" style="1" customWidth="1"/>
    <col min="4361" max="4605" width="8.85546875" style="1"/>
    <col min="4606" max="4606" width="4" style="1" customWidth="1"/>
    <col min="4607" max="4607" width="59.7109375" style="1" customWidth="1"/>
    <col min="4608" max="4608" width="4.85546875" style="1" customWidth="1"/>
    <col min="4609" max="4609" width="9" style="1" customWidth="1"/>
    <col min="4610" max="4610" width="15.85546875" style="1" customWidth="1"/>
    <col min="4611" max="4611" width="15.7109375" style="1" customWidth="1"/>
    <col min="4612" max="4612" width="15.42578125" style="1" customWidth="1"/>
    <col min="4613" max="4613" width="17.140625" style="1" customWidth="1"/>
    <col min="4614" max="4614" width="37.85546875" style="1" customWidth="1"/>
    <col min="4615" max="4615" width="36.5703125" style="1" customWidth="1"/>
    <col min="4616" max="4616" width="29.42578125" style="1" customWidth="1"/>
    <col min="4617" max="4861" width="8.85546875" style="1"/>
    <col min="4862" max="4862" width="4" style="1" customWidth="1"/>
    <col min="4863" max="4863" width="59.7109375" style="1" customWidth="1"/>
    <col min="4864" max="4864" width="4.85546875" style="1" customWidth="1"/>
    <col min="4865" max="4865" width="9" style="1" customWidth="1"/>
    <col min="4866" max="4866" width="15.85546875" style="1" customWidth="1"/>
    <col min="4867" max="4867" width="15.7109375" style="1" customWidth="1"/>
    <col min="4868" max="4868" width="15.42578125" style="1" customWidth="1"/>
    <col min="4869" max="4869" width="17.140625" style="1" customWidth="1"/>
    <col min="4870" max="4870" width="37.85546875" style="1" customWidth="1"/>
    <col min="4871" max="4871" width="36.5703125" style="1" customWidth="1"/>
    <col min="4872" max="4872" width="29.42578125" style="1" customWidth="1"/>
    <col min="4873" max="5117" width="8.85546875" style="1"/>
    <col min="5118" max="5118" width="4" style="1" customWidth="1"/>
    <col min="5119" max="5119" width="59.7109375" style="1" customWidth="1"/>
    <col min="5120" max="5120" width="4.85546875" style="1" customWidth="1"/>
    <col min="5121" max="5121" width="9" style="1" customWidth="1"/>
    <col min="5122" max="5122" width="15.85546875" style="1" customWidth="1"/>
    <col min="5123" max="5123" width="15.7109375" style="1" customWidth="1"/>
    <col min="5124" max="5124" width="15.42578125" style="1" customWidth="1"/>
    <col min="5125" max="5125" width="17.140625" style="1" customWidth="1"/>
    <col min="5126" max="5126" width="37.85546875" style="1" customWidth="1"/>
    <col min="5127" max="5127" width="36.5703125" style="1" customWidth="1"/>
    <col min="5128" max="5128" width="29.42578125" style="1" customWidth="1"/>
    <col min="5129" max="5373" width="8.85546875" style="1"/>
    <col min="5374" max="5374" width="4" style="1" customWidth="1"/>
    <col min="5375" max="5375" width="59.7109375" style="1" customWidth="1"/>
    <col min="5376" max="5376" width="4.85546875" style="1" customWidth="1"/>
    <col min="5377" max="5377" width="9" style="1" customWidth="1"/>
    <col min="5378" max="5378" width="15.85546875" style="1" customWidth="1"/>
    <col min="5379" max="5379" width="15.7109375" style="1" customWidth="1"/>
    <col min="5380" max="5380" width="15.42578125" style="1" customWidth="1"/>
    <col min="5381" max="5381" width="17.140625" style="1" customWidth="1"/>
    <col min="5382" max="5382" width="37.85546875" style="1" customWidth="1"/>
    <col min="5383" max="5383" width="36.5703125" style="1" customWidth="1"/>
    <col min="5384" max="5384" width="29.42578125" style="1" customWidth="1"/>
    <col min="5385" max="5629" width="8.85546875" style="1"/>
    <col min="5630" max="5630" width="4" style="1" customWidth="1"/>
    <col min="5631" max="5631" width="59.7109375" style="1" customWidth="1"/>
    <col min="5632" max="5632" width="4.85546875" style="1" customWidth="1"/>
    <col min="5633" max="5633" width="9" style="1" customWidth="1"/>
    <col min="5634" max="5634" width="15.85546875" style="1" customWidth="1"/>
    <col min="5635" max="5635" width="15.7109375" style="1" customWidth="1"/>
    <col min="5636" max="5636" width="15.42578125" style="1" customWidth="1"/>
    <col min="5637" max="5637" width="17.140625" style="1" customWidth="1"/>
    <col min="5638" max="5638" width="37.85546875" style="1" customWidth="1"/>
    <col min="5639" max="5639" width="36.5703125" style="1" customWidth="1"/>
    <col min="5640" max="5640" width="29.42578125" style="1" customWidth="1"/>
    <col min="5641" max="5885" width="8.85546875" style="1"/>
    <col min="5886" max="5886" width="4" style="1" customWidth="1"/>
    <col min="5887" max="5887" width="59.7109375" style="1" customWidth="1"/>
    <col min="5888" max="5888" width="4.85546875" style="1" customWidth="1"/>
    <col min="5889" max="5889" width="9" style="1" customWidth="1"/>
    <col min="5890" max="5890" width="15.85546875" style="1" customWidth="1"/>
    <col min="5891" max="5891" width="15.7109375" style="1" customWidth="1"/>
    <col min="5892" max="5892" width="15.42578125" style="1" customWidth="1"/>
    <col min="5893" max="5893" width="17.140625" style="1" customWidth="1"/>
    <col min="5894" max="5894" width="37.85546875" style="1" customWidth="1"/>
    <col min="5895" max="5895" width="36.5703125" style="1" customWidth="1"/>
    <col min="5896" max="5896" width="29.42578125" style="1" customWidth="1"/>
    <col min="5897" max="6141" width="8.85546875" style="1"/>
    <col min="6142" max="6142" width="4" style="1" customWidth="1"/>
    <col min="6143" max="6143" width="59.7109375" style="1" customWidth="1"/>
    <col min="6144" max="6144" width="4.85546875" style="1" customWidth="1"/>
    <col min="6145" max="6145" width="9" style="1" customWidth="1"/>
    <col min="6146" max="6146" width="15.85546875" style="1" customWidth="1"/>
    <col min="6147" max="6147" width="15.7109375" style="1" customWidth="1"/>
    <col min="6148" max="6148" width="15.42578125" style="1" customWidth="1"/>
    <col min="6149" max="6149" width="17.140625" style="1" customWidth="1"/>
    <col min="6150" max="6150" width="37.85546875" style="1" customWidth="1"/>
    <col min="6151" max="6151" width="36.5703125" style="1" customWidth="1"/>
    <col min="6152" max="6152" width="29.42578125" style="1" customWidth="1"/>
    <col min="6153" max="6397" width="8.85546875" style="1"/>
    <col min="6398" max="6398" width="4" style="1" customWidth="1"/>
    <col min="6399" max="6399" width="59.7109375" style="1" customWidth="1"/>
    <col min="6400" max="6400" width="4.85546875" style="1" customWidth="1"/>
    <col min="6401" max="6401" width="9" style="1" customWidth="1"/>
    <col min="6402" max="6402" width="15.85546875" style="1" customWidth="1"/>
    <col min="6403" max="6403" width="15.7109375" style="1" customWidth="1"/>
    <col min="6404" max="6404" width="15.42578125" style="1" customWidth="1"/>
    <col min="6405" max="6405" width="17.140625" style="1" customWidth="1"/>
    <col min="6406" max="6406" width="37.85546875" style="1" customWidth="1"/>
    <col min="6407" max="6407" width="36.5703125" style="1" customWidth="1"/>
    <col min="6408" max="6408" width="29.42578125" style="1" customWidth="1"/>
    <col min="6409" max="6653" width="8.85546875" style="1"/>
    <col min="6654" max="6654" width="4" style="1" customWidth="1"/>
    <col min="6655" max="6655" width="59.7109375" style="1" customWidth="1"/>
    <col min="6656" max="6656" width="4.85546875" style="1" customWidth="1"/>
    <col min="6657" max="6657" width="9" style="1" customWidth="1"/>
    <col min="6658" max="6658" width="15.85546875" style="1" customWidth="1"/>
    <col min="6659" max="6659" width="15.7109375" style="1" customWidth="1"/>
    <col min="6660" max="6660" width="15.42578125" style="1" customWidth="1"/>
    <col min="6661" max="6661" width="17.140625" style="1" customWidth="1"/>
    <col min="6662" max="6662" width="37.85546875" style="1" customWidth="1"/>
    <col min="6663" max="6663" width="36.5703125" style="1" customWidth="1"/>
    <col min="6664" max="6664" width="29.42578125" style="1" customWidth="1"/>
    <col min="6665" max="6909" width="8.85546875" style="1"/>
    <col min="6910" max="6910" width="4" style="1" customWidth="1"/>
    <col min="6911" max="6911" width="59.7109375" style="1" customWidth="1"/>
    <col min="6912" max="6912" width="4.85546875" style="1" customWidth="1"/>
    <col min="6913" max="6913" width="9" style="1" customWidth="1"/>
    <col min="6914" max="6914" width="15.85546875" style="1" customWidth="1"/>
    <col min="6915" max="6915" width="15.7109375" style="1" customWidth="1"/>
    <col min="6916" max="6916" width="15.42578125" style="1" customWidth="1"/>
    <col min="6917" max="6917" width="17.140625" style="1" customWidth="1"/>
    <col min="6918" max="6918" width="37.85546875" style="1" customWidth="1"/>
    <col min="6919" max="6919" width="36.5703125" style="1" customWidth="1"/>
    <col min="6920" max="6920" width="29.42578125" style="1" customWidth="1"/>
    <col min="6921" max="7165" width="8.85546875" style="1"/>
    <col min="7166" max="7166" width="4" style="1" customWidth="1"/>
    <col min="7167" max="7167" width="59.7109375" style="1" customWidth="1"/>
    <col min="7168" max="7168" width="4.85546875" style="1" customWidth="1"/>
    <col min="7169" max="7169" width="9" style="1" customWidth="1"/>
    <col min="7170" max="7170" width="15.85546875" style="1" customWidth="1"/>
    <col min="7171" max="7171" width="15.7109375" style="1" customWidth="1"/>
    <col min="7172" max="7172" width="15.42578125" style="1" customWidth="1"/>
    <col min="7173" max="7173" width="17.140625" style="1" customWidth="1"/>
    <col min="7174" max="7174" width="37.85546875" style="1" customWidth="1"/>
    <col min="7175" max="7175" width="36.5703125" style="1" customWidth="1"/>
    <col min="7176" max="7176" width="29.42578125" style="1" customWidth="1"/>
    <col min="7177" max="7421" width="8.85546875" style="1"/>
    <col min="7422" max="7422" width="4" style="1" customWidth="1"/>
    <col min="7423" max="7423" width="59.7109375" style="1" customWidth="1"/>
    <col min="7424" max="7424" width="4.85546875" style="1" customWidth="1"/>
    <col min="7425" max="7425" width="9" style="1" customWidth="1"/>
    <col min="7426" max="7426" width="15.85546875" style="1" customWidth="1"/>
    <col min="7427" max="7427" width="15.7109375" style="1" customWidth="1"/>
    <col min="7428" max="7428" width="15.42578125" style="1" customWidth="1"/>
    <col min="7429" max="7429" width="17.140625" style="1" customWidth="1"/>
    <col min="7430" max="7430" width="37.85546875" style="1" customWidth="1"/>
    <col min="7431" max="7431" width="36.5703125" style="1" customWidth="1"/>
    <col min="7432" max="7432" width="29.42578125" style="1" customWidth="1"/>
    <col min="7433" max="7677" width="8.85546875" style="1"/>
    <col min="7678" max="7678" width="4" style="1" customWidth="1"/>
    <col min="7679" max="7679" width="59.7109375" style="1" customWidth="1"/>
    <col min="7680" max="7680" width="4.85546875" style="1" customWidth="1"/>
    <col min="7681" max="7681" width="9" style="1" customWidth="1"/>
    <col min="7682" max="7682" width="15.85546875" style="1" customWidth="1"/>
    <col min="7683" max="7683" width="15.7109375" style="1" customWidth="1"/>
    <col min="7684" max="7684" width="15.42578125" style="1" customWidth="1"/>
    <col min="7685" max="7685" width="17.140625" style="1" customWidth="1"/>
    <col min="7686" max="7686" width="37.85546875" style="1" customWidth="1"/>
    <col min="7687" max="7687" width="36.5703125" style="1" customWidth="1"/>
    <col min="7688" max="7688" width="29.42578125" style="1" customWidth="1"/>
    <col min="7689" max="7933" width="8.85546875" style="1"/>
    <col min="7934" max="7934" width="4" style="1" customWidth="1"/>
    <col min="7935" max="7935" width="59.7109375" style="1" customWidth="1"/>
    <col min="7936" max="7936" width="4.85546875" style="1" customWidth="1"/>
    <col min="7937" max="7937" width="9" style="1" customWidth="1"/>
    <col min="7938" max="7938" width="15.85546875" style="1" customWidth="1"/>
    <col min="7939" max="7939" width="15.7109375" style="1" customWidth="1"/>
    <col min="7940" max="7940" width="15.42578125" style="1" customWidth="1"/>
    <col min="7941" max="7941" width="17.140625" style="1" customWidth="1"/>
    <col min="7942" max="7942" width="37.85546875" style="1" customWidth="1"/>
    <col min="7943" max="7943" width="36.5703125" style="1" customWidth="1"/>
    <col min="7944" max="7944" width="29.42578125" style="1" customWidth="1"/>
    <col min="7945" max="8189" width="8.85546875" style="1"/>
    <col min="8190" max="8190" width="4" style="1" customWidth="1"/>
    <col min="8191" max="8191" width="59.7109375" style="1" customWidth="1"/>
    <col min="8192" max="8192" width="4.85546875" style="1" customWidth="1"/>
    <col min="8193" max="8193" width="9" style="1" customWidth="1"/>
    <col min="8194" max="8194" width="15.85546875" style="1" customWidth="1"/>
    <col min="8195" max="8195" width="15.7109375" style="1" customWidth="1"/>
    <col min="8196" max="8196" width="15.42578125" style="1" customWidth="1"/>
    <col min="8197" max="8197" width="17.140625" style="1" customWidth="1"/>
    <col min="8198" max="8198" width="37.85546875" style="1" customWidth="1"/>
    <col min="8199" max="8199" width="36.5703125" style="1" customWidth="1"/>
    <col min="8200" max="8200" width="29.42578125" style="1" customWidth="1"/>
    <col min="8201" max="8445" width="8.85546875" style="1"/>
    <col min="8446" max="8446" width="4" style="1" customWidth="1"/>
    <col min="8447" max="8447" width="59.7109375" style="1" customWidth="1"/>
    <col min="8448" max="8448" width="4.85546875" style="1" customWidth="1"/>
    <col min="8449" max="8449" width="9" style="1" customWidth="1"/>
    <col min="8450" max="8450" width="15.85546875" style="1" customWidth="1"/>
    <col min="8451" max="8451" width="15.7109375" style="1" customWidth="1"/>
    <col min="8452" max="8452" width="15.42578125" style="1" customWidth="1"/>
    <col min="8453" max="8453" width="17.140625" style="1" customWidth="1"/>
    <col min="8454" max="8454" width="37.85546875" style="1" customWidth="1"/>
    <col min="8455" max="8455" width="36.5703125" style="1" customWidth="1"/>
    <col min="8456" max="8456" width="29.42578125" style="1" customWidth="1"/>
    <col min="8457" max="8701" width="8.85546875" style="1"/>
    <col min="8702" max="8702" width="4" style="1" customWidth="1"/>
    <col min="8703" max="8703" width="59.7109375" style="1" customWidth="1"/>
    <col min="8704" max="8704" width="4.85546875" style="1" customWidth="1"/>
    <col min="8705" max="8705" width="9" style="1" customWidth="1"/>
    <col min="8706" max="8706" width="15.85546875" style="1" customWidth="1"/>
    <col min="8707" max="8707" width="15.7109375" style="1" customWidth="1"/>
    <col min="8708" max="8708" width="15.42578125" style="1" customWidth="1"/>
    <col min="8709" max="8709" width="17.140625" style="1" customWidth="1"/>
    <col min="8710" max="8710" width="37.85546875" style="1" customWidth="1"/>
    <col min="8711" max="8711" width="36.5703125" style="1" customWidth="1"/>
    <col min="8712" max="8712" width="29.42578125" style="1" customWidth="1"/>
    <col min="8713" max="8957" width="8.85546875" style="1"/>
    <col min="8958" max="8958" width="4" style="1" customWidth="1"/>
    <col min="8959" max="8959" width="59.7109375" style="1" customWidth="1"/>
    <col min="8960" max="8960" width="4.85546875" style="1" customWidth="1"/>
    <col min="8961" max="8961" width="9" style="1" customWidth="1"/>
    <col min="8962" max="8962" width="15.85546875" style="1" customWidth="1"/>
    <col min="8963" max="8963" width="15.7109375" style="1" customWidth="1"/>
    <col min="8964" max="8964" width="15.42578125" style="1" customWidth="1"/>
    <col min="8965" max="8965" width="17.140625" style="1" customWidth="1"/>
    <col min="8966" max="8966" width="37.85546875" style="1" customWidth="1"/>
    <col min="8967" max="8967" width="36.5703125" style="1" customWidth="1"/>
    <col min="8968" max="8968" width="29.42578125" style="1" customWidth="1"/>
    <col min="8969" max="9213" width="8.85546875" style="1"/>
    <col min="9214" max="9214" width="4" style="1" customWidth="1"/>
    <col min="9215" max="9215" width="59.7109375" style="1" customWidth="1"/>
    <col min="9216" max="9216" width="4.85546875" style="1" customWidth="1"/>
    <col min="9217" max="9217" width="9" style="1" customWidth="1"/>
    <col min="9218" max="9218" width="15.85546875" style="1" customWidth="1"/>
    <col min="9219" max="9219" width="15.7109375" style="1" customWidth="1"/>
    <col min="9220" max="9220" width="15.42578125" style="1" customWidth="1"/>
    <col min="9221" max="9221" width="17.140625" style="1" customWidth="1"/>
    <col min="9222" max="9222" width="37.85546875" style="1" customWidth="1"/>
    <col min="9223" max="9223" width="36.5703125" style="1" customWidth="1"/>
    <col min="9224" max="9224" width="29.42578125" style="1" customWidth="1"/>
    <col min="9225" max="9469" width="8.85546875" style="1"/>
    <col min="9470" max="9470" width="4" style="1" customWidth="1"/>
    <col min="9471" max="9471" width="59.7109375" style="1" customWidth="1"/>
    <col min="9472" max="9472" width="4.85546875" style="1" customWidth="1"/>
    <col min="9473" max="9473" width="9" style="1" customWidth="1"/>
    <col min="9474" max="9474" width="15.85546875" style="1" customWidth="1"/>
    <col min="9475" max="9475" width="15.7109375" style="1" customWidth="1"/>
    <col min="9476" max="9476" width="15.42578125" style="1" customWidth="1"/>
    <col min="9477" max="9477" width="17.140625" style="1" customWidth="1"/>
    <col min="9478" max="9478" width="37.85546875" style="1" customWidth="1"/>
    <col min="9479" max="9479" width="36.5703125" style="1" customWidth="1"/>
    <col min="9480" max="9480" width="29.42578125" style="1" customWidth="1"/>
    <col min="9481" max="9725" width="8.85546875" style="1"/>
    <col min="9726" max="9726" width="4" style="1" customWidth="1"/>
    <col min="9727" max="9727" width="59.7109375" style="1" customWidth="1"/>
    <col min="9728" max="9728" width="4.85546875" style="1" customWidth="1"/>
    <col min="9729" max="9729" width="9" style="1" customWidth="1"/>
    <col min="9730" max="9730" width="15.85546875" style="1" customWidth="1"/>
    <col min="9731" max="9731" width="15.7109375" style="1" customWidth="1"/>
    <col min="9732" max="9732" width="15.42578125" style="1" customWidth="1"/>
    <col min="9733" max="9733" width="17.140625" style="1" customWidth="1"/>
    <col min="9734" max="9734" width="37.85546875" style="1" customWidth="1"/>
    <col min="9735" max="9735" width="36.5703125" style="1" customWidth="1"/>
    <col min="9736" max="9736" width="29.42578125" style="1" customWidth="1"/>
    <col min="9737" max="9981" width="8.85546875" style="1"/>
    <col min="9982" max="9982" width="4" style="1" customWidth="1"/>
    <col min="9983" max="9983" width="59.7109375" style="1" customWidth="1"/>
    <col min="9984" max="9984" width="4.85546875" style="1" customWidth="1"/>
    <col min="9985" max="9985" width="9" style="1" customWidth="1"/>
    <col min="9986" max="9986" width="15.85546875" style="1" customWidth="1"/>
    <col min="9987" max="9987" width="15.7109375" style="1" customWidth="1"/>
    <col min="9988" max="9988" width="15.42578125" style="1" customWidth="1"/>
    <col min="9989" max="9989" width="17.140625" style="1" customWidth="1"/>
    <col min="9990" max="9990" width="37.85546875" style="1" customWidth="1"/>
    <col min="9991" max="9991" width="36.5703125" style="1" customWidth="1"/>
    <col min="9992" max="9992" width="29.42578125" style="1" customWidth="1"/>
    <col min="9993" max="10237" width="8.85546875" style="1"/>
    <col min="10238" max="10238" width="4" style="1" customWidth="1"/>
    <col min="10239" max="10239" width="59.7109375" style="1" customWidth="1"/>
    <col min="10240" max="10240" width="4.85546875" style="1" customWidth="1"/>
    <col min="10241" max="10241" width="9" style="1" customWidth="1"/>
    <col min="10242" max="10242" width="15.85546875" style="1" customWidth="1"/>
    <col min="10243" max="10243" width="15.7109375" style="1" customWidth="1"/>
    <col min="10244" max="10244" width="15.42578125" style="1" customWidth="1"/>
    <col min="10245" max="10245" width="17.140625" style="1" customWidth="1"/>
    <col min="10246" max="10246" width="37.85546875" style="1" customWidth="1"/>
    <col min="10247" max="10247" width="36.5703125" style="1" customWidth="1"/>
    <col min="10248" max="10248" width="29.42578125" style="1" customWidth="1"/>
    <col min="10249" max="10493" width="8.85546875" style="1"/>
    <col min="10494" max="10494" width="4" style="1" customWidth="1"/>
    <col min="10495" max="10495" width="59.7109375" style="1" customWidth="1"/>
    <col min="10496" max="10496" width="4.85546875" style="1" customWidth="1"/>
    <col min="10497" max="10497" width="9" style="1" customWidth="1"/>
    <col min="10498" max="10498" width="15.85546875" style="1" customWidth="1"/>
    <col min="10499" max="10499" width="15.7109375" style="1" customWidth="1"/>
    <col min="10500" max="10500" width="15.42578125" style="1" customWidth="1"/>
    <col min="10501" max="10501" width="17.140625" style="1" customWidth="1"/>
    <col min="10502" max="10502" width="37.85546875" style="1" customWidth="1"/>
    <col min="10503" max="10503" width="36.5703125" style="1" customWidth="1"/>
    <col min="10504" max="10504" width="29.42578125" style="1" customWidth="1"/>
    <col min="10505" max="10749" width="8.85546875" style="1"/>
    <col min="10750" max="10750" width="4" style="1" customWidth="1"/>
    <col min="10751" max="10751" width="59.7109375" style="1" customWidth="1"/>
    <col min="10752" max="10752" width="4.85546875" style="1" customWidth="1"/>
    <col min="10753" max="10753" width="9" style="1" customWidth="1"/>
    <col min="10754" max="10754" width="15.85546875" style="1" customWidth="1"/>
    <col min="10755" max="10755" width="15.7109375" style="1" customWidth="1"/>
    <col min="10756" max="10756" width="15.42578125" style="1" customWidth="1"/>
    <col min="10757" max="10757" width="17.140625" style="1" customWidth="1"/>
    <col min="10758" max="10758" width="37.85546875" style="1" customWidth="1"/>
    <col min="10759" max="10759" width="36.5703125" style="1" customWidth="1"/>
    <col min="10760" max="10760" width="29.42578125" style="1" customWidth="1"/>
    <col min="10761" max="11005" width="8.85546875" style="1"/>
    <col min="11006" max="11006" width="4" style="1" customWidth="1"/>
    <col min="11007" max="11007" width="59.7109375" style="1" customWidth="1"/>
    <col min="11008" max="11008" width="4.85546875" style="1" customWidth="1"/>
    <col min="11009" max="11009" width="9" style="1" customWidth="1"/>
    <col min="11010" max="11010" width="15.85546875" style="1" customWidth="1"/>
    <col min="11011" max="11011" width="15.7109375" style="1" customWidth="1"/>
    <col min="11012" max="11012" width="15.42578125" style="1" customWidth="1"/>
    <col min="11013" max="11013" width="17.140625" style="1" customWidth="1"/>
    <col min="11014" max="11014" width="37.85546875" style="1" customWidth="1"/>
    <col min="11015" max="11015" width="36.5703125" style="1" customWidth="1"/>
    <col min="11016" max="11016" width="29.42578125" style="1" customWidth="1"/>
    <col min="11017" max="11261" width="8.85546875" style="1"/>
    <col min="11262" max="11262" width="4" style="1" customWidth="1"/>
    <col min="11263" max="11263" width="59.7109375" style="1" customWidth="1"/>
    <col min="11264" max="11264" width="4.85546875" style="1" customWidth="1"/>
    <col min="11265" max="11265" width="9" style="1" customWidth="1"/>
    <col min="11266" max="11266" width="15.85546875" style="1" customWidth="1"/>
    <col min="11267" max="11267" width="15.7109375" style="1" customWidth="1"/>
    <col min="11268" max="11268" width="15.42578125" style="1" customWidth="1"/>
    <col min="11269" max="11269" width="17.140625" style="1" customWidth="1"/>
    <col min="11270" max="11270" width="37.85546875" style="1" customWidth="1"/>
    <col min="11271" max="11271" width="36.5703125" style="1" customWidth="1"/>
    <col min="11272" max="11272" width="29.42578125" style="1" customWidth="1"/>
    <col min="11273" max="11517" width="8.85546875" style="1"/>
    <col min="11518" max="11518" width="4" style="1" customWidth="1"/>
    <col min="11519" max="11519" width="59.7109375" style="1" customWidth="1"/>
    <col min="11520" max="11520" width="4.85546875" style="1" customWidth="1"/>
    <col min="11521" max="11521" width="9" style="1" customWidth="1"/>
    <col min="11522" max="11522" width="15.85546875" style="1" customWidth="1"/>
    <col min="11523" max="11523" width="15.7109375" style="1" customWidth="1"/>
    <col min="11524" max="11524" width="15.42578125" style="1" customWidth="1"/>
    <col min="11525" max="11525" width="17.140625" style="1" customWidth="1"/>
    <col min="11526" max="11526" width="37.85546875" style="1" customWidth="1"/>
    <col min="11527" max="11527" width="36.5703125" style="1" customWidth="1"/>
    <col min="11528" max="11528" width="29.42578125" style="1" customWidth="1"/>
    <col min="11529" max="11773" width="8.85546875" style="1"/>
    <col min="11774" max="11774" width="4" style="1" customWidth="1"/>
    <col min="11775" max="11775" width="59.7109375" style="1" customWidth="1"/>
    <col min="11776" max="11776" width="4.85546875" style="1" customWidth="1"/>
    <col min="11777" max="11777" width="9" style="1" customWidth="1"/>
    <col min="11778" max="11778" width="15.85546875" style="1" customWidth="1"/>
    <col min="11779" max="11779" width="15.7109375" style="1" customWidth="1"/>
    <col min="11780" max="11780" width="15.42578125" style="1" customWidth="1"/>
    <col min="11781" max="11781" width="17.140625" style="1" customWidth="1"/>
    <col min="11782" max="11782" width="37.85546875" style="1" customWidth="1"/>
    <col min="11783" max="11783" width="36.5703125" style="1" customWidth="1"/>
    <col min="11784" max="11784" width="29.42578125" style="1" customWidth="1"/>
    <col min="11785" max="12029" width="8.85546875" style="1"/>
    <col min="12030" max="12030" width="4" style="1" customWidth="1"/>
    <col min="12031" max="12031" width="59.7109375" style="1" customWidth="1"/>
    <col min="12032" max="12032" width="4.85546875" style="1" customWidth="1"/>
    <col min="12033" max="12033" width="9" style="1" customWidth="1"/>
    <col min="12034" max="12034" width="15.85546875" style="1" customWidth="1"/>
    <col min="12035" max="12035" width="15.7109375" style="1" customWidth="1"/>
    <col min="12036" max="12036" width="15.42578125" style="1" customWidth="1"/>
    <col min="12037" max="12037" width="17.140625" style="1" customWidth="1"/>
    <col min="12038" max="12038" width="37.85546875" style="1" customWidth="1"/>
    <col min="12039" max="12039" width="36.5703125" style="1" customWidth="1"/>
    <col min="12040" max="12040" width="29.42578125" style="1" customWidth="1"/>
    <col min="12041" max="12285" width="8.85546875" style="1"/>
    <col min="12286" max="12286" width="4" style="1" customWidth="1"/>
    <col min="12287" max="12287" width="59.7109375" style="1" customWidth="1"/>
    <col min="12288" max="12288" width="4.85546875" style="1" customWidth="1"/>
    <col min="12289" max="12289" width="9" style="1" customWidth="1"/>
    <col min="12290" max="12290" width="15.85546875" style="1" customWidth="1"/>
    <col min="12291" max="12291" width="15.7109375" style="1" customWidth="1"/>
    <col min="12292" max="12292" width="15.42578125" style="1" customWidth="1"/>
    <col min="12293" max="12293" width="17.140625" style="1" customWidth="1"/>
    <col min="12294" max="12294" width="37.85546875" style="1" customWidth="1"/>
    <col min="12295" max="12295" width="36.5703125" style="1" customWidth="1"/>
    <col min="12296" max="12296" width="29.42578125" style="1" customWidth="1"/>
    <col min="12297" max="12541" width="8.85546875" style="1"/>
    <col min="12542" max="12542" width="4" style="1" customWidth="1"/>
    <col min="12543" max="12543" width="59.7109375" style="1" customWidth="1"/>
    <col min="12544" max="12544" width="4.85546875" style="1" customWidth="1"/>
    <col min="12545" max="12545" width="9" style="1" customWidth="1"/>
    <col min="12546" max="12546" width="15.85546875" style="1" customWidth="1"/>
    <col min="12547" max="12547" width="15.7109375" style="1" customWidth="1"/>
    <col min="12548" max="12548" width="15.42578125" style="1" customWidth="1"/>
    <col min="12549" max="12549" width="17.140625" style="1" customWidth="1"/>
    <col min="12550" max="12550" width="37.85546875" style="1" customWidth="1"/>
    <col min="12551" max="12551" width="36.5703125" style="1" customWidth="1"/>
    <col min="12552" max="12552" width="29.42578125" style="1" customWidth="1"/>
    <col min="12553" max="12797" width="8.85546875" style="1"/>
    <col min="12798" max="12798" width="4" style="1" customWidth="1"/>
    <col min="12799" max="12799" width="59.7109375" style="1" customWidth="1"/>
    <col min="12800" max="12800" width="4.85546875" style="1" customWidth="1"/>
    <col min="12801" max="12801" width="9" style="1" customWidth="1"/>
    <col min="12802" max="12802" width="15.85546875" style="1" customWidth="1"/>
    <col min="12803" max="12803" width="15.7109375" style="1" customWidth="1"/>
    <col min="12804" max="12804" width="15.42578125" style="1" customWidth="1"/>
    <col min="12805" max="12805" width="17.140625" style="1" customWidth="1"/>
    <col min="12806" max="12806" width="37.85546875" style="1" customWidth="1"/>
    <col min="12807" max="12807" width="36.5703125" style="1" customWidth="1"/>
    <col min="12808" max="12808" width="29.42578125" style="1" customWidth="1"/>
    <col min="12809" max="13053" width="8.85546875" style="1"/>
    <col min="13054" max="13054" width="4" style="1" customWidth="1"/>
    <col min="13055" max="13055" width="59.7109375" style="1" customWidth="1"/>
    <col min="13056" max="13056" width="4.85546875" style="1" customWidth="1"/>
    <col min="13057" max="13057" width="9" style="1" customWidth="1"/>
    <col min="13058" max="13058" width="15.85546875" style="1" customWidth="1"/>
    <col min="13059" max="13059" width="15.7109375" style="1" customWidth="1"/>
    <col min="13060" max="13060" width="15.42578125" style="1" customWidth="1"/>
    <col min="13061" max="13061" width="17.140625" style="1" customWidth="1"/>
    <col min="13062" max="13062" width="37.85546875" style="1" customWidth="1"/>
    <col min="13063" max="13063" width="36.5703125" style="1" customWidth="1"/>
    <col min="13064" max="13064" width="29.42578125" style="1" customWidth="1"/>
    <col min="13065" max="13309" width="8.85546875" style="1"/>
    <col min="13310" max="13310" width="4" style="1" customWidth="1"/>
    <col min="13311" max="13311" width="59.7109375" style="1" customWidth="1"/>
    <col min="13312" max="13312" width="4.85546875" style="1" customWidth="1"/>
    <col min="13313" max="13313" width="9" style="1" customWidth="1"/>
    <col min="13314" max="13314" width="15.85546875" style="1" customWidth="1"/>
    <col min="13315" max="13315" width="15.7109375" style="1" customWidth="1"/>
    <col min="13316" max="13316" width="15.42578125" style="1" customWidth="1"/>
    <col min="13317" max="13317" width="17.140625" style="1" customWidth="1"/>
    <col min="13318" max="13318" width="37.85546875" style="1" customWidth="1"/>
    <col min="13319" max="13319" width="36.5703125" style="1" customWidth="1"/>
    <col min="13320" max="13320" width="29.42578125" style="1" customWidth="1"/>
    <col min="13321" max="13565" width="8.85546875" style="1"/>
    <col min="13566" max="13566" width="4" style="1" customWidth="1"/>
    <col min="13567" max="13567" width="59.7109375" style="1" customWidth="1"/>
    <col min="13568" max="13568" width="4.85546875" style="1" customWidth="1"/>
    <col min="13569" max="13569" width="9" style="1" customWidth="1"/>
    <col min="13570" max="13570" width="15.85546875" style="1" customWidth="1"/>
    <col min="13571" max="13571" width="15.7109375" style="1" customWidth="1"/>
    <col min="13572" max="13572" width="15.42578125" style="1" customWidth="1"/>
    <col min="13573" max="13573" width="17.140625" style="1" customWidth="1"/>
    <col min="13574" max="13574" width="37.85546875" style="1" customWidth="1"/>
    <col min="13575" max="13575" width="36.5703125" style="1" customWidth="1"/>
    <col min="13576" max="13576" width="29.42578125" style="1" customWidth="1"/>
    <col min="13577" max="13821" width="8.85546875" style="1"/>
    <col min="13822" max="13822" width="4" style="1" customWidth="1"/>
    <col min="13823" max="13823" width="59.7109375" style="1" customWidth="1"/>
    <col min="13824" max="13824" width="4.85546875" style="1" customWidth="1"/>
    <col min="13825" max="13825" width="9" style="1" customWidth="1"/>
    <col min="13826" max="13826" width="15.85546875" style="1" customWidth="1"/>
    <col min="13827" max="13827" width="15.7109375" style="1" customWidth="1"/>
    <col min="13828" max="13828" width="15.42578125" style="1" customWidth="1"/>
    <col min="13829" max="13829" width="17.140625" style="1" customWidth="1"/>
    <col min="13830" max="13830" width="37.85546875" style="1" customWidth="1"/>
    <col min="13831" max="13831" width="36.5703125" style="1" customWidth="1"/>
    <col min="13832" max="13832" width="29.42578125" style="1" customWidth="1"/>
    <col min="13833" max="14077" width="8.85546875" style="1"/>
    <col min="14078" max="14078" width="4" style="1" customWidth="1"/>
    <col min="14079" max="14079" width="59.7109375" style="1" customWidth="1"/>
    <col min="14080" max="14080" width="4.85546875" style="1" customWidth="1"/>
    <col min="14081" max="14081" width="9" style="1" customWidth="1"/>
    <col min="14082" max="14082" width="15.85546875" style="1" customWidth="1"/>
    <col min="14083" max="14083" width="15.7109375" style="1" customWidth="1"/>
    <col min="14084" max="14084" width="15.42578125" style="1" customWidth="1"/>
    <col min="14085" max="14085" width="17.140625" style="1" customWidth="1"/>
    <col min="14086" max="14086" width="37.85546875" style="1" customWidth="1"/>
    <col min="14087" max="14087" width="36.5703125" style="1" customWidth="1"/>
    <col min="14088" max="14088" width="29.42578125" style="1" customWidth="1"/>
    <col min="14089" max="14333" width="8.85546875" style="1"/>
    <col min="14334" max="14334" width="4" style="1" customWidth="1"/>
    <col min="14335" max="14335" width="59.7109375" style="1" customWidth="1"/>
    <col min="14336" max="14336" width="4.85546875" style="1" customWidth="1"/>
    <col min="14337" max="14337" width="9" style="1" customWidth="1"/>
    <col min="14338" max="14338" width="15.85546875" style="1" customWidth="1"/>
    <col min="14339" max="14339" width="15.7109375" style="1" customWidth="1"/>
    <col min="14340" max="14340" width="15.42578125" style="1" customWidth="1"/>
    <col min="14341" max="14341" width="17.140625" style="1" customWidth="1"/>
    <col min="14342" max="14342" width="37.85546875" style="1" customWidth="1"/>
    <col min="14343" max="14343" width="36.5703125" style="1" customWidth="1"/>
    <col min="14344" max="14344" width="29.42578125" style="1" customWidth="1"/>
    <col min="14345" max="14589" width="8.85546875" style="1"/>
    <col min="14590" max="14590" width="4" style="1" customWidth="1"/>
    <col min="14591" max="14591" width="59.7109375" style="1" customWidth="1"/>
    <col min="14592" max="14592" width="4.85546875" style="1" customWidth="1"/>
    <col min="14593" max="14593" width="9" style="1" customWidth="1"/>
    <col min="14594" max="14594" width="15.85546875" style="1" customWidth="1"/>
    <col min="14595" max="14595" width="15.7109375" style="1" customWidth="1"/>
    <col min="14596" max="14596" width="15.42578125" style="1" customWidth="1"/>
    <col min="14597" max="14597" width="17.140625" style="1" customWidth="1"/>
    <col min="14598" max="14598" width="37.85546875" style="1" customWidth="1"/>
    <col min="14599" max="14599" width="36.5703125" style="1" customWidth="1"/>
    <col min="14600" max="14600" width="29.42578125" style="1" customWidth="1"/>
    <col min="14601" max="14845" width="8.85546875" style="1"/>
    <col min="14846" max="14846" width="4" style="1" customWidth="1"/>
    <col min="14847" max="14847" width="59.7109375" style="1" customWidth="1"/>
    <col min="14848" max="14848" width="4.85546875" style="1" customWidth="1"/>
    <col min="14849" max="14849" width="9" style="1" customWidth="1"/>
    <col min="14850" max="14850" width="15.85546875" style="1" customWidth="1"/>
    <col min="14851" max="14851" width="15.7109375" style="1" customWidth="1"/>
    <col min="14852" max="14852" width="15.42578125" style="1" customWidth="1"/>
    <col min="14853" max="14853" width="17.140625" style="1" customWidth="1"/>
    <col min="14854" max="14854" width="37.85546875" style="1" customWidth="1"/>
    <col min="14855" max="14855" width="36.5703125" style="1" customWidth="1"/>
    <col min="14856" max="14856" width="29.42578125" style="1" customWidth="1"/>
    <col min="14857" max="15101" width="8.85546875" style="1"/>
    <col min="15102" max="15102" width="4" style="1" customWidth="1"/>
    <col min="15103" max="15103" width="59.7109375" style="1" customWidth="1"/>
    <col min="15104" max="15104" width="4.85546875" style="1" customWidth="1"/>
    <col min="15105" max="15105" width="9" style="1" customWidth="1"/>
    <col min="15106" max="15106" width="15.85546875" style="1" customWidth="1"/>
    <col min="15107" max="15107" width="15.7109375" style="1" customWidth="1"/>
    <col min="15108" max="15108" width="15.42578125" style="1" customWidth="1"/>
    <col min="15109" max="15109" width="17.140625" style="1" customWidth="1"/>
    <col min="15110" max="15110" width="37.85546875" style="1" customWidth="1"/>
    <col min="15111" max="15111" width="36.5703125" style="1" customWidth="1"/>
    <col min="15112" max="15112" width="29.42578125" style="1" customWidth="1"/>
    <col min="15113" max="15357" width="8.85546875" style="1"/>
    <col min="15358" max="15358" width="4" style="1" customWidth="1"/>
    <col min="15359" max="15359" width="59.7109375" style="1" customWidth="1"/>
    <col min="15360" max="15360" width="4.85546875" style="1" customWidth="1"/>
    <col min="15361" max="15361" width="9" style="1" customWidth="1"/>
    <col min="15362" max="15362" width="15.85546875" style="1" customWidth="1"/>
    <col min="15363" max="15363" width="15.7109375" style="1" customWidth="1"/>
    <col min="15364" max="15364" width="15.42578125" style="1" customWidth="1"/>
    <col min="15365" max="15365" width="17.140625" style="1" customWidth="1"/>
    <col min="15366" max="15366" width="37.85546875" style="1" customWidth="1"/>
    <col min="15367" max="15367" width="36.5703125" style="1" customWidth="1"/>
    <col min="15368" max="15368" width="29.42578125" style="1" customWidth="1"/>
    <col min="15369" max="15613" width="8.85546875" style="1"/>
    <col min="15614" max="15614" width="4" style="1" customWidth="1"/>
    <col min="15615" max="15615" width="59.7109375" style="1" customWidth="1"/>
    <col min="15616" max="15616" width="4.85546875" style="1" customWidth="1"/>
    <col min="15617" max="15617" width="9" style="1" customWidth="1"/>
    <col min="15618" max="15618" width="15.85546875" style="1" customWidth="1"/>
    <col min="15619" max="15619" width="15.7109375" style="1" customWidth="1"/>
    <col min="15620" max="15620" width="15.42578125" style="1" customWidth="1"/>
    <col min="15621" max="15621" width="17.140625" style="1" customWidth="1"/>
    <col min="15622" max="15622" width="37.85546875" style="1" customWidth="1"/>
    <col min="15623" max="15623" width="36.5703125" style="1" customWidth="1"/>
    <col min="15624" max="15624" width="29.42578125" style="1" customWidth="1"/>
    <col min="15625" max="15869" width="8.85546875" style="1"/>
    <col min="15870" max="15870" width="4" style="1" customWidth="1"/>
    <col min="15871" max="15871" width="59.7109375" style="1" customWidth="1"/>
    <col min="15872" max="15872" width="4.85546875" style="1" customWidth="1"/>
    <col min="15873" max="15873" width="9" style="1" customWidth="1"/>
    <col min="15874" max="15874" width="15.85546875" style="1" customWidth="1"/>
    <col min="15875" max="15875" width="15.7109375" style="1" customWidth="1"/>
    <col min="15876" max="15876" width="15.42578125" style="1" customWidth="1"/>
    <col min="15877" max="15877" width="17.140625" style="1" customWidth="1"/>
    <col min="15878" max="15878" width="37.85546875" style="1" customWidth="1"/>
    <col min="15879" max="15879" width="36.5703125" style="1" customWidth="1"/>
    <col min="15880" max="15880" width="29.42578125" style="1" customWidth="1"/>
    <col min="15881" max="16125" width="8.85546875" style="1"/>
    <col min="16126" max="16126" width="4" style="1" customWidth="1"/>
    <col min="16127" max="16127" width="59.7109375" style="1" customWidth="1"/>
    <col min="16128" max="16128" width="4.85546875" style="1" customWidth="1"/>
    <col min="16129" max="16129" width="9" style="1" customWidth="1"/>
    <col min="16130" max="16130" width="15.85546875" style="1" customWidth="1"/>
    <col min="16131" max="16131" width="15.7109375" style="1" customWidth="1"/>
    <col min="16132" max="16132" width="15.42578125" style="1" customWidth="1"/>
    <col min="16133" max="16133" width="17.140625" style="1" customWidth="1"/>
    <col min="16134" max="16134" width="37.85546875" style="1" customWidth="1"/>
    <col min="16135" max="16135" width="36.5703125" style="1" customWidth="1"/>
    <col min="16136" max="16136" width="29.42578125" style="1" customWidth="1"/>
    <col min="16137" max="16384" width="8.85546875" style="1"/>
  </cols>
  <sheetData>
    <row r="1" spans="1:13" ht="22.15" customHeight="1">
      <c r="G1" s="16">
        <v>46027</v>
      </c>
      <c r="H1" s="16">
        <v>46027</v>
      </c>
    </row>
    <row r="2" spans="1:13" ht="30" customHeight="1">
      <c r="A2"/>
      <c r="B2" s="2" t="s">
        <v>0</v>
      </c>
      <c r="C2" s="17" t="s">
        <v>1</v>
      </c>
      <c r="D2" s="10" t="s">
        <v>2</v>
      </c>
      <c r="E2" s="3" t="s">
        <v>3</v>
      </c>
      <c r="F2" s="3" t="s">
        <v>4</v>
      </c>
      <c r="G2" s="4" t="s">
        <v>5</v>
      </c>
      <c r="H2" s="4" t="s">
        <v>6</v>
      </c>
    </row>
    <row r="3" spans="1:13" ht="22.15" hidden="1" customHeight="1">
      <c r="A3"/>
      <c r="B3" s="5" t="s">
        <v>7</v>
      </c>
      <c r="C3" s="18" t="s">
        <v>8</v>
      </c>
      <c r="D3" s="19">
        <v>124</v>
      </c>
      <c r="E3" s="20">
        <v>45254</v>
      </c>
      <c r="F3" s="20">
        <v>45299</v>
      </c>
      <c r="G3" s="6">
        <f t="shared" ref="G3:G37" si="0">IFERROR((F3-$G$1)/(F3-E3)*100,"")</f>
        <v>-1617.7777777777778</v>
      </c>
      <c r="H3" s="6">
        <f t="shared" ref="H3:H37" si="1">F3-$H$1</f>
        <v>-728</v>
      </c>
      <c r="I3" s="41"/>
      <c r="J3" s="41"/>
      <c r="K3" s="41"/>
      <c r="L3" s="41"/>
      <c r="M3" s="41"/>
    </row>
    <row r="4" spans="1:13" ht="22.15" hidden="1" customHeight="1">
      <c r="A4"/>
      <c r="B4" s="5" t="s">
        <v>9</v>
      </c>
      <c r="C4" s="18" t="s">
        <v>8</v>
      </c>
      <c r="D4" s="19">
        <v>115</v>
      </c>
      <c r="E4" s="20">
        <v>45254</v>
      </c>
      <c r="F4" s="20">
        <v>45299</v>
      </c>
      <c r="G4" s="6">
        <f t="shared" si="0"/>
        <v>-1617.7777777777778</v>
      </c>
      <c r="H4" s="6">
        <f t="shared" si="1"/>
        <v>-728</v>
      </c>
      <c r="I4" s="42" t="s">
        <v>10</v>
      </c>
      <c r="J4" s="42"/>
      <c r="K4" s="42"/>
      <c r="L4" s="42"/>
      <c r="M4" s="42"/>
    </row>
    <row r="5" spans="1:13" ht="22.15" hidden="1" customHeight="1">
      <c r="A5"/>
      <c r="B5" s="5" t="s">
        <v>11</v>
      </c>
      <c r="C5" s="18" t="s">
        <v>8</v>
      </c>
      <c r="D5" s="19">
        <v>54</v>
      </c>
      <c r="E5" s="21">
        <v>45256</v>
      </c>
      <c r="F5" s="21">
        <v>45301</v>
      </c>
      <c r="G5" s="6">
        <f t="shared" si="0"/>
        <v>-1613.3333333333333</v>
      </c>
      <c r="H5" s="6">
        <f t="shared" si="1"/>
        <v>-726</v>
      </c>
      <c r="I5" s="42"/>
      <c r="J5" s="42"/>
      <c r="K5" s="42"/>
      <c r="L5" s="42"/>
      <c r="M5" s="42"/>
    </row>
    <row r="6" spans="1:13" ht="22.15" hidden="1" customHeight="1">
      <c r="A6"/>
      <c r="B6" s="5" t="s">
        <v>12</v>
      </c>
      <c r="C6" s="18" t="s">
        <v>8</v>
      </c>
      <c r="D6" s="19">
        <v>65</v>
      </c>
      <c r="E6" s="21">
        <v>45268</v>
      </c>
      <c r="F6" s="21">
        <v>45303</v>
      </c>
      <c r="G6" s="6">
        <f t="shared" si="0"/>
        <v>-2068.5714285714289</v>
      </c>
      <c r="H6" s="6">
        <f t="shared" si="1"/>
        <v>-724</v>
      </c>
      <c r="I6" s="7"/>
      <c r="J6" s="7"/>
      <c r="K6" s="7"/>
      <c r="L6" s="7"/>
      <c r="M6" s="7"/>
    </row>
    <row r="7" spans="1:13" ht="22.15" hidden="1" customHeight="1">
      <c r="A7"/>
      <c r="B7" s="5" t="s">
        <v>13</v>
      </c>
      <c r="C7" s="18" t="s">
        <v>8</v>
      </c>
      <c r="D7" s="19">
        <v>32</v>
      </c>
      <c r="E7" s="21">
        <v>45269</v>
      </c>
      <c r="F7" s="21">
        <v>45304</v>
      </c>
      <c r="G7" s="6">
        <f t="shared" si="0"/>
        <v>-2065.7142857142858</v>
      </c>
      <c r="H7" s="6">
        <f t="shared" si="1"/>
        <v>-723</v>
      </c>
      <c r="I7" s="43"/>
      <c r="J7" s="43"/>
      <c r="K7" s="43"/>
      <c r="L7" s="43"/>
      <c r="M7" s="43"/>
    </row>
    <row r="8" spans="1:13" ht="22.15" hidden="1" customHeight="1">
      <c r="A8"/>
      <c r="B8" s="5" t="s">
        <v>14</v>
      </c>
      <c r="C8" s="18" t="s">
        <v>15</v>
      </c>
      <c r="D8" s="19">
        <v>217.8</v>
      </c>
      <c r="E8" s="21">
        <v>45275</v>
      </c>
      <c r="F8" s="21">
        <v>45305</v>
      </c>
      <c r="G8" s="6">
        <f t="shared" si="0"/>
        <v>-2406.6666666666665</v>
      </c>
      <c r="H8" s="6">
        <f t="shared" si="1"/>
        <v>-722</v>
      </c>
      <c r="I8" s="41"/>
      <c r="J8" s="41"/>
      <c r="K8" s="41"/>
      <c r="L8" s="41"/>
      <c r="M8" s="41"/>
    </row>
    <row r="9" spans="1:13" ht="22.15" hidden="1" customHeight="1">
      <c r="A9"/>
      <c r="B9" s="5" t="s">
        <v>16</v>
      </c>
      <c r="C9" s="18" t="s">
        <v>15</v>
      </c>
      <c r="D9" s="19">
        <v>68.8</v>
      </c>
      <c r="E9" s="21">
        <v>45265</v>
      </c>
      <c r="F9" s="21">
        <v>45305</v>
      </c>
      <c r="G9" s="6">
        <f t="shared" si="0"/>
        <v>-1805</v>
      </c>
      <c r="H9" s="6">
        <f t="shared" si="1"/>
        <v>-722</v>
      </c>
      <c r="I9" s="42" t="s">
        <v>17</v>
      </c>
      <c r="J9" s="42"/>
      <c r="K9" s="42"/>
      <c r="L9" s="42"/>
      <c r="M9" s="42"/>
    </row>
    <row r="10" spans="1:13" ht="22.15" hidden="1" customHeight="1">
      <c r="A10"/>
      <c r="B10" s="5" t="s">
        <v>18</v>
      </c>
      <c r="C10" s="18" t="s">
        <v>15</v>
      </c>
      <c r="D10" s="19">
        <v>42.16</v>
      </c>
      <c r="E10" s="21">
        <v>45260</v>
      </c>
      <c r="F10" s="21">
        <v>45305</v>
      </c>
      <c r="G10" s="6">
        <f t="shared" si="0"/>
        <v>-1604.4444444444443</v>
      </c>
      <c r="H10" s="6">
        <f t="shared" si="1"/>
        <v>-722</v>
      </c>
      <c r="I10" s="42"/>
      <c r="J10" s="42"/>
      <c r="K10" s="42"/>
      <c r="L10" s="42"/>
      <c r="M10" s="42"/>
    </row>
    <row r="11" spans="1:13" ht="22.15" hidden="1" customHeight="1">
      <c r="A11"/>
      <c r="B11" s="5" t="s">
        <v>19</v>
      </c>
      <c r="C11" s="18" t="s">
        <v>15</v>
      </c>
      <c r="D11" s="19">
        <v>205.58</v>
      </c>
      <c r="E11" s="21">
        <v>45276</v>
      </c>
      <c r="F11" s="21">
        <v>45306</v>
      </c>
      <c r="G11" s="6">
        <f t="shared" si="0"/>
        <v>-2403.3333333333335</v>
      </c>
      <c r="H11" s="6">
        <f t="shared" si="1"/>
        <v>-721</v>
      </c>
    </row>
    <row r="12" spans="1:13" ht="22.15" hidden="1" customHeight="1">
      <c r="A12"/>
      <c r="B12" s="5" t="s">
        <v>20</v>
      </c>
      <c r="C12" s="18" t="s">
        <v>15</v>
      </c>
      <c r="D12" s="19">
        <v>12</v>
      </c>
      <c r="E12" s="21">
        <v>45256</v>
      </c>
      <c r="F12" s="21">
        <v>45306</v>
      </c>
      <c r="G12" s="6">
        <f t="shared" si="0"/>
        <v>-1442</v>
      </c>
      <c r="H12" s="6">
        <f t="shared" si="1"/>
        <v>-721</v>
      </c>
    </row>
    <row r="13" spans="1:13" ht="22.15" hidden="1" customHeight="1">
      <c r="A13"/>
      <c r="B13" s="5" t="s">
        <v>21</v>
      </c>
      <c r="C13" s="18" t="s">
        <v>15</v>
      </c>
      <c r="D13" s="19">
        <v>89.266999999999996</v>
      </c>
      <c r="E13" s="21">
        <v>45276</v>
      </c>
      <c r="F13" s="21">
        <v>45306</v>
      </c>
      <c r="G13" s="6">
        <f t="shared" si="0"/>
        <v>-2403.3333333333335</v>
      </c>
      <c r="H13" s="6">
        <f t="shared" si="1"/>
        <v>-721</v>
      </c>
    </row>
    <row r="14" spans="1:13" ht="22.15" hidden="1" customHeight="1">
      <c r="A14"/>
      <c r="B14" s="5" t="s">
        <v>22</v>
      </c>
      <c r="C14" s="18" t="s">
        <v>15</v>
      </c>
      <c r="D14" s="19">
        <v>57.1</v>
      </c>
      <c r="E14" s="21">
        <v>45229</v>
      </c>
      <c r="F14" s="21">
        <v>45306</v>
      </c>
      <c r="G14" s="6">
        <f t="shared" si="0"/>
        <v>-936.36363636363637</v>
      </c>
      <c r="H14" s="6">
        <f t="shared" si="1"/>
        <v>-721</v>
      </c>
    </row>
    <row r="15" spans="1:13" ht="22.15" hidden="1" customHeight="1">
      <c r="A15"/>
      <c r="B15" s="5" t="s">
        <v>23</v>
      </c>
      <c r="C15" s="18" t="s">
        <v>15</v>
      </c>
      <c r="D15" s="19">
        <v>159.1</v>
      </c>
      <c r="E15" s="21">
        <v>45262</v>
      </c>
      <c r="F15" s="21">
        <v>45307</v>
      </c>
      <c r="G15" s="6">
        <f t="shared" si="0"/>
        <v>-1600</v>
      </c>
      <c r="H15" s="6">
        <f t="shared" si="1"/>
        <v>-720</v>
      </c>
    </row>
    <row r="16" spans="1:13" ht="22.15" hidden="1" customHeight="1">
      <c r="A16"/>
      <c r="B16" s="5" t="s">
        <v>24</v>
      </c>
      <c r="C16" s="18" t="s">
        <v>15</v>
      </c>
      <c r="D16" s="19">
        <v>218.5</v>
      </c>
      <c r="E16" s="21">
        <v>45277</v>
      </c>
      <c r="F16" s="21">
        <v>45307</v>
      </c>
      <c r="G16" s="6">
        <f t="shared" si="0"/>
        <v>-2400</v>
      </c>
      <c r="H16" s="6">
        <f t="shared" si="1"/>
        <v>-720</v>
      </c>
    </row>
    <row r="17" spans="1:8" ht="22.15" hidden="1" customHeight="1">
      <c r="A17"/>
      <c r="B17" s="5" t="s">
        <v>25</v>
      </c>
      <c r="C17" s="18" t="s">
        <v>15</v>
      </c>
      <c r="D17" s="19">
        <v>187.7</v>
      </c>
      <c r="E17" s="21">
        <v>45267</v>
      </c>
      <c r="F17" s="21">
        <v>45307</v>
      </c>
      <c r="G17" s="6">
        <f t="shared" si="0"/>
        <v>-1800</v>
      </c>
      <c r="H17" s="6">
        <f t="shared" si="1"/>
        <v>-720</v>
      </c>
    </row>
    <row r="18" spans="1:8" ht="22.15" hidden="1" customHeight="1">
      <c r="A18"/>
      <c r="B18" s="5" t="s">
        <v>26</v>
      </c>
      <c r="C18" s="18" t="s">
        <v>8</v>
      </c>
      <c r="D18" s="19">
        <v>77</v>
      </c>
      <c r="E18" s="21">
        <v>45268</v>
      </c>
      <c r="F18" s="21">
        <v>45308</v>
      </c>
      <c r="G18" s="6">
        <f t="shared" si="0"/>
        <v>-1797.5000000000002</v>
      </c>
      <c r="H18" s="6">
        <f t="shared" si="1"/>
        <v>-719</v>
      </c>
    </row>
    <row r="19" spans="1:8" ht="22.15" hidden="1" customHeight="1">
      <c r="A19"/>
      <c r="B19" s="5" t="s">
        <v>27</v>
      </c>
      <c r="C19" s="18" t="s">
        <v>8</v>
      </c>
      <c r="D19" s="19">
        <v>241</v>
      </c>
      <c r="E19" s="21">
        <v>45268</v>
      </c>
      <c r="F19" s="21">
        <v>45308</v>
      </c>
      <c r="G19" s="6">
        <f t="shared" si="0"/>
        <v>-1797.5000000000002</v>
      </c>
      <c r="H19" s="6">
        <f t="shared" si="1"/>
        <v>-719</v>
      </c>
    </row>
    <row r="20" spans="1:8" ht="22.15" hidden="1" customHeight="1">
      <c r="A20"/>
      <c r="B20" s="5" t="s">
        <v>28</v>
      </c>
      <c r="C20" s="18" t="s">
        <v>8</v>
      </c>
      <c r="D20" s="19">
        <v>354</v>
      </c>
      <c r="E20" s="21">
        <v>45268</v>
      </c>
      <c r="F20" s="21">
        <v>45308</v>
      </c>
      <c r="G20" s="6">
        <f t="shared" si="0"/>
        <v>-1797.5000000000002</v>
      </c>
      <c r="H20" s="6">
        <f t="shared" si="1"/>
        <v>-719</v>
      </c>
    </row>
    <row r="21" spans="1:8" ht="22.15" hidden="1" customHeight="1">
      <c r="A21"/>
      <c r="B21" s="5" t="s">
        <v>29</v>
      </c>
      <c r="C21" s="18" t="s">
        <v>8</v>
      </c>
      <c r="D21" s="19">
        <v>3</v>
      </c>
      <c r="E21" s="21">
        <v>45270</v>
      </c>
      <c r="F21" s="21">
        <v>45310</v>
      </c>
      <c r="G21" s="6">
        <f t="shared" si="0"/>
        <v>-1792.5</v>
      </c>
      <c r="H21" s="6">
        <f t="shared" si="1"/>
        <v>-717</v>
      </c>
    </row>
    <row r="22" spans="1:8" ht="22.15" hidden="1" customHeight="1">
      <c r="A22"/>
      <c r="B22" s="5" t="s">
        <v>30</v>
      </c>
      <c r="C22" s="18" t="s">
        <v>8</v>
      </c>
      <c r="D22" s="19">
        <v>45</v>
      </c>
      <c r="E22" s="21">
        <v>45268</v>
      </c>
      <c r="F22" s="21">
        <v>45311</v>
      </c>
      <c r="G22" s="6">
        <f t="shared" si="0"/>
        <v>-1665.1162790697676</v>
      </c>
      <c r="H22" s="6">
        <f t="shared" si="1"/>
        <v>-716</v>
      </c>
    </row>
    <row r="23" spans="1:8" ht="22.15" hidden="1" customHeight="1">
      <c r="A23"/>
      <c r="B23" s="5" t="s">
        <v>31</v>
      </c>
      <c r="C23" s="18" t="s">
        <v>15</v>
      </c>
      <c r="D23" s="19">
        <v>97.5</v>
      </c>
      <c r="E23" s="21">
        <v>45268</v>
      </c>
      <c r="F23" s="21">
        <v>45311</v>
      </c>
      <c r="G23" s="6">
        <f t="shared" si="0"/>
        <v>-1665.1162790697676</v>
      </c>
      <c r="H23" s="6">
        <f t="shared" si="1"/>
        <v>-716</v>
      </c>
    </row>
    <row r="24" spans="1:8" ht="22.15" hidden="1" customHeight="1">
      <c r="A24"/>
      <c r="B24" s="5" t="s">
        <v>32</v>
      </c>
      <c r="C24" s="18" t="s">
        <v>15</v>
      </c>
      <c r="D24" s="19">
        <v>85.93</v>
      </c>
      <c r="E24" s="21">
        <v>45276</v>
      </c>
      <c r="F24" s="21">
        <v>45311</v>
      </c>
      <c r="G24" s="6">
        <f t="shared" si="0"/>
        <v>-2045.7142857142856</v>
      </c>
      <c r="H24" s="6">
        <f t="shared" si="1"/>
        <v>-716</v>
      </c>
    </row>
    <row r="25" spans="1:8" ht="22.15" hidden="1" customHeight="1">
      <c r="A25"/>
      <c r="B25" s="5" t="s">
        <v>33</v>
      </c>
      <c r="C25" s="18" t="s">
        <v>15</v>
      </c>
      <c r="D25" s="19">
        <v>216.8</v>
      </c>
      <c r="E25" s="21">
        <v>45267</v>
      </c>
      <c r="F25" s="21">
        <v>45312</v>
      </c>
      <c r="G25" s="6">
        <f t="shared" si="0"/>
        <v>-1588.8888888888889</v>
      </c>
      <c r="H25" s="6">
        <f t="shared" si="1"/>
        <v>-715</v>
      </c>
    </row>
    <row r="26" spans="1:8" ht="22.15" hidden="1" customHeight="1">
      <c r="A26"/>
      <c r="B26" s="5" t="s">
        <v>34</v>
      </c>
      <c r="C26" s="18" t="s">
        <v>15</v>
      </c>
      <c r="D26" s="19">
        <v>170.9</v>
      </c>
      <c r="E26" s="21">
        <v>45277</v>
      </c>
      <c r="F26" s="21">
        <v>45312</v>
      </c>
      <c r="G26" s="6">
        <f t="shared" si="0"/>
        <v>-2042.8571428571427</v>
      </c>
      <c r="H26" s="6">
        <f t="shared" si="1"/>
        <v>-715</v>
      </c>
    </row>
    <row r="27" spans="1:8" ht="22.15" hidden="1" customHeight="1">
      <c r="A27"/>
      <c r="B27" s="5" t="s">
        <v>35</v>
      </c>
      <c r="C27" s="18" t="s">
        <v>15</v>
      </c>
      <c r="D27" s="19">
        <v>159.9</v>
      </c>
      <c r="E27" s="21">
        <v>45277</v>
      </c>
      <c r="F27" s="21">
        <v>45312</v>
      </c>
      <c r="G27" s="6">
        <f t="shared" si="0"/>
        <v>-2042.8571428571427</v>
      </c>
      <c r="H27" s="6">
        <f t="shared" si="1"/>
        <v>-715</v>
      </c>
    </row>
    <row r="28" spans="1:8" ht="22.15" hidden="1" customHeight="1">
      <c r="A28"/>
      <c r="B28" s="5" t="s">
        <v>36</v>
      </c>
      <c r="C28" s="18" t="s">
        <v>15</v>
      </c>
      <c r="D28" s="19">
        <v>358.6</v>
      </c>
      <c r="E28" s="21">
        <v>45272</v>
      </c>
      <c r="F28" s="21">
        <v>45312</v>
      </c>
      <c r="G28" s="6">
        <f t="shared" si="0"/>
        <v>-1787.5</v>
      </c>
      <c r="H28" s="6">
        <f t="shared" si="1"/>
        <v>-715</v>
      </c>
    </row>
    <row r="29" spans="1:8" ht="22.15" hidden="1" customHeight="1">
      <c r="A29"/>
      <c r="B29" s="5" t="s">
        <v>37</v>
      </c>
      <c r="C29" s="18" t="s">
        <v>8</v>
      </c>
      <c r="D29" s="19">
        <v>94</v>
      </c>
      <c r="E29" s="21">
        <v>45268</v>
      </c>
      <c r="F29" s="21">
        <v>45313</v>
      </c>
      <c r="G29" s="6">
        <f t="shared" si="0"/>
        <v>-1586.6666666666667</v>
      </c>
      <c r="H29" s="6">
        <f t="shared" si="1"/>
        <v>-714</v>
      </c>
    </row>
    <row r="30" spans="1:8" ht="22.15" hidden="1" customHeight="1">
      <c r="A30"/>
      <c r="B30" s="5" t="s">
        <v>38</v>
      </c>
      <c r="C30" s="18" t="s">
        <v>8</v>
      </c>
      <c r="D30" s="19">
        <v>134</v>
      </c>
      <c r="E30" s="21">
        <v>45268</v>
      </c>
      <c r="F30" s="21">
        <v>45313</v>
      </c>
      <c r="G30" s="6">
        <f t="shared" si="0"/>
        <v>-1586.6666666666667</v>
      </c>
      <c r="H30" s="6">
        <f t="shared" si="1"/>
        <v>-714</v>
      </c>
    </row>
    <row r="31" spans="1:8" ht="22.15" hidden="1" customHeight="1">
      <c r="A31"/>
      <c r="B31" s="5" t="s">
        <v>39</v>
      </c>
      <c r="C31" s="18" t="s">
        <v>8</v>
      </c>
      <c r="D31" s="19">
        <v>2</v>
      </c>
      <c r="E31" s="21">
        <v>45268</v>
      </c>
      <c r="F31" s="21">
        <v>45313</v>
      </c>
      <c r="G31" s="6">
        <f t="shared" si="0"/>
        <v>-1586.6666666666667</v>
      </c>
      <c r="H31" s="6">
        <f t="shared" si="1"/>
        <v>-714</v>
      </c>
    </row>
    <row r="32" spans="1:8" ht="22.15" hidden="1" customHeight="1">
      <c r="A32"/>
      <c r="B32" s="5" t="s">
        <v>40</v>
      </c>
      <c r="C32" s="18" t="s">
        <v>15</v>
      </c>
      <c r="D32" s="19">
        <v>273.39999999999998</v>
      </c>
      <c r="E32" s="21">
        <v>45268</v>
      </c>
      <c r="F32" s="21">
        <v>45313</v>
      </c>
      <c r="G32" s="6">
        <f t="shared" si="0"/>
        <v>-1586.6666666666667</v>
      </c>
      <c r="H32" s="6">
        <f t="shared" si="1"/>
        <v>-714</v>
      </c>
    </row>
    <row r="33" spans="1:8" ht="22.15" hidden="1" customHeight="1">
      <c r="A33"/>
      <c r="B33" s="5" t="s">
        <v>41</v>
      </c>
      <c r="C33" s="18" t="s">
        <v>15</v>
      </c>
      <c r="D33" s="19">
        <v>160.19999999999999</v>
      </c>
      <c r="E33" s="21">
        <v>45274</v>
      </c>
      <c r="F33" s="21">
        <v>45314</v>
      </c>
      <c r="G33" s="6">
        <f t="shared" si="0"/>
        <v>-1782.5</v>
      </c>
      <c r="H33" s="6">
        <f t="shared" si="1"/>
        <v>-713</v>
      </c>
    </row>
    <row r="34" spans="1:8" ht="22.15" hidden="1" customHeight="1">
      <c r="A34"/>
      <c r="B34" s="5" t="s">
        <v>42</v>
      </c>
      <c r="C34" s="18" t="s">
        <v>15</v>
      </c>
      <c r="D34" s="19">
        <v>351.4</v>
      </c>
      <c r="E34" s="21">
        <v>45275</v>
      </c>
      <c r="F34" s="21">
        <v>45315</v>
      </c>
      <c r="G34" s="6">
        <f t="shared" si="0"/>
        <v>-1780</v>
      </c>
      <c r="H34" s="6">
        <f t="shared" si="1"/>
        <v>-712</v>
      </c>
    </row>
    <row r="35" spans="1:8" ht="22.15" hidden="1" customHeight="1">
      <c r="A35"/>
      <c r="B35" s="5" t="s">
        <v>43</v>
      </c>
      <c r="C35" s="18" t="s">
        <v>15</v>
      </c>
      <c r="D35" s="19">
        <v>19.004000000000001</v>
      </c>
      <c r="E35" s="21">
        <v>45275</v>
      </c>
      <c r="F35" s="21">
        <v>45315</v>
      </c>
      <c r="G35" s="6">
        <f t="shared" si="0"/>
        <v>-1780</v>
      </c>
      <c r="H35" s="6">
        <f t="shared" si="1"/>
        <v>-712</v>
      </c>
    </row>
    <row r="36" spans="1:8" ht="22.15" hidden="1" customHeight="1">
      <c r="A36"/>
      <c r="B36" s="5" t="s">
        <v>44</v>
      </c>
      <c r="C36" s="18" t="s">
        <v>15</v>
      </c>
      <c r="D36" s="19">
        <v>6.56</v>
      </c>
      <c r="E36" s="21"/>
      <c r="F36" s="21"/>
      <c r="G36" s="6" t="str">
        <f t="shared" si="0"/>
        <v/>
      </c>
      <c r="H36" s="6">
        <f t="shared" si="1"/>
        <v>-46027</v>
      </c>
    </row>
    <row r="37" spans="1:8" ht="22.15" hidden="1" customHeight="1">
      <c r="A37"/>
      <c r="B37" s="5" t="s">
        <v>45</v>
      </c>
      <c r="C37" s="18" t="s">
        <v>15</v>
      </c>
      <c r="D37" s="19">
        <v>115.69499999999999</v>
      </c>
      <c r="E37" s="21">
        <v>45276</v>
      </c>
      <c r="F37" s="21">
        <v>45316</v>
      </c>
      <c r="G37" s="6">
        <f t="shared" si="0"/>
        <v>-1777.4999999999998</v>
      </c>
      <c r="H37" s="6">
        <f t="shared" si="1"/>
        <v>-711</v>
      </c>
    </row>
    <row r="38" spans="1:8" ht="22.15" hidden="1" customHeight="1">
      <c r="A38"/>
      <c r="B38" s="5" t="s">
        <v>46</v>
      </c>
      <c r="C38" s="18" t="s">
        <v>8</v>
      </c>
      <c r="D38" s="19">
        <v>234</v>
      </c>
      <c r="E38" s="21">
        <v>45260</v>
      </c>
      <c r="F38" s="21">
        <v>45320</v>
      </c>
      <c r="G38" s="6">
        <f>IFERROR((F38-$G$1)/(F38-E38)*100,"")</f>
        <v>-1178.3333333333333</v>
      </c>
      <c r="H38" s="6">
        <f>F38-$H$1</f>
        <v>-707</v>
      </c>
    </row>
    <row r="39" spans="1:8" ht="22.15" hidden="1" customHeight="1">
      <c r="A39"/>
      <c r="B39" s="5" t="s">
        <v>47</v>
      </c>
      <c r="C39" s="18" t="s">
        <v>8</v>
      </c>
      <c r="D39" s="19">
        <v>480</v>
      </c>
      <c r="E39" s="21"/>
      <c r="F39" s="21"/>
      <c r="G39" s="6" t="str">
        <f t="shared" ref="G39:G71" si="2">IFERROR((F39-$G$1)/(F39-E39)*100,"")</f>
        <v/>
      </c>
      <c r="H39" s="6">
        <f t="shared" ref="H39:H71" si="3">F39-$H$1</f>
        <v>-46027</v>
      </c>
    </row>
    <row r="40" spans="1:8" ht="22.15" hidden="1" customHeight="1">
      <c r="A40"/>
      <c r="B40" s="5" t="s">
        <v>48</v>
      </c>
      <c r="C40" s="18" t="s">
        <v>8</v>
      </c>
      <c r="D40" s="19">
        <v>480</v>
      </c>
      <c r="E40" s="21"/>
      <c r="F40" s="21"/>
      <c r="G40" s="6" t="str">
        <f t="shared" si="2"/>
        <v/>
      </c>
      <c r="H40" s="6">
        <f t="shared" si="3"/>
        <v>-46027</v>
      </c>
    </row>
    <row r="41" spans="1:8" ht="22.15" hidden="1" customHeight="1">
      <c r="A41"/>
      <c r="B41" s="5" t="s">
        <v>49</v>
      </c>
      <c r="C41" s="18" t="s">
        <v>8</v>
      </c>
      <c r="D41" s="19">
        <v>2136</v>
      </c>
      <c r="E41" s="21"/>
      <c r="F41" s="21"/>
      <c r="G41" s="6" t="str">
        <f t="shared" si="2"/>
        <v/>
      </c>
      <c r="H41" s="6">
        <f t="shared" si="3"/>
        <v>-46027</v>
      </c>
    </row>
    <row r="42" spans="1:8" ht="22.15" hidden="1" customHeight="1">
      <c r="A42"/>
      <c r="B42" s="5" t="s">
        <v>50</v>
      </c>
      <c r="C42" s="18" t="s">
        <v>8</v>
      </c>
      <c r="D42" s="19">
        <v>192</v>
      </c>
      <c r="E42" s="21"/>
      <c r="F42" s="21"/>
      <c r="G42" s="6" t="str">
        <f t="shared" si="2"/>
        <v/>
      </c>
      <c r="H42" s="6">
        <f t="shared" si="3"/>
        <v>-46027</v>
      </c>
    </row>
    <row r="43" spans="1:8" ht="22.15" hidden="1" customHeight="1">
      <c r="A43"/>
      <c r="B43" s="5" t="s">
        <v>51</v>
      </c>
      <c r="C43" s="18" t="s">
        <v>8</v>
      </c>
      <c r="D43" s="19">
        <v>192</v>
      </c>
      <c r="E43" s="21"/>
      <c r="F43" s="21"/>
      <c r="G43" s="6" t="str">
        <f t="shared" si="2"/>
        <v/>
      </c>
      <c r="H43" s="6">
        <f t="shared" si="3"/>
        <v>-46027</v>
      </c>
    </row>
    <row r="44" spans="1:8" ht="22.15" hidden="1" customHeight="1">
      <c r="A44"/>
      <c r="B44" s="5" t="s">
        <v>52</v>
      </c>
      <c r="C44" s="18" t="s">
        <v>8</v>
      </c>
      <c r="D44" s="19">
        <v>2368</v>
      </c>
      <c r="E44" s="21"/>
      <c r="F44" s="21"/>
      <c r="G44" s="6" t="str">
        <f t="shared" si="2"/>
        <v/>
      </c>
      <c r="H44" s="6">
        <f t="shared" si="3"/>
        <v>-46027</v>
      </c>
    </row>
    <row r="45" spans="1:8" ht="22.15" hidden="1" customHeight="1">
      <c r="A45"/>
      <c r="B45" s="5" t="s">
        <v>53</v>
      </c>
      <c r="C45" s="18" t="s">
        <v>8</v>
      </c>
      <c r="D45" s="19">
        <v>836</v>
      </c>
      <c r="E45" s="21"/>
      <c r="F45" s="21"/>
      <c r="G45" s="6" t="str">
        <f t="shared" si="2"/>
        <v/>
      </c>
      <c r="H45" s="6">
        <f t="shared" si="3"/>
        <v>-46027</v>
      </c>
    </row>
    <row r="46" spans="1:8" ht="22.15" hidden="1" customHeight="1">
      <c r="A46"/>
      <c r="B46" s="5" t="s">
        <v>54</v>
      </c>
      <c r="C46" s="18" t="s">
        <v>8</v>
      </c>
      <c r="D46" s="19">
        <v>620</v>
      </c>
      <c r="E46" s="21"/>
      <c r="F46" s="21"/>
      <c r="G46" s="6" t="str">
        <f t="shared" si="2"/>
        <v/>
      </c>
      <c r="H46" s="6">
        <f t="shared" si="3"/>
        <v>-46027</v>
      </c>
    </row>
    <row r="47" spans="1:8" ht="22.15" hidden="1" customHeight="1">
      <c r="A47"/>
      <c r="B47" s="5" t="s">
        <v>55</v>
      </c>
      <c r="C47" s="18" t="s">
        <v>8</v>
      </c>
      <c r="D47" s="19">
        <v>1484</v>
      </c>
      <c r="E47" s="21"/>
      <c r="F47" s="21"/>
      <c r="G47" s="6" t="str">
        <f t="shared" si="2"/>
        <v/>
      </c>
      <c r="H47" s="6">
        <f t="shared" si="3"/>
        <v>-46027</v>
      </c>
    </row>
    <row r="48" spans="1:8" ht="22.15" hidden="1" customHeight="1">
      <c r="A48"/>
      <c r="B48" s="5" t="s">
        <v>56</v>
      </c>
      <c r="C48" s="18" t="s">
        <v>8</v>
      </c>
      <c r="D48" s="19">
        <v>644</v>
      </c>
      <c r="E48" s="21"/>
      <c r="F48" s="21"/>
      <c r="G48" s="6" t="str">
        <f t="shared" si="2"/>
        <v/>
      </c>
      <c r="H48" s="6">
        <f t="shared" si="3"/>
        <v>-46027</v>
      </c>
    </row>
    <row r="49" spans="1:8" ht="22.15" hidden="1" customHeight="1">
      <c r="A49"/>
      <c r="B49" s="5" t="s">
        <v>57</v>
      </c>
      <c r="C49" s="18" t="s">
        <v>8</v>
      </c>
      <c r="D49" s="19">
        <v>716</v>
      </c>
      <c r="E49" s="21"/>
      <c r="F49" s="21"/>
      <c r="G49" s="6" t="str">
        <f t="shared" si="2"/>
        <v/>
      </c>
      <c r="H49" s="6">
        <f t="shared" si="3"/>
        <v>-46027</v>
      </c>
    </row>
    <row r="50" spans="1:8" ht="22.15" hidden="1" customHeight="1">
      <c r="A50"/>
      <c r="B50" s="5" t="s">
        <v>58</v>
      </c>
      <c r="C50" s="18" t="s">
        <v>8</v>
      </c>
      <c r="D50" s="19">
        <v>500</v>
      </c>
      <c r="E50" s="21"/>
      <c r="F50" s="21"/>
      <c r="G50" s="6" t="str">
        <f t="shared" si="2"/>
        <v/>
      </c>
      <c r="H50" s="6">
        <f t="shared" si="3"/>
        <v>-46027</v>
      </c>
    </row>
    <row r="51" spans="1:8" ht="22.15" hidden="1" customHeight="1">
      <c r="A51"/>
      <c r="B51" s="5" t="s">
        <v>59</v>
      </c>
      <c r="C51" s="18" t="s">
        <v>8</v>
      </c>
      <c r="D51" s="19">
        <v>956</v>
      </c>
      <c r="E51" s="21"/>
      <c r="F51" s="21"/>
      <c r="G51" s="6" t="str">
        <f t="shared" si="2"/>
        <v/>
      </c>
      <c r="H51" s="6">
        <f t="shared" si="3"/>
        <v>-46027</v>
      </c>
    </row>
    <row r="52" spans="1:8" ht="22.15" hidden="1" customHeight="1">
      <c r="A52"/>
      <c r="B52" s="5" t="s">
        <v>60</v>
      </c>
      <c r="C52" s="18" t="s">
        <v>8</v>
      </c>
      <c r="D52" s="19">
        <v>2012</v>
      </c>
      <c r="E52" s="21"/>
      <c r="F52" s="21"/>
      <c r="G52" s="6" t="str">
        <f t="shared" si="2"/>
        <v/>
      </c>
      <c r="H52" s="6">
        <f t="shared" si="3"/>
        <v>-46027</v>
      </c>
    </row>
    <row r="53" spans="1:8" ht="22.15" hidden="1" customHeight="1">
      <c r="A53"/>
      <c r="B53" s="5" t="s">
        <v>61</v>
      </c>
      <c r="C53" s="18" t="s">
        <v>8</v>
      </c>
      <c r="D53" s="19">
        <v>740</v>
      </c>
      <c r="E53" s="21"/>
      <c r="F53" s="21"/>
      <c r="G53" s="6" t="str">
        <f t="shared" si="2"/>
        <v/>
      </c>
      <c r="H53" s="6">
        <f t="shared" si="3"/>
        <v>-46027</v>
      </c>
    </row>
    <row r="54" spans="1:8" ht="22.15" hidden="1" customHeight="1">
      <c r="A54"/>
      <c r="B54" s="5" t="s">
        <v>62</v>
      </c>
      <c r="C54" s="18" t="s">
        <v>8</v>
      </c>
      <c r="D54" s="19">
        <v>92</v>
      </c>
      <c r="E54" s="21"/>
      <c r="F54" s="21"/>
      <c r="G54" s="6" t="str">
        <f t="shared" si="2"/>
        <v/>
      </c>
      <c r="H54" s="6">
        <f t="shared" si="3"/>
        <v>-46027</v>
      </c>
    </row>
    <row r="55" spans="1:8" ht="22.15" hidden="1" customHeight="1">
      <c r="A55"/>
      <c r="B55" s="5" t="s">
        <v>63</v>
      </c>
      <c r="C55" s="18" t="s">
        <v>8</v>
      </c>
      <c r="D55" s="19">
        <v>636</v>
      </c>
      <c r="E55" s="21"/>
      <c r="F55" s="21"/>
      <c r="G55" s="6" t="str">
        <f t="shared" si="2"/>
        <v/>
      </c>
      <c r="H55" s="6">
        <f t="shared" si="3"/>
        <v>-46027</v>
      </c>
    </row>
    <row r="56" spans="1:8" ht="22.15" hidden="1" customHeight="1">
      <c r="A56"/>
      <c r="B56" s="5" t="s">
        <v>64</v>
      </c>
      <c r="C56" s="18" t="s">
        <v>8</v>
      </c>
      <c r="D56" s="19">
        <v>636</v>
      </c>
      <c r="E56" s="21"/>
      <c r="F56" s="21"/>
      <c r="G56" s="6" t="str">
        <f t="shared" si="2"/>
        <v/>
      </c>
      <c r="H56" s="6">
        <f t="shared" si="3"/>
        <v>-46027</v>
      </c>
    </row>
    <row r="57" spans="1:8" ht="22.15" hidden="1" customHeight="1">
      <c r="A57"/>
      <c r="B57" s="5" t="s">
        <v>65</v>
      </c>
      <c r="C57" s="18" t="s">
        <v>8</v>
      </c>
      <c r="D57" s="19">
        <v>620</v>
      </c>
      <c r="E57" s="21"/>
      <c r="F57" s="21"/>
      <c r="G57" s="6" t="str">
        <f t="shared" si="2"/>
        <v/>
      </c>
      <c r="H57" s="6">
        <f t="shared" si="3"/>
        <v>-46027</v>
      </c>
    </row>
    <row r="58" spans="1:8" ht="22.15" hidden="1" customHeight="1">
      <c r="A58"/>
      <c r="B58" s="5" t="s">
        <v>66</v>
      </c>
      <c r="C58" s="18" t="s">
        <v>8</v>
      </c>
      <c r="D58" s="19">
        <v>636</v>
      </c>
      <c r="E58" s="21"/>
      <c r="F58" s="21"/>
      <c r="G58" s="6" t="str">
        <f t="shared" si="2"/>
        <v/>
      </c>
      <c r="H58" s="6">
        <f t="shared" si="3"/>
        <v>-46027</v>
      </c>
    </row>
    <row r="59" spans="1:8" ht="22.15" hidden="1" customHeight="1">
      <c r="A59"/>
      <c r="B59" s="5" t="s">
        <v>67</v>
      </c>
      <c r="C59" s="18" t="s">
        <v>8</v>
      </c>
      <c r="D59" s="19">
        <v>3844</v>
      </c>
      <c r="E59" s="21"/>
      <c r="F59" s="21"/>
      <c r="G59" s="6" t="str">
        <f t="shared" si="2"/>
        <v/>
      </c>
      <c r="H59" s="6">
        <f t="shared" si="3"/>
        <v>-46027</v>
      </c>
    </row>
    <row r="60" spans="1:8" ht="22.15" hidden="1" customHeight="1">
      <c r="A60"/>
      <c r="B60" s="5" t="s">
        <v>68</v>
      </c>
      <c r="C60" s="18" t="s">
        <v>8</v>
      </c>
      <c r="D60" s="19">
        <v>3244</v>
      </c>
      <c r="E60" s="21"/>
      <c r="F60" s="21"/>
      <c r="G60" s="6" t="str">
        <f t="shared" si="2"/>
        <v/>
      </c>
      <c r="H60" s="6">
        <f t="shared" si="3"/>
        <v>-46027</v>
      </c>
    </row>
    <row r="61" spans="1:8" ht="22.15" hidden="1" customHeight="1">
      <c r="A61"/>
      <c r="B61" s="5" t="s">
        <v>69</v>
      </c>
      <c r="C61" s="18" t="s">
        <v>8</v>
      </c>
      <c r="D61" s="19">
        <v>3244</v>
      </c>
      <c r="E61" s="21"/>
      <c r="F61" s="21"/>
      <c r="G61" s="6" t="str">
        <f t="shared" si="2"/>
        <v/>
      </c>
      <c r="H61" s="6">
        <f t="shared" si="3"/>
        <v>-46027</v>
      </c>
    </row>
    <row r="62" spans="1:8" ht="22.15" hidden="1" customHeight="1">
      <c r="A62"/>
      <c r="B62" s="5" t="s">
        <v>70</v>
      </c>
      <c r="C62" s="18" t="s">
        <v>8</v>
      </c>
      <c r="D62" s="19">
        <v>3268</v>
      </c>
      <c r="E62" s="21"/>
      <c r="F62" s="21"/>
      <c r="G62" s="6" t="str">
        <f t="shared" si="2"/>
        <v/>
      </c>
      <c r="H62" s="6">
        <f t="shared" si="3"/>
        <v>-46027</v>
      </c>
    </row>
    <row r="63" spans="1:8" ht="22.15" hidden="1" customHeight="1">
      <c r="A63"/>
      <c r="B63" s="5" t="s">
        <v>71</v>
      </c>
      <c r="C63" s="18" t="s">
        <v>8</v>
      </c>
      <c r="D63" s="19">
        <v>1608</v>
      </c>
      <c r="E63" s="21"/>
      <c r="F63" s="21"/>
      <c r="G63" s="6" t="str">
        <f t="shared" si="2"/>
        <v/>
      </c>
      <c r="H63" s="6">
        <f t="shared" si="3"/>
        <v>-46027</v>
      </c>
    </row>
    <row r="64" spans="1:8" ht="22.15" hidden="1" customHeight="1">
      <c r="A64"/>
      <c r="B64" s="5" t="s">
        <v>72</v>
      </c>
      <c r="C64" s="18" t="s">
        <v>8</v>
      </c>
      <c r="D64" s="19">
        <v>1284</v>
      </c>
      <c r="E64" s="21"/>
      <c r="F64" s="21"/>
      <c r="G64" s="6" t="str">
        <f t="shared" si="2"/>
        <v/>
      </c>
      <c r="H64" s="6">
        <f t="shared" si="3"/>
        <v>-46027</v>
      </c>
    </row>
    <row r="65" spans="1:8" ht="22.15" hidden="1" customHeight="1">
      <c r="A65"/>
      <c r="B65" s="5" t="s">
        <v>73</v>
      </c>
      <c r="C65" s="18" t="s">
        <v>8</v>
      </c>
      <c r="D65" s="19">
        <v>1266</v>
      </c>
      <c r="E65" s="21"/>
      <c r="F65" s="21"/>
      <c r="G65" s="6" t="str">
        <f t="shared" si="2"/>
        <v/>
      </c>
      <c r="H65" s="6">
        <f t="shared" si="3"/>
        <v>-46027</v>
      </c>
    </row>
    <row r="66" spans="1:8" ht="22.15" hidden="1" customHeight="1">
      <c r="A66"/>
      <c r="B66" s="5" t="s">
        <v>74</v>
      </c>
      <c r="C66" s="18" t="s">
        <v>8</v>
      </c>
      <c r="D66" s="19">
        <v>1278</v>
      </c>
      <c r="E66" s="21"/>
      <c r="F66" s="21"/>
      <c r="G66" s="6" t="str">
        <f t="shared" si="2"/>
        <v/>
      </c>
      <c r="H66" s="6">
        <f t="shared" si="3"/>
        <v>-46027</v>
      </c>
    </row>
    <row r="67" spans="1:8" ht="22.15" hidden="1" customHeight="1">
      <c r="A67"/>
      <c r="B67" s="5" t="s">
        <v>75</v>
      </c>
      <c r="C67" s="18" t="s">
        <v>8</v>
      </c>
      <c r="D67" s="19">
        <v>300</v>
      </c>
      <c r="E67" s="21"/>
      <c r="F67" s="21"/>
      <c r="G67" s="6" t="str">
        <f t="shared" si="2"/>
        <v/>
      </c>
      <c r="H67" s="6">
        <f t="shared" si="3"/>
        <v>-46027</v>
      </c>
    </row>
    <row r="68" spans="1:8" ht="22.15" hidden="1" customHeight="1">
      <c r="A68"/>
      <c r="B68" s="5" t="s">
        <v>76</v>
      </c>
      <c r="C68" s="18" t="s">
        <v>8</v>
      </c>
      <c r="D68" s="19">
        <v>306</v>
      </c>
      <c r="E68" s="21"/>
      <c r="F68" s="21"/>
      <c r="G68" s="6" t="str">
        <f t="shared" si="2"/>
        <v/>
      </c>
      <c r="H68" s="6">
        <f t="shared" si="3"/>
        <v>-46027</v>
      </c>
    </row>
    <row r="69" spans="1:8" ht="22.15" hidden="1" customHeight="1">
      <c r="A69"/>
      <c r="B69" s="5" t="s">
        <v>77</v>
      </c>
      <c r="C69" s="18" t="s">
        <v>8</v>
      </c>
      <c r="D69" s="19">
        <v>1296</v>
      </c>
      <c r="E69" s="21"/>
      <c r="F69" s="21"/>
      <c r="G69" s="6" t="str">
        <f t="shared" si="2"/>
        <v/>
      </c>
      <c r="H69" s="6">
        <f t="shared" si="3"/>
        <v>-46027</v>
      </c>
    </row>
    <row r="70" spans="1:8" ht="22.15" hidden="1" customHeight="1">
      <c r="A70"/>
      <c r="B70" s="5" t="s">
        <v>78</v>
      </c>
      <c r="C70" s="18" t="s">
        <v>8</v>
      </c>
      <c r="D70" s="19">
        <v>414</v>
      </c>
      <c r="E70" s="21"/>
      <c r="F70" s="21"/>
      <c r="G70" s="6" t="str">
        <f t="shared" si="2"/>
        <v/>
      </c>
      <c r="H70" s="6">
        <f t="shared" si="3"/>
        <v>-46027</v>
      </c>
    </row>
    <row r="71" spans="1:8" ht="22.15" customHeight="1">
      <c r="A71"/>
      <c r="B71" s="9" t="s">
        <v>79</v>
      </c>
      <c r="C71" s="18" t="s">
        <v>15</v>
      </c>
      <c r="D71" s="22">
        <v>5</v>
      </c>
      <c r="E71" s="23">
        <v>45997</v>
      </c>
      <c r="F71" s="21">
        <v>46036</v>
      </c>
      <c r="G71" s="6">
        <f t="shared" si="2"/>
        <v>23.076923076923077</v>
      </c>
      <c r="H71" s="6">
        <f t="shared" si="3"/>
        <v>9</v>
      </c>
    </row>
    <row r="72" spans="1:8" ht="22.15" hidden="1" customHeight="1">
      <c r="A72"/>
      <c r="B72" s="8"/>
      <c r="C72" s="18"/>
      <c r="D72" s="22"/>
      <c r="E72" s="21"/>
      <c r="F72" s="21"/>
      <c r="G72" s="6" t="str">
        <f t="shared" ref="G72:G82" si="4">IFERROR((F72-$G$1)/(F72-E72)*100,"")</f>
        <v/>
      </c>
      <c r="H72" s="6">
        <f t="shared" ref="H72:H82" si="5">F72-$H$1</f>
        <v>-46027</v>
      </c>
    </row>
    <row r="73" spans="1:8" ht="22.15" hidden="1" customHeight="1">
      <c r="A73"/>
      <c r="B73" s="8"/>
      <c r="C73" s="18"/>
      <c r="D73" s="22"/>
      <c r="E73" s="21"/>
      <c r="F73" s="21"/>
      <c r="G73" s="6" t="str">
        <f t="shared" si="4"/>
        <v/>
      </c>
      <c r="H73" s="6">
        <f t="shared" si="5"/>
        <v>-46027</v>
      </c>
    </row>
    <row r="74" spans="1:8" ht="22.15" hidden="1" customHeight="1">
      <c r="A74"/>
      <c r="B74" s="8"/>
      <c r="C74" s="18"/>
      <c r="D74" s="22"/>
      <c r="E74" s="21"/>
      <c r="F74" s="21"/>
      <c r="G74" s="6" t="str">
        <f t="shared" si="4"/>
        <v/>
      </c>
      <c r="H74" s="6">
        <f t="shared" si="5"/>
        <v>-46027</v>
      </c>
    </row>
    <row r="75" spans="1:8" ht="22.15" hidden="1" customHeight="1">
      <c r="A75"/>
      <c r="B75" s="8"/>
      <c r="C75" s="18"/>
      <c r="D75" s="22"/>
      <c r="E75" s="21"/>
      <c r="F75" s="21"/>
      <c r="G75" s="6" t="str">
        <f t="shared" si="4"/>
        <v/>
      </c>
      <c r="H75" s="6">
        <f t="shared" si="5"/>
        <v>-46027</v>
      </c>
    </row>
    <row r="76" spans="1:8" ht="22.15" hidden="1" customHeight="1">
      <c r="A76"/>
      <c r="B76" s="8"/>
      <c r="C76" s="18"/>
      <c r="D76" s="22"/>
      <c r="E76" s="21"/>
      <c r="F76" s="21"/>
      <c r="G76" s="6" t="str">
        <f t="shared" si="4"/>
        <v/>
      </c>
      <c r="H76" s="6">
        <f t="shared" si="5"/>
        <v>-46027</v>
      </c>
    </row>
    <row r="77" spans="1:8" ht="22.15" customHeight="1">
      <c r="A77"/>
      <c r="B77" s="9" t="s">
        <v>80</v>
      </c>
      <c r="C77" s="18" t="s">
        <v>15</v>
      </c>
      <c r="D77" s="22">
        <v>131</v>
      </c>
      <c r="E77" s="21">
        <v>46010</v>
      </c>
      <c r="F77" s="21">
        <v>46040</v>
      </c>
      <c r="G77" s="6">
        <f t="shared" si="4"/>
        <v>43.333333333333336</v>
      </c>
      <c r="H77" s="6">
        <f t="shared" si="5"/>
        <v>13</v>
      </c>
    </row>
    <row r="78" spans="1:8" ht="22.15" customHeight="1">
      <c r="A78"/>
      <c r="B78" s="9" t="s">
        <v>85</v>
      </c>
      <c r="C78" s="18" t="s">
        <v>8</v>
      </c>
      <c r="D78" s="22">
        <v>3</v>
      </c>
      <c r="E78" s="21">
        <v>45995</v>
      </c>
      <c r="F78" s="21">
        <v>46035</v>
      </c>
      <c r="G78" s="6">
        <f t="shared" si="4"/>
        <v>20</v>
      </c>
      <c r="H78" s="6">
        <f t="shared" si="5"/>
        <v>8</v>
      </c>
    </row>
    <row r="79" spans="1:8" ht="22.15" customHeight="1">
      <c r="A79"/>
      <c r="B79" s="9" t="s">
        <v>81</v>
      </c>
      <c r="C79" s="18" t="s">
        <v>15</v>
      </c>
      <c r="D79" s="22">
        <v>5</v>
      </c>
      <c r="E79" s="21">
        <v>45990</v>
      </c>
      <c r="F79" s="21">
        <v>46035</v>
      </c>
      <c r="G79" s="6">
        <f t="shared" si="4"/>
        <v>17.777777777777779</v>
      </c>
      <c r="H79" s="6">
        <f t="shared" si="5"/>
        <v>8</v>
      </c>
    </row>
    <row r="80" spans="1:8" ht="22.15" customHeight="1">
      <c r="A80"/>
      <c r="B80" s="9" t="s">
        <v>82</v>
      </c>
      <c r="C80" s="18" t="s">
        <v>8</v>
      </c>
      <c r="D80" s="22">
        <v>204</v>
      </c>
      <c r="E80" s="21">
        <v>45990</v>
      </c>
      <c r="F80" s="21">
        <v>46035</v>
      </c>
      <c r="G80" s="6">
        <f t="shared" si="4"/>
        <v>17.777777777777779</v>
      </c>
      <c r="H80" s="6">
        <f t="shared" si="5"/>
        <v>8</v>
      </c>
    </row>
    <row r="81" spans="1:8" ht="22.15" customHeight="1">
      <c r="A81"/>
      <c r="B81" s="9" t="s">
        <v>83</v>
      </c>
      <c r="C81" s="24" t="s">
        <v>8</v>
      </c>
      <c r="D81" s="25">
        <v>25</v>
      </c>
      <c r="E81" s="21">
        <v>45998</v>
      </c>
      <c r="F81" s="21">
        <v>46038</v>
      </c>
      <c r="G81" s="6">
        <f t="shared" si="4"/>
        <v>27.500000000000004</v>
      </c>
      <c r="H81" s="6">
        <f t="shared" si="5"/>
        <v>11</v>
      </c>
    </row>
    <row r="82" spans="1:8" ht="22.15" customHeight="1">
      <c r="A82"/>
      <c r="B82" s="9" t="s">
        <v>84</v>
      </c>
      <c r="C82" s="12" t="s">
        <v>8</v>
      </c>
      <c r="D82" s="26">
        <v>12</v>
      </c>
      <c r="E82" s="27">
        <v>45988</v>
      </c>
      <c r="F82" s="12">
        <v>46033</v>
      </c>
      <c r="G82" s="6">
        <f t="shared" si="4"/>
        <v>13.333333333333334</v>
      </c>
      <c r="H82" s="6">
        <f t="shared" si="5"/>
        <v>6</v>
      </c>
    </row>
    <row r="83" spans="1:8" ht="22.15" customHeight="1">
      <c r="A83"/>
      <c r="B83" s="30"/>
      <c r="C83" s="18"/>
      <c r="D83" s="22"/>
      <c r="E83" s="21"/>
      <c r="F83" s="21"/>
      <c r="G83" s="6" t="str">
        <f>IFERROR((F83-$G$1)/(F83-E83)*100,"")</f>
        <v/>
      </c>
      <c r="H83" s="6">
        <f t="shared" ref="H83" si="6">F83-$H$1</f>
        <v>-46027</v>
      </c>
    </row>
    <row r="84" spans="1:8" ht="22.15" customHeight="1">
      <c r="A84"/>
      <c r="B84" s="11"/>
      <c r="C84" s="18"/>
      <c r="D84" s="19"/>
      <c r="E84" s="21"/>
      <c r="F84" s="21"/>
      <c r="G84" s="6" t="str">
        <f t="shared" ref="G84:G86" si="7">IFERROR((F84-$G$1)/(F84-E84)*100,"")</f>
        <v/>
      </c>
      <c r="H84" s="6">
        <f t="shared" ref="H84:H86" si="8">F84-$H$1</f>
        <v>-46027</v>
      </c>
    </row>
    <row r="85" spans="1:8" ht="22.15" customHeight="1">
      <c r="A85"/>
      <c r="B85" s="11"/>
      <c r="C85" s="18"/>
      <c r="D85" s="22"/>
      <c r="E85" s="21"/>
      <c r="F85" s="21"/>
      <c r="G85" s="6" t="str">
        <f t="shared" si="7"/>
        <v/>
      </c>
      <c r="H85" s="6">
        <f t="shared" si="8"/>
        <v>-46027</v>
      </c>
    </row>
    <row r="86" spans="1:8" ht="22.15" customHeight="1">
      <c r="A86"/>
      <c r="B86" s="9"/>
      <c r="C86" s="18"/>
      <c r="D86" s="22"/>
      <c r="E86" s="21"/>
      <c r="F86" s="21"/>
      <c r="G86" s="6" t="str">
        <f t="shared" si="7"/>
        <v/>
      </c>
      <c r="H86" s="6">
        <f t="shared" si="8"/>
        <v>-46027</v>
      </c>
    </row>
    <row r="87" spans="1:8" ht="22.15" customHeight="1">
      <c r="A87"/>
      <c r="B87" s="9"/>
      <c r="C87" s="18"/>
      <c r="D87" s="22"/>
      <c r="E87" s="21"/>
      <c r="F87" s="21"/>
      <c r="G87" s="6"/>
      <c r="H87" s="6"/>
    </row>
    <row r="88" spans="1:8" ht="22.15" customHeight="1">
      <c r="A88"/>
      <c r="B88" s="9"/>
      <c r="C88" s="18"/>
      <c r="D88" s="22"/>
      <c r="E88" s="21"/>
      <c r="F88" s="21"/>
      <c r="G88" s="6" t="str">
        <f t="shared" ref="G88" si="9">IFERROR((F88-$G$1)/(F88-E88)*100,"")</f>
        <v/>
      </c>
      <c r="H88" s="6">
        <f t="shared" ref="H88" si="10">F88-$H$1</f>
        <v>-46027</v>
      </c>
    </row>
    <row r="89" spans="1:8" ht="22.15" customHeight="1">
      <c r="A89"/>
      <c r="B89" s="11"/>
      <c r="C89" s="18"/>
      <c r="D89" s="22"/>
      <c r="E89" s="21"/>
      <c r="F89" s="21"/>
      <c r="G89" s="6" t="str">
        <f t="shared" ref="G89:G91" si="11">IFERROR((F89-$G$1)/(F89-E89)*100,"")</f>
        <v/>
      </c>
      <c r="H89" s="6">
        <f t="shared" ref="H89:H91" si="12">F89-$H$1</f>
        <v>-46027</v>
      </c>
    </row>
    <row r="90" spans="1:8" ht="22.15" customHeight="1">
      <c r="A90"/>
      <c r="B90" s="38"/>
      <c r="C90" s="18"/>
      <c r="D90" s="22"/>
      <c r="E90" s="21"/>
      <c r="F90" s="21"/>
      <c r="G90" s="6" t="str">
        <f t="shared" si="11"/>
        <v/>
      </c>
      <c r="H90" s="6">
        <f t="shared" si="12"/>
        <v>-46027</v>
      </c>
    </row>
    <row r="91" spans="1:8" ht="22.15" customHeight="1">
      <c r="A91"/>
      <c r="B91" s="40"/>
      <c r="C91" s="18"/>
      <c r="D91" s="22"/>
      <c r="E91" s="21"/>
      <c r="F91" s="21"/>
      <c r="G91" s="6" t="str">
        <f t="shared" si="11"/>
        <v/>
      </c>
      <c r="H91" s="6">
        <f t="shared" si="12"/>
        <v>-46027</v>
      </c>
    </row>
    <row r="92" spans="1:8" ht="22.15" customHeight="1">
      <c r="A92"/>
      <c r="B92" s="11"/>
      <c r="C92" s="18"/>
      <c r="D92" s="22"/>
      <c r="E92" s="21"/>
      <c r="F92" s="21"/>
      <c r="G92" s="6" t="str">
        <f t="shared" ref="G92:G95" si="13">IFERROR((F92-$G$1)/(F92-E92)*100,"")</f>
        <v/>
      </c>
      <c r="H92" s="6">
        <f t="shared" ref="H92:H95" si="14">F92-$H$1</f>
        <v>-46027</v>
      </c>
    </row>
    <row r="93" spans="1:8" ht="22.15" customHeight="1">
      <c r="A93"/>
      <c r="B93" s="38"/>
      <c r="C93" s="18"/>
      <c r="D93" s="22"/>
      <c r="E93" s="21"/>
      <c r="F93" s="21"/>
      <c r="G93" s="6" t="str">
        <f t="shared" si="13"/>
        <v/>
      </c>
      <c r="H93" s="6">
        <f t="shared" si="14"/>
        <v>-46027</v>
      </c>
    </row>
    <row r="94" spans="1:8" ht="22.15" customHeight="1">
      <c r="A94" s="36"/>
      <c r="B94" s="39"/>
      <c r="C94" s="18"/>
      <c r="D94" s="22"/>
      <c r="E94" s="21"/>
      <c r="F94" s="21"/>
      <c r="G94" s="6" t="str">
        <f t="shared" si="13"/>
        <v/>
      </c>
      <c r="H94" s="6">
        <f t="shared" si="14"/>
        <v>-46027</v>
      </c>
    </row>
    <row r="95" spans="1:8" ht="22.15" customHeight="1">
      <c r="A95" s="36"/>
      <c r="B95" s="11"/>
      <c r="C95" s="18"/>
      <c r="D95" s="22"/>
      <c r="E95" s="21"/>
      <c r="F95" s="21"/>
      <c r="G95" s="6" t="str">
        <f t="shared" si="13"/>
        <v/>
      </c>
      <c r="H95" s="6">
        <f t="shared" si="14"/>
        <v>-46027</v>
      </c>
    </row>
    <row r="96" spans="1:8" ht="22.15" customHeight="1">
      <c r="A96" s="36"/>
      <c r="B96" s="11"/>
      <c r="C96" s="28"/>
      <c r="D96" s="29"/>
      <c r="E96" s="28"/>
      <c r="F96" s="28"/>
      <c r="G96" s="28"/>
      <c r="H96" s="28"/>
    </row>
    <row r="97" spans="1:8" ht="22.15" customHeight="1">
      <c r="A97" s="36"/>
      <c r="B97" s="34"/>
      <c r="C97" s="31"/>
      <c r="D97" s="32"/>
      <c r="E97" s="31"/>
      <c r="F97" s="31"/>
      <c r="G97" s="31"/>
      <c r="H97" s="31"/>
    </row>
    <row r="98" spans="1:8" ht="22.15" customHeight="1">
      <c r="A98" s="36"/>
      <c r="B98" s="35"/>
      <c r="C98" s="31"/>
      <c r="D98" s="32"/>
      <c r="E98" s="31"/>
      <c r="F98" s="31"/>
      <c r="G98" s="31"/>
      <c r="H98" s="31"/>
    </row>
    <row r="99" spans="1:8" ht="22.15" customHeight="1">
      <c r="A99" s="37"/>
      <c r="B99"/>
      <c r="C99" s="28"/>
      <c r="D99" s="29"/>
      <c r="E99" s="28"/>
      <c r="F99" s="28"/>
      <c r="G99" s="28"/>
      <c r="H99" s="28"/>
    </row>
    <row r="100" spans="1:8" ht="22.15" customHeight="1">
      <c r="A100" s="33"/>
      <c r="B100" s="33"/>
      <c r="C100" s="31"/>
      <c r="D100" s="32"/>
      <c r="E100" s="31"/>
      <c r="F100" s="31"/>
      <c r="G100" s="31"/>
      <c r="H100" s="31"/>
    </row>
    <row r="101" spans="1:8" ht="22.15" customHeight="1">
      <c r="A101"/>
      <c r="B101"/>
      <c r="C101" s="28"/>
      <c r="D101" s="29"/>
      <c r="E101" s="28"/>
      <c r="F101" s="28"/>
      <c r="G101" s="28"/>
      <c r="H101" s="28"/>
    </row>
    <row r="102" spans="1:8" ht="22.15" customHeight="1">
      <c r="A102"/>
      <c r="B102"/>
      <c r="C102" s="28"/>
      <c r="D102" s="29"/>
      <c r="E102" s="28"/>
      <c r="F102" s="28"/>
      <c r="G102" s="28"/>
      <c r="H102" s="28"/>
    </row>
    <row r="103" spans="1:8" ht="22.15" customHeight="1">
      <c r="A103"/>
      <c r="B103"/>
      <c r="C103" s="28"/>
      <c r="D103" s="29"/>
      <c r="E103" s="28"/>
      <c r="F103" s="28"/>
      <c r="G103" s="28"/>
      <c r="H103" s="28"/>
    </row>
    <row r="104" spans="1:8" ht="22.15" customHeight="1">
      <c r="A104"/>
      <c r="B104"/>
      <c r="C104" s="28"/>
      <c r="D104" s="29"/>
      <c r="E104" s="28"/>
      <c r="F104" s="28"/>
      <c r="G104" s="28"/>
      <c r="H104" s="28"/>
    </row>
    <row r="105" spans="1:8" ht="22.15" customHeight="1">
      <c r="A105"/>
      <c r="B105"/>
      <c r="C105" s="28"/>
      <c r="D105" s="29"/>
      <c r="E105" s="28"/>
      <c r="F105" s="28"/>
      <c r="G105" s="28"/>
      <c r="H105" s="28"/>
    </row>
    <row r="106" spans="1:8" ht="22.15" customHeight="1">
      <c r="A106"/>
      <c r="B106"/>
      <c r="C106" s="28"/>
      <c r="D106" s="29"/>
      <c r="E106" s="28"/>
      <c r="F106" s="28"/>
      <c r="G106" s="28"/>
      <c r="H106" s="28"/>
    </row>
    <row r="107" spans="1:8" ht="22.15" customHeight="1">
      <c r="A107"/>
      <c r="B107"/>
      <c r="C107" s="28"/>
      <c r="D107" s="29"/>
      <c r="E107" s="28"/>
      <c r="F107" s="28"/>
      <c r="G107" s="28"/>
      <c r="H107" s="28"/>
    </row>
    <row r="108" spans="1:8" ht="22.15" customHeight="1">
      <c r="A108"/>
      <c r="B108"/>
      <c r="C108" s="28"/>
      <c r="D108" s="29"/>
      <c r="E108" s="28"/>
      <c r="F108" s="28"/>
      <c r="G108" s="28"/>
      <c r="H108" s="28"/>
    </row>
    <row r="109" spans="1:8" ht="22.15" customHeight="1">
      <c r="A109"/>
      <c r="B109"/>
      <c r="C109" s="28"/>
      <c r="D109" s="29"/>
      <c r="E109" s="28"/>
      <c r="F109" s="28"/>
      <c r="G109" s="28"/>
      <c r="H109" s="28"/>
    </row>
    <row r="110" spans="1:8" ht="22.15" customHeight="1">
      <c r="A110"/>
      <c r="B110"/>
      <c r="C110" s="28"/>
      <c r="D110" s="29"/>
      <c r="E110" s="28"/>
      <c r="F110" s="28"/>
      <c r="G110" s="28"/>
      <c r="H110" s="28"/>
    </row>
    <row r="111" spans="1:8" ht="22.15" customHeight="1">
      <c r="A111"/>
      <c r="B111"/>
      <c r="C111" s="28"/>
      <c r="D111" s="29"/>
      <c r="E111" s="28"/>
      <c r="F111" s="28"/>
    </row>
  </sheetData>
  <mergeCells count="5">
    <mergeCell ref="I3:M3"/>
    <mergeCell ref="I4:M5"/>
    <mergeCell ref="I7:M7"/>
    <mergeCell ref="I8:M8"/>
    <mergeCell ref="I9:M10"/>
  </mergeCells>
  <phoneticPr fontId="9" type="noConversion"/>
  <conditionalFormatting sqref="G3:H95">
    <cfRule type="cellIs" dxfId="8" priority="43" stopIfTrue="1" operator="equal">
      <formula>50</formula>
    </cfRule>
    <cfRule type="cellIs" dxfId="7" priority="44" stopIfTrue="1" operator="lessThan">
      <formula>50</formula>
    </cfRule>
    <cfRule type="cellIs" dxfId="6" priority="45" stopIfTrue="1" operator="greaterThan">
      <formula>50</formula>
    </cfRule>
  </conditionalFormatting>
  <conditionalFormatting sqref="H3:H95">
    <cfRule type="cellIs" dxfId="5" priority="37" stopIfTrue="1" operator="between">
      <formula>15</formula>
      <formula>20</formula>
    </cfRule>
    <cfRule type="cellIs" dxfId="4" priority="38" stopIfTrue="1" operator="lessThan">
      <formula>15</formula>
    </cfRule>
    <cfRule type="cellIs" dxfId="3" priority="39" stopIfTrue="1" operator="greaterThan">
      <formula>20</formula>
    </cfRule>
    <cfRule type="cellIs" dxfId="2" priority="40" stopIfTrue="1" operator="between">
      <formula>15</formula>
      <formula>20</formula>
    </cfRule>
    <cfRule type="cellIs" dxfId="1" priority="41" stopIfTrue="1" operator="lessThan">
      <formula>15</formula>
    </cfRule>
    <cfRule type="cellIs" dxfId="0" priority="42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2026-01-05T10:55:27Z</dcterms:modified>
</cp:coreProperties>
</file>