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933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72" i="1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71"/>
  <c r="N103" l="1"/>
  <c r="M103"/>
  <c r="N102"/>
  <c r="M102"/>
  <c r="N101"/>
  <c r="M101"/>
  <c r="N100"/>
  <c r="M100"/>
  <c r="N99"/>
  <c r="M99"/>
  <c r="N98"/>
  <c r="M98"/>
  <c r="N97"/>
  <c r="M97"/>
  <c r="N96"/>
  <c r="M96"/>
  <c r="N95"/>
  <c r="M95"/>
  <c r="N94"/>
  <c r="M94"/>
  <c r="N93"/>
  <c r="M93"/>
  <c r="N92"/>
  <c r="M92"/>
  <c r="N91"/>
  <c r="M91"/>
  <c r="N90"/>
  <c r="M90"/>
  <c r="N89"/>
  <c r="M89"/>
  <c r="N88"/>
  <c r="M88"/>
  <c r="N87"/>
  <c r="M87"/>
  <c r="N86"/>
  <c r="M86"/>
  <c r="N85"/>
  <c r="M85"/>
  <c r="N84"/>
  <c r="M84"/>
  <c r="N83"/>
  <c r="M83"/>
  <c r="N82"/>
  <c r="M82"/>
  <c r="N81"/>
  <c r="M81"/>
  <c r="N80"/>
  <c r="M80"/>
  <c r="N79"/>
  <c r="M79"/>
  <c r="N78"/>
  <c r="M78"/>
  <c r="N77"/>
  <c r="M77"/>
  <c r="N76"/>
  <c r="M76"/>
  <c r="N75"/>
  <c r="M75"/>
  <c r="N74"/>
  <c r="M74"/>
  <c r="N73"/>
  <c r="M73"/>
  <c r="N72"/>
  <c r="M72"/>
  <c r="N71"/>
  <c r="M71"/>
  <c r="N70"/>
  <c r="M70"/>
  <c r="N69"/>
  <c r="M69"/>
  <c r="N68"/>
  <c r="M68"/>
  <c r="N67"/>
  <c r="M67"/>
  <c r="N66"/>
  <c r="M66"/>
  <c r="N65"/>
  <c r="M65"/>
  <c r="N64"/>
  <c r="M64"/>
  <c r="N63"/>
  <c r="M63"/>
  <c r="N62"/>
  <c r="M62"/>
  <c r="N61"/>
  <c r="M61"/>
  <c r="N60"/>
  <c r="M60"/>
  <c r="N59"/>
  <c r="M59"/>
  <c r="N58"/>
  <c r="M58"/>
  <c r="N57"/>
  <c r="M57"/>
  <c r="N56"/>
  <c r="M56"/>
  <c r="N55"/>
  <c r="M55"/>
  <c r="N54"/>
  <c r="M54"/>
  <c r="N53"/>
  <c r="M53"/>
  <c r="N52"/>
  <c r="M52"/>
  <c r="N51"/>
  <c r="M51"/>
  <c r="N50"/>
  <c r="M50"/>
  <c r="N49"/>
  <c r="M49"/>
  <c r="N48"/>
  <c r="M48"/>
  <c r="N47"/>
  <c r="M47"/>
  <c r="N46"/>
  <c r="M46"/>
  <c r="N45"/>
  <c r="M45"/>
  <c r="N44"/>
  <c r="M44"/>
  <c r="N43"/>
  <c r="M43"/>
  <c r="N42"/>
  <c r="M42"/>
  <c r="N41"/>
  <c r="M41"/>
  <c r="N40"/>
  <c r="M40"/>
  <c r="N39"/>
  <c r="M39"/>
  <c r="N38"/>
  <c r="M38"/>
  <c r="N37"/>
  <c r="M37"/>
  <c r="N36"/>
  <c r="M36"/>
  <c r="N35"/>
  <c r="M35"/>
  <c r="N34"/>
  <c r="M34"/>
  <c r="N33"/>
  <c r="M33"/>
  <c r="N32"/>
  <c r="M32"/>
  <c r="N31"/>
  <c r="M31"/>
  <c r="N30"/>
  <c r="M30"/>
  <c r="N29"/>
  <c r="M29"/>
  <c r="N28"/>
  <c r="M28"/>
  <c r="N27"/>
  <c r="M27"/>
  <c r="N26"/>
  <c r="M26"/>
  <c r="N25"/>
  <c r="M25"/>
  <c r="N24"/>
  <c r="M24"/>
  <c r="N23"/>
  <c r="M23"/>
  <c r="N22"/>
  <c r="M22"/>
  <c r="N21"/>
  <c r="M21"/>
  <c r="N20"/>
  <c r="M20"/>
  <c r="N19"/>
  <c r="M19"/>
  <c r="N18"/>
  <c r="M18"/>
  <c r="N17"/>
  <c r="M17"/>
  <c r="N16"/>
  <c r="M16"/>
  <c r="N15"/>
  <c r="M15"/>
  <c r="N14"/>
  <c r="M14"/>
  <c r="N13"/>
  <c r="M13"/>
  <c r="N12"/>
  <c r="M12"/>
  <c r="N11"/>
  <c r="M11"/>
  <c r="N10"/>
  <c r="M10"/>
  <c r="N9"/>
  <c r="M9"/>
  <c r="N8"/>
  <c r="M8"/>
  <c r="N7"/>
  <c r="M7"/>
  <c r="N6"/>
  <c r="M6"/>
  <c r="N5"/>
  <c r="M5"/>
  <c r="N4"/>
  <c r="M4"/>
  <c r="N3"/>
  <c r="M3"/>
  <c r="G92" l="1"/>
  <c r="H92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<sst xmlns="http://schemas.openxmlformats.org/spreadsheetml/2006/main" count="292" uniqueCount="100">
  <si>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</si>
  <si>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</si>
  <si>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</si>
  <si>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</si>
  <si>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</si>
  <si>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</si>
  <si>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</si>
  <si>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</si>
  <si>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</si>
  <si>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</si>
  <si>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</si>
  <si>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</si>
  <si>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</si>
  <si>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</si>
  <si>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</si>
  <si>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</si>
  <si>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</si>
  <si>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</si>
  <si>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</si>
  <si>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</si>
  <si>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</si>
  <si>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</si>
  <si>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</si>
  <si>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</si>
  <si>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</si>
  <si>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</si>
  <si>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</si>
  <si>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</si>
  <si>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</si>
  <si>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</si>
  <si>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</si>
  <si>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</si>
  <si>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</si>
  <si>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</si>
  <si>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</si>
  <si>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</si>
  <si>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</si>
  <si>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</si>
  <si>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</si>
  <si>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</si>
  <si>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</si>
  <si>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</si>
  <si>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</si>
  <si>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</si>
  <si>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</si>
  <si>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</si>
  <si>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</si>
  <si>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</si>
  <si>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</si>
  <si>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</si>
  <si>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</si>
  <si>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</si>
  <si>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</si>
  <si>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</si>
  <si>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</si>
  <si>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</si>
  <si>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</si>
  <si>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</si>
  <si>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</si>
  <si>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</si>
  <si>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</si>
  <si>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</si>
  <si>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</si>
  <si>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</si>
  <si>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</si>
  <si>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</si>
  <si>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</si>
  <si>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</si>
  <si>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</si>
  <si>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</si>
  <si>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</si>
  <si>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</si>
  <si>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</si>
  <si>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</si>
  <si>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</si>
  <si>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</si>
  <si>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</si>
  <si>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7149 БАЛЫКОВАЯ Коровино п/к в/у 0,84кг_50с  Останкино, 1001303637149</t>
  </si>
  <si>
    <t>7131 БАЛЫКОВАЯ в/к в/у 0,84кг  Останкино, 1001303637131</t>
  </si>
  <si>
    <t>6527 ШПИКАЧКИ СОЧНЫЕ ПМ сар б/о мгс 1*3 45с ОСТАНКИНО, 1001031076527</t>
  </si>
  <si>
    <t>кгг</t>
  </si>
  <si>
    <t>6608 С ГОВЯДИНОЙ ОРИГИН. сар б/о мгс 1*3_45с  ОСТАНКИНО, 1001033856608</t>
  </si>
  <si>
    <t>7082 СЛИВОЧНЫЕ ПМ сос п/о мгс 1,5*4_50с  Останкино, 1001022467082</t>
  </si>
  <si>
    <t>7001 КЛАССИЧЕСКИЕ Папа может сар б/о мгс 1*3  Останкино, 1001035937001</t>
  </si>
  <si>
    <t>6765 РУБЛЕНЫЕ сос ц/о мгс 0,36кг 6шт  Останкино, 1001023696765</t>
  </si>
  <si>
    <t>6787 СЕРВЕЛАТ КРЕМЛЕВСКИЙ в/к в/у 0,33кг 8шт  Останкино, 1001300456787</t>
  </si>
  <si>
    <t>6791 СЕРВЕЛАТ ПРЕМИУМ в/к в/у 0,33кг 8шт  Останкино, 1001304096791</t>
  </si>
  <si>
    <t>6807 СЕРВЕЛАТ ЕВРОПЕЙСКИЙ в/к в/у 0,33кг 8шт  Останкино, 1001300366807</t>
  </si>
  <si>
    <t>С ИНДЕЙКОЙ Папа может вар п/о 0,4кг 8шт. Останкино, 1001015026797</t>
  </si>
  <si>
    <t>7333 СЕРВЕЛАТ ОХОТНИЧИЙ ПМ в/к в/у 0,28кг ОСТАНКИНО, 1001303987333</t>
  </si>
  <si>
    <t>6829  МОЛОЧНЫЕ КЛАССИЧЕСКИЕ сос п/о мгс 2*4 С  Останккино, 1001024976829</t>
  </si>
  <si>
    <t>7284 ДЛЯ ДЕТЕЙ сос п/о мгс 0,33кг 6шт  Останкино, 1001025767284</t>
  </si>
  <si>
    <t>6303 Мясные Папа может сос п/о мгс 1,5*3  Останкино, 1001022726303</t>
  </si>
  <si>
    <t>Сыр ПАПА МОЖЕТ "Тильзитер" фасованный массовая доля жира в сухом веществе 45%, 180г  Останкино, 5038398</t>
  </si>
  <si>
    <t>Сыр полутвердый "Голландский" с массовой долей жира в пересчете на сухое  Останкино, 8785235</t>
  </si>
  <si>
    <t>6834 ПОСОЛЬСКАЯ с/к с/н в/у 1/100 10шт  Останкино, 1001203146834</t>
  </si>
  <si>
    <t>ши</t>
  </si>
  <si>
    <t>7075 МОЛОЧ.ПРЕМИУМ ПМ сос п/о мгс 1,5*4_О_50с  Останкино, 1001022657075</t>
  </si>
  <si>
    <t>Продано</t>
  </si>
  <si>
    <t>Списано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</si>
</sst>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" fontId="6" fillId="0" borderId="1" xfId="1" applyNumberFormat="1" applyFont="1" applyBorder="1" applyAlignment="1">
      <alignment horizontal="center" vertical="center"/>
    </xf>
    <xf numFmtId="0" fontId="7" fillId="0" borderId="2" xfId="2" applyNumberFormat="1" applyFont="1" applyBorder="1" applyAlignment="1">
      <alignment vertical="top" wrapText="1" indent="6"/>
    </xf>
    <xf numFmtId="1" fontId="6" fillId="0" borderId="5" xfId="1" applyNumberFormat="1" applyFont="1" applyBorder="1" applyAlignment="1">
      <alignment horizontal="center" vertical="center"/>
    </xf>
    <xf numFmtId="0" fontId="7" fillId="5" borderId="2" xfId="2" applyFill="1" applyBorder="1" applyAlignment="1">
      <alignment vertical="top" wrapText="1" indent="4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6" fontId="7" fillId="0" borderId="2" xfId="2" applyNumberFormat="1" applyBorder="1" applyAlignment="1">
      <alignment horizontal="center" vertical="center"/>
    </xf>
    <xf numFmtId="167" fontId="7" fillId="0" borderId="2" xfId="2" applyNumberForma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6" fontId="7" fillId="0" borderId="4" xfId="2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6" fontId="7" fillId="8" borderId="2" xfId="2" applyNumberFormat="1" applyFill="1" applyBorder="1" applyAlignment="1">
      <alignment horizontal="center" vertical="center"/>
    </xf>
    <xf numFmtId="2" fontId="0" fillId="6" borderId="0" xfId="0" applyNumberFormat="1" applyFill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164" fontId="0" fillId="7" borderId="1" xfId="0" applyNumberFormat="1" applyFont="1" applyFill="1" applyBorder="1" applyAlignment="1">
      <alignment horizontal="center" vertical="center" wrapText="1"/>
    </xf>
    <xf numFmtId="0" fontId="7" fillId="7" borderId="2" xfId="2" applyNumberFormat="1" applyFont="1" applyFill="1" applyBorder="1" applyAlignment="1">
      <alignment vertical="top" wrapText="1" indent="6"/>
    </xf>
    <xf numFmtId="164" fontId="0" fillId="6" borderId="0" xfId="0" applyNumberFormat="1" applyFill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0" fillId="0" borderId="0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4" borderId="1" xfId="0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18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10"/>
  <sheetViews>
    <sheetView tabSelected="1" zoomScale="85" zoomScaleNormal="85" workbookViewId="0">
      <pane xSplit="2" topLeftCell="C1" activePane="topRight" state="frozen"/>
      <selection activeCell="A2" sqref="A2"/>
      <selection pane="topRight" activeCell="O71" sqref="O71"/>
    </sheetView>
  </sheetViews>
  <sheetFormatPr defaultColWidth="8.85546875" defaultRowHeight="15"/>
  <cols>
    <col min="1" max="1" width="3.85546875" style="1" customWidth="1"/>
    <col min="2" max="2" width="44.7109375" style="1" customWidth="1"/>
    <col min="3" max="3" width="4.85546875" style="11" customWidth="1"/>
    <col min="4" max="4" width="9" style="11" customWidth="1"/>
    <col min="5" max="5" width="12.7109375" style="12" customWidth="1"/>
    <col min="6" max="6" width="10.5703125" style="12" customWidth="1"/>
    <col min="7" max="7" width="13.28515625" style="11" customWidth="1"/>
    <col min="8" max="8" width="13" style="11" customWidth="1"/>
    <col min="9" max="9" width="4.85546875" style="11" customWidth="1"/>
    <col min="10" max="10" width="9" style="11" customWidth="1"/>
    <col min="11" max="11" width="12.7109375" style="12" customWidth="1"/>
    <col min="12" max="12" width="10.5703125" style="12" customWidth="1"/>
    <col min="13" max="13" width="13.28515625" style="11" customWidth="1"/>
    <col min="14" max="14" width="13" style="11" customWidth="1"/>
    <col min="15" max="15" width="23.42578125" style="52" customWidth="1"/>
    <col min="16" max="16" width="23.42578125" style="44" customWidth="1"/>
    <col min="17" max="26" width="23.42578125" style="11" customWidth="1"/>
    <col min="27" max="92" width="8.85546875" style="1"/>
    <col min="93" max="93" width="4" style="1" customWidth="1"/>
    <col min="94" max="94" width="59.7109375" style="1" customWidth="1"/>
    <col min="95" max="95" width="4.85546875" style="1" customWidth="1"/>
    <col min="96" max="96" width="9" style="1" customWidth="1"/>
    <col min="97" max="97" width="15.85546875" style="1" customWidth="1"/>
    <col min="98" max="98" width="15.7109375" style="1" customWidth="1"/>
    <col min="99" max="99" width="15.42578125" style="1" customWidth="1"/>
    <col min="100" max="100" width="17.140625" style="1" customWidth="1"/>
    <col min="101" max="101" width="37.85546875" style="1" customWidth="1"/>
    <col min="102" max="102" width="36.5703125" style="1" customWidth="1"/>
    <col min="103" max="103" width="29.42578125" style="1" customWidth="1"/>
    <col min="104" max="348" width="8.85546875" style="1"/>
    <col min="349" max="349" width="4" style="1" customWidth="1"/>
    <col min="350" max="350" width="59.7109375" style="1" customWidth="1"/>
    <col min="351" max="351" width="4.85546875" style="1" customWidth="1"/>
    <col min="352" max="352" width="9" style="1" customWidth="1"/>
    <col min="353" max="353" width="15.85546875" style="1" customWidth="1"/>
    <col min="354" max="354" width="15.7109375" style="1" customWidth="1"/>
    <col min="355" max="355" width="15.42578125" style="1" customWidth="1"/>
    <col min="356" max="356" width="17.140625" style="1" customWidth="1"/>
    <col min="357" max="357" width="37.85546875" style="1" customWidth="1"/>
    <col min="358" max="358" width="36.5703125" style="1" customWidth="1"/>
    <col min="359" max="359" width="29.42578125" style="1" customWidth="1"/>
    <col min="360" max="604" width="8.85546875" style="1"/>
    <col min="605" max="605" width="4" style="1" customWidth="1"/>
    <col min="606" max="606" width="59.7109375" style="1" customWidth="1"/>
    <col min="607" max="607" width="4.85546875" style="1" customWidth="1"/>
    <col min="608" max="608" width="9" style="1" customWidth="1"/>
    <col min="609" max="609" width="15.85546875" style="1" customWidth="1"/>
    <col min="610" max="610" width="15.7109375" style="1" customWidth="1"/>
    <col min="611" max="611" width="15.42578125" style="1" customWidth="1"/>
    <col min="612" max="612" width="17.140625" style="1" customWidth="1"/>
    <col min="613" max="613" width="37.85546875" style="1" customWidth="1"/>
    <col min="614" max="614" width="36.5703125" style="1" customWidth="1"/>
    <col min="615" max="615" width="29.42578125" style="1" customWidth="1"/>
    <col min="616" max="860" width="8.85546875" style="1"/>
    <col min="861" max="861" width="4" style="1" customWidth="1"/>
    <col min="862" max="862" width="59.7109375" style="1" customWidth="1"/>
    <col min="863" max="863" width="4.85546875" style="1" customWidth="1"/>
    <col min="864" max="864" width="9" style="1" customWidth="1"/>
    <col min="865" max="865" width="15.85546875" style="1" customWidth="1"/>
    <col min="866" max="866" width="15.7109375" style="1" customWidth="1"/>
    <col min="867" max="867" width="15.42578125" style="1" customWidth="1"/>
    <col min="868" max="868" width="17.140625" style="1" customWidth="1"/>
    <col min="869" max="869" width="37.85546875" style="1" customWidth="1"/>
    <col min="870" max="870" width="36.5703125" style="1" customWidth="1"/>
    <col min="871" max="871" width="29.42578125" style="1" customWidth="1"/>
    <col min="872" max="1116" width="8.85546875" style="1"/>
    <col min="1117" max="1117" width="4" style="1" customWidth="1"/>
    <col min="1118" max="1118" width="59.7109375" style="1" customWidth="1"/>
    <col min="1119" max="1119" width="4.85546875" style="1" customWidth="1"/>
    <col min="1120" max="1120" width="9" style="1" customWidth="1"/>
    <col min="1121" max="1121" width="15.85546875" style="1" customWidth="1"/>
    <col min="1122" max="1122" width="15.7109375" style="1" customWidth="1"/>
    <col min="1123" max="1123" width="15.42578125" style="1" customWidth="1"/>
    <col min="1124" max="1124" width="17.140625" style="1" customWidth="1"/>
    <col min="1125" max="1125" width="37.85546875" style="1" customWidth="1"/>
    <col min="1126" max="1126" width="36.5703125" style="1" customWidth="1"/>
    <col min="1127" max="1127" width="29.42578125" style="1" customWidth="1"/>
    <col min="1128" max="1372" width="8.85546875" style="1"/>
    <col min="1373" max="1373" width="4" style="1" customWidth="1"/>
    <col min="1374" max="1374" width="59.7109375" style="1" customWidth="1"/>
    <col min="1375" max="1375" width="4.85546875" style="1" customWidth="1"/>
    <col min="1376" max="1376" width="9" style="1" customWidth="1"/>
    <col min="1377" max="1377" width="15.85546875" style="1" customWidth="1"/>
    <col min="1378" max="1378" width="15.7109375" style="1" customWidth="1"/>
    <col min="1379" max="1379" width="15.42578125" style="1" customWidth="1"/>
    <col min="1380" max="1380" width="17.140625" style="1" customWidth="1"/>
    <col min="1381" max="1381" width="37.85546875" style="1" customWidth="1"/>
    <col min="1382" max="1382" width="36.5703125" style="1" customWidth="1"/>
    <col min="1383" max="1383" width="29.42578125" style="1" customWidth="1"/>
    <col min="1384" max="1628" width="8.85546875" style="1"/>
    <col min="1629" max="1629" width="4" style="1" customWidth="1"/>
    <col min="1630" max="1630" width="59.7109375" style="1" customWidth="1"/>
    <col min="1631" max="1631" width="4.85546875" style="1" customWidth="1"/>
    <col min="1632" max="1632" width="9" style="1" customWidth="1"/>
    <col min="1633" max="1633" width="15.85546875" style="1" customWidth="1"/>
    <col min="1634" max="1634" width="15.7109375" style="1" customWidth="1"/>
    <col min="1635" max="1635" width="15.42578125" style="1" customWidth="1"/>
    <col min="1636" max="1636" width="17.140625" style="1" customWidth="1"/>
    <col min="1637" max="1637" width="37.85546875" style="1" customWidth="1"/>
    <col min="1638" max="1638" width="36.5703125" style="1" customWidth="1"/>
    <col min="1639" max="1639" width="29.42578125" style="1" customWidth="1"/>
    <col min="1640" max="1884" width="8.85546875" style="1"/>
    <col min="1885" max="1885" width="4" style="1" customWidth="1"/>
    <col min="1886" max="1886" width="59.7109375" style="1" customWidth="1"/>
    <col min="1887" max="1887" width="4.85546875" style="1" customWidth="1"/>
    <col min="1888" max="1888" width="9" style="1" customWidth="1"/>
    <col min="1889" max="1889" width="15.85546875" style="1" customWidth="1"/>
    <col min="1890" max="1890" width="15.7109375" style="1" customWidth="1"/>
    <col min="1891" max="1891" width="15.42578125" style="1" customWidth="1"/>
    <col min="1892" max="1892" width="17.140625" style="1" customWidth="1"/>
    <col min="1893" max="1893" width="37.85546875" style="1" customWidth="1"/>
    <col min="1894" max="1894" width="36.5703125" style="1" customWidth="1"/>
    <col min="1895" max="1895" width="29.42578125" style="1" customWidth="1"/>
    <col min="1896" max="2140" width="8.85546875" style="1"/>
    <col min="2141" max="2141" width="4" style="1" customWidth="1"/>
    <col min="2142" max="2142" width="59.7109375" style="1" customWidth="1"/>
    <col min="2143" max="2143" width="4.85546875" style="1" customWidth="1"/>
    <col min="2144" max="2144" width="9" style="1" customWidth="1"/>
    <col min="2145" max="2145" width="15.85546875" style="1" customWidth="1"/>
    <col min="2146" max="2146" width="15.7109375" style="1" customWidth="1"/>
    <col min="2147" max="2147" width="15.42578125" style="1" customWidth="1"/>
    <col min="2148" max="2148" width="17.140625" style="1" customWidth="1"/>
    <col min="2149" max="2149" width="37.85546875" style="1" customWidth="1"/>
    <col min="2150" max="2150" width="36.5703125" style="1" customWidth="1"/>
    <col min="2151" max="2151" width="29.42578125" style="1" customWidth="1"/>
    <col min="2152" max="2396" width="8.85546875" style="1"/>
    <col min="2397" max="2397" width="4" style="1" customWidth="1"/>
    <col min="2398" max="2398" width="59.7109375" style="1" customWidth="1"/>
    <col min="2399" max="2399" width="4.85546875" style="1" customWidth="1"/>
    <col min="2400" max="2400" width="9" style="1" customWidth="1"/>
    <col min="2401" max="2401" width="15.85546875" style="1" customWidth="1"/>
    <col min="2402" max="2402" width="15.7109375" style="1" customWidth="1"/>
    <col min="2403" max="2403" width="15.42578125" style="1" customWidth="1"/>
    <col min="2404" max="2404" width="17.140625" style="1" customWidth="1"/>
    <col min="2405" max="2405" width="37.85546875" style="1" customWidth="1"/>
    <col min="2406" max="2406" width="36.5703125" style="1" customWidth="1"/>
    <col min="2407" max="2407" width="29.42578125" style="1" customWidth="1"/>
    <col min="2408" max="2652" width="8.85546875" style="1"/>
    <col min="2653" max="2653" width="4" style="1" customWidth="1"/>
    <col min="2654" max="2654" width="59.7109375" style="1" customWidth="1"/>
    <col min="2655" max="2655" width="4.85546875" style="1" customWidth="1"/>
    <col min="2656" max="2656" width="9" style="1" customWidth="1"/>
    <col min="2657" max="2657" width="15.85546875" style="1" customWidth="1"/>
    <col min="2658" max="2658" width="15.7109375" style="1" customWidth="1"/>
    <col min="2659" max="2659" width="15.42578125" style="1" customWidth="1"/>
    <col min="2660" max="2660" width="17.140625" style="1" customWidth="1"/>
    <col min="2661" max="2661" width="37.85546875" style="1" customWidth="1"/>
    <col min="2662" max="2662" width="36.5703125" style="1" customWidth="1"/>
    <col min="2663" max="2663" width="29.42578125" style="1" customWidth="1"/>
    <col min="2664" max="2908" width="8.85546875" style="1"/>
    <col min="2909" max="2909" width="4" style="1" customWidth="1"/>
    <col min="2910" max="2910" width="59.7109375" style="1" customWidth="1"/>
    <col min="2911" max="2911" width="4.85546875" style="1" customWidth="1"/>
    <col min="2912" max="2912" width="9" style="1" customWidth="1"/>
    <col min="2913" max="2913" width="15.85546875" style="1" customWidth="1"/>
    <col min="2914" max="2914" width="15.7109375" style="1" customWidth="1"/>
    <col min="2915" max="2915" width="15.42578125" style="1" customWidth="1"/>
    <col min="2916" max="2916" width="17.140625" style="1" customWidth="1"/>
    <col min="2917" max="2917" width="37.85546875" style="1" customWidth="1"/>
    <col min="2918" max="2918" width="36.5703125" style="1" customWidth="1"/>
    <col min="2919" max="2919" width="29.42578125" style="1" customWidth="1"/>
    <col min="2920" max="3164" width="8.85546875" style="1"/>
    <col min="3165" max="3165" width="4" style="1" customWidth="1"/>
    <col min="3166" max="3166" width="59.7109375" style="1" customWidth="1"/>
    <col min="3167" max="3167" width="4.85546875" style="1" customWidth="1"/>
    <col min="3168" max="3168" width="9" style="1" customWidth="1"/>
    <col min="3169" max="3169" width="15.85546875" style="1" customWidth="1"/>
    <col min="3170" max="3170" width="15.7109375" style="1" customWidth="1"/>
    <col min="3171" max="3171" width="15.42578125" style="1" customWidth="1"/>
    <col min="3172" max="3172" width="17.140625" style="1" customWidth="1"/>
    <col min="3173" max="3173" width="37.85546875" style="1" customWidth="1"/>
    <col min="3174" max="3174" width="36.5703125" style="1" customWidth="1"/>
    <col min="3175" max="3175" width="29.42578125" style="1" customWidth="1"/>
    <col min="3176" max="3420" width="8.85546875" style="1"/>
    <col min="3421" max="3421" width="4" style="1" customWidth="1"/>
    <col min="3422" max="3422" width="59.7109375" style="1" customWidth="1"/>
    <col min="3423" max="3423" width="4.85546875" style="1" customWidth="1"/>
    <col min="3424" max="3424" width="9" style="1" customWidth="1"/>
    <col min="3425" max="3425" width="15.85546875" style="1" customWidth="1"/>
    <col min="3426" max="3426" width="15.7109375" style="1" customWidth="1"/>
    <col min="3427" max="3427" width="15.42578125" style="1" customWidth="1"/>
    <col min="3428" max="3428" width="17.140625" style="1" customWidth="1"/>
    <col min="3429" max="3429" width="37.85546875" style="1" customWidth="1"/>
    <col min="3430" max="3430" width="36.5703125" style="1" customWidth="1"/>
    <col min="3431" max="3431" width="29.42578125" style="1" customWidth="1"/>
    <col min="3432" max="3676" width="8.85546875" style="1"/>
    <col min="3677" max="3677" width="4" style="1" customWidth="1"/>
    <col min="3678" max="3678" width="59.7109375" style="1" customWidth="1"/>
    <col min="3679" max="3679" width="4.85546875" style="1" customWidth="1"/>
    <col min="3680" max="3680" width="9" style="1" customWidth="1"/>
    <col min="3681" max="3681" width="15.85546875" style="1" customWidth="1"/>
    <col min="3682" max="3682" width="15.7109375" style="1" customWidth="1"/>
    <col min="3683" max="3683" width="15.42578125" style="1" customWidth="1"/>
    <col min="3684" max="3684" width="17.140625" style="1" customWidth="1"/>
    <col min="3685" max="3685" width="37.85546875" style="1" customWidth="1"/>
    <col min="3686" max="3686" width="36.5703125" style="1" customWidth="1"/>
    <col min="3687" max="3687" width="29.42578125" style="1" customWidth="1"/>
    <col min="3688" max="3932" width="8.85546875" style="1"/>
    <col min="3933" max="3933" width="4" style="1" customWidth="1"/>
    <col min="3934" max="3934" width="59.7109375" style="1" customWidth="1"/>
    <col min="3935" max="3935" width="4.85546875" style="1" customWidth="1"/>
    <col min="3936" max="3936" width="9" style="1" customWidth="1"/>
    <col min="3937" max="3937" width="15.85546875" style="1" customWidth="1"/>
    <col min="3938" max="3938" width="15.7109375" style="1" customWidth="1"/>
    <col min="3939" max="3939" width="15.42578125" style="1" customWidth="1"/>
    <col min="3940" max="3940" width="17.140625" style="1" customWidth="1"/>
    <col min="3941" max="3941" width="37.85546875" style="1" customWidth="1"/>
    <col min="3942" max="3942" width="36.5703125" style="1" customWidth="1"/>
    <col min="3943" max="3943" width="29.42578125" style="1" customWidth="1"/>
    <col min="3944" max="4188" width="8.85546875" style="1"/>
    <col min="4189" max="4189" width="4" style="1" customWidth="1"/>
    <col min="4190" max="4190" width="59.7109375" style="1" customWidth="1"/>
    <col min="4191" max="4191" width="4.85546875" style="1" customWidth="1"/>
    <col min="4192" max="4192" width="9" style="1" customWidth="1"/>
    <col min="4193" max="4193" width="15.85546875" style="1" customWidth="1"/>
    <col min="4194" max="4194" width="15.7109375" style="1" customWidth="1"/>
    <col min="4195" max="4195" width="15.42578125" style="1" customWidth="1"/>
    <col min="4196" max="4196" width="17.140625" style="1" customWidth="1"/>
    <col min="4197" max="4197" width="37.85546875" style="1" customWidth="1"/>
    <col min="4198" max="4198" width="36.5703125" style="1" customWidth="1"/>
    <col min="4199" max="4199" width="29.42578125" style="1" customWidth="1"/>
    <col min="4200" max="4444" width="8.85546875" style="1"/>
    <col min="4445" max="4445" width="4" style="1" customWidth="1"/>
    <col min="4446" max="4446" width="59.7109375" style="1" customWidth="1"/>
    <col min="4447" max="4447" width="4.85546875" style="1" customWidth="1"/>
    <col min="4448" max="4448" width="9" style="1" customWidth="1"/>
    <col min="4449" max="4449" width="15.85546875" style="1" customWidth="1"/>
    <col min="4450" max="4450" width="15.7109375" style="1" customWidth="1"/>
    <col min="4451" max="4451" width="15.42578125" style="1" customWidth="1"/>
    <col min="4452" max="4452" width="17.140625" style="1" customWidth="1"/>
    <col min="4453" max="4453" width="37.85546875" style="1" customWidth="1"/>
    <col min="4454" max="4454" width="36.5703125" style="1" customWidth="1"/>
    <col min="4455" max="4455" width="29.42578125" style="1" customWidth="1"/>
    <col min="4456" max="4700" width="8.85546875" style="1"/>
    <col min="4701" max="4701" width="4" style="1" customWidth="1"/>
    <col min="4702" max="4702" width="59.7109375" style="1" customWidth="1"/>
    <col min="4703" max="4703" width="4.85546875" style="1" customWidth="1"/>
    <col min="4704" max="4704" width="9" style="1" customWidth="1"/>
    <col min="4705" max="4705" width="15.85546875" style="1" customWidth="1"/>
    <col min="4706" max="4706" width="15.7109375" style="1" customWidth="1"/>
    <col min="4707" max="4707" width="15.42578125" style="1" customWidth="1"/>
    <col min="4708" max="4708" width="17.140625" style="1" customWidth="1"/>
    <col min="4709" max="4709" width="37.85546875" style="1" customWidth="1"/>
    <col min="4710" max="4710" width="36.5703125" style="1" customWidth="1"/>
    <col min="4711" max="4711" width="29.42578125" style="1" customWidth="1"/>
    <col min="4712" max="4956" width="8.85546875" style="1"/>
    <col min="4957" max="4957" width="4" style="1" customWidth="1"/>
    <col min="4958" max="4958" width="59.7109375" style="1" customWidth="1"/>
    <col min="4959" max="4959" width="4.85546875" style="1" customWidth="1"/>
    <col min="4960" max="4960" width="9" style="1" customWidth="1"/>
    <col min="4961" max="4961" width="15.85546875" style="1" customWidth="1"/>
    <col min="4962" max="4962" width="15.7109375" style="1" customWidth="1"/>
    <col min="4963" max="4963" width="15.42578125" style="1" customWidth="1"/>
    <col min="4964" max="4964" width="17.140625" style="1" customWidth="1"/>
    <col min="4965" max="4965" width="37.85546875" style="1" customWidth="1"/>
    <col min="4966" max="4966" width="36.5703125" style="1" customWidth="1"/>
    <col min="4967" max="4967" width="29.42578125" style="1" customWidth="1"/>
    <col min="4968" max="5212" width="8.85546875" style="1"/>
    <col min="5213" max="5213" width="4" style="1" customWidth="1"/>
    <col min="5214" max="5214" width="59.7109375" style="1" customWidth="1"/>
    <col min="5215" max="5215" width="4.85546875" style="1" customWidth="1"/>
    <col min="5216" max="5216" width="9" style="1" customWidth="1"/>
    <col min="5217" max="5217" width="15.85546875" style="1" customWidth="1"/>
    <col min="5218" max="5218" width="15.7109375" style="1" customWidth="1"/>
    <col min="5219" max="5219" width="15.42578125" style="1" customWidth="1"/>
    <col min="5220" max="5220" width="17.140625" style="1" customWidth="1"/>
    <col min="5221" max="5221" width="37.85546875" style="1" customWidth="1"/>
    <col min="5222" max="5222" width="36.5703125" style="1" customWidth="1"/>
    <col min="5223" max="5223" width="29.42578125" style="1" customWidth="1"/>
    <col min="5224" max="5468" width="8.85546875" style="1"/>
    <col min="5469" max="5469" width="4" style="1" customWidth="1"/>
    <col min="5470" max="5470" width="59.7109375" style="1" customWidth="1"/>
    <col min="5471" max="5471" width="4.85546875" style="1" customWidth="1"/>
    <col min="5472" max="5472" width="9" style="1" customWidth="1"/>
    <col min="5473" max="5473" width="15.85546875" style="1" customWidth="1"/>
    <col min="5474" max="5474" width="15.7109375" style="1" customWidth="1"/>
    <col min="5475" max="5475" width="15.42578125" style="1" customWidth="1"/>
    <col min="5476" max="5476" width="17.140625" style="1" customWidth="1"/>
    <col min="5477" max="5477" width="37.85546875" style="1" customWidth="1"/>
    <col min="5478" max="5478" width="36.5703125" style="1" customWidth="1"/>
    <col min="5479" max="5479" width="29.42578125" style="1" customWidth="1"/>
    <col min="5480" max="5724" width="8.85546875" style="1"/>
    <col min="5725" max="5725" width="4" style="1" customWidth="1"/>
    <col min="5726" max="5726" width="59.7109375" style="1" customWidth="1"/>
    <col min="5727" max="5727" width="4.85546875" style="1" customWidth="1"/>
    <col min="5728" max="5728" width="9" style="1" customWidth="1"/>
    <col min="5729" max="5729" width="15.85546875" style="1" customWidth="1"/>
    <col min="5730" max="5730" width="15.7109375" style="1" customWidth="1"/>
    <col min="5731" max="5731" width="15.42578125" style="1" customWidth="1"/>
    <col min="5732" max="5732" width="17.140625" style="1" customWidth="1"/>
    <col min="5733" max="5733" width="37.85546875" style="1" customWidth="1"/>
    <col min="5734" max="5734" width="36.5703125" style="1" customWidth="1"/>
    <col min="5735" max="5735" width="29.42578125" style="1" customWidth="1"/>
    <col min="5736" max="5980" width="8.85546875" style="1"/>
    <col min="5981" max="5981" width="4" style="1" customWidth="1"/>
    <col min="5982" max="5982" width="59.7109375" style="1" customWidth="1"/>
    <col min="5983" max="5983" width="4.85546875" style="1" customWidth="1"/>
    <col min="5984" max="5984" width="9" style="1" customWidth="1"/>
    <col min="5985" max="5985" width="15.85546875" style="1" customWidth="1"/>
    <col min="5986" max="5986" width="15.7109375" style="1" customWidth="1"/>
    <col min="5987" max="5987" width="15.42578125" style="1" customWidth="1"/>
    <col min="5988" max="5988" width="17.140625" style="1" customWidth="1"/>
    <col min="5989" max="5989" width="37.85546875" style="1" customWidth="1"/>
    <col min="5990" max="5990" width="36.5703125" style="1" customWidth="1"/>
    <col min="5991" max="5991" width="29.42578125" style="1" customWidth="1"/>
    <col min="5992" max="6236" width="8.85546875" style="1"/>
    <col min="6237" max="6237" width="4" style="1" customWidth="1"/>
    <col min="6238" max="6238" width="59.7109375" style="1" customWidth="1"/>
    <col min="6239" max="6239" width="4.85546875" style="1" customWidth="1"/>
    <col min="6240" max="6240" width="9" style="1" customWidth="1"/>
    <col min="6241" max="6241" width="15.85546875" style="1" customWidth="1"/>
    <col min="6242" max="6242" width="15.7109375" style="1" customWidth="1"/>
    <col min="6243" max="6243" width="15.42578125" style="1" customWidth="1"/>
    <col min="6244" max="6244" width="17.140625" style="1" customWidth="1"/>
    <col min="6245" max="6245" width="37.85546875" style="1" customWidth="1"/>
    <col min="6246" max="6246" width="36.5703125" style="1" customWidth="1"/>
    <col min="6247" max="6247" width="29.42578125" style="1" customWidth="1"/>
    <col min="6248" max="6492" width="8.85546875" style="1"/>
    <col min="6493" max="6493" width="4" style="1" customWidth="1"/>
    <col min="6494" max="6494" width="59.7109375" style="1" customWidth="1"/>
    <col min="6495" max="6495" width="4.85546875" style="1" customWidth="1"/>
    <col min="6496" max="6496" width="9" style="1" customWidth="1"/>
    <col min="6497" max="6497" width="15.85546875" style="1" customWidth="1"/>
    <col min="6498" max="6498" width="15.7109375" style="1" customWidth="1"/>
    <col min="6499" max="6499" width="15.42578125" style="1" customWidth="1"/>
    <col min="6500" max="6500" width="17.140625" style="1" customWidth="1"/>
    <col min="6501" max="6501" width="37.85546875" style="1" customWidth="1"/>
    <col min="6502" max="6502" width="36.5703125" style="1" customWidth="1"/>
    <col min="6503" max="6503" width="29.42578125" style="1" customWidth="1"/>
    <col min="6504" max="6748" width="8.85546875" style="1"/>
    <col min="6749" max="6749" width="4" style="1" customWidth="1"/>
    <col min="6750" max="6750" width="59.7109375" style="1" customWidth="1"/>
    <col min="6751" max="6751" width="4.85546875" style="1" customWidth="1"/>
    <col min="6752" max="6752" width="9" style="1" customWidth="1"/>
    <col min="6753" max="6753" width="15.85546875" style="1" customWidth="1"/>
    <col min="6754" max="6754" width="15.7109375" style="1" customWidth="1"/>
    <col min="6755" max="6755" width="15.42578125" style="1" customWidth="1"/>
    <col min="6756" max="6756" width="17.140625" style="1" customWidth="1"/>
    <col min="6757" max="6757" width="37.85546875" style="1" customWidth="1"/>
    <col min="6758" max="6758" width="36.5703125" style="1" customWidth="1"/>
    <col min="6759" max="6759" width="29.42578125" style="1" customWidth="1"/>
    <col min="6760" max="7004" width="8.85546875" style="1"/>
    <col min="7005" max="7005" width="4" style="1" customWidth="1"/>
    <col min="7006" max="7006" width="59.7109375" style="1" customWidth="1"/>
    <col min="7007" max="7007" width="4.85546875" style="1" customWidth="1"/>
    <col min="7008" max="7008" width="9" style="1" customWidth="1"/>
    <col min="7009" max="7009" width="15.85546875" style="1" customWidth="1"/>
    <col min="7010" max="7010" width="15.7109375" style="1" customWidth="1"/>
    <col min="7011" max="7011" width="15.42578125" style="1" customWidth="1"/>
    <col min="7012" max="7012" width="17.140625" style="1" customWidth="1"/>
    <col min="7013" max="7013" width="37.85546875" style="1" customWidth="1"/>
    <col min="7014" max="7014" width="36.5703125" style="1" customWidth="1"/>
    <col min="7015" max="7015" width="29.42578125" style="1" customWidth="1"/>
    <col min="7016" max="7260" width="8.85546875" style="1"/>
    <col min="7261" max="7261" width="4" style="1" customWidth="1"/>
    <col min="7262" max="7262" width="59.7109375" style="1" customWidth="1"/>
    <col min="7263" max="7263" width="4.85546875" style="1" customWidth="1"/>
    <col min="7264" max="7264" width="9" style="1" customWidth="1"/>
    <col min="7265" max="7265" width="15.85546875" style="1" customWidth="1"/>
    <col min="7266" max="7266" width="15.7109375" style="1" customWidth="1"/>
    <col min="7267" max="7267" width="15.42578125" style="1" customWidth="1"/>
    <col min="7268" max="7268" width="17.140625" style="1" customWidth="1"/>
    <col min="7269" max="7269" width="37.85546875" style="1" customWidth="1"/>
    <col min="7270" max="7270" width="36.5703125" style="1" customWidth="1"/>
    <col min="7271" max="7271" width="29.42578125" style="1" customWidth="1"/>
    <col min="7272" max="7516" width="8.85546875" style="1"/>
    <col min="7517" max="7517" width="4" style="1" customWidth="1"/>
    <col min="7518" max="7518" width="59.7109375" style="1" customWidth="1"/>
    <col min="7519" max="7519" width="4.85546875" style="1" customWidth="1"/>
    <col min="7520" max="7520" width="9" style="1" customWidth="1"/>
    <col min="7521" max="7521" width="15.85546875" style="1" customWidth="1"/>
    <col min="7522" max="7522" width="15.7109375" style="1" customWidth="1"/>
    <col min="7523" max="7523" width="15.42578125" style="1" customWidth="1"/>
    <col min="7524" max="7524" width="17.140625" style="1" customWidth="1"/>
    <col min="7525" max="7525" width="37.85546875" style="1" customWidth="1"/>
    <col min="7526" max="7526" width="36.5703125" style="1" customWidth="1"/>
    <col min="7527" max="7527" width="29.42578125" style="1" customWidth="1"/>
    <col min="7528" max="7772" width="8.85546875" style="1"/>
    <col min="7773" max="7773" width="4" style="1" customWidth="1"/>
    <col min="7774" max="7774" width="59.7109375" style="1" customWidth="1"/>
    <col min="7775" max="7775" width="4.85546875" style="1" customWidth="1"/>
    <col min="7776" max="7776" width="9" style="1" customWidth="1"/>
    <col min="7777" max="7777" width="15.85546875" style="1" customWidth="1"/>
    <col min="7778" max="7778" width="15.7109375" style="1" customWidth="1"/>
    <col min="7779" max="7779" width="15.42578125" style="1" customWidth="1"/>
    <col min="7780" max="7780" width="17.140625" style="1" customWidth="1"/>
    <col min="7781" max="7781" width="37.85546875" style="1" customWidth="1"/>
    <col min="7782" max="7782" width="36.5703125" style="1" customWidth="1"/>
    <col min="7783" max="7783" width="29.42578125" style="1" customWidth="1"/>
    <col min="7784" max="8028" width="8.85546875" style="1"/>
    <col min="8029" max="8029" width="4" style="1" customWidth="1"/>
    <col min="8030" max="8030" width="59.7109375" style="1" customWidth="1"/>
    <col min="8031" max="8031" width="4.85546875" style="1" customWidth="1"/>
    <col min="8032" max="8032" width="9" style="1" customWidth="1"/>
    <col min="8033" max="8033" width="15.85546875" style="1" customWidth="1"/>
    <col min="8034" max="8034" width="15.7109375" style="1" customWidth="1"/>
    <col min="8035" max="8035" width="15.42578125" style="1" customWidth="1"/>
    <col min="8036" max="8036" width="17.140625" style="1" customWidth="1"/>
    <col min="8037" max="8037" width="37.85546875" style="1" customWidth="1"/>
    <col min="8038" max="8038" width="36.5703125" style="1" customWidth="1"/>
    <col min="8039" max="8039" width="29.42578125" style="1" customWidth="1"/>
    <col min="8040" max="8284" width="8.85546875" style="1"/>
    <col min="8285" max="8285" width="4" style="1" customWidth="1"/>
    <col min="8286" max="8286" width="59.7109375" style="1" customWidth="1"/>
    <col min="8287" max="8287" width="4.85546875" style="1" customWidth="1"/>
    <col min="8288" max="8288" width="9" style="1" customWidth="1"/>
    <col min="8289" max="8289" width="15.85546875" style="1" customWidth="1"/>
    <col min="8290" max="8290" width="15.7109375" style="1" customWidth="1"/>
    <col min="8291" max="8291" width="15.42578125" style="1" customWidth="1"/>
    <col min="8292" max="8292" width="17.140625" style="1" customWidth="1"/>
    <col min="8293" max="8293" width="37.85546875" style="1" customWidth="1"/>
    <col min="8294" max="8294" width="36.5703125" style="1" customWidth="1"/>
    <col min="8295" max="8295" width="29.42578125" style="1" customWidth="1"/>
    <col min="8296" max="8540" width="8.85546875" style="1"/>
    <col min="8541" max="8541" width="4" style="1" customWidth="1"/>
    <col min="8542" max="8542" width="59.7109375" style="1" customWidth="1"/>
    <col min="8543" max="8543" width="4.85546875" style="1" customWidth="1"/>
    <col min="8544" max="8544" width="9" style="1" customWidth="1"/>
    <col min="8545" max="8545" width="15.85546875" style="1" customWidth="1"/>
    <col min="8546" max="8546" width="15.7109375" style="1" customWidth="1"/>
    <col min="8547" max="8547" width="15.42578125" style="1" customWidth="1"/>
    <col min="8548" max="8548" width="17.140625" style="1" customWidth="1"/>
    <col min="8549" max="8549" width="37.85546875" style="1" customWidth="1"/>
    <col min="8550" max="8550" width="36.5703125" style="1" customWidth="1"/>
    <col min="8551" max="8551" width="29.42578125" style="1" customWidth="1"/>
    <col min="8552" max="8796" width="8.85546875" style="1"/>
    <col min="8797" max="8797" width="4" style="1" customWidth="1"/>
    <col min="8798" max="8798" width="59.7109375" style="1" customWidth="1"/>
    <col min="8799" max="8799" width="4.85546875" style="1" customWidth="1"/>
    <col min="8800" max="8800" width="9" style="1" customWidth="1"/>
    <col min="8801" max="8801" width="15.85546875" style="1" customWidth="1"/>
    <col min="8802" max="8802" width="15.7109375" style="1" customWidth="1"/>
    <col min="8803" max="8803" width="15.42578125" style="1" customWidth="1"/>
    <col min="8804" max="8804" width="17.140625" style="1" customWidth="1"/>
    <col min="8805" max="8805" width="37.85546875" style="1" customWidth="1"/>
    <col min="8806" max="8806" width="36.5703125" style="1" customWidth="1"/>
    <col min="8807" max="8807" width="29.42578125" style="1" customWidth="1"/>
    <col min="8808" max="9052" width="8.85546875" style="1"/>
    <col min="9053" max="9053" width="4" style="1" customWidth="1"/>
    <col min="9054" max="9054" width="59.7109375" style="1" customWidth="1"/>
    <col min="9055" max="9055" width="4.85546875" style="1" customWidth="1"/>
    <col min="9056" max="9056" width="9" style="1" customWidth="1"/>
    <col min="9057" max="9057" width="15.85546875" style="1" customWidth="1"/>
    <col min="9058" max="9058" width="15.7109375" style="1" customWidth="1"/>
    <col min="9059" max="9059" width="15.42578125" style="1" customWidth="1"/>
    <col min="9060" max="9060" width="17.140625" style="1" customWidth="1"/>
    <col min="9061" max="9061" width="37.85546875" style="1" customWidth="1"/>
    <col min="9062" max="9062" width="36.5703125" style="1" customWidth="1"/>
    <col min="9063" max="9063" width="29.42578125" style="1" customWidth="1"/>
    <col min="9064" max="9308" width="8.85546875" style="1"/>
    <col min="9309" max="9309" width="4" style="1" customWidth="1"/>
    <col min="9310" max="9310" width="59.7109375" style="1" customWidth="1"/>
    <col min="9311" max="9311" width="4.85546875" style="1" customWidth="1"/>
    <col min="9312" max="9312" width="9" style="1" customWidth="1"/>
    <col min="9313" max="9313" width="15.85546875" style="1" customWidth="1"/>
    <col min="9314" max="9314" width="15.7109375" style="1" customWidth="1"/>
    <col min="9315" max="9315" width="15.42578125" style="1" customWidth="1"/>
    <col min="9316" max="9316" width="17.140625" style="1" customWidth="1"/>
    <col min="9317" max="9317" width="37.85546875" style="1" customWidth="1"/>
    <col min="9318" max="9318" width="36.5703125" style="1" customWidth="1"/>
    <col min="9319" max="9319" width="29.42578125" style="1" customWidth="1"/>
    <col min="9320" max="9564" width="8.85546875" style="1"/>
    <col min="9565" max="9565" width="4" style="1" customWidth="1"/>
    <col min="9566" max="9566" width="59.7109375" style="1" customWidth="1"/>
    <col min="9567" max="9567" width="4.85546875" style="1" customWidth="1"/>
    <col min="9568" max="9568" width="9" style="1" customWidth="1"/>
    <col min="9569" max="9569" width="15.85546875" style="1" customWidth="1"/>
    <col min="9570" max="9570" width="15.7109375" style="1" customWidth="1"/>
    <col min="9571" max="9571" width="15.42578125" style="1" customWidth="1"/>
    <col min="9572" max="9572" width="17.140625" style="1" customWidth="1"/>
    <col min="9573" max="9573" width="37.85546875" style="1" customWidth="1"/>
    <col min="9574" max="9574" width="36.5703125" style="1" customWidth="1"/>
    <col min="9575" max="9575" width="29.42578125" style="1" customWidth="1"/>
    <col min="9576" max="9820" width="8.85546875" style="1"/>
    <col min="9821" max="9821" width="4" style="1" customWidth="1"/>
    <col min="9822" max="9822" width="59.7109375" style="1" customWidth="1"/>
    <col min="9823" max="9823" width="4.85546875" style="1" customWidth="1"/>
    <col min="9824" max="9824" width="9" style="1" customWidth="1"/>
    <col min="9825" max="9825" width="15.85546875" style="1" customWidth="1"/>
    <col min="9826" max="9826" width="15.7109375" style="1" customWidth="1"/>
    <col min="9827" max="9827" width="15.42578125" style="1" customWidth="1"/>
    <col min="9828" max="9828" width="17.140625" style="1" customWidth="1"/>
    <col min="9829" max="9829" width="37.85546875" style="1" customWidth="1"/>
    <col min="9830" max="9830" width="36.5703125" style="1" customWidth="1"/>
    <col min="9831" max="9831" width="29.42578125" style="1" customWidth="1"/>
    <col min="9832" max="10076" width="8.85546875" style="1"/>
    <col min="10077" max="10077" width="4" style="1" customWidth="1"/>
    <col min="10078" max="10078" width="59.7109375" style="1" customWidth="1"/>
    <col min="10079" max="10079" width="4.85546875" style="1" customWidth="1"/>
    <col min="10080" max="10080" width="9" style="1" customWidth="1"/>
    <col min="10081" max="10081" width="15.85546875" style="1" customWidth="1"/>
    <col min="10082" max="10082" width="15.7109375" style="1" customWidth="1"/>
    <col min="10083" max="10083" width="15.42578125" style="1" customWidth="1"/>
    <col min="10084" max="10084" width="17.140625" style="1" customWidth="1"/>
    <col min="10085" max="10085" width="37.85546875" style="1" customWidth="1"/>
    <col min="10086" max="10086" width="36.5703125" style="1" customWidth="1"/>
    <col min="10087" max="10087" width="29.42578125" style="1" customWidth="1"/>
    <col min="10088" max="10332" width="8.85546875" style="1"/>
    <col min="10333" max="10333" width="4" style="1" customWidth="1"/>
    <col min="10334" max="10334" width="59.7109375" style="1" customWidth="1"/>
    <col min="10335" max="10335" width="4.85546875" style="1" customWidth="1"/>
    <col min="10336" max="10336" width="9" style="1" customWidth="1"/>
    <col min="10337" max="10337" width="15.85546875" style="1" customWidth="1"/>
    <col min="10338" max="10338" width="15.7109375" style="1" customWidth="1"/>
    <col min="10339" max="10339" width="15.42578125" style="1" customWidth="1"/>
    <col min="10340" max="10340" width="17.140625" style="1" customWidth="1"/>
    <col min="10341" max="10341" width="37.85546875" style="1" customWidth="1"/>
    <col min="10342" max="10342" width="36.5703125" style="1" customWidth="1"/>
    <col min="10343" max="10343" width="29.42578125" style="1" customWidth="1"/>
    <col min="10344" max="10588" width="8.85546875" style="1"/>
    <col min="10589" max="10589" width="4" style="1" customWidth="1"/>
    <col min="10590" max="10590" width="59.7109375" style="1" customWidth="1"/>
    <col min="10591" max="10591" width="4.85546875" style="1" customWidth="1"/>
    <col min="10592" max="10592" width="9" style="1" customWidth="1"/>
    <col min="10593" max="10593" width="15.85546875" style="1" customWidth="1"/>
    <col min="10594" max="10594" width="15.7109375" style="1" customWidth="1"/>
    <col min="10595" max="10595" width="15.42578125" style="1" customWidth="1"/>
    <col min="10596" max="10596" width="17.140625" style="1" customWidth="1"/>
    <col min="10597" max="10597" width="37.85546875" style="1" customWidth="1"/>
    <col min="10598" max="10598" width="36.5703125" style="1" customWidth="1"/>
    <col min="10599" max="10599" width="29.42578125" style="1" customWidth="1"/>
    <col min="10600" max="10844" width="8.85546875" style="1"/>
    <col min="10845" max="10845" width="4" style="1" customWidth="1"/>
    <col min="10846" max="10846" width="59.7109375" style="1" customWidth="1"/>
    <col min="10847" max="10847" width="4.85546875" style="1" customWidth="1"/>
    <col min="10848" max="10848" width="9" style="1" customWidth="1"/>
    <col min="10849" max="10849" width="15.85546875" style="1" customWidth="1"/>
    <col min="10850" max="10850" width="15.7109375" style="1" customWidth="1"/>
    <col min="10851" max="10851" width="15.42578125" style="1" customWidth="1"/>
    <col min="10852" max="10852" width="17.140625" style="1" customWidth="1"/>
    <col min="10853" max="10853" width="37.85546875" style="1" customWidth="1"/>
    <col min="10854" max="10854" width="36.5703125" style="1" customWidth="1"/>
    <col min="10855" max="10855" width="29.42578125" style="1" customWidth="1"/>
    <col min="10856" max="11100" width="8.85546875" style="1"/>
    <col min="11101" max="11101" width="4" style="1" customWidth="1"/>
    <col min="11102" max="11102" width="59.7109375" style="1" customWidth="1"/>
    <col min="11103" max="11103" width="4.85546875" style="1" customWidth="1"/>
    <col min="11104" max="11104" width="9" style="1" customWidth="1"/>
    <col min="11105" max="11105" width="15.85546875" style="1" customWidth="1"/>
    <col min="11106" max="11106" width="15.7109375" style="1" customWidth="1"/>
    <col min="11107" max="11107" width="15.42578125" style="1" customWidth="1"/>
    <col min="11108" max="11108" width="17.140625" style="1" customWidth="1"/>
    <col min="11109" max="11109" width="37.85546875" style="1" customWidth="1"/>
    <col min="11110" max="11110" width="36.5703125" style="1" customWidth="1"/>
    <col min="11111" max="11111" width="29.42578125" style="1" customWidth="1"/>
    <col min="11112" max="11356" width="8.85546875" style="1"/>
    <col min="11357" max="11357" width="4" style="1" customWidth="1"/>
    <col min="11358" max="11358" width="59.7109375" style="1" customWidth="1"/>
    <col min="11359" max="11359" width="4.85546875" style="1" customWidth="1"/>
    <col min="11360" max="11360" width="9" style="1" customWidth="1"/>
    <col min="11361" max="11361" width="15.85546875" style="1" customWidth="1"/>
    <col min="11362" max="11362" width="15.7109375" style="1" customWidth="1"/>
    <col min="11363" max="11363" width="15.42578125" style="1" customWidth="1"/>
    <col min="11364" max="11364" width="17.140625" style="1" customWidth="1"/>
    <col min="11365" max="11365" width="37.85546875" style="1" customWidth="1"/>
    <col min="11366" max="11366" width="36.5703125" style="1" customWidth="1"/>
    <col min="11367" max="11367" width="29.42578125" style="1" customWidth="1"/>
    <col min="11368" max="11612" width="8.85546875" style="1"/>
    <col min="11613" max="11613" width="4" style="1" customWidth="1"/>
    <col min="11614" max="11614" width="59.7109375" style="1" customWidth="1"/>
    <col min="11615" max="11615" width="4.85546875" style="1" customWidth="1"/>
    <col min="11616" max="11616" width="9" style="1" customWidth="1"/>
    <col min="11617" max="11617" width="15.85546875" style="1" customWidth="1"/>
    <col min="11618" max="11618" width="15.7109375" style="1" customWidth="1"/>
    <col min="11619" max="11619" width="15.42578125" style="1" customWidth="1"/>
    <col min="11620" max="11620" width="17.140625" style="1" customWidth="1"/>
    <col min="11621" max="11621" width="37.85546875" style="1" customWidth="1"/>
    <col min="11622" max="11622" width="36.5703125" style="1" customWidth="1"/>
    <col min="11623" max="11623" width="29.42578125" style="1" customWidth="1"/>
    <col min="11624" max="11868" width="8.85546875" style="1"/>
    <col min="11869" max="11869" width="4" style="1" customWidth="1"/>
    <col min="11870" max="11870" width="59.7109375" style="1" customWidth="1"/>
    <col min="11871" max="11871" width="4.85546875" style="1" customWidth="1"/>
    <col min="11872" max="11872" width="9" style="1" customWidth="1"/>
    <col min="11873" max="11873" width="15.85546875" style="1" customWidth="1"/>
    <col min="11874" max="11874" width="15.7109375" style="1" customWidth="1"/>
    <col min="11875" max="11875" width="15.42578125" style="1" customWidth="1"/>
    <col min="11876" max="11876" width="17.140625" style="1" customWidth="1"/>
    <col min="11877" max="11877" width="37.85546875" style="1" customWidth="1"/>
    <col min="11878" max="11878" width="36.5703125" style="1" customWidth="1"/>
    <col min="11879" max="11879" width="29.42578125" style="1" customWidth="1"/>
    <col min="11880" max="12124" width="8.85546875" style="1"/>
    <col min="12125" max="12125" width="4" style="1" customWidth="1"/>
    <col min="12126" max="12126" width="59.7109375" style="1" customWidth="1"/>
    <col min="12127" max="12127" width="4.85546875" style="1" customWidth="1"/>
    <col min="12128" max="12128" width="9" style="1" customWidth="1"/>
    <col min="12129" max="12129" width="15.85546875" style="1" customWidth="1"/>
    <col min="12130" max="12130" width="15.7109375" style="1" customWidth="1"/>
    <col min="12131" max="12131" width="15.42578125" style="1" customWidth="1"/>
    <col min="12132" max="12132" width="17.140625" style="1" customWidth="1"/>
    <col min="12133" max="12133" width="37.85546875" style="1" customWidth="1"/>
    <col min="12134" max="12134" width="36.5703125" style="1" customWidth="1"/>
    <col min="12135" max="12135" width="29.42578125" style="1" customWidth="1"/>
    <col min="12136" max="12380" width="8.85546875" style="1"/>
    <col min="12381" max="12381" width="4" style="1" customWidth="1"/>
    <col min="12382" max="12382" width="59.7109375" style="1" customWidth="1"/>
    <col min="12383" max="12383" width="4.85546875" style="1" customWidth="1"/>
    <col min="12384" max="12384" width="9" style="1" customWidth="1"/>
    <col min="12385" max="12385" width="15.85546875" style="1" customWidth="1"/>
    <col min="12386" max="12386" width="15.7109375" style="1" customWidth="1"/>
    <col min="12387" max="12387" width="15.42578125" style="1" customWidth="1"/>
    <col min="12388" max="12388" width="17.140625" style="1" customWidth="1"/>
    <col min="12389" max="12389" width="37.85546875" style="1" customWidth="1"/>
    <col min="12390" max="12390" width="36.5703125" style="1" customWidth="1"/>
    <col min="12391" max="12391" width="29.42578125" style="1" customWidth="1"/>
    <col min="12392" max="12636" width="8.85546875" style="1"/>
    <col min="12637" max="12637" width="4" style="1" customWidth="1"/>
    <col min="12638" max="12638" width="59.7109375" style="1" customWidth="1"/>
    <col min="12639" max="12639" width="4.85546875" style="1" customWidth="1"/>
    <col min="12640" max="12640" width="9" style="1" customWidth="1"/>
    <col min="12641" max="12641" width="15.85546875" style="1" customWidth="1"/>
    <col min="12642" max="12642" width="15.7109375" style="1" customWidth="1"/>
    <col min="12643" max="12643" width="15.42578125" style="1" customWidth="1"/>
    <col min="12644" max="12644" width="17.140625" style="1" customWidth="1"/>
    <col min="12645" max="12645" width="37.85546875" style="1" customWidth="1"/>
    <col min="12646" max="12646" width="36.5703125" style="1" customWidth="1"/>
    <col min="12647" max="12647" width="29.42578125" style="1" customWidth="1"/>
    <col min="12648" max="12892" width="8.85546875" style="1"/>
    <col min="12893" max="12893" width="4" style="1" customWidth="1"/>
    <col min="12894" max="12894" width="59.7109375" style="1" customWidth="1"/>
    <col min="12895" max="12895" width="4.85546875" style="1" customWidth="1"/>
    <col min="12896" max="12896" width="9" style="1" customWidth="1"/>
    <col min="12897" max="12897" width="15.85546875" style="1" customWidth="1"/>
    <col min="12898" max="12898" width="15.7109375" style="1" customWidth="1"/>
    <col min="12899" max="12899" width="15.42578125" style="1" customWidth="1"/>
    <col min="12900" max="12900" width="17.140625" style="1" customWidth="1"/>
    <col min="12901" max="12901" width="37.85546875" style="1" customWidth="1"/>
    <col min="12902" max="12902" width="36.5703125" style="1" customWidth="1"/>
    <col min="12903" max="12903" width="29.42578125" style="1" customWidth="1"/>
    <col min="12904" max="13148" width="8.85546875" style="1"/>
    <col min="13149" max="13149" width="4" style="1" customWidth="1"/>
    <col min="13150" max="13150" width="59.7109375" style="1" customWidth="1"/>
    <col min="13151" max="13151" width="4.85546875" style="1" customWidth="1"/>
    <col min="13152" max="13152" width="9" style="1" customWidth="1"/>
    <col min="13153" max="13153" width="15.85546875" style="1" customWidth="1"/>
    <col min="13154" max="13154" width="15.7109375" style="1" customWidth="1"/>
    <col min="13155" max="13155" width="15.42578125" style="1" customWidth="1"/>
    <col min="13156" max="13156" width="17.140625" style="1" customWidth="1"/>
    <col min="13157" max="13157" width="37.85546875" style="1" customWidth="1"/>
    <col min="13158" max="13158" width="36.5703125" style="1" customWidth="1"/>
    <col min="13159" max="13159" width="29.42578125" style="1" customWidth="1"/>
    <col min="13160" max="13404" width="8.85546875" style="1"/>
    <col min="13405" max="13405" width="4" style="1" customWidth="1"/>
    <col min="13406" max="13406" width="59.7109375" style="1" customWidth="1"/>
    <col min="13407" max="13407" width="4.85546875" style="1" customWidth="1"/>
    <col min="13408" max="13408" width="9" style="1" customWidth="1"/>
    <col min="13409" max="13409" width="15.85546875" style="1" customWidth="1"/>
    <col min="13410" max="13410" width="15.7109375" style="1" customWidth="1"/>
    <col min="13411" max="13411" width="15.42578125" style="1" customWidth="1"/>
    <col min="13412" max="13412" width="17.140625" style="1" customWidth="1"/>
    <col min="13413" max="13413" width="37.85546875" style="1" customWidth="1"/>
    <col min="13414" max="13414" width="36.5703125" style="1" customWidth="1"/>
    <col min="13415" max="13415" width="29.42578125" style="1" customWidth="1"/>
    <col min="13416" max="13660" width="8.85546875" style="1"/>
    <col min="13661" max="13661" width="4" style="1" customWidth="1"/>
    <col min="13662" max="13662" width="59.7109375" style="1" customWidth="1"/>
    <col min="13663" max="13663" width="4.85546875" style="1" customWidth="1"/>
    <col min="13664" max="13664" width="9" style="1" customWidth="1"/>
    <col min="13665" max="13665" width="15.85546875" style="1" customWidth="1"/>
    <col min="13666" max="13666" width="15.7109375" style="1" customWidth="1"/>
    <col min="13667" max="13667" width="15.42578125" style="1" customWidth="1"/>
    <col min="13668" max="13668" width="17.140625" style="1" customWidth="1"/>
    <col min="13669" max="13669" width="37.85546875" style="1" customWidth="1"/>
    <col min="13670" max="13670" width="36.5703125" style="1" customWidth="1"/>
    <col min="13671" max="13671" width="29.42578125" style="1" customWidth="1"/>
    <col min="13672" max="13916" width="8.85546875" style="1"/>
    <col min="13917" max="13917" width="4" style="1" customWidth="1"/>
    <col min="13918" max="13918" width="59.7109375" style="1" customWidth="1"/>
    <col min="13919" max="13919" width="4.85546875" style="1" customWidth="1"/>
    <col min="13920" max="13920" width="9" style="1" customWidth="1"/>
    <col min="13921" max="13921" width="15.85546875" style="1" customWidth="1"/>
    <col min="13922" max="13922" width="15.7109375" style="1" customWidth="1"/>
    <col min="13923" max="13923" width="15.42578125" style="1" customWidth="1"/>
    <col min="13924" max="13924" width="17.140625" style="1" customWidth="1"/>
    <col min="13925" max="13925" width="37.85546875" style="1" customWidth="1"/>
    <col min="13926" max="13926" width="36.5703125" style="1" customWidth="1"/>
    <col min="13927" max="13927" width="29.42578125" style="1" customWidth="1"/>
    <col min="13928" max="14172" width="8.85546875" style="1"/>
    <col min="14173" max="14173" width="4" style="1" customWidth="1"/>
    <col min="14174" max="14174" width="59.7109375" style="1" customWidth="1"/>
    <col min="14175" max="14175" width="4.85546875" style="1" customWidth="1"/>
    <col min="14176" max="14176" width="9" style="1" customWidth="1"/>
    <col min="14177" max="14177" width="15.85546875" style="1" customWidth="1"/>
    <col min="14178" max="14178" width="15.7109375" style="1" customWidth="1"/>
    <col min="14179" max="14179" width="15.42578125" style="1" customWidth="1"/>
    <col min="14180" max="14180" width="17.140625" style="1" customWidth="1"/>
    <col min="14181" max="14181" width="37.85546875" style="1" customWidth="1"/>
    <col min="14182" max="14182" width="36.5703125" style="1" customWidth="1"/>
    <col min="14183" max="14183" width="29.42578125" style="1" customWidth="1"/>
    <col min="14184" max="14428" width="8.85546875" style="1"/>
    <col min="14429" max="14429" width="4" style="1" customWidth="1"/>
    <col min="14430" max="14430" width="59.7109375" style="1" customWidth="1"/>
    <col min="14431" max="14431" width="4.85546875" style="1" customWidth="1"/>
    <col min="14432" max="14432" width="9" style="1" customWidth="1"/>
    <col min="14433" max="14433" width="15.85546875" style="1" customWidth="1"/>
    <col min="14434" max="14434" width="15.7109375" style="1" customWidth="1"/>
    <col min="14435" max="14435" width="15.42578125" style="1" customWidth="1"/>
    <col min="14436" max="14436" width="17.140625" style="1" customWidth="1"/>
    <col min="14437" max="14437" width="37.85546875" style="1" customWidth="1"/>
    <col min="14438" max="14438" width="36.5703125" style="1" customWidth="1"/>
    <col min="14439" max="14439" width="29.42578125" style="1" customWidth="1"/>
    <col min="14440" max="14684" width="8.85546875" style="1"/>
    <col min="14685" max="14685" width="4" style="1" customWidth="1"/>
    <col min="14686" max="14686" width="59.7109375" style="1" customWidth="1"/>
    <col min="14687" max="14687" width="4.85546875" style="1" customWidth="1"/>
    <col min="14688" max="14688" width="9" style="1" customWidth="1"/>
    <col min="14689" max="14689" width="15.85546875" style="1" customWidth="1"/>
    <col min="14690" max="14690" width="15.7109375" style="1" customWidth="1"/>
    <col min="14691" max="14691" width="15.42578125" style="1" customWidth="1"/>
    <col min="14692" max="14692" width="17.140625" style="1" customWidth="1"/>
    <col min="14693" max="14693" width="37.85546875" style="1" customWidth="1"/>
    <col min="14694" max="14694" width="36.5703125" style="1" customWidth="1"/>
    <col min="14695" max="14695" width="29.42578125" style="1" customWidth="1"/>
    <col min="14696" max="14940" width="8.85546875" style="1"/>
    <col min="14941" max="14941" width="4" style="1" customWidth="1"/>
    <col min="14942" max="14942" width="59.7109375" style="1" customWidth="1"/>
    <col min="14943" max="14943" width="4.85546875" style="1" customWidth="1"/>
    <col min="14944" max="14944" width="9" style="1" customWidth="1"/>
    <col min="14945" max="14945" width="15.85546875" style="1" customWidth="1"/>
    <col min="14946" max="14946" width="15.7109375" style="1" customWidth="1"/>
    <col min="14947" max="14947" width="15.42578125" style="1" customWidth="1"/>
    <col min="14948" max="14948" width="17.140625" style="1" customWidth="1"/>
    <col min="14949" max="14949" width="37.85546875" style="1" customWidth="1"/>
    <col min="14950" max="14950" width="36.5703125" style="1" customWidth="1"/>
    <col min="14951" max="14951" width="29.42578125" style="1" customWidth="1"/>
    <col min="14952" max="15196" width="8.85546875" style="1"/>
    <col min="15197" max="15197" width="4" style="1" customWidth="1"/>
    <col min="15198" max="15198" width="59.7109375" style="1" customWidth="1"/>
    <col min="15199" max="15199" width="4.85546875" style="1" customWidth="1"/>
    <col min="15200" max="15200" width="9" style="1" customWidth="1"/>
    <col min="15201" max="15201" width="15.85546875" style="1" customWidth="1"/>
    <col min="15202" max="15202" width="15.7109375" style="1" customWidth="1"/>
    <col min="15203" max="15203" width="15.42578125" style="1" customWidth="1"/>
    <col min="15204" max="15204" width="17.140625" style="1" customWidth="1"/>
    <col min="15205" max="15205" width="37.85546875" style="1" customWidth="1"/>
    <col min="15206" max="15206" width="36.5703125" style="1" customWidth="1"/>
    <col min="15207" max="15207" width="29.42578125" style="1" customWidth="1"/>
    <col min="15208" max="15452" width="8.85546875" style="1"/>
    <col min="15453" max="15453" width="4" style="1" customWidth="1"/>
    <col min="15454" max="15454" width="59.7109375" style="1" customWidth="1"/>
    <col min="15455" max="15455" width="4.85546875" style="1" customWidth="1"/>
    <col min="15456" max="15456" width="9" style="1" customWidth="1"/>
    <col min="15457" max="15457" width="15.85546875" style="1" customWidth="1"/>
    <col min="15458" max="15458" width="15.7109375" style="1" customWidth="1"/>
    <col min="15459" max="15459" width="15.42578125" style="1" customWidth="1"/>
    <col min="15460" max="15460" width="17.140625" style="1" customWidth="1"/>
    <col min="15461" max="15461" width="37.85546875" style="1" customWidth="1"/>
    <col min="15462" max="15462" width="36.5703125" style="1" customWidth="1"/>
    <col min="15463" max="15463" width="29.42578125" style="1" customWidth="1"/>
    <col min="15464" max="15708" width="8.85546875" style="1"/>
    <col min="15709" max="15709" width="4" style="1" customWidth="1"/>
    <col min="15710" max="15710" width="59.7109375" style="1" customWidth="1"/>
    <col min="15711" max="15711" width="4.85546875" style="1" customWidth="1"/>
    <col min="15712" max="15712" width="9" style="1" customWidth="1"/>
    <col min="15713" max="15713" width="15.85546875" style="1" customWidth="1"/>
    <col min="15714" max="15714" width="15.7109375" style="1" customWidth="1"/>
    <col min="15715" max="15715" width="15.42578125" style="1" customWidth="1"/>
    <col min="15716" max="15716" width="17.140625" style="1" customWidth="1"/>
    <col min="15717" max="15717" width="37.85546875" style="1" customWidth="1"/>
    <col min="15718" max="15718" width="36.5703125" style="1" customWidth="1"/>
    <col min="15719" max="15719" width="29.42578125" style="1" customWidth="1"/>
    <col min="15720" max="15964" width="8.85546875" style="1"/>
    <col min="15965" max="15965" width="4" style="1" customWidth="1"/>
    <col min="15966" max="15966" width="59.7109375" style="1" customWidth="1"/>
    <col min="15967" max="15967" width="4.85546875" style="1" customWidth="1"/>
    <col min="15968" max="15968" width="9" style="1" customWidth="1"/>
    <col min="15969" max="15969" width="15.85546875" style="1" customWidth="1"/>
    <col min="15970" max="15970" width="15.7109375" style="1" customWidth="1"/>
    <col min="15971" max="15971" width="15.42578125" style="1" customWidth="1"/>
    <col min="15972" max="15972" width="17.140625" style="1" customWidth="1"/>
    <col min="15973" max="15973" width="37.85546875" style="1" customWidth="1"/>
    <col min="15974" max="15974" width="36.5703125" style="1" customWidth="1"/>
    <col min="15975" max="15975" width="29.42578125" style="1" customWidth="1"/>
    <col min="15976" max="16384" width="8.85546875" style="1"/>
  </cols>
  <sheetData>
    <row r="1" spans="1:26" ht="22.15" customHeight="1">
      <c r="G1" s="13">
        <v>46027</v>
      </c>
      <c r="H1" s="13">
        <v>46027</v>
      </c>
      <c r="M1" s="13">
        <v>46030</v>
      </c>
      <c r="N1" s="13">
        <v>46030</v>
      </c>
      <c r="O1" s="49"/>
      <c r="P1" s="41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30" customHeight="1">
      <c r="A2"/>
      <c r="B2" s="2" t="s">
        <v>0</v>
      </c>
      <c r="C2" s="3" t="s">
        <v>1</v>
      </c>
      <c r="D2" s="3" t="s">
        <v>2</v>
      </c>
      <c r="E2" s="4" t="s">
        <v>3</v>
      </c>
      <c r="F2" s="4" t="s">
        <v>4</v>
      </c>
      <c r="G2" s="5" t="s">
        <v>5</v>
      </c>
      <c r="H2" s="5" t="s">
        <v>6</v>
      </c>
      <c r="I2" s="3" t="s">
        <v>1</v>
      </c>
      <c r="J2" s="3" t="s">
        <v>2</v>
      </c>
      <c r="K2" s="4" t="s">
        <v>3</v>
      </c>
      <c r="L2" s="4" t="s">
        <v>4</v>
      </c>
      <c r="M2" s="5" t="s">
        <v>5</v>
      </c>
      <c r="N2" s="5" t="s">
        <v>6</v>
      </c>
      <c r="O2" s="50" t="s">
        <v>98</v>
      </c>
      <c r="P2" s="42" t="s">
        <v>99</v>
      </c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22.15" hidden="1" customHeight="1">
      <c r="A3"/>
      <c r="B3" s="6" t="s">
        <v>7</v>
      </c>
      <c r="C3" s="15" t="s">
        <v>8</v>
      </c>
      <c r="D3" s="16">
        <v>124</v>
      </c>
      <c r="E3" s="17">
        <v>45254</v>
      </c>
      <c r="F3" s="17">
        <v>45299</v>
      </c>
      <c r="G3" s="7">
        <f t="shared" ref="G3:G37" si="0">IFERROR((F3-$G$1)/(F3-E3)*100,"")</f>
        <v>-1617.7777777777778</v>
      </c>
      <c r="H3" s="7">
        <f t="shared" ref="H3:H37" si="1">F3-$H$1</f>
        <v>-728</v>
      </c>
      <c r="I3" s="15" t="s">
        <v>8</v>
      </c>
      <c r="J3" s="16">
        <v>124</v>
      </c>
      <c r="K3" s="17">
        <v>45254</v>
      </c>
      <c r="L3" s="17">
        <v>45299</v>
      </c>
      <c r="M3" s="7">
        <f t="shared" ref="M3:M37" si="2">IFERROR((L3-$G$1)/(L3-K3)*100,"")</f>
        <v>-1617.7777777777778</v>
      </c>
      <c r="N3" s="7">
        <f t="shared" ref="N3:N37" si="3">L3-$H$1</f>
        <v>-728</v>
      </c>
      <c r="O3" s="50"/>
      <c r="P3" s="42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22.15" hidden="1" customHeight="1">
      <c r="A4"/>
      <c r="B4" s="6" t="s">
        <v>9</v>
      </c>
      <c r="C4" s="15" t="s">
        <v>8</v>
      </c>
      <c r="D4" s="16">
        <v>115</v>
      </c>
      <c r="E4" s="17">
        <v>45254</v>
      </c>
      <c r="F4" s="17">
        <v>45299</v>
      </c>
      <c r="G4" s="7">
        <f t="shared" si="0"/>
        <v>-1617.7777777777778</v>
      </c>
      <c r="H4" s="7">
        <f t="shared" si="1"/>
        <v>-728</v>
      </c>
      <c r="I4" s="15" t="s">
        <v>8</v>
      </c>
      <c r="J4" s="16">
        <v>115</v>
      </c>
      <c r="K4" s="17">
        <v>45254</v>
      </c>
      <c r="L4" s="17">
        <v>45299</v>
      </c>
      <c r="M4" s="7">
        <f t="shared" si="2"/>
        <v>-1617.7777777777778</v>
      </c>
      <c r="N4" s="7">
        <f t="shared" si="3"/>
        <v>-728</v>
      </c>
      <c r="O4" s="50"/>
      <c r="P4" s="42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22.15" hidden="1" customHeight="1">
      <c r="A5"/>
      <c r="B5" s="6" t="s">
        <v>10</v>
      </c>
      <c r="C5" s="15" t="s">
        <v>8</v>
      </c>
      <c r="D5" s="16">
        <v>54</v>
      </c>
      <c r="E5" s="18">
        <v>45256</v>
      </c>
      <c r="F5" s="18">
        <v>45301</v>
      </c>
      <c r="G5" s="7">
        <f t="shared" si="0"/>
        <v>-1613.3333333333333</v>
      </c>
      <c r="H5" s="7">
        <f t="shared" si="1"/>
        <v>-726</v>
      </c>
      <c r="I5" s="15" t="s">
        <v>8</v>
      </c>
      <c r="J5" s="16">
        <v>54</v>
      </c>
      <c r="K5" s="18">
        <v>45256</v>
      </c>
      <c r="L5" s="18">
        <v>45301</v>
      </c>
      <c r="M5" s="7">
        <f t="shared" si="2"/>
        <v>-1613.3333333333333</v>
      </c>
      <c r="N5" s="7">
        <f t="shared" si="3"/>
        <v>-726</v>
      </c>
      <c r="O5" s="50"/>
      <c r="P5" s="42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22.15" hidden="1" customHeight="1">
      <c r="A6"/>
      <c r="B6" s="6" t="s">
        <v>11</v>
      </c>
      <c r="C6" s="15" t="s">
        <v>8</v>
      </c>
      <c r="D6" s="16">
        <v>65</v>
      </c>
      <c r="E6" s="18">
        <v>45268</v>
      </c>
      <c r="F6" s="18">
        <v>45303</v>
      </c>
      <c r="G6" s="7">
        <f t="shared" si="0"/>
        <v>-2068.5714285714289</v>
      </c>
      <c r="H6" s="7">
        <f t="shared" si="1"/>
        <v>-724</v>
      </c>
      <c r="I6" s="15" t="s">
        <v>8</v>
      </c>
      <c r="J6" s="16">
        <v>65</v>
      </c>
      <c r="K6" s="18">
        <v>45268</v>
      </c>
      <c r="L6" s="18">
        <v>45303</v>
      </c>
      <c r="M6" s="7">
        <f t="shared" si="2"/>
        <v>-2068.5714285714289</v>
      </c>
      <c r="N6" s="7">
        <f t="shared" si="3"/>
        <v>-724</v>
      </c>
      <c r="O6" s="50"/>
      <c r="P6" s="42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22.15" hidden="1" customHeight="1">
      <c r="A7"/>
      <c r="B7" s="6" t="s">
        <v>12</v>
      </c>
      <c r="C7" s="15" t="s">
        <v>8</v>
      </c>
      <c r="D7" s="16">
        <v>32</v>
      </c>
      <c r="E7" s="18">
        <v>45269</v>
      </c>
      <c r="F7" s="18">
        <v>45304</v>
      </c>
      <c r="G7" s="7">
        <f t="shared" si="0"/>
        <v>-2065.7142857142858</v>
      </c>
      <c r="H7" s="7">
        <f t="shared" si="1"/>
        <v>-723</v>
      </c>
      <c r="I7" s="15" t="s">
        <v>8</v>
      </c>
      <c r="J7" s="16">
        <v>32</v>
      </c>
      <c r="K7" s="18">
        <v>45269</v>
      </c>
      <c r="L7" s="18">
        <v>45304</v>
      </c>
      <c r="M7" s="7">
        <f t="shared" si="2"/>
        <v>-2065.7142857142858</v>
      </c>
      <c r="N7" s="7">
        <f t="shared" si="3"/>
        <v>-723</v>
      </c>
      <c r="O7" s="50"/>
      <c r="P7" s="42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22.15" hidden="1" customHeight="1">
      <c r="A8"/>
      <c r="B8" s="6" t="s">
        <v>13</v>
      </c>
      <c r="C8" s="15" t="s">
        <v>14</v>
      </c>
      <c r="D8" s="16">
        <v>217.8</v>
      </c>
      <c r="E8" s="18">
        <v>45275</v>
      </c>
      <c r="F8" s="18">
        <v>45305</v>
      </c>
      <c r="G8" s="7">
        <f t="shared" si="0"/>
        <v>-2406.6666666666665</v>
      </c>
      <c r="H8" s="7">
        <f t="shared" si="1"/>
        <v>-722</v>
      </c>
      <c r="I8" s="15" t="s">
        <v>14</v>
      </c>
      <c r="J8" s="16">
        <v>217.8</v>
      </c>
      <c r="K8" s="18">
        <v>45275</v>
      </c>
      <c r="L8" s="18">
        <v>45305</v>
      </c>
      <c r="M8" s="7">
        <f t="shared" si="2"/>
        <v>-2406.6666666666665</v>
      </c>
      <c r="N8" s="7">
        <f t="shared" si="3"/>
        <v>-722</v>
      </c>
      <c r="O8" s="50"/>
      <c r="P8" s="42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22.15" hidden="1" customHeight="1">
      <c r="A9"/>
      <c r="B9" s="6" t="s">
        <v>15</v>
      </c>
      <c r="C9" s="15" t="s">
        <v>14</v>
      </c>
      <c r="D9" s="16">
        <v>68.8</v>
      </c>
      <c r="E9" s="18">
        <v>45265</v>
      </c>
      <c r="F9" s="18">
        <v>45305</v>
      </c>
      <c r="G9" s="7">
        <f t="shared" si="0"/>
        <v>-1805</v>
      </c>
      <c r="H9" s="7">
        <f t="shared" si="1"/>
        <v>-722</v>
      </c>
      <c r="I9" s="15" t="s">
        <v>14</v>
      </c>
      <c r="J9" s="16">
        <v>68.8</v>
      </c>
      <c r="K9" s="18">
        <v>45265</v>
      </c>
      <c r="L9" s="18">
        <v>45305</v>
      </c>
      <c r="M9" s="7">
        <f t="shared" si="2"/>
        <v>-1805</v>
      </c>
      <c r="N9" s="7">
        <f t="shared" si="3"/>
        <v>-722</v>
      </c>
      <c r="O9" s="50"/>
      <c r="P9" s="42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22.15" hidden="1" customHeight="1">
      <c r="A10"/>
      <c r="B10" s="6" t="s">
        <v>16</v>
      </c>
      <c r="C10" s="15" t="s">
        <v>14</v>
      </c>
      <c r="D10" s="16">
        <v>42.16</v>
      </c>
      <c r="E10" s="18">
        <v>45260</v>
      </c>
      <c r="F10" s="18">
        <v>45305</v>
      </c>
      <c r="G10" s="7">
        <f t="shared" si="0"/>
        <v>-1604.4444444444443</v>
      </c>
      <c r="H10" s="7">
        <f t="shared" si="1"/>
        <v>-722</v>
      </c>
      <c r="I10" s="15" t="s">
        <v>14</v>
      </c>
      <c r="J10" s="16">
        <v>42.16</v>
      </c>
      <c r="K10" s="18">
        <v>45260</v>
      </c>
      <c r="L10" s="18">
        <v>45305</v>
      </c>
      <c r="M10" s="7">
        <f t="shared" si="2"/>
        <v>-1604.4444444444443</v>
      </c>
      <c r="N10" s="7">
        <f t="shared" si="3"/>
        <v>-722</v>
      </c>
      <c r="O10" s="50"/>
      <c r="P10" s="42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15" hidden="1" customHeight="1">
      <c r="A11"/>
      <c r="B11" s="6" t="s">
        <v>17</v>
      </c>
      <c r="C11" s="15" t="s">
        <v>14</v>
      </c>
      <c r="D11" s="16">
        <v>205.58</v>
      </c>
      <c r="E11" s="18">
        <v>45276</v>
      </c>
      <c r="F11" s="18">
        <v>45306</v>
      </c>
      <c r="G11" s="7">
        <f t="shared" si="0"/>
        <v>-2403.3333333333335</v>
      </c>
      <c r="H11" s="7">
        <f t="shared" si="1"/>
        <v>-721</v>
      </c>
      <c r="I11" s="15" t="s">
        <v>14</v>
      </c>
      <c r="J11" s="16">
        <v>205.58</v>
      </c>
      <c r="K11" s="18">
        <v>45276</v>
      </c>
      <c r="L11" s="18">
        <v>45306</v>
      </c>
      <c r="M11" s="7">
        <f t="shared" si="2"/>
        <v>-2403.3333333333335</v>
      </c>
      <c r="N11" s="7">
        <f t="shared" si="3"/>
        <v>-721</v>
      </c>
      <c r="O11" s="50"/>
      <c r="P11" s="42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22.15" hidden="1" customHeight="1">
      <c r="A12"/>
      <c r="B12" s="6" t="s">
        <v>18</v>
      </c>
      <c r="C12" s="15" t="s">
        <v>14</v>
      </c>
      <c r="D12" s="16">
        <v>12</v>
      </c>
      <c r="E12" s="18">
        <v>45256</v>
      </c>
      <c r="F12" s="18">
        <v>45306</v>
      </c>
      <c r="G12" s="7">
        <f t="shared" si="0"/>
        <v>-1442</v>
      </c>
      <c r="H12" s="7">
        <f t="shared" si="1"/>
        <v>-721</v>
      </c>
      <c r="I12" s="15" t="s">
        <v>14</v>
      </c>
      <c r="J12" s="16">
        <v>12</v>
      </c>
      <c r="K12" s="18">
        <v>45256</v>
      </c>
      <c r="L12" s="18">
        <v>45306</v>
      </c>
      <c r="M12" s="7">
        <f t="shared" si="2"/>
        <v>-1442</v>
      </c>
      <c r="N12" s="7">
        <f t="shared" si="3"/>
        <v>-721</v>
      </c>
      <c r="O12" s="50"/>
      <c r="P12" s="42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22.15" hidden="1" customHeight="1">
      <c r="A13"/>
      <c r="B13" s="6" t="s">
        <v>19</v>
      </c>
      <c r="C13" s="15" t="s">
        <v>14</v>
      </c>
      <c r="D13" s="16">
        <v>89.266999999999996</v>
      </c>
      <c r="E13" s="18">
        <v>45276</v>
      </c>
      <c r="F13" s="18">
        <v>45306</v>
      </c>
      <c r="G13" s="7">
        <f t="shared" si="0"/>
        <v>-2403.3333333333335</v>
      </c>
      <c r="H13" s="7">
        <f t="shared" si="1"/>
        <v>-721</v>
      </c>
      <c r="I13" s="15" t="s">
        <v>14</v>
      </c>
      <c r="J13" s="16">
        <v>89.266999999999996</v>
      </c>
      <c r="K13" s="18">
        <v>45276</v>
      </c>
      <c r="L13" s="18">
        <v>45306</v>
      </c>
      <c r="M13" s="7">
        <f t="shared" si="2"/>
        <v>-2403.3333333333335</v>
      </c>
      <c r="N13" s="7">
        <f t="shared" si="3"/>
        <v>-721</v>
      </c>
      <c r="O13" s="50"/>
      <c r="P13" s="42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2.15" hidden="1" customHeight="1">
      <c r="A14"/>
      <c r="B14" s="6" t="s">
        <v>20</v>
      </c>
      <c r="C14" s="15" t="s">
        <v>14</v>
      </c>
      <c r="D14" s="16">
        <v>57.1</v>
      </c>
      <c r="E14" s="18">
        <v>45229</v>
      </c>
      <c r="F14" s="18">
        <v>45306</v>
      </c>
      <c r="G14" s="7">
        <f t="shared" si="0"/>
        <v>-936.36363636363637</v>
      </c>
      <c r="H14" s="7">
        <f t="shared" si="1"/>
        <v>-721</v>
      </c>
      <c r="I14" s="15" t="s">
        <v>14</v>
      </c>
      <c r="J14" s="16">
        <v>57.1</v>
      </c>
      <c r="K14" s="18">
        <v>45229</v>
      </c>
      <c r="L14" s="18">
        <v>45306</v>
      </c>
      <c r="M14" s="7">
        <f t="shared" si="2"/>
        <v>-936.36363636363637</v>
      </c>
      <c r="N14" s="7">
        <f t="shared" si="3"/>
        <v>-721</v>
      </c>
      <c r="O14" s="50"/>
      <c r="P14" s="42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22.15" hidden="1" customHeight="1">
      <c r="A15"/>
      <c r="B15" s="6" t="s">
        <v>21</v>
      </c>
      <c r="C15" s="15" t="s">
        <v>14</v>
      </c>
      <c r="D15" s="16">
        <v>159.1</v>
      </c>
      <c r="E15" s="18">
        <v>45262</v>
      </c>
      <c r="F15" s="18">
        <v>45307</v>
      </c>
      <c r="G15" s="7">
        <f t="shared" si="0"/>
        <v>-1600</v>
      </c>
      <c r="H15" s="7">
        <f t="shared" si="1"/>
        <v>-720</v>
      </c>
      <c r="I15" s="15" t="s">
        <v>14</v>
      </c>
      <c r="J15" s="16">
        <v>159.1</v>
      </c>
      <c r="K15" s="18">
        <v>45262</v>
      </c>
      <c r="L15" s="18">
        <v>45307</v>
      </c>
      <c r="M15" s="7">
        <f t="shared" si="2"/>
        <v>-1600</v>
      </c>
      <c r="N15" s="7">
        <f t="shared" si="3"/>
        <v>-720</v>
      </c>
      <c r="O15" s="50"/>
      <c r="P15" s="42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22.15" hidden="1" customHeight="1">
      <c r="A16"/>
      <c r="B16" s="6" t="s">
        <v>22</v>
      </c>
      <c r="C16" s="15" t="s">
        <v>14</v>
      </c>
      <c r="D16" s="16">
        <v>218.5</v>
      </c>
      <c r="E16" s="18">
        <v>45277</v>
      </c>
      <c r="F16" s="18">
        <v>45307</v>
      </c>
      <c r="G16" s="7">
        <f t="shared" si="0"/>
        <v>-2400</v>
      </c>
      <c r="H16" s="7">
        <f t="shared" si="1"/>
        <v>-720</v>
      </c>
      <c r="I16" s="15" t="s">
        <v>14</v>
      </c>
      <c r="J16" s="16">
        <v>218.5</v>
      </c>
      <c r="K16" s="18">
        <v>45277</v>
      </c>
      <c r="L16" s="18">
        <v>45307</v>
      </c>
      <c r="M16" s="7">
        <f t="shared" si="2"/>
        <v>-2400</v>
      </c>
      <c r="N16" s="7">
        <f t="shared" si="3"/>
        <v>-720</v>
      </c>
      <c r="O16" s="50"/>
      <c r="P16" s="42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22.15" hidden="1" customHeight="1">
      <c r="A17"/>
      <c r="B17" s="6" t="s">
        <v>23</v>
      </c>
      <c r="C17" s="15" t="s">
        <v>14</v>
      </c>
      <c r="D17" s="16">
        <v>187.7</v>
      </c>
      <c r="E17" s="18">
        <v>45267</v>
      </c>
      <c r="F17" s="18">
        <v>45307</v>
      </c>
      <c r="G17" s="7">
        <f t="shared" si="0"/>
        <v>-1800</v>
      </c>
      <c r="H17" s="7">
        <f t="shared" si="1"/>
        <v>-720</v>
      </c>
      <c r="I17" s="15" t="s">
        <v>14</v>
      </c>
      <c r="J17" s="16">
        <v>187.7</v>
      </c>
      <c r="K17" s="18">
        <v>45267</v>
      </c>
      <c r="L17" s="18">
        <v>45307</v>
      </c>
      <c r="M17" s="7">
        <f t="shared" si="2"/>
        <v>-1800</v>
      </c>
      <c r="N17" s="7">
        <f t="shared" si="3"/>
        <v>-720</v>
      </c>
      <c r="O17" s="50"/>
      <c r="P17" s="42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22.15" hidden="1" customHeight="1">
      <c r="A18"/>
      <c r="B18" s="6" t="s">
        <v>24</v>
      </c>
      <c r="C18" s="15" t="s">
        <v>8</v>
      </c>
      <c r="D18" s="16">
        <v>77</v>
      </c>
      <c r="E18" s="18">
        <v>45268</v>
      </c>
      <c r="F18" s="18">
        <v>45308</v>
      </c>
      <c r="G18" s="7">
        <f t="shared" si="0"/>
        <v>-1797.5000000000002</v>
      </c>
      <c r="H18" s="7">
        <f t="shared" si="1"/>
        <v>-719</v>
      </c>
      <c r="I18" s="15" t="s">
        <v>8</v>
      </c>
      <c r="J18" s="16">
        <v>77</v>
      </c>
      <c r="K18" s="18">
        <v>45268</v>
      </c>
      <c r="L18" s="18">
        <v>45308</v>
      </c>
      <c r="M18" s="7">
        <f t="shared" si="2"/>
        <v>-1797.5000000000002</v>
      </c>
      <c r="N18" s="7">
        <f t="shared" si="3"/>
        <v>-719</v>
      </c>
      <c r="O18" s="50"/>
      <c r="P18" s="42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22.15" hidden="1" customHeight="1">
      <c r="A19"/>
      <c r="B19" s="6" t="s">
        <v>25</v>
      </c>
      <c r="C19" s="15" t="s">
        <v>8</v>
      </c>
      <c r="D19" s="16">
        <v>241</v>
      </c>
      <c r="E19" s="18">
        <v>45268</v>
      </c>
      <c r="F19" s="18">
        <v>45308</v>
      </c>
      <c r="G19" s="7">
        <f t="shared" si="0"/>
        <v>-1797.5000000000002</v>
      </c>
      <c r="H19" s="7">
        <f t="shared" si="1"/>
        <v>-719</v>
      </c>
      <c r="I19" s="15" t="s">
        <v>8</v>
      </c>
      <c r="J19" s="16">
        <v>241</v>
      </c>
      <c r="K19" s="18">
        <v>45268</v>
      </c>
      <c r="L19" s="18">
        <v>45308</v>
      </c>
      <c r="M19" s="7">
        <f t="shared" si="2"/>
        <v>-1797.5000000000002</v>
      </c>
      <c r="N19" s="7">
        <f t="shared" si="3"/>
        <v>-719</v>
      </c>
      <c r="O19" s="50"/>
      <c r="P19" s="42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22.15" hidden="1" customHeight="1">
      <c r="A20"/>
      <c r="B20" s="6" t="s">
        <v>26</v>
      </c>
      <c r="C20" s="15" t="s">
        <v>8</v>
      </c>
      <c r="D20" s="16">
        <v>354</v>
      </c>
      <c r="E20" s="18">
        <v>45268</v>
      </c>
      <c r="F20" s="18">
        <v>45308</v>
      </c>
      <c r="G20" s="7">
        <f t="shared" si="0"/>
        <v>-1797.5000000000002</v>
      </c>
      <c r="H20" s="7">
        <f t="shared" si="1"/>
        <v>-719</v>
      </c>
      <c r="I20" s="15" t="s">
        <v>8</v>
      </c>
      <c r="J20" s="16">
        <v>354</v>
      </c>
      <c r="K20" s="18">
        <v>45268</v>
      </c>
      <c r="L20" s="18">
        <v>45308</v>
      </c>
      <c r="M20" s="7">
        <f t="shared" si="2"/>
        <v>-1797.5000000000002</v>
      </c>
      <c r="N20" s="7">
        <f t="shared" si="3"/>
        <v>-719</v>
      </c>
      <c r="O20" s="50"/>
      <c r="P20" s="42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22.15" hidden="1" customHeight="1">
      <c r="A21"/>
      <c r="B21" s="6" t="s">
        <v>27</v>
      </c>
      <c r="C21" s="15" t="s">
        <v>8</v>
      </c>
      <c r="D21" s="16">
        <v>3</v>
      </c>
      <c r="E21" s="18">
        <v>45270</v>
      </c>
      <c r="F21" s="18">
        <v>45310</v>
      </c>
      <c r="G21" s="7">
        <f t="shared" si="0"/>
        <v>-1792.5</v>
      </c>
      <c r="H21" s="7">
        <f t="shared" si="1"/>
        <v>-717</v>
      </c>
      <c r="I21" s="15" t="s">
        <v>8</v>
      </c>
      <c r="J21" s="16">
        <v>3</v>
      </c>
      <c r="K21" s="18">
        <v>45270</v>
      </c>
      <c r="L21" s="18">
        <v>45310</v>
      </c>
      <c r="M21" s="7">
        <f t="shared" si="2"/>
        <v>-1792.5</v>
      </c>
      <c r="N21" s="7">
        <f t="shared" si="3"/>
        <v>-717</v>
      </c>
      <c r="O21" s="50"/>
      <c r="P21" s="42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22.15" hidden="1" customHeight="1">
      <c r="A22"/>
      <c r="B22" s="6" t="s">
        <v>28</v>
      </c>
      <c r="C22" s="15" t="s">
        <v>8</v>
      </c>
      <c r="D22" s="16">
        <v>45</v>
      </c>
      <c r="E22" s="18">
        <v>45268</v>
      </c>
      <c r="F22" s="18">
        <v>45311</v>
      </c>
      <c r="G22" s="7">
        <f t="shared" si="0"/>
        <v>-1665.1162790697676</v>
      </c>
      <c r="H22" s="7">
        <f t="shared" si="1"/>
        <v>-716</v>
      </c>
      <c r="I22" s="15" t="s">
        <v>8</v>
      </c>
      <c r="J22" s="16">
        <v>45</v>
      </c>
      <c r="K22" s="18">
        <v>45268</v>
      </c>
      <c r="L22" s="18">
        <v>45311</v>
      </c>
      <c r="M22" s="7">
        <f t="shared" si="2"/>
        <v>-1665.1162790697676</v>
      </c>
      <c r="N22" s="7">
        <f t="shared" si="3"/>
        <v>-716</v>
      </c>
      <c r="O22" s="50"/>
      <c r="P22" s="42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22.15" hidden="1" customHeight="1">
      <c r="A23"/>
      <c r="B23" s="6" t="s">
        <v>29</v>
      </c>
      <c r="C23" s="15" t="s">
        <v>14</v>
      </c>
      <c r="D23" s="16">
        <v>97.5</v>
      </c>
      <c r="E23" s="18">
        <v>45268</v>
      </c>
      <c r="F23" s="18">
        <v>45311</v>
      </c>
      <c r="G23" s="7">
        <f t="shared" si="0"/>
        <v>-1665.1162790697676</v>
      </c>
      <c r="H23" s="7">
        <f t="shared" si="1"/>
        <v>-716</v>
      </c>
      <c r="I23" s="15" t="s">
        <v>14</v>
      </c>
      <c r="J23" s="16">
        <v>97.5</v>
      </c>
      <c r="K23" s="18">
        <v>45268</v>
      </c>
      <c r="L23" s="18">
        <v>45311</v>
      </c>
      <c r="M23" s="7">
        <f t="shared" si="2"/>
        <v>-1665.1162790697676</v>
      </c>
      <c r="N23" s="7">
        <f t="shared" si="3"/>
        <v>-716</v>
      </c>
      <c r="O23" s="50"/>
      <c r="P23" s="42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22.15" hidden="1" customHeight="1">
      <c r="A24"/>
      <c r="B24" s="6" t="s">
        <v>30</v>
      </c>
      <c r="C24" s="15" t="s">
        <v>14</v>
      </c>
      <c r="D24" s="16">
        <v>85.93</v>
      </c>
      <c r="E24" s="18">
        <v>45276</v>
      </c>
      <c r="F24" s="18">
        <v>45311</v>
      </c>
      <c r="G24" s="7">
        <f t="shared" si="0"/>
        <v>-2045.7142857142856</v>
      </c>
      <c r="H24" s="7">
        <f t="shared" si="1"/>
        <v>-716</v>
      </c>
      <c r="I24" s="15" t="s">
        <v>14</v>
      </c>
      <c r="J24" s="16">
        <v>85.93</v>
      </c>
      <c r="K24" s="18">
        <v>45276</v>
      </c>
      <c r="L24" s="18">
        <v>45311</v>
      </c>
      <c r="M24" s="7">
        <f t="shared" si="2"/>
        <v>-2045.7142857142856</v>
      </c>
      <c r="N24" s="7">
        <f t="shared" si="3"/>
        <v>-716</v>
      </c>
      <c r="O24" s="50"/>
      <c r="P24" s="42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22.15" hidden="1" customHeight="1">
      <c r="A25"/>
      <c r="B25" s="6" t="s">
        <v>31</v>
      </c>
      <c r="C25" s="15" t="s">
        <v>14</v>
      </c>
      <c r="D25" s="16">
        <v>216.8</v>
      </c>
      <c r="E25" s="18">
        <v>45267</v>
      </c>
      <c r="F25" s="18">
        <v>45312</v>
      </c>
      <c r="G25" s="7">
        <f t="shared" si="0"/>
        <v>-1588.8888888888889</v>
      </c>
      <c r="H25" s="7">
        <f t="shared" si="1"/>
        <v>-715</v>
      </c>
      <c r="I25" s="15" t="s">
        <v>14</v>
      </c>
      <c r="J25" s="16">
        <v>216.8</v>
      </c>
      <c r="K25" s="18">
        <v>45267</v>
      </c>
      <c r="L25" s="18">
        <v>45312</v>
      </c>
      <c r="M25" s="7">
        <f t="shared" si="2"/>
        <v>-1588.8888888888889</v>
      </c>
      <c r="N25" s="7">
        <f t="shared" si="3"/>
        <v>-715</v>
      </c>
      <c r="O25" s="50"/>
      <c r="P25" s="42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2.15" hidden="1" customHeight="1">
      <c r="A26"/>
      <c r="B26" s="6" t="s">
        <v>32</v>
      </c>
      <c r="C26" s="15" t="s">
        <v>14</v>
      </c>
      <c r="D26" s="16">
        <v>170.9</v>
      </c>
      <c r="E26" s="18">
        <v>45277</v>
      </c>
      <c r="F26" s="18">
        <v>45312</v>
      </c>
      <c r="G26" s="7">
        <f t="shared" si="0"/>
        <v>-2042.8571428571427</v>
      </c>
      <c r="H26" s="7">
        <f t="shared" si="1"/>
        <v>-715</v>
      </c>
      <c r="I26" s="15" t="s">
        <v>14</v>
      </c>
      <c r="J26" s="16">
        <v>170.9</v>
      </c>
      <c r="K26" s="18">
        <v>45277</v>
      </c>
      <c r="L26" s="18">
        <v>45312</v>
      </c>
      <c r="M26" s="7">
        <f t="shared" si="2"/>
        <v>-2042.8571428571427</v>
      </c>
      <c r="N26" s="7">
        <f t="shared" si="3"/>
        <v>-715</v>
      </c>
      <c r="O26" s="50"/>
      <c r="P26" s="42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22.15" hidden="1" customHeight="1">
      <c r="A27"/>
      <c r="B27" s="6" t="s">
        <v>33</v>
      </c>
      <c r="C27" s="15" t="s">
        <v>14</v>
      </c>
      <c r="D27" s="16">
        <v>159.9</v>
      </c>
      <c r="E27" s="18">
        <v>45277</v>
      </c>
      <c r="F27" s="18">
        <v>45312</v>
      </c>
      <c r="G27" s="7">
        <f t="shared" si="0"/>
        <v>-2042.8571428571427</v>
      </c>
      <c r="H27" s="7">
        <f t="shared" si="1"/>
        <v>-715</v>
      </c>
      <c r="I27" s="15" t="s">
        <v>14</v>
      </c>
      <c r="J27" s="16">
        <v>159.9</v>
      </c>
      <c r="K27" s="18">
        <v>45277</v>
      </c>
      <c r="L27" s="18">
        <v>45312</v>
      </c>
      <c r="M27" s="7">
        <f t="shared" si="2"/>
        <v>-2042.8571428571427</v>
      </c>
      <c r="N27" s="7">
        <f t="shared" si="3"/>
        <v>-715</v>
      </c>
      <c r="O27" s="50"/>
      <c r="P27" s="42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22.15" hidden="1" customHeight="1">
      <c r="A28"/>
      <c r="B28" s="6" t="s">
        <v>34</v>
      </c>
      <c r="C28" s="15" t="s">
        <v>14</v>
      </c>
      <c r="D28" s="16">
        <v>358.6</v>
      </c>
      <c r="E28" s="18">
        <v>45272</v>
      </c>
      <c r="F28" s="18">
        <v>45312</v>
      </c>
      <c r="G28" s="7">
        <f t="shared" si="0"/>
        <v>-1787.5</v>
      </c>
      <c r="H28" s="7">
        <f t="shared" si="1"/>
        <v>-715</v>
      </c>
      <c r="I28" s="15" t="s">
        <v>14</v>
      </c>
      <c r="J28" s="16">
        <v>358.6</v>
      </c>
      <c r="K28" s="18">
        <v>45272</v>
      </c>
      <c r="L28" s="18">
        <v>45312</v>
      </c>
      <c r="M28" s="7">
        <f t="shared" si="2"/>
        <v>-1787.5</v>
      </c>
      <c r="N28" s="7">
        <f t="shared" si="3"/>
        <v>-715</v>
      </c>
      <c r="O28" s="50"/>
      <c r="P28" s="42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22.15" hidden="1" customHeight="1">
      <c r="A29"/>
      <c r="B29" s="6" t="s">
        <v>35</v>
      </c>
      <c r="C29" s="15" t="s">
        <v>8</v>
      </c>
      <c r="D29" s="16">
        <v>94</v>
      </c>
      <c r="E29" s="18">
        <v>45268</v>
      </c>
      <c r="F29" s="18">
        <v>45313</v>
      </c>
      <c r="G29" s="7">
        <f t="shared" si="0"/>
        <v>-1586.6666666666667</v>
      </c>
      <c r="H29" s="7">
        <f t="shared" si="1"/>
        <v>-714</v>
      </c>
      <c r="I29" s="15" t="s">
        <v>8</v>
      </c>
      <c r="J29" s="16">
        <v>94</v>
      </c>
      <c r="K29" s="18">
        <v>45268</v>
      </c>
      <c r="L29" s="18">
        <v>45313</v>
      </c>
      <c r="M29" s="7">
        <f t="shared" si="2"/>
        <v>-1586.6666666666667</v>
      </c>
      <c r="N29" s="7">
        <f t="shared" si="3"/>
        <v>-714</v>
      </c>
      <c r="O29" s="50"/>
      <c r="P29" s="42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22.15" hidden="1" customHeight="1">
      <c r="A30"/>
      <c r="B30" s="6" t="s">
        <v>36</v>
      </c>
      <c r="C30" s="15" t="s">
        <v>8</v>
      </c>
      <c r="D30" s="16">
        <v>134</v>
      </c>
      <c r="E30" s="18">
        <v>45268</v>
      </c>
      <c r="F30" s="18">
        <v>45313</v>
      </c>
      <c r="G30" s="7">
        <f t="shared" si="0"/>
        <v>-1586.6666666666667</v>
      </c>
      <c r="H30" s="7">
        <f t="shared" si="1"/>
        <v>-714</v>
      </c>
      <c r="I30" s="15" t="s">
        <v>8</v>
      </c>
      <c r="J30" s="16">
        <v>134</v>
      </c>
      <c r="K30" s="18">
        <v>45268</v>
      </c>
      <c r="L30" s="18">
        <v>45313</v>
      </c>
      <c r="M30" s="7">
        <f t="shared" si="2"/>
        <v>-1586.6666666666667</v>
      </c>
      <c r="N30" s="7">
        <f t="shared" si="3"/>
        <v>-714</v>
      </c>
      <c r="O30" s="50"/>
      <c r="P30" s="42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22.15" hidden="1" customHeight="1">
      <c r="A31"/>
      <c r="B31" s="6" t="s">
        <v>37</v>
      </c>
      <c r="C31" s="15" t="s">
        <v>8</v>
      </c>
      <c r="D31" s="16">
        <v>2</v>
      </c>
      <c r="E31" s="18">
        <v>45268</v>
      </c>
      <c r="F31" s="18">
        <v>45313</v>
      </c>
      <c r="G31" s="7">
        <f t="shared" si="0"/>
        <v>-1586.6666666666667</v>
      </c>
      <c r="H31" s="7">
        <f t="shared" si="1"/>
        <v>-714</v>
      </c>
      <c r="I31" s="15" t="s">
        <v>8</v>
      </c>
      <c r="J31" s="16">
        <v>2</v>
      </c>
      <c r="K31" s="18">
        <v>45268</v>
      </c>
      <c r="L31" s="18">
        <v>45313</v>
      </c>
      <c r="M31" s="7">
        <f t="shared" si="2"/>
        <v>-1586.6666666666667</v>
      </c>
      <c r="N31" s="7">
        <f t="shared" si="3"/>
        <v>-714</v>
      </c>
      <c r="O31" s="50"/>
      <c r="P31" s="42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22.15" hidden="1" customHeight="1">
      <c r="A32"/>
      <c r="B32" s="6" t="s">
        <v>38</v>
      </c>
      <c r="C32" s="15" t="s">
        <v>14</v>
      </c>
      <c r="D32" s="16">
        <v>273.39999999999998</v>
      </c>
      <c r="E32" s="18">
        <v>45268</v>
      </c>
      <c r="F32" s="18">
        <v>45313</v>
      </c>
      <c r="G32" s="7">
        <f t="shared" si="0"/>
        <v>-1586.6666666666667</v>
      </c>
      <c r="H32" s="7">
        <f t="shared" si="1"/>
        <v>-714</v>
      </c>
      <c r="I32" s="15" t="s">
        <v>14</v>
      </c>
      <c r="J32" s="16">
        <v>273.39999999999998</v>
      </c>
      <c r="K32" s="18">
        <v>45268</v>
      </c>
      <c r="L32" s="18">
        <v>45313</v>
      </c>
      <c r="M32" s="7">
        <f t="shared" si="2"/>
        <v>-1586.6666666666667</v>
      </c>
      <c r="N32" s="7">
        <f t="shared" si="3"/>
        <v>-714</v>
      </c>
      <c r="O32" s="50"/>
      <c r="P32" s="42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22.15" hidden="1" customHeight="1">
      <c r="A33"/>
      <c r="B33" s="6" t="s">
        <v>39</v>
      </c>
      <c r="C33" s="15" t="s">
        <v>14</v>
      </c>
      <c r="D33" s="16">
        <v>160.19999999999999</v>
      </c>
      <c r="E33" s="18">
        <v>45274</v>
      </c>
      <c r="F33" s="18">
        <v>45314</v>
      </c>
      <c r="G33" s="7">
        <f t="shared" si="0"/>
        <v>-1782.5</v>
      </c>
      <c r="H33" s="7">
        <f t="shared" si="1"/>
        <v>-713</v>
      </c>
      <c r="I33" s="15" t="s">
        <v>14</v>
      </c>
      <c r="J33" s="16">
        <v>160.19999999999999</v>
      </c>
      <c r="K33" s="18">
        <v>45274</v>
      </c>
      <c r="L33" s="18">
        <v>45314</v>
      </c>
      <c r="M33" s="7">
        <f t="shared" si="2"/>
        <v>-1782.5</v>
      </c>
      <c r="N33" s="7">
        <f t="shared" si="3"/>
        <v>-713</v>
      </c>
      <c r="O33" s="50"/>
      <c r="P33" s="42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22.15" hidden="1" customHeight="1">
      <c r="A34"/>
      <c r="B34" s="6" t="s">
        <v>40</v>
      </c>
      <c r="C34" s="15" t="s">
        <v>14</v>
      </c>
      <c r="D34" s="16">
        <v>351.4</v>
      </c>
      <c r="E34" s="18">
        <v>45275</v>
      </c>
      <c r="F34" s="18">
        <v>45315</v>
      </c>
      <c r="G34" s="7">
        <f t="shared" si="0"/>
        <v>-1780</v>
      </c>
      <c r="H34" s="7">
        <f t="shared" si="1"/>
        <v>-712</v>
      </c>
      <c r="I34" s="15" t="s">
        <v>14</v>
      </c>
      <c r="J34" s="16">
        <v>351.4</v>
      </c>
      <c r="K34" s="18">
        <v>45275</v>
      </c>
      <c r="L34" s="18">
        <v>45315</v>
      </c>
      <c r="M34" s="7">
        <f t="shared" si="2"/>
        <v>-1780</v>
      </c>
      <c r="N34" s="7">
        <f t="shared" si="3"/>
        <v>-712</v>
      </c>
      <c r="O34" s="50"/>
      <c r="P34" s="42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22.15" hidden="1" customHeight="1">
      <c r="A35"/>
      <c r="B35" s="6" t="s">
        <v>41</v>
      </c>
      <c r="C35" s="15" t="s">
        <v>14</v>
      </c>
      <c r="D35" s="16">
        <v>19.004000000000001</v>
      </c>
      <c r="E35" s="18">
        <v>45275</v>
      </c>
      <c r="F35" s="18">
        <v>45315</v>
      </c>
      <c r="G35" s="7">
        <f t="shared" si="0"/>
        <v>-1780</v>
      </c>
      <c r="H35" s="7">
        <f t="shared" si="1"/>
        <v>-712</v>
      </c>
      <c r="I35" s="15" t="s">
        <v>14</v>
      </c>
      <c r="J35" s="16">
        <v>19.004000000000001</v>
      </c>
      <c r="K35" s="18">
        <v>45275</v>
      </c>
      <c r="L35" s="18">
        <v>45315</v>
      </c>
      <c r="M35" s="7">
        <f t="shared" si="2"/>
        <v>-1780</v>
      </c>
      <c r="N35" s="7">
        <f t="shared" si="3"/>
        <v>-712</v>
      </c>
      <c r="O35" s="50"/>
      <c r="P35" s="42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22.15" hidden="1" customHeight="1">
      <c r="A36"/>
      <c r="B36" s="6" t="s">
        <v>42</v>
      </c>
      <c r="C36" s="15" t="s">
        <v>14</v>
      </c>
      <c r="D36" s="16">
        <v>6.56</v>
      </c>
      <c r="E36" s="18"/>
      <c r="F36" s="18"/>
      <c r="G36" s="7" t="str">
        <f t="shared" si="0"/>
        <v/>
      </c>
      <c r="H36" s="7">
        <f t="shared" si="1"/>
        <v>-46027</v>
      </c>
      <c r="I36" s="15" t="s">
        <v>14</v>
      </c>
      <c r="J36" s="16">
        <v>6.56</v>
      </c>
      <c r="K36" s="18"/>
      <c r="L36" s="18"/>
      <c r="M36" s="7" t="str">
        <f t="shared" si="2"/>
        <v/>
      </c>
      <c r="N36" s="7">
        <f t="shared" si="3"/>
        <v>-46027</v>
      </c>
      <c r="O36" s="50"/>
      <c r="P36" s="42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22.15" hidden="1" customHeight="1">
      <c r="A37"/>
      <c r="B37" s="6" t="s">
        <v>43</v>
      </c>
      <c r="C37" s="15" t="s">
        <v>14</v>
      </c>
      <c r="D37" s="16">
        <v>115.69499999999999</v>
      </c>
      <c r="E37" s="18">
        <v>45276</v>
      </c>
      <c r="F37" s="18">
        <v>45316</v>
      </c>
      <c r="G37" s="7">
        <f t="shared" si="0"/>
        <v>-1777.4999999999998</v>
      </c>
      <c r="H37" s="7">
        <f t="shared" si="1"/>
        <v>-711</v>
      </c>
      <c r="I37" s="15" t="s">
        <v>14</v>
      </c>
      <c r="J37" s="16">
        <v>115.69499999999999</v>
      </c>
      <c r="K37" s="18">
        <v>45276</v>
      </c>
      <c r="L37" s="18">
        <v>45316</v>
      </c>
      <c r="M37" s="7">
        <f t="shared" si="2"/>
        <v>-1777.4999999999998</v>
      </c>
      <c r="N37" s="7">
        <f t="shared" si="3"/>
        <v>-711</v>
      </c>
      <c r="O37" s="50"/>
      <c r="P37" s="42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22.15" hidden="1" customHeight="1">
      <c r="A38"/>
      <c r="B38" s="6" t="s">
        <v>44</v>
      </c>
      <c r="C38" s="15" t="s">
        <v>8</v>
      </c>
      <c r="D38" s="16">
        <v>234</v>
      </c>
      <c r="E38" s="18">
        <v>45260</v>
      </c>
      <c r="F38" s="18">
        <v>45320</v>
      </c>
      <c r="G38" s="7">
        <f>IFERROR((F38-$G$1)/(F38-E38)*100,"")</f>
        <v>-1178.3333333333333</v>
      </c>
      <c r="H38" s="7">
        <f>F38-$H$1</f>
        <v>-707</v>
      </c>
      <c r="I38" s="15" t="s">
        <v>8</v>
      </c>
      <c r="J38" s="16">
        <v>234</v>
      </c>
      <c r="K38" s="18">
        <v>45260</v>
      </c>
      <c r="L38" s="18">
        <v>45320</v>
      </c>
      <c r="M38" s="7">
        <f>IFERROR((L38-$G$1)/(L38-K38)*100,"")</f>
        <v>-1178.3333333333333</v>
      </c>
      <c r="N38" s="7">
        <f>L38-$H$1</f>
        <v>-707</v>
      </c>
      <c r="O38" s="50"/>
      <c r="P38" s="42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22.15" hidden="1" customHeight="1">
      <c r="A39"/>
      <c r="B39" s="6" t="s">
        <v>45</v>
      </c>
      <c r="C39" s="15" t="s">
        <v>8</v>
      </c>
      <c r="D39" s="16">
        <v>480</v>
      </c>
      <c r="E39" s="18"/>
      <c r="F39" s="18"/>
      <c r="G39" s="7" t="str">
        <f t="shared" ref="G39:G71" si="4">IFERROR((F39-$G$1)/(F39-E39)*100,"")</f>
        <v/>
      </c>
      <c r="H39" s="7">
        <f t="shared" ref="H39:H71" si="5">F39-$H$1</f>
        <v>-46027</v>
      </c>
      <c r="I39" s="15" t="s">
        <v>8</v>
      </c>
      <c r="J39" s="16">
        <v>480</v>
      </c>
      <c r="K39" s="18"/>
      <c r="L39" s="18"/>
      <c r="M39" s="7" t="str">
        <f t="shared" ref="M39:M102" si="6">IFERROR((L39-$G$1)/(L39-K39)*100,"")</f>
        <v/>
      </c>
      <c r="N39" s="7">
        <f t="shared" ref="N39:N102" si="7">L39-$H$1</f>
        <v>-46027</v>
      </c>
      <c r="O39" s="50"/>
      <c r="P39" s="42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22.15" hidden="1" customHeight="1">
      <c r="A40"/>
      <c r="B40" s="6" t="s">
        <v>46</v>
      </c>
      <c r="C40" s="15" t="s">
        <v>8</v>
      </c>
      <c r="D40" s="16">
        <v>480</v>
      </c>
      <c r="E40" s="18"/>
      <c r="F40" s="18"/>
      <c r="G40" s="7" t="str">
        <f t="shared" si="4"/>
        <v/>
      </c>
      <c r="H40" s="7">
        <f t="shared" si="5"/>
        <v>-46027</v>
      </c>
      <c r="I40" s="15" t="s">
        <v>8</v>
      </c>
      <c r="J40" s="16">
        <v>480</v>
      </c>
      <c r="K40" s="18"/>
      <c r="L40" s="18"/>
      <c r="M40" s="7" t="str">
        <f t="shared" si="6"/>
        <v/>
      </c>
      <c r="N40" s="7">
        <f t="shared" si="7"/>
        <v>-46027</v>
      </c>
      <c r="O40" s="50"/>
      <c r="P40" s="42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22.15" hidden="1" customHeight="1">
      <c r="A41"/>
      <c r="B41" s="6" t="s">
        <v>47</v>
      </c>
      <c r="C41" s="15" t="s">
        <v>8</v>
      </c>
      <c r="D41" s="19">
        <v>2136</v>
      </c>
      <c r="E41" s="18"/>
      <c r="F41" s="18"/>
      <c r="G41" s="7" t="str">
        <f t="shared" si="4"/>
        <v/>
      </c>
      <c r="H41" s="7">
        <f t="shared" si="5"/>
        <v>-46027</v>
      </c>
      <c r="I41" s="15" t="s">
        <v>8</v>
      </c>
      <c r="J41" s="19">
        <v>2136</v>
      </c>
      <c r="K41" s="18"/>
      <c r="L41" s="18"/>
      <c r="M41" s="7" t="str">
        <f t="shared" si="6"/>
        <v/>
      </c>
      <c r="N41" s="7">
        <f t="shared" si="7"/>
        <v>-46027</v>
      </c>
      <c r="O41" s="50"/>
      <c r="P41" s="42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22.15" hidden="1" customHeight="1">
      <c r="A42"/>
      <c r="B42" s="6" t="s">
        <v>48</v>
      </c>
      <c r="C42" s="15" t="s">
        <v>8</v>
      </c>
      <c r="D42" s="16">
        <v>192</v>
      </c>
      <c r="E42" s="18"/>
      <c r="F42" s="18"/>
      <c r="G42" s="7" t="str">
        <f t="shared" si="4"/>
        <v/>
      </c>
      <c r="H42" s="7">
        <f t="shared" si="5"/>
        <v>-46027</v>
      </c>
      <c r="I42" s="15" t="s">
        <v>8</v>
      </c>
      <c r="J42" s="16">
        <v>192</v>
      </c>
      <c r="K42" s="18"/>
      <c r="L42" s="18"/>
      <c r="M42" s="7" t="str">
        <f t="shared" si="6"/>
        <v/>
      </c>
      <c r="N42" s="7">
        <f t="shared" si="7"/>
        <v>-46027</v>
      </c>
      <c r="O42" s="50"/>
      <c r="P42" s="42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22.15" hidden="1" customHeight="1">
      <c r="A43"/>
      <c r="B43" s="6" t="s">
        <v>49</v>
      </c>
      <c r="C43" s="15" t="s">
        <v>8</v>
      </c>
      <c r="D43" s="16">
        <v>192</v>
      </c>
      <c r="E43" s="18"/>
      <c r="F43" s="18"/>
      <c r="G43" s="7" t="str">
        <f t="shared" si="4"/>
        <v/>
      </c>
      <c r="H43" s="7">
        <f t="shared" si="5"/>
        <v>-46027</v>
      </c>
      <c r="I43" s="15" t="s">
        <v>8</v>
      </c>
      <c r="J43" s="16">
        <v>192</v>
      </c>
      <c r="K43" s="18"/>
      <c r="L43" s="18"/>
      <c r="M43" s="7" t="str">
        <f t="shared" si="6"/>
        <v/>
      </c>
      <c r="N43" s="7">
        <f t="shared" si="7"/>
        <v>-46027</v>
      </c>
      <c r="O43" s="50"/>
      <c r="P43" s="42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22.15" hidden="1" customHeight="1">
      <c r="A44"/>
      <c r="B44" s="6" t="s">
        <v>50</v>
      </c>
      <c r="C44" s="15" t="s">
        <v>8</v>
      </c>
      <c r="D44" s="19">
        <v>2368</v>
      </c>
      <c r="E44" s="18"/>
      <c r="F44" s="18"/>
      <c r="G44" s="7" t="str">
        <f t="shared" si="4"/>
        <v/>
      </c>
      <c r="H44" s="7">
        <f t="shared" si="5"/>
        <v>-46027</v>
      </c>
      <c r="I44" s="15" t="s">
        <v>8</v>
      </c>
      <c r="J44" s="19">
        <v>2368</v>
      </c>
      <c r="K44" s="18"/>
      <c r="L44" s="18"/>
      <c r="M44" s="7" t="str">
        <f t="shared" si="6"/>
        <v/>
      </c>
      <c r="N44" s="7">
        <f t="shared" si="7"/>
        <v>-46027</v>
      </c>
      <c r="O44" s="50"/>
      <c r="P44" s="42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22.15" hidden="1" customHeight="1">
      <c r="A45"/>
      <c r="B45" s="6" t="s">
        <v>51</v>
      </c>
      <c r="C45" s="15" t="s">
        <v>8</v>
      </c>
      <c r="D45" s="16">
        <v>836</v>
      </c>
      <c r="E45" s="18"/>
      <c r="F45" s="18"/>
      <c r="G45" s="7" t="str">
        <f t="shared" si="4"/>
        <v/>
      </c>
      <c r="H45" s="7">
        <f t="shared" si="5"/>
        <v>-46027</v>
      </c>
      <c r="I45" s="15" t="s">
        <v>8</v>
      </c>
      <c r="J45" s="16">
        <v>836</v>
      </c>
      <c r="K45" s="18"/>
      <c r="L45" s="18"/>
      <c r="M45" s="7" t="str">
        <f t="shared" si="6"/>
        <v/>
      </c>
      <c r="N45" s="7">
        <f t="shared" si="7"/>
        <v>-46027</v>
      </c>
      <c r="O45" s="50"/>
      <c r="P45" s="42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22.15" hidden="1" customHeight="1">
      <c r="A46"/>
      <c r="B46" s="6" t="s">
        <v>52</v>
      </c>
      <c r="C46" s="15" t="s">
        <v>8</v>
      </c>
      <c r="D46" s="16">
        <v>620</v>
      </c>
      <c r="E46" s="18"/>
      <c r="F46" s="18"/>
      <c r="G46" s="7" t="str">
        <f t="shared" si="4"/>
        <v/>
      </c>
      <c r="H46" s="7">
        <f t="shared" si="5"/>
        <v>-46027</v>
      </c>
      <c r="I46" s="15" t="s">
        <v>8</v>
      </c>
      <c r="J46" s="16">
        <v>620</v>
      </c>
      <c r="K46" s="18"/>
      <c r="L46" s="18"/>
      <c r="M46" s="7" t="str">
        <f t="shared" si="6"/>
        <v/>
      </c>
      <c r="N46" s="7">
        <f t="shared" si="7"/>
        <v>-46027</v>
      </c>
      <c r="O46" s="50"/>
      <c r="P46" s="42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22.15" hidden="1" customHeight="1">
      <c r="A47"/>
      <c r="B47" s="6" t="s">
        <v>53</v>
      </c>
      <c r="C47" s="15" t="s">
        <v>8</v>
      </c>
      <c r="D47" s="19">
        <v>1484</v>
      </c>
      <c r="E47" s="18"/>
      <c r="F47" s="18"/>
      <c r="G47" s="7" t="str">
        <f t="shared" si="4"/>
        <v/>
      </c>
      <c r="H47" s="7">
        <f t="shared" si="5"/>
        <v>-46027</v>
      </c>
      <c r="I47" s="15" t="s">
        <v>8</v>
      </c>
      <c r="J47" s="19">
        <v>1484</v>
      </c>
      <c r="K47" s="18"/>
      <c r="L47" s="18"/>
      <c r="M47" s="7" t="str">
        <f t="shared" si="6"/>
        <v/>
      </c>
      <c r="N47" s="7">
        <f t="shared" si="7"/>
        <v>-46027</v>
      </c>
      <c r="O47" s="50"/>
      <c r="P47" s="42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22.15" hidden="1" customHeight="1">
      <c r="A48"/>
      <c r="B48" s="6" t="s">
        <v>54</v>
      </c>
      <c r="C48" s="15" t="s">
        <v>8</v>
      </c>
      <c r="D48" s="16">
        <v>644</v>
      </c>
      <c r="E48" s="18"/>
      <c r="F48" s="18"/>
      <c r="G48" s="7" t="str">
        <f t="shared" si="4"/>
        <v/>
      </c>
      <c r="H48" s="7">
        <f t="shared" si="5"/>
        <v>-46027</v>
      </c>
      <c r="I48" s="15" t="s">
        <v>8</v>
      </c>
      <c r="J48" s="16">
        <v>644</v>
      </c>
      <c r="K48" s="18"/>
      <c r="L48" s="18"/>
      <c r="M48" s="7" t="str">
        <f t="shared" si="6"/>
        <v/>
      </c>
      <c r="N48" s="7">
        <f t="shared" si="7"/>
        <v>-46027</v>
      </c>
      <c r="O48" s="50"/>
      <c r="P48" s="42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22.15" hidden="1" customHeight="1">
      <c r="A49"/>
      <c r="B49" s="6" t="s">
        <v>55</v>
      </c>
      <c r="C49" s="15" t="s">
        <v>8</v>
      </c>
      <c r="D49" s="16">
        <v>716</v>
      </c>
      <c r="E49" s="18"/>
      <c r="F49" s="18"/>
      <c r="G49" s="7" t="str">
        <f t="shared" si="4"/>
        <v/>
      </c>
      <c r="H49" s="7">
        <f t="shared" si="5"/>
        <v>-46027</v>
      </c>
      <c r="I49" s="15" t="s">
        <v>8</v>
      </c>
      <c r="J49" s="16">
        <v>716</v>
      </c>
      <c r="K49" s="18"/>
      <c r="L49" s="18"/>
      <c r="M49" s="7" t="str">
        <f t="shared" si="6"/>
        <v/>
      </c>
      <c r="N49" s="7">
        <f t="shared" si="7"/>
        <v>-46027</v>
      </c>
      <c r="O49" s="50"/>
      <c r="P49" s="42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22.15" hidden="1" customHeight="1">
      <c r="A50"/>
      <c r="B50" s="6" t="s">
        <v>56</v>
      </c>
      <c r="C50" s="15" t="s">
        <v>8</v>
      </c>
      <c r="D50" s="16">
        <v>500</v>
      </c>
      <c r="E50" s="18"/>
      <c r="F50" s="18"/>
      <c r="G50" s="7" t="str">
        <f t="shared" si="4"/>
        <v/>
      </c>
      <c r="H50" s="7">
        <f t="shared" si="5"/>
        <v>-46027</v>
      </c>
      <c r="I50" s="15" t="s">
        <v>8</v>
      </c>
      <c r="J50" s="16">
        <v>500</v>
      </c>
      <c r="K50" s="18"/>
      <c r="L50" s="18"/>
      <c r="M50" s="7" t="str">
        <f t="shared" si="6"/>
        <v/>
      </c>
      <c r="N50" s="7">
        <f t="shared" si="7"/>
        <v>-46027</v>
      </c>
      <c r="O50" s="50"/>
      <c r="P50" s="42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22.15" hidden="1" customHeight="1">
      <c r="A51"/>
      <c r="B51" s="6" t="s">
        <v>57</v>
      </c>
      <c r="C51" s="15" t="s">
        <v>8</v>
      </c>
      <c r="D51" s="16">
        <v>956</v>
      </c>
      <c r="E51" s="18"/>
      <c r="F51" s="18"/>
      <c r="G51" s="7" t="str">
        <f t="shared" si="4"/>
        <v/>
      </c>
      <c r="H51" s="7">
        <f t="shared" si="5"/>
        <v>-46027</v>
      </c>
      <c r="I51" s="15" t="s">
        <v>8</v>
      </c>
      <c r="J51" s="16">
        <v>956</v>
      </c>
      <c r="K51" s="18"/>
      <c r="L51" s="18"/>
      <c r="M51" s="7" t="str">
        <f t="shared" si="6"/>
        <v/>
      </c>
      <c r="N51" s="7">
        <f t="shared" si="7"/>
        <v>-46027</v>
      </c>
      <c r="O51" s="50"/>
      <c r="P51" s="42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22.15" hidden="1" customHeight="1">
      <c r="A52"/>
      <c r="B52" s="6" t="s">
        <v>58</v>
      </c>
      <c r="C52" s="15" t="s">
        <v>8</v>
      </c>
      <c r="D52" s="19">
        <v>2012</v>
      </c>
      <c r="E52" s="18"/>
      <c r="F52" s="18"/>
      <c r="G52" s="7" t="str">
        <f t="shared" si="4"/>
        <v/>
      </c>
      <c r="H52" s="7">
        <f t="shared" si="5"/>
        <v>-46027</v>
      </c>
      <c r="I52" s="15" t="s">
        <v>8</v>
      </c>
      <c r="J52" s="19">
        <v>2012</v>
      </c>
      <c r="K52" s="18"/>
      <c r="L52" s="18"/>
      <c r="M52" s="7" t="str">
        <f t="shared" si="6"/>
        <v/>
      </c>
      <c r="N52" s="7">
        <f t="shared" si="7"/>
        <v>-46027</v>
      </c>
      <c r="O52" s="50"/>
      <c r="P52" s="42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22.15" hidden="1" customHeight="1">
      <c r="A53"/>
      <c r="B53" s="6" t="s">
        <v>59</v>
      </c>
      <c r="C53" s="15" t="s">
        <v>8</v>
      </c>
      <c r="D53" s="16">
        <v>740</v>
      </c>
      <c r="E53" s="18"/>
      <c r="F53" s="18"/>
      <c r="G53" s="7" t="str">
        <f t="shared" si="4"/>
        <v/>
      </c>
      <c r="H53" s="7">
        <f t="shared" si="5"/>
        <v>-46027</v>
      </c>
      <c r="I53" s="15" t="s">
        <v>8</v>
      </c>
      <c r="J53" s="16">
        <v>740</v>
      </c>
      <c r="K53" s="18"/>
      <c r="L53" s="18"/>
      <c r="M53" s="7" t="str">
        <f t="shared" si="6"/>
        <v/>
      </c>
      <c r="N53" s="7">
        <f t="shared" si="7"/>
        <v>-46027</v>
      </c>
      <c r="O53" s="50"/>
      <c r="P53" s="42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22.15" hidden="1" customHeight="1">
      <c r="A54"/>
      <c r="B54" s="6" t="s">
        <v>60</v>
      </c>
      <c r="C54" s="15" t="s">
        <v>8</v>
      </c>
      <c r="D54" s="16">
        <v>92</v>
      </c>
      <c r="E54" s="18"/>
      <c r="F54" s="18"/>
      <c r="G54" s="7" t="str">
        <f t="shared" si="4"/>
        <v/>
      </c>
      <c r="H54" s="7">
        <f t="shared" si="5"/>
        <v>-46027</v>
      </c>
      <c r="I54" s="15" t="s">
        <v>8</v>
      </c>
      <c r="J54" s="16">
        <v>92</v>
      </c>
      <c r="K54" s="18"/>
      <c r="L54" s="18"/>
      <c r="M54" s="7" t="str">
        <f t="shared" si="6"/>
        <v/>
      </c>
      <c r="N54" s="7">
        <f t="shared" si="7"/>
        <v>-46027</v>
      </c>
      <c r="O54" s="50"/>
      <c r="P54" s="42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22.15" hidden="1" customHeight="1">
      <c r="A55"/>
      <c r="B55" s="6" t="s">
        <v>61</v>
      </c>
      <c r="C55" s="15" t="s">
        <v>8</v>
      </c>
      <c r="D55" s="16">
        <v>636</v>
      </c>
      <c r="E55" s="18"/>
      <c r="F55" s="18"/>
      <c r="G55" s="7" t="str">
        <f t="shared" si="4"/>
        <v/>
      </c>
      <c r="H55" s="7">
        <f t="shared" si="5"/>
        <v>-46027</v>
      </c>
      <c r="I55" s="15" t="s">
        <v>8</v>
      </c>
      <c r="J55" s="16">
        <v>636</v>
      </c>
      <c r="K55" s="18"/>
      <c r="L55" s="18"/>
      <c r="M55" s="7" t="str">
        <f t="shared" si="6"/>
        <v/>
      </c>
      <c r="N55" s="7">
        <f t="shared" si="7"/>
        <v>-46027</v>
      </c>
      <c r="O55" s="50"/>
      <c r="P55" s="42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22.15" hidden="1" customHeight="1">
      <c r="A56"/>
      <c r="B56" s="6" t="s">
        <v>62</v>
      </c>
      <c r="C56" s="15" t="s">
        <v>8</v>
      </c>
      <c r="D56" s="16">
        <v>636</v>
      </c>
      <c r="E56" s="18"/>
      <c r="F56" s="18"/>
      <c r="G56" s="7" t="str">
        <f t="shared" si="4"/>
        <v/>
      </c>
      <c r="H56" s="7">
        <f t="shared" si="5"/>
        <v>-46027</v>
      </c>
      <c r="I56" s="15" t="s">
        <v>8</v>
      </c>
      <c r="J56" s="16">
        <v>636</v>
      </c>
      <c r="K56" s="18"/>
      <c r="L56" s="18"/>
      <c r="M56" s="7" t="str">
        <f t="shared" si="6"/>
        <v/>
      </c>
      <c r="N56" s="7">
        <f t="shared" si="7"/>
        <v>-46027</v>
      </c>
      <c r="O56" s="50"/>
      <c r="P56" s="42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22.15" hidden="1" customHeight="1">
      <c r="A57"/>
      <c r="B57" s="6" t="s">
        <v>63</v>
      </c>
      <c r="C57" s="15" t="s">
        <v>8</v>
      </c>
      <c r="D57" s="16">
        <v>620</v>
      </c>
      <c r="E57" s="18"/>
      <c r="F57" s="18"/>
      <c r="G57" s="7" t="str">
        <f t="shared" si="4"/>
        <v/>
      </c>
      <c r="H57" s="7">
        <f t="shared" si="5"/>
        <v>-46027</v>
      </c>
      <c r="I57" s="15" t="s">
        <v>8</v>
      </c>
      <c r="J57" s="16">
        <v>620</v>
      </c>
      <c r="K57" s="18"/>
      <c r="L57" s="18"/>
      <c r="M57" s="7" t="str">
        <f t="shared" si="6"/>
        <v/>
      </c>
      <c r="N57" s="7">
        <f t="shared" si="7"/>
        <v>-46027</v>
      </c>
      <c r="O57" s="50"/>
      <c r="P57" s="42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22.15" hidden="1" customHeight="1">
      <c r="A58"/>
      <c r="B58" s="6" t="s">
        <v>64</v>
      </c>
      <c r="C58" s="15" t="s">
        <v>8</v>
      </c>
      <c r="D58" s="16">
        <v>636</v>
      </c>
      <c r="E58" s="18"/>
      <c r="F58" s="18"/>
      <c r="G58" s="7" t="str">
        <f t="shared" si="4"/>
        <v/>
      </c>
      <c r="H58" s="7">
        <f t="shared" si="5"/>
        <v>-46027</v>
      </c>
      <c r="I58" s="15" t="s">
        <v>8</v>
      </c>
      <c r="J58" s="16">
        <v>636</v>
      </c>
      <c r="K58" s="18"/>
      <c r="L58" s="18"/>
      <c r="M58" s="7" t="str">
        <f t="shared" si="6"/>
        <v/>
      </c>
      <c r="N58" s="7">
        <f t="shared" si="7"/>
        <v>-46027</v>
      </c>
      <c r="O58" s="50"/>
      <c r="P58" s="42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22.15" hidden="1" customHeight="1">
      <c r="A59"/>
      <c r="B59" s="6" t="s">
        <v>65</v>
      </c>
      <c r="C59" s="15" t="s">
        <v>8</v>
      </c>
      <c r="D59" s="19">
        <v>3844</v>
      </c>
      <c r="E59" s="18"/>
      <c r="F59" s="18"/>
      <c r="G59" s="7" t="str">
        <f t="shared" si="4"/>
        <v/>
      </c>
      <c r="H59" s="7">
        <f t="shared" si="5"/>
        <v>-46027</v>
      </c>
      <c r="I59" s="15" t="s">
        <v>8</v>
      </c>
      <c r="J59" s="19">
        <v>3844</v>
      </c>
      <c r="K59" s="18"/>
      <c r="L59" s="18"/>
      <c r="M59" s="7" t="str">
        <f t="shared" si="6"/>
        <v/>
      </c>
      <c r="N59" s="7">
        <f t="shared" si="7"/>
        <v>-46027</v>
      </c>
      <c r="O59" s="50"/>
      <c r="P59" s="42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22.15" hidden="1" customHeight="1">
      <c r="A60"/>
      <c r="B60" s="6" t="s">
        <v>66</v>
      </c>
      <c r="C60" s="15" t="s">
        <v>8</v>
      </c>
      <c r="D60" s="19">
        <v>3244</v>
      </c>
      <c r="E60" s="18"/>
      <c r="F60" s="18"/>
      <c r="G60" s="7" t="str">
        <f t="shared" si="4"/>
        <v/>
      </c>
      <c r="H60" s="7">
        <f t="shared" si="5"/>
        <v>-46027</v>
      </c>
      <c r="I60" s="15" t="s">
        <v>8</v>
      </c>
      <c r="J60" s="19">
        <v>3244</v>
      </c>
      <c r="K60" s="18"/>
      <c r="L60" s="18"/>
      <c r="M60" s="7" t="str">
        <f t="shared" si="6"/>
        <v/>
      </c>
      <c r="N60" s="7">
        <f t="shared" si="7"/>
        <v>-46027</v>
      </c>
      <c r="O60" s="50"/>
      <c r="P60" s="42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22.15" hidden="1" customHeight="1">
      <c r="A61"/>
      <c r="B61" s="6" t="s">
        <v>67</v>
      </c>
      <c r="C61" s="15" t="s">
        <v>8</v>
      </c>
      <c r="D61" s="19">
        <v>3244</v>
      </c>
      <c r="E61" s="18"/>
      <c r="F61" s="18"/>
      <c r="G61" s="7" t="str">
        <f t="shared" si="4"/>
        <v/>
      </c>
      <c r="H61" s="7">
        <f t="shared" si="5"/>
        <v>-46027</v>
      </c>
      <c r="I61" s="15" t="s">
        <v>8</v>
      </c>
      <c r="J61" s="19">
        <v>3244</v>
      </c>
      <c r="K61" s="18"/>
      <c r="L61" s="18"/>
      <c r="M61" s="7" t="str">
        <f t="shared" si="6"/>
        <v/>
      </c>
      <c r="N61" s="7">
        <f t="shared" si="7"/>
        <v>-46027</v>
      </c>
      <c r="O61" s="50"/>
      <c r="P61" s="42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22.15" hidden="1" customHeight="1">
      <c r="A62"/>
      <c r="B62" s="6" t="s">
        <v>68</v>
      </c>
      <c r="C62" s="15" t="s">
        <v>8</v>
      </c>
      <c r="D62" s="19">
        <v>3268</v>
      </c>
      <c r="E62" s="18"/>
      <c r="F62" s="18"/>
      <c r="G62" s="7" t="str">
        <f t="shared" si="4"/>
        <v/>
      </c>
      <c r="H62" s="7">
        <f t="shared" si="5"/>
        <v>-46027</v>
      </c>
      <c r="I62" s="15" t="s">
        <v>8</v>
      </c>
      <c r="J62" s="19">
        <v>3268</v>
      </c>
      <c r="K62" s="18"/>
      <c r="L62" s="18"/>
      <c r="M62" s="7" t="str">
        <f t="shared" si="6"/>
        <v/>
      </c>
      <c r="N62" s="7">
        <f t="shared" si="7"/>
        <v>-46027</v>
      </c>
      <c r="O62" s="50"/>
      <c r="P62" s="42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22.15" hidden="1" customHeight="1">
      <c r="A63"/>
      <c r="B63" s="6" t="s">
        <v>69</v>
      </c>
      <c r="C63" s="15" t="s">
        <v>8</v>
      </c>
      <c r="D63" s="19">
        <v>1608</v>
      </c>
      <c r="E63" s="18"/>
      <c r="F63" s="18"/>
      <c r="G63" s="7" t="str">
        <f t="shared" si="4"/>
        <v/>
      </c>
      <c r="H63" s="7">
        <f t="shared" si="5"/>
        <v>-46027</v>
      </c>
      <c r="I63" s="15" t="s">
        <v>8</v>
      </c>
      <c r="J63" s="19">
        <v>1608</v>
      </c>
      <c r="K63" s="18"/>
      <c r="L63" s="18"/>
      <c r="M63" s="7" t="str">
        <f t="shared" si="6"/>
        <v/>
      </c>
      <c r="N63" s="7">
        <f t="shared" si="7"/>
        <v>-46027</v>
      </c>
      <c r="O63" s="50"/>
      <c r="P63" s="42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22.15" hidden="1" customHeight="1">
      <c r="A64"/>
      <c r="B64" s="6" t="s">
        <v>70</v>
      </c>
      <c r="C64" s="15" t="s">
        <v>8</v>
      </c>
      <c r="D64" s="19">
        <v>1284</v>
      </c>
      <c r="E64" s="18"/>
      <c r="F64" s="18"/>
      <c r="G64" s="7" t="str">
        <f t="shared" si="4"/>
        <v/>
      </c>
      <c r="H64" s="7">
        <f t="shared" si="5"/>
        <v>-46027</v>
      </c>
      <c r="I64" s="15" t="s">
        <v>8</v>
      </c>
      <c r="J64" s="19">
        <v>1284</v>
      </c>
      <c r="K64" s="18"/>
      <c r="L64" s="18"/>
      <c r="M64" s="7" t="str">
        <f t="shared" si="6"/>
        <v/>
      </c>
      <c r="N64" s="7">
        <f t="shared" si="7"/>
        <v>-46027</v>
      </c>
      <c r="O64" s="50"/>
      <c r="P64" s="42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22.15" hidden="1" customHeight="1">
      <c r="A65"/>
      <c r="B65" s="6" t="s">
        <v>71</v>
      </c>
      <c r="C65" s="15" t="s">
        <v>8</v>
      </c>
      <c r="D65" s="19">
        <v>1266</v>
      </c>
      <c r="E65" s="18"/>
      <c r="F65" s="18"/>
      <c r="G65" s="7" t="str">
        <f t="shared" si="4"/>
        <v/>
      </c>
      <c r="H65" s="7">
        <f t="shared" si="5"/>
        <v>-46027</v>
      </c>
      <c r="I65" s="15" t="s">
        <v>8</v>
      </c>
      <c r="J65" s="19">
        <v>1266</v>
      </c>
      <c r="K65" s="18"/>
      <c r="L65" s="18"/>
      <c r="M65" s="7" t="str">
        <f t="shared" si="6"/>
        <v/>
      </c>
      <c r="N65" s="7">
        <f t="shared" si="7"/>
        <v>-46027</v>
      </c>
      <c r="O65" s="50"/>
      <c r="P65" s="42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22.15" hidden="1" customHeight="1">
      <c r="A66"/>
      <c r="B66" s="6" t="s">
        <v>72</v>
      </c>
      <c r="C66" s="15" t="s">
        <v>8</v>
      </c>
      <c r="D66" s="19">
        <v>1278</v>
      </c>
      <c r="E66" s="18"/>
      <c r="F66" s="18"/>
      <c r="G66" s="7" t="str">
        <f t="shared" si="4"/>
        <v/>
      </c>
      <c r="H66" s="7">
        <f t="shared" si="5"/>
        <v>-46027</v>
      </c>
      <c r="I66" s="15" t="s">
        <v>8</v>
      </c>
      <c r="J66" s="19">
        <v>1278</v>
      </c>
      <c r="K66" s="18"/>
      <c r="L66" s="18"/>
      <c r="M66" s="7" t="str">
        <f t="shared" si="6"/>
        <v/>
      </c>
      <c r="N66" s="7">
        <f t="shared" si="7"/>
        <v>-46027</v>
      </c>
      <c r="O66" s="50"/>
      <c r="P66" s="42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22.15" hidden="1" customHeight="1">
      <c r="A67"/>
      <c r="B67" s="6" t="s">
        <v>73</v>
      </c>
      <c r="C67" s="15" t="s">
        <v>8</v>
      </c>
      <c r="D67" s="16">
        <v>300</v>
      </c>
      <c r="E67" s="18"/>
      <c r="F67" s="18"/>
      <c r="G67" s="7" t="str">
        <f t="shared" si="4"/>
        <v/>
      </c>
      <c r="H67" s="7">
        <f t="shared" si="5"/>
        <v>-46027</v>
      </c>
      <c r="I67" s="15" t="s">
        <v>8</v>
      </c>
      <c r="J67" s="16">
        <v>300</v>
      </c>
      <c r="K67" s="18"/>
      <c r="L67" s="18"/>
      <c r="M67" s="7" t="str">
        <f t="shared" si="6"/>
        <v/>
      </c>
      <c r="N67" s="7">
        <f t="shared" si="7"/>
        <v>-46027</v>
      </c>
      <c r="O67" s="50"/>
      <c r="P67" s="42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22.15" hidden="1" customHeight="1">
      <c r="A68"/>
      <c r="B68" s="6" t="s">
        <v>74</v>
      </c>
      <c r="C68" s="15" t="s">
        <v>8</v>
      </c>
      <c r="D68" s="16">
        <v>306</v>
      </c>
      <c r="E68" s="18"/>
      <c r="F68" s="18"/>
      <c r="G68" s="7" t="str">
        <f t="shared" si="4"/>
        <v/>
      </c>
      <c r="H68" s="7">
        <f t="shared" si="5"/>
        <v>-46027</v>
      </c>
      <c r="I68" s="15" t="s">
        <v>8</v>
      </c>
      <c r="J68" s="16">
        <v>306</v>
      </c>
      <c r="K68" s="18"/>
      <c r="L68" s="18"/>
      <c r="M68" s="7" t="str">
        <f t="shared" si="6"/>
        <v/>
      </c>
      <c r="N68" s="7">
        <f t="shared" si="7"/>
        <v>-46027</v>
      </c>
      <c r="O68" s="50"/>
      <c r="P68" s="42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22.15" hidden="1" customHeight="1">
      <c r="A69"/>
      <c r="B69" s="6" t="s">
        <v>75</v>
      </c>
      <c r="C69" s="15" t="s">
        <v>8</v>
      </c>
      <c r="D69" s="19">
        <v>1296</v>
      </c>
      <c r="E69" s="18"/>
      <c r="F69" s="18"/>
      <c r="G69" s="7" t="str">
        <f t="shared" si="4"/>
        <v/>
      </c>
      <c r="H69" s="7">
        <f t="shared" si="5"/>
        <v>-46027</v>
      </c>
      <c r="I69" s="15" t="s">
        <v>8</v>
      </c>
      <c r="J69" s="19">
        <v>1296</v>
      </c>
      <c r="K69" s="18"/>
      <c r="L69" s="18"/>
      <c r="M69" s="7" t="str">
        <f t="shared" si="6"/>
        <v/>
      </c>
      <c r="N69" s="7">
        <f t="shared" si="7"/>
        <v>-46027</v>
      </c>
      <c r="O69" s="50"/>
      <c r="P69" s="42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22.15" hidden="1" customHeight="1">
      <c r="A70"/>
      <c r="B70" s="6" t="s">
        <v>76</v>
      </c>
      <c r="C70" s="15" t="s">
        <v>8</v>
      </c>
      <c r="D70" s="16">
        <v>414</v>
      </c>
      <c r="E70" s="18"/>
      <c r="F70" s="18"/>
      <c r="G70" s="7" t="str">
        <f t="shared" si="4"/>
        <v/>
      </c>
      <c r="H70" s="7">
        <f t="shared" si="5"/>
        <v>-46027</v>
      </c>
      <c r="I70" s="15" t="s">
        <v>8</v>
      </c>
      <c r="J70" s="16">
        <v>414</v>
      </c>
      <c r="K70" s="18"/>
      <c r="L70" s="18"/>
      <c r="M70" s="7" t="str">
        <f t="shared" si="6"/>
        <v/>
      </c>
      <c r="N70" s="7">
        <f t="shared" si="7"/>
        <v>-46027</v>
      </c>
      <c r="O70" s="50"/>
      <c r="P70" s="42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28.5" customHeight="1">
      <c r="A71"/>
      <c r="B71" s="8" t="s">
        <v>77</v>
      </c>
      <c r="C71" s="39" t="s">
        <v>8</v>
      </c>
      <c r="D71" s="40">
        <v>12</v>
      </c>
      <c r="E71" s="20">
        <v>45982</v>
      </c>
      <c r="F71" s="18">
        <v>46032</v>
      </c>
      <c r="G71" s="7">
        <f t="shared" si="4"/>
        <v>10</v>
      </c>
      <c r="H71" s="7">
        <f t="shared" si="5"/>
        <v>5</v>
      </c>
      <c r="I71" s="39" t="s">
        <v>8</v>
      </c>
      <c r="J71" s="40">
        <v>12</v>
      </c>
      <c r="K71" s="20">
        <v>45982</v>
      </c>
      <c r="L71" s="18">
        <v>46032</v>
      </c>
      <c r="M71" s="7">
        <f t="shared" si="6"/>
        <v>10</v>
      </c>
      <c r="N71" s="7">
        <f t="shared" si="7"/>
        <v>5</v>
      </c>
      <c r="O71" s="53">
        <f>D71-J71</f>
        <v>0</v>
      </c>
      <c r="P71" s="42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22.15" hidden="1" customHeight="1">
      <c r="A72"/>
      <c r="B72" s="10"/>
      <c r="C72" s="39"/>
      <c r="D72" s="40"/>
      <c r="E72" s="18"/>
      <c r="F72" s="18"/>
      <c r="G72" s="7" t="str">
        <f t="shared" ref="G72:G82" si="8">IFERROR((F72-$G$1)/(F72-E72)*100,"")</f>
        <v/>
      </c>
      <c r="H72" s="7">
        <f t="shared" ref="H72:H82" si="9">F72-$H$1</f>
        <v>-46027</v>
      </c>
      <c r="I72" s="39"/>
      <c r="J72" s="40"/>
      <c r="K72" s="18"/>
      <c r="L72" s="18"/>
      <c r="M72" s="7" t="str">
        <f t="shared" si="6"/>
        <v/>
      </c>
      <c r="N72" s="7">
        <f t="shared" si="7"/>
        <v>-46027</v>
      </c>
      <c r="O72" s="46">
        <f t="shared" ref="O72:O98" si="10">D72-J72</f>
        <v>0</v>
      </c>
      <c r="P72" s="42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22.15" hidden="1" customHeight="1">
      <c r="A73"/>
      <c r="B73" s="10"/>
      <c r="C73" s="39"/>
      <c r="D73" s="40"/>
      <c r="E73" s="18"/>
      <c r="F73" s="18"/>
      <c r="G73" s="7" t="str">
        <f t="shared" si="8"/>
        <v/>
      </c>
      <c r="H73" s="7">
        <f t="shared" si="9"/>
        <v>-46027</v>
      </c>
      <c r="I73" s="39"/>
      <c r="J73" s="40"/>
      <c r="K73" s="18"/>
      <c r="L73" s="18"/>
      <c r="M73" s="7" t="str">
        <f t="shared" si="6"/>
        <v/>
      </c>
      <c r="N73" s="7">
        <f t="shared" si="7"/>
        <v>-46027</v>
      </c>
      <c r="O73" s="46">
        <f t="shared" si="10"/>
        <v>0</v>
      </c>
      <c r="P73" s="42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22.15" hidden="1" customHeight="1">
      <c r="A74"/>
      <c r="B74" s="10"/>
      <c r="C74" s="39"/>
      <c r="D74" s="40"/>
      <c r="E74" s="18"/>
      <c r="F74" s="18"/>
      <c r="G74" s="7" t="str">
        <f t="shared" si="8"/>
        <v/>
      </c>
      <c r="H74" s="7">
        <f t="shared" si="9"/>
        <v>-46027</v>
      </c>
      <c r="I74" s="39"/>
      <c r="J74" s="40"/>
      <c r="K74" s="18"/>
      <c r="L74" s="18"/>
      <c r="M74" s="7" t="str">
        <f t="shared" si="6"/>
        <v/>
      </c>
      <c r="N74" s="7">
        <f t="shared" si="7"/>
        <v>-46027</v>
      </c>
      <c r="O74" s="46">
        <f t="shared" si="10"/>
        <v>0</v>
      </c>
      <c r="P74" s="42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22.15" hidden="1" customHeight="1">
      <c r="A75"/>
      <c r="B75" s="10"/>
      <c r="C75" s="39"/>
      <c r="D75" s="40"/>
      <c r="E75" s="18"/>
      <c r="F75" s="18"/>
      <c r="G75" s="7" t="str">
        <f t="shared" si="8"/>
        <v/>
      </c>
      <c r="H75" s="7">
        <f t="shared" si="9"/>
        <v>-46027</v>
      </c>
      <c r="I75" s="39"/>
      <c r="J75" s="40"/>
      <c r="K75" s="18"/>
      <c r="L75" s="18"/>
      <c r="M75" s="7" t="str">
        <f t="shared" si="6"/>
        <v/>
      </c>
      <c r="N75" s="7">
        <f t="shared" si="7"/>
        <v>-46027</v>
      </c>
      <c r="O75" s="46">
        <f t="shared" si="10"/>
        <v>0</v>
      </c>
      <c r="P75" s="42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22.15" hidden="1" customHeight="1">
      <c r="A76"/>
      <c r="B76" s="10"/>
      <c r="C76" s="39"/>
      <c r="D76" s="40"/>
      <c r="E76" s="18"/>
      <c r="F76" s="18"/>
      <c r="G76" s="7" t="str">
        <f t="shared" si="8"/>
        <v/>
      </c>
      <c r="H76" s="7">
        <f t="shared" si="9"/>
        <v>-46027</v>
      </c>
      <c r="I76" s="39"/>
      <c r="J76" s="40"/>
      <c r="K76" s="18"/>
      <c r="L76" s="18"/>
      <c r="M76" s="7" t="str">
        <f t="shared" si="6"/>
        <v/>
      </c>
      <c r="N76" s="7">
        <f t="shared" si="7"/>
        <v>-46027</v>
      </c>
      <c r="O76" s="46">
        <f t="shared" si="10"/>
        <v>0</v>
      </c>
      <c r="P76" s="42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22.15" customHeight="1">
      <c r="A77"/>
      <c r="B77" s="48" t="s">
        <v>78</v>
      </c>
      <c r="C77" s="39" t="s">
        <v>14</v>
      </c>
      <c r="D77" s="40">
        <v>6.6349999999999998</v>
      </c>
      <c r="E77" s="18">
        <v>46004</v>
      </c>
      <c r="F77" s="18">
        <v>46049</v>
      </c>
      <c r="G77" s="7">
        <f t="shared" si="8"/>
        <v>48.888888888888886</v>
      </c>
      <c r="H77" s="7">
        <f t="shared" si="9"/>
        <v>22</v>
      </c>
      <c r="I77" s="39" t="s">
        <v>14</v>
      </c>
      <c r="J77" s="40">
        <v>0</v>
      </c>
      <c r="K77" s="18">
        <v>46004</v>
      </c>
      <c r="L77" s="18">
        <v>46049</v>
      </c>
      <c r="M77" s="7">
        <f t="shared" si="6"/>
        <v>48.888888888888886</v>
      </c>
      <c r="N77" s="7">
        <f t="shared" si="7"/>
        <v>22</v>
      </c>
      <c r="O77" s="47">
        <f t="shared" si="10"/>
        <v>6.6349999999999998</v>
      </c>
      <c r="P77" s="42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22.15" customHeight="1">
      <c r="A78"/>
      <c r="B78" s="48" t="s">
        <v>79</v>
      </c>
      <c r="C78" s="39" t="s">
        <v>14</v>
      </c>
      <c r="D78" s="40">
        <v>16.567</v>
      </c>
      <c r="E78" s="18">
        <v>46003</v>
      </c>
      <c r="F78" s="18">
        <v>46048</v>
      </c>
      <c r="G78" s="7">
        <f t="shared" si="8"/>
        <v>46.666666666666664</v>
      </c>
      <c r="H78" s="7">
        <f t="shared" si="9"/>
        <v>21</v>
      </c>
      <c r="I78" s="15" t="s">
        <v>14</v>
      </c>
      <c r="J78" s="21">
        <v>0</v>
      </c>
      <c r="K78" s="18">
        <v>46003</v>
      </c>
      <c r="L78" s="18">
        <v>46048</v>
      </c>
      <c r="M78" s="7">
        <f t="shared" si="6"/>
        <v>46.666666666666664</v>
      </c>
      <c r="N78" s="7">
        <f t="shared" si="7"/>
        <v>21</v>
      </c>
      <c r="O78" s="47">
        <f t="shared" si="10"/>
        <v>16.567</v>
      </c>
      <c r="P78" s="42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22.15" customHeight="1">
      <c r="A79"/>
      <c r="B79" s="8" t="s">
        <v>79</v>
      </c>
      <c r="C79" s="15" t="s">
        <v>80</v>
      </c>
      <c r="D79" s="21">
        <v>31.140999999999998</v>
      </c>
      <c r="E79" s="18">
        <v>46004</v>
      </c>
      <c r="F79" s="18">
        <v>46049</v>
      </c>
      <c r="G79" s="7">
        <f t="shared" si="8"/>
        <v>48.888888888888886</v>
      </c>
      <c r="H79" s="7">
        <f t="shared" si="9"/>
        <v>22</v>
      </c>
      <c r="I79" s="15" t="s">
        <v>80</v>
      </c>
      <c r="J79" s="21">
        <v>8.2370000000000001</v>
      </c>
      <c r="K79" s="18">
        <v>46004</v>
      </c>
      <c r="L79" s="18">
        <v>46049</v>
      </c>
      <c r="M79" s="7">
        <f t="shared" si="6"/>
        <v>48.888888888888886</v>
      </c>
      <c r="N79" s="7">
        <f t="shared" si="7"/>
        <v>22</v>
      </c>
      <c r="O79" s="46">
        <f t="shared" si="10"/>
        <v>22.903999999999996</v>
      </c>
      <c r="P79" s="42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22.15" customHeight="1">
      <c r="A80"/>
      <c r="B80" s="48" t="s">
        <v>79</v>
      </c>
      <c r="C80" s="15" t="s">
        <v>14</v>
      </c>
      <c r="D80" s="22">
        <v>2.0569999999999999</v>
      </c>
      <c r="E80" s="18">
        <v>45994</v>
      </c>
      <c r="F80" s="18">
        <v>46039</v>
      </c>
      <c r="G80" s="7">
        <f t="shared" si="8"/>
        <v>26.666666666666668</v>
      </c>
      <c r="H80" s="7">
        <f t="shared" si="9"/>
        <v>12</v>
      </c>
      <c r="I80" s="15" t="s">
        <v>14</v>
      </c>
      <c r="J80" s="22">
        <v>0</v>
      </c>
      <c r="K80" s="18">
        <v>45994</v>
      </c>
      <c r="L80" s="18">
        <v>46039</v>
      </c>
      <c r="M80" s="7">
        <f t="shared" si="6"/>
        <v>26.666666666666668</v>
      </c>
      <c r="N80" s="7">
        <f t="shared" si="7"/>
        <v>12</v>
      </c>
      <c r="O80" s="47">
        <f t="shared" si="10"/>
        <v>2.0569999999999999</v>
      </c>
      <c r="P80" s="42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22.15" customHeight="1">
      <c r="A81"/>
      <c r="B81" s="8" t="s">
        <v>81</v>
      </c>
      <c r="C81" s="23" t="s">
        <v>14</v>
      </c>
      <c r="D81" s="22">
        <v>40.246000000000002</v>
      </c>
      <c r="E81" s="18">
        <v>45997</v>
      </c>
      <c r="F81" s="18">
        <v>46042</v>
      </c>
      <c r="G81" s="7">
        <f t="shared" si="8"/>
        <v>33.333333333333329</v>
      </c>
      <c r="H81" s="7">
        <f t="shared" si="9"/>
        <v>15</v>
      </c>
      <c r="I81" s="23" t="s">
        <v>14</v>
      </c>
      <c r="J81" s="22">
        <v>13.388999999999999</v>
      </c>
      <c r="K81" s="18">
        <v>45997</v>
      </c>
      <c r="L81" s="18">
        <v>46042</v>
      </c>
      <c r="M81" s="7">
        <f t="shared" si="6"/>
        <v>33.333333333333329</v>
      </c>
      <c r="N81" s="7">
        <f t="shared" si="7"/>
        <v>15</v>
      </c>
      <c r="O81" s="46">
        <f t="shared" si="10"/>
        <v>26.857000000000003</v>
      </c>
      <c r="P81" s="42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22.15" customHeight="1">
      <c r="A82"/>
      <c r="B82" s="48" t="s">
        <v>82</v>
      </c>
      <c r="C82" s="15" t="s">
        <v>14</v>
      </c>
      <c r="D82" s="22">
        <v>12.492000000000001</v>
      </c>
      <c r="E82" s="18">
        <v>46001</v>
      </c>
      <c r="F82" s="18">
        <v>46051</v>
      </c>
      <c r="G82" s="7">
        <f t="shared" si="8"/>
        <v>48</v>
      </c>
      <c r="H82" s="7">
        <f t="shared" si="9"/>
        <v>24</v>
      </c>
      <c r="I82" s="15" t="s">
        <v>14</v>
      </c>
      <c r="J82" s="22">
        <v>0</v>
      </c>
      <c r="K82" s="18">
        <v>46001</v>
      </c>
      <c r="L82" s="18">
        <v>46051</v>
      </c>
      <c r="M82" s="7">
        <f t="shared" si="6"/>
        <v>48</v>
      </c>
      <c r="N82" s="7">
        <f t="shared" si="7"/>
        <v>24</v>
      </c>
      <c r="O82" s="47">
        <f t="shared" si="10"/>
        <v>12.492000000000001</v>
      </c>
      <c r="P82" s="42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22.15" customHeight="1">
      <c r="A83"/>
      <c r="B83" s="48" t="s">
        <v>82</v>
      </c>
      <c r="C83" s="15" t="s">
        <v>14</v>
      </c>
      <c r="D83" s="21">
        <v>35.746000000000002</v>
      </c>
      <c r="E83" s="18">
        <v>46001</v>
      </c>
      <c r="F83" s="18">
        <v>46052</v>
      </c>
      <c r="G83" s="7">
        <f t="shared" ref="G83" si="11">IFERROR((F83-$G$1)/(F83-E83)*100,"")</f>
        <v>49.019607843137251</v>
      </c>
      <c r="H83" s="7">
        <f t="shared" ref="H83" si="12">F83-$H$1</f>
        <v>25</v>
      </c>
      <c r="I83" s="15" t="s">
        <v>14</v>
      </c>
      <c r="J83" s="21">
        <v>0</v>
      </c>
      <c r="K83" s="18">
        <v>46001</v>
      </c>
      <c r="L83" s="18">
        <v>46052</v>
      </c>
      <c r="M83" s="7">
        <f t="shared" si="6"/>
        <v>49.019607843137251</v>
      </c>
      <c r="N83" s="7">
        <f t="shared" si="7"/>
        <v>25</v>
      </c>
      <c r="O83" s="47">
        <f t="shared" si="10"/>
        <v>35.746000000000002</v>
      </c>
      <c r="P83" s="42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22.15" customHeight="1">
      <c r="A84"/>
      <c r="B84" s="8" t="s">
        <v>83</v>
      </c>
      <c r="C84" s="15" t="s">
        <v>14</v>
      </c>
      <c r="D84" s="45">
        <v>13.66</v>
      </c>
      <c r="E84" s="18">
        <v>45996</v>
      </c>
      <c r="F84" s="18">
        <v>46041</v>
      </c>
      <c r="G84" s="7">
        <f t="shared" ref="G84:G86" si="13">IFERROR((F84-$G$1)/(F84-E84)*100,"")</f>
        <v>31.111111111111111</v>
      </c>
      <c r="H84" s="7">
        <f t="shared" ref="H84:H86" si="14">F84-$H$1</f>
        <v>14</v>
      </c>
      <c r="I84" s="15" t="s">
        <v>14</v>
      </c>
      <c r="J84" s="21">
        <v>4.1829999999999998</v>
      </c>
      <c r="K84" s="18">
        <v>45996</v>
      </c>
      <c r="L84" s="18">
        <v>46041</v>
      </c>
      <c r="M84" s="7">
        <f t="shared" si="6"/>
        <v>31.111111111111111</v>
      </c>
      <c r="N84" s="7">
        <f t="shared" si="7"/>
        <v>14</v>
      </c>
      <c r="O84" s="46">
        <f t="shared" si="10"/>
        <v>9.4770000000000003</v>
      </c>
      <c r="P84" s="42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22.15" customHeight="1">
      <c r="A85"/>
      <c r="B85" s="8" t="s">
        <v>97</v>
      </c>
      <c r="C85" s="15" t="s">
        <v>14</v>
      </c>
      <c r="D85" s="21">
        <v>13.875999999999999</v>
      </c>
      <c r="E85" s="18">
        <v>45983</v>
      </c>
      <c r="F85" s="18">
        <v>46033</v>
      </c>
      <c r="G85" s="7">
        <f t="shared" si="13"/>
        <v>12</v>
      </c>
      <c r="H85" s="7">
        <f t="shared" si="14"/>
        <v>6</v>
      </c>
      <c r="I85" s="15" t="s">
        <v>14</v>
      </c>
      <c r="J85" s="21">
        <v>13.875999999999999</v>
      </c>
      <c r="K85" s="18">
        <v>45983</v>
      </c>
      <c r="L85" s="18">
        <v>46033</v>
      </c>
      <c r="M85" s="7">
        <f t="shared" si="6"/>
        <v>12</v>
      </c>
      <c r="N85" s="7">
        <f t="shared" si="7"/>
        <v>6</v>
      </c>
      <c r="O85" s="53">
        <f t="shared" si="10"/>
        <v>0</v>
      </c>
      <c r="P85" s="42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22.15" customHeight="1">
      <c r="A86"/>
      <c r="B86" s="8" t="s">
        <v>84</v>
      </c>
      <c r="C86" s="15" t="s">
        <v>8</v>
      </c>
      <c r="D86" s="21">
        <v>30</v>
      </c>
      <c r="E86" s="18">
        <v>45998</v>
      </c>
      <c r="F86" s="18">
        <v>46043</v>
      </c>
      <c r="G86" s="7">
        <f t="shared" si="13"/>
        <v>35.555555555555557</v>
      </c>
      <c r="H86" s="7">
        <f t="shared" si="14"/>
        <v>16</v>
      </c>
      <c r="I86" s="15" t="s">
        <v>8</v>
      </c>
      <c r="J86" s="21">
        <v>0</v>
      </c>
      <c r="K86" s="18">
        <v>45998</v>
      </c>
      <c r="L86" s="18">
        <v>46043</v>
      </c>
      <c r="M86" s="7">
        <f t="shared" si="6"/>
        <v>35.555555555555557</v>
      </c>
      <c r="N86" s="7">
        <f t="shared" si="7"/>
        <v>16</v>
      </c>
      <c r="O86" s="53">
        <f t="shared" si="10"/>
        <v>30</v>
      </c>
      <c r="P86" s="42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22.15" customHeight="1">
      <c r="A87"/>
      <c r="B87" s="8" t="s">
        <v>85</v>
      </c>
      <c r="C87" s="15" t="s">
        <v>8</v>
      </c>
      <c r="D87" s="21">
        <v>4</v>
      </c>
      <c r="E87" s="18">
        <v>45986</v>
      </c>
      <c r="F87" s="18">
        <v>46031</v>
      </c>
      <c r="G87" s="7">
        <f t="shared" ref="G87" si="15">IFERROR((F87-$G$1)/(F87-E87)*100,"")</f>
        <v>8.8888888888888893</v>
      </c>
      <c r="H87" s="7">
        <f t="shared" ref="H87" si="16">F87-$H$1</f>
        <v>4</v>
      </c>
      <c r="I87" s="15" t="s">
        <v>8</v>
      </c>
      <c r="J87" s="21">
        <v>3</v>
      </c>
      <c r="K87" s="18">
        <v>45986</v>
      </c>
      <c r="L87" s="18">
        <v>46031</v>
      </c>
      <c r="M87" s="7">
        <f t="shared" si="6"/>
        <v>8.8888888888888893</v>
      </c>
      <c r="N87" s="7">
        <f t="shared" si="7"/>
        <v>4</v>
      </c>
      <c r="O87" s="46">
        <f t="shared" si="10"/>
        <v>1</v>
      </c>
      <c r="P87" s="42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22.15" customHeight="1">
      <c r="A88"/>
      <c r="B88" s="8" t="s">
        <v>86</v>
      </c>
      <c r="C88" s="15" t="s">
        <v>8</v>
      </c>
      <c r="D88" s="21">
        <v>5</v>
      </c>
      <c r="E88" s="18">
        <v>45986</v>
      </c>
      <c r="F88" s="18">
        <v>46031</v>
      </c>
      <c r="G88" s="7">
        <f t="shared" ref="G88:G90" si="17">IFERROR((F88-$G$1)/(F88-E88)*100,"")</f>
        <v>8.8888888888888893</v>
      </c>
      <c r="H88" s="7">
        <f t="shared" ref="H88:H90" si="18">F88-$H$1</f>
        <v>4</v>
      </c>
      <c r="I88" s="15" t="s">
        <v>8</v>
      </c>
      <c r="J88" s="21">
        <v>3</v>
      </c>
      <c r="K88" s="18">
        <v>45986</v>
      </c>
      <c r="L88" s="18">
        <v>46031</v>
      </c>
      <c r="M88" s="7">
        <f t="shared" si="6"/>
        <v>8.8888888888888893</v>
      </c>
      <c r="N88" s="7">
        <f t="shared" si="7"/>
        <v>4</v>
      </c>
      <c r="O88" s="46">
        <f t="shared" si="10"/>
        <v>2</v>
      </c>
      <c r="P88" s="42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22.15" customHeight="1">
      <c r="A89"/>
      <c r="B89" s="48" t="s">
        <v>87</v>
      </c>
      <c r="C89" s="15" t="s">
        <v>8</v>
      </c>
      <c r="D89" s="21">
        <v>3</v>
      </c>
      <c r="E89" s="18">
        <v>45993</v>
      </c>
      <c r="F89" s="18">
        <v>46038</v>
      </c>
      <c r="G89" s="7">
        <f t="shared" si="17"/>
        <v>24.444444444444443</v>
      </c>
      <c r="H89" s="7">
        <f t="shared" si="18"/>
        <v>11</v>
      </c>
      <c r="I89" s="15" t="s">
        <v>8</v>
      </c>
      <c r="J89" s="21">
        <v>0</v>
      </c>
      <c r="K89" s="18">
        <v>45993</v>
      </c>
      <c r="L89" s="18">
        <v>46038</v>
      </c>
      <c r="M89" s="7">
        <f t="shared" si="6"/>
        <v>24.444444444444443</v>
      </c>
      <c r="N89" s="7">
        <f t="shared" si="7"/>
        <v>11</v>
      </c>
      <c r="O89" s="47">
        <f t="shared" si="10"/>
        <v>3</v>
      </c>
      <c r="P89" s="42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22.15" customHeight="1">
      <c r="A90"/>
      <c r="B90" s="48" t="s">
        <v>87</v>
      </c>
      <c r="C90" s="15" t="s">
        <v>8</v>
      </c>
      <c r="D90" s="21">
        <v>8</v>
      </c>
      <c r="E90" s="18">
        <v>46007</v>
      </c>
      <c r="F90" s="18">
        <v>46052</v>
      </c>
      <c r="G90" s="7">
        <f t="shared" si="17"/>
        <v>55.555555555555557</v>
      </c>
      <c r="H90" s="7">
        <f t="shared" si="18"/>
        <v>25</v>
      </c>
      <c r="I90" s="15" t="s">
        <v>8</v>
      </c>
      <c r="J90" s="21">
        <v>0</v>
      </c>
      <c r="K90" s="18">
        <v>46007</v>
      </c>
      <c r="L90" s="18">
        <v>46052</v>
      </c>
      <c r="M90" s="7">
        <f t="shared" si="6"/>
        <v>55.555555555555557</v>
      </c>
      <c r="N90" s="7">
        <f t="shared" si="7"/>
        <v>25</v>
      </c>
      <c r="O90" s="47">
        <f t="shared" si="10"/>
        <v>8</v>
      </c>
      <c r="P90" s="42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22.15" customHeight="1">
      <c r="A91"/>
      <c r="B91" s="48" t="s">
        <v>88</v>
      </c>
      <c r="C91" s="15" t="s">
        <v>8</v>
      </c>
      <c r="D91" s="21">
        <v>61</v>
      </c>
      <c r="E91" s="18">
        <v>45996</v>
      </c>
      <c r="F91" s="18">
        <v>46056</v>
      </c>
      <c r="G91" s="7">
        <f t="shared" ref="G91:G103" si="19">IFERROR((F91-$G$1)/(F91-E91)*100,"")</f>
        <v>48.333333333333336</v>
      </c>
      <c r="H91" s="7">
        <f t="shared" ref="H91:H103" si="20">F91-$H$1</f>
        <v>29</v>
      </c>
      <c r="I91" s="15" t="s">
        <v>8</v>
      </c>
      <c r="J91" s="21">
        <v>0</v>
      </c>
      <c r="K91" s="18">
        <v>45996</v>
      </c>
      <c r="L91" s="18">
        <v>46056</v>
      </c>
      <c r="M91" s="7">
        <f t="shared" si="6"/>
        <v>48.333333333333336</v>
      </c>
      <c r="N91" s="7">
        <f t="shared" si="7"/>
        <v>29</v>
      </c>
      <c r="O91" s="47">
        <f t="shared" si="10"/>
        <v>61</v>
      </c>
      <c r="P91" s="42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22.15" customHeight="1">
      <c r="A92"/>
      <c r="B92" s="48" t="s">
        <v>89</v>
      </c>
      <c r="C92" s="15" t="s">
        <v>8</v>
      </c>
      <c r="D92" s="21">
        <v>4</v>
      </c>
      <c r="E92" s="18">
        <v>46000</v>
      </c>
      <c r="F92" s="18">
        <v>46050</v>
      </c>
      <c r="G92" s="7">
        <f t="shared" si="19"/>
        <v>46</v>
      </c>
      <c r="H92" s="7">
        <f t="shared" si="20"/>
        <v>23</v>
      </c>
      <c r="I92" s="15" t="s">
        <v>8</v>
      </c>
      <c r="J92" s="21">
        <v>0</v>
      </c>
      <c r="K92" s="18">
        <v>46000</v>
      </c>
      <c r="L92" s="18">
        <v>46050</v>
      </c>
      <c r="M92" s="7">
        <f t="shared" si="6"/>
        <v>46</v>
      </c>
      <c r="N92" s="7">
        <f t="shared" si="7"/>
        <v>23</v>
      </c>
      <c r="O92" s="47">
        <f t="shared" si="10"/>
        <v>4</v>
      </c>
      <c r="P92" s="42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22.15" customHeight="1">
      <c r="A93"/>
      <c r="B93" s="48" t="s">
        <v>90</v>
      </c>
      <c r="C93" s="15" t="s">
        <v>14</v>
      </c>
      <c r="D93" s="21">
        <v>16.870999999999999</v>
      </c>
      <c r="E93" s="18">
        <v>46002</v>
      </c>
      <c r="F93" s="18">
        <v>46047</v>
      </c>
      <c r="G93" s="7">
        <f t="shared" si="19"/>
        <v>44.444444444444443</v>
      </c>
      <c r="H93" s="7">
        <f t="shared" si="20"/>
        <v>20</v>
      </c>
      <c r="I93" s="15" t="s">
        <v>14</v>
      </c>
      <c r="J93" s="21">
        <v>0</v>
      </c>
      <c r="K93" s="18">
        <v>46002</v>
      </c>
      <c r="L93" s="18">
        <v>46047</v>
      </c>
      <c r="M93" s="7">
        <f t="shared" si="6"/>
        <v>44.444444444444443</v>
      </c>
      <c r="N93" s="7">
        <f t="shared" si="7"/>
        <v>20</v>
      </c>
      <c r="O93" s="47">
        <f t="shared" si="10"/>
        <v>16.870999999999999</v>
      </c>
      <c r="P93" s="42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22.15" customHeight="1">
      <c r="A94"/>
      <c r="B94" s="48" t="s">
        <v>91</v>
      </c>
      <c r="C94" s="24" t="s">
        <v>8</v>
      </c>
      <c r="D94" s="25">
        <v>2</v>
      </c>
      <c r="E94" s="26">
        <v>46008</v>
      </c>
      <c r="F94" s="26">
        <v>46038</v>
      </c>
      <c r="G94" s="9">
        <f t="shared" si="19"/>
        <v>36.666666666666664</v>
      </c>
      <c r="H94" s="9">
        <f t="shared" si="20"/>
        <v>11</v>
      </c>
      <c r="I94" s="24" t="s">
        <v>8</v>
      </c>
      <c r="J94" s="25">
        <v>0</v>
      </c>
      <c r="K94" s="26">
        <v>46008</v>
      </c>
      <c r="L94" s="26">
        <v>46038</v>
      </c>
      <c r="M94" s="9">
        <f t="shared" si="6"/>
        <v>36.666666666666664</v>
      </c>
      <c r="N94" s="9">
        <f t="shared" si="7"/>
        <v>11</v>
      </c>
      <c r="O94" s="47">
        <f t="shared" si="10"/>
        <v>2</v>
      </c>
      <c r="P94" s="42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22.15" customHeight="1">
      <c r="A95"/>
      <c r="B95" s="8" t="s">
        <v>92</v>
      </c>
      <c r="C95" s="27" t="s">
        <v>14</v>
      </c>
      <c r="D95" s="28">
        <v>363.28</v>
      </c>
      <c r="E95" s="26">
        <v>46002</v>
      </c>
      <c r="F95" s="26">
        <v>46047</v>
      </c>
      <c r="G95" s="9">
        <f t="shared" si="19"/>
        <v>44.444444444444443</v>
      </c>
      <c r="H95" s="9">
        <f t="shared" si="20"/>
        <v>20</v>
      </c>
      <c r="I95" s="27" t="s">
        <v>14</v>
      </c>
      <c r="J95" s="28">
        <v>62.4</v>
      </c>
      <c r="K95" s="26">
        <v>46002</v>
      </c>
      <c r="L95" s="26">
        <v>46047</v>
      </c>
      <c r="M95" s="9">
        <f t="shared" si="6"/>
        <v>44.444444444444443</v>
      </c>
      <c r="N95" s="9">
        <f t="shared" si="7"/>
        <v>20</v>
      </c>
      <c r="O95" s="46">
        <f t="shared" si="10"/>
        <v>300.88</v>
      </c>
      <c r="P95" s="42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22.15" customHeight="1">
      <c r="A96"/>
      <c r="B96" s="48" t="s">
        <v>92</v>
      </c>
      <c r="C96" s="29" t="s">
        <v>14</v>
      </c>
      <c r="D96" s="30">
        <v>114.623</v>
      </c>
      <c r="E96" s="26">
        <v>45993</v>
      </c>
      <c r="F96" s="26">
        <v>46038</v>
      </c>
      <c r="G96" s="9">
        <f t="shared" si="19"/>
        <v>24.444444444444443</v>
      </c>
      <c r="H96" s="9">
        <f t="shared" si="20"/>
        <v>11</v>
      </c>
      <c r="I96" s="29" t="s">
        <v>14</v>
      </c>
      <c r="J96" s="30">
        <v>0</v>
      </c>
      <c r="K96" s="26">
        <v>45993</v>
      </c>
      <c r="L96" s="26">
        <v>46038</v>
      </c>
      <c r="M96" s="9">
        <f t="shared" si="6"/>
        <v>24.444444444444443</v>
      </c>
      <c r="N96" s="9">
        <f t="shared" si="7"/>
        <v>11</v>
      </c>
      <c r="O96" s="47">
        <f t="shared" si="10"/>
        <v>114.623</v>
      </c>
      <c r="P96" s="42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22.15" customHeight="1">
      <c r="A97"/>
      <c r="B97" s="48" t="s">
        <v>93</v>
      </c>
      <c r="C97" s="31" t="s">
        <v>8</v>
      </c>
      <c r="D97" s="32">
        <v>10</v>
      </c>
      <c r="E97" s="26">
        <v>45919</v>
      </c>
      <c r="F97" s="26">
        <v>46069</v>
      </c>
      <c r="G97" s="9">
        <f t="shared" si="19"/>
        <v>28.000000000000004</v>
      </c>
      <c r="H97" s="9">
        <f t="shared" si="20"/>
        <v>42</v>
      </c>
      <c r="I97" s="31" t="s">
        <v>8</v>
      </c>
      <c r="J97" s="32">
        <v>0</v>
      </c>
      <c r="K97" s="26">
        <v>45919</v>
      </c>
      <c r="L97" s="26">
        <v>46069</v>
      </c>
      <c r="M97" s="9">
        <f t="shared" si="6"/>
        <v>28.000000000000004</v>
      </c>
      <c r="N97" s="9">
        <f t="shared" si="7"/>
        <v>42</v>
      </c>
      <c r="O97" s="47">
        <f t="shared" si="10"/>
        <v>10</v>
      </c>
      <c r="P97" s="42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22.15" customHeight="1">
      <c r="A98"/>
      <c r="B98" s="8" t="s">
        <v>94</v>
      </c>
      <c r="C98" s="29" t="s">
        <v>14</v>
      </c>
      <c r="D98" s="30">
        <v>6.54</v>
      </c>
      <c r="E98" s="26">
        <v>45916</v>
      </c>
      <c r="F98" s="26">
        <v>46036</v>
      </c>
      <c r="G98" s="9">
        <f t="shared" si="19"/>
        <v>7.5</v>
      </c>
      <c r="H98" s="9">
        <f t="shared" si="20"/>
        <v>9</v>
      </c>
      <c r="I98" s="29" t="s">
        <v>14</v>
      </c>
      <c r="J98" s="30">
        <v>3.3439999999999999</v>
      </c>
      <c r="K98" s="26">
        <v>45916</v>
      </c>
      <c r="L98" s="26">
        <v>46036</v>
      </c>
      <c r="M98" s="9">
        <f t="shared" si="6"/>
        <v>7.5</v>
      </c>
      <c r="N98" s="9">
        <f t="shared" si="7"/>
        <v>9</v>
      </c>
      <c r="O98" s="46">
        <f t="shared" si="10"/>
        <v>3.1960000000000002</v>
      </c>
      <c r="P98" s="42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22.15" customHeight="1">
      <c r="A99"/>
      <c r="B99" s="8" t="s">
        <v>95</v>
      </c>
      <c r="C99" s="31"/>
      <c r="D99" s="32"/>
      <c r="E99" s="26"/>
      <c r="F99" s="26"/>
      <c r="G99" s="9" t="str">
        <f t="shared" si="19"/>
        <v/>
      </c>
      <c r="H99" s="9">
        <f t="shared" si="20"/>
        <v>-46027</v>
      </c>
      <c r="I99" s="31" t="s">
        <v>96</v>
      </c>
      <c r="J99" s="32">
        <v>13</v>
      </c>
      <c r="K99" s="26">
        <v>46002</v>
      </c>
      <c r="L99" s="26">
        <v>46062</v>
      </c>
      <c r="M99" s="9">
        <f t="shared" si="6"/>
        <v>58.333333333333336</v>
      </c>
      <c r="N99" s="9">
        <f t="shared" si="7"/>
        <v>35</v>
      </c>
      <c r="O99" s="50"/>
      <c r="P99" s="42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22.15" customHeight="1">
      <c r="A100"/>
      <c r="B100" s="8" t="s">
        <v>92</v>
      </c>
      <c r="C100" s="29"/>
      <c r="D100" s="30"/>
      <c r="E100" s="26"/>
      <c r="F100" s="26"/>
      <c r="G100" s="9" t="str">
        <f t="shared" si="19"/>
        <v/>
      </c>
      <c r="H100" s="9">
        <f t="shared" si="20"/>
        <v>-46027</v>
      </c>
      <c r="I100" s="29" t="s">
        <v>14</v>
      </c>
      <c r="J100" s="30">
        <v>251.13900000000001</v>
      </c>
      <c r="K100" s="26">
        <v>46002</v>
      </c>
      <c r="L100" s="26">
        <v>46046</v>
      </c>
      <c r="M100" s="9">
        <f t="shared" si="6"/>
        <v>43.18181818181818</v>
      </c>
      <c r="N100" s="9">
        <f t="shared" si="7"/>
        <v>19</v>
      </c>
      <c r="O100" s="50"/>
      <c r="P100" s="42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22.15" customHeight="1">
      <c r="A101"/>
      <c r="B101" s="8"/>
      <c r="C101" s="31"/>
      <c r="D101" s="32"/>
      <c r="E101" s="26"/>
      <c r="F101" s="26"/>
      <c r="G101" s="9" t="str">
        <f t="shared" si="19"/>
        <v/>
      </c>
      <c r="H101" s="9">
        <f t="shared" si="20"/>
        <v>-46027</v>
      </c>
      <c r="I101" s="31"/>
      <c r="J101" s="32"/>
      <c r="K101" s="26"/>
      <c r="L101" s="26"/>
      <c r="M101" s="9" t="str">
        <f t="shared" si="6"/>
        <v/>
      </c>
      <c r="N101" s="9">
        <f t="shared" si="7"/>
        <v>-46027</v>
      </c>
      <c r="O101" s="50"/>
      <c r="P101" s="42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22.15" customHeight="1">
      <c r="A102"/>
      <c r="B102" s="8"/>
      <c r="C102" s="33"/>
      <c r="D102" s="34"/>
      <c r="E102" s="26"/>
      <c r="F102" s="26"/>
      <c r="G102" s="9" t="str">
        <f t="shared" si="19"/>
        <v/>
      </c>
      <c r="H102" s="9">
        <f t="shared" si="20"/>
        <v>-46027</v>
      </c>
      <c r="I102" s="33"/>
      <c r="J102" s="34"/>
      <c r="K102" s="26"/>
      <c r="L102" s="26"/>
      <c r="M102" s="9" t="str">
        <f t="shared" si="6"/>
        <v/>
      </c>
      <c r="N102" s="9">
        <f t="shared" si="7"/>
        <v>-46027</v>
      </c>
      <c r="O102" s="50"/>
      <c r="P102" s="42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22.15" customHeight="1">
      <c r="A103"/>
      <c r="B103" s="8"/>
      <c r="C103" s="29"/>
      <c r="D103" s="35"/>
      <c r="E103" s="36"/>
      <c r="F103" s="26"/>
      <c r="G103" s="9" t="str">
        <f t="shared" si="19"/>
        <v/>
      </c>
      <c r="H103" s="9">
        <f t="shared" si="20"/>
        <v>-46027</v>
      </c>
      <c r="I103" s="29"/>
      <c r="J103" s="35"/>
      <c r="K103" s="36"/>
      <c r="L103" s="26"/>
      <c r="M103" s="9" t="str">
        <f t="shared" ref="M103" si="21">IFERROR((L103-$G$1)/(L103-K103)*100,"")</f>
        <v/>
      </c>
      <c r="N103" s="9">
        <f t="shared" ref="N103" si="22">L103-$H$1</f>
        <v>-46027</v>
      </c>
      <c r="O103" s="50"/>
      <c r="P103" s="42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22.15" customHeight="1">
      <c r="A104"/>
      <c r="B104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51"/>
      <c r="P104" s="43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22.15" customHeight="1">
      <c r="A105"/>
      <c r="B105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51"/>
      <c r="P105" s="43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22.15" customHeight="1">
      <c r="A106"/>
      <c r="B106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51"/>
      <c r="P106" s="43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22.15" customHeight="1">
      <c r="A107"/>
      <c r="B10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</row>
    <row r="108" spans="1:26" ht="22.15" customHeight="1">
      <c r="A108"/>
      <c r="B108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</row>
    <row r="109" spans="1:26" ht="22.15" customHeight="1">
      <c r="A109"/>
      <c r="B109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</row>
    <row r="110" spans="1:26" ht="22.15" customHeight="1">
      <c r="A110"/>
      <c r="B110"/>
      <c r="C110" s="37"/>
      <c r="D110" s="37"/>
      <c r="E110" s="37"/>
      <c r="F110" s="37"/>
      <c r="I110" s="37"/>
      <c r="J110" s="37"/>
      <c r="K110" s="37"/>
      <c r="L110" s="37"/>
    </row>
  </sheetData>
  <phoneticPr fontId="8" type="noConversion"/>
  <conditionalFormatting sqref="G3:H103">
    <cfRule type="cellIs" dxfId="17" priority="49" stopIfTrue="1" operator="equal">
      <formula>50</formula>
    </cfRule>
    <cfRule type="cellIs" dxfId="16" priority="50" stopIfTrue="1" operator="lessThan">
      <formula>50</formula>
    </cfRule>
    <cfRule type="cellIs" dxfId="15" priority="51" stopIfTrue="1" operator="greaterThan">
      <formula>50</formula>
    </cfRule>
  </conditionalFormatting>
  <conditionalFormatting sqref="H3:H103">
    <cfRule type="cellIs" dxfId="14" priority="43" stopIfTrue="1" operator="between">
      <formula>15</formula>
      <formula>20</formula>
    </cfRule>
    <cfRule type="cellIs" dxfId="13" priority="44" stopIfTrue="1" operator="lessThan">
      <formula>15</formula>
    </cfRule>
    <cfRule type="cellIs" dxfId="12" priority="45" stopIfTrue="1" operator="greaterThan">
      <formula>20</formula>
    </cfRule>
    <cfRule type="cellIs" dxfId="11" priority="46" stopIfTrue="1" operator="between">
      <formula>15</formula>
      <formula>20</formula>
    </cfRule>
    <cfRule type="cellIs" dxfId="10" priority="47" stopIfTrue="1" operator="lessThan">
      <formula>15</formula>
    </cfRule>
    <cfRule type="cellIs" dxfId="9" priority="48" stopIfTrue="1" operator="greaterThan">
      <formula>20</formula>
    </cfRule>
  </conditionalFormatting>
  <conditionalFormatting sqref="M3:N10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N3:N10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2026-01-08T12:13:18Z</dcterms:modified>
</cp:coreProperties>
</file>